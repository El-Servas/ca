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Servas\Documents\Repos\Crediactivo\"/>
    </mc:Choice>
  </mc:AlternateContent>
  <bookViews>
    <workbookView xWindow="-12" yWindow="-12" windowWidth="7656" windowHeight="8940" tabRatio="905"/>
  </bookViews>
  <sheets>
    <sheet name="CA_Consola" sheetId="30" r:id="rId1"/>
    <sheet name="CA_Servicios" sheetId="29" r:id="rId2"/>
    <sheet name="Menu Principal" sheetId="11" r:id="rId3"/>
    <sheet name="Tabla" sheetId="1" r:id="rId4"/>
    <sheet name="Combos" sheetId="25" r:id="rId5"/>
    <sheet name="Validaciones" sheetId="27" r:id="rId6"/>
    <sheet name="Captura" sheetId="24" r:id="rId7"/>
    <sheet name="Parámetros" sheetId="9" r:id="rId8"/>
    <sheet name="CAT" sheetId="10" r:id="rId9"/>
    <sheet name="LogDeCierres" sheetId="14" r:id="rId10"/>
    <sheet name="ACS" sheetId="15" r:id="rId11"/>
    <sheet name="ACCC" sheetId="16" r:id="rId12"/>
    <sheet name="ACS PROGR APOYO" sheetId="17" r:id="rId13"/>
    <sheet name="ACS DLLS" sheetId="18" r:id="rId14"/>
    <sheet name="ACCC DLLS" sheetId="19" r:id="rId15"/>
    <sheet name="CREDILINEA" sheetId="20" r:id="rId16"/>
    <sheet name="COMB. DE MEDIOS" sheetId="21" r:id="rId17"/>
    <sheet name="ACS COMP. GOB." sheetId="22" r:id="rId18"/>
    <sheet name="ACCC COMP. GOB." sheetId="23" r:id="rId19"/>
    <sheet name="Hoja1" sheetId="26" r:id="rId20"/>
  </sheets>
  <functionGroups builtInGroupCount="18"/>
  <externalReferences>
    <externalReference r:id="rId21"/>
  </externalReferences>
  <definedNames>
    <definedName name="AA_001_GENERALES_CONTRATO">Captura!$D$6</definedName>
    <definedName name="AA_002_GENERALES_FECHA">Captura!$D$7</definedName>
    <definedName name="AA_003_GENERALES_DIA">Captura!$D$8</definedName>
    <definedName name="AA_007_GENERALES_NOMBRE_Y_NÚMERO_DE_SUCURSAL">Captura!$D$9</definedName>
    <definedName name="AA_008_DATOS_DE_BANCO_DOMICILIO_CALLE_NÚMERO">Captura!$D$14</definedName>
    <definedName name="AA_009_DATOS_DE_BANCO_COLONIA">Captura!$D$15</definedName>
    <definedName name="AA_010_DATOS_DE_BANCO_POBLACIÓN">Captura!$D$16</definedName>
    <definedName name="AA_011_DATOS_DE_BANCO_ESTADO">Captura!$D$17</definedName>
    <definedName name="AA_012_DATOS_DE_BANCO_CODIGO_POSTAL">Captura!$D$18</definedName>
    <definedName name="AA_013_DATOS_DE_LA_PARTE_ACREDITADA_NOMBRE_DEL_ACREDITADO">Captura!$D$24</definedName>
    <definedName name="AA_014_DATOS_DE_LA_PARTE_ACREDITADA_R_F_C_">Captura!$D$25</definedName>
    <definedName name="AA_015_DATOS_DE_LA_PARTE_ACREDITADA_DOMICILIO_CALLE_NÚMERO">Captura!$D$26</definedName>
    <definedName name="AA_016_DATOS_DE_LA_PARTE_ACREDITADA_COLONIA">Captura!$D$27</definedName>
    <definedName name="AA_017_DATOS_DE_LA_PARTE_ACREDITADA_POBLACION">Captura!$D$28</definedName>
    <definedName name="AA_018_DATOS_DE_LA_PARTE_ACREDITADA_ESTADO">Captura!$D$29</definedName>
    <definedName name="AA_019_DATOS_DE_LA_PARTE_ACREDITADA_NACIONALIDAD">Captura!$D$30</definedName>
    <definedName name="AA_020_DATOS_DE_LA_PARTE_ACREDITADA_ORIGINARIO">Captura!$D$31</definedName>
    <definedName name="AA_021_DATOS_DE_LA_PARTE_ACREDITADA_EDAD">Captura!$D$32</definedName>
    <definedName name="AA_022_DATOS_DE_LA_PARTE_ACREDITADA_ESTADO_CIVIL">Captura!$D$33</definedName>
    <definedName name="AA_023_DATOS_DE_LA_PARTE_ACREDITADA_TELEFONO">Captura!$D$34</definedName>
    <definedName name="AA_024_DATOS_DE_LA_PARTE_ACREDITADA_NOMBRE_DEL_ACREDITADO_2">Captura!$D$35</definedName>
    <definedName name="AA_025_DATOS_DE_LA_PARTE_ACREDITADA_R_F_C_">Captura!$D$36</definedName>
    <definedName name="AA_026_DATOS_DE_LA_PARTE_ACREDITADA_DOMICILIO_CALLE_NÚMERO">Captura!$D$37</definedName>
    <definedName name="AA_027_DATOS_DE_LA_PARTE_ACREDITADA_COLONIA">Captura!$D$38</definedName>
    <definedName name="AA_028_DATOS_DE_LA_PARTE_ACREDITADA_POBLACION">Captura!$D$39</definedName>
    <definedName name="AA_029_DATOS_DE_LA_PARTE_ACREDITADA_ESTADO">Captura!$D$40</definedName>
    <definedName name="AA_030_DATOS_DE_LA_PARTE_ACREDITADA_NACIONALIDAD">Captura!$D$41</definedName>
    <definedName name="AA_031_DATOS_DE_LA_PARTE_ACREDITADA_ORIGINARIO">Captura!$D$42</definedName>
    <definedName name="AA_032_DATOS_DE_LA_PARTE_ACREDITADA_EDAD">Captura!$D$43</definedName>
    <definedName name="AA_033_DATOS_DE_LA_PARTE_ACREDITADA_ESTADO_CIVIL">Captura!$D$44</definedName>
    <definedName name="AA_034_DATOS_DE_LA_PARTE_ACREDITADA_TELEFONO">Captura!$D$45</definedName>
    <definedName name="AA_035_DATOS_APODERADOS_ACREDITADO_NOMBRE_APODERADO_DEL_ACREDITADO_UNO">Captura!$D$50</definedName>
    <definedName name="AA_036_DATOS_APODERADOS_ACREDITADO_NOMBRE_APODERADO_DEL_ACREDITADO_DOS">Captura!$D$51</definedName>
    <definedName name="AA_036a_DATOS_APODERADOS_ACREDITADO_NOMBRE_APODERADO_DEL_ACREDITADO_TRES">Captura!$D$52</definedName>
    <definedName name="AA_037_DATOS_FIADORES_NOMBRE_DEL_FIADOR_SOLIDARIO_UNO">Captura!$D$57</definedName>
    <definedName name="AA_038_DATOS_FIADORES_RFC">Captura!$D$58</definedName>
    <definedName name="AA_039_DATOS_FIADORES_DOMICILIO_CALLE_NÚMERO">Captura!$D$59</definedName>
    <definedName name="AA_040_DATOS_FIADORES_COLONIA">Captura!$D$60</definedName>
    <definedName name="AA_041_DATOS_FIADORES_POBLACIÓN">Captura!$D$61</definedName>
    <definedName name="AA_042_DATOS_FIADORES_ESTADO">Captura!$D$62</definedName>
    <definedName name="AA_043_DATOS_FIADORES_NACIONALIDAD">Captura!$D$63</definedName>
    <definedName name="AA_044_DATOS_FIADORES_ORIGINARIO">Captura!$D$64</definedName>
    <definedName name="AA_045_DATOS_FIADORES_EDAD">Captura!$D$65</definedName>
    <definedName name="AA_046_DATOS_FIADORES_ESTADO_CIVIL">Captura!$D$66</definedName>
    <definedName name="AA_047_DATOS_FIADORES_TELEFONO">Captura!$D$67</definedName>
    <definedName name="AA_048_DATOS_FIADORES_NOMBRE_DEL_FIADOR_SOLIDARIO_DOS">Captura!$D$68</definedName>
    <definedName name="AA_049_DATOS_FIADORES_RFC">Captura!$D$69</definedName>
    <definedName name="AA_050_DATOS_FIADORES_DOMICILIO_CALLE_NÚMERO">Captura!$D$70</definedName>
    <definedName name="AA_051_DATOS_FIADORES_COLONIA">Captura!$D$71</definedName>
    <definedName name="AA_052_DATOS_FIADORES_POBLACIÓN">Captura!$D$72</definedName>
    <definedName name="AA_053_DATOS_FIADORES_ESTADO">Captura!$D$73</definedName>
    <definedName name="AA_054_DATOS_FIADORES_NACIONALIDAD">Captura!$D$74</definedName>
    <definedName name="AA_055_DATOS_FIADORES_ORIGINARIO">Captura!$D$75</definedName>
    <definedName name="AA_056_DATOS_FIADORES_EDAD">Captura!$D$76</definedName>
    <definedName name="AA_057_DATOS_FIADORES_ESTADO_CIVIL">Captura!$D$77</definedName>
    <definedName name="AA_058_DATOS_FIADORES_TELEFONO">Captura!$D$78</definedName>
    <definedName name="AA_059_DATOS_FIADORES_NOMBRE_DEL_FIADOR_SOLIDARIO_TRES">Captura!$D$79</definedName>
    <definedName name="AA_060_DATOS_FIADORES_RFC">Captura!$D$80</definedName>
    <definedName name="AA_061_DATOS_FIADORES_DOMICILIO_CALLE_NÚMERO">Captura!$D$81</definedName>
    <definedName name="AA_062_DATOS_FIADORES_COLONIA">Captura!$D$82</definedName>
    <definedName name="AA_063_DATOS_FIADORES_POBLACIÓN">Captura!$D$83</definedName>
    <definedName name="AA_064_DATOS_FIADORES_ESTADO">Captura!$D$84</definedName>
    <definedName name="AA_065_DATOS_FIADORES_NACIONALIDAD">Captura!$D$85</definedName>
    <definedName name="AA_066_DATOS_FIADORES_ORIGINARIO">Captura!$D$86</definedName>
    <definedName name="AA_067_DATOS_FIADORES_EDAD">Captura!$D$87</definedName>
    <definedName name="AA_068_DATOS_FIADORES_ESTADO_CIVIL">Captura!$D$88</definedName>
    <definedName name="AA_069_DATOS_FIADORES_TELEFONO">Captura!$D$89</definedName>
    <definedName name="AA_070_DATOS_APODERADOS_FIADOR_NOMBRE_APODERADO_DEL_FIADOR_SOLIDARIO_UNO">Captura!$D$94</definedName>
    <definedName name="AA_071_DATOS_APODERADOS_FIADOR_NOMBRE_APODERADO_DEL_FIADOR_SOLIDARIO_DOS">Captura!$D$95</definedName>
    <definedName name="AA_072_DATOS_APODERADOS_FIADOR_NOMBRE_APODERADO_DEL_FIADOR_SOLIDARIO_TRES">Captura!$D$96</definedName>
    <definedName name="AA_073_CARACTERISTICAS_CREDITO_IMPORTE_NÚMERO_LETRA">Captura!$D$101</definedName>
    <definedName name="AA_074_CARACTERISTICAS_CREDITO_PLAZO_DEL_CRÉDITO_MESES">Captura!$D$104</definedName>
    <definedName name="AA_075_CARACTERISTICAS_CREDITO_FECHA_DE_VENCIMIENTO">Captura!$D$116</definedName>
    <definedName name="AA_076_CARACTERISTICAS_CREDITO_CUENTA_DE_CHEQUES">Captura!$D$115</definedName>
    <definedName name="AA_077_CARACTERISTICAS_CREDITO_COMISIÓN_POR_APERTURA">Captura!$D$113</definedName>
    <definedName name="AA_078_CARACTERISTICAS_CREDITO_CAT_SIN_IVA">Captura!$D$120</definedName>
    <definedName name="AA_079_CARACTERISTICAS_CREDITO_PORCENTAJE_DE_INTERÉS_TASA_FIJA">Captura!$D$108</definedName>
    <definedName name="AA_080_CARACTERISTICAS_CREDITO_DIFERENCIAL_TASA_VARIABLE_TIIE">Captura!$D$111</definedName>
    <definedName name="AA_081_CARACTERISTICAS_CREDITO_MESES_DE_GRACIA_DE_CAPITAL">Captura!$D$105</definedName>
    <definedName name="AA_082_CARACTERISTICAS_CREDITO_DÍA_DE_PAGO_DE_CAPITAL_E_INTERESES_ORDINARIOS">Captura!$D$106</definedName>
    <definedName name="AA_083_CARACTERISTICAS_CREDITO_DESTINO_DEL_CRÉDITO">Captura!$D$103</definedName>
    <definedName name="AA_084_CARACTERISTICAS_CREDITO_PORCENTAJE_DE_COMISIÓN_POR_PAGOS_ANTICIPADOS">Captura!$D$114</definedName>
    <definedName name="AA_085_CARACTERISTICAS_CREDITO_DIFERENCIAL_PUNTOS_PORCENTUALES_LIBOR">Captura!$D$112</definedName>
    <definedName name="AA_086_CARACTERISTICAS_CREDITO_FECHA_DE_PRIMER_PAGO">Captura!$D$117</definedName>
    <definedName name="AA_087_CARACTERISTICAS_CREDITO_FECHA_DE_SEGUNDO_PAGO">Captura!$D$118</definedName>
    <definedName name="AA_088_CARACTERISTICAS_CREDITO_FECHA_DE_TERCER_PAGO">Captura!$D$119</definedName>
    <definedName name="AA_089_DATOS_APODERADOS_BANCO_NOMBRE_APODERADO_DEL_BANCO_UNO">Captura!$D$125</definedName>
    <definedName name="AA_090_DATOS_APODERADOS_BANCO_NOMBRE_APODERADO_DEL_BANCO_DOS">Captura!$D$126</definedName>
    <definedName name="AA_091_ANEXO_ACS_REESTRUCTURA_TIPO_DE_CONTRATO_DE_CRÉDITO">Captura!$D$131</definedName>
    <definedName name="AA_092_ANEXO_ACS_REESTRUCTURA_FECHA_DE_CELEBRACIÓN">Captura!$D$132</definedName>
    <definedName name="AA_093_ANEXO_ACS_REESTRUCTURA_IMPORTE">Captura!$D$133</definedName>
    <definedName name="AA_094_ANEXO_ACS_REESTRUCTURA_NÚMERO_DE_CRÉDITO">Captura!$D$134</definedName>
    <definedName name="AA_095_ANEXO_ACS_REESTRUCTURA_TIPO_DE_CONTRATO_DE_CRÉDITO">Captura!$D$135</definedName>
    <definedName name="AA_096_ANEXO_ACS_REESTRUCTURA_FECHA_DE_CELEBRACIÓN">Captura!$D$136</definedName>
    <definedName name="AA_097_ANEXO_ACS_REESTRUCTURA_IMPORTE">Captura!$D$137</definedName>
    <definedName name="AA_098_ANEXO_ACS_REESTRUCTURA_NÚMERO_DE_CRÉDITO">Captura!$D$138</definedName>
    <definedName name="AA_099_ANEXO_ACS_REESTRUCTURA_ACREDITADO_UNO">Captura!$D$139</definedName>
    <definedName name="AA_100_ANEXO_ACS_REESTRUCTURA_ACREDITADO_DOS">Captura!$D$140</definedName>
    <definedName name="AA_101_ANEXO_ACS_REESTRUCTURA_FIADOR_UNO">Captura!$D$141</definedName>
    <definedName name="AA_102_ANEXO_ACS_REESTRUCTURA_FIADOR_DOS">Captura!$D$142</definedName>
    <definedName name="AA_103_ANEXO_ACS_REESTRUCTURA_FIADOR_TRES">Captura!$D$143</definedName>
    <definedName name="AA_104_ANEXO_ACS_REESTRUCTURA_APODERADO_BANCO_UNO">Captura!$D$144</definedName>
    <definedName name="AA_105_ANEXO_ACS_REESTRUCTURA_APODERADO_BANCO_DOS">Captura!$D$145</definedName>
    <definedName name="AA_106_CARACTERISTICAS_CREDITO_IMPORTE_NÚMERO_LETRA">Captura!$D$102</definedName>
    <definedName name="AA_107_CARACTERISTICAS_CREDITO_VALOR_DE_TIIE">Captura!$D$109</definedName>
    <definedName name="AA_108_CARACTERISTICAS_CREDITO_FECHA_DE_TIIE">Captura!$D$110</definedName>
    <definedName name="AA_109_CARACTERISTICAS_CREDITO_TIPO_DE_TASA">Captura!$D$107</definedName>
    <definedName name="ACCC">Combos!$A$3</definedName>
    <definedName name="ACCC_COMPRAS_DE_GOBIERNO">Combos!$A$10</definedName>
    <definedName name="ACCC_DLLS">Combos!$A$6</definedName>
    <definedName name="ACS">Combos!$A$2</definedName>
    <definedName name="ACS_COMPRAS_DE_GOBIERNO">Combos!$A$9</definedName>
    <definedName name="ACS_DLLS">Combos!$A$5</definedName>
    <definedName name="ACS_PROGRAMAS_DE_APOYO">Combos!$A$4</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T_AmortCrecientes">CAT!$C$9</definedName>
    <definedName name="CAT_AmortIguales">CAT!$G$9</definedName>
    <definedName name="Com_por_apertura">Parámetros!$B$37</definedName>
    <definedName name="Com_por_avalúo">Parámetros!$B$38</definedName>
    <definedName name="COMBINACIÓN_DE_MEDIOS">Combos!$A$8</definedName>
    <definedName name="CREDILINEA">Combos!$A$7</definedName>
    <definedName name="Días">Parámetros!$C$6</definedName>
    <definedName name="Fecha_TIIE">Parámetros!$B$45</definedName>
    <definedName name="Fecha_Tipo_de_Cambio">Parámetros!$B$42</definedName>
    <definedName name="FF_004_GENERALES_FECHA">Captura!$D$13</definedName>
    <definedName name="Frecuencia">Parámetros!$A$5</definedName>
    <definedName name="Garantía_Hipotecaria">'Menu Principal'!$E$17</definedName>
    <definedName name="I.V.A.">Parámetros!$B$30</definedName>
    <definedName name="Márgen">Parámetros!$B$46</definedName>
    <definedName name="Máximo_Crédito">Validaciones!$B$3</definedName>
    <definedName name="Mínimo_Crédito">Validaciones!$B$2</definedName>
    <definedName name="MONTERREY__N.L.">Captura!$E$8</definedName>
    <definedName name="Monto_Crédito">'Menu Principal'!$E$9</definedName>
    <definedName name="Monto_Mínimo_Crédito">Captura!$D$101</definedName>
    <definedName name="No._de_Pagos">Parámetros!$E$6</definedName>
    <definedName name="No._De_Pagos_con_periodo_de_gracia">Parámetros!$G$6</definedName>
    <definedName name="No_De_Pagos_con_periodo_gracia">Parámetros!$G$5</definedName>
    <definedName name="Pagos_por_año">Parámetros!$D$6</definedName>
    <definedName name="Periodos_Gracia">Parámetros!$B$22</definedName>
    <definedName name="Plazo_en_Años">Parámetros!$B$11</definedName>
    <definedName name="_xlnm.Print_Area" localSheetId="11">ACCC!$A$3:$AM$246</definedName>
    <definedName name="_xlnm.Print_Area" localSheetId="18">'ACCC COMP. GOB.'!$A$3:$AM$256</definedName>
    <definedName name="_xlnm.Print_Area" localSheetId="14">'ACCC DLLS'!$A$3:$AL$250</definedName>
    <definedName name="_xlnm.Print_Area" localSheetId="10">ACS!$A$3:$AM$367</definedName>
    <definedName name="_xlnm.Print_Area" localSheetId="17">'ACS COMP. GOB.'!$A$3:$AM$283</definedName>
    <definedName name="_xlnm.Print_Area" localSheetId="13">'ACS DLLS'!$A$3:$AM$245</definedName>
    <definedName name="_xlnm.Print_Area" localSheetId="12">'ACS PROGR APOYO'!$A$3:$AM$258</definedName>
    <definedName name="_xlnm.Print_Area" localSheetId="6">Captura!$A$1:$F$105</definedName>
    <definedName name="_xlnm.Print_Area" localSheetId="16">'COMB. DE MEDIOS'!$A$3:$AM$298</definedName>
    <definedName name="_xlnm.Print_Area" localSheetId="15">CREDILINEA!$A$3:$AM$280</definedName>
    <definedName name="_xlnm.Print_Area" localSheetId="3">Tabla!$A$1:$O$258</definedName>
    <definedName name="_xlnm.Print_Titles" localSheetId="3">Tabla!$1:$16</definedName>
    <definedName name="Seguro_Anual">Parámetros!$B$39</definedName>
    <definedName name="Seguro_Anual_CAT">Parámetros!$B$40</definedName>
    <definedName name="Seguro_Anual_Dólares">Parámetros!$D$39</definedName>
    <definedName name="Seguro_Anual_para_CAT_Dólares">Parámetros!$D$40</definedName>
    <definedName name="Simulación_crediactivo">Parámetros!$B$1</definedName>
    <definedName name="Tasa_Anual">Parámetros!$B$43</definedName>
    <definedName name="Tasa_según_rango_y_plazo">Parámetros!$B$47</definedName>
    <definedName name="TasaFija">Combos!$A$23</definedName>
    <definedName name="TasaVariable">Combos!$A$24</definedName>
    <definedName name="TIIE">Parámetros!$B$44</definedName>
    <definedName name="Tipo_de_cambio">Parámetros!$B$41</definedName>
    <definedName name="TipoContrato">Combos!$C$1</definedName>
    <definedName name="TipoTasa">Combos!$C$22</definedName>
    <definedName name="UltimaCelda" localSheetId="2">'Menu Principal'!$M$36</definedName>
    <definedName name="UltimaCelda" localSheetId="3">Tabla!$P$261</definedName>
    <definedName name="Valor_Propiedad">'Menu Principal'!$E$15</definedName>
  </definedNames>
  <calcPr calcId="171027"/>
</workbook>
</file>

<file path=xl/calcChain.xml><?xml version="1.0" encoding="utf-8"?>
<calcChain xmlns="http://schemas.openxmlformats.org/spreadsheetml/2006/main">
  <c r="E9" i="11" l="1"/>
  <c r="AE71" i="23"/>
  <c r="AD71" i="21"/>
  <c r="AD71" i="20"/>
  <c r="B74" i="19"/>
  <c r="G76" i="18"/>
  <c r="Z70" i="17"/>
  <c r="AE71" i="16"/>
  <c r="V71" i="23"/>
  <c r="J75" i="22"/>
  <c r="T71" i="21"/>
  <c r="T71" i="20"/>
  <c r="K74" i="19"/>
  <c r="Z73" i="18"/>
  <c r="J73" i="17"/>
  <c r="V71" i="16"/>
  <c r="J75" i="15"/>
  <c r="B75" i="22"/>
  <c r="B73" i="17"/>
  <c r="B75" i="15"/>
  <c r="R71" i="23"/>
  <c r="Y73" i="22"/>
  <c r="P71" i="21"/>
  <c r="P71" i="20"/>
  <c r="X71" i="19"/>
  <c r="T72" i="18"/>
  <c r="S70" i="17"/>
  <c r="R71" i="16"/>
  <c r="Y72" i="15"/>
  <c r="D102" i="24"/>
  <c r="M68" i="23" l="1"/>
  <c r="B68" i="23"/>
  <c r="M70" i="22"/>
  <c r="B70" i="22"/>
  <c r="M68" i="21"/>
  <c r="B68" i="21"/>
  <c r="M68" i="20"/>
  <c r="B68" i="20"/>
  <c r="M68" i="19"/>
  <c r="B68" i="19"/>
  <c r="M70" i="18"/>
  <c r="B70" i="18"/>
  <c r="M68" i="17"/>
  <c r="B68" i="17"/>
  <c r="M68" i="16"/>
  <c r="B68" i="16"/>
  <c r="L253" i="23"/>
  <c r="L250" i="23"/>
  <c r="L280" i="22"/>
  <c r="L277" i="22"/>
  <c r="L248" i="19"/>
  <c r="L245" i="19"/>
  <c r="L241" i="23"/>
  <c r="L268" i="22"/>
  <c r="L236" i="19"/>
  <c r="L231" i="18"/>
  <c r="L237" i="23"/>
  <c r="L264" i="22"/>
  <c r="L232" i="19"/>
  <c r="L228" i="18"/>
  <c r="L233" i="23"/>
  <c r="L260" i="22"/>
  <c r="L228" i="19"/>
  <c r="L225" i="18"/>
  <c r="L224" i="23"/>
  <c r="L251" i="22"/>
  <c r="L219" i="19"/>
  <c r="L218" i="18"/>
  <c r="L220" i="23"/>
  <c r="L247" i="22"/>
  <c r="L215" i="19"/>
  <c r="L215" i="18"/>
  <c r="L243" i="18" l="1"/>
  <c r="L295" i="15"/>
  <c r="L240" i="18"/>
  <c r="L292" i="15"/>
  <c r="L283" i="15"/>
  <c r="L279" i="15"/>
  <c r="L275" i="15"/>
  <c r="L267" i="15"/>
  <c r="B258" i="17" l="1"/>
  <c r="B254" i="17"/>
  <c r="B244" i="17"/>
  <c r="B241" i="17"/>
  <c r="B238" i="17"/>
  <c r="B232" i="17"/>
  <c r="B24" i="17"/>
  <c r="B18" i="17"/>
  <c r="B242" i="16" l="1"/>
  <c r="B238" i="16"/>
  <c r="B228" i="16"/>
  <c r="B225" i="16"/>
  <c r="B219" i="16"/>
  <c r="B215" i="16"/>
  <c r="L365" i="15" l="1"/>
  <c r="L362" i="15"/>
  <c r="L353" i="15"/>
  <c r="L349" i="15"/>
  <c r="L345" i="15"/>
  <c r="L337" i="15"/>
  <c r="L333" i="15"/>
  <c r="B85" i="15"/>
  <c r="B83" i="15"/>
  <c r="B54" i="15"/>
  <c r="B48" i="15"/>
  <c r="B42" i="15"/>
  <c r="B24" i="15"/>
  <c r="L263" i="15"/>
  <c r="B18" i="15"/>
  <c r="M70" i="15" l="1"/>
  <c r="B70" i="15"/>
  <c r="B79" i="23" l="1"/>
  <c r="B77" i="23"/>
  <c r="M71" i="23"/>
  <c r="G71" i="23"/>
  <c r="B64" i="23"/>
  <c r="B62" i="23"/>
  <c r="B60" i="23"/>
  <c r="B59" i="23" l="1"/>
  <c r="B63" i="23" s="1"/>
  <c r="AH56" i="23"/>
  <c r="AD56" i="23"/>
  <c r="AA56" i="23"/>
  <c r="V56" i="23"/>
  <c r="Q56" i="23"/>
  <c r="J56" i="23"/>
  <c r="B56" i="23"/>
  <c r="U54" i="23"/>
  <c r="B54" i="23"/>
  <c r="AG52" i="23"/>
  <c r="B52" i="23"/>
  <c r="AH50" i="23"/>
  <c r="AD50" i="23"/>
  <c r="AA50" i="23"/>
  <c r="V50" i="23"/>
  <c r="Q50" i="23"/>
  <c r="J50" i="23"/>
  <c r="B50" i="23"/>
  <c r="U48" i="23"/>
  <c r="B48" i="23"/>
  <c r="AG46" i="23"/>
  <c r="B46" i="23"/>
  <c r="AH44" i="23"/>
  <c r="AD44" i="23"/>
  <c r="AA44" i="23"/>
  <c r="V44" i="23"/>
  <c r="Q44" i="23"/>
  <c r="J44" i="23"/>
  <c r="B44" i="23"/>
  <c r="U42" i="23"/>
  <c r="B42" i="23"/>
  <c r="AG40" i="23"/>
  <c r="B40" i="23"/>
  <c r="B36" i="23"/>
  <c r="B34" i="23"/>
  <c r="B33" i="23"/>
  <c r="B61" i="23" s="1"/>
  <c r="B32" i="23"/>
  <c r="AH28" i="23"/>
  <c r="AD28" i="23"/>
  <c r="AA28" i="23"/>
  <c r="V28" i="23"/>
  <c r="Q28" i="23"/>
  <c r="J28" i="23"/>
  <c r="B28" i="23"/>
  <c r="X26" i="23"/>
  <c r="B26" i="23"/>
  <c r="AG24" i="23"/>
  <c r="B24" i="23"/>
  <c r="AH22" i="23"/>
  <c r="AD22" i="23"/>
  <c r="AA22" i="23"/>
  <c r="V22" i="23"/>
  <c r="Q22" i="23"/>
  <c r="J22" i="23"/>
  <c r="B22" i="23"/>
  <c r="X20" i="23"/>
  <c r="B20" i="23"/>
  <c r="AG18" i="23"/>
  <c r="B18" i="23"/>
  <c r="AH14" i="23"/>
  <c r="AA14" i="23"/>
  <c r="T14" i="23"/>
  <c r="M14" i="23"/>
  <c r="B14" i="23"/>
  <c r="V10" i="23"/>
  <c r="G10" i="23"/>
  <c r="B83" i="22"/>
  <c r="B81" i="22"/>
  <c r="Q73" i="22"/>
  <c r="I73" i="22"/>
  <c r="B66" i="22"/>
  <c r="B64" i="22"/>
  <c r="B62" i="22"/>
  <c r="B61" i="22"/>
  <c r="AH58" i="22"/>
  <c r="AD58" i="22"/>
  <c r="AA58" i="22"/>
  <c r="V58" i="22"/>
  <c r="Q58" i="22"/>
  <c r="J58" i="22"/>
  <c r="B58" i="22"/>
  <c r="U56" i="22"/>
  <c r="B56" i="22"/>
  <c r="AG54" i="22"/>
  <c r="B54" i="22"/>
  <c r="AH52" i="22"/>
  <c r="AD52" i="22"/>
  <c r="AA52" i="22"/>
  <c r="V52" i="22"/>
  <c r="Q52" i="22"/>
  <c r="J52" i="22"/>
  <c r="B52" i="22"/>
  <c r="U50" i="22"/>
  <c r="B50" i="22"/>
  <c r="AG48" i="22"/>
  <c r="B48" i="22"/>
  <c r="AH46" i="22"/>
  <c r="AD46" i="22"/>
  <c r="AA46" i="22"/>
  <c r="V46" i="22"/>
  <c r="Q46" i="22"/>
  <c r="J46" i="22"/>
  <c r="B46" i="22"/>
  <c r="U44" i="22"/>
  <c r="B44" i="22"/>
  <c r="AG42" i="22"/>
  <c r="B42" i="22"/>
  <c r="B36" i="22"/>
  <c r="B34" i="22"/>
  <c r="B33" i="22"/>
  <c r="B32" i="22"/>
  <c r="AH28" i="22"/>
  <c r="AD28" i="22"/>
  <c r="AA28" i="22"/>
  <c r="V28" i="22"/>
  <c r="Q28" i="22"/>
  <c r="J28" i="22"/>
  <c r="B28" i="22"/>
  <c r="X26" i="22"/>
  <c r="B26" i="22"/>
  <c r="AG24" i="22"/>
  <c r="B24" i="22"/>
  <c r="AH22" i="22"/>
  <c r="AD22" i="22"/>
  <c r="AA22" i="22"/>
  <c r="V22" i="22"/>
  <c r="Q22" i="22"/>
  <c r="J22" i="22"/>
  <c r="B22" i="22"/>
  <c r="X20" i="22"/>
  <c r="B20" i="22"/>
  <c r="AG18" i="22"/>
  <c r="B18" i="22"/>
  <c r="AH14" i="22"/>
  <c r="AA14" i="22"/>
  <c r="T14" i="22"/>
  <c r="M14" i="22"/>
  <c r="B14" i="22"/>
  <c r="V10" i="22"/>
  <c r="G10" i="22"/>
  <c r="B82" i="21"/>
  <c r="B80" i="21"/>
  <c r="AE73" i="21"/>
  <c r="S73" i="21"/>
  <c r="G73" i="21"/>
  <c r="L71" i="21"/>
  <c r="F71" i="21"/>
  <c r="B64" i="21"/>
  <c r="B62" i="21"/>
  <c r="B60" i="21"/>
  <c r="B59" i="21"/>
  <c r="AH56" i="21"/>
  <c r="AD56" i="21"/>
  <c r="AA56" i="21"/>
  <c r="V56" i="21"/>
  <c r="Q56" i="21"/>
  <c r="J56" i="21"/>
  <c r="B56" i="21"/>
  <c r="U54" i="21"/>
  <c r="B54" i="21"/>
  <c r="AG52" i="21"/>
  <c r="B52" i="21"/>
  <c r="AH50" i="21"/>
  <c r="AD50" i="21"/>
  <c r="AA50" i="21"/>
  <c r="V50" i="21"/>
  <c r="Q50" i="21"/>
  <c r="J50" i="21"/>
  <c r="B50" i="21"/>
  <c r="U48" i="21"/>
  <c r="B48" i="21"/>
  <c r="AG46" i="21"/>
  <c r="B46" i="21"/>
  <c r="AH44" i="21"/>
  <c r="AD44" i="21"/>
  <c r="AA44" i="21"/>
  <c r="V44" i="21"/>
  <c r="Q44" i="21"/>
  <c r="J44" i="21"/>
  <c r="B44" i="21"/>
  <c r="U42" i="21"/>
  <c r="B42" i="21"/>
  <c r="AG40" i="21"/>
  <c r="B40" i="21"/>
  <c r="B36" i="21"/>
  <c r="B34" i="21"/>
  <c r="B33" i="21"/>
  <c r="B32" i="21"/>
  <c r="AH28" i="21"/>
  <c r="AD28" i="21"/>
  <c r="AA28" i="21"/>
  <c r="V28" i="21"/>
  <c r="Q28" i="21"/>
  <c r="J28" i="21"/>
  <c r="B28" i="21"/>
  <c r="X26" i="21"/>
  <c r="B26" i="21"/>
  <c r="AG24" i="21"/>
  <c r="B24" i="21"/>
  <c r="AH22" i="21"/>
  <c r="AD22" i="21"/>
  <c r="AA22" i="21"/>
  <c r="V22" i="21"/>
  <c r="Q22" i="21"/>
  <c r="J22" i="21"/>
  <c r="B22" i="21"/>
  <c r="X20" i="21"/>
  <c r="B20" i="21"/>
  <c r="AG18" i="21"/>
  <c r="B18" i="21"/>
  <c r="AH14" i="21"/>
  <c r="AA14" i="21"/>
  <c r="T14" i="21"/>
  <c r="M14" i="21"/>
  <c r="B14" i="21"/>
  <c r="V10" i="21"/>
  <c r="G10" i="21"/>
  <c r="B82" i="20"/>
  <c r="B80" i="20"/>
  <c r="AE73" i="20"/>
  <c r="S73" i="20"/>
  <c r="G73" i="20"/>
  <c r="L71" i="20"/>
  <c r="F71" i="20"/>
  <c r="B64" i="20"/>
  <c r="B62" i="20"/>
  <c r="B60" i="20"/>
  <c r="B59" i="20"/>
  <c r="B61" i="20" s="1"/>
  <c r="AH56" i="20"/>
  <c r="AD56" i="20"/>
  <c r="AA56" i="20"/>
  <c r="V56" i="20"/>
  <c r="Q56" i="20"/>
  <c r="J56" i="20"/>
  <c r="B56" i="20"/>
  <c r="U54" i="20"/>
  <c r="B54" i="20"/>
  <c r="AG52" i="20"/>
  <c r="B52" i="20"/>
  <c r="AH50" i="20"/>
  <c r="AD50" i="20"/>
  <c r="AA50" i="20"/>
  <c r="V50" i="20"/>
  <c r="Q50" i="20"/>
  <c r="J50" i="20"/>
  <c r="B50" i="20"/>
  <c r="U48" i="20"/>
  <c r="B48" i="20"/>
  <c r="AG46" i="20"/>
  <c r="B46" i="20"/>
  <c r="AH44" i="20"/>
  <c r="AD44" i="20"/>
  <c r="AA44" i="20"/>
  <c r="V44" i="20"/>
  <c r="Q44" i="20"/>
  <c r="J44" i="20"/>
  <c r="B44" i="20"/>
  <c r="U42" i="20"/>
  <c r="B42" i="20"/>
  <c r="AG40" i="20"/>
  <c r="B40" i="20"/>
  <c r="B36" i="20"/>
  <c r="B34" i="20"/>
  <c r="B33" i="20"/>
  <c r="B32" i="20"/>
  <c r="AH28" i="20"/>
  <c r="AD28" i="20"/>
  <c r="AA28" i="20"/>
  <c r="V28" i="20"/>
  <c r="Q28" i="20"/>
  <c r="J28" i="20"/>
  <c r="B28" i="20"/>
  <c r="X26" i="20"/>
  <c r="B26" i="20"/>
  <c r="AG24" i="20"/>
  <c r="B24" i="20"/>
  <c r="AH22" i="20"/>
  <c r="AD22" i="20"/>
  <c r="AA22" i="20"/>
  <c r="V22" i="20"/>
  <c r="Q22" i="20"/>
  <c r="J22" i="20"/>
  <c r="B22" i="20"/>
  <c r="X20" i="20"/>
  <c r="B20" i="20"/>
  <c r="AG18" i="20"/>
  <c r="B18" i="20"/>
  <c r="AH14" i="20"/>
  <c r="AA14" i="20"/>
  <c r="T14" i="20"/>
  <c r="M14" i="20"/>
  <c r="B14" i="20"/>
  <c r="V10" i="20"/>
  <c r="G10" i="20"/>
  <c r="B82" i="19"/>
  <c r="B80" i="19"/>
  <c r="B35" i="20" l="1"/>
  <c r="B35" i="23"/>
  <c r="B63" i="20"/>
  <c r="B35" i="22"/>
  <c r="B63" i="22"/>
  <c r="B65" i="22" s="1"/>
  <c r="B35" i="21"/>
  <c r="B61" i="21"/>
  <c r="B63" i="21" s="1"/>
  <c r="Q71" i="19"/>
  <c r="J71" i="19"/>
  <c r="B64" i="19"/>
  <c r="B62" i="19"/>
  <c r="B60" i="19"/>
  <c r="B59" i="19"/>
  <c r="AH56" i="19"/>
  <c r="AD56" i="19"/>
  <c r="AA56" i="19"/>
  <c r="V56" i="19"/>
  <c r="Q56" i="19"/>
  <c r="J56" i="19"/>
  <c r="B56" i="19"/>
  <c r="U54" i="19"/>
  <c r="B54" i="19"/>
  <c r="AG52" i="19"/>
  <c r="B52" i="19"/>
  <c r="AH50" i="19"/>
  <c r="AD50" i="19"/>
  <c r="AA50" i="19"/>
  <c r="V50" i="19"/>
  <c r="Q50" i="19"/>
  <c r="J50" i="19"/>
  <c r="B50" i="19"/>
  <c r="U48" i="19"/>
  <c r="B48" i="19"/>
  <c r="AG46" i="19"/>
  <c r="B46" i="19"/>
  <c r="AH44" i="19"/>
  <c r="AD44" i="19"/>
  <c r="AA44" i="19"/>
  <c r="V44" i="19"/>
  <c r="Q44" i="19"/>
  <c r="J44" i="19"/>
  <c r="B44" i="19"/>
  <c r="U42" i="19"/>
  <c r="B42" i="19"/>
  <c r="AG40" i="19"/>
  <c r="B40" i="19"/>
  <c r="B36" i="19"/>
  <c r="B34" i="19"/>
  <c r="B33" i="19"/>
  <c r="B35" i="19" s="1"/>
  <c r="B32" i="19"/>
  <c r="AH28" i="19"/>
  <c r="AD28" i="19"/>
  <c r="AA28" i="19"/>
  <c r="V28" i="19"/>
  <c r="Q28" i="19"/>
  <c r="J28" i="19"/>
  <c r="B28" i="19"/>
  <c r="X26" i="19"/>
  <c r="B26" i="19"/>
  <c r="AG24" i="19"/>
  <c r="B24" i="19"/>
  <c r="AH22" i="19"/>
  <c r="AD22" i="19"/>
  <c r="AA22" i="19"/>
  <c r="V22" i="19"/>
  <c r="Q22" i="19"/>
  <c r="J22" i="19"/>
  <c r="B22" i="19"/>
  <c r="X20" i="19"/>
  <c r="B20" i="19"/>
  <c r="AG18" i="19"/>
  <c r="B18" i="19"/>
  <c r="AH14" i="19"/>
  <c r="AA14" i="19"/>
  <c r="T14" i="19"/>
  <c r="M14" i="19"/>
  <c r="B14" i="19"/>
  <c r="V10" i="19"/>
  <c r="G10" i="19"/>
  <c r="B84" i="18"/>
  <c r="B82" i="18"/>
  <c r="M73" i="18"/>
  <c r="G73" i="18"/>
  <c r="B66" i="18"/>
  <c r="B64" i="18"/>
  <c r="B62" i="18"/>
  <c r="B61" i="18"/>
  <c r="AH58" i="18"/>
  <c r="AD58" i="18"/>
  <c r="AA58" i="18"/>
  <c r="V58" i="18"/>
  <c r="Q58" i="18"/>
  <c r="J58" i="18"/>
  <c r="B58" i="18"/>
  <c r="U56" i="18"/>
  <c r="B56" i="18"/>
  <c r="AG54" i="18"/>
  <c r="B54" i="18"/>
  <c r="AH52" i="18"/>
  <c r="AD52" i="18"/>
  <c r="AA52" i="18"/>
  <c r="V52" i="18"/>
  <c r="Q52" i="18"/>
  <c r="J52" i="18"/>
  <c r="B52" i="18"/>
  <c r="U50" i="18"/>
  <c r="B50" i="18"/>
  <c r="AG48" i="18"/>
  <c r="B48" i="18"/>
  <c r="AH46" i="18"/>
  <c r="AD46" i="18"/>
  <c r="AA46" i="18"/>
  <c r="V46" i="18"/>
  <c r="Q46" i="18"/>
  <c r="J46" i="18"/>
  <c r="B46" i="18"/>
  <c r="U44" i="18"/>
  <c r="B44" i="18"/>
  <c r="AG42" i="18"/>
  <c r="B42" i="18"/>
  <c r="B36" i="18"/>
  <c r="B34" i="18"/>
  <c r="B33" i="18"/>
  <c r="B32" i="18"/>
  <c r="AH28" i="18"/>
  <c r="AD28" i="18"/>
  <c r="AA28" i="18"/>
  <c r="V28" i="18"/>
  <c r="Q28" i="18"/>
  <c r="J28" i="18"/>
  <c r="B28" i="18"/>
  <c r="X26" i="18"/>
  <c r="B26" i="18"/>
  <c r="AG24" i="18"/>
  <c r="B24" i="18"/>
  <c r="AH22" i="18"/>
  <c r="AD22" i="18"/>
  <c r="AA22" i="18"/>
  <c r="V22" i="18"/>
  <c r="Q22" i="18"/>
  <c r="J22" i="18"/>
  <c r="B22" i="18"/>
  <c r="X20" i="18"/>
  <c r="B20" i="18"/>
  <c r="AG18" i="18"/>
  <c r="AH14" i="18"/>
  <c r="AA14" i="18"/>
  <c r="T14" i="18"/>
  <c r="M14" i="18"/>
  <c r="B14" i="18"/>
  <c r="V10" i="18"/>
  <c r="G10" i="18"/>
  <c r="B83" i="17"/>
  <c r="B81" i="17"/>
  <c r="B61" i="19" l="1"/>
  <c r="B35" i="18"/>
  <c r="B63" i="18"/>
  <c r="B65" i="18" s="1"/>
  <c r="B63" i="19"/>
  <c r="M71" i="17"/>
  <c r="G71" i="17"/>
  <c r="B64" i="17"/>
  <c r="B62" i="17"/>
  <c r="B60" i="17"/>
  <c r="B59" i="17"/>
  <c r="AH56" i="17"/>
  <c r="AD56" i="17"/>
  <c r="AA56" i="17"/>
  <c r="V56" i="17"/>
  <c r="Q56" i="17"/>
  <c r="J56" i="17"/>
  <c r="B56" i="17"/>
  <c r="U54" i="17"/>
  <c r="B54" i="17"/>
  <c r="AG52" i="17"/>
  <c r="B52" i="17"/>
  <c r="AH50" i="17"/>
  <c r="AD50" i="17"/>
  <c r="AA50" i="17"/>
  <c r="V50" i="17"/>
  <c r="Q50" i="17"/>
  <c r="J50" i="17"/>
  <c r="B50" i="17"/>
  <c r="U48" i="17"/>
  <c r="B48" i="17"/>
  <c r="AG46" i="17"/>
  <c r="B46" i="17"/>
  <c r="AH44" i="17"/>
  <c r="AD44" i="17"/>
  <c r="AA44" i="17"/>
  <c r="V44" i="17"/>
  <c r="Q44" i="17"/>
  <c r="J44" i="17"/>
  <c r="B44" i="17"/>
  <c r="U42" i="17"/>
  <c r="B42" i="17"/>
  <c r="AG40" i="17"/>
  <c r="B40" i="17"/>
  <c r="B36" i="17"/>
  <c r="B34" i="17"/>
  <c r="B33" i="17"/>
  <c r="B32" i="17"/>
  <c r="AH28" i="17"/>
  <c r="AD28" i="17"/>
  <c r="AA28" i="17"/>
  <c r="V28" i="17"/>
  <c r="Q28" i="17"/>
  <c r="J28" i="17"/>
  <c r="B28" i="17"/>
  <c r="X26" i="17"/>
  <c r="B26" i="17"/>
  <c r="AG24" i="17"/>
  <c r="AH22" i="17"/>
  <c r="AD22" i="17"/>
  <c r="AA22" i="17"/>
  <c r="V22" i="17"/>
  <c r="Q22" i="17"/>
  <c r="J22" i="17"/>
  <c r="B22" i="17"/>
  <c r="X20" i="17"/>
  <c r="B20" i="17"/>
  <c r="AG18" i="17"/>
  <c r="AH14" i="17"/>
  <c r="AA14" i="17"/>
  <c r="T14" i="17"/>
  <c r="M14" i="17"/>
  <c r="B14" i="17"/>
  <c r="V10" i="17"/>
  <c r="G10" i="17"/>
  <c r="B79" i="16"/>
  <c r="B77" i="16"/>
  <c r="M71" i="16"/>
  <c r="G71" i="16"/>
  <c r="B64" i="16"/>
  <c r="B62" i="16"/>
  <c r="B60" i="16"/>
  <c r="B59" i="16"/>
  <c r="AH56" i="16"/>
  <c r="AD56" i="16"/>
  <c r="AA56" i="16"/>
  <c r="V56" i="16"/>
  <c r="Q56" i="16"/>
  <c r="J56" i="16"/>
  <c r="B56" i="16"/>
  <c r="U54" i="16"/>
  <c r="B54" i="16"/>
  <c r="AG52" i="16"/>
  <c r="B52" i="16"/>
  <c r="AH50" i="16"/>
  <c r="AD50" i="16"/>
  <c r="AA50" i="16"/>
  <c r="V50" i="16"/>
  <c r="Q50" i="16"/>
  <c r="J50" i="16"/>
  <c r="B50" i="16"/>
  <c r="U48" i="16"/>
  <c r="B48" i="16"/>
  <c r="AG46" i="16"/>
  <c r="B46" i="16"/>
  <c r="AH44" i="16"/>
  <c r="AD44" i="16"/>
  <c r="AA44" i="16"/>
  <c r="V44" i="16"/>
  <c r="Q44" i="16"/>
  <c r="J44" i="16"/>
  <c r="B44" i="16"/>
  <c r="U42" i="16"/>
  <c r="B42" i="16"/>
  <c r="AG40" i="16"/>
  <c r="B40" i="16"/>
  <c r="B36" i="16"/>
  <c r="B34" i="16"/>
  <c r="B33" i="16"/>
  <c r="B35" i="16" s="1"/>
  <c r="B32" i="16"/>
  <c r="AH28" i="16"/>
  <c r="AD28" i="16"/>
  <c r="AA28" i="16"/>
  <c r="V28" i="16"/>
  <c r="Q28" i="16"/>
  <c r="J28" i="16"/>
  <c r="B28" i="16"/>
  <c r="X26" i="16"/>
  <c r="B26" i="16"/>
  <c r="AG24" i="16"/>
  <c r="B24" i="16"/>
  <c r="AH22" i="16"/>
  <c r="AD22" i="16"/>
  <c r="AA22" i="16"/>
  <c r="V22" i="16"/>
  <c r="Q22" i="16"/>
  <c r="J22" i="16"/>
  <c r="B22" i="16"/>
  <c r="X20" i="16"/>
  <c r="B20" i="16"/>
  <c r="AG18" i="16"/>
  <c r="B18" i="16"/>
  <c r="AH14" i="16"/>
  <c r="AA14" i="16"/>
  <c r="T14" i="16"/>
  <c r="M14" i="16"/>
  <c r="B14" i="16"/>
  <c r="V10" i="16"/>
  <c r="G10" i="16"/>
  <c r="B63" i="16" l="1"/>
  <c r="B61" i="16"/>
  <c r="B35" i="17"/>
  <c r="B61" i="17"/>
  <c r="B63" i="17" s="1"/>
  <c r="P321" i="15"/>
  <c r="P320" i="15"/>
  <c r="P319" i="15"/>
  <c r="P318" i="15"/>
  <c r="P315" i="15"/>
  <c r="P314" i="15"/>
  <c r="P313" i="15"/>
  <c r="P312" i="15"/>
  <c r="Q73" i="15" l="1"/>
  <c r="I73" i="15"/>
  <c r="B66" i="15"/>
  <c r="B64" i="15"/>
  <c r="B62" i="15" l="1"/>
  <c r="B61" i="15"/>
  <c r="B63" i="15" s="1"/>
  <c r="B65" i="15" s="1"/>
  <c r="AH58" i="15"/>
  <c r="AD58" i="15"/>
  <c r="AA58" i="15"/>
  <c r="V58" i="15"/>
  <c r="Q58" i="15"/>
  <c r="J58" i="15"/>
  <c r="B58" i="15"/>
  <c r="U56" i="15"/>
  <c r="B56" i="15"/>
  <c r="AG54" i="15"/>
  <c r="L282" i="15"/>
  <c r="AH52" i="15"/>
  <c r="AD52" i="15"/>
  <c r="AA52" i="15"/>
  <c r="V52" i="15"/>
  <c r="Q52" i="15"/>
  <c r="J52" i="15"/>
  <c r="B52" i="15"/>
  <c r="U50" i="15"/>
  <c r="B50" i="15"/>
  <c r="AG48" i="15"/>
  <c r="AH46" i="15" l="1"/>
  <c r="AD46" i="15"/>
  <c r="AA46" i="15"/>
  <c r="V46" i="15"/>
  <c r="Q46" i="15"/>
  <c r="J46" i="15"/>
  <c r="B46" i="15"/>
  <c r="U44" i="15"/>
  <c r="B44" i="15"/>
  <c r="AG42" i="15"/>
  <c r="B36" i="15"/>
  <c r="B34" i="15"/>
  <c r="B33" i="15"/>
  <c r="B32" i="15"/>
  <c r="AH28" i="15"/>
  <c r="AD28" i="15"/>
  <c r="AA28" i="15"/>
  <c r="V28" i="15"/>
  <c r="Q28" i="15"/>
  <c r="J28" i="15"/>
  <c r="B28" i="15"/>
  <c r="X26" i="15"/>
  <c r="B26" i="15"/>
  <c r="AG24" i="15"/>
  <c r="AH22" i="15"/>
  <c r="AD22" i="15"/>
  <c r="AA22" i="15"/>
  <c r="V22" i="15"/>
  <c r="Q22" i="15"/>
  <c r="J22" i="15"/>
  <c r="B22" i="15"/>
  <c r="X20" i="15"/>
  <c r="B20" i="15"/>
  <c r="AG18" i="15"/>
  <c r="AH14" i="15"/>
  <c r="AA14" i="15"/>
  <c r="T14" i="15"/>
  <c r="M14" i="15"/>
  <c r="B14" i="15"/>
  <c r="V10" i="15"/>
  <c r="G10" i="15"/>
  <c r="B35" i="15" l="1"/>
  <c r="M16" i="10"/>
  <c r="I16" i="10"/>
  <c r="E16" i="10"/>
  <c r="A16" i="10"/>
  <c r="M15" i="10"/>
  <c r="I15" i="10"/>
  <c r="E15" i="10"/>
  <c r="A15" i="10"/>
  <c r="O6" i="10" l="1"/>
  <c r="K6" i="10"/>
  <c r="H6" i="10"/>
  <c r="G6" i="10"/>
  <c r="D6" i="10"/>
  <c r="C6" i="10"/>
  <c r="H5" i="10"/>
  <c r="G5" i="10"/>
  <c r="D5" i="10"/>
  <c r="C5" i="10"/>
  <c r="H4" i="10"/>
  <c r="D4" i="10"/>
  <c r="J3" i="10"/>
  <c r="H3" i="10"/>
  <c r="D3" i="10"/>
  <c r="B3" i="10"/>
  <c r="B47" i="9"/>
  <c r="B45" i="9"/>
  <c r="B44" i="9"/>
  <c r="D40" i="9"/>
  <c r="D39" i="9"/>
  <c r="B37" i="9" l="1"/>
  <c r="B33" i="9"/>
  <c r="B30" i="9"/>
  <c r="O5" i="10" s="1"/>
  <c r="K5" i="10" s="1"/>
  <c r="B22" i="9"/>
  <c r="E10" i="9"/>
  <c r="E9" i="9"/>
  <c r="E8" i="9"/>
  <c r="E6" i="9" s="1"/>
  <c r="E12" i="9" s="1"/>
  <c r="E7" i="9"/>
  <c r="D6" i="9"/>
  <c r="B19" i="9" s="1"/>
  <c r="C6" i="9"/>
  <c r="G6" i="9" l="1"/>
  <c r="B14" i="9"/>
  <c r="B18" i="9"/>
  <c r="B13" i="9"/>
  <c r="B17" i="9"/>
  <c r="B16" i="9"/>
  <c r="B21" i="9"/>
  <c r="B20" i="9" s="1"/>
  <c r="B12" i="9"/>
  <c r="B15" i="9"/>
  <c r="K115" i="24"/>
  <c r="K114" i="24"/>
  <c r="K113" i="24"/>
  <c r="K112" i="24"/>
  <c r="K111" i="24"/>
  <c r="C111" i="24"/>
  <c r="K110" i="24"/>
  <c r="C110" i="24"/>
  <c r="K109" i="24"/>
  <c r="C109" i="24"/>
  <c r="K108" i="24"/>
  <c r="K107" i="24"/>
  <c r="D107" i="24" l="1"/>
  <c r="K106" i="24"/>
  <c r="D106" i="24"/>
  <c r="K105" i="24"/>
  <c r="D105" i="24" s="1"/>
  <c r="K104" i="24"/>
  <c r="D104" i="24"/>
  <c r="K103" i="24"/>
  <c r="K102" i="24"/>
  <c r="K101" i="24"/>
  <c r="K100" i="24"/>
  <c r="K99" i="24"/>
  <c r="K98" i="24"/>
  <c r="K97" i="24"/>
  <c r="K96" i="24"/>
  <c r="K95" i="24"/>
  <c r="K94" i="24"/>
  <c r="K93" i="24"/>
  <c r="K92" i="24"/>
  <c r="K91" i="24"/>
  <c r="K90" i="24"/>
  <c r="K89" i="24"/>
  <c r="K88" i="24"/>
  <c r="K87" i="24"/>
  <c r="K86" i="24"/>
  <c r="K85" i="24"/>
  <c r="K84" i="24"/>
  <c r="K83" i="24"/>
  <c r="K82" i="24"/>
  <c r="K81" i="24"/>
  <c r="K80" i="24"/>
  <c r="K79" i="24"/>
  <c r="K78" i="24"/>
  <c r="K77" i="24"/>
  <c r="K76" i="24"/>
  <c r="K75" i="24"/>
  <c r="K74" i="24"/>
  <c r="K73" i="24"/>
  <c r="K72" i="24"/>
  <c r="K71" i="24"/>
  <c r="K70" i="24"/>
  <c r="K69" i="24"/>
  <c r="K68" i="24"/>
  <c r="K67" i="24"/>
  <c r="K66" i="24"/>
  <c r="K65" i="24"/>
  <c r="K64" i="24"/>
  <c r="K63" i="24"/>
  <c r="K62" i="24"/>
  <c r="K61" i="24"/>
  <c r="K60" i="24"/>
  <c r="K59" i="24"/>
  <c r="K58" i="24"/>
  <c r="K57" i="24"/>
  <c r="K56" i="24"/>
  <c r="K55" i="24"/>
  <c r="K54" i="24"/>
  <c r="K53" i="24"/>
  <c r="K51" i="24"/>
  <c r="K50" i="24"/>
  <c r="K49" i="24"/>
  <c r="K48" i="24"/>
  <c r="K47" i="24"/>
  <c r="K46" i="24"/>
  <c r="K45" i="24"/>
  <c r="K44" i="24"/>
  <c r="K43" i="24"/>
  <c r="K42" i="24"/>
  <c r="K41" i="24"/>
  <c r="K40" i="24"/>
  <c r="K39" i="24"/>
  <c r="K38" i="24"/>
  <c r="K37" i="24"/>
  <c r="K36" i="24"/>
  <c r="K35" i="24"/>
  <c r="K34" i="24"/>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D7" i="24"/>
  <c r="B76" i="18" l="1"/>
  <c r="Q73" i="17"/>
  <c r="Q75" i="15"/>
  <c r="Q75" i="22"/>
  <c r="Y75" i="22"/>
  <c r="Y76" i="18"/>
  <c r="Y73" i="17"/>
  <c r="B43" i="9"/>
  <c r="B71" i="23"/>
  <c r="B71" i="20"/>
  <c r="B73" i="22"/>
  <c r="B71" i="21"/>
  <c r="B73" i="18"/>
  <c r="B71" i="19"/>
  <c r="B71" i="17"/>
  <c r="B71" i="16"/>
  <c r="B73" i="15"/>
  <c r="B10" i="20"/>
  <c r="B10" i="22"/>
  <c r="B10" i="21"/>
  <c r="B10" i="23"/>
  <c r="L276" i="22" s="1"/>
  <c r="B10" i="19"/>
  <c r="B10" i="18"/>
  <c r="B10" i="17"/>
  <c r="L240" i="16" s="1"/>
  <c r="L236" i="16" s="1"/>
  <c r="L229" i="16" s="1"/>
  <c r="L226" i="16" s="1"/>
  <c r="B10" i="16"/>
  <c r="B10" i="15"/>
  <c r="K6" i="24"/>
  <c r="D6" i="24"/>
  <c r="B20" i="25"/>
  <c r="B19" i="25"/>
  <c r="B18" i="25"/>
  <c r="B17" i="25"/>
  <c r="D103" i="24" s="1"/>
  <c r="O258" i="1"/>
  <c r="AE258" i="1" s="1"/>
  <c r="K76" i="15" l="1"/>
  <c r="Y75" i="15" s="1"/>
  <c r="S74" i="18"/>
  <c r="K74" i="17"/>
  <c r="AE257" i="1"/>
  <c r="U257" i="1" l="1"/>
  <c r="AE256" i="1" l="1"/>
  <c r="U256" i="1"/>
  <c r="AE255" i="1" l="1"/>
  <c r="U255" i="1"/>
  <c r="AE254" i="1"/>
  <c r="U254" i="1" l="1"/>
  <c r="AE253" i="1" l="1"/>
  <c r="U253" i="1"/>
  <c r="AE252" i="1" l="1"/>
  <c r="U252" i="1"/>
  <c r="AE251" i="1"/>
  <c r="U251" i="1" l="1"/>
  <c r="AE250" i="1" l="1"/>
  <c r="U250" i="1" l="1"/>
  <c r="AE249" i="1" l="1"/>
  <c r="U249" i="1"/>
  <c r="AE248" i="1"/>
  <c r="U248" i="1" l="1"/>
  <c r="AE247" i="1" l="1"/>
  <c r="U247" i="1"/>
  <c r="AE246" i="1"/>
  <c r="U246" i="1"/>
  <c r="AE245" i="1" l="1"/>
  <c r="U245" i="1"/>
  <c r="AE244" i="1" l="1"/>
  <c r="U244" i="1"/>
  <c r="AE243" i="1" l="1"/>
  <c r="U243" i="1"/>
  <c r="AE242" i="1" l="1"/>
  <c r="U242" i="1" l="1"/>
  <c r="AE241" i="1" l="1"/>
  <c r="U241" i="1" l="1"/>
  <c r="AE240" i="1" l="1"/>
  <c r="U240" i="1" l="1"/>
  <c r="AE239" i="1"/>
  <c r="U239" i="1"/>
  <c r="AE238" i="1" l="1"/>
  <c r="U238" i="1" l="1"/>
  <c r="AE237" i="1" l="1"/>
  <c r="U237" i="1" l="1"/>
  <c r="AE236" i="1" l="1"/>
  <c r="U236" i="1" l="1"/>
  <c r="AE235" i="1"/>
  <c r="U235" i="1" l="1"/>
  <c r="AE234" i="1"/>
  <c r="U234" i="1"/>
  <c r="AE233" i="1" l="1"/>
  <c r="U233" i="1"/>
  <c r="AE232" i="1" l="1"/>
  <c r="U232" i="1" l="1"/>
  <c r="AE231" i="1" l="1"/>
  <c r="U231" i="1" l="1"/>
  <c r="AE230" i="1"/>
  <c r="U230" i="1"/>
  <c r="AE229" i="1" l="1"/>
  <c r="U229" i="1" l="1"/>
  <c r="AE228" i="1" l="1"/>
  <c r="U228" i="1"/>
  <c r="AE227" i="1" l="1"/>
  <c r="U227" i="1"/>
  <c r="AE226" i="1" l="1"/>
  <c r="U226" i="1"/>
  <c r="AE225" i="1"/>
  <c r="U225" i="1"/>
  <c r="AE224" i="1" l="1"/>
  <c r="U224" i="1" l="1"/>
  <c r="AE223" i="1" l="1"/>
  <c r="U223" i="1" l="1"/>
  <c r="AE222" i="1" l="1"/>
  <c r="U222" i="1" l="1"/>
  <c r="AE221" i="1" l="1"/>
  <c r="U221" i="1"/>
  <c r="AE220" i="1" l="1"/>
  <c r="U220" i="1"/>
  <c r="AE219" i="1" l="1"/>
  <c r="U219" i="1" l="1"/>
  <c r="AE218" i="1" l="1"/>
  <c r="U218" i="1" l="1"/>
  <c r="AE217" i="1" l="1"/>
  <c r="U217" i="1" l="1"/>
  <c r="AE216" i="1" l="1"/>
  <c r="U216" i="1"/>
  <c r="AE215" i="1" l="1"/>
  <c r="U215" i="1"/>
  <c r="AE214" i="1"/>
  <c r="U214" i="1"/>
  <c r="AE213" i="1" l="1"/>
  <c r="U213" i="1"/>
  <c r="AE212" i="1" l="1"/>
  <c r="U212" i="1" l="1"/>
  <c r="AE211" i="1"/>
  <c r="U211" i="1"/>
  <c r="AE210" i="1"/>
  <c r="U210" i="1"/>
  <c r="AE209" i="1"/>
  <c r="U209" i="1" l="1"/>
  <c r="AE208" i="1" l="1"/>
  <c r="U208" i="1"/>
  <c r="AE207" i="1"/>
  <c r="U207" i="1" l="1"/>
  <c r="AE206" i="1" l="1"/>
  <c r="U206" i="1"/>
  <c r="AE205" i="1"/>
  <c r="U205" i="1" l="1"/>
  <c r="AE204" i="1"/>
  <c r="U204" i="1" l="1"/>
  <c r="AE203" i="1" l="1"/>
  <c r="U203" i="1"/>
  <c r="AE202" i="1"/>
  <c r="U202" i="1"/>
  <c r="AE201" i="1"/>
  <c r="U201" i="1" l="1"/>
  <c r="AE200" i="1" l="1"/>
  <c r="U200" i="1"/>
  <c r="AE199" i="1"/>
  <c r="U199" i="1"/>
  <c r="AE198" i="1" l="1"/>
  <c r="U198" i="1"/>
  <c r="AE197" i="1" l="1"/>
  <c r="U197" i="1" l="1"/>
  <c r="AE196" i="1" l="1"/>
  <c r="U196" i="1"/>
  <c r="AE195" i="1" l="1"/>
  <c r="U195" i="1" l="1"/>
  <c r="AE194" i="1"/>
  <c r="U194" i="1"/>
  <c r="AE193" i="1"/>
  <c r="U193" i="1"/>
  <c r="AE192" i="1" l="1"/>
  <c r="U192" i="1"/>
  <c r="AE191" i="1"/>
  <c r="U191" i="1"/>
  <c r="AE190" i="1" l="1"/>
  <c r="U190" i="1"/>
  <c r="AE189" i="1" l="1"/>
  <c r="U189" i="1"/>
  <c r="AE188" i="1"/>
  <c r="U188" i="1"/>
  <c r="AE187" i="1" l="1"/>
  <c r="U187" i="1"/>
  <c r="AE186" i="1"/>
  <c r="U186" i="1" l="1"/>
  <c r="AE185" i="1" l="1"/>
  <c r="U185" i="1" l="1"/>
  <c r="AE184" i="1" l="1"/>
  <c r="U184" i="1"/>
  <c r="AE183" i="1" l="1"/>
  <c r="U183" i="1"/>
  <c r="AE182" i="1"/>
  <c r="U182" i="1"/>
  <c r="AE181" i="1"/>
  <c r="U181" i="1"/>
  <c r="AE180" i="1"/>
  <c r="U180" i="1" l="1"/>
  <c r="AE179" i="1"/>
  <c r="U179" i="1"/>
  <c r="AE178" i="1"/>
  <c r="U178" i="1"/>
  <c r="AE177" i="1" l="1"/>
  <c r="U177" i="1"/>
  <c r="AE176" i="1"/>
  <c r="U176" i="1" l="1"/>
  <c r="AE175" i="1" l="1"/>
  <c r="U175" i="1"/>
  <c r="AE174" i="1" l="1"/>
  <c r="U174" i="1" l="1"/>
  <c r="AE173" i="1" l="1"/>
  <c r="U173" i="1"/>
  <c r="AE172" i="1" l="1"/>
  <c r="U172" i="1"/>
  <c r="AE171" i="1" l="1"/>
  <c r="U171" i="1"/>
  <c r="AE170" i="1"/>
  <c r="U170" i="1" l="1"/>
  <c r="AE169" i="1"/>
  <c r="U169" i="1"/>
  <c r="AE168" i="1" l="1"/>
  <c r="U168" i="1" l="1"/>
  <c r="AE167" i="1"/>
  <c r="U167" i="1"/>
  <c r="AE166" i="1" l="1"/>
  <c r="U166" i="1" l="1"/>
  <c r="AE165" i="1" l="1"/>
  <c r="U165" i="1"/>
  <c r="AE164" i="1" l="1"/>
  <c r="U164" i="1"/>
  <c r="AE163" i="1" l="1"/>
  <c r="U163" i="1"/>
  <c r="AE162" i="1" l="1"/>
  <c r="U162" i="1"/>
  <c r="AE161" i="1"/>
  <c r="U161" i="1"/>
  <c r="AE160" i="1" l="1"/>
  <c r="U160" i="1"/>
  <c r="AE159" i="1" l="1"/>
  <c r="U159" i="1"/>
  <c r="AE158" i="1" l="1"/>
  <c r="U158" i="1"/>
  <c r="AE157" i="1"/>
  <c r="U157" i="1"/>
  <c r="AE156" i="1" l="1"/>
  <c r="U156" i="1"/>
  <c r="AE155" i="1" l="1"/>
  <c r="U155" i="1" l="1"/>
  <c r="AE154" i="1" l="1"/>
  <c r="U154" i="1" l="1"/>
  <c r="AE153" i="1" l="1"/>
  <c r="U153" i="1" l="1"/>
  <c r="AE152" i="1"/>
  <c r="U152" i="1"/>
  <c r="AE151" i="1" l="1"/>
  <c r="U151" i="1"/>
  <c r="AE150" i="1" l="1"/>
  <c r="U150" i="1" l="1"/>
  <c r="AE149" i="1" l="1"/>
  <c r="U149" i="1" l="1"/>
  <c r="AE148" i="1"/>
  <c r="U148" i="1"/>
  <c r="AE147" i="1"/>
  <c r="U147" i="1"/>
  <c r="AE146" i="1"/>
  <c r="U146" i="1"/>
  <c r="AE145" i="1" l="1"/>
  <c r="U145" i="1"/>
  <c r="AE144" i="1"/>
  <c r="U144" i="1"/>
  <c r="AE143" i="1" l="1"/>
  <c r="U143" i="1"/>
  <c r="AE142" i="1" l="1"/>
  <c r="U142" i="1"/>
  <c r="AE141" i="1" l="1"/>
  <c r="U141" i="1" l="1"/>
  <c r="AE140" i="1" l="1"/>
  <c r="U140" i="1"/>
  <c r="AE139" i="1" l="1"/>
  <c r="U139" i="1"/>
  <c r="AE138" i="1"/>
  <c r="U138" i="1"/>
  <c r="AE137" i="1" l="1"/>
  <c r="U137" i="1" l="1"/>
  <c r="AE136" i="1" l="1"/>
  <c r="U136" i="1"/>
  <c r="AE135" i="1"/>
  <c r="U135" i="1"/>
  <c r="AE134" i="1" l="1"/>
  <c r="U134" i="1" l="1"/>
  <c r="AE133" i="1"/>
  <c r="U133" i="1"/>
  <c r="AE132" i="1" l="1"/>
  <c r="U132" i="1"/>
  <c r="AE131" i="1"/>
  <c r="U131" i="1"/>
  <c r="AE130" i="1" l="1"/>
  <c r="U130" i="1"/>
  <c r="AE129" i="1" l="1"/>
  <c r="U129" i="1"/>
  <c r="AE128" i="1" l="1"/>
  <c r="U128" i="1" l="1"/>
  <c r="AE127" i="1" l="1"/>
  <c r="U127" i="1" l="1"/>
  <c r="AE126" i="1"/>
  <c r="U126" i="1"/>
  <c r="AE125" i="1"/>
  <c r="U125" i="1"/>
  <c r="AE124" i="1" l="1"/>
  <c r="U124" i="1"/>
  <c r="AE123" i="1" l="1"/>
  <c r="U123" i="1"/>
  <c r="AE122" i="1"/>
  <c r="U122" i="1"/>
  <c r="AE121" i="1"/>
  <c r="U121" i="1"/>
  <c r="AE120" i="1" l="1"/>
  <c r="U120" i="1" l="1"/>
  <c r="AE119" i="1" l="1"/>
  <c r="U119" i="1"/>
  <c r="AE118" i="1" l="1"/>
  <c r="U118" i="1" l="1"/>
  <c r="AE117" i="1" l="1"/>
  <c r="U117" i="1"/>
  <c r="AE116" i="1" l="1"/>
  <c r="U116" i="1" l="1"/>
  <c r="AE115" i="1" l="1"/>
  <c r="U115" i="1"/>
  <c r="AE114" i="1" l="1"/>
  <c r="U114" i="1" l="1"/>
  <c r="AE113" i="1"/>
  <c r="U113" i="1" l="1"/>
  <c r="AE112" i="1"/>
  <c r="U112" i="1"/>
  <c r="AE111" i="1" l="1"/>
  <c r="U111" i="1"/>
  <c r="AE110" i="1" l="1"/>
  <c r="U110" i="1"/>
  <c r="AE109" i="1"/>
  <c r="U109" i="1"/>
  <c r="AE108" i="1" l="1"/>
  <c r="U108" i="1"/>
  <c r="AE107" i="1" l="1"/>
  <c r="U107" i="1"/>
  <c r="AE106" i="1" l="1"/>
  <c r="U106" i="1"/>
  <c r="AE105" i="1"/>
  <c r="U105" i="1"/>
  <c r="AE104" i="1" l="1"/>
  <c r="U104" i="1"/>
  <c r="AE103" i="1"/>
  <c r="U103" i="1" l="1"/>
  <c r="AE102" i="1" l="1"/>
  <c r="U102" i="1" l="1"/>
  <c r="AE101" i="1" l="1"/>
  <c r="U101" i="1" l="1"/>
  <c r="AE100" i="1" l="1"/>
  <c r="U100" i="1" l="1"/>
  <c r="AE99" i="1"/>
  <c r="U99" i="1"/>
  <c r="AE98" i="1" l="1"/>
  <c r="U98" i="1" l="1"/>
  <c r="AE97" i="1"/>
  <c r="U97" i="1"/>
  <c r="AE96" i="1" l="1"/>
  <c r="U96" i="1" l="1"/>
  <c r="AE95" i="1" l="1"/>
  <c r="U95" i="1" l="1"/>
  <c r="AE94" i="1" l="1"/>
  <c r="U94" i="1"/>
  <c r="AE93" i="1" l="1"/>
  <c r="U93" i="1" l="1"/>
  <c r="AE92" i="1"/>
  <c r="U92" i="1"/>
  <c r="AE91" i="1" l="1"/>
  <c r="U91" i="1"/>
  <c r="AE90" i="1"/>
  <c r="U90" i="1" l="1"/>
  <c r="AE89" i="1" l="1"/>
  <c r="U89" i="1" l="1"/>
  <c r="AE88" i="1" l="1"/>
  <c r="U88" i="1" l="1"/>
  <c r="AE87" i="1" l="1"/>
  <c r="U87" i="1" l="1"/>
  <c r="AE86" i="1" l="1"/>
  <c r="U86" i="1"/>
  <c r="AE85" i="1"/>
  <c r="U85" i="1"/>
  <c r="AE84" i="1" l="1"/>
  <c r="U84" i="1"/>
  <c r="AE83" i="1"/>
  <c r="U83" i="1"/>
  <c r="AE82" i="1" l="1"/>
  <c r="U82" i="1"/>
  <c r="AE81" i="1" l="1"/>
  <c r="U81" i="1"/>
  <c r="AE80" i="1" l="1"/>
  <c r="U80" i="1"/>
  <c r="AE79" i="1" l="1"/>
  <c r="U79" i="1" l="1"/>
  <c r="AE78" i="1"/>
  <c r="U78" i="1"/>
  <c r="AE77" i="1"/>
  <c r="U77" i="1" l="1"/>
  <c r="AE76" i="1"/>
  <c r="U76" i="1"/>
  <c r="AE75" i="1"/>
  <c r="U75" i="1" l="1"/>
  <c r="AE74" i="1" l="1"/>
  <c r="U74" i="1" l="1"/>
  <c r="AE73" i="1" l="1"/>
  <c r="U73" i="1"/>
  <c r="AE72" i="1" l="1"/>
  <c r="U72" i="1"/>
  <c r="AE71" i="1" l="1"/>
  <c r="U71" i="1" l="1"/>
  <c r="AE70" i="1" l="1"/>
  <c r="U70" i="1"/>
  <c r="AE69" i="1"/>
  <c r="U69" i="1" l="1"/>
  <c r="AE68" i="1"/>
  <c r="U68" i="1"/>
  <c r="AE67" i="1"/>
  <c r="U67" i="1" l="1"/>
  <c r="AE66" i="1"/>
  <c r="U66" i="1" l="1"/>
  <c r="AE65" i="1"/>
  <c r="U65" i="1" l="1"/>
  <c r="AE64" i="1"/>
  <c r="U64" i="1"/>
  <c r="AE63" i="1"/>
  <c r="U63" i="1"/>
  <c r="AE62" i="1"/>
  <c r="U62" i="1"/>
  <c r="AE61" i="1" l="1"/>
  <c r="U61" i="1" l="1"/>
  <c r="AE60" i="1"/>
  <c r="U60" i="1" l="1"/>
  <c r="AE59" i="1"/>
  <c r="U59" i="1"/>
  <c r="AE58" i="1" l="1"/>
  <c r="U58" i="1"/>
  <c r="AE57" i="1" l="1"/>
  <c r="U57" i="1"/>
  <c r="AE56" i="1"/>
  <c r="U56" i="1" l="1"/>
  <c r="AE55" i="1" l="1"/>
  <c r="U55" i="1"/>
  <c r="AE54" i="1"/>
  <c r="U54" i="1"/>
  <c r="AE53" i="1"/>
  <c r="U53" i="1"/>
  <c r="AE52" i="1" l="1"/>
  <c r="U52" i="1"/>
  <c r="AE51" i="1"/>
  <c r="U51" i="1"/>
  <c r="AE50" i="1"/>
  <c r="U50" i="1"/>
  <c r="AE49" i="1" l="1"/>
  <c r="U49" i="1"/>
  <c r="AE48" i="1" l="1"/>
  <c r="U48" i="1" l="1"/>
  <c r="AE47" i="1" l="1"/>
  <c r="U47" i="1" l="1"/>
  <c r="AE46" i="1" l="1"/>
  <c r="U46" i="1" l="1"/>
  <c r="AE45" i="1"/>
  <c r="U45" i="1"/>
  <c r="AE44" i="1" l="1"/>
  <c r="U44" i="1" l="1"/>
  <c r="AE43" i="1"/>
  <c r="U43" i="1"/>
  <c r="AE42" i="1"/>
  <c r="U42" i="1" l="1"/>
  <c r="AE41" i="1"/>
  <c r="U41" i="1" l="1"/>
  <c r="AE40" i="1" l="1"/>
  <c r="U40" i="1"/>
  <c r="AE39" i="1" l="1"/>
  <c r="U39" i="1" l="1"/>
  <c r="AE38" i="1" l="1"/>
  <c r="U38" i="1"/>
  <c r="AE37" i="1"/>
  <c r="U37" i="1" l="1"/>
  <c r="AE36" i="1"/>
  <c r="U36" i="1"/>
  <c r="AE35" i="1" l="1"/>
  <c r="U35" i="1"/>
  <c r="AE34" i="1"/>
  <c r="U34" i="1"/>
  <c r="AE33" i="1" l="1"/>
  <c r="U33" i="1" l="1"/>
  <c r="AE32" i="1"/>
  <c r="U32" i="1" l="1"/>
  <c r="AE31" i="1"/>
  <c r="U31" i="1" l="1"/>
  <c r="AE30" i="1"/>
  <c r="U30" i="1"/>
  <c r="AE29" i="1" l="1"/>
  <c r="U29" i="1"/>
  <c r="AE28" i="1"/>
  <c r="U28" i="1" l="1"/>
  <c r="AE27" i="1"/>
  <c r="U27" i="1"/>
  <c r="AE26" i="1" l="1"/>
  <c r="U26" i="1"/>
  <c r="AE25" i="1" l="1"/>
  <c r="U25" i="1" l="1"/>
  <c r="AE24" i="1" l="1"/>
  <c r="U24" i="1"/>
  <c r="AE23" i="1" l="1"/>
  <c r="U23" i="1"/>
  <c r="AE22" i="1" l="1"/>
  <c r="U22" i="1"/>
  <c r="AE21" i="1"/>
  <c r="U21" i="1"/>
  <c r="AE20" i="1" l="1"/>
  <c r="U20" i="1"/>
  <c r="AE19" i="1"/>
  <c r="U19" i="1"/>
  <c r="AE18" i="1" l="1"/>
  <c r="Z18" i="1"/>
  <c r="U18" i="1"/>
  <c r="U258" i="1" s="1"/>
  <c r="N12" i="1"/>
  <c r="G12" i="1"/>
  <c r="L11" i="1"/>
  <c r="E11" i="1"/>
  <c r="D10" i="1"/>
  <c r="C10" i="1"/>
  <c r="J9" i="1"/>
  <c r="D9" i="1"/>
  <c r="C9" i="1"/>
  <c r="L8" i="1"/>
  <c r="D8" i="1"/>
  <c r="C8" i="1"/>
  <c r="K7" i="1"/>
  <c r="C7" i="1"/>
  <c r="L6" i="1"/>
  <c r="K6" i="1"/>
  <c r="C6" i="1"/>
  <c r="K5" i="1"/>
  <c r="C5" i="1"/>
  <c r="L4" i="1"/>
  <c r="D2" i="1"/>
  <c r="G15" i="11"/>
  <c r="B15" i="11"/>
  <c r="E12" i="11" s="1"/>
  <c r="G9" i="11"/>
  <c r="A2" i="1" l="1"/>
  <c r="J7" i="1"/>
  <c r="I7" i="11" l="1"/>
  <c r="C4" i="1" s="1"/>
  <c r="K4" i="10"/>
  <c r="C4" i="10"/>
  <c r="O4" i="10"/>
  <c r="C3" i="10"/>
  <c r="G4" i="10"/>
  <c r="K3" i="10"/>
  <c r="O3" i="10"/>
  <c r="G3" i="10"/>
  <c r="F3" i="10" s="1"/>
  <c r="B18" i="1"/>
  <c r="K8" i="1"/>
  <c r="I18" i="1"/>
  <c r="W17" i="1"/>
  <c r="K4" i="1"/>
  <c r="V18" i="1"/>
  <c r="AG17" i="1"/>
  <c r="AM18" i="1" l="1"/>
  <c r="Y18" i="1"/>
  <c r="C18" i="1"/>
  <c r="N3" i="10"/>
  <c r="O7" i="10"/>
  <c r="K7" i="10" s="1"/>
  <c r="G7" i="10" s="1"/>
  <c r="C7" i="10" s="1"/>
  <c r="K18" i="1"/>
  <c r="L18" i="1" s="1"/>
  <c r="AB18" i="1"/>
  <c r="AC18" i="1" s="1"/>
  <c r="J18" i="1"/>
  <c r="H18" i="1"/>
  <c r="D18" i="1"/>
  <c r="G18" i="1" l="1"/>
  <c r="E18" i="1"/>
  <c r="F18" i="1" s="1"/>
  <c r="AD18" i="1"/>
  <c r="AO18" i="1"/>
  <c r="W18" i="1" l="1"/>
  <c r="X18" i="1" s="1"/>
  <c r="A19" i="1"/>
  <c r="AM19" i="1" s="1"/>
  <c r="V19" i="1" s="1"/>
  <c r="W19" i="1" s="1"/>
  <c r="X19" i="1" s="1"/>
  <c r="K9" i="1"/>
  <c r="L9" i="1" s="1"/>
  <c r="R18" i="1"/>
  <c r="S18" i="1" s="1"/>
  <c r="P18" i="1"/>
  <c r="AF18" i="1"/>
  <c r="AG18" i="1" s="1"/>
  <c r="AH18" i="1" s="1"/>
  <c r="N18" i="1"/>
  <c r="F15" i="10"/>
  <c r="B15" i="10"/>
  <c r="M18" i="1"/>
  <c r="N15" i="10"/>
  <c r="J15" i="10"/>
  <c r="L249" i="23"/>
  <c r="I17" i="10" l="1"/>
  <c r="M17" i="10"/>
  <c r="A17" i="10"/>
  <c r="Z19" i="1"/>
  <c r="R19" i="1"/>
  <c r="S19" i="1" s="1"/>
  <c r="T19" i="1" s="1"/>
  <c r="AA19" i="1" s="1"/>
  <c r="J17" i="10" s="1"/>
  <c r="I19" i="1"/>
  <c r="P19" i="1" s="1"/>
  <c r="E17" i="10"/>
  <c r="AF19" i="1"/>
  <c r="AG19" i="1" s="1"/>
  <c r="AH19" i="1" s="1"/>
  <c r="B19" i="1"/>
  <c r="D19" i="1" s="1"/>
  <c r="E19" i="1" s="1"/>
  <c r="AB19" i="1"/>
  <c r="AC19" i="1" s="1"/>
  <c r="AO19" i="1" s="1"/>
  <c r="A20" i="1"/>
  <c r="AI18" i="1"/>
  <c r="N16" i="10" s="1"/>
  <c r="AL18" i="1"/>
  <c r="F16" i="10" s="1"/>
  <c r="J19" i="1"/>
  <c r="N19" i="1" s="1"/>
  <c r="T18" i="1"/>
  <c r="AA18" i="1" s="1"/>
  <c r="J16" i="10" s="1"/>
  <c r="AN18" i="1"/>
  <c r="AK18" i="1"/>
  <c r="B16" i="10" s="1"/>
  <c r="Y19" i="1"/>
  <c r="AN19" i="1" l="1"/>
  <c r="C19" i="1"/>
  <c r="F19" i="1" s="1"/>
  <c r="AK19" i="1"/>
  <c r="B17" i="10" s="1"/>
  <c r="K19" i="1"/>
  <c r="L19" i="1" s="1"/>
  <c r="AB20" i="1"/>
  <c r="AC20" i="1" s="1"/>
  <c r="AD20" i="1" s="1"/>
  <c r="H19" i="1"/>
  <c r="R20" i="1"/>
  <c r="AM20" i="1"/>
  <c r="V20" i="1" s="1"/>
  <c r="W20" i="1" s="1"/>
  <c r="X20" i="1" s="1"/>
  <c r="A21" i="1"/>
  <c r="AF20" i="1"/>
  <c r="AG20" i="1" s="1"/>
  <c r="AH20" i="1" s="1"/>
  <c r="M18" i="10"/>
  <c r="I18" i="10"/>
  <c r="E18" i="10"/>
  <c r="A18" i="10"/>
  <c r="Z20" i="1"/>
  <c r="I20" i="1"/>
  <c r="J20" i="1" s="1"/>
  <c r="N20" i="1" s="1"/>
  <c r="I21" i="1" s="1"/>
  <c r="AO20" i="1"/>
  <c r="AD19" i="1"/>
  <c r="AI19" i="1" s="1"/>
  <c r="N17" i="10" s="1"/>
  <c r="AL19" i="1"/>
  <c r="F17" i="10" s="1"/>
  <c r="M19" i="1"/>
  <c r="G19" i="1" l="1"/>
  <c r="B20" i="1" s="1"/>
  <c r="C20" i="1" s="1"/>
  <c r="G20" i="1" s="1"/>
  <c r="B21" i="1" s="1"/>
  <c r="AM21" i="1"/>
  <c r="Y20" i="1"/>
  <c r="R21" i="1"/>
  <c r="S20" i="1"/>
  <c r="T20" i="1" s="1"/>
  <c r="AA20" i="1" s="1"/>
  <c r="J18" i="10" s="1"/>
  <c r="AI20" i="1"/>
  <c r="N18" i="10" s="1"/>
  <c r="AL20" i="1"/>
  <c r="F18" i="10" s="1"/>
  <c r="K20" i="1"/>
  <c r="L20" i="1" s="1"/>
  <c r="P20" i="1"/>
  <c r="A22" i="1"/>
  <c r="AF21" i="1"/>
  <c r="AG21" i="1" s="1"/>
  <c r="AH21" i="1" s="1"/>
  <c r="M19" i="10"/>
  <c r="I19" i="10"/>
  <c r="E19" i="10"/>
  <c r="Z21" i="1"/>
  <c r="A19" i="10"/>
  <c r="AB21" i="1"/>
  <c r="AC21" i="1" s="1"/>
  <c r="AD21" i="1" s="1"/>
  <c r="J21" i="1"/>
  <c r="N21" i="1" s="1"/>
  <c r="I22" i="1" s="1"/>
  <c r="K21" i="1"/>
  <c r="L21" i="1" s="1"/>
  <c r="P21" i="1"/>
  <c r="AO21" i="1"/>
  <c r="V21" i="1"/>
  <c r="W21" i="1" s="1"/>
  <c r="X21" i="1" s="1"/>
  <c r="D20" i="1"/>
  <c r="S21" i="1"/>
  <c r="H20" i="1" l="1"/>
  <c r="AN20" i="1"/>
  <c r="AK20" i="1" s="1"/>
  <c r="B18" i="10" s="1"/>
  <c r="AI21" i="1"/>
  <c r="N19" i="10" s="1"/>
  <c r="AL21" i="1"/>
  <c r="F19" i="10" s="1"/>
  <c r="A23" i="1"/>
  <c r="AF22" i="1"/>
  <c r="AG22" i="1" s="1"/>
  <c r="AH22" i="1" s="1"/>
  <c r="M20" i="10"/>
  <c r="I20" i="10"/>
  <c r="A20" i="10"/>
  <c r="E20" i="10"/>
  <c r="Z22" i="1"/>
  <c r="AB22" i="1"/>
  <c r="AC22" i="1" s="1"/>
  <c r="AO22" i="1" s="1"/>
  <c r="AM22" i="1"/>
  <c r="V22" i="1" s="1"/>
  <c r="Y22" i="1" s="1"/>
  <c r="J22" i="1"/>
  <c r="N22" i="1" s="1"/>
  <c r="I23" i="1" s="1"/>
  <c r="P22" i="1"/>
  <c r="K22" i="1"/>
  <c r="M20" i="1"/>
  <c r="M21" i="1"/>
  <c r="Y21" i="1"/>
  <c r="R22" i="1"/>
  <c r="D21" i="1"/>
  <c r="E21" i="1" s="1"/>
  <c r="H21" i="1"/>
  <c r="E20" i="1"/>
  <c r="T21" i="1"/>
  <c r="AA21" i="1" s="1"/>
  <c r="J19" i="10" s="1"/>
  <c r="AN21" i="1"/>
  <c r="AK21" i="1" s="1"/>
  <c r="B19" i="10" s="1"/>
  <c r="C21" i="1"/>
  <c r="AD22" i="1" l="1"/>
  <c r="AI22" i="1" s="1"/>
  <c r="N20" i="10" s="1"/>
  <c r="W22" i="1"/>
  <c r="X22" i="1" s="1"/>
  <c r="AL22" i="1"/>
  <c r="F20" i="10" s="1"/>
  <c r="A24" i="1"/>
  <c r="AF23" i="1"/>
  <c r="AG23" i="1" s="1"/>
  <c r="AH23" i="1" s="1"/>
  <c r="I21" i="10"/>
  <c r="A21" i="10"/>
  <c r="Z23" i="1"/>
  <c r="M21" i="10"/>
  <c r="E21" i="10"/>
  <c r="AB23" i="1"/>
  <c r="AC23" i="1" s="1"/>
  <c r="AD23" i="1" s="1"/>
  <c r="AM23" i="1"/>
  <c r="V23" i="1" s="1"/>
  <c r="Y23" i="1" s="1"/>
  <c r="R23" i="1"/>
  <c r="J23" i="1"/>
  <c r="N23" i="1" s="1"/>
  <c r="P23" i="1"/>
  <c r="K23" i="1"/>
  <c r="L23" i="1" s="1"/>
  <c r="L22" i="1"/>
  <c r="S22" i="1"/>
  <c r="F21" i="1"/>
  <c r="F20" i="1"/>
  <c r="G21" i="1"/>
  <c r="B22" i="1" s="1"/>
  <c r="I24" i="1" l="1"/>
  <c r="J24" i="1" s="1"/>
  <c r="N24" i="1" s="1"/>
  <c r="AO23" i="1"/>
  <c r="R24" i="1"/>
  <c r="S24" i="1" s="1"/>
  <c r="W23" i="1"/>
  <c r="X23" i="1" s="1"/>
  <c r="S23" i="1"/>
  <c r="T23" i="1" s="1"/>
  <c r="AA23" i="1" s="1"/>
  <c r="J21" i="10" s="1"/>
  <c r="AL23" i="1"/>
  <c r="F21" i="10" s="1"/>
  <c r="AI23" i="1"/>
  <c r="N21" i="10" s="1"/>
  <c r="A25" i="1"/>
  <c r="AF24" i="1"/>
  <c r="AG24" i="1" s="1"/>
  <c r="AH24" i="1" s="1"/>
  <c r="M22" i="10"/>
  <c r="I22" i="10"/>
  <c r="E22" i="10"/>
  <c r="Z24" i="1"/>
  <c r="A22" i="10"/>
  <c r="AB24" i="1"/>
  <c r="AC24" i="1" s="1"/>
  <c r="AD24" i="1" s="1"/>
  <c r="AM24" i="1"/>
  <c r="V24" i="1" s="1"/>
  <c r="Y24" i="1" s="1"/>
  <c r="K24" i="1"/>
  <c r="P24" i="1"/>
  <c r="M22" i="1"/>
  <c r="M23" i="1"/>
  <c r="AN22" i="1"/>
  <c r="AK22" i="1" s="1"/>
  <c r="B20" i="10" s="1"/>
  <c r="T22" i="1"/>
  <c r="AA22" i="1" s="1"/>
  <c r="J20" i="10" s="1"/>
  <c r="H22" i="1"/>
  <c r="D22" i="1"/>
  <c r="C22" i="1"/>
  <c r="G22" i="1" s="1"/>
  <c r="B23" i="1" s="1"/>
  <c r="R25" i="1" l="1"/>
  <c r="S25" i="1" s="1"/>
  <c r="AN23" i="1"/>
  <c r="AK23" i="1" s="1"/>
  <c r="B21" i="10" s="1"/>
  <c r="AI24" i="1"/>
  <c r="N22" i="10" s="1"/>
  <c r="AL24" i="1"/>
  <c r="F22" i="10" s="1"/>
  <c r="W24" i="1"/>
  <c r="X24" i="1" s="1"/>
  <c r="AO24" i="1"/>
  <c r="A26" i="1"/>
  <c r="AF25" i="1"/>
  <c r="AG25" i="1" s="1"/>
  <c r="AH25" i="1" s="1"/>
  <c r="M23" i="10"/>
  <c r="I23" i="10"/>
  <c r="E23" i="10"/>
  <c r="Z25" i="1"/>
  <c r="A23" i="10"/>
  <c r="AM25" i="1"/>
  <c r="V25" i="1" s="1"/>
  <c r="Y25" i="1" s="1"/>
  <c r="AB25" i="1"/>
  <c r="AC25" i="1" s="1"/>
  <c r="AD25" i="1" s="1"/>
  <c r="I25" i="1"/>
  <c r="J25" i="1" s="1"/>
  <c r="N25" i="1" s="1"/>
  <c r="I26" i="1" s="1"/>
  <c r="L24" i="1"/>
  <c r="T24" i="1"/>
  <c r="AA24" i="1" s="1"/>
  <c r="J22" i="10" s="1"/>
  <c r="AN24" i="1"/>
  <c r="AK24" i="1" s="1"/>
  <c r="B22" i="10" s="1"/>
  <c r="D23" i="1"/>
  <c r="E23" i="1" s="1"/>
  <c r="H23" i="1"/>
  <c r="C23" i="1"/>
  <c r="G23" i="1" s="1"/>
  <c r="B24" i="1" s="1"/>
  <c r="E22" i="1"/>
  <c r="F22" i="1" s="1"/>
  <c r="AI25" i="1" l="1"/>
  <c r="N23" i="10" s="1"/>
  <c r="AL25" i="1"/>
  <c r="F23" i="10" s="1"/>
  <c r="K25" i="1"/>
  <c r="L25" i="1" s="1"/>
  <c r="R26" i="1"/>
  <c r="S26" i="1" s="1"/>
  <c r="W25" i="1"/>
  <c r="X25" i="1" s="1"/>
  <c r="P25" i="1"/>
  <c r="AO25" i="1"/>
  <c r="A27" i="1"/>
  <c r="AF26" i="1"/>
  <c r="AG26" i="1" s="1"/>
  <c r="AH26" i="1" s="1"/>
  <c r="M24" i="10"/>
  <c r="I24" i="10"/>
  <c r="A24" i="10"/>
  <c r="E24" i="10"/>
  <c r="Z26" i="1"/>
  <c r="AM26" i="1"/>
  <c r="V26" i="1" s="1"/>
  <c r="AB26" i="1"/>
  <c r="AC26" i="1" s="1"/>
  <c r="AD26" i="1" s="1"/>
  <c r="J26" i="1"/>
  <c r="N26" i="1" s="1"/>
  <c r="P26" i="1"/>
  <c r="K26" i="1"/>
  <c r="L26" i="1" s="1"/>
  <c r="M24" i="1"/>
  <c r="D24" i="1"/>
  <c r="H24" i="1"/>
  <c r="C24" i="1"/>
  <c r="G24" i="1" s="1"/>
  <c r="B25" i="1" s="1"/>
  <c r="T25" i="1"/>
  <c r="AA25" i="1" s="1"/>
  <c r="J23" i="10" s="1"/>
  <c r="AN25" i="1"/>
  <c r="AK25" i="1" s="1"/>
  <c r="B23" i="10" s="1"/>
  <c r="F23" i="1"/>
  <c r="AO26" i="1" l="1"/>
  <c r="R27" i="1"/>
  <c r="W26" i="1"/>
  <c r="X26" i="1" s="1"/>
  <c r="M25" i="1"/>
  <c r="AI26" i="1"/>
  <c r="N24" i="10" s="1"/>
  <c r="Y26" i="1"/>
  <c r="I27" i="1"/>
  <c r="J27" i="1" s="1"/>
  <c r="N27" i="1" s="1"/>
  <c r="AL26" i="1"/>
  <c r="F24" i="10" s="1"/>
  <c r="A28" i="1"/>
  <c r="AF27" i="1"/>
  <c r="AG27" i="1" s="1"/>
  <c r="AH27" i="1" s="1"/>
  <c r="M25" i="10"/>
  <c r="A25" i="10"/>
  <c r="Z27" i="1"/>
  <c r="I25" i="10"/>
  <c r="E25" i="10"/>
  <c r="AB27" i="1"/>
  <c r="AC27" i="1" s="1"/>
  <c r="AD27" i="1" s="1"/>
  <c r="AM27" i="1"/>
  <c r="V27" i="1" s="1"/>
  <c r="M26" i="1"/>
  <c r="D25" i="1"/>
  <c r="E25" i="1" s="1"/>
  <c r="H25" i="1"/>
  <c r="C25" i="1"/>
  <c r="G25" i="1" s="1"/>
  <c r="B26" i="1" s="1"/>
  <c r="S27" i="1"/>
  <c r="E24" i="1"/>
  <c r="F24" i="1" s="1"/>
  <c r="T26" i="1"/>
  <c r="AA26" i="1" s="1"/>
  <c r="J24" i="10" s="1"/>
  <c r="AN26" i="1"/>
  <c r="AK26" i="1" s="1"/>
  <c r="B24" i="10" s="1"/>
  <c r="P27" i="1" l="1"/>
  <c r="K27" i="1"/>
  <c r="L27" i="1" s="1"/>
  <c r="AL27" i="1"/>
  <c r="F25" i="10" s="1"/>
  <c r="AI27" i="1"/>
  <c r="N25" i="10" s="1"/>
  <c r="AO27" i="1"/>
  <c r="Y27" i="1"/>
  <c r="W27" i="1"/>
  <c r="X27" i="1" s="1"/>
  <c r="A29" i="1"/>
  <c r="AF28" i="1"/>
  <c r="AG28" i="1" s="1"/>
  <c r="AH28" i="1" s="1"/>
  <c r="M26" i="10"/>
  <c r="I26" i="10"/>
  <c r="E26" i="10"/>
  <c r="A26" i="10"/>
  <c r="Z28" i="1"/>
  <c r="AM28" i="1"/>
  <c r="V28" i="1" s="1"/>
  <c r="W28" i="1" s="1"/>
  <c r="X28" i="1" s="1"/>
  <c r="AB28" i="1"/>
  <c r="AC28" i="1" s="1"/>
  <c r="AD28" i="1" s="1"/>
  <c r="R28" i="1"/>
  <c r="S28" i="1" s="1"/>
  <c r="I28" i="1"/>
  <c r="J28" i="1" s="1"/>
  <c r="N28" i="1" s="1"/>
  <c r="F25" i="1"/>
  <c r="H26" i="1"/>
  <c r="D26" i="1"/>
  <c r="C26" i="1"/>
  <c r="G26" i="1" s="1"/>
  <c r="B27" i="1" s="1"/>
  <c r="T27" i="1"/>
  <c r="AA27" i="1" s="1"/>
  <c r="J25" i="10" s="1"/>
  <c r="AN27" i="1"/>
  <c r="AK27" i="1" s="1"/>
  <c r="B25" i="10" s="1"/>
  <c r="K28" i="1" l="1"/>
  <c r="L28" i="1" s="1"/>
  <c r="I29" i="1"/>
  <c r="K29" i="1" s="1"/>
  <c r="M27" i="1"/>
  <c r="Y28" i="1"/>
  <c r="P28" i="1"/>
  <c r="AI28" i="1"/>
  <c r="N26" i="10" s="1"/>
  <c r="A30" i="1"/>
  <c r="AF29" i="1"/>
  <c r="AG29" i="1" s="1"/>
  <c r="AH29" i="1" s="1"/>
  <c r="M27" i="10"/>
  <c r="I27" i="10"/>
  <c r="E27" i="10"/>
  <c r="Z29" i="1"/>
  <c r="A27" i="10"/>
  <c r="AM29" i="1"/>
  <c r="V29" i="1" s="1"/>
  <c r="W29" i="1" s="1"/>
  <c r="X29" i="1" s="1"/>
  <c r="AB29" i="1"/>
  <c r="AC29" i="1" s="1"/>
  <c r="R29" i="1"/>
  <c r="S29" i="1" s="1"/>
  <c r="T29" i="1" s="1"/>
  <c r="AO28" i="1"/>
  <c r="AL28" i="1" s="1"/>
  <c r="F26" i="10" s="1"/>
  <c r="P29" i="1"/>
  <c r="D27" i="1"/>
  <c r="E27" i="1" s="1"/>
  <c r="H27" i="1"/>
  <c r="C27" i="1"/>
  <c r="G27" i="1" s="1"/>
  <c r="B28" i="1" s="1"/>
  <c r="E26" i="1"/>
  <c r="F26" i="1" s="1"/>
  <c r="T28" i="1"/>
  <c r="AA28" i="1" s="1"/>
  <c r="J26" i="10" s="1"/>
  <c r="AN28" i="1"/>
  <c r="AK28" i="1" s="1"/>
  <c r="B26" i="10" s="1"/>
  <c r="M28" i="1" l="1"/>
  <c r="J29" i="1"/>
  <c r="N29" i="1" s="1"/>
  <c r="I30" i="1" s="1"/>
  <c r="AN29" i="1"/>
  <c r="AK29" i="1"/>
  <c r="B27" i="10" s="1"/>
  <c r="AA29" i="1"/>
  <c r="J27" i="10" s="1"/>
  <c r="Y29" i="1"/>
  <c r="AD29" i="1"/>
  <c r="AI29" i="1" s="1"/>
  <c r="N27" i="10" s="1"/>
  <c r="AO29" i="1"/>
  <c r="AL29" i="1" s="1"/>
  <c r="F27" i="10" s="1"/>
  <c r="A31" i="1"/>
  <c r="AF30" i="1"/>
  <c r="AG30" i="1" s="1"/>
  <c r="AH30" i="1" s="1"/>
  <c r="R30" i="1"/>
  <c r="A28" i="10"/>
  <c r="I28" i="10"/>
  <c r="Z30" i="1"/>
  <c r="AM30" i="1"/>
  <c r="V30" i="1" s="1"/>
  <c r="M28" i="10"/>
  <c r="E28" i="10"/>
  <c r="S30" i="1"/>
  <c r="T30" i="1" s="1"/>
  <c r="AB30" i="1"/>
  <c r="AC30" i="1" s="1"/>
  <c r="AD30" i="1" s="1"/>
  <c r="L29" i="1"/>
  <c r="D28" i="1"/>
  <c r="E28" i="1" s="1"/>
  <c r="H28" i="1"/>
  <c r="C28" i="1"/>
  <c r="G28" i="1" s="1"/>
  <c r="B29" i="1" s="1"/>
  <c r="F27" i="1"/>
  <c r="AO30" i="1" l="1"/>
  <c r="AA30" i="1"/>
  <c r="J28" i="10" s="1"/>
  <c r="AK30" i="1"/>
  <c r="B28" i="10" s="1"/>
  <c r="P30" i="1"/>
  <c r="J30" i="1"/>
  <c r="N30" i="1" s="1"/>
  <c r="I31" i="1" s="1"/>
  <c r="K30" i="1"/>
  <c r="L30" i="1" s="1"/>
  <c r="AN30" i="1"/>
  <c r="AI30" i="1"/>
  <c r="N28" i="10" s="1"/>
  <c r="AL30" i="1"/>
  <c r="F28" i="10" s="1"/>
  <c r="A32" i="1"/>
  <c r="AB31" i="1"/>
  <c r="AC31" i="1" s="1"/>
  <c r="AD31" i="1" s="1"/>
  <c r="R31" i="1"/>
  <c r="S31" i="1" s="1"/>
  <c r="T31" i="1" s="1"/>
  <c r="A29" i="10"/>
  <c r="AM31" i="1"/>
  <c r="AN31" i="1" s="1"/>
  <c r="I29" i="10"/>
  <c r="AO31" i="1"/>
  <c r="M29" i="10"/>
  <c r="E29" i="10"/>
  <c r="Z31" i="1"/>
  <c r="AF31" i="1"/>
  <c r="AG31" i="1" s="1"/>
  <c r="AH31" i="1" s="1"/>
  <c r="Y30" i="1"/>
  <c r="W30" i="1"/>
  <c r="X30" i="1" s="1"/>
  <c r="M29" i="1"/>
  <c r="D29" i="1"/>
  <c r="H29" i="1"/>
  <c r="C29" i="1"/>
  <c r="F28" i="1"/>
  <c r="P31" i="1" l="1"/>
  <c r="J31" i="1"/>
  <c r="N31" i="1" s="1"/>
  <c r="I32" i="1" s="1"/>
  <c r="M30" i="1"/>
  <c r="V31" i="1"/>
  <c r="R32" i="1" s="1"/>
  <c r="S32" i="1" s="1"/>
  <c r="T32" i="1" s="1"/>
  <c r="AI31" i="1"/>
  <c r="N29" i="10" s="1"/>
  <c r="AL31" i="1"/>
  <c r="F29" i="10" s="1"/>
  <c r="K31" i="1"/>
  <c r="A33" i="1"/>
  <c r="AB32" i="1"/>
  <c r="AC32" i="1" s="1"/>
  <c r="AD32" i="1" s="1"/>
  <c r="M30" i="10"/>
  <c r="AM32" i="1"/>
  <c r="V32" i="1" s="1"/>
  <c r="A30" i="10"/>
  <c r="AF32" i="1"/>
  <c r="AG32" i="1" s="1"/>
  <c r="AH32" i="1" s="1"/>
  <c r="E30" i="10"/>
  <c r="I30" i="10"/>
  <c r="Z32" i="1"/>
  <c r="W31" i="1"/>
  <c r="X31" i="1" s="1"/>
  <c r="G29" i="1"/>
  <c r="B30" i="1" s="1"/>
  <c r="E29" i="1"/>
  <c r="Y31" i="1" l="1"/>
  <c r="P32" i="1"/>
  <c r="J32" i="1"/>
  <c r="N32" i="1" s="1"/>
  <c r="I33" i="1" s="1"/>
  <c r="K32" i="1"/>
  <c r="L32" i="1" s="1"/>
  <c r="AO32" i="1"/>
  <c r="AA32" i="1"/>
  <c r="J30" i="10" s="1"/>
  <c r="AK32" i="1"/>
  <c r="B30" i="10" s="1"/>
  <c r="AA31" i="1"/>
  <c r="J29" i="10" s="1"/>
  <c r="AK31" i="1"/>
  <c r="B29" i="10" s="1"/>
  <c r="AN32" i="1"/>
  <c r="AI32" i="1"/>
  <c r="N30" i="10" s="1"/>
  <c r="H30" i="1"/>
  <c r="D30" i="1"/>
  <c r="E30" i="1" s="1"/>
  <c r="C30" i="1"/>
  <c r="G30" i="1" s="1"/>
  <c r="B31" i="1" s="1"/>
  <c r="AL32" i="1"/>
  <c r="F30" i="10" s="1"/>
  <c r="L31" i="1"/>
  <c r="M31" i="1" s="1"/>
  <c r="Y32" i="1"/>
  <c r="W32" i="1"/>
  <c r="X32" i="1" s="1"/>
  <c r="A34" i="1"/>
  <c r="AB33" i="1"/>
  <c r="AC33" i="1" s="1"/>
  <c r="AD33" i="1" s="1"/>
  <c r="Z33" i="1"/>
  <c r="M31" i="10"/>
  <c r="AM33" i="1"/>
  <c r="V33" i="1" s="1"/>
  <c r="A31" i="10"/>
  <c r="R33" i="1"/>
  <c r="S33" i="1" s="1"/>
  <c r="AF33" i="1"/>
  <c r="AG33" i="1" s="1"/>
  <c r="AH33" i="1" s="1"/>
  <c r="E31" i="10"/>
  <c r="AO33" i="1"/>
  <c r="I31" i="10"/>
  <c r="F29" i="1"/>
  <c r="P33" i="1" l="1"/>
  <c r="J33" i="1"/>
  <c r="N33" i="1" s="1"/>
  <c r="I34" i="1" s="1"/>
  <c r="K33" i="1"/>
  <c r="L33" i="1" s="1"/>
  <c r="M32" i="1"/>
  <c r="T33" i="1"/>
  <c r="AN33" i="1"/>
  <c r="H31" i="1"/>
  <c r="D31" i="1"/>
  <c r="E31" i="1" s="1"/>
  <c r="C31" i="1"/>
  <c r="G31" i="1" s="1"/>
  <c r="B32" i="1" s="1"/>
  <c r="AK33" i="1"/>
  <c r="B31" i="10" s="1"/>
  <c r="AA33" i="1"/>
  <c r="J31" i="10" s="1"/>
  <c r="AL33" i="1"/>
  <c r="F31" i="10" s="1"/>
  <c r="F30" i="1"/>
  <c r="AI33" i="1"/>
  <c r="N31" i="10" s="1"/>
  <c r="Y33" i="1"/>
  <c r="W33" i="1"/>
  <c r="X33" i="1" s="1"/>
  <c r="A35" i="1"/>
  <c r="AB34" i="1"/>
  <c r="AC34" i="1" s="1"/>
  <c r="AD34" i="1" s="1"/>
  <c r="R34" i="1"/>
  <c r="S34" i="1" s="1"/>
  <c r="E32" i="10"/>
  <c r="AF34" i="1"/>
  <c r="AG34" i="1" s="1"/>
  <c r="AH34" i="1" s="1"/>
  <c r="Z34" i="1"/>
  <c r="M32" i="10"/>
  <c r="I32" i="10"/>
  <c r="AM34" i="1"/>
  <c r="V34" i="1" s="1"/>
  <c r="A32" i="10"/>
  <c r="AO34" i="1" l="1"/>
  <c r="P34" i="1"/>
  <c r="J34" i="1"/>
  <c r="N34" i="1" s="1"/>
  <c r="T34" i="1"/>
  <c r="AA34" i="1" s="1"/>
  <c r="J32" i="10" s="1"/>
  <c r="AN34" i="1"/>
  <c r="AL34" i="1"/>
  <c r="F32" i="10" s="1"/>
  <c r="AI34" i="1"/>
  <c r="N32" i="10" s="1"/>
  <c r="M33" i="1"/>
  <c r="F31" i="1"/>
  <c r="AK34" i="1"/>
  <c r="B32" i="10" s="1"/>
  <c r="H32" i="1"/>
  <c r="D32" i="1"/>
  <c r="E32" i="1" s="1"/>
  <c r="C32" i="1"/>
  <c r="G32" i="1" s="1"/>
  <c r="B33" i="1" s="1"/>
  <c r="K34" i="1"/>
  <c r="L34" i="1" s="1"/>
  <c r="Y34" i="1"/>
  <c r="W34" i="1"/>
  <c r="X34" i="1" s="1"/>
  <c r="A36" i="1"/>
  <c r="I35" i="1"/>
  <c r="P35" i="1" s="1"/>
  <c r="AB35" i="1"/>
  <c r="AC35" i="1" s="1"/>
  <c r="AD35" i="1" s="1"/>
  <c r="Z35" i="1"/>
  <c r="A33" i="10"/>
  <c r="AF35" i="1"/>
  <c r="AG35" i="1" s="1"/>
  <c r="AH35" i="1" s="1"/>
  <c r="AM35" i="1"/>
  <c r="V35" i="1" s="1"/>
  <c r="I33" i="10"/>
  <c r="R35" i="1"/>
  <c r="S35" i="1" s="1"/>
  <c r="T35" i="1" s="1"/>
  <c r="M33" i="10"/>
  <c r="E33" i="10"/>
  <c r="AO35" i="1"/>
  <c r="AI35" i="1" l="1"/>
  <c r="N33" i="10" s="1"/>
  <c r="K35" i="1"/>
  <c r="L35" i="1" s="1"/>
  <c r="M34" i="1"/>
  <c r="J35" i="1"/>
  <c r="AL35" i="1"/>
  <c r="F33" i="10" s="1"/>
  <c r="AK35" i="1"/>
  <c r="B33" i="10" s="1"/>
  <c r="AA35" i="1"/>
  <c r="J33" i="10" s="1"/>
  <c r="H33" i="1"/>
  <c r="D33" i="1"/>
  <c r="E33" i="1" s="1"/>
  <c r="C33" i="1"/>
  <c r="AN35" i="1"/>
  <c r="F32" i="1"/>
  <c r="A37" i="1"/>
  <c r="AB36" i="1"/>
  <c r="AC36" i="1" s="1"/>
  <c r="AD36" i="1" s="1"/>
  <c r="R36" i="1"/>
  <c r="S36" i="1" s="1"/>
  <c r="T36" i="1" s="1"/>
  <c r="E34" i="10"/>
  <c r="Z36" i="1"/>
  <c r="M34" i="10"/>
  <c r="AM36" i="1"/>
  <c r="V36" i="1" s="1"/>
  <c r="I34" i="10"/>
  <c r="A34" i="10"/>
  <c r="AF36" i="1"/>
  <c r="AG36" i="1" s="1"/>
  <c r="AH36" i="1" s="1"/>
  <c r="W35" i="1"/>
  <c r="X35" i="1" s="1"/>
  <c r="Y35" i="1"/>
  <c r="AO36" i="1" l="1"/>
  <c r="AN36" i="1"/>
  <c r="AI36" i="1"/>
  <c r="N34" i="10" s="1"/>
  <c r="F33" i="1"/>
  <c r="N35" i="1"/>
  <c r="I36" i="1" s="1"/>
  <c r="M35" i="1"/>
  <c r="G33" i="1"/>
  <c r="B34" i="1" s="1"/>
  <c r="AA36" i="1"/>
  <c r="J34" i="10" s="1"/>
  <c r="AK36" i="1"/>
  <c r="B34" i="10" s="1"/>
  <c r="H34" i="1"/>
  <c r="D34" i="1"/>
  <c r="E34" i="1" s="1"/>
  <c r="C34" i="1"/>
  <c r="G34" i="1" s="1"/>
  <c r="B35" i="1" s="1"/>
  <c r="AL36" i="1"/>
  <c r="F34" i="10" s="1"/>
  <c r="W36" i="1"/>
  <c r="X36" i="1" s="1"/>
  <c r="Y36" i="1"/>
  <c r="A38" i="1"/>
  <c r="AB37" i="1"/>
  <c r="AC37" i="1" s="1"/>
  <c r="AD37" i="1" s="1"/>
  <c r="AO37" i="1"/>
  <c r="E35" i="10"/>
  <c r="R37" i="1"/>
  <c r="S37" i="1" s="1"/>
  <c r="AF37" i="1"/>
  <c r="AG37" i="1" s="1"/>
  <c r="AH37" i="1" s="1"/>
  <c r="M35" i="10"/>
  <c r="Z37" i="1"/>
  <c r="A35" i="10"/>
  <c r="I35" i="10"/>
  <c r="AM37" i="1"/>
  <c r="V37" i="1" s="1"/>
  <c r="P36" i="1" l="1"/>
  <c r="K36" i="1"/>
  <c r="L36" i="1" s="1"/>
  <c r="J36" i="1"/>
  <c r="N36" i="1" s="1"/>
  <c r="I37" i="1" s="1"/>
  <c r="AI37" i="1"/>
  <c r="N35" i="10" s="1"/>
  <c r="H35" i="1"/>
  <c r="D35" i="1"/>
  <c r="E35" i="1" s="1"/>
  <c r="C35" i="1"/>
  <c r="G35" i="1" s="1"/>
  <c r="B36" i="1" s="1"/>
  <c r="T37" i="1"/>
  <c r="AA37" i="1" s="1"/>
  <c r="J35" i="10" s="1"/>
  <c r="AN37" i="1"/>
  <c r="AK37" i="1"/>
  <c r="B35" i="10" s="1"/>
  <c r="F34" i="1"/>
  <c r="AL37" i="1"/>
  <c r="F35" i="10" s="1"/>
  <c r="A39" i="1"/>
  <c r="AB38" i="1"/>
  <c r="AC38" i="1" s="1"/>
  <c r="AD38" i="1" s="1"/>
  <c r="R38" i="1"/>
  <c r="S38" i="1" s="1"/>
  <c r="A36" i="10"/>
  <c r="AF38" i="1"/>
  <c r="AG38" i="1" s="1"/>
  <c r="AH38" i="1" s="1"/>
  <c r="AM38" i="1"/>
  <c r="V38" i="1" s="1"/>
  <c r="E36" i="10"/>
  <c r="AO38" i="1"/>
  <c r="I36" i="10"/>
  <c r="Z38" i="1"/>
  <c r="M36" i="10"/>
  <c r="W37" i="1"/>
  <c r="X37" i="1" s="1"/>
  <c r="Y37" i="1"/>
  <c r="P37" i="1" l="1"/>
  <c r="K37" i="1"/>
  <c r="L37" i="1" s="1"/>
  <c r="J37" i="1"/>
  <c r="F35" i="1"/>
  <c r="M36" i="1"/>
  <c r="AK38" i="1"/>
  <c r="B36" i="10" s="1"/>
  <c r="T38" i="1"/>
  <c r="AA38" i="1" s="1"/>
  <c r="J36" i="10" s="1"/>
  <c r="AN38" i="1"/>
  <c r="H36" i="1"/>
  <c r="D36" i="1"/>
  <c r="E36" i="1" s="1"/>
  <c r="C36" i="1"/>
  <c r="G36" i="1" s="1"/>
  <c r="B37" i="1" s="1"/>
  <c r="AI38" i="1"/>
  <c r="N36" i="10" s="1"/>
  <c r="AL38" i="1"/>
  <c r="F36" i="10" s="1"/>
  <c r="N37" i="1"/>
  <c r="I38" i="1" s="1"/>
  <c r="Y38" i="1"/>
  <c r="W38" i="1"/>
  <c r="X38" i="1" s="1"/>
  <c r="A40" i="1"/>
  <c r="AB39" i="1"/>
  <c r="AC39" i="1" s="1"/>
  <c r="AD39" i="1" s="1"/>
  <c r="Z39" i="1"/>
  <c r="R39" i="1"/>
  <c r="S39" i="1" s="1"/>
  <c r="T39" i="1" s="1"/>
  <c r="I37" i="10"/>
  <c r="AF39" i="1"/>
  <c r="AG39" i="1" s="1"/>
  <c r="AH39" i="1" s="1"/>
  <c r="E37" i="10"/>
  <c r="AO39" i="1"/>
  <c r="A37" i="10"/>
  <c r="AM39" i="1"/>
  <c r="AN39" i="1" s="1"/>
  <c r="M37" i="10"/>
  <c r="M37" i="1" l="1"/>
  <c r="H37" i="1"/>
  <c r="D37" i="1"/>
  <c r="E37" i="1" s="1"/>
  <c r="C37" i="1"/>
  <c r="G37" i="1" s="1"/>
  <c r="B38" i="1" s="1"/>
  <c r="AI39" i="1"/>
  <c r="N37" i="10" s="1"/>
  <c r="F36" i="1"/>
  <c r="P38" i="1"/>
  <c r="J38" i="1"/>
  <c r="M38" i="1" s="1"/>
  <c r="K38" i="1"/>
  <c r="L38" i="1" s="1"/>
  <c r="V39" i="1"/>
  <c r="R40" i="1" s="1"/>
  <c r="S40" i="1" s="1"/>
  <c r="AL39" i="1"/>
  <c r="F37" i="10" s="1"/>
  <c r="A41" i="1"/>
  <c r="AB40" i="1"/>
  <c r="AC40" i="1" s="1"/>
  <c r="AD40" i="1" s="1"/>
  <c r="Z40" i="1"/>
  <c r="A38" i="10"/>
  <c r="AM40" i="1"/>
  <c r="V40" i="1" s="1"/>
  <c r="AO40" i="1"/>
  <c r="I38" i="10"/>
  <c r="AF40" i="1"/>
  <c r="AG40" i="1" s="1"/>
  <c r="AH40" i="1" s="1"/>
  <c r="M38" i="10"/>
  <c r="E38" i="10"/>
  <c r="T40" i="1" l="1"/>
  <c r="AA40" i="1" s="1"/>
  <c r="J38" i="10" s="1"/>
  <c r="AN40" i="1"/>
  <c r="H38" i="1"/>
  <c r="D38" i="1"/>
  <c r="E38" i="1" s="1"/>
  <c r="C38" i="1"/>
  <c r="G38" i="1" s="1"/>
  <c r="B39" i="1" s="1"/>
  <c r="AK40" i="1"/>
  <c r="B38" i="10" s="1"/>
  <c r="AK39" i="1"/>
  <c r="B37" i="10" s="1"/>
  <c r="AA39" i="1"/>
  <c r="J37" i="10" s="1"/>
  <c r="AI40" i="1"/>
  <c r="N38" i="10" s="1"/>
  <c r="N38" i="1"/>
  <c r="I39" i="1" s="1"/>
  <c r="AL40" i="1"/>
  <c r="F38" i="10" s="1"/>
  <c r="Y39" i="1"/>
  <c r="F37" i="1"/>
  <c r="W39" i="1"/>
  <c r="X39" i="1" s="1"/>
  <c r="A42" i="1"/>
  <c r="AB41" i="1"/>
  <c r="AC41" i="1" s="1"/>
  <c r="AD41" i="1" s="1"/>
  <c r="M39" i="10"/>
  <c r="R41" i="1"/>
  <c r="S41" i="1" s="1"/>
  <c r="T41" i="1" s="1"/>
  <c r="A39" i="10"/>
  <c r="AF41" i="1"/>
  <c r="AG41" i="1" s="1"/>
  <c r="AH41" i="1" s="1"/>
  <c r="E39" i="10"/>
  <c r="AM41" i="1"/>
  <c r="AN41" i="1" s="1"/>
  <c r="I39" i="10"/>
  <c r="Z41" i="1"/>
  <c r="Y40" i="1"/>
  <c r="W40" i="1"/>
  <c r="X40" i="1" s="1"/>
  <c r="AI41" i="1" l="1"/>
  <c r="N39" i="10" s="1"/>
  <c r="H39" i="1"/>
  <c r="D39" i="1"/>
  <c r="E39" i="1" s="1"/>
  <c r="C39" i="1"/>
  <c r="G39" i="1" s="1"/>
  <c r="B40" i="1" s="1"/>
  <c r="P39" i="1"/>
  <c r="K39" i="1"/>
  <c r="L39" i="1" s="1"/>
  <c r="J39" i="1"/>
  <c r="N39" i="1" s="1"/>
  <c r="I40" i="1" s="1"/>
  <c r="AO41" i="1"/>
  <c r="V41" i="1"/>
  <c r="W41" i="1" s="1"/>
  <c r="X41" i="1" s="1"/>
  <c r="F38" i="1"/>
  <c r="AL41" i="1"/>
  <c r="F39" i="10" s="1"/>
  <c r="A43" i="1"/>
  <c r="AB42" i="1"/>
  <c r="AC42" i="1" s="1"/>
  <c r="AD42" i="1" s="1"/>
  <c r="E40" i="10"/>
  <c r="AF42" i="1"/>
  <c r="AG42" i="1" s="1"/>
  <c r="AH42" i="1" s="1"/>
  <c r="M40" i="10"/>
  <c r="R42" i="1"/>
  <c r="S42" i="1" s="1"/>
  <c r="T42" i="1" s="1"/>
  <c r="Z42" i="1"/>
  <c r="I40" i="10"/>
  <c r="A40" i="10"/>
  <c r="AM42" i="1"/>
  <c r="AN42" i="1" s="1"/>
  <c r="Y41" i="1" l="1"/>
  <c r="P40" i="1"/>
  <c r="K40" i="1"/>
  <c r="L40" i="1" s="1"/>
  <c r="J40" i="1"/>
  <c r="N40" i="1" s="1"/>
  <c r="I41" i="1" s="1"/>
  <c r="H40" i="1"/>
  <c r="D40" i="1"/>
  <c r="E40" i="1" s="1"/>
  <c r="C40" i="1"/>
  <c r="V42" i="1"/>
  <c r="Y42" i="1" s="1"/>
  <c r="AI42" i="1"/>
  <c r="N40" i="10" s="1"/>
  <c r="M39" i="1"/>
  <c r="F39" i="1"/>
  <c r="AK41" i="1"/>
  <c r="B39" i="10" s="1"/>
  <c r="AA41" i="1"/>
  <c r="J39" i="10" s="1"/>
  <c r="AL42" i="1"/>
  <c r="F40" i="10" s="1"/>
  <c r="AO42" i="1"/>
  <c r="W42" i="1"/>
  <c r="X42" i="1" s="1"/>
  <c r="A44" i="1"/>
  <c r="AB43" i="1"/>
  <c r="AC43" i="1" s="1"/>
  <c r="AD43" i="1" s="1"/>
  <c r="E41" i="10"/>
  <c r="AF43" i="1"/>
  <c r="AG43" i="1" s="1"/>
  <c r="AH43" i="1" s="1"/>
  <c r="M41" i="10"/>
  <c r="Z43" i="1"/>
  <c r="I41" i="10"/>
  <c r="AO43" i="1"/>
  <c r="AM43" i="1"/>
  <c r="V43" i="1" s="1"/>
  <c r="A41" i="10"/>
  <c r="F40" i="1" l="1"/>
  <c r="R43" i="1"/>
  <c r="S43" i="1" s="1"/>
  <c r="T43" i="1" s="1"/>
  <c r="AL43" i="1"/>
  <c r="F41" i="10" s="1"/>
  <c r="M40" i="1"/>
  <c r="AA43" i="1"/>
  <c r="J41" i="10" s="1"/>
  <c r="G40" i="1"/>
  <c r="B41" i="1" s="1"/>
  <c r="AK42" i="1"/>
  <c r="B40" i="10" s="1"/>
  <c r="AA42" i="1"/>
  <c r="J40" i="10" s="1"/>
  <c r="P41" i="1"/>
  <c r="K41" i="1"/>
  <c r="L41" i="1" s="1"/>
  <c r="J41" i="1"/>
  <c r="N41" i="1" s="1"/>
  <c r="I42" i="1" s="1"/>
  <c r="AI43" i="1"/>
  <c r="N41" i="10" s="1"/>
  <c r="A45" i="1"/>
  <c r="AB44" i="1"/>
  <c r="AC44" i="1" s="1"/>
  <c r="AD44" i="1" s="1"/>
  <c r="I42" i="10"/>
  <c r="AF44" i="1"/>
  <c r="AG44" i="1" s="1"/>
  <c r="AH44" i="1" s="1"/>
  <c r="E42" i="10"/>
  <c r="AM44" i="1"/>
  <c r="V44" i="1" s="1"/>
  <c r="A42" i="10"/>
  <c r="Z44" i="1"/>
  <c r="M42" i="10"/>
  <c r="W43" i="1"/>
  <c r="X43" i="1" s="1"/>
  <c r="Y43" i="1"/>
  <c r="R44" i="1" l="1"/>
  <c r="S44" i="1" s="1"/>
  <c r="T44" i="1" s="1"/>
  <c r="AO44" i="1"/>
  <c r="AN43" i="1"/>
  <c r="AK43" i="1"/>
  <c r="B41" i="10" s="1"/>
  <c r="AK44" i="1"/>
  <c r="B42" i="10" s="1"/>
  <c r="AA44" i="1"/>
  <c r="J42" i="10" s="1"/>
  <c r="P42" i="1"/>
  <c r="K42" i="1"/>
  <c r="L42" i="1" s="1"/>
  <c r="J42" i="1"/>
  <c r="N42" i="1" s="1"/>
  <c r="I43" i="1" s="1"/>
  <c r="H41" i="1"/>
  <c r="D41" i="1"/>
  <c r="E41" i="1" s="1"/>
  <c r="C41" i="1"/>
  <c r="G41" i="1" s="1"/>
  <c r="B42" i="1" s="1"/>
  <c r="AL44" i="1"/>
  <c r="F42" i="10" s="1"/>
  <c r="M41" i="1"/>
  <c r="AN44" i="1"/>
  <c r="AI44" i="1"/>
  <c r="N42" i="10" s="1"/>
  <c r="W44" i="1"/>
  <c r="X44" i="1" s="1"/>
  <c r="Y44" i="1"/>
  <c r="A46" i="1"/>
  <c r="AB45" i="1"/>
  <c r="AC45" i="1" s="1"/>
  <c r="AD45" i="1" s="1"/>
  <c r="R45" i="1"/>
  <c r="S45" i="1" s="1"/>
  <c r="T45" i="1" s="1"/>
  <c r="A43" i="10"/>
  <c r="Z45" i="1"/>
  <c r="I43" i="10"/>
  <c r="AF45" i="1"/>
  <c r="AG45" i="1" s="1"/>
  <c r="AH45" i="1" s="1"/>
  <c r="M43" i="10"/>
  <c r="AM45" i="1"/>
  <c r="V45" i="1" s="1"/>
  <c r="E43" i="10"/>
  <c r="AA45" i="1" l="1"/>
  <c r="J43" i="10" s="1"/>
  <c r="AK45" i="1"/>
  <c r="B43" i="10" s="1"/>
  <c r="H42" i="1"/>
  <c r="D42" i="1"/>
  <c r="E42" i="1" s="1"/>
  <c r="C42" i="1"/>
  <c r="G42" i="1" s="1"/>
  <c r="B43" i="1" s="1"/>
  <c r="P43" i="1"/>
  <c r="J43" i="1"/>
  <c r="K43" i="1"/>
  <c r="L43" i="1" s="1"/>
  <c r="AL45" i="1"/>
  <c r="F43" i="10" s="1"/>
  <c r="AI45" i="1"/>
  <c r="N43" i="10" s="1"/>
  <c r="AN45" i="1"/>
  <c r="M42" i="1"/>
  <c r="AO45" i="1"/>
  <c r="F41" i="1"/>
  <c r="A47" i="1"/>
  <c r="AB46" i="1"/>
  <c r="AC46" i="1" s="1"/>
  <c r="AD46" i="1" s="1"/>
  <c r="Z46" i="1"/>
  <c r="AO46" i="1"/>
  <c r="A44" i="10"/>
  <c r="I44" i="10"/>
  <c r="R46" i="1"/>
  <c r="AM46" i="1"/>
  <c r="V46" i="1" s="1"/>
  <c r="M44" i="10"/>
  <c r="E44" i="10"/>
  <c r="S46" i="1"/>
  <c r="AF46" i="1"/>
  <c r="AG46" i="1" s="1"/>
  <c r="AH46" i="1" s="1"/>
  <c r="W45" i="1"/>
  <c r="X45" i="1" s="1"/>
  <c r="Y45" i="1"/>
  <c r="AK46" i="1" l="1"/>
  <c r="B44" i="10" s="1"/>
  <c r="F42" i="1"/>
  <c r="M43" i="1"/>
  <c r="AN46" i="1"/>
  <c r="H43" i="1"/>
  <c r="D43" i="1"/>
  <c r="E43" i="1" s="1"/>
  <c r="C43" i="1"/>
  <c r="G43" i="1" s="1"/>
  <c r="B44" i="1" s="1"/>
  <c r="T46" i="1"/>
  <c r="AA46" i="1" s="1"/>
  <c r="J44" i="10" s="1"/>
  <c r="N43" i="1"/>
  <c r="I44" i="1" s="1"/>
  <c r="AL46" i="1"/>
  <c r="F44" i="10" s="1"/>
  <c r="AI46" i="1"/>
  <c r="N44" i="10" s="1"/>
  <c r="Y46" i="1"/>
  <c r="W46" i="1"/>
  <c r="X46" i="1" s="1"/>
  <c r="A48" i="1"/>
  <c r="AB47" i="1"/>
  <c r="AC47" i="1" s="1"/>
  <c r="AD47" i="1" s="1"/>
  <c r="A45" i="10"/>
  <c r="R47" i="1"/>
  <c r="S47" i="1" s="1"/>
  <c r="AM47" i="1"/>
  <c r="V47" i="1" s="1"/>
  <c r="I45" i="10"/>
  <c r="M45" i="10"/>
  <c r="Z47" i="1"/>
  <c r="AF47" i="1"/>
  <c r="AG47" i="1" s="1"/>
  <c r="AH47" i="1" s="1"/>
  <c r="E45" i="10"/>
  <c r="AN47" i="1" l="1"/>
  <c r="AO47" i="1"/>
  <c r="H44" i="1"/>
  <c r="D44" i="1"/>
  <c r="E44" i="1" s="1"/>
  <c r="C44" i="1"/>
  <c r="G44" i="1" s="1"/>
  <c r="B45" i="1" s="1"/>
  <c r="AI47" i="1"/>
  <c r="N45" i="10" s="1"/>
  <c r="AL47" i="1"/>
  <c r="F45" i="10" s="1"/>
  <c r="P44" i="1"/>
  <c r="J44" i="1"/>
  <c r="N44" i="1" s="1"/>
  <c r="I45" i="1" s="1"/>
  <c r="K44" i="1"/>
  <c r="L44" i="1" s="1"/>
  <c r="AK47" i="1"/>
  <c r="B45" i="10" s="1"/>
  <c r="T47" i="1"/>
  <c r="F43" i="1"/>
  <c r="AA47" i="1"/>
  <c r="J45" i="10" s="1"/>
  <c r="W47" i="1"/>
  <c r="X47" i="1" s="1"/>
  <c r="Y47" i="1"/>
  <c r="A49" i="1"/>
  <c r="AB48" i="1"/>
  <c r="AC48" i="1" s="1"/>
  <c r="AD48" i="1" s="1"/>
  <c r="M46" i="10"/>
  <c r="AM48" i="1"/>
  <c r="A46" i="10"/>
  <c r="V48" i="1"/>
  <c r="AF48" i="1"/>
  <c r="AG48" i="1" s="1"/>
  <c r="AH48" i="1" s="1"/>
  <c r="E46" i="10"/>
  <c r="Z48" i="1"/>
  <c r="R48" i="1"/>
  <c r="S48" i="1" s="1"/>
  <c r="T48" i="1" s="1"/>
  <c r="I46" i="10"/>
  <c r="AO48" i="1" l="1"/>
  <c r="AK48" i="1"/>
  <c r="B46" i="10" s="1"/>
  <c r="H45" i="1"/>
  <c r="D45" i="1"/>
  <c r="E45" i="1" s="1"/>
  <c r="C45" i="1"/>
  <c r="AN48" i="1"/>
  <c r="AI48" i="1"/>
  <c r="N46" i="10" s="1"/>
  <c r="AL48" i="1"/>
  <c r="F46" i="10" s="1"/>
  <c r="F44" i="1"/>
  <c r="P45" i="1"/>
  <c r="K45" i="1"/>
  <c r="L45" i="1" s="1"/>
  <c r="J45" i="1"/>
  <c r="M44" i="1"/>
  <c r="AA48" i="1"/>
  <c r="J46" i="10" s="1"/>
  <c r="A50" i="1"/>
  <c r="AB49" i="1"/>
  <c r="AC49" i="1" s="1"/>
  <c r="AD49" i="1" s="1"/>
  <c r="R49" i="1"/>
  <c r="S49" i="1" s="1"/>
  <c r="T49" i="1" s="1"/>
  <c r="I47" i="10"/>
  <c r="AF49" i="1"/>
  <c r="AG49" i="1" s="1"/>
  <c r="AH49" i="1" s="1"/>
  <c r="E47" i="10"/>
  <c r="AM49" i="1"/>
  <c r="V49" i="1" s="1"/>
  <c r="M47" i="10"/>
  <c r="Z49" i="1"/>
  <c r="AO49" i="1"/>
  <c r="A47" i="10"/>
  <c r="W48" i="1"/>
  <c r="X48" i="1" s="1"/>
  <c r="Y48" i="1"/>
  <c r="F45" i="1" l="1"/>
  <c r="M45" i="1"/>
  <c r="G45" i="1"/>
  <c r="B46" i="1" s="1"/>
  <c r="N45" i="1"/>
  <c r="I46" i="1" s="1"/>
  <c r="P46" i="1" s="1"/>
  <c r="AK49" i="1"/>
  <c r="B47" i="10" s="1"/>
  <c r="AA49" i="1"/>
  <c r="J47" i="10" s="1"/>
  <c r="AL49" i="1"/>
  <c r="F47" i="10" s="1"/>
  <c r="AI49" i="1"/>
  <c r="N47" i="10" s="1"/>
  <c r="AN49" i="1"/>
  <c r="H46" i="1"/>
  <c r="D46" i="1"/>
  <c r="E46" i="1" s="1"/>
  <c r="C46" i="1"/>
  <c r="K46" i="1"/>
  <c r="L46" i="1" s="1"/>
  <c r="A51" i="1"/>
  <c r="AB50" i="1"/>
  <c r="AC50" i="1" s="1"/>
  <c r="AD50" i="1" s="1"/>
  <c r="AM50" i="1"/>
  <c r="V50" i="1" s="1"/>
  <c r="I48" i="10"/>
  <c r="E48" i="10"/>
  <c r="Z50" i="1"/>
  <c r="R50" i="1"/>
  <c r="S50" i="1" s="1"/>
  <c r="A48" i="10"/>
  <c r="AF50" i="1"/>
  <c r="AG50" i="1" s="1"/>
  <c r="AH50" i="1" s="1"/>
  <c r="M48" i="10"/>
  <c r="W49" i="1"/>
  <c r="X49" i="1" s="1"/>
  <c r="Y49" i="1"/>
  <c r="AO50" i="1" l="1"/>
  <c r="F46" i="1"/>
  <c r="J46" i="1"/>
  <c r="M46" i="1" s="1"/>
  <c r="T50" i="1"/>
  <c r="AA50" i="1" s="1"/>
  <c r="J48" i="10" s="1"/>
  <c r="AN50" i="1"/>
  <c r="AK50" i="1"/>
  <c r="B48" i="10" s="1"/>
  <c r="G46" i="1"/>
  <c r="B47" i="1" s="1"/>
  <c r="AL50" i="1"/>
  <c r="F48" i="10" s="1"/>
  <c r="AI50" i="1"/>
  <c r="N48" i="10" s="1"/>
  <c r="Y50" i="1"/>
  <c r="W50" i="1"/>
  <c r="X50" i="1" s="1"/>
  <c r="A52" i="1"/>
  <c r="AB51" i="1"/>
  <c r="AC51" i="1" s="1"/>
  <c r="AD51" i="1" s="1"/>
  <c r="R51" i="1"/>
  <c r="S51" i="1" s="1"/>
  <c r="T51" i="1" s="1"/>
  <c r="Z51" i="1"/>
  <c r="E49" i="10"/>
  <c r="AF51" i="1"/>
  <c r="AG51" i="1" s="1"/>
  <c r="AH51" i="1" s="1"/>
  <c r="AM51" i="1"/>
  <c r="AN51" i="1" s="1"/>
  <c r="M49" i="10"/>
  <c r="AO51" i="1"/>
  <c r="I49" i="10"/>
  <c r="A49" i="10"/>
  <c r="V51" i="1" l="1"/>
  <c r="AK51" i="1" s="1"/>
  <c r="B49" i="10" s="1"/>
  <c r="N46" i="1"/>
  <c r="I47" i="1" s="1"/>
  <c r="AL51" i="1"/>
  <c r="F49" i="10" s="1"/>
  <c r="H47" i="1"/>
  <c r="D47" i="1"/>
  <c r="E47" i="1" s="1"/>
  <c r="C47" i="1"/>
  <c r="G47" i="1" s="1"/>
  <c r="B48" i="1" s="1"/>
  <c r="AA51" i="1"/>
  <c r="J49" i="10" s="1"/>
  <c r="AI51" i="1"/>
  <c r="N49" i="10" s="1"/>
  <c r="A53" i="1"/>
  <c r="AB52" i="1"/>
  <c r="AC52" i="1" s="1"/>
  <c r="AD52" i="1" s="1"/>
  <c r="AM52" i="1"/>
  <c r="V52" i="1" s="1"/>
  <c r="A50" i="10"/>
  <c r="Z52" i="1"/>
  <c r="I50" i="10"/>
  <c r="AF52" i="1"/>
  <c r="AG52" i="1" s="1"/>
  <c r="AH52" i="1" s="1"/>
  <c r="M50" i="10"/>
  <c r="E50" i="10"/>
  <c r="Y51" i="1"/>
  <c r="W51" i="1"/>
  <c r="X51" i="1" s="1"/>
  <c r="R52" i="1" l="1"/>
  <c r="S52" i="1" s="1"/>
  <c r="T52" i="1" s="1"/>
  <c r="AA52" i="1" s="1"/>
  <c r="J50" i="10" s="1"/>
  <c r="F47" i="1"/>
  <c r="AO52" i="1"/>
  <c r="K47" i="1"/>
  <c r="L47" i="1" s="1"/>
  <c r="J47" i="1"/>
  <c r="P47" i="1"/>
  <c r="AN52" i="1"/>
  <c r="AK52" i="1"/>
  <c r="B50" i="10" s="1"/>
  <c r="AL52" i="1"/>
  <c r="F50" i="10" s="1"/>
  <c r="H48" i="1"/>
  <c r="D48" i="1"/>
  <c r="E48" i="1" s="1"/>
  <c r="C48" i="1"/>
  <c r="F48" i="1" s="1"/>
  <c r="AI52" i="1"/>
  <c r="N50" i="10" s="1"/>
  <c r="W52" i="1"/>
  <c r="X52" i="1" s="1"/>
  <c r="Y52" i="1"/>
  <c r="A54" i="1"/>
  <c r="AB53" i="1"/>
  <c r="AC53" i="1" s="1"/>
  <c r="AD53" i="1" s="1"/>
  <c r="AF53" i="1"/>
  <c r="AG53" i="1" s="1"/>
  <c r="AH53" i="1" s="1"/>
  <c r="I51" i="10"/>
  <c r="AO53" i="1"/>
  <c r="Z53" i="1"/>
  <c r="E51" i="10"/>
  <c r="R53" i="1"/>
  <c r="S53" i="1" s="1"/>
  <c r="A51" i="10"/>
  <c r="M51" i="10"/>
  <c r="AM53" i="1"/>
  <c r="V53" i="1" s="1"/>
  <c r="M47" i="1" l="1"/>
  <c r="G48" i="1"/>
  <c r="B49" i="1" s="1"/>
  <c r="D49" i="1" s="1"/>
  <c r="E49" i="1" s="1"/>
  <c r="N47" i="1"/>
  <c r="I48" i="1" s="1"/>
  <c r="AK53" i="1"/>
  <c r="B51" i="10" s="1"/>
  <c r="AN53" i="1"/>
  <c r="T53" i="1"/>
  <c r="AA53" i="1" s="1"/>
  <c r="J51" i="10" s="1"/>
  <c r="AI53" i="1"/>
  <c r="N51" i="10" s="1"/>
  <c r="AL53" i="1"/>
  <c r="F51" i="10" s="1"/>
  <c r="W53" i="1"/>
  <c r="X53" i="1" s="1"/>
  <c r="Y53" i="1"/>
  <c r="A55" i="1"/>
  <c r="AB54" i="1"/>
  <c r="AC54" i="1" s="1"/>
  <c r="AD54" i="1" s="1"/>
  <c r="Z54" i="1"/>
  <c r="A52" i="10"/>
  <c r="I52" i="10"/>
  <c r="AF54" i="1"/>
  <c r="AG54" i="1" s="1"/>
  <c r="AH54" i="1" s="1"/>
  <c r="M52" i="10"/>
  <c r="E52" i="10"/>
  <c r="R54" i="1"/>
  <c r="S54" i="1" s="1"/>
  <c r="T54" i="1" s="1"/>
  <c r="AM54" i="1"/>
  <c r="V54" i="1" s="1"/>
  <c r="C49" i="1" l="1"/>
  <c r="G49" i="1" s="1"/>
  <c r="B50" i="1" s="1"/>
  <c r="AO54" i="1"/>
  <c r="H49" i="1"/>
  <c r="K48" i="1"/>
  <c r="L48" i="1" s="1"/>
  <c r="P48" i="1"/>
  <c r="J48" i="1"/>
  <c r="N48" i="1" s="1"/>
  <c r="I49" i="1" s="1"/>
  <c r="AK54" i="1"/>
  <c r="B52" i="10" s="1"/>
  <c r="AA54" i="1"/>
  <c r="J52" i="10" s="1"/>
  <c r="H50" i="1"/>
  <c r="D50" i="1"/>
  <c r="E50" i="1" s="1"/>
  <c r="C50" i="1"/>
  <c r="AN54" i="1"/>
  <c r="F49" i="1"/>
  <c r="AI54" i="1"/>
  <c r="N52" i="10" s="1"/>
  <c r="AL54" i="1"/>
  <c r="F52" i="10" s="1"/>
  <c r="A56" i="1"/>
  <c r="AB55" i="1"/>
  <c r="AC55" i="1" s="1"/>
  <c r="AD55" i="1" s="1"/>
  <c r="M53" i="10"/>
  <c r="Z55" i="1"/>
  <c r="AM55" i="1"/>
  <c r="V55" i="1" s="1"/>
  <c r="A53" i="10"/>
  <c r="AF55" i="1"/>
  <c r="AG55" i="1" s="1"/>
  <c r="AH55" i="1" s="1"/>
  <c r="E53" i="10"/>
  <c r="I53" i="10"/>
  <c r="R55" i="1"/>
  <c r="S55" i="1" s="1"/>
  <c r="Y54" i="1"/>
  <c r="W54" i="1"/>
  <c r="X54" i="1" s="1"/>
  <c r="M48" i="1" l="1"/>
  <c r="P49" i="1"/>
  <c r="K49" i="1"/>
  <c r="L49" i="1" s="1"/>
  <c r="J49" i="1"/>
  <c r="AL55" i="1"/>
  <c r="F53" i="10" s="1"/>
  <c r="F50" i="1"/>
  <c r="AO55" i="1"/>
  <c r="G50" i="1"/>
  <c r="B51" i="1" s="1"/>
  <c r="H51" i="1" s="1"/>
  <c r="AI55" i="1"/>
  <c r="N53" i="10" s="1"/>
  <c r="AN55" i="1"/>
  <c r="T55" i="1"/>
  <c r="AA55" i="1" s="1"/>
  <c r="J53" i="10" s="1"/>
  <c r="AK55" i="1"/>
  <c r="B53" i="10" s="1"/>
  <c r="Y55" i="1"/>
  <c r="W55" i="1"/>
  <c r="X55" i="1" s="1"/>
  <c r="A57" i="1"/>
  <c r="AB56" i="1"/>
  <c r="AC56" i="1" s="1"/>
  <c r="AD56" i="1" s="1"/>
  <c r="A54" i="10"/>
  <c r="Z56" i="1"/>
  <c r="R56" i="1"/>
  <c r="S56" i="1" s="1"/>
  <c r="T56" i="1" s="1"/>
  <c r="I54" i="10"/>
  <c r="AF56" i="1"/>
  <c r="AG56" i="1" s="1"/>
  <c r="AH56" i="1" s="1"/>
  <c r="M54" i="10"/>
  <c r="E54" i="10"/>
  <c r="AM56" i="1"/>
  <c r="V56" i="1" s="1"/>
  <c r="D51" i="1" l="1"/>
  <c r="E51" i="1" s="1"/>
  <c r="M49" i="1"/>
  <c r="N49" i="1"/>
  <c r="I50" i="1" s="1"/>
  <c r="C51" i="1"/>
  <c r="AA56" i="1"/>
  <c r="J54" i="10" s="1"/>
  <c r="AK56" i="1"/>
  <c r="B54" i="10" s="1"/>
  <c r="AL56" i="1"/>
  <c r="F54" i="10" s="1"/>
  <c r="AI56" i="1"/>
  <c r="N54" i="10" s="1"/>
  <c r="AN56" i="1"/>
  <c r="AO56" i="1"/>
  <c r="A58" i="1"/>
  <c r="AB57" i="1"/>
  <c r="AC57" i="1" s="1"/>
  <c r="AD57" i="1" s="1"/>
  <c r="Z57" i="1"/>
  <c r="E55" i="10"/>
  <c r="M55" i="10"/>
  <c r="AF57" i="1"/>
  <c r="AG57" i="1" s="1"/>
  <c r="AH57" i="1" s="1"/>
  <c r="R57" i="1"/>
  <c r="S57" i="1" s="1"/>
  <c r="I55" i="10"/>
  <c r="AM57" i="1"/>
  <c r="V57" i="1" s="1"/>
  <c r="A55" i="10"/>
  <c r="Y56" i="1"/>
  <c r="W56" i="1"/>
  <c r="X56" i="1" s="1"/>
  <c r="AI57" i="1" l="1"/>
  <c r="N55" i="10" s="1"/>
  <c r="AO57" i="1"/>
  <c r="K50" i="1"/>
  <c r="L50" i="1" s="1"/>
  <c r="J50" i="1"/>
  <c r="N50" i="1" s="1"/>
  <c r="I51" i="1" s="1"/>
  <c r="P50" i="1"/>
  <c r="F51" i="1"/>
  <c r="G51" i="1"/>
  <c r="B52" i="1" s="1"/>
  <c r="AK57" i="1"/>
  <c r="B55" i="10" s="1"/>
  <c r="AN57" i="1"/>
  <c r="T57" i="1"/>
  <c r="AA57" i="1" s="1"/>
  <c r="J55" i="10" s="1"/>
  <c r="AL57" i="1"/>
  <c r="F55" i="10" s="1"/>
  <c r="W57" i="1"/>
  <c r="X57" i="1" s="1"/>
  <c r="Y57" i="1"/>
  <c r="A59" i="1"/>
  <c r="AB58" i="1"/>
  <c r="AC58" i="1" s="1"/>
  <c r="AD58" i="1" s="1"/>
  <c r="AF58" i="1"/>
  <c r="AG58" i="1" s="1"/>
  <c r="AH58" i="1" s="1"/>
  <c r="AM58" i="1"/>
  <c r="V58" i="1" s="1"/>
  <c r="I56" i="10"/>
  <c r="Z58" i="1"/>
  <c r="E56" i="10"/>
  <c r="R58" i="1"/>
  <c r="S58" i="1" s="1"/>
  <c r="T58" i="1" s="1"/>
  <c r="A56" i="10"/>
  <c r="M56" i="10"/>
  <c r="AO58" i="1" l="1"/>
  <c r="M50" i="1"/>
  <c r="C52" i="1"/>
  <c r="D52" i="1"/>
  <c r="E52" i="1" s="1"/>
  <c r="H52" i="1"/>
  <c r="J51" i="1"/>
  <c r="K51" i="1"/>
  <c r="L51" i="1" s="1"/>
  <c r="P51" i="1"/>
  <c r="AN58" i="1"/>
  <c r="N51" i="1"/>
  <c r="I52" i="1" s="1"/>
  <c r="AL58" i="1"/>
  <c r="F56" i="10" s="1"/>
  <c r="AA58" i="1"/>
  <c r="J56" i="10" s="1"/>
  <c r="P52" i="1"/>
  <c r="K52" i="1"/>
  <c r="L52" i="1" s="1"/>
  <c r="J52" i="1"/>
  <c r="N52" i="1" s="1"/>
  <c r="I53" i="1" s="1"/>
  <c r="AK58" i="1"/>
  <c r="B56" i="10" s="1"/>
  <c r="AI58" i="1"/>
  <c r="N56" i="10" s="1"/>
  <c r="W58" i="1"/>
  <c r="X58" i="1" s="1"/>
  <c r="Y58" i="1"/>
  <c r="A60" i="1"/>
  <c r="AB59" i="1"/>
  <c r="AC59" i="1" s="1"/>
  <c r="AD59" i="1" s="1"/>
  <c r="I57" i="10"/>
  <c r="AM59" i="1"/>
  <c r="V59" i="1" s="1"/>
  <c r="Z59" i="1"/>
  <c r="E57" i="10"/>
  <c r="AF59" i="1"/>
  <c r="AG59" i="1" s="1"/>
  <c r="AH59" i="1" s="1"/>
  <c r="A57" i="10"/>
  <c r="M57" i="10"/>
  <c r="R59" i="1"/>
  <c r="S59" i="1" s="1"/>
  <c r="M51" i="1" l="1"/>
  <c r="G52" i="1"/>
  <c r="B53" i="1" s="1"/>
  <c r="F52" i="1"/>
  <c r="AN59" i="1"/>
  <c r="T59" i="1"/>
  <c r="P53" i="1"/>
  <c r="J53" i="1"/>
  <c r="N53" i="1" s="1"/>
  <c r="I54" i="1" s="1"/>
  <c r="K53" i="1"/>
  <c r="L53" i="1" s="1"/>
  <c r="AA59" i="1"/>
  <c r="J57" i="10" s="1"/>
  <c r="AK59" i="1"/>
  <c r="B57" i="10" s="1"/>
  <c r="AO59" i="1"/>
  <c r="M52" i="1"/>
  <c r="AI59" i="1"/>
  <c r="N57" i="10" s="1"/>
  <c r="AL59" i="1"/>
  <c r="F57" i="10" s="1"/>
  <c r="A61" i="1"/>
  <c r="AB60" i="1"/>
  <c r="AC60" i="1" s="1"/>
  <c r="AD60" i="1" s="1"/>
  <c r="A58" i="10"/>
  <c r="I58" i="10"/>
  <c r="Z60" i="1"/>
  <c r="AF60" i="1"/>
  <c r="AG60" i="1" s="1"/>
  <c r="AH60" i="1" s="1"/>
  <c r="M58" i="10"/>
  <c r="E58" i="10"/>
  <c r="R60" i="1"/>
  <c r="S60" i="1" s="1"/>
  <c r="AM60" i="1"/>
  <c r="V60" i="1" s="1"/>
  <c r="W59" i="1"/>
  <c r="X59" i="1" s="1"/>
  <c r="Y59" i="1"/>
  <c r="AO60" i="1" l="1"/>
  <c r="H53" i="1"/>
  <c r="C53" i="1"/>
  <c r="G53" i="1" s="1"/>
  <c r="B54" i="1" s="1"/>
  <c r="D53" i="1"/>
  <c r="E53" i="1" s="1"/>
  <c r="AK60" i="1"/>
  <c r="B58" i="10" s="1"/>
  <c r="AN60" i="1"/>
  <c r="T60" i="1"/>
  <c r="AA60" i="1" s="1"/>
  <c r="J58" i="10" s="1"/>
  <c r="P54" i="1"/>
  <c r="J54" i="1"/>
  <c r="N54" i="1" s="1"/>
  <c r="I55" i="1" s="1"/>
  <c r="K54" i="1"/>
  <c r="L54" i="1" s="1"/>
  <c r="M54" i="1" s="1"/>
  <c r="AI60" i="1"/>
  <c r="N58" i="10" s="1"/>
  <c r="M53" i="1"/>
  <c r="AL60" i="1"/>
  <c r="F58" i="10" s="1"/>
  <c r="W60" i="1"/>
  <c r="X60" i="1" s="1"/>
  <c r="Y60" i="1"/>
  <c r="A62" i="1"/>
  <c r="AB61" i="1"/>
  <c r="AC61" i="1" s="1"/>
  <c r="AD61" i="1" s="1"/>
  <c r="M59" i="10"/>
  <c r="R61" i="1"/>
  <c r="S61" i="1" s="1"/>
  <c r="T61" i="1" s="1"/>
  <c r="A59" i="10"/>
  <c r="AF61" i="1"/>
  <c r="AG61" i="1" s="1"/>
  <c r="AH61" i="1" s="1"/>
  <c r="E59" i="10"/>
  <c r="I59" i="10"/>
  <c r="Z61" i="1"/>
  <c r="AM61" i="1"/>
  <c r="V61" i="1" s="1"/>
  <c r="AO61" i="1" l="1"/>
  <c r="F53" i="1"/>
  <c r="D54" i="1"/>
  <c r="E54" i="1" s="1"/>
  <c r="C54" i="1"/>
  <c r="G54" i="1" s="1"/>
  <c r="B55" i="1" s="1"/>
  <c r="H54" i="1"/>
  <c r="AA61" i="1"/>
  <c r="J59" i="10" s="1"/>
  <c r="AK61" i="1"/>
  <c r="B59" i="10" s="1"/>
  <c r="AL61" i="1"/>
  <c r="F59" i="10" s="1"/>
  <c r="P55" i="1"/>
  <c r="J55" i="1"/>
  <c r="K55" i="1"/>
  <c r="L55" i="1" s="1"/>
  <c r="AI61" i="1"/>
  <c r="N59" i="10" s="1"/>
  <c r="AN61" i="1"/>
  <c r="A63" i="1"/>
  <c r="AB62" i="1"/>
  <c r="AC62" i="1" s="1"/>
  <c r="AD62" i="1" s="1"/>
  <c r="Z62" i="1"/>
  <c r="M60" i="10"/>
  <c r="AF62" i="1"/>
  <c r="AG62" i="1" s="1"/>
  <c r="AH62" i="1" s="1"/>
  <c r="A60" i="10"/>
  <c r="AO62" i="1"/>
  <c r="E60" i="10"/>
  <c r="I60" i="10"/>
  <c r="R62" i="1"/>
  <c r="S62" i="1" s="1"/>
  <c r="T62" i="1" s="1"/>
  <c r="AM62" i="1"/>
  <c r="AN62" i="1" s="1"/>
  <c r="Y61" i="1"/>
  <c r="W61" i="1"/>
  <c r="X61" i="1" s="1"/>
  <c r="F54" i="1" l="1"/>
  <c r="M55" i="1"/>
  <c r="C55" i="1"/>
  <c r="G55" i="1" s="1"/>
  <c r="B56" i="1" s="1"/>
  <c r="D55" i="1"/>
  <c r="E55" i="1" s="1"/>
  <c r="H55" i="1"/>
  <c r="N55" i="1"/>
  <c r="I56" i="1" s="1"/>
  <c r="V62" i="1"/>
  <c r="W62" i="1" s="1"/>
  <c r="X62" i="1" s="1"/>
  <c r="AI62" i="1"/>
  <c r="N60" i="10" s="1"/>
  <c r="AL62" i="1"/>
  <c r="F60" i="10" s="1"/>
  <c r="A64" i="1"/>
  <c r="AB63" i="1"/>
  <c r="AC63" i="1" s="1"/>
  <c r="AD63" i="1" s="1"/>
  <c r="AF63" i="1"/>
  <c r="AG63" i="1" s="1"/>
  <c r="AH63" i="1" s="1"/>
  <c r="E61" i="10"/>
  <c r="AM63" i="1"/>
  <c r="V63" i="1" s="1"/>
  <c r="I61" i="10"/>
  <c r="Z63" i="1"/>
  <c r="M61" i="10"/>
  <c r="A61" i="10"/>
  <c r="D56" i="1" l="1"/>
  <c r="E56" i="1" s="1"/>
  <c r="H56" i="1"/>
  <c r="C56" i="1"/>
  <c r="G56" i="1" s="1"/>
  <c r="B57" i="1" s="1"/>
  <c r="F55" i="1"/>
  <c r="P56" i="1"/>
  <c r="K56" i="1"/>
  <c r="L56" i="1" s="1"/>
  <c r="J56" i="1"/>
  <c r="M56" i="1" s="1"/>
  <c r="AL63" i="1"/>
  <c r="F61" i="10" s="1"/>
  <c r="AK62" i="1"/>
  <c r="B60" i="10" s="1"/>
  <c r="AA62" i="1"/>
  <c r="J60" i="10" s="1"/>
  <c r="Y62" i="1"/>
  <c r="AO63" i="1"/>
  <c r="R63" i="1"/>
  <c r="S63" i="1" s="1"/>
  <c r="AK63" i="1" s="1"/>
  <c r="B61" i="10" s="1"/>
  <c r="AI63" i="1"/>
  <c r="N61" i="10" s="1"/>
  <c r="Y63" i="1"/>
  <c r="W63" i="1"/>
  <c r="X63" i="1" s="1"/>
  <c r="A65" i="1"/>
  <c r="AB64" i="1"/>
  <c r="AC64" i="1" s="1"/>
  <c r="AD64" i="1" s="1"/>
  <c r="AF64" i="1"/>
  <c r="AG64" i="1" s="1"/>
  <c r="AH64" i="1" s="1"/>
  <c r="M62" i="10"/>
  <c r="AM64" i="1"/>
  <c r="V64" i="1" s="1"/>
  <c r="A62" i="10"/>
  <c r="Z64" i="1"/>
  <c r="E62" i="10"/>
  <c r="I62" i="10"/>
  <c r="D57" i="1" l="1"/>
  <c r="E57" i="1" s="1"/>
  <c r="H57" i="1"/>
  <c r="C57" i="1"/>
  <c r="F57" i="1" s="1"/>
  <c r="F56" i="1"/>
  <c r="AL64" i="1"/>
  <c r="F62" i="10" s="1"/>
  <c r="AI64" i="1"/>
  <c r="N62" i="10" s="1"/>
  <c r="T63" i="1"/>
  <c r="AA63" i="1" s="1"/>
  <c r="J61" i="10" s="1"/>
  <c r="AN63" i="1"/>
  <c r="R64" i="1"/>
  <c r="S64" i="1" s="1"/>
  <c r="AO64" i="1"/>
  <c r="N56" i="1"/>
  <c r="I57" i="1" s="1"/>
  <c r="W64" i="1"/>
  <c r="X64" i="1" s="1"/>
  <c r="Y64" i="1"/>
  <c r="A66" i="1"/>
  <c r="AB65" i="1"/>
  <c r="AC65" i="1" s="1"/>
  <c r="AD65" i="1" s="1"/>
  <c r="AF65" i="1"/>
  <c r="AG65" i="1" s="1"/>
  <c r="AH65" i="1" s="1"/>
  <c r="E63" i="10"/>
  <c r="Z65" i="1"/>
  <c r="AO65" i="1"/>
  <c r="I63" i="10"/>
  <c r="R65" i="1"/>
  <c r="S65" i="1" s="1"/>
  <c r="T65" i="1" s="1"/>
  <c r="A63" i="10"/>
  <c r="AM65" i="1"/>
  <c r="AN65" i="1" s="1"/>
  <c r="M63" i="10"/>
  <c r="G57" i="1" l="1"/>
  <c r="B58" i="1" s="1"/>
  <c r="D58" i="1" s="1"/>
  <c r="E58" i="1" s="1"/>
  <c r="C58" i="1"/>
  <c r="G58" i="1" s="1"/>
  <c r="B59" i="1" s="1"/>
  <c r="AN64" i="1"/>
  <c r="T64" i="1"/>
  <c r="V65" i="1"/>
  <c r="Y65" i="1" s="1"/>
  <c r="AK64" i="1"/>
  <c r="B62" i="10" s="1"/>
  <c r="AI65" i="1"/>
  <c r="N63" i="10" s="1"/>
  <c r="AA64" i="1"/>
  <c r="J62" i="10" s="1"/>
  <c r="P57" i="1"/>
  <c r="J57" i="1"/>
  <c r="K57" i="1"/>
  <c r="L57" i="1" s="1"/>
  <c r="AL65" i="1"/>
  <c r="F63" i="10" s="1"/>
  <c r="A67" i="1"/>
  <c r="AB66" i="1"/>
  <c r="AC66" i="1" s="1"/>
  <c r="AD66" i="1" s="1"/>
  <c r="M64" i="10"/>
  <c r="Z66" i="1"/>
  <c r="AM66" i="1"/>
  <c r="V66" i="1" s="1"/>
  <c r="A64" i="10"/>
  <c r="AF66" i="1"/>
  <c r="AG66" i="1" s="1"/>
  <c r="AH66" i="1" s="1"/>
  <c r="E64" i="10"/>
  <c r="I64" i="10"/>
  <c r="AO66" i="1" l="1"/>
  <c r="H58" i="1"/>
  <c r="M57" i="1"/>
  <c r="R66" i="1"/>
  <c r="S66" i="1" s="1"/>
  <c r="H59" i="1"/>
  <c r="C59" i="1"/>
  <c r="G59" i="1" s="1"/>
  <c r="B60" i="1" s="1"/>
  <c r="D59" i="1"/>
  <c r="E59" i="1" s="1"/>
  <c r="F59" i="1"/>
  <c r="W65" i="1"/>
  <c r="X65" i="1" s="1"/>
  <c r="F58" i="1"/>
  <c r="AN66" i="1"/>
  <c r="T66" i="1"/>
  <c r="AA66" i="1" s="1"/>
  <c r="J64" i="10" s="1"/>
  <c r="AI66" i="1"/>
  <c r="N64" i="10" s="1"/>
  <c r="N57" i="1"/>
  <c r="I58" i="1" s="1"/>
  <c r="AK66" i="1"/>
  <c r="B64" i="10" s="1"/>
  <c r="AL66" i="1"/>
  <c r="F64" i="10" s="1"/>
  <c r="AK65" i="1"/>
  <c r="B63" i="10" s="1"/>
  <c r="AA65" i="1"/>
  <c r="J63" i="10" s="1"/>
  <c r="A68" i="1"/>
  <c r="AB67" i="1"/>
  <c r="AC67" i="1" s="1"/>
  <c r="AD67" i="1" s="1"/>
  <c r="R67" i="1"/>
  <c r="S67" i="1" s="1"/>
  <c r="T67" i="1" s="1"/>
  <c r="M65" i="10"/>
  <c r="AF67" i="1"/>
  <c r="AG67" i="1" s="1"/>
  <c r="AH67" i="1" s="1"/>
  <c r="E65" i="10"/>
  <c r="I65" i="10"/>
  <c r="AM67" i="1"/>
  <c r="AN67" i="1" s="1"/>
  <c r="AO67" i="1"/>
  <c r="A65" i="10"/>
  <c r="Z67" i="1"/>
  <c r="W66" i="1"/>
  <c r="X66" i="1" s="1"/>
  <c r="Y66" i="1"/>
  <c r="H60" i="1" l="1"/>
  <c r="C60" i="1"/>
  <c r="G60" i="1" s="1"/>
  <c r="B61" i="1" s="1"/>
  <c r="D60" i="1"/>
  <c r="E60" i="1" s="1"/>
  <c r="V67" i="1"/>
  <c r="AK67" i="1" s="1"/>
  <c r="B65" i="10" s="1"/>
  <c r="P58" i="1"/>
  <c r="J58" i="1"/>
  <c r="K58" i="1"/>
  <c r="L58" i="1" s="1"/>
  <c r="AI67" i="1"/>
  <c r="N65" i="10" s="1"/>
  <c r="AL67" i="1"/>
  <c r="F65" i="10" s="1"/>
  <c r="Y67" i="1"/>
  <c r="A69" i="1"/>
  <c r="AB68" i="1"/>
  <c r="AC68" i="1" s="1"/>
  <c r="AD68" i="1" s="1"/>
  <c r="AF68" i="1"/>
  <c r="AG68" i="1" s="1"/>
  <c r="AH68" i="1" s="1"/>
  <c r="E66" i="10"/>
  <c r="Z68" i="1"/>
  <c r="M66" i="10"/>
  <c r="AM68" i="1"/>
  <c r="V68" i="1" s="1"/>
  <c r="A66" i="10"/>
  <c r="R68" i="1"/>
  <c r="S68" i="1" s="1"/>
  <c r="I66" i="10"/>
  <c r="W67" i="1" l="1"/>
  <c r="X67" i="1" s="1"/>
  <c r="AA67" i="1"/>
  <c r="J65" i="10" s="1"/>
  <c r="M58" i="1"/>
  <c r="T68" i="1"/>
  <c r="AN68" i="1"/>
  <c r="C61" i="1"/>
  <c r="D61" i="1"/>
  <c r="E61" i="1" s="1"/>
  <c r="H61" i="1"/>
  <c r="G61" i="1"/>
  <c r="B62" i="1" s="1"/>
  <c r="F60" i="1"/>
  <c r="AK68" i="1"/>
  <c r="B66" i="10" s="1"/>
  <c r="AA68" i="1"/>
  <c r="J66" i="10" s="1"/>
  <c r="AO68" i="1"/>
  <c r="N58" i="1"/>
  <c r="I59" i="1" s="1"/>
  <c r="AL68" i="1"/>
  <c r="F66" i="10" s="1"/>
  <c r="AI68" i="1"/>
  <c r="N66" i="10" s="1"/>
  <c r="Y68" i="1"/>
  <c r="W68" i="1"/>
  <c r="X68" i="1" s="1"/>
  <c r="A70" i="1"/>
  <c r="AB69" i="1"/>
  <c r="AC69" i="1" s="1"/>
  <c r="AD69" i="1" s="1"/>
  <c r="R69" i="1"/>
  <c r="S69" i="1" s="1"/>
  <c r="E67" i="10"/>
  <c r="AF69" i="1"/>
  <c r="AG69" i="1" s="1"/>
  <c r="AH69" i="1" s="1"/>
  <c r="M67" i="10"/>
  <c r="AM69" i="1"/>
  <c r="V69" i="1" s="1"/>
  <c r="A67" i="10"/>
  <c r="Z69" i="1"/>
  <c r="I67" i="10"/>
  <c r="F61" i="1" l="1"/>
  <c r="T69" i="1"/>
  <c r="AA69" i="1" s="1"/>
  <c r="J67" i="10" s="1"/>
  <c r="AN69" i="1"/>
  <c r="D62" i="1"/>
  <c r="E62" i="1" s="1"/>
  <c r="H62" i="1"/>
  <c r="C62" i="1"/>
  <c r="G62" i="1" s="1"/>
  <c r="B63" i="1" s="1"/>
  <c r="AK69" i="1"/>
  <c r="B67" i="10" s="1"/>
  <c r="P59" i="1"/>
  <c r="J59" i="1"/>
  <c r="N59" i="1" s="1"/>
  <c r="I60" i="1" s="1"/>
  <c r="K59" i="1"/>
  <c r="L59" i="1" s="1"/>
  <c r="AI69" i="1"/>
  <c r="N67" i="10" s="1"/>
  <c r="AO69" i="1"/>
  <c r="AL69" i="1"/>
  <c r="F67" i="10" s="1"/>
  <c r="A71" i="1"/>
  <c r="AB70" i="1"/>
  <c r="AC70" i="1" s="1"/>
  <c r="AD70" i="1" s="1"/>
  <c r="R70" i="1"/>
  <c r="AM70" i="1"/>
  <c r="V70" i="1" s="1"/>
  <c r="I68" i="10"/>
  <c r="AF70" i="1"/>
  <c r="AG70" i="1" s="1"/>
  <c r="AH70" i="1" s="1"/>
  <c r="E68" i="10"/>
  <c r="Z70" i="1"/>
  <c r="M68" i="10"/>
  <c r="AO70" i="1"/>
  <c r="A68" i="10"/>
  <c r="S70" i="1"/>
  <c r="T70" i="1" s="1"/>
  <c r="W69" i="1"/>
  <c r="X69" i="1" s="1"/>
  <c r="Y69" i="1"/>
  <c r="AI70" i="1" l="1"/>
  <c r="N68" i="10" s="1"/>
  <c r="F62" i="1"/>
  <c r="H63" i="1"/>
  <c r="C63" i="1"/>
  <c r="G63" i="1" s="1"/>
  <c r="B64" i="1" s="1"/>
  <c r="D63" i="1"/>
  <c r="E63" i="1" s="1"/>
  <c r="P60" i="1"/>
  <c r="K60" i="1"/>
  <c r="L60" i="1" s="1"/>
  <c r="J60" i="1"/>
  <c r="AK70" i="1"/>
  <c r="B68" i="10" s="1"/>
  <c r="AA70" i="1"/>
  <c r="J68" i="10" s="1"/>
  <c r="AN70" i="1"/>
  <c r="M59" i="1"/>
  <c r="AL70" i="1"/>
  <c r="F68" i="10" s="1"/>
  <c r="Y70" i="1"/>
  <c r="W70" i="1"/>
  <c r="X70" i="1" s="1"/>
  <c r="A72" i="1"/>
  <c r="AB71" i="1"/>
  <c r="AC71" i="1" s="1"/>
  <c r="AD71" i="1" s="1"/>
  <c r="A69" i="10"/>
  <c r="AM71" i="1"/>
  <c r="V71" i="1" s="1"/>
  <c r="I69" i="10"/>
  <c r="AF71" i="1"/>
  <c r="AG71" i="1" s="1"/>
  <c r="AH71" i="1" s="1"/>
  <c r="R71" i="1"/>
  <c r="S71" i="1" s="1"/>
  <c r="T71" i="1" s="1"/>
  <c r="Z71" i="1"/>
  <c r="M69" i="10"/>
  <c r="E69" i="10"/>
  <c r="M60" i="1" l="1"/>
  <c r="D64" i="1"/>
  <c r="E64" i="1" s="1"/>
  <c r="H64" i="1"/>
  <c r="C64" i="1"/>
  <c r="G64" i="1" s="1"/>
  <c r="B65" i="1" s="1"/>
  <c r="F63" i="1"/>
  <c r="AO71" i="1"/>
  <c r="AA71" i="1"/>
  <c r="J69" i="10" s="1"/>
  <c r="AK71" i="1"/>
  <c r="B69" i="10" s="1"/>
  <c r="N60" i="1"/>
  <c r="I61" i="1" s="1"/>
  <c r="AN71" i="1"/>
  <c r="AL71" i="1"/>
  <c r="F69" i="10" s="1"/>
  <c r="AI71" i="1"/>
  <c r="N69" i="10" s="1"/>
  <c r="W71" i="1"/>
  <c r="X71" i="1" s="1"/>
  <c r="Y71" i="1"/>
  <c r="A73" i="1"/>
  <c r="AB72" i="1"/>
  <c r="AC72" i="1" s="1"/>
  <c r="AD72" i="1" s="1"/>
  <c r="Z72" i="1"/>
  <c r="M70" i="10"/>
  <c r="AM72" i="1"/>
  <c r="V72" i="1" s="1"/>
  <c r="A70" i="10"/>
  <c r="E70" i="10"/>
  <c r="R72" i="1"/>
  <c r="S72" i="1" s="1"/>
  <c r="T72" i="1" s="1"/>
  <c r="AF72" i="1"/>
  <c r="AG72" i="1" s="1"/>
  <c r="AH72" i="1" s="1"/>
  <c r="I70" i="10"/>
  <c r="H65" i="1" l="1"/>
  <c r="C65" i="1"/>
  <c r="G65" i="1" s="1"/>
  <c r="B66" i="1" s="1"/>
  <c r="D65" i="1"/>
  <c r="E65" i="1" s="1"/>
  <c r="F64" i="1"/>
  <c r="AK72" i="1"/>
  <c r="B70" i="10" s="1"/>
  <c r="AA72" i="1"/>
  <c r="J70" i="10" s="1"/>
  <c r="AN72" i="1"/>
  <c r="AL72" i="1"/>
  <c r="F70" i="10" s="1"/>
  <c r="AI72" i="1"/>
  <c r="N70" i="10" s="1"/>
  <c r="P61" i="1"/>
  <c r="K61" i="1"/>
  <c r="L61" i="1" s="1"/>
  <c r="J61" i="1"/>
  <c r="N61" i="1" s="1"/>
  <c r="I62" i="1" s="1"/>
  <c r="AO72" i="1"/>
  <c r="W72" i="1"/>
  <c r="X72" i="1" s="1"/>
  <c r="Y72" i="1"/>
  <c r="A74" i="1"/>
  <c r="AB73" i="1"/>
  <c r="AC73" i="1" s="1"/>
  <c r="AD73" i="1" s="1"/>
  <c r="AF73" i="1"/>
  <c r="AG73" i="1" s="1"/>
  <c r="AH73" i="1" s="1"/>
  <c r="E71" i="10"/>
  <c r="R73" i="1"/>
  <c r="S73" i="1" s="1"/>
  <c r="T73" i="1" s="1"/>
  <c r="M71" i="10"/>
  <c r="A71" i="10"/>
  <c r="AM73" i="1"/>
  <c r="Z73" i="1"/>
  <c r="I71" i="10"/>
  <c r="AO73" i="1" l="1"/>
  <c r="AN73" i="1"/>
  <c r="D66" i="1"/>
  <c r="E66" i="1" s="1"/>
  <c r="H66" i="1"/>
  <c r="C66" i="1"/>
  <c r="G66" i="1" s="1"/>
  <c r="B67" i="1" s="1"/>
  <c r="F65" i="1"/>
  <c r="P62" i="1"/>
  <c r="K62" i="1"/>
  <c r="L62" i="1" s="1"/>
  <c r="J62" i="1"/>
  <c r="M62" i="1" s="1"/>
  <c r="V73" i="1"/>
  <c r="AI73" i="1"/>
  <c r="N71" i="10" s="1"/>
  <c r="AL73" i="1"/>
  <c r="F71" i="10" s="1"/>
  <c r="M61" i="1"/>
  <c r="A75" i="1"/>
  <c r="AB74" i="1"/>
  <c r="AC74" i="1" s="1"/>
  <c r="AD74" i="1" s="1"/>
  <c r="Z74" i="1"/>
  <c r="E72" i="10"/>
  <c r="AM74" i="1"/>
  <c r="M72" i="10"/>
  <c r="AF74" i="1"/>
  <c r="AG74" i="1" s="1"/>
  <c r="AH74" i="1" s="1"/>
  <c r="A72" i="10"/>
  <c r="R74" i="1"/>
  <c r="S74" i="1" s="1"/>
  <c r="T74" i="1" s="1"/>
  <c r="I72" i="10"/>
  <c r="W73" i="1"/>
  <c r="X73" i="1" s="1"/>
  <c r="Y73" i="1"/>
  <c r="AN74" i="1" l="1"/>
  <c r="F66" i="1"/>
  <c r="H67" i="1"/>
  <c r="C67" i="1"/>
  <c r="D67" i="1"/>
  <c r="E67" i="1" s="1"/>
  <c r="AO74" i="1"/>
  <c r="AA73" i="1"/>
  <c r="J71" i="10" s="1"/>
  <c r="AK73" i="1"/>
  <c r="B71" i="10" s="1"/>
  <c r="N62" i="1"/>
  <c r="I63" i="1" s="1"/>
  <c r="V74" i="1"/>
  <c r="R75" i="1" s="1"/>
  <c r="S75" i="1" s="1"/>
  <c r="T75" i="1" s="1"/>
  <c r="AI74" i="1"/>
  <c r="N72" i="10" s="1"/>
  <c r="AL74" i="1"/>
  <c r="F72" i="10" s="1"/>
  <c r="A76" i="1"/>
  <c r="AB75" i="1"/>
  <c r="AC75" i="1" s="1"/>
  <c r="AD75" i="1" s="1"/>
  <c r="Z75" i="1"/>
  <c r="I73" i="10"/>
  <c r="AF75" i="1"/>
  <c r="AG75" i="1" s="1"/>
  <c r="AH75" i="1" s="1"/>
  <c r="E73" i="10"/>
  <c r="M73" i="10"/>
  <c r="A73" i="10"/>
  <c r="AM75" i="1"/>
  <c r="V75" i="1" s="1"/>
  <c r="AI75" i="1" l="1"/>
  <c r="N73" i="10" s="1"/>
  <c r="G67" i="1"/>
  <c r="B68" i="1" s="1"/>
  <c r="F67" i="1"/>
  <c r="AA75" i="1"/>
  <c r="J73" i="10" s="1"/>
  <c r="AK75" i="1"/>
  <c r="B73" i="10" s="1"/>
  <c r="AK74" i="1"/>
  <c r="B72" i="10" s="1"/>
  <c r="AA74" i="1"/>
  <c r="J72" i="10" s="1"/>
  <c r="AO75" i="1"/>
  <c r="AL75" i="1"/>
  <c r="F73" i="10" s="1"/>
  <c r="Y74" i="1"/>
  <c r="P63" i="1"/>
  <c r="J63" i="1"/>
  <c r="K63" i="1"/>
  <c r="L63" i="1" s="1"/>
  <c r="AN75" i="1"/>
  <c r="W74" i="1"/>
  <c r="X74" i="1" s="1"/>
  <c r="A77" i="1"/>
  <c r="AB76" i="1"/>
  <c r="AC76" i="1" s="1"/>
  <c r="AD76" i="1" s="1"/>
  <c r="A74" i="10"/>
  <c r="Z76" i="1"/>
  <c r="R76" i="1"/>
  <c r="S76" i="1" s="1"/>
  <c r="T76" i="1" s="1"/>
  <c r="I74" i="10"/>
  <c r="AM76" i="1"/>
  <c r="V76" i="1" s="1"/>
  <c r="AF76" i="1"/>
  <c r="AG76" i="1" s="1"/>
  <c r="AH76" i="1" s="1"/>
  <c r="M74" i="10"/>
  <c r="E74" i="10"/>
  <c r="Y75" i="1"/>
  <c r="W75" i="1"/>
  <c r="X75" i="1" s="1"/>
  <c r="M63" i="1" l="1"/>
  <c r="AN76" i="1"/>
  <c r="C68" i="1"/>
  <c r="G68" i="1" s="1"/>
  <c r="B69" i="1" s="1"/>
  <c r="D68" i="1"/>
  <c r="E68" i="1" s="1"/>
  <c r="H68" i="1"/>
  <c r="N63" i="1"/>
  <c r="I64" i="1" s="1"/>
  <c r="P64" i="1" s="1"/>
  <c r="AK76" i="1"/>
  <c r="B74" i="10" s="1"/>
  <c r="AA76" i="1"/>
  <c r="J74" i="10" s="1"/>
  <c r="K64" i="1"/>
  <c r="L64" i="1" s="1"/>
  <c r="AI76" i="1"/>
  <c r="N74" i="10" s="1"/>
  <c r="AO76" i="1"/>
  <c r="AL76" i="1"/>
  <c r="F74" i="10" s="1"/>
  <c r="Y76" i="1"/>
  <c r="W76" i="1"/>
  <c r="X76" i="1" s="1"/>
  <c r="A78" i="1"/>
  <c r="AB77" i="1"/>
  <c r="AC77" i="1" s="1"/>
  <c r="AD77" i="1" s="1"/>
  <c r="Z77" i="1"/>
  <c r="AO77" i="1"/>
  <c r="M75" i="10"/>
  <c r="AF77" i="1"/>
  <c r="AG77" i="1" s="1"/>
  <c r="AH77" i="1" s="1"/>
  <c r="A75" i="10"/>
  <c r="AM77" i="1"/>
  <c r="V77" i="1" s="1"/>
  <c r="R77" i="1"/>
  <c r="S77" i="1" s="1"/>
  <c r="E75" i="10"/>
  <c r="I75" i="10"/>
  <c r="J64" i="1" l="1"/>
  <c r="M64" i="1" s="1"/>
  <c r="AK77" i="1"/>
  <c r="B75" i="10" s="1"/>
  <c r="N64" i="1"/>
  <c r="I65" i="1" s="1"/>
  <c r="F68" i="1"/>
  <c r="C69" i="1"/>
  <c r="D69" i="1"/>
  <c r="E69" i="1" s="1"/>
  <c r="H69" i="1"/>
  <c r="AI77" i="1"/>
  <c r="N75" i="10" s="1"/>
  <c r="T77" i="1"/>
  <c r="AN77" i="1"/>
  <c r="P65" i="1"/>
  <c r="J65" i="1"/>
  <c r="K65" i="1"/>
  <c r="L65" i="1" s="1"/>
  <c r="AA77" i="1"/>
  <c r="J75" i="10" s="1"/>
  <c r="AL77" i="1"/>
  <c r="F75" i="10" s="1"/>
  <c r="A79" i="1"/>
  <c r="D78" i="1"/>
  <c r="C78" i="1"/>
  <c r="AL78" i="1"/>
  <c r="F76" i="10" s="1"/>
  <c r="I78" i="1"/>
  <c r="P78" i="1" s="1"/>
  <c r="AK78" i="1"/>
  <c r="B76" i="10" s="1"/>
  <c r="B78" i="1"/>
  <c r="H78" i="1" s="1"/>
  <c r="AB78" i="1"/>
  <c r="AC78" i="1" s="1"/>
  <c r="AD78" i="1" s="1"/>
  <c r="F78" i="1"/>
  <c r="V78" i="1"/>
  <c r="G78" i="1"/>
  <c r="E78" i="1"/>
  <c r="M78" i="1"/>
  <c r="N78" i="1"/>
  <c r="L78" i="1"/>
  <c r="K78" i="1"/>
  <c r="AA78" i="1"/>
  <c r="J76" i="10" s="1"/>
  <c r="J78" i="1"/>
  <c r="O76" i="10"/>
  <c r="K76" i="10"/>
  <c r="C76" i="10"/>
  <c r="AI78" i="1"/>
  <c r="N76" i="10" s="1"/>
  <c r="G76" i="10"/>
  <c r="AM78" i="1"/>
  <c r="AF78" i="1"/>
  <c r="AG78" i="1" s="1"/>
  <c r="AH78" i="1" s="1"/>
  <c r="M76" i="10"/>
  <c r="AN78" i="1"/>
  <c r="Z78" i="1"/>
  <c r="A76" i="10"/>
  <c r="S78" i="1"/>
  <c r="I76" i="10"/>
  <c r="AO78" i="1"/>
  <c r="R78" i="1"/>
  <c r="T78" i="1"/>
  <c r="E76" i="10"/>
  <c r="Y77" i="1"/>
  <c r="W77" i="1"/>
  <c r="X77" i="1" s="1"/>
  <c r="F69" i="1" l="1"/>
  <c r="M65" i="1"/>
  <c r="N65" i="1"/>
  <c r="I66" i="1" s="1"/>
  <c r="P66" i="1" s="1"/>
  <c r="G69" i="1"/>
  <c r="B70" i="1" s="1"/>
  <c r="J66" i="1"/>
  <c r="N66" i="1" s="1"/>
  <c r="I67" i="1" s="1"/>
  <c r="W78" i="1"/>
  <c r="X78" i="1" s="1"/>
  <c r="Y78" i="1"/>
  <c r="D79" i="1"/>
  <c r="C79" i="1"/>
  <c r="A80" i="1"/>
  <c r="I79" i="1"/>
  <c r="P79" i="1" s="1"/>
  <c r="B79" i="1"/>
  <c r="H79" i="1" s="1"/>
  <c r="AL79" i="1"/>
  <c r="F77" i="10" s="1"/>
  <c r="AK79" i="1"/>
  <c r="B77" i="10" s="1"/>
  <c r="F79" i="1"/>
  <c r="E79" i="1"/>
  <c r="N79" i="1"/>
  <c r="AB79" i="1"/>
  <c r="AC79" i="1" s="1"/>
  <c r="AD79" i="1" s="1"/>
  <c r="G79" i="1"/>
  <c r="V79" i="1"/>
  <c r="AA79" i="1"/>
  <c r="J77" i="10" s="1"/>
  <c r="L79" i="1"/>
  <c r="K79" i="1"/>
  <c r="M79" i="1"/>
  <c r="AI79" i="1"/>
  <c r="N77" i="10" s="1"/>
  <c r="O77" i="10"/>
  <c r="C77" i="10"/>
  <c r="J79" i="1"/>
  <c r="K77" i="10"/>
  <c r="R79" i="1"/>
  <c r="AF79" i="1"/>
  <c r="AG79" i="1" s="1"/>
  <c r="AH79" i="1" s="1"/>
  <c r="E77" i="10"/>
  <c r="S79" i="1"/>
  <c r="AN79" i="1"/>
  <c r="M77" i="10"/>
  <c r="G77" i="10"/>
  <c r="Z79" i="1"/>
  <c r="A77" i="10"/>
  <c r="T79" i="1"/>
  <c r="I77" i="10"/>
  <c r="AO79" i="1"/>
  <c r="AM79" i="1"/>
  <c r="K66" i="1" l="1"/>
  <c r="L66" i="1" s="1"/>
  <c r="C70" i="1"/>
  <c r="D70" i="1"/>
  <c r="E70" i="1" s="1"/>
  <c r="H70" i="1"/>
  <c r="P67" i="1"/>
  <c r="J67" i="1"/>
  <c r="N67" i="1" s="1"/>
  <c r="I68" i="1" s="1"/>
  <c r="K67" i="1"/>
  <c r="L67" i="1" s="1"/>
  <c r="W79" i="1"/>
  <c r="X79" i="1" s="1"/>
  <c r="Y79" i="1"/>
  <c r="A81" i="1"/>
  <c r="D80" i="1"/>
  <c r="C80" i="1"/>
  <c r="I80" i="1"/>
  <c r="P80" i="1" s="1"/>
  <c r="B80" i="1"/>
  <c r="H80" i="1" s="1"/>
  <c r="AL80" i="1"/>
  <c r="F78" i="10" s="1"/>
  <c r="F80" i="1"/>
  <c r="E80" i="1"/>
  <c r="AA80" i="1"/>
  <c r="J78" i="10" s="1"/>
  <c r="AK80" i="1"/>
  <c r="B78" i="10" s="1"/>
  <c r="G80" i="1"/>
  <c r="V80" i="1"/>
  <c r="AB80" i="1"/>
  <c r="AC80" i="1" s="1"/>
  <c r="AD80" i="1" s="1"/>
  <c r="L80" i="1"/>
  <c r="K80" i="1"/>
  <c r="AI80" i="1"/>
  <c r="N78" i="10" s="1"/>
  <c r="M80" i="1"/>
  <c r="J80" i="1"/>
  <c r="O78" i="10"/>
  <c r="K78" i="10"/>
  <c r="G78" i="10"/>
  <c r="AO80" i="1"/>
  <c r="AM80" i="1"/>
  <c r="E78" i="10"/>
  <c r="R80" i="1"/>
  <c r="N80" i="1"/>
  <c r="M78" i="10"/>
  <c r="T80" i="1"/>
  <c r="S80" i="1"/>
  <c r="AN80" i="1"/>
  <c r="A78" i="10"/>
  <c r="C78" i="10"/>
  <c r="Z80" i="1"/>
  <c r="I78" i="10"/>
  <c r="AF80" i="1"/>
  <c r="AG80" i="1" s="1"/>
  <c r="AH80" i="1" s="1"/>
  <c r="M66" i="1" l="1"/>
  <c r="F70" i="1"/>
  <c r="G70" i="1"/>
  <c r="B71" i="1" s="1"/>
  <c r="P68" i="1"/>
  <c r="K68" i="1"/>
  <c r="L68" i="1" s="1"/>
  <c r="J68" i="1"/>
  <c r="M67" i="1"/>
  <c r="D81" i="1"/>
  <c r="A82" i="1"/>
  <c r="C81" i="1"/>
  <c r="I81" i="1"/>
  <c r="P81" i="1" s="1"/>
  <c r="AL81" i="1"/>
  <c r="F79" i="10" s="1"/>
  <c r="B81" i="1"/>
  <c r="H81" i="1" s="1"/>
  <c r="F81" i="1"/>
  <c r="E81" i="1"/>
  <c r="AK81" i="1"/>
  <c r="B79" i="10" s="1"/>
  <c r="AB81" i="1"/>
  <c r="AC81" i="1" s="1"/>
  <c r="AD81" i="1" s="1"/>
  <c r="G81" i="1"/>
  <c r="V81" i="1"/>
  <c r="M81" i="1"/>
  <c r="J81" i="1"/>
  <c r="O79" i="10"/>
  <c r="K79" i="10"/>
  <c r="AI81" i="1"/>
  <c r="N79" i="10" s="1"/>
  <c r="K81" i="1"/>
  <c r="AA81" i="1"/>
  <c r="J79" i="10" s="1"/>
  <c r="L81" i="1"/>
  <c r="G79" i="10"/>
  <c r="C79" i="10"/>
  <c r="AM81" i="1"/>
  <c r="AO81" i="1"/>
  <c r="T81" i="1"/>
  <c r="I79" i="10"/>
  <c r="N81" i="1"/>
  <c r="R81" i="1"/>
  <c r="E79" i="10"/>
  <c r="AN81" i="1"/>
  <c r="S81" i="1"/>
  <c r="Z81" i="1"/>
  <c r="M79" i="10"/>
  <c r="AF81" i="1"/>
  <c r="AG81" i="1" s="1"/>
  <c r="AH81" i="1" s="1"/>
  <c r="A79" i="10"/>
  <c r="Y80" i="1"/>
  <c r="W80" i="1"/>
  <c r="X80" i="1" s="1"/>
  <c r="M68" i="1" l="1"/>
  <c r="D71" i="1"/>
  <c r="E71" i="1" s="1"/>
  <c r="H71" i="1"/>
  <c r="C71" i="1"/>
  <c r="F71" i="1" s="1"/>
  <c r="N68" i="1"/>
  <c r="I69" i="1" s="1"/>
  <c r="P69" i="1" s="1"/>
  <c r="Y81" i="1"/>
  <c r="W81" i="1"/>
  <c r="X81" i="1" s="1"/>
  <c r="A83" i="1"/>
  <c r="D82" i="1"/>
  <c r="C82" i="1"/>
  <c r="AL82" i="1"/>
  <c r="F80" i="10" s="1"/>
  <c r="I82" i="1"/>
  <c r="P82" i="1" s="1"/>
  <c r="AK82" i="1"/>
  <c r="B80" i="10" s="1"/>
  <c r="B82" i="1"/>
  <c r="H82" i="1" s="1"/>
  <c r="G82" i="1"/>
  <c r="E82" i="1"/>
  <c r="V82" i="1"/>
  <c r="M82" i="1"/>
  <c r="L82" i="1"/>
  <c r="K82" i="1"/>
  <c r="AA82" i="1"/>
  <c r="J80" i="10" s="1"/>
  <c r="J82" i="1"/>
  <c r="O80" i="10"/>
  <c r="K80" i="10"/>
  <c r="F82" i="1"/>
  <c r="C80" i="10"/>
  <c r="AB82" i="1"/>
  <c r="AC82" i="1" s="1"/>
  <c r="AD82" i="1" s="1"/>
  <c r="G80" i="10"/>
  <c r="R82" i="1"/>
  <c r="Z82" i="1"/>
  <c r="A80" i="10"/>
  <c r="T82" i="1"/>
  <c r="N82" i="1"/>
  <c r="AN82" i="1"/>
  <c r="I80" i="10"/>
  <c r="AM82" i="1"/>
  <c r="E80" i="10"/>
  <c r="AI82" i="1"/>
  <c r="N80" i="10" s="1"/>
  <c r="S82" i="1"/>
  <c r="M80" i="10"/>
  <c r="AO82" i="1"/>
  <c r="AF82" i="1"/>
  <c r="AG82" i="1" s="1"/>
  <c r="AH82" i="1" s="1"/>
  <c r="K69" i="1" l="1"/>
  <c r="L69" i="1" s="1"/>
  <c r="J69" i="1"/>
  <c r="N69" i="1" s="1"/>
  <c r="I70" i="1" s="1"/>
  <c r="K70" i="1" s="1"/>
  <c r="L70" i="1" s="1"/>
  <c r="G71" i="1"/>
  <c r="B72" i="1" s="1"/>
  <c r="C72" i="1" s="1"/>
  <c r="G72" i="1" s="1"/>
  <c r="B73" i="1" s="1"/>
  <c r="D72" i="1"/>
  <c r="E72" i="1" s="1"/>
  <c r="P70" i="1"/>
  <c r="J70" i="1"/>
  <c r="M69" i="1"/>
  <c r="Y82" i="1"/>
  <c r="W82" i="1"/>
  <c r="X82" i="1" s="1"/>
  <c r="D83" i="1"/>
  <c r="A84" i="1"/>
  <c r="C83" i="1"/>
  <c r="I83" i="1"/>
  <c r="P83" i="1" s="1"/>
  <c r="B83" i="1"/>
  <c r="H83" i="1" s="1"/>
  <c r="AL83" i="1"/>
  <c r="F81" i="10" s="1"/>
  <c r="AK83" i="1"/>
  <c r="B81" i="10" s="1"/>
  <c r="F83" i="1"/>
  <c r="E83" i="1"/>
  <c r="G83" i="1"/>
  <c r="N83" i="1"/>
  <c r="AB83" i="1"/>
  <c r="AC83" i="1" s="1"/>
  <c r="AD83" i="1" s="1"/>
  <c r="V83" i="1"/>
  <c r="L83" i="1"/>
  <c r="K83" i="1"/>
  <c r="M83" i="1"/>
  <c r="AA83" i="1"/>
  <c r="J81" i="10" s="1"/>
  <c r="AI83" i="1"/>
  <c r="N81" i="10" s="1"/>
  <c r="J83" i="1"/>
  <c r="K81" i="10"/>
  <c r="C81" i="10"/>
  <c r="S83" i="1"/>
  <c r="AN83" i="1"/>
  <c r="M81" i="10"/>
  <c r="R83" i="1"/>
  <c r="Z83" i="1"/>
  <c r="A81" i="10"/>
  <c r="O81" i="10"/>
  <c r="I81" i="10"/>
  <c r="AF83" i="1"/>
  <c r="AG83" i="1" s="1"/>
  <c r="AH83" i="1" s="1"/>
  <c r="G81" i="10"/>
  <c r="AO83" i="1"/>
  <c r="AM83" i="1"/>
  <c r="T83" i="1"/>
  <c r="E81" i="10"/>
  <c r="H72" i="1" l="1"/>
  <c r="F72" i="1"/>
  <c r="M70" i="1"/>
  <c r="D73" i="1"/>
  <c r="E73" i="1" s="1"/>
  <c r="H73" i="1"/>
  <c r="C73" i="1"/>
  <c r="F73" i="1" s="1"/>
  <c r="N70" i="1"/>
  <c r="I71" i="1" s="1"/>
  <c r="A85" i="1"/>
  <c r="D84" i="1"/>
  <c r="C84" i="1"/>
  <c r="I84" i="1"/>
  <c r="P84" i="1" s="1"/>
  <c r="B84" i="1"/>
  <c r="H84" i="1" s="1"/>
  <c r="AL84" i="1"/>
  <c r="F82" i="10" s="1"/>
  <c r="F84" i="1"/>
  <c r="E84" i="1"/>
  <c r="AB84" i="1"/>
  <c r="AC84" i="1" s="1"/>
  <c r="AD84" i="1" s="1"/>
  <c r="V84" i="1"/>
  <c r="AA84" i="1"/>
  <c r="J82" i="10" s="1"/>
  <c r="AK84" i="1"/>
  <c r="B82" i="10" s="1"/>
  <c r="L84" i="1"/>
  <c r="K84" i="1"/>
  <c r="N84" i="1"/>
  <c r="AI84" i="1"/>
  <c r="N82" i="10" s="1"/>
  <c r="J84" i="1"/>
  <c r="O82" i="10"/>
  <c r="K82" i="10"/>
  <c r="G82" i="10"/>
  <c r="M84" i="1"/>
  <c r="C82" i="10"/>
  <c r="AN84" i="1"/>
  <c r="AF84" i="1"/>
  <c r="AG84" i="1" s="1"/>
  <c r="AH84" i="1" s="1"/>
  <c r="E82" i="10"/>
  <c r="G84" i="1"/>
  <c r="R84" i="1"/>
  <c r="M82" i="10"/>
  <c r="AO84" i="1"/>
  <c r="A82" i="10"/>
  <c r="Z84" i="1"/>
  <c r="AM84" i="1"/>
  <c r="S84" i="1"/>
  <c r="I82" i="10"/>
  <c r="T84" i="1"/>
  <c r="Y83" i="1"/>
  <c r="W83" i="1"/>
  <c r="X83" i="1" s="1"/>
  <c r="G73" i="1" l="1"/>
  <c r="B74" i="1" s="1"/>
  <c r="P71" i="1"/>
  <c r="J71" i="1"/>
  <c r="N71" i="1" s="1"/>
  <c r="I72" i="1" s="1"/>
  <c r="K71" i="1"/>
  <c r="L71" i="1" s="1"/>
  <c r="Y84" i="1"/>
  <c r="W84" i="1"/>
  <c r="X84" i="1" s="1"/>
  <c r="D85" i="1"/>
  <c r="A86" i="1"/>
  <c r="C85" i="1"/>
  <c r="I85" i="1"/>
  <c r="P85" i="1" s="1"/>
  <c r="AL85" i="1"/>
  <c r="F83" i="10" s="1"/>
  <c r="B85" i="1"/>
  <c r="H85" i="1" s="1"/>
  <c r="F85" i="1"/>
  <c r="E85" i="1"/>
  <c r="AK85" i="1"/>
  <c r="B83" i="10" s="1"/>
  <c r="G85" i="1"/>
  <c r="AB85" i="1"/>
  <c r="AC85" i="1" s="1"/>
  <c r="AD85" i="1" s="1"/>
  <c r="V85" i="1"/>
  <c r="M85" i="1"/>
  <c r="K85" i="1"/>
  <c r="J85" i="1"/>
  <c r="O83" i="10"/>
  <c r="K83" i="10"/>
  <c r="AI85" i="1"/>
  <c r="N83" i="10" s="1"/>
  <c r="N85" i="1"/>
  <c r="L85" i="1"/>
  <c r="G83" i="10"/>
  <c r="AA85" i="1"/>
  <c r="J83" i="10" s="1"/>
  <c r="C83" i="10"/>
  <c r="AF85" i="1"/>
  <c r="AG85" i="1" s="1"/>
  <c r="AH85" i="1" s="1"/>
  <c r="R85" i="1"/>
  <c r="AN85" i="1"/>
  <c r="I83" i="10"/>
  <c r="T85" i="1"/>
  <c r="E83" i="10"/>
  <c r="S85" i="1"/>
  <c r="M83" i="10"/>
  <c r="AM85" i="1"/>
  <c r="A83" i="10"/>
  <c r="Z85" i="1"/>
  <c r="AO85" i="1"/>
  <c r="H74" i="1" l="1"/>
  <c r="C74" i="1"/>
  <c r="G74" i="1" s="1"/>
  <c r="B75" i="1" s="1"/>
  <c r="D74" i="1"/>
  <c r="E74" i="1" s="1"/>
  <c r="P72" i="1"/>
  <c r="J72" i="1"/>
  <c r="M72" i="1" s="1"/>
  <c r="K72" i="1"/>
  <c r="L72" i="1" s="1"/>
  <c r="M71" i="1"/>
  <c r="A87" i="1"/>
  <c r="D86" i="1"/>
  <c r="C86" i="1"/>
  <c r="I86" i="1"/>
  <c r="P86" i="1" s="1"/>
  <c r="AL86" i="1"/>
  <c r="F84" i="10" s="1"/>
  <c r="AK86" i="1"/>
  <c r="B84" i="10" s="1"/>
  <c r="B86" i="1"/>
  <c r="H86" i="1" s="1"/>
  <c r="E86" i="1"/>
  <c r="AB86" i="1"/>
  <c r="AC86" i="1" s="1"/>
  <c r="AD86" i="1" s="1"/>
  <c r="AA86" i="1"/>
  <c r="J84" i="10" s="1"/>
  <c r="F86" i="1"/>
  <c r="V86" i="1"/>
  <c r="M86" i="1"/>
  <c r="N86" i="1"/>
  <c r="L86" i="1"/>
  <c r="K86" i="1"/>
  <c r="J86" i="1"/>
  <c r="O84" i="10"/>
  <c r="K84" i="10"/>
  <c r="C84" i="10"/>
  <c r="G84" i="10"/>
  <c r="AI86" i="1"/>
  <c r="N84" i="10" s="1"/>
  <c r="G86" i="1"/>
  <c r="R86" i="1"/>
  <c r="A84" i="10"/>
  <c r="AF86" i="1"/>
  <c r="AG86" i="1" s="1"/>
  <c r="AH86" i="1" s="1"/>
  <c r="T86" i="1"/>
  <c r="AN86" i="1"/>
  <c r="I84" i="10"/>
  <c r="S86" i="1"/>
  <c r="Z86" i="1"/>
  <c r="AO86" i="1"/>
  <c r="AM86" i="1"/>
  <c r="M84" i="10"/>
  <c r="E84" i="10"/>
  <c r="Y85" i="1"/>
  <c r="W85" i="1"/>
  <c r="X85" i="1" s="1"/>
  <c r="D75" i="1" l="1"/>
  <c r="E75" i="1" s="1"/>
  <c r="H75" i="1"/>
  <c r="C75" i="1"/>
  <c r="G75" i="1" s="1"/>
  <c r="B76" i="1" s="1"/>
  <c r="F74" i="1"/>
  <c r="N72" i="1"/>
  <c r="I73" i="1" s="1"/>
  <c r="Y86" i="1"/>
  <c r="W86" i="1"/>
  <c r="X86" i="1" s="1"/>
  <c r="D87" i="1"/>
  <c r="C87" i="1"/>
  <c r="I87" i="1"/>
  <c r="P87" i="1" s="1"/>
  <c r="A88" i="1"/>
  <c r="B87" i="1"/>
  <c r="H87" i="1" s="1"/>
  <c r="AK87" i="1"/>
  <c r="B85" i="10" s="1"/>
  <c r="F87" i="1"/>
  <c r="E87" i="1"/>
  <c r="V87" i="1"/>
  <c r="AB87" i="1"/>
  <c r="AC87" i="1" s="1"/>
  <c r="AD87" i="1" s="1"/>
  <c r="AL87" i="1"/>
  <c r="F85" i="10" s="1"/>
  <c r="L87" i="1"/>
  <c r="K87" i="1"/>
  <c r="M87" i="1"/>
  <c r="AA87" i="1"/>
  <c r="J85" i="10" s="1"/>
  <c r="AI87" i="1"/>
  <c r="N85" i="10" s="1"/>
  <c r="J87" i="1"/>
  <c r="K85" i="10"/>
  <c r="C85" i="10"/>
  <c r="O85" i="10"/>
  <c r="G85" i="10"/>
  <c r="N87" i="1"/>
  <c r="AF87" i="1"/>
  <c r="AG87" i="1" s="1"/>
  <c r="AH87" i="1" s="1"/>
  <c r="E85" i="10"/>
  <c r="T87" i="1"/>
  <c r="AN87" i="1"/>
  <c r="M85" i="10"/>
  <c r="G87" i="1"/>
  <c r="AM87" i="1"/>
  <c r="A85" i="10"/>
  <c r="Z87" i="1"/>
  <c r="AO87" i="1"/>
  <c r="S87" i="1"/>
  <c r="R87" i="1"/>
  <c r="I85" i="10"/>
  <c r="D76" i="1" l="1"/>
  <c r="E76" i="1" s="1"/>
  <c r="H76" i="1"/>
  <c r="C76" i="1"/>
  <c r="G76" i="1" s="1"/>
  <c r="B77" i="1" s="1"/>
  <c r="F75" i="1"/>
  <c r="P73" i="1"/>
  <c r="J73" i="1"/>
  <c r="K73" i="1"/>
  <c r="L73" i="1" s="1"/>
  <c r="A89" i="1"/>
  <c r="D88" i="1"/>
  <c r="C88" i="1"/>
  <c r="I88" i="1"/>
  <c r="P88" i="1" s="1"/>
  <c r="B88" i="1"/>
  <c r="H88" i="1" s="1"/>
  <c r="AL88" i="1"/>
  <c r="F86" i="10" s="1"/>
  <c r="F88" i="1"/>
  <c r="E88" i="1"/>
  <c r="V88" i="1"/>
  <c r="AB88" i="1"/>
  <c r="AC88" i="1" s="1"/>
  <c r="AD88" i="1" s="1"/>
  <c r="AK88" i="1"/>
  <c r="B86" i="10" s="1"/>
  <c r="N88" i="1"/>
  <c r="AA88" i="1"/>
  <c r="J86" i="10" s="1"/>
  <c r="L88" i="1"/>
  <c r="K88" i="1"/>
  <c r="AI88" i="1"/>
  <c r="N86" i="10" s="1"/>
  <c r="M88" i="1"/>
  <c r="J88" i="1"/>
  <c r="O86" i="10"/>
  <c r="K86" i="10"/>
  <c r="G86" i="10"/>
  <c r="G88" i="1"/>
  <c r="R88" i="1"/>
  <c r="AO88" i="1"/>
  <c r="I86" i="10"/>
  <c r="C86" i="10"/>
  <c r="Z88" i="1"/>
  <c r="AN88" i="1"/>
  <c r="E86" i="10"/>
  <c r="T88" i="1"/>
  <c r="M86" i="10"/>
  <c r="S88" i="1"/>
  <c r="A86" i="10"/>
  <c r="AF88" i="1"/>
  <c r="AG88" i="1" s="1"/>
  <c r="AH88" i="1" s="1"/>
  <c r="AM88" i="1"/>
  <c r="Y87" i="1"/>
  <c r="W87" i="1"/>
  <c r="X87" i="1" s="1"/>
  <c r="M73" i="1" l="1"/>
  <c r="C77" i="1"/>
  <c r="H77" i="1"/>
  <c r="G77" i="1"/>
  <c r="D77" i="1"/>
  <c r="E77" i="1" s="1"/>
  <c r="F76" i="1"/>
  <c r="N73" i="1"/>
  <c r="I74" i="1" s="1"/>
  <c r="W88" i="1"/>
  <c r="X88" i="1" s="1"/>
  <c r="Y88" i="1"/>
  <c r="D89" i="1"/>
  <c r="A90" i="1"/>
  <c r="I89" i="1"/>
  <c r="P89" i="1" s="1"/>
  <c r="AL89" i="1"/>
  <c r="F87" i="10" s="1"/>
  <c r="B89" i="1"/>
  <c r="H89" i="1" s="1"/>
  <c r="C89" i="1"/>
  <c r="F89" i="1"/>
  <c r="E89" i="1"/>
  <c r="AK89" i="1"/>
  <c r="B87" i="10" s="1"/>
  <c r="AB89" i="1"/>
  <c r="AC89" i="1" s="1"/>
  <c r="AD89" i="1" s="1"/>
  <c r="V89" i="1"/>
  <c r="M89" i="1"/>
  <c r="L89" i="1"/>
  <c r="J89" i="1"/>
  <c r="O87" i="10"/>
  <c r="AA89" i="1"/>
  <c r="J87" i="10" s="1"/>
  <c r="K87" i="10"/>
  <c r="K89" i="1"/>
  <c r="AI89" i="1"/>
  <c r="N87" i="10" s="1"/>
  <c r="G87" i="10"/>
  <c r="C87" i="10"/>
  <c r="T89" i="1"/>
  <c r="AO89" i="1"/>
  <c r="E87" i="10"/>
  <c r="G89" i="1"/>
  <c r="S89" i="1"/>
  <c r="AN89" i="1"/>
  <c r="M87" i="10"/>
  <c r="R89" i="1"/>
  <c r="A87" i="10"/>
  <c r="AM89" i="1"/>
  <c r="AF89" i="1"/>
  <c r="AG89" i="1" s="1"/>
  <c r="AH89" i="1" s="1"/>
  <c r="I87" i="10"/>
  <c r="N89" i="1"/>
  <c r="Z89" i="1"/>
  <c r="F77" i="1" l="1"/>
  <c r="P74" i="1"/>
  <c r="J74" i="1"/>
  <c r="N74" i="1" s="1"/>
  <c r="I75" i="1" s="1"/>
  <c r="K74" i="1"/>
  <c r="L74" i="1" s="1"/>
  <c r="A91" i="1"/>
  <c r="D90" i="1"/>
  <c r="C90" i="1"/>
  <c r="I90" i="1"/>
  <c r="P90" i="1" s="1"/>
  <c r="AL90" i="1"/>
  <c r="F88" i="10" s="1"/>
  <c r="B90" i="1"/>
  <c r="H90" i="1" s="1"/>
  <c r="AK90" i="1"/>
  <c r="B88" i="10" s="1"/>
  <c r="F90" i="1"/>
  <c r="G90" i="1"/>
  <c r="E90" i="1"/>
  <c r="AB90" i="1"/>
  <c r="AC90" i="1" s="1"/>
  <c r="AD90" i="1" s="1"/>
  <c r="M90" i="1"/>
  <c r="V90" i="1"/>
  <c r="L90" i="1"/>
  <c r="K90" i="1"/>
  <c r="J90" i="1"/>
  <c r="O88" i="10"/>
  <c r="AA90" i="1"/>
  <c r="J88" i="10" s="1"/>
  <c r="K88" i="10"/>
  <c r="AI90" i="1"/>
  <c r="N88" i="10" s="1"/>
  <c r="C88" i="10"/>
  <c r="G88" i="10"/>
  <c r="N90" i="1"/>
  <c r="R90" i="1"/>
  <c r="AM90" i="1"/>
  <c r="I88" i="10"/>
  <c r="Z90" i="1"/>
  <c r="AF90" i="1"/>
  <c r="AG90" i="1" s="1"/>
  <c r="AH90" i="1" s="1"/>
  <c r="E88" i="10"/>
  <c r="AO90" i="1"/>
  <c r="M88" i="10"/>
  <c r="AN90" i="1"/>
  <c r="S90" i="1"/>
  <c r="A88" i="10"/>
  <c r="T90" i="1"/>
  <c r="Y89" i="1"/>
  <c r="W89" i="1"/>
  <c r="X89" i="1" s="1"/>
  <c r="P75" i="1" l="1"/>
  <c r="J75" i="1"/>
  <c r="K75" i="1"/>
  <c r="L75" i="1" s="1"/>
  <c r="M74" i="1"/>
  <c r="Y90" i="1"/>
  <c r="W90" i="1"/>
  <c r="X90" i="1" s="1"/>
  <c r="D91" i="1"/>
  <c r="A92" i="1"/>
  <c r="C91" i="1"/>
  <c r="I91" i="1"/>
  <c r="P91" i="1" s="1"/>
  <c r="B91" i="1"/>
  <c r="H91" i="1" s="1"/>
  <c r="AK91" i="1"/>
  <c r="B89" i="10" s="1"/>
  <c r="AL91" i="1"/>
  <c r="F89" i="10" s="1"/>
  <c r="F91" i="1"/>
  <c r="E91" i="1"/>
  <c r="V91" i="1"/>
  <c r="N91" i="1"/>
  <c r="AA91" i="1"/>
  <c r="J89" i="10" s="1"/>
  <c r="AB91" i="1"/>
  <c r="AC91" i="1" s="1"/>
  <c r="AD91" i="1" s="1"/>
  <c r="L91" i="1"/>
  <c r="K91" i="1"/>
  <c r="M91" i="1"/>
  <c r="AI91" i="1"/>
  <c r="N89" i="10" s="1"/>
  <c r="O89" i="10"/>
  <c r="C89" i="10"/>
  <c r="J91" i="1"/>
  <c r="S91" i="1"/>
  <c r="AO91" i="1"/>
  <c r="A89" i="10"/>
  <c r="K89" i="10"/>
  <c r="G89" i="10"/>
  <c r="R91" i="1"/>
  <c r="AF91" i="1"/>
  <c r="AG91" i="1" s="1"/>
  <c r="AH91" i="1" s="1"/>
  <c r="AN91" i="1"/>
  <c r="I89" i="10"/>
  <c r="G91" i="1"/>
  <c r="E89" i="10"/>
  <c r="T91" i="1"/>
  <c r="M89" i="10"/>
  <c r="Z91" i="1"/>
  <c r="AM91" i="1"/>
  <c r="M75" i="1" l="1"/>
  <c r="N75" i="1"/>
  <c r="I76" i="1" s="1"/>
  <c r="Y91" i="1"/>
  <c r="W91" i="1"/>
  <c r="X91" i="1" s="1"/>
  <c r="A93" i="1"/>
  <c r="D92" i="1"/>
  <c r="C92" i="1"/>
  <c r="I92" i="1"/>
  <c r="P92" i="1" s="1"/>
  <c r="B92" i="1"/>
  <c r="H92" i="1" s="1"/>
  <c r="AL92" i="1"/>
  <c r="F90" i="10" s="1"/>
  <c r="F92" i="1"/>
  <c r="E92" i="1"/>
  <c r="AK92" i="1"/>
  <c r="B90" i="10" s="1"/>
  <c r="V92" i="1"/>
  <c r="AA92" i="1"/>
  <c r="J90" i="10" s="1"/>
  <c r="N92" i="1"/>
  <c r="G92" i="1"/>
  <c r="L92" i="1"/>
  <c r="K92" i="1"/>
  <c r="AB92" i="1"/>
  <c r="AC92" i="1" s="1"/>
  <c r="AD92" i="1" s="1"/>
  <c r="M92" i="1"/>
  <c r="AI92" i="1"/>
  <c r="N90" i="10" s="1"/>
  <c r="J92" i="1"/>
  <c r="O90" i="10"/>
  <c r="K90" i="10"/>
  <c r="G90" i="10"/>
  <c r="AN92" i="1"/>
  <c r="R92" i="1"/>
  <c r="A90" i="10"/>
  <c r="T92" i="1"/>
  <c r="AO92" i="1"/>
  <c r="I90" i="10"/>
  <c r="C90" i="10"/>
  <c r="AM92" i="1"/>
  <c r="E90" i="10"/>
  <c r="S92" i="1"/>
  <c r="AF92" i="1"/>
  <c r="AG92" i="1" s="1"/>
  <c r="AH92" i="1" s="1"/>
  <c r="M90" i="10"/>
  <c r="Z92" i="1"/>
  <c r="P76" i="1" l="1"/>
  <c r="K76" i="1"/>
  <c r="L76" i="1" s="1"/>
  <c r="J76" i="1"/>
  <c r="D93" i="1"/>
  <c r="A94" i="1"/>
  <c r="I93" i="1"/>
  <c r="P93" i="1" s="1"/>
  <c r="C93" i="1"/>
  <c r="AL93" i="1"/>
  <c r="F91" i="10" s="1"/>
  <c r="B93" i="1"/>
  <c r="H93" i="1" s="1"/>
  <c r="F93" i="1"/>
  <c r="E93" i="1"/>
  <c r="AK93" i="1"/>
  <c r="B91" i="10" s="1"/>
  <c r="AB93" i="1"/>
  <c r="AC93" i="1" s="1"/>
  <c r="AD93" i="1" s="1"/>
  <c r="G93" i="1"/>
  <c r="AA93" i="1"/>
  <c r="J91" i="10" s="1"/>
  <c r="V93" i="1"/>
  <c r="N93" i="1"/>
  <c r="M93" i="1"/>
  <c r="J93" i="1"/>
  <c r="O91" i="10"/>
  <c r="K91" i="10"/>
  <c r="L93" i="1"/>
  <c r="AI93" i="1"/>
  <c r="N91" i="10" s="1"/>
  <c r="G91" i="10"/>
  <c r="K93" i="1"/>
  <c r="C91" i="10"/>
  <c r="Z93" i="1"/>
  <c r="AO93" i="1"/>
  <c r="M91" i="10"/>
  <c r="T93" i="1"/>
  <c r="AN93" i="1"/>
  <c r="A91" i="10"/>
  <c r="S93" i="1"/>
  <c r="AM93" i="1"/>
  <c r="I91" i="10"/>
  <c r="R93" i="1"/>
  <c r="E91" i="10"/>
  <c r="AF93" i="1"/>
  <c r="AG93" i="1" s="1"/>
  <c r="AH93" i="1" s="1"/>
  <c r="W92" i="1"/>
  <c r="X92" i="1" s="1"/>
  <c r="Y92" i="1"/>
  <c r="M76" i="1" l="1"/>
  <c r="N76" i="1"/>
  <c r="I77" i="1" s="1"/>
  <c r="A95" i="1"/>
  <c r="D94" i="1"/>
  <c r="C94" i="1"/>
  <c r="AL94" i="1"/>
  <c r="F92" i="10" s="1"/>
  <c r="AK94" i="1"/>
  <c r="B92" i="10" s="1"/>
  <c r="I94" i="1"/>
  <c r="P94" i="1" s="1"/>
  <c r="B94" i="1"/>
  <c r="H94" i="1" s="1"/>
  <c r="V94" i="1"/>
  <c r="F94" i="1"/>
  <c r="N94" i="1"/>
  <c r="M94" i="1"/>
  <c r="E94" i="1"/>
  <c r="AB94" i="1"/>
  <c r="AC94" i="1" s="1"/>
  <c r="AD94" i="1" s="1"/>
  <c r="L94" i="1"/>
  <c r="K94" i="1"/>
  <c r="J94" i="1"/>
  <c r="O92" i="10"/>
  <c r="K92" i="10"/>
  <c r="AA94" i="1"/>
  <c r="J92" i="10" s="1"/>
  <c r="C92" i="10"/>
  <c r="AI94" i="1"/>
  <c r="N92" i="10" s="1"/>
  <c r="G92" i="10"/>
  <c r="T94" i="1"/>
  <c r="R94" i="1"/>
  <c r="S94" i="1"/>
  <c r="I92" i="10"/>
  <c r="AO94" i="1"/>
  <c r="AM94" i="1"/>
  <c r="E92" i="10"/>
  <c r="AF94" i="1"/>
  <c r="AG94" i="1" s="1"/>
  <c r="AH94" i="1" s="1"/>
  <c r="M92" i="10"/>
  <c r="AN94" i="1"/>
  <c r="A92" i="10"/>
  <c r="G94" i="1"/>
  <c r="Z94" i="1"/>
  <c r="W93" i="1"/>
  <c r="X93" i="1" s="1"/>
  <c r="Y93" i="1"/>
  <c r="P77" i="1" l="1"/>
  <c r="J77" i="1"/>
  <c r="K77" i="1"/>
  <c r="L77" i="1" s="1"/>
  <c r="W94" i="1"/>
  <c r="X94" i="1" s="1"/>
  <c r="Y94" i="1"/>
  <c r="D95" i="1"/>
  <c r="C95" i="1"/>
  <c r="A96" i="1"/>
  <c r="I95" i="1"/>
  <c r="P95" i="1" s="1"/>
  <c r="B95" i="1"/>
  <c r="H95" i="1" s="1"/>
  <c r="AL95" i="1"/>
  <c r="F93" i="10" s="1"/>
  <c r="AK95" i="1"/>
  <c r="B93" i="10" s="1"/>
  <c r="F95" i="1"/>
  <c r="E95" i="1"/>
  <c r="AA95" i="1"/>
  <c r="J93" i="10" s="1"/>
  <c r="N95" i="1"/>
  <c r="AB95" i="1"/>
  <c r="AC95" i="1" s="1"/>
  <c r="AD95" i="1" s="1"/>
  <c r="L95" i="1"/>
  <c r="K95" i="1"/>
  <c r="M95" i="1"/>
  <c r="V95" i="1"/>
  <c r="AI95" i="1"/>
  <c r="N93" i="10" s="1"/>
  <c r="O93" i="10"/>
  <c r="C93" i="10"/>
  <c r="J95" i="1"/>
  <c r="K93" i="10"/>
  <c r="S95" i="1"/>
  <c r="AM95" i="1"/>
  <c r="A93" i="10"/>
  <c r="G95" i="1"/>
  <c r="R95" i="1"/>
  <c r="AO95" i="1"/>
  <c r="I93" i="10"/>
  <c r="AF95" i="1"/>
  <c r="AG95" i="1" s="1"/>
  <c r="AH95" i="1" s="1"/>
  <c r="G93" i="10"/>
  <c r="Z95" i="1"/>
  <c r="AN95" i="1"/>
  <c r="E93" i="10"/>
  <c r="T95" i="1"/>
  <c r="M93" i="10"/>
  <c r="M77" i="1" l="1"/>
  <c r="N77" i="1"/>
  <c r="Y95" i="1"/>
  <c r="W95" i="1"/>
  <c r="X95" i="1" s="1"/>
  <c r="A97" i="1"/>
  <c r="D96" i="1"/>
  <c r="C96" i="1"/>
  <c r="I96" i="1"/>
  <c r="P96" i="1" s="1"/>
  <c r="B96" i="1"/>
  <c r="H96" i="1" s="1"/>
  <c r="AL96" i="1"/>
  <c r="F94" i="10" s="1"/>
  <c r="F96" i="1"/>
  <c r="E96" i="1"/>
  <c r="AA96" i="1"/>
  <c r="J94" i="10" s="1"/>
  <c r="AK96" i="1"/>
  <c r="B94" i="10" s="1"/>
  <c r="G96" i="1"/>
  <c r="AB96" i="1"/>
  <c r="AC96" i="1" s="1"/>
  <c r="AD96" i="1" s="1"/>
  <c r="L96" i="1"/>
  <c r="K96" i="1"/>
  <c r="V96" i="1"/>
  <c r="AI96" i="1"/>
  <c r="N94" i="10" s="1"/>
  <c r="M96" i="1"/>
  <c r="J96" i="1"/>
  <c r="O94" i="10"/>
  <c r="K94" i="10"/>
  <c r="G94" i="10"/>
  <c r="T96" i="1"/>
  <c r="AM96" i="1"/>
  <c r="E94" i="10"/>
  <c r="S96" i="1"/>
  <c r="AF96" i="1"/>
  <c r="AG96" i="1" s="1"/>
  <c r="AH96" i="1" s="1"/>
  <c r="M94" i="10"/>
  <c r="N96" i="1"/>
  <c r="A94" i="10"/>
  <c r="C94" i="10"/>
  <c r="Z96" i="1"/>
  <c r="AO96" i="1"/>
  <c r="AN96" i="1"/>
  <c r="I94" i="10"/>
  <c r="R96" i="1"/>
  <c r="D97" i="1" l="1"/>
  <c r="A98" i="1"/>
  <c r="C97" i="1"/>
  <c r="I97" i="1"/>
  <c r="P97" i="1" s="1"/>
  <c r="AL97" i="1"/>
  <c r="F95" i="10" s="1"/>
  <c r="B97" i="1"/>
  <c r="H97" i="1" s="1"/>
  <c r="F97" i="1"/>
  <c r="E97" i="1"/>
  <c r="AK97" i="1"/>
  <c r="B95" i="10" s="1"/>
  <c r="N97" i="1"/>
  <c r="G97" i="1"/>
  <c r="AB97" i="1"/>
  <c r="AC97" i="1" s="1"/>
  <c r="AD97" i="1" s="1"/>
  <c r="V97" i="1"/>
  <c r="M97" i="1"/>
  <c r="J97" i="1"/>
  <c r="O95" i="10"/>
  <c r="K95" i="10"/>
  <c r="AI97" i="1"/>
  <c r="N95" i="10" s="1"/>
  <c r="AA97" i="1"/>
  <c r="J95" i="10" s="1"/>
  <c r="K97" i="1"/>
  <c r="G95" i="10"/>
  <c r="L97" i="1"/>
  <c r="C95" i="10"/>
  <c r="R97" i="1"/>
  <c r="AO97" i="1"/>
  <c r="AM97" i="1"/>
  <c r="I95" i="10"/>
  <c r="AF97" i="1"/>
  <c r="AG97" i="1" s="1"/>
  <c r="AH97" i="1" s="1"/>
  <c r="T97" i="1"/>
  <c r="E95" i="10"/>
  <c r="M95" i="10"/>
  <c r="Z97" i="1"/>
  <c r="A95" i="10"/>
  <c r="S97" i="1"/>
  <c r="AN97" i="1"/>
  <c r="W96" i="1"/>
  <c r="X96" i="1" s="1"/>
  <c r="Y96" i="1"/>
  <c r="A99" i="1" l="1"/>
  <c r="D98" i="1"/>
  <c r="C98" i="1"/>
  <c r="AL98" i="1"/>
  <c r="F96" i="10" s="1"/>
  <c r="I98" i="1"/>
  <c r="P98" i="1" s="1"/>
  <c r="AK98" i="1"/>
  <c r="B96" i="10" s="1"/>
  <c r="AB98" i="1"/>
  <c r="AC98" i="1" s="1"/>
  <c r="AD98" i="1" s="1"/>
  <c r="V98" i="1"/>
  <c r="AA98" i="1"/>
  <c r="J96" i="10" s="1"/>
  <c r="E98" i="1"/>
  <c r="N98" i="1"/>
  <c r="G98" i="1"/>
  <c r="M98" i="1"/>
  <c r="F98" i="1"/>
  <c r="L98" i="1"/>
  <c r="K98" i="1"/>
  <c r="J98" i="1"/>
  <c r="O96" i="10"/>
  <c r="K96" i="10"/>
  <c r="B98" i="1"/>
  <c r="H98" i="1" s="1"/>
  <c r="C96" i="10"/>
  <c r="G96" i="10"/>
  <c r="AI98" i="1"/>
  <c r="N96" i="10" s="1"/>
  <c r="R98" i="1"/>
  <c r="A96" i="10"/>
  <c r="Z98" i="1"/>
  <c r="AN98" i="1"/>
  <c r="AO98" i="1"/>
  <c r="I96" i="10"/>
  <c r="AM98" i="1"/>
  <c r="E96" i="10"/>
  <c r="AF98" i="1"/>
  <c r="AG98" i="1" s="1"/>
  <c r="AH98" i="1" s="1"/>
  <c r="T98" i="1"/>
  <c r="S98" i="1"/>
  <c r="M96" i="10"/>
  <c r="W97" i="1"/>
  <c r="X97" i="1" s="1"/>
  <c r="Y97" i="1"/>
  <c r="W98" i="1" l="1"/>
  <c r="X98" i="1" s="1"/>
  <c r="Y98" i="1"/>
  <c r="D99" i="1"/>
  <c r="A100" i="1"/>
  <c r="C99" i="1"/>
  <c r="I99" i="1"/>
  <c r="P99" i="1" s="1"/>
  <c r="B99" i="1"/>
  <c r="H99" i="1" s="1"/>
  <c r="AL99" i="1"/>
  <c r="F97" i="10" s="1"/>
  <c r="AK99" i="1"/>
  <c r="B97" i="10" s="1"/>
  <c r="F99" i="1"/>
  <c r="E99" i="1"/>
  <c r="AB99" i="1"/>
  <c r="AC99" i="1" s="1"/>
  <c r="AD99" i="1" s="1"/>
  <c r="G99" i="1"/>
  <c r="L99" i="1"/>
  <c r="K99" i="1"/>
  <c r="M99" i="1"/>
  <c r="AI99" i="1"/>
  <c r="N97" i="10" s="1"/>
  <c r="J99" i="1"/>
  <c r="K97" i="10"/>
  <c r="C97" i="10"/>
  <c r="AA99" i="1"/>
  <c r="J97" i="10" s="1"/>
  <c r="AF99" i="1"/>
  <c r="AG99" i="1" s="1"/>
  <c r="AH99" i="1" s="1"/>
  <c r="T99" i="1"/>
  <c r="M97" i="10"/>
  <c r="AO99" i="1"/>
  <c r="AM99" i="1"/>
  <c r="A97" i="10"/>
  <c r="N99" i="1"/>
  <c r="S99" i="1"/>
  <c r="Z99" i="1"/>
  <c r="O97" i="10"/>
  <c r="R99" i="1"/>
  <c r="E97" i="10"/>
  <c r="V99" i="1"/>
  <c r="G97" i="10"/>
  <c r="AN99" i="1"/>
  <c r="I97" i="10"/>
  <c r="A101" i="1" l="1"/>
  <c r="D100" i="1"/>
  <c r="C100" i="1"/>
  <c r="I100" i="1"/>
  <c r="P100" i="1" s="1"/>
  <c r="B100" i="1"/>
  <c r="H100" i="1" s="1"/>
  <c r="AL100" i="1"/>
  <c r="F98" i="10" s="1"/>
  <c r="F100" i="1"/>
  <c r="E100" i="1"/>
  <c r="AA100" i="1"/>
  <c r="J98" i="10" s="1"/>
  <c r="G100" i="1"/>
  <c r="AB100" i="1"/>
  <c r="AC100" i="1" s="1"/>
  <c r="AD100" i="1" s="1"/>
  <c r="L100" i="1"/>
  <c r="K100" i="1"/>
  <c r="V100" i="1"/>
  <c r="AI100" i="1"/>
  <c r="N98" i="10" s="1"/>
  <c r="AK100" i="1"/>
  <c r="B98" i="10" s="1"/>
  <c r="J100" i="1"/>
  <c r="O98" i="10"/>
  <c r="K98" i="10"/>
  <c r="M100" i="1"/>
  <c r="G98" i="10"/>
  <c r="C98" i="10"/>
  <c r="R100" i="1"/>
  <c r="AM100" i="1"/>
  <c r="E98" i="10"/>
  <c r="Z100" i="1"/>
  <c r="AF100" i="1"/>
  <c r="AG100" i="1" s="1"/>
  <c r="AH100" i="1" s="1"/>
  <c r="M98" i="10"/>
  <c r="N100" i="1"/>
  <c r="A98" i="10"/>
  <c r="T100" i="1"/>
  <c r="I98" i="10"/>
  <c r="AO100" i="1"/>
  <c r="S100" i="1"/>
  <c r="AN100" i="1"/>
  <c r="Y99" i="1"/>
  <c r="W99" i="1"/>
  <c r="X99" i="1" s="1"/>
  <c r="Y100" i="1" l="1"/>
  <c r="W100" i="1"/>
  <c r="X100" i="1" s="1"/>
  <c r="D101" i="1"/>
  <c r="A102" i="1"/>
  <c r="C101" i="1"/>
  <c r="I101" i="1"/>
  <c r="P101" i="1" s="1"/>
  <c r="AL101" i="1"/>
  <c r="F99" i="10" s="1"/>
  <c r="B101" i="1"/>
  <c r="H101" i="1" s="1"/>
  <c r="F101" i="1"/>
  <c r="E101" i="1"/>
  <c r="AK101" i="1"/>
  <c r="B99" i="10" s="1"/>
  <c r="V101" i="1"/>
  <c r="AA101" i="1"/>
  <c r="J99" i="10" s="1"/>
  <c r="AB101" i="1"/>
  <c r="AC101" i="1" s="1"/>
  <c r="AD101" i="1" s="1"/>
  <c r="M101" i="1"/>
  <c r="K101" i="1"/>
  <c r="J101" i="1"/>
  <c r="O99" i="10"/>
  <c r="K99" i="10"/>
  <c r="AI101" i="1"/>
  <c r="N99" i="10" s="1"/>
  <c r="L101" i="1"/>
  <c r="G99" i="10"/>
  <c r="C99" i="10"/>
  <c r="G101" i="1"/>
  <c r="R101" i="1"/>
  <c r="AM101" i="1"/>
  <c r="M99" i="10"/>
  <c r="Z101" i="1"/>
  <c r="T101" i="1"/>
  <c r="AF101" i="1"/>
  <c r="AG101" i="1" s="1"/>
  <c r="AH101" i="1" s="1"/>
  <c r="A99" i="10"/>
  <c r="AO101" i="1"/>
  <c r="I99" i="10"/>
  <c r="N101" i="1"/>
  <c r="AN101" i="1"/>
  <c r="S101" i="1"/>
  <c r="E99" i="10"/>
  <c r="W101" i="1" l="1"/>
  <c r="X101" i="1" s="1"/>
  <c r="Y101" i="1"/>
  <c r="A103" i="1"/>
  <c r="D102" i="1"/>
  <c r="C102" i="1"/>
  <c r="I102" i="1"/>
  <c r="P102" i="1" s="1"/>
  <c r="AL102" i="1"/>
  <c r="F100" i="10" s="1"/>
  <c r="AK102" i="1"/>
  <c r="B100" i="10" s="1"/>
  <c r="B102" i="1"/>
  <c r="H102" i="1" s="1"/>
  <c r="E102" i="1"/>
  <c r="V102" i="1"/>
  <c r="AB102" i="1"/>
  <c r="AC102" i="1" s="1"/>
  <c r="AD102" i="1" s="1"/>
  <c r="F102" i="1"/>
  <c r="M102" i="1"/>
  <c r="L102" i="1"/>
  <c r="K102" i="1"/>
  <c r="J102" i="1"/>
  <c r="O100" i="10"/>
  <c r="AA102" i="1"/>
  <c r="J100" i="10" s="1"/>
  <c r="K100" i="10"/>
  <c r="C100" i="10"/>
  <c r="G100" i="10"/>
  <c r="AI102" i="1"/>
  <c r="N100" i="10" s="1"/>
  <c r="Z102" i="1"/>
  <c r="R102" i="1"/>
  <c r="A100" i="10"/>
  <c r="N102" i="1"/>
  <c r="AN102" i="1"/>
  <c r="AO102" i="1"/>
  <c r="I100" i="10"/>
  <c r="AM102" i="1"/>
  <c r="E100" i="10"/>
  <c r="G102" i="1"/>
  <c r="AF102" i="1"/>
  <c r="AG102" i="1" s="1"/>
  <c r="AH102" i="1" s="1"/>
  <c r="T102" i="1"/>
  <c r="S102" i="1"/>
  <c r="M100" i="10"/>
  <c r="D103" i="1" l="1"/>
  <c r="C103" i="1"/>
  <c r="A104" i="1"/>
  <c r="I103" i="1"/>
  <c r="P103" i="1" s="1"/>
  <c r="B103" i="1"/>
  <c r="H103" i="1" s="1"/>
  <c r="AK103" i="1"/>
  <c r="B101" i="10" s="1"/>
  <c r="F103" i="1"/>
  <c r="E103" i="1"/>
  <c r="AL103" i="1"/>
  <c r="F101" i="10" s="1"/>
  <c r="V103" i="1"/>
  <c r="AB103" i="1"/>
  <c r="AC103" i="1" s="1"/>
  <c r="AD103" i="1" s="1"/>
  <c r="N103" i="1"/>
  <c r="L103" i="1"/>
  <c r="K103" i="1"/>
  <c r="G103" i="1"/>
  <c r="M103" i="1"/>
  <c r="AI103" i="1"/>
  <c r="N101" i="10" s="1"/>
  <c r="AA103" i="1"/>
  <c r="J101" i="10" s="1"/>
  <c r="J103" i="1"/>
  <c r="K101" i="10"/>
  <c r="C101" i="10"/>
  <c r="O101" i="10"/>
  <c r="G101" i="10"/>
  <c r="S103" i="1"/>
  <c r="AO103" i="1"/>
  <c r="A101" i="10"/>
  <c r="R103" i="1"/>
  <c r="AN103" i="1"/>
  <c r="I101" i="10"/>
  <c r="Z103" i="1"/>
  <c r="E101" i="10"/>
  <c r="T103" i="1"/>
  <c r="M101" i="10"/>
  <c r="AF103" i="1"/>
  <c r="AG103" i="1" s="1"/>
  <c r="AH103" i="1" s="1"/>
  <c r="AM103" i="1"/>
  <c r="W102" i="1"/>
  <c r="X102" i="1" s="1"/>
  <c r="Y102" i="1"/>
  <c r="Y103" i="1" l="1"/>
  <c r="W103" i="1"/>
  <c r="X103" i="1" s="1"/>
  <c r="A105" i="1"/>
  <c r="D104" i="1"/>
  <c r="C104" i="1"/>
  <c r="I104" i="1"/>
  <c r="P104" i="1" s="1"/>
  <c r="B104" i="1"/>
  <c r="H104" i="1" s="1"/>
  <c r="AL104" i="1"/>
  <c r="F102" i="10" s="1"/>
  <c r="F104" i="1"/>
  <c r="E104" i="1"/>
  <c r="N104" i="1"/>
  <c r="V104" i="1"/>
  <c r="AK104" i="1"/>
  <c r="B102" i="10" s="1"/>
  <c r="G104" i="1"/>
  <c r="L104" i="1"/>
  <c r="K104" i="1"/>
  <c r="AB104" i="1"/>
  <c r="AC104" i="1" s="1"/>
  <c r="AD104" i="1" s="1"/>
  <c r="AI104" i="1"/>
  <c r="N102" i="10" s="1"/>
  <c r="M104" i="1"/>
  <c r="J104" i="1"/>
  <c r="O102" i="10"/>
  <c r="AA104" i="1"/>
  <c r="J102" i="10" s="1"/>
  <c r="K102" i="10"/>
  <c r="G102" i="10"/>
  <c r="AM104" i="1"/>
  <c r="AO104" i="1"/>
  <c r="A102" i="10"/>
  <c r="C102" i="10"/>
  <c r="R104" i="1"/>
  <c r="S104" i="1"/>
  <c r="I102" i="10"/>
  <c r="AF104" i="1"/>
  <c r="AG104" i="1" s="1"/>
  <c r="AH104" i="1" s="1"/>
  <c r="T104" i="1"/>
  <c r="E102" i="10"/>
  <c r="Z104" i="1"/>
  <c r="AN104" i="1"/>
  <c r="M102" i="10"/>
  <c r="W104" i="1" l="1"/>
  <c r="X104" i="1" s="1"/>
  <c r="Y104" i="1"/>
  <c r="D105" i="1"/>
  <c r="A106" i="1"/>
  <c r="I105" i="1"/>
  <c r="P105" i="1" s="1"/>
  <c r="C105" i="1"/>
  <c r="AL105" i="1"/>
  <c r="F103" i="10" s="1"/>
  <c r="B105" i="1"/>
  <c r="H105" i="1" s="1"/>
  <c r="F105" i="1"/>
  <c r="E105" i="1"/>
  <c r="AK105" i="1"/>
  <c r="B103" i="10" s="1"/>
  <c r="AB105" i="1"/>
  <c r="AC105" i="1" s="1"/>
  <c r="AD105" i="1" s="1"/>
  <c r="V105" i="1"/>
  <c r="N105" i="1"/>
  <c r="M105" i="1"/>
  <c r="L105" i="1"/>
  <c r="J105" i="1"/>
  <c r="O103" i="10"/>
  <c r="AA105" i="1"/>
  <c r="J103" i="10" s="1"/>
  <c r="K103" i="10"/>
  <c r="K105" i="1"/>
  <c r="AI105" i="1"/>
  <c r="N103" i="10" s="1"/>
  <c r="G105" i="1"/>
  <c r="G103" i="10"/>
  <c r="C103" i="10"/>
  <c r="AN105" i="1"/>
  <c r="Z105" i="1"/>
  <c r="A103" i="10"/>
  <c r="S105" i="1"/>
  <c r="AO105" i="1"/>
  <c r="I103" i="10"/>
  <c r="AF105" i="1"/>
  <c r="AG105" i="1" s="1"/>
  <c r="AH105" i="1" s="1"/>
  <c r="E103" i="10"/>
  <c r="T105" i="1"/>
  <c r="M103" i="10"/>
  <c r="AM105" i="1"/>
  <c r="R105" i="1"/>
  <c r="A107" i="1" l="1"/>
  <c r="D106" i="1"/>
  <c r="C106" i="1"/>
  <c r="I106" i="1"/>
  <c r="P106" i="1" s="1"/>
  <c r="AL106" i="1"/>
  <c r="F104" i="10" s="1"/>
  <c r="B106" i="1"/>
  <c r="H106" i="1" s="1"/>
  <c r="AK106" i="1"/>
  <c r="B104" i="10" s="1"/>
  <c r="F106" i="1"/>
  <c r="E106" i="1"/>
  <c r="V106" i="1"/>
  <c r="AB106" i="1"/>
  <c r="AC106" i="1" s="1"/>
  <c r="AD106" i="1" s="1"/>
  <c r="M106" i="1"/>
  <c r="L106" i="1"/>
  <c r="K106" i="1"/>
  <c r="J106" i="1"/>
  <c r="O104" i="10"/>
  <c r="AA106" i="1"/>
  <c r="J104" i="10" s="1"/>
  <c r="K104" i="10"/>
  <c r="AI106" i="1"/>
  <c r="N104" i="10" s="1"/>
  <c r="C104" i="10"/>
  <c r="G104" i="10"/>
  <c r="Z106" i="1"/>
  <c r="T106" i="1"/>
  <c r="E104" i="10"/>
  <c r="AF106" i="1"/>
  <c r="AG106" i="1" s="1"/>
  <c r="AH106" i="1" s="1"/>
  <c r="AN106" i="1"/>
  <c r="M104" i="10"/>
  <c r="AO106" i="1"/>
  <c r="A104" i="10"/>
  <c r="G106" i="1"/>
  <c r="N106" i="1"/>
  <c r="I104" i="10"/>
  <c r="AM106" i="1"/>
  <c r="S106" i="1"/>
  <c r="R106" i="1"/>
  <c r="W105" i="1"/>
  <c r="X105" i="1" s="1"/>
  <c r="Y105" i="1"/>
  <c r="Y106" i="1" l="1"/>
  <c r="W106" i="1"/>
  <c r="X106" i="1" s="1"/>
  <c r="D107" i="1"/>
  <c r="A108" i="1"/>
  <c r="C107" i="1"/>
  <c r="I107" i="1"/>
  <c r="P107" i="1" s="1"/>
  <c r="B107" i="1"/>
  <c r="H107" i="1" s="1"/>
  <c r="AK107" i="1"/>
  <c r="B105" i="10" s="1"/>
  <c r="AL107" i="1"/>
  <c r="F105" i="10" s="1"/>
  <c r="F107" i="1"/>
  <c r="E107" i="1"/>
  <c r="G107" i="1"/>
  <c r="AB107" i="1"/>
  <c r="AC107" i="1" s="1"/>
  <c r="AD107" i="1" s="1"/>
  <c r="L107" i="1"/>
  <c r="K107" i="1"/>
  <c r="V107" i="1"/>
  <c r="M107" i="1"/>
  <c r="AI107" i="1"/>
  <c r="N105" i="10" s="1"/>
  <c r="O105" i="10"/>
  <c r="AA107" i="1"/>
  <c r="J105" i="10" s="1"/>
  <c r="C105" i="10"/>
  <c r="T107" i="1"/>
  <c r="AM107" i="1"/>
  <c r="AO107" i="1"/>
  <c r="I105" i="10"/>
  <c r="J107" i="1"/>
  <c r="G105" i="10"/>
  <c r="AN107" i="1"/>
  <c r="R107" i="1"/>
  <c r="E105" i="10"/>
  <c r="K105" i="10"/>
  <c r="AF107" i="1"/>
  <c r="AG107" i="1" s="1"/>
  <c r="AH107" i="1" s="1"/>
  <c r="M105" i="10"/>
  <c r="Z107" i="1"/>
  <c r="N107" i="1"/>
  <c r="A105" i="10"/>
  <c r="S107" i="1"/>
  <c r="Y107" i="1" l="1"/>
  <c r="W107" i="1"/>
  <c r="X107" i="1" s="1"/>
  <c r="A109" i="1"/>
  <c r="D108" i="1"/>
  <c r="C108" i="1"/>
  <c r="I108" i="1"/>
  <c r="P108" i="1" s="1"/>
  <c r="B108" i="1"/>
  <c r="H108" i="1" s="1"/>
  <c r="AL108" i="1"/>
  <c r="F106" i="10" s="1"/>
  <c r="F108" i="1"/>
  <c r="E108" i="1"/>
  <c r="AK108" i="1"/>
  <c r="B106" i="10" s="1"/>
  <c r="AB108" i="1"/>
  <c r="AC108" i="1" s="1"/>
  <c r="AD108" i="1" s="1"/>
  <c r="N108" i="1"/>
  <c r="V108" i="1"/>
  <c r="L108" i="1"/>
  <c r="K108" i="1"/>
  <c r="M108" i="1"/>
  <c r="AI108" i="1"/>
  <c r="N106" i="10" s="1"/>
  <c r="J108" i="1"/>
  <c r="O106" i="10"/>
  <c r="AA108" i="1"/>
  <c r="J106" i="10" s="1"/>
  <c r="K106" i="10"/>
  <c r="G106" i="10"/>
  <c r="AF108" i="1"/>
  <c r="AG108" i="1" s="1"/>
  <c r="AH108" i="1" s="1"/>
  <c r="AN108" i="1"/>
  <c r="A106" i="10"/>
  <c r="G108" i="1"/>
  <c r="Z108" i="1"/>
  <c r="S108" i="1"/>
  <c r="I106" i="10"/>
  <c r="AM108" i="1"/>
  <c r="E106" i="10"/>
  <c r="R108" i="1"/>
  <c r="M106" i="10"/>
  <c r="AO108" i="1"/>
  <c r="T108" i="1"/>
  <c r="C106" i="10"/>
  <c r="D109" i="1" l="1"/>
  <c r="A110" i="1"/>
  <c r="I109" i="1"/>
  <c r="P109" i="1" s="1"/>
  <c r="C109" i="1"/>
  <c r="AL109" i="1"/>
  <c r="F107" i="10" s="1"/>
  <c r="B109" i="1"/>
  <c r="H109" i="1" s="1"/>
  <c r="F109" i="1"/>
  <c r="E109" i="1"/>
  <c r="AK109" i="1"/>
  <c r="B107" i="10" s="1"/>
  <c r="AB109" i="1"/>
  <c r="AC109" i="1" s="1"/>
  <c r="AD109" i="1" s="1"/>
  <c r="V109" i="1"/>
  <c r="M109" i="1"/>
  <c r="J109" i="1"/>
  <c r="O107" i="10"/>
  <c r="AA109" i="1"/>
  <c r="J107" i="10" s="1"/>
  <c r="K107" i="10"/>
  <c r="L109" i="1"/>
  <c r="AI109" i="1"/>
  <c r="N107" i="10" s="1"/>
  <c r="K109" i="1"/>
  <c r="G107" i="10"/>
  <c r="C107" i="10"/>
  <c r="AM109" i="1"/>
  <c r="Z109" i="1"/>
  <c r="E107" i="10"/>
  <c r="R109" i="1"/>
  <c r="T109" i="1"/>
  <c r="M107" i="10"/>
  <c r="AF109" i="1"/>
  <c r="AG109" i="1" s="1"/>
  <c r="AH109" i="1" s="1"/>
  <c r="A107" i="10"/>
  <c r="AN109" i="1"/>
  <c r="AO109" i="1"/>
  <c r="I107" i="10"/>
  <c r="N109" i="1"/>
  <c r="S109" i="1"/>
  <c r="G109" i="1"/>
  <c r="Y108" i="1"/>
  <c r="W108" i="1"/>
  <c r="X108" i="1" s="1"/>
  <c r="A111" i="1" l="1"/>
  <c r="D110" i="1"/>
  <c r="C110" i="1"/>
  <c r="AL110" i="1"/>
  <c r="F108" i="10" s="1"/>
  <c r="AK110" i="1"/>
  <c r="B108" i="10" s="1"/>
  <c r="B110" i="1"/>
  <c r="H110" i="1" s="1"/>
  <c r="N110" i="1"/>
  <c r="I110" i="1"/>
  <c r="P110" i="1" s="1"/>
  <c r="F110" i="1"/>
  <c r="V110" i="1"/>
  <c r="AA110" i="1"/>
  <c r="J108" i="10" s="1"/>
  <c r="M110" i="1"/>
  <c r="L110" i="1"/>
  <c r="K110" i="1"/>
  <c r="AB110" i="1"/>
  <c r="AC110" i="1" s="1"/>
  <c r="AD110" i="1" s="1"/>
  <c r="J110" i="1"/>
  <c r="O108" i="10"/>
  <c r="K108" i="10"/>
  <c r="E110" i="1"/>
  <c r="C108" i="10"/>
  <c r="AI110" i="1"/>
  <c r="N108" i="10" s="1"/>
  <c r="G108" i="10"/>
  <c r="S110" i="1"/>
  <c r="G110" i="1"/>
  <c r="AO110" i="1"/>
  <c r="I108" i="10"/>
  <c r="Z110" i="1"/>
  <c r="T110" i="1"/>
  <c r="E108" i="10"/>
  <c r="AM110" i="1"/>
  <c r="R110" i="1"/>
  <c r="M108" i="10"/>
  <c r="AN110" i="1"/>
  <c r="A108" i="10"/>
  <c r="AF110" i="1"/>
  <c r="AG110" i="1" s="1"/>
  <c r="AH110" i="1" s="1"/>
  <c r="Y109" i="1"/>
  <c r="W109" i="1"/>
  <c r="X109" i="1" s="1"/>
  <c r="W110" i="1" l="1"/>
  <c r="X110" i="1" s="1"/>
  <c r="Y110" i="1"/>
  <c r="D111" i="1"/>
  <c r="C111" i="1"/>
  <c r="A112" i="1"/>
  <c r="I111" i="1"/>
  <c r="P111" i="1" s="1"/>
  <c r="B111" i="1"/>
  <c r="H111" i="1" s="1"/>
  <c r="AL111" i="1"/>
  <c r="F109" i="10" s="1"/>
  <c r="AK111" i="1"/>
  <c r="B109" i="10" s="1"/>
  <c r="F111" i="1"/>
  <c r="E111" i="1"/>
  <c r="AB111" i="1"/>
  <c r="AC111" i="1" s="1"/>
  <c r="AD111" i="1" s="1"/>
  <c r="V111" i="1"/>
  <c r="G111" i="1"/>
  <c r="L111" i="1"/>
  <c r="K111" i="1"/>
  <c r="M111" i="1"/>
  <c r="AA111" i="1"/>
  <c r="J109" i="10" s="1"/>
  <c r="AI111" i="1"/>
  <c r="N109" i="10" s="1"/>
  <c r="O109" i="10"/>
  <c r="C109" i="10"/>
  <c r="J111" i="1"/>
  <c r="K109" i="10"/>
  <c r="AM111" i="1"/>
  <c r="AO111" i="1"/>
  <c r="A109" i="10"/>
  <c r="N111" i="1"/>
  <c r="R111" i="1"/>
  <c r="T111" i="1"/>
  <c r="I109" i="10"/>
  <c r="G109" i="10"/>
  <c r="AN111" i="1"/>
  <c r="E109" i="10"/>
  <c r="AF111" i="1"/>
  <c r="AG111" i="1" s="1"/>
  <c r="AH111" i="1" s="1"/>
  <c r="S111" i="1"/>
  <c r="M109" i="10"/>
  <c r="Z111" i="1"/>
  <c r="Y111" i="1" l="1"/>
  <c r="W111" i="1"/>
  <c r="X111" i="1" s="1"/>
  <c r="A113" i="1"/>
  <c r="D112" i="1"/>
  <c r="C112" i="1"/>
  <c r="I112" i="1"/>
  <c r="P112" i="1" s="1"/>
  <c r="B112" i="1"/>
  <c r="H112" i="1" s="1"/>
  <c r="AL112" i="1"/>
  <c r="F110" i="10" s="1"/>
  <c r="F112" i="1"/>
  <c r="E112" i="1"/>
  <c r="AK112" i="1"/>
  <c r="B110" i="10" s="1"/>
  <c r="G112" i="1"/>
  <c r="N112" i="1"/>
  <c r="AB112" i="1"/>
  <c r="AC112" i="1" s="1"/>
  <c r="AD112" i="1" s="1"/>
  <c r="V112" i="1"/>
  <c r="L112" i="1"/>
  <c r="K112" i="1"/>
  <c r="AI112" i="1"/>
  <c r="N110" i="10" s="1"/>
  <c r="M112" i="1"/>
  <c r="J112" i="1"/>
  <c r="O110" i="10"/>
  <c r="K110" i="10"/>
  <c r="G110" i="10"/>
  <c r="AN112" i="1"/>
  <c r="R112" i="1"/>
  <c r="A110" i="10"/>
  <c r="AA112" i="1"/>
  <c r="J110" i="10" s="1"/>
  <c r="T112" i="1"/>
  <c r="AO112" i="1"/>
  <c r="I110" i="10"/>
  <c r="AM112" i="1"/>
  <c r="E110" i="10"/>
  <c r="S112" i="1"/>
  <c r="C110" i="10"/>
  <c r="Z112" i="1"/>
  <c r="M110" i="10"/>
  <c r="AF112" i="1"/>
  <c r="AG112" i="1" s="1"/>
  <c r="AH112" i="1" s="1"/>
  <c r="W112" i="1" l="1"/>
  <c r="X112" i="1" s="1"/>
  <c r="Y112" i="1"/>
  <c r="D113" i="1"/>
  <c r="A114" i="1"/>
  <c r="C113" i="1"/>
  <c r="I113" i="1"/>
  <c r="P113" i="1" s="1"/>
  <c r="AL113" i="1"/>
  <c r="F111" i="10" s="1"/>
  <c r="B113" i="1"/>
  <c r="H113" i="1" s="1"/>
  <c r="F113" i="1"/>
  <c r="E113" i="1"/>
  <c r="AK113" i="1"/>
  <c r="B111" i="10" s="1"/>
  <c r="G113" i="1"/>
  <c r="V113" i="1"/>
  <c r="N113" i="1"/>
  <c r="AB113" i="1"/>
  <c r="AC113" i="1" s="1"/>
  <c r="AD113" i="1" s="1"/>
  <c r="M113" i="1"/>
  <c r="J113" i="1"/>
  <c r="O111" i="10"/>
  <c r="K111" i="10"/>
  <c r="AI113" i="1"/>
  <c r="N111" i="10" s="1"/>
  <c r="K113" i="1"/>
  <c r="AA113" i="1"/>
  <c r="J111" i="10" s="1"/>
  <c r="G111" i="10"/>
  <c r="C111" i="10"/>
  <c r="L113" i="1"/>
  <c r="R113" i="1"/>
  <c r="AN113" i="1"/>
  <c r="A111" i="10"/>
  <c r="T113" i="1"/>
  <c r="AM113" i="1"/>
  <c r="I111" i="10"/>
  <c r="Z113" i="1"/>
  <c r="E111" i="10"/>
  <c r="S113" i="1"/>
  <c r="M111" i="10"/>
  <c r="AF113" i="1"/>
  <c r="AG113" i="1" s="1"/>
  <c r="AH113" i="1" s="1"/>
  <c r="AO113" i="1"/>
  <c r="A115" i="1" l="1"/>
  <c r="D114" i="1"/>
  <c r="C114" i="1"/>
  <c r="AL114" i="1"/>
  <c r="F112" i="10" s="1"/>
  <c r="I114" i="1"/>
  <c r="P114" i="1" s="1"/>
  <c r="AK114" i="1"/>
  <c r="B112" i="10" s="1"/>
  <c r="V114" i="1"/>
  <c r="AB114" i="1"/>
  <c r="AC114" i="1" s="1"/>
  <c r="AD114" i="1" s="1"/>
  <c r="B114" i="1"/>
  <c r="H114" i="1" s="1"/>
  <c r="E114" i="1"/>
  <c r="F114" i="1"/>
  <c r="M114" i="1"/>
  <c r="L114" i="1"/>
  <c r="K114" i="1"/>
  <c r="AA114" i="1"/>
  <c r="J112" i="10" s="1"/>
  <c r="G114" i="1"/>
  <c r="J114" i="1"/>
  <c r="O112" i="10"/>
  <c r="K112" i="10"/>
  <c r="C112" i="10"/>
  <c r="G112" i="10"/>
  <c r="T114" i="1"/>
  <c r="AO114" i="1"/>
  <c r="M112" i="10"/>
  <c r="AI114" i="1"/>
  <c r="N112" i="10" s="1"/>
  <c r="S114" i="1"/>
  <c r="AN114" i="1"/>
  <c r="A112" i="10"/>
  <c r="R114" i="1"/>
  <c r="I112" i="10"/>
  <c r="AM114" i="1"/>
  <c r="AF114" i="1"/>
  <c r="AG114" i="1" s="1"/>
  <c r="AH114" i="1" s="1"/>
  <c r="N114" i="1"/>
  <c r="E112" i="10"/>
  <c r="Z114" i="1"/>
  <c r="W113" i="1"/>
  <c r="X113" i="1" s="1"/>
  <c r="Y113" i="1"/>
  <c r="Y114" i="1" l="1"/>
  <c r="W114" i="1"/>
  <c r="X114" i="1" s="1"/>
  <c r="D115" i="1"/>
  <c r="A116" i="1"/>
  <c r="C115" i="1"/>
  <c r="I115" i="1"/>
  <c r="P115" i="1" s="1"/>
  <c r="B115" i="1"/>
  <c r="H115" i="1" s="1"/>
  <c r="AL115" i="1"/>
  <c r="F113" i="10" s="1"/>
  <c r="AK115" i="1"/>
  <c r="B113" i="10" s="1"/>
  <c r="F115" i="1"/>
  <c r="E115" i="1"/>
  <c r="N115" i="1"/>
  <c r="V115" i="1"/>
  <c r="AB115" i="1"/>
  <c r="AC115" i="1" s="1"/>
  <c r="AD115" i="1" s="1"/>
  <c r="L115" i="1"/>
  <c r="K115" i="1"/>
  <c r="M115" i="1"/>
  <c r="G115" i="1"/>
  <c r="AA115" i="1"/>
  <c r="J113" i="10" s="1"/>
  <c r="AI115" i="1"/>
  <c r="N113" i="10" s="1"/>
  <c r="J115" i="1"/>
  <c r="K113" i="10"/>
  <c r="C113" i="10"/>
  <c r="O113" i="10"/>
  <c r="S115" i="1"/>
  <c r="Z115" i="1"/>
  <c r="M113" i="10"/>
  <c r="R115" i="1"/>
  <c r="AN115" i="1"/>
  <c r="A113" i="10"/>
  <c r="T115" i="1"/>
  <c r="G113" i="10"/>
  <c r="AM115" i="1"/>
  <c r="E113" i="10"/>
  <c r="I113" i="10"/>
  <c r="AO115" i="1"/>
  <c r="AF115" i="1"/>
  <c r="AG115" i="1" s="1"/>
  <c r="AH115" i="1" s="1"/>
  <c r="A117" i="1" l="1"/>
  <c r="D116" i="1"/>
  <c r="I116" i="1"/>
  <c r="P116" i="1" s="1"/>
  <c r="C116" i="1"/>
  <c r="B116" i="1"/>
  <c r="H116" i="1" s="1"/>
  <c r="AL116" i="1"/>
  <c r="F114" i="10" s="1"/>
  <c r="F116" i="1"/>
  <c r="E116" i="1"/>
  <c r="AB116" i="1"/>
  <c r="AC116" i="1" s="1"/>
  <c r="AD116" i="1" s="1"/>
  <c r="V116" i="1"/>
  <c r="L116" i="1"/>
  <c r="K116" i="1"/>
  <c r="AK116" i="1"/>
  <c r="B114" i="10" s="1"/>
  <c r="AI116" i="1"/>
  <c r="N114" i="10" s="1"/>
  <c r="J116" i="1"/>
  <c r="O114" i="10"/>
  <c r="K114" i="10"/>
  <c r="M116" i="1"/>
  <c r="AA116" i="1"/>
  <c r="J114" i="10" s="1"/>
  <c r="G114" i="10"/>
  <c r="C114" i="10"/>
  <c r="Z116" i="1"/>
  <c r="R116" i="1"/>
  <c r="AO116" i="1"/>
  <c r="I114" i="10"/>
  <c r="N116" i="1"/>
  <c r="AN116" i="1"/>
  <c r="E114" i="10"/>
  <c r="T116" i="1"/>
  <c r="M114" i="10"/>
  <c r="AM116" i="1"/>
  <c r="S116" i="1"/>
  <c r="A114" i="10"/>
  <c r="G116" i="1"/>
  <c r="AF116" i="1"/>
  <c r="AG116" i="1" s="1"/>
  <c r="AH116" i="1" s="1"/>
  <c r="W115" i="1"/>
  <c r="X115" i="1" s="1"/>
  <c r="Y115" i="1"/>
  <c r="W116" i="1" l="1"/>
  <c r="X116" i="1" s="1"/>
  <c r="Y116" i="1"/>
  <c r="D117" i="1"/>
  <c r="A118" i="1"/>
  <c r="I117" i="1"/>
  <c r="P117" i="1" s="1"/>
  <c r="AL117" i="1"/>
  <c r="F115" i="10" s="1"/>
  <c r="C117" i="1"/>
  <c r="B117" i="1"/>
  <c r="H117" i="1" s="1"/>
  <c r="F117" i="1"/>
  <c r="E117" i="1"/>
  <c r="AK117" i="1"/>
  <c r="B115" i="10" s="1"/>
  <c r="AB117" i="1"/>
  <c r="AC117" i="1" s="1"/>
  <c r="AD117" i="1" s="1"/>
  <c r="G117" i="1"/>
  <c r="V117" i="1"/>
  <c r="M117" i="1"/>
  <c r="K117" i="1"/>
  <c r="J117" i="1"/>
  <c r="O115" i="10"/>
  <c r="K115" i="10"/>
  <c r="AI117" i="1"/>
  <c r="N115" i="10" s="1"/>
  <c r="L117" i="1"/>
  <c r="AA117" i="1"/>
  <c r="J115" i="10" s="1"/>
  <c r="G115" i="10"/>
  <c r="C115" i="10"/>
  <c r="AF117" i="1"/>
  <c r="AG117" i="1" s="1"/>
  <c r="AH117" i="1" s="1"/>
  <c r="AM117" i="1"/>
  <c r="A115" i="10"/>
  <c r="N117" i="1"/>
  <c r="Z117" i="1"/>
  <c r="T117" i="1"/>
  <c r="I115" i="10"/>
  <c r="AO117" i="1"/>
  <c r="E115" i="10"/>
  <c r="S117" i="1"/>
  <c r="R117" i="1"/>
  <c r="M115" i="10"/>
  <c r="AN117" i="1"/>
  <c r="A119" i="1" l="1"/>
  <c r="D118" i="1"/>
  <c r="C118" i="1"/>
  <c r="I118" i="1"/>
  <c r="P118" i="1" s="1"/>
  <c r="AL118" i="1"/>
  <c r="F116" i="10" s="1"/>
  <c r="AK118" i="1"/>
  <c r="B116" i="10" s="1"/>
  <c r="B118" i="1"/>
  <c r="H118" i="1" s="1"/>
  <c r="E118" i="1"/>
  <c r="V118" i="1"/>
  <c r="AB118" i="1"/>
  <c r="AC118" i="1" s="1"/>
  <c r="AD118" i="1" s="1"/>
  <c r="F118" i="1"/>
  <c r="N118" i="1"/>
  <c r="M118" i="1"/>
  <c r="L118" i="1"/>
  <c r="K118" i="1"/>
  <c r="AA118" i="1"/>
  <c r="J116" i="10" s="1"/>
  <c r="J118" i="1"/>
  <c r="O116" i="10"/>
  <c r="K116" i="10"/>
  <c r="C116" i="10"/>
  <c r="G116" i="10"/>
  <c r="AI118" i="1"/>
  <c r="N116" i="10" s="1"/>
  <c r="S118" i="1"/>
  <c r="AN118" i="1"/>
  <c r="M116" i="10"/>
  <c r="R118" i="1"/>
  <c r="AM118" i="1"/>
  <c r="A116" i="10"/>
  <c r="G118" i="1"/>
  <c r="AO118" i="1"/>
  <c r="I116" i="10"/>
  <c r="T118" i="1"/>
  <c r="E116" i="10"/>
  <c r="Z118" i="1"/>
  <c r="AF118" i="1"/>
  <c r="AG118" i="1" s="1"/>
  <c r="AH118" i="1" s="1"/>
  <c r="W117" i="1"/>
  <c r="X117" i="1" s="1"/>
  <c r="Y117" i="1"/>
  <c r="W118" i="1" l="1"/>
  <c r="X118" i="1" s="1"/>
  <c r="Y118" i="1"/>
  <c r="D119" i="1"/>
  <c r="C119" i="1"/>
  <c r="I119" i="1"/>
  <c r="P119" i="1" s="1"/>
  <c r="A120" i="1"/>
  <c r="B119" i="1"/>
  <c r="H119" i="1" s="1"/>
  <c r="AK119" i="1"/>
  <c r="B117" i="10" s="1"/>
  <c r="F119" i="1"/>
  <c r="E119" i="1"/>
  <c r="AB119" i="1"/>
  <c r="AC119" i="1" s="1"/>
  <c r="AD119" i="1" s="1"/>
  <c r="AL119" i="1"/>
  <c r="F117" i="10" s="1"/>
  <c r="AA119" i="1"/>
  <c r="J117" i="10" s="1"/>
  <c r="V119" i="1"/>
  <c r="L119" i="1"/>
  <c r="K119" i="1"/>
  <c r="M119" i="1"/>
  <c r="AI119" i="1"/>
  <c r="N117" i="10" s="1"/>
  <c r="J119" i="1"/>
  <c r="K117" i="10"/>
  <c r="C117" i="10"/>
  <c r="N119" i="1"/>
  <c r="O117" i="10"/>
  <c r="G117" i="10"/>
  <c r="AF119" i="1"/>
  <c r="AG119" i="1" s="1"/>
  <c r="AH119" i="1" s="1"/>
  <c r="AM119" i="1"/>
  <c r="E117" i="10"/>
  <c r="AN119" i="1"/>
  <c r="AO119" i="1"/>
  <c r="M117" i="10"/>
  <c r="G119" i="1"/>
  <c r="A117" i="10"/>
  <c r="T119" i="1"/>
  <c r="I117" i="10"/>
  <c r="Z119" i="1"/>
  <c r="R119" i="1"/>
  <c r="S119" i="1"/>
  <c r="Y119" i="1" l="1"/>
  <c r="W119" i="1"/>
  <c r="X119" i="1" s="1"/>
  <c r="A121" i="1"/>
  <c r="D120" i="1"/>
  <c r="I120" i="1"/>
  <c r="P120" i="1" s="1"/>
  <c r="C120" i="1"/>
  <c r="B120" i="1"/>
  <c r="H120" i="1" s="1"/>
  <c r="AL120" i="1"/>
  <c r="F118" i="10" s="1"/>
  <c r="F120" i="1"/>
  <c r="E120" i="1"/>
  <c r="AB120" i="1"/>
  <c r="AC120" i="1" s="1"/>
  <c r="AD120" i="1" s="1"/>
  <c r="AA120" i="1"/>
  <c r="J118" i="10" s="1"/>
  <c r="AK120" i="1"/>
  <c r="B118" i="10" s="1"/>
  <c r="V120" i="1"/>
  <c r="L120" i="1"/>
  <c r="K120" i="1"/>
  <c r="G120" i="1"/>
  <c r="AI120" i="1"/>
  <c r="N118" i="10" s="1"/>
  <c r="M120" i="1"/>
  <c r="J120" i="1"/>
  <c r="O118" i="10"/>
  <c r="K118" i="10"/>
  <c r="G118" i="10"/>
  <c r="Z120" i="1"/>
  <c r="R120" i="1"/>
  <c r="AN120" i="1"/>
  <c r="I118" i="10"/>
  <c r="C118" i="10"/>
  <c r="N120" i="1"/>
  <c r="AM120" i="1"/>
  <c r="E118" i="10"/>
  <c r="AF120" i="1"/>
  <c r="AG120" i="1" s="1"/>
  <c r="AH120" i="1" s="1"/>
  <c r="AO120" i="1"/>
  <c r="M118" i="10"/>
  <c r="S120" i="1"/>
  <c r="A118" i="10"/>
  <c r="T120" i="1"/>
  <c r="D121" i="1" l="1"/>
  <c r="A122" i="1"/>
  <c r="C121" i="1"/>
  <c r="I121" i="1"/>
  <c r="P121" i="1" s="1"/>
  <c r="AL121" i="1"/>
  <c r="F119" i="10" s="1"/>
  <c r="B121" i="1"/>
  <c r="H121" i="1" s="1"/>
  <c r="F121" i="1"/>
  <c r="E121" i="1"/>
  <c r="AK121" i="1"/>
  <c r="B119" i="10" s="1"/>
  <c r="AA121" i="1"/>
  <c r="J119" i="10" s="1"/>
  <c r="N121" i="1"/>
  <c r="V121" i="1"/>
  <c r="AB121" i="1"/>
  <c r="AC121" i="1" s="1"/>
  <c r="AD121" i="1" s="1"/>
  <c r="G121" i="1"/>
  <c r="M121" i="1"/>
  <c r="L121" i="1"/>
  <c r="J121" i="1"/>
  <c r="O119" i="10"/>
  <c r="K119" i="10"/>
  <c r="K121" i="1"/>
  <c r="AI121" i="1"/>
  <c r="N119" i="10" s="1"/>
  <c r="G119" i="10"/>
  <c r="C119" i="10"/>
  <c r="Z121" i="1"/>
  <c r="T121" i="1"/>
  <c r="I119" i="10"/>
  <c r="AM121" i="1"/>
  <c r="AN121" i="1"/>
  <c r="E119" i="10"/>
  <c r="S121" i="1"/>
  <c r="M119" i="10"/>
  <c r="R121" i="1"/>
  <c r="AF121" i="1"/>
  <c r="AG121" i="1" s="1"/>
  <c r="AH121" i="1" s="1"/>
  <c r="A119" i="10"/>
  <c r="AO121" i="1"/>
  <c r="W120" i="1"/>
  <c r="X120" i="1" s="1"/>
  <c r="Y120" i="1"/>
  <c r="W121" i="1" l="1"/>
  <c r="X121" i="1" s="1"/>
  <c r="Y121" i="1"/>
  <c r="A123" i="1"/>
  <c r="D122" i="1"/>
  <c r="C122" i="1"/>
  <c r="I122" i="1"/>
  <c r="P122" i="1" s="1"/>
  <c r="AL122" i="1"/>
  <c r="F120" i="10" s="1"/>
  <c r="B122" i="1"/>
  <c r="H122" i="1" s="1"/>
  <c r="AK122" i="1"/>
  <c r="B120" i="10" s="1"/>
  <c r="F122" i="1"/>
  <c r="E122" i="1"/>
  <c r="V122" i="1"/>
  <c r="N122" i="1"/>
  <c r="M122" i="1"/>
  <c r="G122" i="1"/>
  <c r="L122" i="1"/>
  <c r="K122" i="1"/>
  <c r="J122" i="1"/>
  <c r="O120" i="10"/>
  <c r="K120" i="10"/>
  <c r="AB122" i="1"/>
  <c r="AC122" i="1" s="1"/>
  <c r="AD122" i="1" s="1"/>
  <c r="AI122" i="1"/>
  <c r="N120" i="10" s="1"/>
  <c r="AA122" i="1"/>
  <c r="J120" i="10" s="1"/>
  <c r="C120" i="10"/>
  <c r="G120" i="10"/>
  <c r="AO122" i="1"/>
  <c r="AM122" i="1"/>
  <c r="I120" i="10"/>
  <c r="R122" i="1"/>
  <c r="T122" i="1"/>
  <c r="E120" i="10"/>
  <c r="AN122" i="1"/>
  <c r="S122" i="1"/>
  <c r="M120" i="10"/>
  <c r="AF122" i="1"/>
  <c r="AG122" i="1" s="1"/>
  <c r="AH122" i="1" s="1"/>
  <c r="A120" i="10"/>
  <c r="Z122" i="1"/>
  <c r="W122" i="1" l="1"/>
  <c r="X122" i="1" s="1"/>
  <c r="Y122" i="1"/>
  <c r="D123" i="1"/>
  <c r="A124" i="1"/>
  <c r="C123" i="1"/>
  <c r="I123" i="1"/>
  <c r="P123" i="1" s="1"/>
  <c r="B123" i="1"/>
  <c r="H123" i="1" s="1"/>
  <c r="AL123" i="1"/>
  <c r="F121" i="10" s="1"/>
  <c r="F123" i="1"/>
  <c r="E123" i="1"/>
  <c r="AK123" i="1"/>
  <c r="B121" i="10" s="1"/>
  <c r="AB123" i="1"/>
  <c r="AC123" i="1" s="1"/>
  <c r="AD123" i="1" s="1"/>
  <c r="V123" i="1"/>
  <c r="L123" i="1"/>
  <c r="K123" i="1"/>
  <c r="M123" i="1"/>
  <c r="AI123" i="1"/>
  <c r="N121" i="10" s="1"/>
  <c r="AA123" i="1"/>
  <c r="J121" i="10" s="1"/>
  <c r="O121" i="10"/>
  <c r="C121" i="10"/>
  <c r="Z123" i="1"/>
  <c r="AM123" i="1"/>
  <c r="M121" i="10"/>
  <c r="G121" i="10"/>
  <c r="R123" i="1"/>
  <c r="AN123" i="1"/>
  <c r="G123" i="1"/>
  <c r="A121" i="10"/>
  <c r="AF123" i="1"/>
  <c r="AG123" i="1" s="1"/>
  <c r="AH123" i="1" s="1"/>
  <c r="S123" i="1"/>
  <c r="N123" i="1"/>
  <c r="K121" i="10"/>
  <c r="AO123" i="1"/>
  <c r="E121" i="10"/>
  <c r="T123" i="1"/>
  <c r="J123" i="1"/>
  <c r="I121" i="10"/>
  <c r="A125" i="1" l="1"/>
  <c r="D124" i="1"/>
  <c r="I124" i="1"/>
  <c r="P124" i="1" s="1"/>
  <c r="C124" i="1"/>
  <c r="B124" i="1"/>
  <c r="H124" i="1" s="1"/>
  <c r="AL124" i="1"/>
  <c r="F122" i="10" s="1"/>
  <c r="F124" i="1"/>
  <c r="E124" i="1"/>
  <c r="AB124" i="1"/>
  <c r="AC124" i="1" s="1"/>
  <c r="AD124" i="1" s="1"/>
  <c r="AK124" i="1"/>
  <c r="B122" i="10" s="1"/>
  <c r="G124" i="1"/>
  <c r="V124" i="1"/>
  <c r="L124" i="1"/>
  <c r="K124" i="1"/>
  <c r="M124" i="1"/>
  <c r="AI124" i="1"/>
  <c r="N122" i="10" s="1"/>
  <c r="AA124" i="1"/>
  <c r="J122" i="10" s="1"/>
  <c r="J124" i="1"/>
  <c r="O122" i="10"/>
  <c r="K122" i="10"/>
  <c r="G122" i="10"/>
  <c r="N124" i="1"/>
  <c r="AF124" i="1"/>
  <c r="AG124" i="1" s="1"/>
  <c r="AH124" i="1" s="1"/>
  <c r="E122" i="10"/>
  <c r="AM124" i="1"/>
  <c r="AO124" i="1"/>
  <c r="M122" i="10"/>
  <c r="C122" i="10"/>
  <c r="S124" i="1"/>
  <c r="A122" i="10"/>
  <c r="Z124" i="1"/>
  <c r="R124" i="1"/>
  <c r="I122" i="10"/>
  <c r="T124" i="1"/>
  <c r="AN124" i="1"/>
  <c r="Y123" i="1"/>
  <c r="W123" i="1"/>
  <c r="X123" i="1" s="1"/>
  <c r="Y124" i="1" l="1"/>
  <c r="W124" i="1"/>
  <c r="X124" i="1" s="1"/>
  <c r="D125" i="1"/>
  <c r="A126" i="1"/>
  <c r="I125" i="1"/>
  <c r="P125" i="1" s="1"/>
  <c r="AL125" i="1"/>
  <c r="F123" i="10" s="1"/>
  <c r="B125" i="1"/>
  <c r="H125" i="1" s="1"/>
  <c r="F125" i="1"/>
  <c r="E125" i="1"/>
  <c r="C125" i="1"/>
  <c r="AK125" i="1"/>
  <c r="B123" i="10" s="1"/>
  <c r="G125" i="1"/>
  <c r="AB125" i="1"/>
  <c r="AC125" i="1" s="1"/>
  <c r="AD125" i="1" s="1"/>
  <c r="V125" i="1"/>
  <c r="N125" i="1"/>
  <c r="M125" i="1"/>
  <c r="J125" i="1"/>
  <c r="O123" i="10"/>
  <c r="K123" i="10"/>
  <c r="L125" i="1"/>
  <c r="AI125" i="1"/>
  <c r="N123" i="10" s="1"/>
  <c r="AA125" i="1"/>
  <c r="J123" i="10" s="1"/>
  <c r="G123" i="10"/>
  <c r="K125" i="1"/>
  <c r="C123" i="10"/>
  <c r="AF125" i="1"/>
  <c r="AG125" i="1" s="1"/>
  <c r="AH125" i="1" s="1"/>
  <c r="T125" i="1"/>
  <c r="M123" i="10"/>
  <c r="AM125" i="1"/>
  <c r="AO125" i="1"/>
  <c r="E123" i="10"/>
  <c r="Z125" i="1"/>
  <c r="AN125" i="1"/>
  <c r="S125" i="1"/>
  <c r="R125" i="1"/>
  <c r="I123" i="10"/>
  <c r="A123" i="10"/>
  <c r="A127" i="1" l="1"/>
  <c r="D126" i="1"/>
  <c r="C126" i="1"/>
  <c r="AL126" i="1"/>
  <c r="F124" i="10" s="1"/>
  <c r="B126" i="1"/>
  <c r="H126" i="1" s="1"/>
  <c r="I126" i="1"/>
  <c r="P126" i="1" s="1"/>
  <c r="V126" i="1"/>
  <c r="N126" i="1"/>
  <c r="F126" i="1"/>
  <c r="AB126" i="1"/>
  <c r="AC126" i="1" s="1"/>
  <c r="AD126" i="1" s="1"/>
  <c r="AK126" i="1"/>
  <c r="B124" i="10" s="1"/>
  <c r="M126" i="1"/>
  <c r="E126" i="1"/>
  <c r="L126" i="1"/>
  <c r="K126" i="1"/>
  <c r="J126" i="1"/>
  <c r="O124" i="10"/>
  <c r="K124" i="10"/>
  <c r="C124" i="10"/>
  <c r="AI126" i="1"/>
  <c r="N124" i="10" s="1"/>
  <c r="AA126" i="1"/>
  <c r="J124" i="10" s="1"/>
  <c r="G124" i="10"/>
  <c r="AM126" i="1"/>
  <c r="R126" i="1"/>
  <c r="I124" i="10"/>
  <c r="Z126" i="1"/>
  <c r="S126" i="1"/>
  <c r="AO126" i="1"/>
  <c r="E124" i="10"/>
  <c r="G126" i="1"/>
  <c r="AN126" i="1"/>
  <c r="AF126" i="1"/>
  <c r="AG126" i="1" s="1"/>
  <c r="AH126" i="1" s="1"/>
  <c r="T126" i="1"/>
  <c r="A124" i="10"/>
  <c r="M124" i="10"/>
  <c r="W125" i="1"/>
  <c r="X125" i="1" s="1"/>
  <c r="Y125" i="1"/>
  <c r="W126" i="1" l="1"/>
  <c r="X126" i="1" s="1"/>
  <c r="Y126" i="1"/>
  <c r="D127" i="1"/>
  <c r="C127" i="1"/>
  <c r="A128" i="1"/>
  <c r="I127" i="1"/>
  <c r="P127" i="1" s="1"/>
  <c r="B127" i="1"/>
  <c r="H127" i="1" s="1"/>
  <c r="AL127" i="1"/>
  <c r="F125" i="10" s="1"/>
  <c r="F127" i="1"/>
  <c r="E127" i="1"/>
  <c r="V127" i="1"/>
  <c r="AK127" i="1"/>
  <c r="B125" i="10" s="1"/>
  <c r="N127" i="1"/>
  <c r="AA127" i="1"/>
  <c r="J125" i="10" s="1"/>
  <c r="L127" i="1"/>
  <c r="K127" i="1"/>
  <c r="G127" i="1"/>
  <c r="M127" i="1"/>
  <c r="AB127" i="1"/>
  <c r="AC127" i="1" s="1"/>
  <c r="AD127" i="1" s="1"/>
  <c r="AI127" i="1"/>
  <c r="N125" i="10" s="1"/>
  <c r="O125" i="10"/>
  <c r="C125" i="10"/>
  <c r="J127" i="1"/>
  <c r="K125" i="10"/>
  <c r="S127" i="1"/>
  <c r="AO127" i="1"/>
  <c r="M125" i="10"/>
  <c r="T127" i="1"/>
  <c r="AN127" i="1"/>
  <c r="A125" i="10"/>
  <c r="R127" i="1"/>
  <c r="I125" i="10"/>
  <c r="AM127" i="1"/>
  <c r="Z127" i="1"/>
  <c r="E125" i="10"/>
  <c r="AF127" i="1"/>
  <c r="AG127" i="1" s="1"/>
  <c r="AH127" i="1" s="1"/>
  <c r="G125" i="10"/>
  <c r="Y127" i="1" l="1"/>
  <c r="W127" i="1"/>
  <c r="X127" i="1" s="1"/>
  <c r="A129" i="1"/>
  <c r="D128" i="1"/>
  <c r="I128" i="1"/>
  <c r="P128" i="1" s="1"/>
  <c r="C128" i="1"/>
  <c r="B128" i="1"/>
  <c r="H128" i="1" s="1"/>
  <c r="AL128" i="1"/>
  <c r="F126" i="10" s="1"/>
  <c r="F128" i="1"/>
  <c r="E128" i="1"/>
  <c r="AK128" i="1"/>
  <c r="B126" i="10" s="1"/>
  <c r="N128" i="1"/>
  <c r="V128" i="1"/>
  <c r="AA128" i="1"/>
  <c r="J126" i="10" s="1"/>
  <c r="L128" i="1"/>
  <c r="K128" i="1"/>
  <c r="AB128" i="1"/>
  <c r="AC128" i="1" s="1"/>
  <c r="AD128" i="1" s="1"/>
  <c r="AI128" i="1"/>
  <c r="N126" i="10" s="1"/>
  <c r="M128" i="1"/>
  <c r="J128" i="1"/>
  <c r="O126" i="10"/>
  <c r="K126" i="10"/>
  <c r="G126" i="10"/>
  <c r="S128" i="1"/>
  <c r="AF128" i="1"/>
  <c r="AG128" i="1" s="1"/>
  <c r="AH128" i="1" s="1"/>
  <c r="E126" i="10"/>
  <c r="G128" i="1"/>
  <c r="R128" i="1"/>
  <c r="AO128" i="1"/>
  <c r="M126" i="10"/>
  <c r="AN128" i="1"/>
  <c r="A126" i="10"/>
  <c r="C126" i="10"/>
  <c r="AM128" i="1"/>
  <c r="Z128" i="1"/>
  <c r="T128" i="1"/>
  <c r="I126" i="10"/>
  <c r="D129" i="1" l="1"/>
  <c r="A130" i="1"/>
  <c r="C129" i="1"/>
  <c r="I129" i="1"/>
  <c r="P129" i="1" s="1"/>
  <c r="AL129" i="1"/>
  <c r="F127" i="10" s="1"/>
  <c r="B129" i="1"/>
  <c r="H129" i="1" s="1"/>
  <c r="F129" i="1"/>
  <c r="E129" i="1"/>
  <c r="G129" i="1"/>
  <c r="AK129" i="1"/>
  <c r="B127" i="10" s="1"/>
  <c r="V129" i="1"/>
  <c r="AB129" i="1"/>
  <c r="AC129" i="1" s="1"/>
  <c r="AD129" i="1" s="1"/>
  <c r="M129" i="1"/>
  <c r="J129" i="1"/>
  <c r="O127" i="10"/>
  <c r="AA129" i="1"/>
  <c r="J127" i="10" s="1"/>
  <c r="K127" i="10"/>
  <c r="AI129" i="1"/>
  <c r="N127" i="10" s="1"/>
  <c r="K129" i="1"/>
  <c r="G127" i="10"/>
  <c r="L129" i="1"/>
  <c r="C127" i="10"/>
  <c r="N129" i="1"/>
  <c r="AO129" i="1"/>
  <c r="AM129" i="1"/>
  <c r="M127" i="10"/>
  <c r="S129" i="1"/>
  <c r="Z129" i="1"/>
  <c r="A127" i="10"/>
  <c r="R129" i="1"/>
  <c r="I127" i="10"/>
  <c r="E127" i="10"/>
  <c r="AN129" i="1"/>
  <c r="AF129" i="1"/>
  <c r="AG129" i="1" s="1"/>
  <c r="AH129" i="1" s="1"/>
  <c r="T129" i="1"/>
  <c r="Y128" i="1"/>
  <c r="W128" i="1"/>
  <c r="X128" i="1" s="1"/>
  <c r="A131" i="1" l="1"/>
  <c r="D130" i="1"/>
  <c r="C130" i="1"/>
  <c r="AL130" i="1"/>
  <c r="F128" i="10" s="1"/>
  <c r="I130" i="1"/>
  <c r="P130" i="1" s="1"/>
  <c r="B130" i="1"/>
  <c r="H130" i="1" s="1"/>
  <c r="AB130" i="1"/>
  <c r="AC130" i="1" s="1"/>
  <c r="AD130" i="1" s="1"/>
  <c r="N130" i="1"/>
  <c r="E130" i="1"/>
  <c r="V130" i="1"/>
  <c r="M130" i="1"/>
  <c r="F130" i="1"/>
  <c r="AK130" i="1"/>
  <c r="B128" i="10" s="1"/>
  <c r="L130" i="1"/>
  <c r="K130" i="1"/>
  <c r="J130" i="1"/>
  <c r="O128" i="10"/>
  <c r="AA130" i="1"/>
  <c r="J128" i="10" s="1"/>
  <c r="K128" i="10"/>
  <c r="C128" i="10"/>
  <c r="G128" i="10"/>
  <c r="AM130" i="1"/>
  <c r="G130" i="1"/>
  <c r="I128" i="10"/>
  <c r="R130" i="1"/>
  <c r="T130" i="1"/>
  <c r="E128" i="10"/>
  <c r="Z130" i="1"/>
  <c r="S130" i="1"/>
  <c r="AN130" i="1"/>
  <c r="A128" i="10"/>
  <c r="M128" i="10"/>
  <c r="AO130" i="1"/>
  <c r="AI130" i="1"/>
  <c r="N128" i="10" s="1"/>
  <c r="AF130" i="1"/>
  <c r="AG130" i="1" s="1"/>
  <c r="AH130" i="1" s="1"/>
  <c r="Y129" i="1"/>
  <c r="W129" i="1"/>
  <c r="X129" i="1" s="1"/>
  <c r="W130" i="1" l="1"/>
  <c r="X130" i="1" s="1"/>
  <c r="Y130" i="1"/>
  <c r="D131" i="1"/>
  <c r="A132" i="1"/>
  <c r="C131" i="1"/>
  <c r="I131" i="1"/>
  <c r="P131" i="1" s="1"/>
  <c r="B131" i="1"/>
  <c r="H131" i="1" s="1"/>
  <c r="AL131" i="1"/>
  <c r="F129" i="10" s="1"/>
  <c r="F131" i="1"/>
  <c r="E131" i="1"/>
  <c r="V131" i="1"/>
  <c r="N131" i="1"/>
  <c r="AK131" i="1"/>
  <c r="B129" i="10" s="1"/>
  <c r="L131" i="1"/>
  <c r="K131" i="1"/>
  <c r="AB131" i="1"/>
  <c r="AC131" i="1" s="1"/>
  <c r="AD131" i="1" s="1"/>
  <c r="M131" i="1"/>
  <c r="G131" i="1"/>
  <c r="AI131" i="1"/>
  <c r="N129" i="10" s="1"/>
  <c r="J131" i="1"/>
  <c r="K129" i="10"/>
  <c r="C129" i="10"/>
  <c r="AO131" i="1"/>
  <c r="S131" i="1"/>
  <c r="M129" i="10"/>
  <c r="O129" i="10"/>
  <c r="AF131" i="1"/>
  <c r="AG131" i="1" s="1"/>
  <c r="AH131" i="1" s="1"/>
  <c r="Z131" i="1"/>
  <c r="A129" i="10"/>
  <c r="T131" i="1"/>
  <c r="AM131" i="1"/>
  <c r="AA131" i="1"/>
  <c r="J129" i="10" s="1"/>
  <c r="AN131" i="1"/>
  <c r="G129" i="10"/>
  <c r="R131" i="1"/>
  <c r="E129" i="10"/>
  <c r="I129" i="10"/>
  <c r="A133" i="1" l="1"/>
  <c r="D132" i="1"/>
  <c r="I132" i="1"/>
  <c r="P132" i="1" s="1"/>
  <c r="C132" i="1"/>
  <c r="B132" i="1"/>
  <c r="H132" i="1" s="1"/>
  <c r="AL132" i="1"/>
  <c r="F130" i="10" s="1"/>
  <c r="F132" i="1"/>
  <c r="E132" i="1"/>
  <c r="AK132" i="1"/>
  <c r="B130" i="10" s="1"/>
  <c r="AB132" i="1"/>
  <c r="AC132" i="1" s="1"/>
  <c r="AD132" i="1" s="1"/>
  <c r="N132" i="1"/>
  <c r="V132" i="1"/>
  <c r="L132" i="1"/>
  <c r="K132" i="1"/>
  <c r="AI132" i="1"/>
  <c r="N130" i="10" s="1"/>
  <c r="J132" i="1"/>
  <c r="O130" i="10"/>
  <c r="AA132" i="1"/>
  <c r="J130" i="10" s="1"/>
  <c r="K130" i="10"/>
  <c r="M132" i="1"/>
  <c r="G130" i="10"/>
  <c r="C130" i="10"/>
  <c r="G132" i="1"/>
  <c r="S132" i="1"/>
  <c r="A130" i="10"/>
  <c r="T132" i="1"/>
  <c r="AN132" i="1"/>
  <c r="I130" i="10"/>
  <c r="AF132" i="1"/>
  <c r="AG132" i="1" s="1"/>
  <c r="AH132" i="1" s="1"/>
  <c r="E130" i="10"/>
  <c r="R132" i="1"/>
  <c r="AO132" i="1"/>
  <c r="M130" i="10"/>
  <c r="Z132" i="1"/>
  <c r="AM132" i="1"/>
  <c r="W131" i="1"/>
  <c r="X131" i="1" s="1"/>
  <c r="Y131" i="1"/>
  <c r="W132" i="1" l="1"/>
  <c r="X132" i="1" s="1"/>
  <c r="Y132" i="1"/>
  <c r="D133" i="1"/>
  <c r="A134" i="1"/>
  <c r="I133" i="1"/>
  <c r="P133" i="1" s="1"/>
  <c r="AL133" i="1"/>
  <c r="F131" i="10" s="1"/>
  <c r="B133" i="1"/>
  <c r="H133" i="1" s="1"/>
  <c r="C133" i="1"/>
  <c r="F133" i="1"/>
  <c r="E133" i="1"/>
  <c r="AK133" i="1"/>
  <c r="B131" i="10" s="1"/>
  <c r="AB133" i="1"/>
  <c r="AC133" i="1" s="1"/>
  <c r="AD133" i="1" s="1"/>
  <c r="V133" i="1"/>
  <c r="AA133" i="1"/>
  <c r="J131" i="10" s="1"/>
  <c r="N133" i="1"/>
  <c r="M133" i="1"/>
  <c r="K133" i="1"/>
  <c r="J133" i="1"/>
  <c r="O131" i="10"/>
  <c r="K131" i="10"/>
  <c r="AI133" i="1"/>
  <c r="N131" i="10" s="1"/>
  <c r="L133" i="1"/>
  <c r="G131" i="10"/>
  <c r="C131" i="10"/>
  <c r="G133" i="1"/>
  <c r="AM133" i="1"/>
  <c r="AO133" i="1"/>
  <c r="M131" i="10"/>
  <c r="Z133" i="1"/>
  <c r="S133" i="1"/>
  <c r="A131" i="10"/>
  <c r="AF133" i="1"/>
  <c r="AG133" i="1" s="1"/>
  <c r="AH133" i="1" s="1"/>
  <c r="R133" i="1"/>
  <c r="I131" i="10"/>
  <c r="T133" i="1"/>
  <c r="E131" i="10"/>
  <c r="AN133" i="1"/>
  <c r="A135" i="1" l="1"/>
  <c r="D134" i="1"/>
  <c r="C134" i="1"/>
  <c r="I134" i="1"/>
  <c r="P134" i="1" s="1"/>
  <c r="AL134" i="1"/>
  <c r="F132" i="10" s="1"/>
  <c r="B134" i="1"/>
  <c r="H134" i="1" s="1"/>
  <c r="E134" i="1"/>
  <c r="F134" i="1"/>
  <c r="AB134" i="1"/>
  <c r="AC134" i="1" s="1"/>
  <c r="AD134" i="1" s="1"/>
  <c r="M134" i="1"/>
  <c r="G134" i="1"/>
  <c r="AA134" i="1"/>
  <c r="J132" i="10" s="1"/>
  <c r="V134" i="1"/>
  <c r="L134" i="1"/>
  <c r="K134" i="1"/>
  <c r="J134" i="1"/>
  <c r="O132" i="10"/>
  <c r="K132" i="10"/>
  <c r="AK134" i="1"/>
  <c r="B132" i="10" s="1"/>
  <c r="N134" i="1"/>
  <c r="C132" i="10"/>
  <c r="G132" i="10"/>
  <c r="AI134" i="1"/>
  <c r="N132" i="10" s="1"/>
  <c r="T134" i="1"/>
  <c r="AM134" i="1"/>
  <c r="M132" i="10"/>
  <c r="S134" i="1"/>
  <c r="AN134" i="1"/>
  <c r="A132" i="10"/>
  <c r="R134" i="1"/>
  <c r="I132" i="10"/>
  <c r="Z134" i="1"/>
  <c r="E132" i="10"/>
  <c r="AF134" i="1"/>
  <c r="AG134" i="1" s="1"/>
  <c r="AH134" i="1" s="1"/>
  <c r="AO134" i="1"/>
  <c r="W133" i="1"/>
  <c r="X133" i="1" s="1"/>
  <c r="Y133" i="1"/>
  <c r="W134" i="1" l="1"/>
  <c r="X134" i="1" s="1"/>
  <c r="Y134" i="1"/>
  <c r="D135" i="1"/>
  <c r="C135" i="1"/>
  <c r="A136" i="1"/>
  <c r="I135" i="1"/>
  <c r="P135" i="1" s="1"/>
  <c r="B135" i="1"/>
  <c r="H135" i="1" s="1"/>
  <c r="F135" i="1"/>
  <c r="E135" i="1"/>
  <c r="AK135" i="1"/>
  <c r="B133" i="10" s="1"/>
  <c r="V135" i="1"/>
  <c r="L135" i="1"/>
  <c r="K135" i="1"/>
  <c r="N135" i="1"/>
  <c r="M135" i="1"/>
  <c r="AL135" i="1"/>
  <c r="F133" i="10" s="1"/>
  <c r="AB135" i="1"/>
  <c r="AC135" i="1" s="1"/>
  <c r="AD135" i="1" s="1"/>
  <c r="AA135" i="1"/>
  <c r="J133" i="10" s="1"/>
  <c r="AI135" i="1"/>
  <c r="N133" i="10" s="1"/>
  <c r="J135" i="1"/>
  <c r="K133" i="10"/>
  <c r="C133" i="10"/>
  <c r="O133" i="10"/>
  <c r="G133" i="10"/>
  <c r="T135" i="1"/>
  <c r="R135" i="1"/>
  <c r="E133" i="10"/>
  <c r="G135" i="1"/>
  <c r="AN135" i="1"/>
  <c r="AF135" i="1"/>
  <c r="AG135" i="1" s="1"/>
  <c r="AH135" i="1" s="1"/>
  <c r="M133" i="10"/>
  <c r="S135" i="1"/>
  <c r="Z135" i="1"/>
  <c r="AM135" i="1"/>
  <c r="AO135" i="1"/>
  <c r="I133" i="10"/>
  <c r="A133" i="10"/>
  <c r="W135" i="1" l="1"/>
  <c r="X135" i="1" s="1"/>
  <c r="Y135" i="1"/>
  <c r="A137" i="1"/>
  <c r="D136" i="1"/>
  <c r="I136" i="1"/>
  <c r="P136" i="1" s="1"/>
  <c r="C136" i="1"/>
  <c r="B136" i="1"/>
  <c r="H136" i="1" s="1"/>
  <c r="AL136" i="1"/>
  <c r="F134" i="10" s="1"/>
  <c r="F136" i="1"/>
  <c r="E136" i="1"/>
  <c r="AK136" i="1"/>
  <c r="B134" i="10" s="1"/>
  <c r="N136" i="1"/>
  <c r="L136" i="1"/>
  <c r="K136" i="1"/>
  <c r="V136" i="1"/>
  <c r="AI136" i="1"/>
  <c r="N134" i="10" s="1"/>
  <c r="AA136" i="1"/>
  <c r="J134" i="10" s="1"/>
  <c r="AB136" i="1"/>
  <c r="AC136" i="1" s="1"/>
  <c r="AD136" i="1" s="1"/>
  <c r="M136" i="1"/>
  <c r="J136" i="1"/>
  <c r="O134" i="10"/>
  <c r="K134" i="10"/>
  <c r="G134" i="10"/>
  <c r="AO136" i="1"/>
  <c r="T136" i="1"/>
  <c r="I134" i="10"/>
  <c r="C134" i="10"/>
  <c r="Z136" i="1"/>
  <c r="AM136" i="1"/>
  <c r="E134" i="10"/>
  <c r="AF136" i="1"/>
  <c r="AG136" i="1" s="1"/>
  <c r="AH136" i="1" s="1"/>
  <c r="S136" i="1"/>
  <c r="M134" i="10"/>
  <c r="R136" i="1"/>
  <c r="A134" i="10"/>
  <c r="AN136" i="1"/>
  <c r="G136" i="1"/>
  <c r="Y136" i="1" l="1"/>
  <c r="W136" i="1"/>
  <c r="X136" i="1" s="1"/>
  <c r="D137" i="1"/>
  <c r="A138" i="1"/>
  <c r="C137" i="1"/>
  <c r="I137" i="1"/>
  <c r="P137" i="1" s="1"/>
  <c r="AL137" i="1"/>
  <c r="F135" i="10" s="1"/>
  <c r="B137" i="1"/>
  <c r="H137" i="1" s="1"/>
  <c r="F137" i="1"/>
  <c r="E137" i="1"/>
  <c r="AK137" i="1"/>
  <c r="B135" i="10" s="1"/>
  <c r="AB137" i="1"/>
  <c r="AC137" i="1" s="1"/>
  <c r="AD137" i="1" s="1"/>
  <c r="G137" i="1"/>
  <c r="AA137" i="1"/>
  <c r="J135" i="10" s="1"/>
  <c r="V137" i="1"/>
  <c r="M137" i="1"/>
  <c r="L137" i="1"/>
  <c r="J137" i="1"/>
  <c r="O135" i="10"/>
  <c r="K135" i="10"/>
  <c r="N137" i="1"/>
  <c r="K137" i="1"/>
  <c r="AI137" i="1"/>
  <c r="N135" i="10" s="1"/>
  <c r="G135" i="10"/>
  <c r="C135" i="10"/>
  <c r="T137" i="1"/>
  <c r="AO137" i="1"/>
  <c r="I135" i="10"/>
  <c r="S137" i="1"/>
  <c r="AN137" i="1"/>
  <c r="E135" i="10"/>
  <c r="R137" i="1"/>
  <c r="M135" i="10"/>
  <c r="AF137" i="1"/>
  <c r="AG137" i="1" s="1"/>
  <c r="AH137" i="1" s="1"/>
  <c r="Z137" i="1"/>
  <c r="A135" i="10"/>
  <c r="AM137" i="1"/>
  <c r="W137" i="1" l="1"/>
  <c r="X137" i="1" s="1"/>
  <c r="Y137" i="1"/>
  <c r="A139" i="1"/>
  <c r="D138" i="1"/>
  <c r="C138" i="1"/>
  <c r="I138" i="1"/>
  <c r="P138" i="1" s="1"/>
  <c r="AL138" i="1"/>
  <c r="F136" i="10" s="1"/>
  <c r="B138" i="1"/>
  <c r="H138" i="1" s="1"/>
  <c r="F138" i="1"/>
  <c r="E138" i="1"/>
  <c r="N138" i="1"/>
  <c r="AA138" i="1"/>
  <c r="J136" i="10" s="1"/>
  <c r="M138" i="1"/>
  <c r="V138" i="1"/>
  <c r="AK138" i="1"/>
  <c r="B136" i="10" s="1"/>
  <c r="L138" i="1"/>
  <c r="K138" i="1"/>
  <c r="J138" i="1"/>
  <c r="O136" i="10"/>
  <c r="K136" i="10"/>
  <c r="AB138" i="1"/>
  <c r="AC138" i="1" s="1"/>
  <c r="AD138" i="1" s="1"/>
  <c r="AI138" i="1"/>
  <c r="N136" i="10" s="1"/>
  <c r="C136" i="10"/>
  <c r="G136" i="10"/>
  <c r="S138" i="1"/>
  <c r="Z138" i="1"/>
  <c r="A136" i="10"/>
  <c r="R138" i="1"/>
  <c r="AN138" i="1"/>
  <c r="I136" i="10"/>
  <c r="AM138" i="1"/>
  <c r="E136" i="10"/>
  <c r="G138" i="1"/>
  <c r="T138" i="1"/>
  <c r="AF138" i="1"/>
  <c r="AG138" i="1" s="1"/>
  <c r="AH138" i="1" s="1"/>
  <c r="AO138" i="1"/>
  <c r="M136" i="10"/>
  <c r="D139" i="1" l="1"/>
  <c r="A140" i="1"/>
  <c r="C139" i="1"/>
  <c r="I139" i="1"/>
  <c r="P139" i="1" s="1"/>
  <c r="B139" i="1"/>
  <c r="H139" i="1" s="1"/>
  <c r="AL139" i="1"/>
  <c r="F137" i="10" s="1"/>
  <c r="F139" i="1"/>
  <c r="E139" i="1"/>
  <c r="AK139" i="1"/>
  <c r="B137" i="10" s="1"/>
  <c r="L139" i="1"/>
  <c r="K139" i="1"/>
  <c r="N139" i="1"/>
  <c r="M139" i="1"/>
  <c r="V139" i="1"/>
  <c r="AI139" i="1"/>
  <c r="N137" i="10" s="1"/>
  <c r="AA139" i="1"/>
  <c r="J137" i="10" s="1"/>
  <c r="O137" i="10"/>
  <c r="AB139" i="1"/>
  <c r="AC139" i="1" s="1"/>
  <c r="AD139" i="1" s="1"/>
  <c r="C137" i="10"/>
  <c r="K137" i="10"/>
  <c r="AF139" i="1"/>
  <c r="AG139" i="1" s="1"/>
  <c r="AH139" i="1" s="1"/>
  <c r="Z139" i="1"/>
  <c r="G139" i="1"/>
  <c r="M137" i="10"/>
  <c r="G137" i="10"/>
  <c r="T139" i="1"/>
  <c r="AM139" i="1"/>
  <c r="A137" i="10"/>
  <c r="S139" i="1"/>
  <c r="I137" i="10"/>
  <c r="AO139" i="1"/>
  <c r="E137" i="10"/>
  <c r="J139" i="1"/>
  <c r="AN139" i="1"/>
  <c r="R139" i="1"/>
  <c r="W138" i="1"/>
  <c r="X138" i="1" s="1"/>
  <c r="Y138" i="1"/>
  <c r="W139" i="1" l="1"/>
  <c r="X139" i="1" s="1"/>
  <c r="Y139" i="1"/>
  <c r="A141" i="1"/>
  <c r="D140" i="1"/>
  <c r="I140" i="1"/>
  <c r="P140" i="1" s="1"/>
  <c r="C140" i="1"/>
  <c r="B140" i="1"/>
  <c r="H140" i="1" s="1"/>
  <c r="AL140" i="1"/>
  <c r="F138" i="10" s="1"/>
  <c r="F140" i="1"/>
  <c r="E140" i="1"/>
  <c r="AK140" i="1"/>
  <c r="B138" i="10" s="1"/>
  <c r="N140" i="1"/>
  <c r="AA140" i="1"/>
  <c r="J138" i="10" s="1"/>
  <c r="V140" i="1"/>
  <c r="L140" i="1"/>
  <c r="K140" i="1"/>
  <c r="G140" i="1"/>
  <c r="M140" i="1"/>
  <c r="AI140" i="1"/>
  <c r="N138" i="10" s="1"/>
  <c r="AB140" i="1"/>
  <c r="AC140" i="1" s="1"/>
  <c r="AD140" i="1" s="1"/>
  <c r="J140" i="1"/>
  <c r="O138" i="10"/>
  <c r="K138" i="10"/>
  <c r="G138" i="10"/>
  <c r="AM140" i="1"/>
  <c r="AN140" i="1"/>
  <c r="M138" i="10"/>
  <c r="R140" i="1"/>
  <c r="T140" i="1"/>
  <c r="A138" i="10"/>
  <c r="S140" i="1"/>
  <c r="AF140" i="1"/>
  <c r="AG140" i="1" s="1"/>
  <c r="AH140" i="1" s="1"/>
  <c r="AO140" i="1"/>
  <c r="C138" i="10"/>
  <c r="I138" i="10"/>
  <c r="Z140" i="1"/>
  <c r="E138" i="10"/>
  <c r="D141" i="1" l="1"/>
  <c r="A142" i="1"/>
  <c r="I141" i="1"/>
  <c r="P141" i="1" s="1"/>
  <c r="C141" i="1"/>
  <c r="AL141" i="1"/>
  <c r="F139" i="10" s="1"/>
  <c r="B141" i="1"/>
  <c r="H141" i="1" s="1"/>
  <c r="F141" i="1"/>
  <c r="E141" i="1"/>
  <c r="AK141" i="1"/>
  <c r="B139" i="10" s="1"/>
  <c r="AB141" i="1"/>
  <c r="AC141" i="1" s="1"/>
  <c r="AD141" i="1" s="1"/>
  <c r="N141" i="1"/>
  <c r="G141" i="1"/>
  <c r="M141" i="1"/>
  <c r="J141" i="1"/>
  <c r="O139" i="10"/>
  <c r="K139" i="10"/>
  <c r="L141" i="1"/>
  <c r="AI141" i="1"/>
  <c r="N139" i="10" s="1"/>
  <c r="AA141" i="1"/>
  <c r="J139" i="10" s="1"/>
  <c r="G139" i="10"/>
  <c r="C139" i="10"/>
  <c r="V141" i="1"/>
  <c r="K141" i="1"/>
  <c r="R141" i="1"/>
  <c r="AM141" i="1"/>
  <c r="M139" i="10"/>
  <c r="Z141" i="1"/>
  <c r="AO141" i="1"/>
  <c r="A139" i="10"/>
  <c r="T141" i="1"/>
  <c r="I139" i="10"/>
  <c r="S141" i="1"/>
  <c r="E139" i="10"/>
  <c r="AN141" i="1"/>
  <c r="AF141" i="1"/>
  <c r="AG141" i="1" s="1"/>
  <c r="AH141" i="1" s="1"/>
  <c r="W140" i="1"/>
  <c r="X140" i="1" s="1"/>
  <c r="Y140" i="1"/>
  <c r="W141" i="1" l="1"/>
  <c r="X141" i="1" s="1"/>
  <c r="Y141" i="1"/>
  <c r="A143" i="1"/>
  <c r="D142" i="1"/>
  <c r="C142" i="1"/>
  <c r="AL142" i="1"/>
  <c r="F140" i="10" s="1"/>
  <c r="I142" i="1"/>
  <c r="P142" i="1" s="1"/>
  <c r="B142" i="1"/>
  <c r="H142" i="1" s="1"/>
  <c r="F142" i="1"/>
  <c r="E142" i="1"/>
  <c r="AK142" i="1"/>
  <c r="B140" i="10" s="1"/>
  <c r="AA142" i="1"/>
  <c r="J140" i="10" s="1"/>
  <c r="M142" i="1"/>
  <c r="G142" i="1"/>
  <c r="AB142" i="1"/>
  <c r="AC142" i="1" s="1"/>
  <c r="AD142" i="1" s="1"/>
  <c r="L142" i="1"/>
  <c r="K142" i="1"/>
  <c r="V142" i="1"/>
  <c r="J142" i="1"/>
  <c r="O140" i="10"/>
  <c r="K140" i="10"/>
  <c r="C140" i="10"/>
  <c r="AI142" i="1"/>
  <c r="N140" i="10" s="1"/>
  <c r="G140" i="10"/>
  <c r="AF142" i="1"/>
  <c r="AG142" i="1" s="1"/>
  <c r="AH142" i="1" s="1"/>
  <c r="S142" i="1"/>
  <c r="E140" i="10"/>
  <c r="N142" i="1"/>
  <c r="Z142" i="1"/>
  <c r="R142" i="1"/>
  <c r="M140" i="10"/>
  <c r="AO142" i="1"/>
  <c r="AN142" i="1"/>
  <c r="T142" i="1"/>
  <c r="A140" i="10"/>
  <c r="AM142" i="1"/>
  <c r="I140" i="10"/>
  <c r="D143" i="1" l="1"/>
  <c r="C143" i="1"/>
  <c r="A144" i="1"/>
  <c r="I143" i="1"/>
  <c r="P143" i="1" s="1"/>
  <c r="B143" i="1"/>
  <c r="H143" i="1" s="1"/>
  <c r="AL143" i="1"/>
  <c r="F141" i="10" s="1"/>
  <c r="F143" i="1"/>
  <c r="E143" i="1"/>
  <c r="AK143" i="1"/>
  <c r="B141" i="10" s="1"/>
  <c r="V143" i="1"/>
  <c r="L143" i="1"/>
  <c r="K143" i="1"/>
  <c r="AB143" i="1"/>
  <c r="AC143" i="1" s="1"/>
  <c r="AD143" i="1" s="1"/>
  <c r="M143" i="1"/>
  <c r="N143" i="1"/>
  <c r="AI143" i="1"/>
  <c r="N141" i="10" s="1"/>
  <c r="AA143" i="1"/>
  <c r="J141" i="10" s="1"/>
  <c r="O141" i="10"/>
  <c r="C141" i="10"/>
  <c r="J143" i="1"/>
  <c r="K141" i="10"/>
  <c r="S143" i="1"/>
  <c r="Z143" i="1"/>
  <c r="A141" i="10"/>
  <c r="R143" i="1"/>
  <c r="AN143" i="1"/>
  <c r="I141" i="10"/>
  <c r="G141" i="10"/>
  <c r="AF143" i="1"/>
  <c r="AG143" i="1" s="1"/>
  <c r="AH143" i="1" s="1"/>
  <c r="G143" i="1"/>
  <c r="E141" i="10"/>
  <c r="AM143" i="1"/>
  <c r="T143" i="1"/>
  <c r="AO143" i="1"/>
  <c r="M141" i="10"/>
  <c r="W142" i="1"/>
  <c r="X142" i="1" s="1"/>
  <c r="Y142" i="1"/>
  <c r="A145" i="1" l="1"/>
  <c r="D144" i="1"/>
  <c r="I144" i="1"/>
  <c r="P144" i="1" s="1"/>
  <c r="C144" i="1"/>
  <c r="B144" i="1"/>
  <c r="H144" i="1" s="1"/>
  <c r="AL144" i="1"/>
  <c r="F142" i="10" s="1"/>
  <c r="F144" i="1"/>
  <c r="E144" i="1"/>
  <c r="AK144" i="1"/>
  <c r="B142" i="10" s="1"/>
  <c r="G144" i="1"/>
  <c r="AB144" i="1"/>
  <c r="AC144" i="1" s="1"/>
  <c r="AD144" i="1" s="1"/>
  <c r="N144" i="1"/>
  <c r="L144" i="1"/>
  <c r="K144" i="1"/>
  <c r="AI144" i="1"/>
  <c r="N142" i="10" s="1"/>
  <c r="M144" i="1"/>
  <c r="J144" i="1"/>
  <c r="O142" i="10"/>
  <c r="AA144" i="1"/>
  <c r="J142" i="10" s="1"/>
  <c r="K142" i="10"/>
  <c r="V144" i="1"/>
  <c r="G142" i="10"/>
  <c r="AM144" i="1"/>
  <c r="T144" i="1"/>
  <c r="A142" i="10"/>
  <c r="Z144" i="1"/>
  <c r="AN144" i="1"/>
  <c r="I142" i="10"/>
  <c r="AF144" i="1"/>
  <c r="AG144" i="1" s="1"/>
  <c r="AH144" i="1" s="1"/>
  <c r="E142" i="10"/>
  <c r="AO144" i="1"/>
  <c r="M142" i="10"/>
  <c r="S144" i="1"/>
  <c r="C142" i="10"/>
  <c r="R144" i="1"/>
  <c r="W143" i="1"/>
  <c r="X143" i="1" s="1"/>
  <c r="Y143" i="1"/>
  <c r="Y144" i="1" l="1"/>
  <c r="W144" i="1"/>
  <c r="X144" i="1" s="1"/>
  <c r="D145" i="1"/>
  <c r="A146" i="1"/>
  <c r="C145" i="1"/>
  <c r="I145" i="1"/>
  <c r="P145" i="1" s="1"/>
  <c r="AL145" i="1"/>
  <c r="F143" i="10" s="1"/>
  <c r="B145" i="1"/>
  <c r="H145" i="1" s="1"/>
  <c r="F145" i="1"/>
  <c r="E145" i="1"/>
  <c r="AK145" i="1"/>
  <c r="B143" i="10" s="1"/>
  <c r="N145" i="1"/>
  <c r="AA145" i="1"/>
  <c r="J143" i="10" s="1"/>
  <c r="V145" i="1"/>
  <c r="G145" i="1"/>
  <c r="M145" i="1"/>
  <c r="J145" i="1"/>
  <c r="O143" i="10"/>
  <c r="K143" i="10"/>
  <c r="AB145" i="1"/>
  <c r="AC145" i="1" s="1"/>
  <c r="AD145" i="1" s="1"/>
  <c r="AI145" i="1"/>
  <c r="N143" i="10" s="1"/>
  <c r="K145" i="1"/>
  <c r="L145" i="1"/>
  <c r="G143" i="10"/>
  <c r="C143" i="10"/>
  <c r="T145" i="1"/>
  <c r="R145" i="1"/>
  <c r="AO145" i="1"/>
  <c r="M143" i="10"/>
  <c r="AN145" i="1"/>
  <c r="AF145" i="1"/>
  <c r="AG145" i="1" s="1"/>
  <c r="AH145" i="1" s="1"/>
  <c r="A143" i="10"/>
  <c r="S145" i="1"/>
  <c r="Z145" i="1"/>
  <c r="AM145" i="1"/>
  <c r="E143" i="10"/>
  <c r="I143" i="10"/>
  <c r="A147" i="1" l="1"/>
  <c r="D146" i="1"/>
  <c r="C146" i="1"/>
  <c r="AL146" i="1"/>
  <c r="F144" i="10" s="1"/>
  <c r="I146" i="1"/>
  <c r="P146" i="1" s="1"/>
  <c r="B146" i="1"/>
  <c r="H146" i="1" s="1"/>
  <c r="E146" i="1"/>
  <c r="M146" i="1"/>
  <c r="AK146" i="1"/>
  <c r="B144" i="10" s="1"/>
  <c r="AB146" i="1"/>
  <c r="AC146" i="1" s="1"/>
  <c r="AD146" i="1" s="1"/>
  <c r="V146" i="1"/>
  <c r="L146" i="1"/>
  <c r="K146" i="1"/>
  <c r="F146" i="1"/>
  <c r="AA146" i="1"/>
  <c r="J144" i="10" s="1"/>
  <c r="J146" i="1"/>
  <c r="O144" i="10"/>
  <c r="K144" i="10"/>
  <c r="G146" i="1"/>
  <c r="C144" i="10"/>
  <c r="G144" i="10"/>
  <c r="AN146" i="1"/>
  <c r="AM146" i="1"/>
  <c r="E144" i="10"/>
  <c r="R146" i="1"/>
  <c r="Z146" i="1"/>
  <c r="S146" i="1"/>
  <c r="M144" i="10"/>
  <c r="AF146" i="1"/>
  <c r="AG146" i="1" s="1"/>
  <c r="AH146" i="1" s="1"/>
  <c r="A144" i="10"/>
  <c r="AO146" i="1"/>
  <c r="I144" i="10"/>
  <c r="N146" i="1"/>
  <c r="AI146" i="1"/>
  <c r="N144" i="10" s="1"/>
  <c r="T146" i="1"/>
  <c r="Y145" i="1"/>
  <c r="W145" i="1"/>
  <c r="X145" i="1" s="1"/>
  <c r="Y146" i="1" l="1"/>
  <c r="W146" i="1"/>
  <c r="X146" i="1" s="1"/>
  <c r="D147" i="1"/>
  <c r="A148" i="1"/>
  <c r="C147" i="1"/>
  <c r="I147" i="1"/>
  <c r="P147" i="1" s="1"/>
  <c r="B147" i="1"/>
  <c r="H147" i="1" s="1"/>
  <c r="AL147" i="1"/>
  <c r="F145" i="10" s="1"/>
  <c r="F147" i="1"/>
  <c r="E147" i="1"/>
  <c r="AK147" i="1"/>
  <c r="B145" i="10" s="1"/>
  <c r="G147" i="1"/>
  <c r="L147" i="1"/>
  <c r="K147" i="1"/>
  <c r="M147" i="1"/>
  <c r="AB147" i="1"/>
  <c r="AC147" i="1" s="1"/>
  <c r="AD147" i="1" s="1"/>
  <c r="V147" i="1"/>
  <c r="AA147" i="1"/>
  <c r="J145" i="10" s="1"/>
  <c r="AI147" i="1"/>
  <c r="N145" i="10" s="1"/>
  <c r="J147" i="1"/>
  <c r="K145" i="10"/>
  <c r="C145" i="10"/>
  <c r="S147" i="1"/>
  <c r="AO147" i="1"/>
  <c r="I145" i="10"/>
  <c r="AM147" i="1"/>
  <c r="R147" i="1"/>
  <c r="E145" i="10"/>
  <c r="AF147" i="1"/>
  <c r="AG147" i="1" s="1"/>
  <c r="AH147" i="1" s="1"/>
  <c r="M145" i="10"/>
  <c r="O145" i="10"/>
  <c r="N147" i="1"/>
  <c r="T147" i="1"/>
  <c r="G145" i="10"/>
  <c r="Z147" i="1"/>
  <c r="AN147" i="1"/>
  <c r="A145" i="10"/>
  <c r="A149" i="1" l="1"/>
  <c r="D148" i="1"/>
  <c r="I148" i="1"/>
  <c r="P148" i="1" s="1"/>
  <c r="C148" i="1"/>
  <c r="B148" i="1"/>
  <c r="H148" i="1" s="1"/>
  <c r="AL148" i="1"/>
  <c r="F146" i="10" s="1"/>
  <c r="F148" i="1"/>
  <c r="E148" i="1"/>
  <c r="AK148" i="1"/>
  <c r="B146" i="10" s="1"/>
  <c r="V148" i="1"/>
  <c r="AB148" i="1"/>
  <c r="AC148" i="1" s="1"/>
  <c r="AD148" i="1" s="1"/>
  <c r="L148" i="1"/>
  <c r="K148" i="1"/>
  <c r="AI148" i="1"/>
  <c r="N146" i="10" s="1"/>
  <c r="J148" i="1"/>
  <c r="O146" i="10"/>
  <c r="K146" i="10"/>
  <c r="AA148" i="1"/>
  <c r="J146" i="10" s="1"/>
  <c r="G146" i="10"/>
  <c r="C146" i="10"/>
  <c r="AN148" i="1"/>
  <c r="G148" i="1"/>
  <c r="AO148" i="1"/>
  <c r="M146" i="10"/>
  <c r="M148" i="1"/>
  <c r="N148" i="1"/>
  <c r="S148" i="1"/>
  <c r="A146" i="10"/>
  <c r="R148" i="1"/>
  <c r="Z148" i="1"/>
  <c r="AF148" i="1"/>
  <c r="AG148" i="1" s="1"/>
  <c r="AH148" i="1" s="1"/>
  <c r="I146" i="10"/>
  <c r="AM148" i="1"/>
  <c r="E146" i="10"/>
  <c r="T148" i="1"/>
  <c r="Y147" i="1"/>
  <c r="W147" i="1"/>
  <c r="X147" i="1" s="1"/>
  <c r="W148" i="1" l="1"/>
  <c r="X148" i="1" s="1"/>
  <c r="Y148" i="1"/>
  <c r="D149" i="1"/>
  <c r="A150" i="1"/>
  <c r="I149" i="1"/>
  <c r="P149" i="1" s="1"/>
  <c r="AL149" i="1"/>
  <c r="F147" i="10" s="1"/>
  <c r="C149" i="1"/>
  <c r="B149" i="1"/>
  <c r="H149" i="1" s="1"/>
  <c r="F149" i="1"/>
  <c r="E149" i="1"/>
  <c r="AK149" i="1"/>
  <c r="B147" i="10" s="1"/>
  <c r="V149" i="1"/>
  <c r="M149" i="1"/>
  <c r="K149" i="1"/>
  <c r="J149" i="1"/>
  <c r="O147" i="10"/>
  <c r="K147" i="10"/>
  <c r="N149" i="1"/>
  <c r="AI149" i="1"/>
  <c r="N147" i="10" s="1"/>
  <c r="L149" i="1"/>
  <c r="AA149" i="1"/>
  <c r="J147" i="10" s="1"/>
  <c r="AB149" i="1"/>
  <c r="AC149" i="1" s="1"/>
  <c r="AD149" i="1" s="1"/>
  <c r="G147" i="10"/>
  <c r="C147" i="10"/>
  <c r="G149" i="1"/>
  <c r="AF149" i="1"/>
  <c r="AG149" i="1" s="1"/>
  <c r="AH149" i="1" s="1"/>
  <c r="E147" i="10"/>
  <c r="S149" i="1"/>
  <c r="T149" i="1"/>
  <c r="AO149" i="1"/>
  <c r="M147" i="10"/>
  <c r="R149" i="1"/>
  <c r="A147" i="10"/>
  <c r="AN149" i="1"/>
  <c r="Z149" i="1"/>
  <c r="I147" i="10"/>
  <c r="AM149" i="1"/>
  <c r="Y149" i="1" l="1"/>
  <c r="W149" i="1"/>
  <c r="X149" i="1" s="1"/>
  <c r="A151" i="1"/>
  <c r="D150" i="1"/>
  <c r="C150" i="1"/>
  <c r="I150" i="1"/>
  <c r="P150" i="1" s="1"/>
  <c r="AL150" i="1"/>
  <c r="F148" i="10" s="1"/>
  <c r="B150" i="1"/>
  <c r="H150" i="1" s="1"/>
  <c r="E150" i="1"/>
  <c r="F150" i="1"/>
  <c r="AB150" i="1"/>
  <c r="AC150" i="1" s="1"/>
  <c r="AD150" i="1" s="1"/>
  <c r="M150" i="1"/>
  <c r="V150" i="1"/>
  <c r="L150" i="1"/>
  <c r="K150" i="1"/>
  <c r="J150" i="1"/>
  <c r="O148" i="10"/>
  <c r="K148" i="10"/>
  <c r="AK150" i="1"/>
  <c r="B148" i="10" s="1"/>
  <c r="AA150" i="1"/>
  <c r="J148" i="10" s="1"/>
  <c r="C148" i="10"/>
  <c r="G148" i="10"/>
  <c r="AI150" i="1"/>
  <c r="N148" i="10" s="1"/>
  <c r="N150" i="1"/>
  <c r="AM150" i="1"/>
  <c r="A148" i="10"/>
  <c r="T150" i="1"/>
  <c r="AF150" i="1"/>
  <c r="AG150" i="1" s="1"/>
  <c r="AH150" i="1" s="1"/>
  <c r="I148" i="10"/>
  <c r="S150" i="1"/>
  <c r="E148" i="10"/>
  <c r="AO150" i="1"/>
  <c r="R150" i="1"/>
  <c r="M148" i="10"/>
  <c r="G150" i="1"/>
  <c r="Z150" i="1"/>
  <c r="AN150" i="1"/>
  <c r="D151" i="1" l="1"/>
  <c r="C151" i="1"/>
  <c r="I151" i="1"/>
  <c r="P151" i="1" s="1"/>
  <c r="B151" i="1"/>
  <c r="H151" i="1" s="1"/>
  <c r="A152" i="1"/>
  <c r="F151" i="1"/>
  <c r="E151" i="1"/>
  <c r="AL151" i="1"/>
  <c r="F149" i="10" s="1"/>
  <c r="AK151" i="1"/>
  <c r="B149" i="10" s="1"/>
  <c r="V151" i="1"/>
  <c r="L151" i="1"/>
  <c r="K151" i="1"/>
  <c r="G151" i="1"/>
  <c r="AA151" i="1"/>
  <c r="J149" i="10" s="1"/>
  <c r="M151" i="1"/>
  <c r="AB151" i="1"/>
  <c r="AC151" i="1" s="1"/>
  <c r="AD151" i="1" s="1"/>
  <c r="AI151" i="1"/>
  <c r="N149" i="10" s="1"/>
  <c r="J151" i="1"/>
  <c r="K149" i="10"/>
  <c r="C149" i="10"/>
  <c r="O149" i="10"/>
  <c r="G149" i="10"/>
  <c r="R151" i="1"/>
  <c r="T151" i="1"/>
  <c r="Z151" i="1"/>
  <c r="M149" i="10"/>
  <c r="N151" i="1"/>
  <c r="S151" i="1"/>
  <c r="A149" i="10"/>
  <c r="AF151" i="1"/>
  <c r="AG151" i="1" s="1"/>
  <c r="AH151" i="1" s="1"/>
  <c r="AO151" i="1"/>
  <c r="I149" i="10"/>
  <c r="AM151" i="1"/>
  <c r="E149" i="10"/>
  <c r="AN151" i="1"/>
  <c r="W150" i="1"/>
  <c r="X150" i="1" s="1"/>
  <c r="Y150" i="1"/>
  <c r="W151" i="1" l="1"/>
  <c r="X151" i="1" s="1"/>
  <c r="Y151" i="1"/>
  <c r="A153" i="1"/>
  <c r="D152" i="1"/>
  <c r="I152" i="1"/>
  <c r="P152" i="1" s="1"/>
  <c r="C152" i="1"/>
  <c r="B152" i="1"/>
  <c r="H152" i="1" s="1"/>
  <c r="AL152" i="1"/>
  <c r="F150" i="10" s="1"/>
  <c r="F152" i="1"/>
  <c r="E152" i="1"/>
  <c r="AK152" i="1"/>
  <c r="B150" i="10" s="1"/>
  <c r="V152" i="1"/>
  <c r="L152" i="1"/>
  <c r="K152" i="1"/>
  <c r="AB152" i="1"/>
  <c r="AC152" i="1" s="1"/>
  <c r="AD152" i="1" s="1"/>
  <c r="AI152" i="1"/>
  <c r="N150" i="10" s="1"/>
  <c r="AA152" i="1"/>
  <c r="J150" i="10" s="1"/>
  <c r="M152" i="1"/>
  <c r="J152" i="1"/>
  <c r="O150" i="10"/>
  <c r="K150" i="10"/>
  <c r="G150" i="10"/>
  <c r="S152" i="1"/>
  <c r="Z152" i="1"/>
  <c r="I150" i="10"/>
  <c r="C150" i="10"/>
  <c r="G152" i="1"/>
  <c r="AM152" i="1"/>
  <c r="T152" i="1"/>
  <c r="E150" i="10"/>
  <c r="AO152" i="1"/>
  <c r="AN152" i="1"/>
  <c r="R152" i="1"/>
  <c r="N152" i="1"/>
  <c r="A150" i="10"/>
  <c r="AF152" i="1"/>
  <c r="AG152" i="1" s="1"/>
  <c r="AH152" i="1" s="1"/>
  <c r="M150" i="10"/>
  <c r="Y152" i="1" l="1"/>
  <c r="W152" i="1"/>
  <c r="X152" i="1" s="1"/>
  <c r="D153" i="1"/>
  <c r="A154" i="1"/>
  <c r="C153" i="1"/>
  <c r="I153" i="1"/>
  <c r="P153" i="1" s="1"/>
  <c r="AL153" i="1"/>
  <c r="F151" i="10" s="1"/>
  <c r="B153" i="1"/>
  <c r="H153" i="1" s="1"/>
  <c r="F153" i="1"/>
  <c r="E153" i="1"/>
  <c r="AK153" i="1"/>
  <c r="B151" i="10" s="1"/>
  <c r="G153" i="1"/>
  <c r="AA153" i="1"/>
  <c r="J151" i="10" s="1"/>
  <c r="AB153" i="1"/>
  <c r="AC153" i="1" s="1"/>
  <c r="AD153" i="1" s="1"/>
  <c r="M153" i="1"/>
  <c r="N153" i="1"/>
  <c r="L153" i="1"/>
  <c r="J153" i="1"/>
  <c r="O151" i="10"/>
  <c r="K151" i="10"/>
  <c r="V153" i="1"/>
  <c r="K153" i="1"/>
  <c r="AI153" i="1"/>
  <c r="N151" i="10" s="1"/>
  <c r="G151" i="10"/>
  <c r="C151" i="10"/>
  <c r="R153" i="1"/>
  <c r="AF153" i="1"/>
  <c r="AG153" i="1" s="1"/>
  <c r="AH153" i="1" s="1"/>
  <c r="I151" i="10"/>
  <c r="Z153" i="1"/>
  <c r="AO153" i="1"/>
  <c r="E151" i="10"/>
  <c r="T153" i="1"/>
  <c r="M151" i="10"/>
  <c r="AN153" i="1"/>
  <c r="AM153" i="1"/>
  <c r="S153" i="1"/>
  <c r="A151" i="10"/>
  <c r="A155" i="1" l="1"/>
  <c r="D154" i="1"/>
  <c r="C154" i="1"/>
  <c r="I154" i="1"/>
  <c r="P154" i="1" s="1"/>
  <c r="AL154" i="1"/>
  <c r="F152" i="10" s="1"/>
  <c r="B154" i="1"/>
  <c r="H154" i="1" s="1"/>
  <c r="F154" i="1"/>
  <c r="E154" i="1"/>
  <c r="AB154" i="1"/>
  <c r="AC154" i="1" s="1"/>
  <c r="AD154" i="1" s="1"/>
  <c r="M154" i="1"/>
  <c r="G154" i="1"/>
  <c r="AA154" i="1"/>
  <c r="J152" i="10" s="1"/>
  <c r="AK154" i="1"/>
  <c r="B152" i="10" s="1"/>
  <c r="V154" i="1"/>
  <c r="L154" i="1"/>
  <c r="K154" i="1"/>
  <c r="J154" i="1"/>
  <c r="O152" i="10"/>
  <c r="K152" i="10"/>
  <c r="AI154" i="1"/>
  <c r="N152" i="10" s="1"/>
  <c r="C152" i="10"/>
  <c r="N154" i="1"/>
  <c r="G152" i="10"/>
  <c r="T154" i="1"/>
  <c r="AO154" i="1"/>
  <c r="I152" i="10"/>
  <c r="S154" i="1"/>
  <c r="AN154" i="1"/>
  <c r="E152" i="10"/>
  <c r="AM154" i="1"/>
  <c r="M152" i="10"/>
  <c r="Z154" i="1"/>
  <c r="A152" i="10"/>
  <c r="R154" i="1"/>
  <c r="AF154" i="1"/>
  <c r="AG154" i="1" s="1"/>
  <c r="AH154" i="1" s="1"/>
  <c r="Y153" i="1"/>
  <c r="W153" i="1"/>
  <c r="X153" i="1" s="1"/>
  <c r="W154" i="1" l="1"/>
  <c r="X154" i="1" s="1"/>
  <c r="Y154" i="1"/>
  <c r="D155" i="1"/>
  <c r="A156" i="1"/>
  <c r="C155" i="1"/>
  <c r="I155" i="1"/>
  <c r="P155" i="1" s="1"/>
  <c r="B155" i="1"/>
  <c r="H155" i="1" s="1"/>
  <c r="AL155" i="1"/>
  <c r="F153" i="10" s="1"/>
  <c r="F155" i="1"/>
  <c r="E155" i="1"/>
  <c r="AK155" i="1"/>
  <c r="B153" i="10" s="1"/>
  <c r="AB155" i="1"/>
  <c r="AC155" i="1" s="1"/>
  <c r="AD155" i="1" s="1"/>
  <c r="L155" i="1"/>
  <c r="K155" i="1"/>
  <c r="M155" i="1"/>
  <c r="V155" i="1"/>
  <c r="N155" i="1"/>
  <c r="AI155" i="1"/>
  <c r="N153" i="10" s="1"/>
  <c r="O153" i="10"/>
  <c r="C153" i="10"/>
  <c r="J155" i="1"/>
  <c r="Z155" i="1"/>
  <c r="AF155" i="1"/>
  <c r="AG155" i="1" s="1"/>
  <c r="AH155" i="1" s="1"/>
  <c r="A153" i="10"/>
  <c r="K153" i="10"/>
  <c r="G153" i="10"/>
  <c r="T155" i="1"/>
  <c r="AO155" i="1"/>
  <c r="I153" i="10"/>
  <c r="S155" i="1"/>
  <c r="E153" i="10"/>
  <c r="R155" i="1"/>
  <c r="M153" i="10"/>
  <c r="G155" i="1"/>
  <c r="AM155" i="1"/>
  <c r="AA155" i="1"/>
  <c r="J153" i="10" s="1"/>
  <c r="AN155" i="1"/>
  <c r="Y155" i="1" l="1"/>
  <c r="W155" i="1"/>
  <c r="X155" i="1" s="1"/>
  <c r="A157" i="1"/>
  <c r="D156" i="1"/>
  <c r="I156" i="1"/>
  <c r="P156" i="1" s="1"/>
  <c r="C156" i="1"/>
  <c r="B156" i="1"/>
  <c r="H156" i="1" s="1"/>
  <c r="AL156" i="1"/>
  <c r="F154" i="10" s="1"/>
  <c r="F156" i="1"/>
  <c r="E156" i="1"/>
  <c r="AK156" i="1"/>
  <c r="B154" i="10" s="1"/>
  <c r="N156" i="1"/>
  <c r="V156" i="1"/>
  <c r="L156" i="1"/>
  <c r="K156" i="1"/>
  <c r="AA156" i="1"/>
  <c r="J154" i="10" s="1"/>
  <c r="AB156" i="1"/>
  <c r="AC156" i="1" s="1"/>
  <c r="AD156" i="1" s="1"/>
  <c r="M156" i="1"/>
  <c r="AI156" i="1"/>
  <c r="N154" i="10" s="1"/>
  <c r="J156" i="1"/>
  <c r="O154" i="10"/>
  <c r="K154" i="10"/>
  <c r="G154" i="10"/>
  <c r="G156" i="1"/>
  <c r="AF156" i="1"/>
  <c r="AG156" i="1" s="1"/>
  <c r="AH156" i="1" s="1"/>
  <c r="T156" i="1"/>
  <c r="M154" i="10"/>
  <c r="Z156" i="1"/>
  <c r="R156" i="1"/>
  <c r="A154" i="10"/>
  <c r="C154" i="10"/>
  <c r="AO156" i="1"/>
  <c r="I154" i="10"/>
  <c r="AN156" i="1"/>
  <c r="AM156" i="1"/>
  <c r="S156" i="1"/>
  <c r="E154" i="10"/>
  <c r="W156" i="1" l="1"/>
  <c r="X156" i="1" s="1"/>
  <c r="Y156" i="1"/>
  <c r="D157" i="1"/>
  <c r="A158" i="1"/>
  <c r="I157" i="1"/>
  <c r="P157" i="1" s="1"/>
  <c r="AL157" i="1"/>
  <c r="F155" i="10" s="1"/>
  <c r="B157" i="1"/>
  <c r="H157" i="1" s="1"/>
  <c r="C157" i="1"/>
  <c r="F157" i="1"/>
  <c r="E157" i="1"/>
  <c r="AK157" i="1"/>
  <c r="B155" i="10" s="1"/>
  <c r="G157" i="1"/>
  <c r="AB157" i="1"/>
  <c r="AC157" i="1" s="1"/>
  <c r="AD157" i="1" s="1"/>
  <c r="N157" i="1"/>
  <c r="M157" i="1"/>
  <c r="J157" i="1"/>
  <c r="O155" i="10"/>
  <c r="K155" i="10"/>
  <c r="L157" i="1"/>
  <c r="AI157" i="1"/>
  <c r="N155" i="10" s="1"/>
  <c r="AA157" i="1"/>
  <c r="J155" i="10" s="1"/>
  <c r="G155" i="10"/>
  <c r="K157" i="1"/>
  <c r="C155" i="10"/>
  <c r="AN157" i="1"/>
  <c r="AF157" i="1"/>
  <c r="AG157" i="1" s="1"/>
  <c r="AH157" i="1" s="1"/>
  <c r="M155" i="10"/>
  <c r="V157" i="1"/>
  <c r="Z157" i="1"/>
  <c r="AM157" i="1"/>
  <c r="A155" i="10"/>
  <c r="AO157" i="1"/>
  <c r="I155" i="10"/>
  <c r="T157" i="1"/>
  <c r="E155" i="10"/>
  <c r="R157" i="1"/>
  <c r="S157" i="1"/>
  <c r="W157" i="1" l="1"/>
  <c r="X157" i="1" s="1"/>
  <c r="Y157" i="1"/>
  <c r="A159" i="1"/>
  <c r="D158" i="1"/>
  <c r="C158" i="1"/>
  <c r="AL158" i="1"/>
  <c r="F156" i="10" s="1"/>
  <c r="I158" i="1"/>
  <c r="P158" i="1" s="1"/>
  <c r="B158" i="1"/>
  <c r="H158" i="1" s="1"/>
  <c r="F158" i="1"/>
  <c r="AK158" i="1"/>
  <c r="B156" i="10" s="1"/>
  <c r="AB158" i="1"/>
  <c r="AC158" i="1" s="1"/>
  <c r="AD158" i="1" s="1"/>
  <c r="M158" i="1"/>
  <c r="E158" i="1"/>
  <c r="AA158" i="1"/>
  <c r="J156" i="10" s="1"/>
  <c r="V158" i="1"/>
  <c r="N158" i="1"/>
  <c r="L158" i="1"/>
  <c r="K158" i="1"/>
  <c r="G158" i="1"/>
  <c r="J158" i="1"/>
  <c r="O156" i="10"/>
  <c r="K156" i="10"/>
  <c r="C156" i="10"/>
  <c r="AI158" i="1"/>
  <c r="N156" i="10" s="1"/>
  <c r="G156" i="10"/>
  <c r="AO158" i="1"/>
  <c r="AM158" i="1"/>
  <c r="M156" i="10"/>
  <c r="T158" i="1"/>
  <c r="R158" i="1"/>
  <c r="A156" i="10"/>
  <c r="AN158" i="1"/>
  <c r="S158" i="1"/>
  <c r="Z158" i="1"/>
  <c r="I156" i="10"/>
  <c r="AF158" i="1"/>
  <c r="AG158" i="1" s="1"/>
  <c r="AH158" i="1" s="1"/>
  <c r="E156" i="10"/>
  <c r="Y158" i="1" l="1"/>
  <c r="W158" i="1"/>
  <c r="X158" i="1" s="1"/>
  <c r="D159" i="1"/>
  <c r="C159" i="1"/>
  <c r="A160" i="1"/>
  <c r="I159" i="1"/>
  <c r="P159" i="1" s="1"/>
  <c r="B159" i="1"/>
  <c r="H159" i="1" s="1"/>
  <c r="AL159" i="1"/>
  <c r="F157" i="10" s="1"/>
  <c r="F159" i="1"/>
  <c r="E159" i="1"/>
  <c r="AK159" i="1"/>
  <c r="B157" i="10" s="1"/>
  <c r="V159" i="1"/>
  <c r="L159" i="1"/>
  <c r="K159" i="1"/>
  <c r="AB159" i="1"/>
  <c r="AC159" i="1" s="1"/>
  <c r="AD159" i="1" s="1"/>
  <c r="M159" i="1"/>
  <c r="N159" i="1"/>
  <c r="AA159" i="1"/>
  <c r="J157" i="10" s="1"/>
  <c r="G159" i="1"/>
  <c r="AI159" i="1"/>
  <c r="N157" i="10" s="1"/>
  <c r="O157" i="10"/>
  <c r="C157" i="10"/>
  <c r="J159" i="1"/>
  <c r="K157" i="10"/>
  <c r="AO159" i="1"/>
  <c r="S159" i="1"/>
  <c r="M157" i="10"/>
  <c r="AF159" i="1"/>
  <c r="AG159" i="1" s="1"/>
  <c r="AH159" i="1" s="1"/>
  <c r="Z159" i="1"/>
  <c r="A157" i="10"/>
  <c r="AM159" i="1"/>
  <c r="I157" i="10"/>
  <c r="G157" i="10"/>
  <c r="AN159" i="1"/>
  <c r="R159" i="1"/>
  <c r="E157" i="10"/>
  <c r="T159" i="1"/>
  <c r="W159" i="1" l="1"/>
  <c r="X159" i="1" s="1"/>
  <c r="Y159" i="1"/>
  <c r="A161" i="1"/>
  <c r="D160" i="1"/>
  <c r="I160" i="1"/>
  <c r="P160" i="1" s="1"/>
  <c r="C160" i="1"/>
  <c r="B160" i="1"/>
  <c r="H160" i="1" s="1"/>
  <c r="AL160" i="1"/>
  <c r="F158" i="10" s="1"/>
  <c r="F160" i="1"/>
  <c r="E160" i="1"/>
  <c r="AK160" i="1"/>
  <c r="B158" i="10" s="1"/>
  <c r="AB160" i="1"/>
  <c r="AC160" i="1" s="1"/>
  <c r="AD160" i="1" s="1"/>
  <c r="N160" i="1"/>
  <c r="L160" i="1"/>
  <c r="K160" i="1"/>
  <c r="V160" i="1"/>
  <c r="G160" i="1"/>
  <c r="AI160" i="1"/>
  <c r="N158" i="10" s="1"/>
  <c r="M160" i="1"/>
  <c r="AA160" i="1"/>
  <c r="J158" i="10" s="1"/>
  <c r="J160" i="1"/>
  <c r="O158" i="10"/>
  <c r="K158" i="10"/>
  <c r="G158" i="10"/>
  <c r="AF160" i="1"/>
  <c r="AG160" i="1" s="1"/>
  <c r="AH160" i="1" s="1"/>
  <c r="E158" i="10"/>
  <c r="T160" i="1"/>
  <c r="S160" i="1"/>
  <c r="AO160" i="1"/>
  <c r="M158" i="10"/>
  <c r="AN160" i="1"/>
  <c r="C158" i="10"/>
  <c r="AM160" i="1"/>
  <c r="R160" i="1"/>
  <c r="Z160" i="1"/>
  <c r="I158" i="10"/>
  <c r="A158" i="10"/>
  <c r="W160" i="1" l="1"/>
  <c r="X160" i="1" s="1"/>
  <c r="Y160" i="1"/>
  <c r="D161" i="1"/>
  <c r="A162" i="1"/>
  <c r="I161" i="1"/>
  <c r="P161" i="1" s="1"/>
  <c r="AL161" i="1"/>
  <c r="F159" i="10" s="1"/>
  <c r="B161" i="1"/>
  <c r="H161" i="1" s="1"/>
  <c r="C161" i="1"/>
  <c r="F161" i="1"/>
  <c r="E161" i="1"/>
  <c r="AK161" i="1"/>
  <c r="B159" i="10" s="1"/>
  <c r="V161" i="1"/>
  <c r="AA161" i="1"/>
  <c r="J159" i="10" s="1"/>
  <c r="G161" i="1"/>
  <c r="M161" i="1"/>
  <c r="J161" i="1"/>
  <c r="O159" i="10"/>
  <c r="K159" i="10"/>
  <c r="AB161" i="1"/>
  <c r="AC161" i="1" s="1"/>
  <c r="AD161" i="1" s="1"/>
  <c r="AI161" i="1"/>
  <c r="N159" i="10" s="1"/>
  <c r="K161" i="1"/>
  <c r="G159" i="10"/>
  <c r="L161" i="1"/>
  <c r="C159" i="10"/>
  <c r="N161" i="1"/>
  <c r="AF161" i="1"/>
  <c r="AG161" i="1" s="1"/>
  <c r="AH161" i="1" s="1"/>
  <c r="I159" i="10"/>
  <c r="T161" i="1"/>
  <c r="Z161" i="1"/>
  <c r="E159" i="10"/>
  <c r="R161" i="1"/>
  <c r="AN161" i="1"/>
  <c r="AM161" i="1"/>
  <c r="AO161" i="1"/>
  <c r="A159" i="10"/>
  <c r="M159" i="10"/>
  <c r="S161" i="1"/>
  <c r="Y161" i="1" l="1"/>
  <c r="W161" i="1"/>
  <c r="X161" i="1" s="1"/>
  <c r="A163" i="1"/>
  <c r="D162" i="1"/>
  <c r="C162" i="1"/>
  <c r="AL162" i="1"/>
  <c r="F160" i="10" s="1"/>
  <c r="I162" i="1"/>
  <c r="P162" i="1" s="1"/>
  <c r="E162" i="1"/>
  <c r="V162" i="1"/>
  <c r="M162" i="1"/>
  <c r="AK162" i="1"/>
  <c r="B160" i="10" s="1"/>
  <c r="G162" i="1"/>
  <c r="AB162" i="1"/>
  <c r="AC162" i="1" s="1"/>
  <c r="AD162" i="1" s="1"/>
  <c r="B162" i="1"/>
  <c r="H162" i="1" s="1"/>
  <c r="F162" i="1"/>
  <c r="L162" i="1"/>
  <c r="K162" i="1"/>
  <c r="J162" i="1"/>
  <c r="O160" i="10"/>
  <c r="K160" i="10"/>
  <c r="C160" i="10"/>
  <c r="G160" i="10"/>
  <c r="N162" i="1"/>
  <c r="AA162" i="1"/>
  <c r="J160" i="10" s="1"/>
  <c r="AI162" i="1"/>
  <c r="N160" i="10" s="1"/>
  <c r="AF162" i="1"/>
  <c r="AG162" i="1" s="1"/>
  <c r="AH162" i="1" s="1"/>
  <c r="AN162" i="1"/>
  <c r="I160" i="10"/>
  <c r="Z162" i="1"/>
  <c r="S162" i="1"/>
  <c r="E160" i="10"/>
  <c r="AO162" i="1"/>
  <c r="M160" i="10"/>
  <c r="T162" i="1"/>
  <c r="R162" i="1"/>
  <c r="A160" i="10"/>
  <c r="AM162" i="1"/>
  <c r="D163" i="1" l="1"/>
  <c r="A164" i="1"/>
  <c r="C163" i="1"/>
  <c r="I163" i="1"/>
  <c r="P163" i="1" s="1"/>
  <c r="B163" i="1"/>
  <c r="H163" i="1" s="1"/>
  <c r="AL163" i="1"/>
  <c r="F161" i="10" s="1"/>
  <c r="F163" i="1"/>
  <c r="E163" i="1"/>
  <c r="AK163" i="1"/>
  <c r="B161" i="10" s="1"/>
  <c r="AB163" i="1"/>
  <c r="AC163" i="1" s="1"/>
  <c r="AD163" i="1" s="1"/>
  <c r="L163" i="1"/>
  <c r="K163" i="1"/>
  <c r="M163" i="1"/>
  <c r="V163" i="1"/>
  <c r="N163" i="1"/>
  <c r="AI163" i="1"/>
  <c r="N161" i="10" s="1"/>
  <c r="AA163" i="1"/>
  <c r="J161" i="10" s="1"/>
  <c r="J163" i="1"/>
  <c r="K161" i="10"/>
  <c r="C161" i="10"/>
  <c r="G163" i="1"/>
  <c r="R163" i="1"/>
  <c r="A161" i="10"/>
  <c r="T163" i="1"/>
  <c r="Z163" i="1"/>
  <c r="I161" i="10"/>
  <c r="AO163" i="1"/>
  <c r="S163" i="1"/>
  <c r="AF163" i="1"/>
  <c r="AG163" i="1" s="1"/>
  <c r="AH163" i="1" s="1"/>
  <c r="AN163" i="1"/>
  <c r="O161" i="10"/>
  <c r="G161" i="10"/>
  <c r="AM163" i="1"/>
  <c r="M161" i="10"/>
  <c r="E161" i="10"/>
  <c r="Y162" i="1"/>
  <c r="W162" i="1"/>
  <c r="X162" i="1" s="1"/>
  <c r="Y163" i="1" l="1"/>
  <c r="W163" i="1"/>
  <c r="X163" i="1" s="1"/>
  <c r="A165" i="1"/>
  <c r="D164" i="1"/>
  <c r="I164" i="1"/>
  <c r="P164" i="1" s="1"/>
  <c r="C164" i="1"/>
  <c r="B164" i="1"/>
  <c r="H164" i="1" s="1"/>
  <c r="AL164" i="1"/>
  <c r="F162" i="10" s="1"/>
  <c r="F164" i="1"/>
  <c r="E164" i="1"/>
  <c r="AK164" i="1"/>
  <c r="B162" i="10" s="1"/>
  <c r="V164" i="1"/>
  <c r="N164" i="1"/>
  <c r="AA164" i="1"/>
  <c r="J162" i="10" s="1"/>
  <c r="L164" i="1"/>
  <c r="K164" i="1"/>
  <c r="AB164" i="1"/>
  <c r="AC164" i="1" s="1"/>
  <c r="AD164" i="1" s="1"/>
  <c r="AI164" i="1"/>
  <c r="N162" i="10" s="1"/>
  <c r="J164" i="1"/>
  <c r="O162" i="10"/>
  <c r="K162" i="10"/>
  <c r="M164" i="1"/>
  <c r="G162" i="10"/>
  <c r="C162" i="10"/>
  <c r="G164" i="1"/>
  <c r="S164" i="1"/>
  <c r="Z164" i="1"/>
  <c r="E162" i="10"/>
  <c r="AF164" i="1"/>
  <c r="AG164" i="1" s="1"/>
  <c r="AH164" i="1" s="1"/>
  <c r="AN164" i="1"/>
  <c r="M162" i="10"/>
  <c r="T164" i="1"/>
  <c r="A162" i="10"/>
  <c r="R164" i="1"/>
  <c r="AM164" i="1"/>
  <c r="I162" i="10"/>
  <c r="AO164" i="1"/>
  <c r="D165" i="1" l="1"/>
  <c r="A166" i="1"/>
  <c r="I165" i="1"/>
  <c r="P165" i="1" s="1"/>
  <c r="C165" i="1"/>
  <c r="AL165" i="1"/>
  <c r="F163" i="10" s="1"/>
  <c r="B165" i="1"/>
  <c r="H165" i="1" s="1"/>
  <c r="F165" i="1"/>
  <c r="E165" i="1"/>
  <c r="AK165" i="1"/>
  <c r="B163" i="10" s="1"/>
  <c r="AB165" i="1"/>
  <c r="AC165" i="1" s="1"/>
  <c r="AD165" i="1" s="1"/>
  <c r="M165" i="1"/>
  <c r="K165" i="1"/>
  <c r="J165" i="1"/>
  <c r="O163" i="10"/>
  <c r="AA165" i="1"/>
  <c r="J163" i="10" s="1"/>
  <c r="K163" i="10"/>
  <c r="V165" i="1"/>
  <c r="AI165" i="1"/>
  <c r="N163" i="10" s="1"/>
  <c r="L165" i="1"/>
  <c r="G163" i="10"/>
  <c r="C163" i="10"/>
  <c r="AO165" i="1"/>
  <c r="AF165" i="1"/>
  <c r="AG165" i="1" s="1"/>
  <c r="AH165" i="1" s="1"/>
  <c r="A163" i="10"/>
  <c r="T165" i="1"/>
  <c r="AN165" i="1"/>
  <c r="I163" i="10"/>
  <c r="AM165" i="1"/>
  <c r="E163" i="10"/>
  <c r="N165" i="1"/>
  <c r="R165" i="1"/>
  <c r="M163" i="10"/>
  <c r="G165" i="1"/>
  <c r="Z165" i="1"/>
  <c r="S165" i="1"/>
  <c r="W164" i="1"/>
  <c r="X164" i="1" s="1"/>
  <c r="Y164" i="1"/>
  <c r="A167" i="1" l="1"/>
  <c r="D166" i="1"/>
  <c r="C166" i="1"/>
  <c r="I166" i="1"/>
  <c r="P166" i="1" s="1"/>
  <c r="AL166" i="1"/>
  <c r="F164" i="10" s="1"/>
  <c r="B166" i="1"/>
  <c r="H166" i="1" s="1"/>
  <c r="E166" i="1"/>
  <c r="F166" i="1"/>
  <c r="G166" i="1"/>
  <c r="M166" i="1"/>
  <c r="N166" i="1"/>
  <c r="AB166" i="1"/>
  <c r="AC166" i="1" s="1"/>
  <c r="AD166" i="1" s="1"/>
  <c r="L166" i="1"/>
  <c r="K166" i="1"/>
  <c r="AK166" i="1"/>
  <c r="B164" i="10" s="1"/>
  <c r="J166" i="1"/>
  <c r="O164" i="10"/>
  <c r="AA166" i="1"/>
  <c r="J164" i="10" s="1"/>
  <c r="K164" i="10"/>
  <c r="V166" i="1"/>
  <c r="C164" i="10"/>
  <c r="G164" i="10"/>
  <c r="AI166" i="1"/>
  <c r="N164" i="10" s="1"/>
  <c r="Z166" i="1"/>
  <c r="AF166" i="1"/>
  <c r="AG166" i="1" s="1"/>
  <c r="AH166" i="1" s="1"/>
  <c r="A164" i="10"/>
  <c r="T166" i="1"/>
  <c r="AN166" i="1"/>
  <c r="I164" i="10"/>
  <c r="AM166" i="1"/>
  <c r="AO166" i="1"/>
  <c r="E164" i="10"/>
  <c r="R166" i="1"/>
  <c r="M164" i="10"/>
  <c r="S166" i="1"/>
  <c r="Y165" i="1"/>
  <c r="W165" i="1"/>
  <c r="X165" i="1" s="1"/>
  <c r="W166" i="1" l="1"/>
  <c r="X166" i="1" s="1"/>
  <c r="Y166" i="1"/>
  <c r="D167" i="1"/>
  <c r="A168" i="1"/>
  <c r="C167" i="1"/>
  <c r="I167" i="1"/>
  <c r="P167" i="1" s="1"/>
  <c r="B167" i="1"/>
  <c r="H167" i="1" s="1"/>
  <c r="F167" i="1"/>
  <c r="E167" i="1"/>
  <c r="AL167" i="1"/>
  <c r="F165" i="10" s="1"/>
  <c r="AK167" i="1"/>
  <c r="B165" i="10" s="1"/>
  <c r="AB167" i="1"/>
  <c r="AC167" i="1" s="1"/>
  <c r="AD167" i="1" s="1"/>
  <c r="G167" i="1"/>
  <c r="L167" i="1"/>
  <c r="K167" i="1"/>
  <c r="M167" i="1"/>
  <c r="V167" i="1"/>
  <c r="AI167" i="1"/>
  <c r="N165" i="10" s="1"/>
  <c r="AA167" i="1"/>
  <c r="J165" i="10" s="1"/>
  <c r="J167" i="1"/>
  <c r="K165" i="10"/>
  <c r="C165" i="10"/>
  <c r="O165" i="10"/>
  <c r="G165" i="10"/>
  <c r="AM167" i="1"/>
  <c r="N167" i="1"/>
  <c r="R167" i="1"/>
  <c r="M165" i="10"/>
  <c r="Z167" i="1"/>
  <c r="T167" i="1"/>
  <c r="A165" i="10"/>
  <c r="AF167" i="1"/>
  <c r="AG167" i="1" s="1"/>
  <c r="AH167" i="1" s="1"/>
  <c r="I165" i="10"/>
  <c r="AN167" i="1"/>
  <c r="AO167" i="1"/>
  <c r="E165" i="10"/>
  <c r="S167" i="1"/>
  <c r="A169" i="1" l="1"/>
  <c r="D168" i="1"/>
  <c r="I168" i="1"/>
  <c r="P168" i="1" s="1"/>
  <c r="C168" i="1"/>
  <c r="B168" i="1"/>
  <c r="H168" i="1" s="1"/>
  <c r="AL168" i="1"/>
  <c r="F166" i="10" s="1"/>
  <c r="F168" i="1"/>
  <c r="E168" i="1"/>
  <c r="AK168" i="1"/>
  <c r="B166" i="10" s="1"/>
  <c r="G168" i="1"/>
  <c r="AB168" i="1"/>
  <c r="AC168" i="1" s="1"/>
  <c r="AD168" i="1" s="1"/>
  <c r="L168" i="1"/>
  <c r="K168" i="1"/>
  <c r="AI168" i="1"/>
  <c r="N166" i="10" s="1"/>
  <c r="V168" i="1"/>
  <c r="M168" i="1"/>
  <c r="J168" i="1"/>
  <c r="O166" i="10"/>
  <c r="AA168" i="1"/>
  <c r="J166" i="10" s="1"/>
  <c r="K166" i="10"/>
  <c r="G166" i="10"/>
  <c r="T168" i="1"/>
  <c r="AN168" i="1"/>
  <c r="I166" i="10"/>
  <c r="C166" i="10"/>
  <c r="R168" i="1"/>
  <c r="S168" i="1"/>
  <c r="AM168" i="1"/>
  <c r="E166" i="10"/>
  <c r="AF168" i="1"/>
  <c r="AG168" i="1" s="1"/>
  <c r="AH168" i="1" s="1"/>
  <c r="M166" i="10"/>
  <c r="AO168" i="1"/>
  <c r="N168" i="1"/>
  <c r="A166" i="10"/>
  <c r="Z168" i="1"/>
  <c r="Y167" i="1"/>
  <c r="W167" i="1"/>
  <c r="X167" i="1" s="1"/>
  <c r="W168" i="1" l="1"/>
  <c r="X168" i="1" s="1"/>
  <c r="Y168" i="1"/>
  <c r="D169" i="1"/>
  <c r="A170" i="1"/>
  <c r="I169" i="1"/>
  <c r="P169" i="1" s="1"/>
  <c r="AL169" i="1"/>
  <c r="F167" i="10" s="1"/>
  <c r="C169" i="1"/>
  <c r="B169" i="1"/>
  <c r="H169" i="1" s="1"/>
  <c r="F169" i="1"/>
  <c r="E169" i="1"/>
  <c r="AK169" i="1"/>
  <c r="B167" i="10" s="1"/>
  <c r="V169" i="1"/>
  <c r="AA169" i="1"/>
  <c r="J167" i="10" s="1"/>
  <c r="M169" i="1"/>
  <c r="AB169" i="1"/>
  <c r="AC169" i="1" s="1"/>
  <c r="AD169" i="1" s="1"/>
  <c r="L169" i="1"/>
  <c r="J169" i="1"/>
  <c r="O167" i="10"/>
  <c r="K167" i="10"/>
  <c r="K169" i="1"/>
  <c r="AI169" i="1"/>
  <c r="N167" i="10" s="1"/>
  <c r="G167" i="10"/>
  <c r="C167" i="10"/>
  <c r="T169" i="1"/>
  <c r="AO169" i="1"/>
  <c r="S169" i="1"/>
  <c r="M167" i="10"/>
  <c r="AM169" i="1"/>
  <c r="Z169" i="1"/>
  <c r="A167" i="10"/>
  <c r="AN169" i="1"/>
  <c r="G169" i="1"/>
  <c r="N169" i="1"/>
  <c r="R169" i="1"/>
  <c r="AF169" i="1"/>
  <c r="AG169" i="1" s="1"/>
  <c r="AH169" i="1" s="1"/>
  <c r="E167" i="10"/>
  <c r="I167" i="10"/>
  <c r="Y169" i="1" l="1"/>
  <c r="W169" i="1"/>
  <c r="X169" i="1" s="1"/>
  <c r="A171" i="1"/>
  <c r="D170" i="1"/>
  <c r="C170" i="1"/>
  <c r="I170" i="1"/>
  <c r="P170" i="1" s="1"/>
  <c r="AL170" i="1"/>
  <c r="F168" i="10" s="1"/>
  <c r="B170" i="1"/>
  <c r="H170" i="1" s="1"/>
  <c r="F170" i="1"/>
  <c r="E170" i="1"/>
  <c r="V170" i="1"/>
  <c r="AB170" i="1"/>
  <c r="AC170" i="1" s="1"/>
  <c r="AD170" i="1" s="1"/>
  <c r="M170" i="1"/>
  <c r="AK170" i="1"/>
  <c r="B168" i="10" s="1"/>
  <c r="N170" i="1"/>
  <c r="L170" i="1"/>
  <c r="K170" i="1"/>
  <c r="AA170" i="1"/>
  <c r="J168" i="10" s="1"/>
  <c r="G170" i="1"/>
  <c r="J170" i="1"/>
  <c r="O168" i="10"/>
  <c r="K168" i="10"/>
  <c r="AI170" i="1"/>
  <c r="N168" i="10" s="1"/>
  <c r="C168" i="10"/>
  <c r="G168" i="10"/>
  <c r="Z170" i="1"/>
  <c r="AO170" i="1"/>
  <c r="M168" i="10"/>
  <c r="T170" i="1"/>
  <c r="AF170" i="1"/>
  <c r="AG170" i="1" s="1"/>
  <c r="AH170" i="1" s="1"/>
  <c r="A168" i="10"/>
  <c r="S170" i="1"/>
  <c r="I168" i="10"/>
  <c r="R170" i="1"/>
  <c r="E168" i="10"/>
  <c r="AN170" i="1"/>
  <c r="AM170" i="1"/>
  <c r="W170" i="1" l="1"/>
  <c r="X170" i="1" s="1"/>
  <c r="Y170" i="1"/>
  <c r="D171" i="1"/>
  <c r="A172" i="1"/>
  <c r="C171" i="1"/>
  <c r="I171" i="1"/>
  <c r="P171" i="1" s="1"/>
  <c r="B171" i="1"/>
  <c r="H171" i="1" s="1"/>
  <c r="AL171" i="1"/>
  <c r="F169" i="10" s="1"/>
  <c r="F171" i="1"/>
  <c r="E171" i="1"/>
  <c r="AK171" i="1"/>
  <c r="B169" i="10" s="1"/>
  <c r="G171" i="1"/>
  <c r="L171" i="1"/>
  <c r="K171" i="1"/>
  <c r="AB171" i="1"/>
  <c r="AC171" i="1" s="1"/>
  <c r="AD171" i="1" s="1"/>
  <c r="N171" i="1"/>
  <c r="M171" i="1"/>
  <c r="V171" i="1"/>
  <c r="AI171" i="1"/>
  <c r="N169" i="10" s="1"/>
  <c r="O169" i="10"/>
  <c r="AA171" i="1"/>
  <c r="J169" i="10" s="1"/>
  <c r="C169" i="10"/>
  <c r="R171" i="1"/>
  <c r="AM171" i="1"/>
  <c r="M169" i="10"/>
  <c r="J171" i="1"/>
  <c r="G169" i="10"/>
  <c r="Z171" i="1"/>
  <c r="AO171" i="1"/>
  <c r="A169" i="10"/>
  <c r="AN171" i="1"/>
  <c r="I169" i="10"/>
  <c r="T171" i="1"/>
  <c r="K169" i="10"/>
  <c r="AF171" i="1"/>
  <c r="AG171" i="1" s="1"/>
  <c r="AH171" i="1" s="1"/>
  <c r="E169" i="10"/>
  <c r="S171" i="1"/>
  <c r="A173" i="1" l="1"/>
  <c r="D172" i="1"/>
  <c r="I172" i="1"/>
  <c r="P172" i="1" s="1"/>
  <c r="C172" i="1"/>
  <c r="B172" i="1"/>
  <c r="H172" i="1" s="1"/>
  <c r="AL172" i="1"/>
  <c r="F170" i="10" s="1"/>
  <c r="F172" i="1"/>
  <c r="E172" i="1"/>
  <c r="AK172" i="1"/>
  <c r="B170" i="10" s="1"/>
  <c r="AB172" i="1"/>
  <c r="AC172" i="1" s="1"/>
  <c r="AD172" i="1" s="1"/>
  <c r="AA172" i="1"/>
  <c r="J170" i="10" s="1"/>
  <c r="L172" i="1"/>
  <c r="K172" i="1"/>
  <c r="G172" i="1"/>
  <c r="V172" i="1"/>
  <c r="M172" i="1"/>
  <c r="AI172" i="1"/>
  <c r="N170" i="10" s="1"/>
  <c r="J172" i="1"/>
  <c r="O170" i="10"/>
  <c r="K170" i="10"/>
  <c r="G170" i="10"/>
  <c r="AM172" i="1"/>
  <c r="N172" i="1"/>
  <c r="I170" i="10"/>
  <c r="Z172" i="1"/>
  <c r="R172" i="1"/>
  <c r="AN172" i="1"/>
  <c r="E170" i="10"/>
  <c r="AF172" i="1"/>
  <c r="AG172" i="1" s="1"/>
  <c r="AH172" i="1" s="1"/>
  <c r="S172" i="1"/>
  <c r="T172" i="1"/>
  <c r="A170" i="10"/>
  <c r="AO172" i="1"/>
  <c r="C170" i="10"/>
  <c r="M170" i="10"/>
  <c r="Y171" i="1"/>
  <c r="W171" i="1"/>
  <c r="X171" i="1" s="1"/>
  <c r="Y172" i="1" l="1"/>
  <c r="W172" i="1"/>
  <c r="X172" i="1" s="1"/>
  <c r="D173" i="1"/>
  <c r="A174" i="1"/>
  <c r="I173" i="1"/>
  <c r="P173" i="1" s="1"/>
  <c r="AL173" i="1"/>
  <c r="F171" i="10" s="1"/>
  <c r="B173" i="1"/>
  <c r="H173" i="1" s="1"/>
  <c r="C173" i="1"/>
  <c r="F173" i="1"/>
  <c r="E173" i="1"/>
  <c r="AK173" i="1"/>
  <c r="B171" i="10" s="1"/>
  <c r="V173" i="1"/>
  <c r="AA173" i="1"/>
  <c r="J171" i="10" s="1"/>
  <c r="M173" i="1"/>
  <c r="AB173" i="1"/>
  <c r="AC173" i="1" s="1"/>
  <c r="AD173" i="1" s="1"/>
  <c r="J173" i="1"/>
  <c r="O171" i="10"/>
  <c r="K171" i="10"/>
  <c r="L173" i="1"/>
  <c r="AI173" i="1"/>
  <c r="N171" i="10" s="1"/>
  <c r="K173" i="1"/>
  <c r="G171" i="10"/>
  <c r="C171" i="10"/>
  <c r="AF173" i="1"/>
  <c r="AG173" i="1" s="1"/>
  <c r="AH173" i="1" s="1"/>
  <c r="S173" i="1"/>
  <c r="AO173" i="1"/>
  <c r="M171" i="10"/>
  <c r="Z173" i="1"/>
  <c r="AM173" i="1"/>
  <c r="A171" i="10"/>
  <c r="T173" i="1"/>
  <c r="I171" i="10"/>
  <c r="R173" i="1"/>
  <c r="AN173" i="1"/>
  <c r="E171" i="10"/>
  <c r="G173" i="1"/>
  <c r="N173" i="1"/>
  <c r="W173" i="1" l="1"/>
  <c r="X173" i="1" s="1"/>
  <c r="Y173" i="1"/>
  <c r="A175" i="1"/>
  <c r="D174" i="1"/>
  <c r="C174" i="1"/>
  <c r="AL174" i="1"/>
  <c r="F172" i="10" s="1"/>
  <c r="B174" i="1"/>
  <c r="H174" i="1" s="1"/>
  <c r="F174" i="1"/>
  <c r="AK174" i="1"/>
  <c r="B172" i="10" s="1"/>
  <c r="V174" i="1"/>
  <c r="M174" i="1"/>
  <c r="I174" i="1"/>
  <c r="P174" i="1" s="1"/>
  <c r="AB174" i="1"/>
  <c r="AC174" i="1" s="1"/>
  <c r="AD174" i="1" s="1"/>
  <c r="N174" i="1"/>
  <c r="L174" i="1"/>
  <c r="K174" i="1"/>
  <c r="E174" i="1"/>
  <c r="G174" i="1"/>
  <c r="J174" i="1"/>
  <c r="O172" i="10"/>
  <c r="K172" i="10"/>
  <c r="AA174" i="1"/>
  <c r="J172" i="10" s="1"/>
  <c r="C172" i="10"/>
  <c r="AI174" i="1"/>
  <c r="N172" i="10" s="1"/>
  <c r="G172" i="10"/>
  <c r="Z174" i="1"/>
  <c r="AM174" i="1"/>
  <c r="M172" i="10"/>
  <c r="T174" i="1"/>
  <c r="AF174" i="1"/>
  <c r="AG174" i="1" s="1"/>
  <c r="AH174" i="1" s="1"/>
  <c r="A172" i="10"/>
  <c r="AO174" i="1"/>
  <c r="I172" i="10"/>
  <c r="AN174" i="1"/>
  <c r="R174" i="1"/>
  <c r="E172" i="10"/>
  <c r="S174" i="1"/>
  <c r="Y174" i="1" l="1"/>
  <c r="W174" i="1"/>
  <c r="X174" i="1" s="1"/>
  <c r="D175" i="1"/>
  <c r="C175" i="1"/>
  <c r="A176" i="1"/>
  <c r="I175" i="1"/>
  <c r="P175" i="1" s="1"/>
  <c r="B175" i="1"/>
  <c r="H175" i="1" s="1"/>
  <c r="AL175" i="1"/>
  <c r="F173" i="10" s="1"/>
  <c r="F175" i="1"/>
  <c r="E175" i="1"/>
  <c r="AK175" i="1"/>
  <c r="B173" i="10" s="1"/>
  <c r="AA175" i="1"/>
  <c r="J173" i="10" s="1"/>
  <c r="L175" i="1"/>
  <c r="K175" i="1"/>
  <c r="M175" i="1"/>
  <c r="AB175" i="1"/>
  <c r="AC175" i="1" s="1"/>
  <c r="AD175" i="1" s="1"/>
  <c r="G175" i="1"/>
  <c r="N175" i="1"/>
  <c r="AI175" i="1"/>
  <c r="N173" i="10" s="1"/>
  <c r="O173" i="10"/>
  <c r="C173" i="10"/>
  <c r="J175" i="1"/>
  <c r="K173" i="10"/>
  <c r="Z175" i="1"/>
  <c r="S175" i="1"/>
  <c r="M173" i="10"/>
  <c r="AM175" i="1"/>
  <c r="AO175" i="1"/>
  <c r="A173" i="10"/>
  <c r="V175" i="1"/>
  <c r="G173" i="10"/>
  <c r="R175" i="1"/>
  <c r="I173" i="10"/>
  <c r="AF175" i="1"/>
  <c r="AG175" i="1" s="1"/>
  <c r="AH175" i="1" s="1"/>
  <c r="E173" i="10"/>
  <c r="AN175" i="1"/>
  <c r="T175" i="1"/>
  <c r="W175" i="1" l="1"/>
  <c r="X175" i="1" s="1"/>
  <c r="Y175" i="1"/>
  <c r="A177" i="1"/>
  <c r="D176" i="1"/>
  <c r="I176" i="1"/>
  <c r="P176" i="1" s="1"/>
  <c r="C176" i="1"/>
  <c r="B176" i="1"/>
  <c r="H176" i="1" s="1"/>
  <c r="AL176" i="1"/>
  <c r="F174" i="10" s="1"/>
  <c r="F176" i="1"/>
  <c r="E176" i="1"/>
  <c r="AK176" i="1"/>
  <c r="B174" i="10" s="1"/>
  <c r="V176" i="1"/>
  <c r="G176" i="1"/>
  <c r="AB176" i="1"/>
  <c r="AC176" i="1" s="1"/>
  <c r="AD176" i="1" s="1"/>
  <c r="L176" i="1"/>
  <c r="K176" i="1"/>
  <c r="AA176" i="1"/>
  <c r="J174" i="10" s="1"/>
  <c r="AI176" i="1"/>
  <c r="N174" i="10" s="1"/>
  <c r="M176" i="1"/>
  <c r="J176" i="1"/>
  <c r="O174" i="10"/>
  <c r="K174" i="10"/>
  <c r="G174" i="10"/>
  <c r="N176" i="1"/>
  <c r="AO176" i="1"/>
  <c r="E174" i="10"/>
  <c r="S176" i="1"/>
  <c r="T176" i="1"/>
  <c r="AN176" i="1"/>
  <c r="M174" i="10"/>
  <c r="AM176" i="1"/>
  <c r="A174" i="10"/>
  <c r="AF176" i="1"/>
  <c r="AG176" i="1" s="1"/>
  <c r="AH176" i="1" s="1"/>
  <c r="R176" i="1"/>
  <c r="C174" i="10"/>
  <c r="Z176" i="1"/>
  <c r="I174" i="10"/>
  <c r="W176" i="1" l="1"/>
  <c r="X176" i="1" s="1"/>
  <c r="Y176" i="1"/>
  <c r="D177" i="1"/>
  <c r="A178" i="1"/>
  <c r="AL177" i="1"/>
  <c r="F175" i="10" s="1"/>
  <c r="B177" i="1"/>
  <c r="H177" i="1" s="1"/>
  <c r="C177" i="1"/>
  <c r="I177" i="1"/>
  <c r="P177" i="1" s="1"/>
  <c r="F177" i="1"/>
  <c r="E177" i="1"/>
  <c r="AK177" i="1"/>
  <c r="B175" i="10" s="1"/>
  <c r="V177" i="1"/>
  <c r="AB177" i="1"/>
  <c r="AC177" i="1" s="1"/>
  <c r="AD177" i="1" s="1"/>
  <c r="M177" i="1"/>
  <c r="N177" i="1"/>
  <c r="J177" i="1"/>
  <c r="O175" i="10"/>
  <c r="AA177" i="1"/>
  <c r="J175" i="10" s="1"/>
  <c r="K175" i="10"/>
  <c r="AI177" i="1"/>
  <c r="N175" i="10" s="1"/>
  <c r="K177" i="1"/>
  <c r="G175" i="10"/>
  <c r="C175" i="10"/>
  <c r="AN177" i="1"/>
  <c r="S177" i="1"/>
  <c r="I175" i="10"/>
  <c r="L177" i="1"/>
  <c r="G177" i="1"/>
  <c r="R177" i="1"/>
  <c r="E175" i="10"/>
  <c r="Z177" i="1"/>
  <c r="AO177" i="1"/>
  <c r="AF177" i="1"/>
  <c r="AG177" i="1" s="1"/>
  <c r="AH177" i="1" s="1"/>
  <c r="A175" i="10"/>
  <c r="M175" i="10"/>
  <c r="AM177" i="1"/>
  <c r="T177" i="1"/>
  <c r="Y177" i="1" l="1"/>
  <c r="W177" i="1"/>
  <c r="X177" i="1" s="1"/>
  <c r="A179" i="1"/>
  <c r="D178" i="1"/>
  <c r="C178" i="1"/>
  <c r="I178" i="1"/>
  <c r="P178" i="1" s="1"/>
  <c r="AL178" i="1"/>
  <c r="F176" i="10" s="1"/>
  <c r="B178" i="1"/>
  <c r="H178" i="1" s="1"/>
  <c r="E178" i="1"/>
  <c r="F178" i="1"/>
  <c r="V178" i="1"/>
  <c r="G178" i="1"/>
  <c r="M178" i="1"/>
  <c r="AK178" i="1"/>
  <c r="B176" i="10" s="1"/>
  <c r="AB178" i="1"/>
  <c r="AC178" i="1" s="1"/>
  <c r="AD178" i="1" s="1"/>
  <c r="AA178" i="1"/>
  <c r="J176" i="10" s="1"/>
  <c r="N178" i="1"/>
  <c r="L178" i="1"/>
  <c r="K178" i="1"/>
  <c r="J178" i="1"/>
  <c r="O176" i="10"/>
  <c r="K176" i="10"/>
  <c r="C176" i="10"/>
  <c r="G176" i="10"/>
  <c r="S178" i="1"/>
  <c r="AO178" i="1"/>
  <c r="I176" i="10"/>
  <c r="AI178" i="1"/>
  <c r="N176" i="10" s="1"/>
  <c r="AM178" i="1"/>
  <c r="T178" i="1"/>
  <c r="E176" i="10"/>
  <c r="R178" i="1"/>
  <c r="M176" i="10"/>
  <c r="AN178" i="1"/>
  <c r="AF178" i="1"/>
  <c r="AG178" i="1" s="1"/>
  <c r="AH178" i="1" s="1"/>
  <c r="Z178" i="1"/>
  <c r="A176" i="10"/>
  <c r="W178" i="1" l="1"/>
  <c r="X178" i="1" s="1"/>
  <c r="Y178" i="1"/>
  <c r="D179" i="1"/>
  <c r="A180" i="1"/>
  <c r="C179" i="1"/>
  <c r="I179" i="1"/>
  <c r="P179" i="1" s="1"/>
  <c r="B179" i="1"/>
  <c r="H179" i="1" s="1"/>
  <c r="AL179" i="1"/>
  <c r="F177" i="10" s="1"/>
  <c r="F179" i="1"/>
  <c r="E179" i="1"/>
  <c r="AK179" i="1"/>
  <c r="B177" i="10" s="1"/>
  <c r="AA179" i="1"/>
  <c r="J177" i="10" s="1"/>
  <c r="L179" i="1"/>
  <c r="K179" i="1"/>
  <c r="V179" i="1"/>
  <c r="M179" i="1"/>
  <c r="G179" i="1"/>
  <c r="N179" i="1"/>
  <c r="AI179" i="1"/>
  <c r="N177" i="10" s="1"/>
  <c r="J179" i="1"/>
  <c r="K177" i="10"/>
  <c r="C177" i="10"/>
  <c r="AB179" i="1"/>
  <c r="AC179" i="1" s="1"/>
  <c r="AD179" i="1" s="1"/>
  <c r="O177" i="10"/>
  <c r="T179" i="1"/>
  <c r="AF179" i="1"/>
  <c r="AG179" i="1" s="1"/>
  <c r="AH179" i="1" s="1"/>
  <c r="I177" i="10"/>
  <c r="S179" i="1"/>
  <c r="Z179" i="1"/>
  <c r="E177" i="10"/>
  <c r="AN179" i="1"/>
  <c r="G177" i="10"/>
  <c r="AO179" i="1"/>
  <c r="A177" i="10"/>
  <c r="M177" i="10"/>
  <c r="R179" i="1"/>
  <c r="AM179" i="1"/>
  <c r="A181" i="1" l="1"/>
  <c r="D180" i="1"/>
  <c r="C180" i="1"/>
  <c r="B180" i="1"/>
  <c r="H180" i="1" s="1"/>
  <c r="AL180" i="1"/>
  <c r="F178" i="10" s="1"/>
  <c r="F180" i="1"/>
  <c r="E180" i="1"/>
  <c r="I180" i="1"/>
  <c r="P180" i="1" s="1"/>
  <c r="AK180" i="1"/>
  <c r="B178" i="10" s="1"/>
  <c r="AB180" i="1"/>
  <c r="AC180" i="1" s="1"/>
  <c r="AD180" i="1" s="1"/>
  <c r="G180" i="1"/>
  <c r="AA180" i="1"/>
  <c r="J178" i="10" s="1"/>
  <c r="L180" i="1"/>
  <c r="K180" i="1"/>
  <c r="V180" i="1"/>
  <c r="AI180" i="1"/>
  <c r="N178" i="10" s="1"/>
  <c r="N180" i="1"/>
  <c r="J180" i="1"/>
  <c r="O178" i="10"/>
  <c r="K178" i="10"/>
  <c r="M180" i="1"/>
  <c r="G178" i="10"/>
  <c r="C178" i="10"/>
  <c r="Z180" i="1"/>
  <c r="AF180" i="1"/>
  <c r="AG180" i="1" s="1"/>
  <c r="AH180" i="1" s="1"/>
  <c r="I178" i="10"/>
  <c r="T180" i="1"/>
  <c r="AO180" i="1"/>
  <c r="E178" i="10"/>
  <c r="S180" i="1"/>
  <c r="M178" i="10"/>
  <c r="AN180" i="1"/>
  <c r="AM180" i="1"/>
  <c r="R180" i="1"/>
  <c r="A178" i="10"/>
  <c r="W179" i="1"/>
  <c r="X179" i="1" s="1"/>
  <c r="Y179" i="1"/>
  <c r="Y180" i="1" l="1"/>
  <c r="W180" i="1"/>
  <c r="X180" i="1" s="1"/>
  <c r="D181" i="1"/>
  <c r="A182" i="1"/>
  <c r="C181" i="1"/>
  <c r="AL181" i="1"/>
  <c r="F179" i="10" s="1"/>
  <c r="B181" i="1"/>
  <c r="H181" i="1" s="1"/>
  <c r="I181" i="1"/>
  <c r="P181" i="1" s="1"/>
  <c r="F181" i="1"/>
  <c r="E181" i="1"/>
  <c r="AK181" i="1"/>
  <c r="B179" i="10" s="1"/>
  <c r="V181" i="1"/>
  <c r="AA181" i="1"/>
  <c r="J179" i="10" s="1"/>
  <c r="M181" i="1"/>
  <c r="K181" i="1"/>
  <c r="J181" i="1"/>
  <c r="O179" i="10"/>
  <c r="K179" i="10"/>
  <c r="G181" i="1"/>
  <c r="AI181" i="1"/>
  <c r="N179" i="10" s="1"/>
  <c r="L181" i="1"/>
  <c r="AB181" i="1"/>
  <c r="AC181" i="1" s="1"/>
  <c r="AD181" i="1" s="1"/>
  <c r="G179" i="10"/>
  <c r="C179" i="10"/>
  <c r="AO181" i="1"/>
  <c r="S181" i="1"/>
  <c r="A179" i="10"/>
  <c r="N181" i="1"/>
  <c r="AM181" i="1"/>
  <c r="I179" i="10"/>
  <c r="R181" i="1"/>
  <c r="Z181" i="1"/>
  <c r="AF181" i="1"/>
  <c r="AG181" i="1" s="1"/>
  <c r="AH181" i="1" s="1"/>
  <c r="E179" i="10"/>
  <c r="AN181" i="1"/>
  <c r="M179" i="10"/>
  <c r="T181" i="1"/>
  <c r="W181" i="1" l="1"/>
  <c r="X181" i="1" s="1"/>
  <c r="Y181" i="1"/>
  <c r="A183" i="1"/>
  <c r="D182" i="1"/>
  <c r="C182" i="1"/>
  <c r="I182" i="1"/>
  <c r="P182" i="1" s="1"/>
  <c r="AL182" i="1"/>
  <c r="F180" i="10" s="1"/>
  <c r="B182" i="1"/>
  <c r="H182" i="1" s="1"/>
  <c r="E182" i="1"/>
  <c r="F182" i="1"/>
  <c r="G182" i="1"/>
  <c r="M182" i="1"/>
  <c r="V182" i="1"/>
  <c r="AB182" i="1"/>
  <c r="AC182" i="1" s="1"/>
  <c r="AD182" i="1" s="1"/>
  <c r="L182" i="1"/>
  <c r="K182" i="1"/>
  <c r="AK182" i="1"/>
  <c r="B180" i="10" s="1"/>
  <c r="J182" i="1"/>
  <c r="O180" i="10"/>
  <c r="K180" i="10"/>
  <c r="AA182" i="1"/>
  <c r="J180" i="10" s="1"/>
  <c r="C180" i="10"/>
  <c r="G180" i="10"/>
  <c r="AI182" i="1"/>
  <c r="N180" i="10" s="1"/>
  <c r="R182" i="1"/>
  <c r="N182" i="1"/>
  <c r="AM182" i="1"/>
  <c r="M180" i="10"/>
  <c r="AF182" i="1"/>
  <c r="AG182" i="1" s="1"/>
  <c r="AH182" i="1" s="1"/>
  <c r="T182" i="1"/>
  <c r="A180" i="10"/>
  <c r="Z182" i="1"/>
  <c r="I180" i="10"/>
  <c r="AN182" i="1"/>
  <c r="AO182" i="1"/>
  <c r="E180" i="10"/>
  <c r="S182" i="1"/>
  <c r="D183" i="1" l="1"/>
  <c r="C183" i="1"/>
  <c r="I183" i="1"/>
  <c r="P183" i="1" s="1"/>
  <c r="A184" i="1"/>
  <c r="B183" i="1"/>
  <c r="H183" i="1" s="1"/>
  <c r="F183" i="1"/>
  <c r="E183" i="1"/>
  <c r="AL183" i="1"/>
  <c r="F181" i="10" s="1"/>
  <c r="AK183" i="1"/>
  <c r="B181" i="10" s="1"/>
  <c r="G183" i="1"/>
  <c r="AA183" i="1"/>
  <c r="J181" i="10" s="1"/>
  <c r="L183" i="1"/>
  <c r="K183" i="1"/>
  <c r="N183" i="1"/>
  <c r="M183" i="1"/>
  <c r="AB183" i="1"/>
  <c r="AC183" i="1" s="1"/>
  <c r="AD183" i="1" s="1"/>
  <c r="V183" i="1"/>
  <c r="AI183" i="1"/>
  <c r="N181" i="10" s="1"/>
  <c r="J183" i="1"/>
  <c r="K181" i="10"/>
  <c r="C181" i="10"/>
  <c r="O181" i="10"/>
  <c r="G181" i="10"/>
  <c r="T183" i="1"/>
  <c r="R183" i="1"/>
  <c r="M181" i="10"/>
  <c r="Z183" i="1"/>
  <c r="AN183" i="1"/>
  <c r="A181" i="10"/>
  <c r="S183" i="1"/>
  <c r="AM183" i="1"/>
  <c r="I181" i="10"/>
  <c r="AO183" i="1"/>
  <c r="E181" i="10"/>
  <c r="AF183" i="1"/>
  <c r="AG183" i="1" s="1"/>
  <c r="AH183" i="1" s="1"/>
  <c r="W182" i="1"/>
  <c r="X182" i="1" s="1"/>
  <c r="Y182" i="1"/>
  <c r="A185" i="1" l="1"/>
  <c r="D184" i="1"/>
  <c r="C184" i="1"/>
  <c r="B184" i="1"/>
  <c r="H184" i="1" s="1"/>
  <c r="AL184" i="1"/>
  <c r="F182" i="10" s="1"/>
  <c r="I184" i="1"/>
  <c r="P184" i="1" s="1"/>
  <c r="F184" i="1"/>
  <c r="E184" i="1"/>
  <c r="AK184" i="1"/>
  <c r="B182" i="10" s="1"/>
  <c r="AB184" i="1"/>
  <c r="AC184" i="1" s="1"/>
  <c r="AD184" i="1" s="1"/>
  <c r="L184" i="1"/>
  <c r="K184" i="1"/>
  <c r="V184" i="1"/>
  <c r="AI184" i="1"/>
  <c r="N182" i="10" s="1"/>
  <c r="AA184" i="1"/>
  <c r="J182" i="10" s="1"/>
  <c r="M184" i="1"/>
  <c r="J184" i="1"/>
  <c r="O182" i="10"/>
  <c r="K182" i="10"/>
  <c r="G182" i="10"/>
  <c r="AM184" i="1"/>
  <c r="AO184" i="1"/>
  <c r="I182" i="10"/>
  <c r="C182" i="10"/>
  <c r="G184" i="1"/>
  <c r="R184" i="1"/>
  <c r="T184" i="1"/>
  <c r="E182" i="10"/>
  <c r="N184" i="1"/>
  <c r="AN184" i="1"/>
  <c r="AF184" i="1"/>
  <c r="AG184" i="1" s="1"/>
  <c r="AH184" i="1" s="1"/>
  <c r="S184" i="1"/>
  <c r="A182" i="10"/>
  <c r="Z184" i="1"/>
  <c r="M182" i="10"/>
  <c r="Y183" i="1"/>
  <c r="W183" i="1"/>
  <c r="X183" i="1" s="1"/>
  <c r="Y184" i="1" l="1"/>
  <c r="W184" i="1"/>
  <c r="X184" i="1" s="1"/>
  <c r="D185" i="1"/>
  <c r="A186" i="1"/>
  <c r="AL185" i="1"/>
  <c r="F183" i="10" s="1"/>
  <c r="C185" i="1"/>
  <c r="B185" i="1"/>
  <c r="H185" i="1" s="1"/>
  <c r="I185" i="1"/>
  <c r="P185" i="1" s="1"/>
  <c r="F185" i="1"/>
  <c r="E185" i="1"/>
  <c r="AK185" i="1"/>
  <c r="B183" i="10" s="1"/>
  <c r="G185" i="1"/>
  <c r="V185" i="1"/>
  <c r="N185" i="1"/>
  <c r="AA185" i="1"/>
  <c r="J183" i="10" s="1"/>
  <c r="M185" i="1"/>
  <c r="L185" i="1"/>
  <c r="J185" i="1"/>
  <c r="O183" i="10"/>
  <c r="K183" i="10"/>
  <c r="AB185" i="1"/>
  <c r="AC185" i="1" s="1"/>
  <c r="AD185" i="1" s="1"/>
  <c r="K185" i="1"/>
  <c r="AI185" i="1"/>
  <c r="N183" i="10" s="1"/>
  <c r="G183" i="10"/>
  <c r="C183" i="10"/>
  <c r="T185" i="1"/>
  <c r="AM185" i="1"/>
  <c r="I183" i="10"/>
  <c r="S185" i="1"/>
  <c r="AF185" i="1"/>
  <c r="AG185" i="1" s="1"/>
  <c r="AH185" i="1" s="1"/>
  <c r="E183" i="10"/>
  <c r="R185" i="1"/>
  <c r="M183" i="10"/>
  <c r="AO185" i="1"/>
  <c r="AN185" i="1"/>
  <c r="Z185" i="1"/>
  <c r="A183" i="10"/>
  <c r="A187" i="1" l="1"/>
  <c r="D186" i="1"/>
  <c r="C186" i="1"/>
  <c r="I186" i="1"/>
  <c r="P186" i="1" s="1"/>
  <c r="AL186" i="1"/>
  <c r="F184" i="10" s="1"/>
  <c r="B186" i="1"/>
  <c r="H186" i="1" s="1"/>
  <c r="F186" i="1"/>
  <c r="E186" i="1"/>
  <c r="G186" i="1"/>
  <c r="M186" i="1"/>
  <c r="N186" i="1"/>
  <c r="AK186" i="1"/>
  <c r="B184" i="10" s="1"/>
  <c r="AB186" i="1"/>
  <c r="AC186" i="1" s="1"/>
  <c r="AD186" i="1" s="1"/>
  <c r="L186" i="1"/>
  <c r="K186" i="1"/>
  <c r="J186" i="1"/>
  <c r="O184" i="10"/>
  <c r="AA186" i="1"/>
  <c r="J184" i="10" s="1"/>
  <c r="K184" i="10"/>
  <c r="AI186" i="1"/>
  <c r="N184" i="10" s="1"/>
  <c r="C184" i="10"/>
  <c r="V186" i="1"/>
  <c r="G184" i="10"/>
  <c r="T186" i="1"/>
  <c r="AO186" i="1"/>
  <c r="I184" i="10"/>
  <c r="S186" i="1"/>
  <c r="AN186" i="1"/>
  <c r="E184" i="10"/>
  <c r="AM186" i="1"/>
  <c r="Z186" i="1"/>
  <c r="A184" i="10"/>
  <c r="R186" i="1"/>
  <c r="AF186" i="1"/>
  <c r="AG186" i="1" s="1"/>
  <c r="AH186" i="1" s="1"/>
  <c r="M184" i="10"/>
  <c r="Y185" i="1"/>
  <c r="W185" i="1"/>
  <c r="X185" i="1" s="1"/>
  <c r="W186" i="1" l="1"/>
  <c r="X186" i="1" s="1"/>
  <c r="Y186" i="1"/>
  <c r="D187" i="1"/>
  <c r="A188" i="1"/>
  <c r="C187" i="1"/>
  <c r="I187" i="1"/>
  <c r="P187" i="1" s="1"/>
  <c r="B187" i="1"/>
  <c r="H187" i="1" s="1"/>
  <c r="AL187" i="1"/>
  <c r="F185" i="10" s="1"/>
  <c r="F187" i="1"/>
  <c r="E187" i="1"/>
  <c r="AK187" i="1"/>
  <c r="B185" i="10" s="1"/>
  <c r="V187" i="1"/>
  <c r="AA187" i="1"/>
  <c r="J185" i="10" s="1"/>
  <c r="L187" i="1"/>
  <c r="K187" i="1"/>
  <c r="AB187" i="1"/>
  <c r="AC187" i="1" s="1"/>
  <c r="AD187" i="1" s="1"/>
  <c r="M187" i="1"/>
  <c r="G187" i="1"/>
  <c r="AI187" i="1"/>
  <c r="N185" i="10" s="1"/>
  <c r="O185" i="10"/>
  <c r="C185" i="10"/>
  <c r="N187" i="1"/>
  <c r="AN187" i="1"/>
  <c r="A185" i="10"/>
  <c r="G185" i="10"/>
  <c r="T187" i="1"/>
  <c r="S187" i="1"/>
  <c r="I185" i="10"/>
  <c r="J187" i="1"/>
  <c r="AM187" i="1"/>
  <c r="E185" i="10"/>
  <c r="R187" i="1"/>
  <c r="Z187" i="1"/>
  <c r="M185" i="10"/>
  <c r="K185" i="10"/>
  <c r="AF187" i="1"/>
  <c r="AG187" i="1" s="1"/>
  <c r="AH187" i="1" s="1"/>
  <c r="AO187" i="1"/>
  <c r="W187" i="1" l="1"/>
  <c r="X187" i="1" s="1"/>
  <c r="Y187" i="1"/>
  <c r="A189" i="1"/>
  <c r="D188" i="1"/>
  <c r="C188" i="1"/>
  <c r="B188" i="1"/>
  <c r="H188" i="1" s="1"/>
  <c r="AL188" i="1"/>
  <c r="F186" i="10" s="1"/>
  <c r="F188" i="1"/>
  <c r="E188" i="1"/>
  <c r="I188" i="1"/>
  <c r="P188" i="1" s="1"/>
  <c r="AK188" i="1"/>
  <c r="B186" i="10" s="1"/>
  <c r="N188" i="1"/>
  <c r="L188" i="1"/>
  <c r="K188" i="1"/>
  <c r="AA188" i="1"/>
  <c r="J186" i="10" s="1"/>
  <c r="AB188" i="1"/>
  <c r="AC188" i="1" s="1"/>
  <c r="AD188" i="1" s="1"/>
  <c r="M188" i="1"/>
  <c r="AI188" i="1"/>
  <c r="N186" i="10" s="1"/>
  <c r="V188" i="1"/>
  <c r="G188" i="1"/>
  <c r="J188" i="1"/>
  <c r="O186" i="10"/>
  <c r="K186" i="10"/>
  <c r="G186" i="10"/>
  <c r="T188" i="1"/>
  <c r="AF188" i="1"/>
  <c r="AG188" i="1" s="1"/>
  <c r="AH188" i="1" s="1"/>
  <c r="A186" i="10"/>
  <c r="AM188" i="1"/>
  <c r="AO188" i="1"/>
  <c r="I186" i="10"/>
  <c r="C186" i="10"/>
  <c r="Z188" i="1"/>
  <c r="AN188" i="1"/>
  <c r="S188" i="1"/>
  <c r="R188" i="1"/>
  <c r="M186" i="10"/>
  <c r="E186" i="10"/>
  <c r="Y188" i="1" l="1"/>
  <c r="W188" i="1"/>
  <c r="X188" i="1" s="1"/>
  <c r="D189" i="1"/>
  <c r="A190" i="1"/>
  <c r="AL189" i="1"/>
  <c r="F187" i="10" s="1"/>
  <c r="B189" i="1"/>
  <c r="H189" i="1" s="1"/>
  <c r="I189" i="1"/>
  <c r="P189" i="1" s="1"/>
  <c r="F189" i="1"/>
  <c r="E189" i="1"/>
  <c r="C189" i="1"/>
  <c r="AK189" i="1"/>
  <c r="B187" i="10" s="1"/>
  <c r="AA189" i="1"/>
  <c r="J187" i="10" s="1"/>
  <c r="AB189" i="1"/>
  <c r="AC189" i="1" s="1"/>
  <c r="AD189" i="1" s="1"/>
  <c r="V189" i="1"/>
  <c r="M189" i="1"/>
  <c r="J189" i="1"/>
  <c r="O187" i="10"/>
  <c r="K187" i="10"/>
  <c r="L189" i="1"/>
  <c r="AI189" i="1"/>
  <c r="N187" i="10" s="1"/>
  <c r="G187" i="10"/>
  <c r="K189" i="1"/>
  <c r="C187" i="10"/>
  <c r="T189" i="1"/>
  <c r="Z189" i="1"/>
  <c r="S189" i="1"/>
  <c r="E187" i="10"/>
  <c r="R189" i="1"/>
  <c r="AM189" i="1"/>
  <c r="AO189" i="1"/>
  <c r="M187" i="10"/>
  <c r="AF189" i="1"/>
  <c r="AG189" i="1" s="1"/>
  <c r="AH189" i="1" s="1"/>
  <c r="A187" i="10"/>
  <c r="N189" i="1"/>
  <c r="AN189" i="1"/>
  <c r="I187" i="10"/>
  <c r="G189" i="1"/>
  <c r="A191" i="1" l="1"/>
  <c r="D190" i="1"/>
  <c r="C190" i="1"/>
  <c r="I190" i="1"/>
  <c r="P190" i="1" s="1"/>
  <c r="AL190" i="1"/>
  <c r="F188" i="10" s="1"/>
  <c r="B190" i="1"/>
  <c r="H190" i="1" s="1"/>
  <c r="F190" i="1"/>
  <c r="AK190" i="1"/>
  <c r="B188" i="10" s="1"/>
  <c r="M190" i="1"/>
  <c r="G190" i="1"/>
  <c r="AB190" i="1"/>
  <c r="AC190" i="1" s="1"/>
  <c r="AD190" i="1" s="1"/>
  <c r="E190" i="1"/>
  <c r="V190" i="1"/>
  <c r="L190" i="1"/>
  <c r="K190" i="1"/>
  <c r="J190" i="1"/>
  <c r="O188" i="10"/>
  <c r="K188" i="10"/>
  <c r="C188" i="10"/>
  <c r="AI190" i="1"/>
  <c r="N188" i="10" s="1"/>
  <c r="G188" i="10"/>
  <c r="AN190" i="1"/>
  <c r="AO190" i="1"/>
  <c r="I188" i="10"/>
  <c r="AM190" i="1"/>
  <c r="S190" i="1"/>
  <c r="E188" i="10"/>
  <c r="AF190" i="1"/>
  <c r="AG190" i="1" s="1"/>
  <c r="AH190" i="1" s="1"/>
  <c r="M188" i="10"/>
  <c r="AA190" i="1"/>
  <c r="J188" i="10" s="1"/>
  <c r="Z190" i="1"/>
  <c r="N190" i="1"/>
  <c r="T190" i="1"/>
  <c r="A188" i="10"/>
  <c r="R190" i="1"/>
  <c r="Y189" i="1"/>
  <c r="W189" i="1"/>
  <c r="X189" i="1" s="1"/>
  <c r="Y190" i="1" l="1"/>
  <c r="W190" i="1"/>
  <c r="X190" i="1" s="1"/>
  <c r="D191" i="1"/>
  <c r="C191" i="1"/>
  <c r="A192" i="1"/>
  <c r="I191" i="1"/>
  <c r="P191" i="1" s="1"/>
  <c r="B191" i="1"/>
  <c r="H191" i="1" s="1"/>
  <c r="AL191" i="1"/>
  <c r="F189" i="10" s="1"/>
  <c r="F191" i="1"/>
  <c r="E191" i="1"/>
  <c r="AK191" i="1"/>
  <c r="B189" i="10" s="1"/>
  <c r="N191" i="1"/>
  <c r="L191" i="1"/>
  <c r="K191" i="1"/>
  <c r="M191" i="1"/>
  <c r="AB191" i="1"/>
  <c r="AC191" i="1" s="1"/>
  <c r="AD191" i="1" s="1"/>
  <c r="V191" i="1"/>
  <c r="AI191" i="1"/>
  <c r="N189" i="10" s="1"/>
  <c r="O189" i="10"/>
  <c r="C189" i="10"/>
  <c r="J191" i="1"/>
  <c r="AA191" i="1"/>
  <c r="J189" i="10" s="1"/>
  <c r="K189" i="10"/>
  <c r="G191" i="1"/>
  <c r="R191" i="1"/>
  <c r="A189" i="10"/>
  <c r="T191" i="1"/>
  <c r="AO191" i="1"/>
  <c r="I189" i="10"/>
  <c r="Z191" i="1"/>
  <c r="AM191" i="1"/>
  <c r="AF191" i="1"/>
  <c r="AG191" i="1" s="1"/>
  <c r="AH191" i="1" s="1"/>
  <c r="AN191" i="1"/>
  <c r="G189" i="10"/>
  <c r="E189" i="10"/>
  <c r="S191" i="1"/>
  <c r="M189" i="10"/>
  <c r="W191" i="1" l="1"/>
  <c r="X191" i="1" s="1"/>
  <c r="Y191" i="1"/>
  <c r="A193" i="1"/>
  <c r="D192" i="1"/>
  <c r="C192" i="1"/>
  <c r="B192" i="1"/>
  <c r="H192" i="1" s="1"/>
  <c r="AL192" i="1"/>
  <c r="F190" i="10" s="1"/>
  <c r="F192" i="1"/>
  <c r="E192" i="1"/>
  <c r="AK192" i="1"/>
  <c r="B190" i="10" s="1"/>
  <c r="I192" i="1"/>
  <c r="P192" i="1" s="1"/>
  <c r="G192" i="1"/>
  <c r="V192" i="1"/>
  <c r="L192" i="1"/>
  <c r="K192" i="1"/>
  <c r="AB192" i="1"/>
  <c r="AC192" i="1" s="1"/>
  <c r="AD192" i="1" s="1"/>
  <c r="AI192" i="1"/>
  <c r="N190" i="10" s="1"/>
  <c r="M192" i="1"/>
  <c r="J192" i="1"/>
  <c r="O190" i="10"/>
  <c r="AA192" i="1"/>
  <c r="J190" i="10" s="1"/>
  <c r="K190" i="10"/>
  <c r="G190" i="10"/>
  <c r="T192" i="1"/>
  <c r="AO192" i="1"/>
  <c r="AM192" i="1"/>
  <c r="M190" i="10"/>
  <c r="R192" i="1"/>
  <c r="N192" i="1"/>
  <c r="A190" i="10"/>
  <c r="AF192" i="1"/>
  <c r="AG192" i="1" s="1"/>
  <c r="AH192" i="1" s="1"/>
  <c r="I190" i="10"/>
  <c r="C190" i="10"/>
  <c r="Z192" i="1"/>
  <c r="E190" i="10"/>
  <c r="S192" i="1"/>
  <c r="AN192" i="1"/>
  <c r="D193" i="1" l="1"/>
  <c r="A194" i="1"/>
  <c r="AL193" i="1"/>
  <c r="F191" i="10" s="1"/>
  <c r="B193" i="1"/>
  <c r="H193" i="1" s="1"/>
  <c r="C193" i="1"/>
  <c r="I193" i="1"/>
  <c r="P193" i="1" s="1"/>
  <c r="F193" i="1"/>
  <c r="E193" i="1"/>
  <c r="AK193" i="1"/>
  <c r="B191" i="10" s="1"/>
  <c r="AB193" i="1"/>
  <c r="AC193" i="1" s="1"/>
  <c r="AD193" i="1" s="1"/>
  <c r="G193" i="1"/>
  <c r="V193" i="1"/>
  <c r="M193" i="1"/>
  <c r="J193" i="1"/>
  <c r="O191" i="10"/>
  <c r="AA193" i="1"/>
  <c r="J191" i="10" s="1"/>
  <c r="K191" i="10"/>
  <c r="AI193" i="1"/>
  <c r="N191" i="10" s="1"/>
  <c r="K193" i="1"/>
  <c r="G191" i="10"/>
  <c r="L193" i="1"/>
  <c r="C191" i="10"/>
  <c r="AO193" i="1"/>
  <c r="S193" i="1"/>
  <c r="E191" i="10"/>
  <c r="N193" i="1"/>
  <c r="Z193" i="1"/>
  <c r="T193" i="1"/>
  <c r="M191" i="10"/>
  <c r="AN193" i="1"/>
  <c r="R193" i="1"/>
  <c r="AM193" i="1"/>
  <c r="A191" i="10"/>
  <c r="AF193" i="1"/>
  <c r="AG193" i="1" s="1"/>
  <c r="AH193" i="1" s="1"/>
  <c r="I191" i="10"/>
  <c r="W192" i="1"/>
  <c r="X192" i="1" s="1"/>
  <c r="Y192" i="1"/>
  <c r="W193" i="1" l="1"/>
  <c r="X193" i="1" s="1"/>
  <c r="Y193" i="1"/>
  <c r="D194" i="1"/>
  <c r="A195" i="1"/>
  <c r="C194" i="1"/>
  <c r="I194" i="1"/>
  <c r="P194" i="1" s="1"/>
  <c r="AL194" i="1"/>
  <c r="F192" i="10" s="1"/>
  <c r="B194" i="1"/>
  <c r="H194" i="1" s="1"/>
  <c r="E194" i="1"/>
  <c r="AB194" i="1"/>
  <c r="AC194" i="1" s="1"/>
  <c r="AD194" i="1" s="1"/>
  <c r="M194" i="1"/>
  <c r="F194" i="1"/>
  <c r="AK194" i="1"/>
  <c r="B192" i="10" s="1"/>
  <c r="G194" i="1"/>
  <c r="V194" i="1"/>
  <c r="L194" i="1"/>
  <c r="K194" i="1"/>
  <c r="J194" i="1"/>
  <c r="O192" i="10"/>
  <c r="AA194" i="1"/>
  <c r="J192" i="10" s="1"/>
  <c r="K192" i="10"/>
  <c r="C192" i="10"/>
  <c r="G192" i="10"/>
  <c r="N194" i="1"/>
  <c r="AN194" i="1"/>
  <c r="AO194" i="1"/>
  <c r="E192" i="10"/>
  <c r="S194" i="1"/>
  <c r="R194" i="1"/>
  <c r="M192" i="10"/>
  <c r="AI194" i="1"/>
  <c r="N192" i="10" s="1"/>
  <c r="AF194" i="1"/>
  <c r="AG194" i="1" s="1"/>
  <c r="AH194" i="1" s="1"/>
  <c r="A192" i="10"/>
  <c r="AM194" i="1"/>
  <c r="T194" i="1"/>
  <c r="I192" i="10"/>
  <c r="Z194" i="1"/>
  <c r="Y194" i="1" l="1"/>
  <c r="W194" i="1"/>
  <c r="X194" i="1" s="1"/>
  <c r="A196" i="1"/>
  <c r="D195" i="1"/>
  <c r="C195" i="1"/>
  <c r="I195" i="1"/>
  <c r="P195" i="1" s="1"/>
  <c r="B195" i="1"/>
  <c r="H195" i="1" s="1"/>
  <c r="AL195" i="1"/>
  <c r="F193" i="10" s="1"/>
  <c r="F195" i="1"/>
  <c r="E195" i="1"/>
  <c r="AK195" i="1"/>
  <c r="B193" i="10" s="1"/>
  <c r="AB195" i="1"/>
  <c r="AC195" i="1" s="1"/>
  <c r="AD195" i="1" s="1"/>
  <c r="L195" i="1"/>
  <c r="K195" i="1"/>
  <c r="G195" i="1"/>
  <c r="M195" i="1"/>
  <c r="V195" i="1"/>
  <c r="N195" i="1"/>
  <c r="AI195" i="1"/>
  <c r="N193" i="10" s="1"/>
  <c r="J195" i="1"/>
  <c r="AA195" i="1"/>
  <c r="J193" i="10" s="1"/>
  <c r="K193" i="10"/>
  <c r="C193" i="10"/>
  <c r="Z195" i="1"/>
  <c r="AM195" i="1"/>
  <c r="E193" i="10"/>
  <c r="O193" i="10"/>
  <c r="T195" i="1"/>
  <c r="AO195" i="1"/>
  <c r="M193" i="10"/>
  <c r="AF195" i="1"/>
  <c r="AG195" i="1" s="1"/>
  <c r="AH195" i="1" s="1"/>
  <c r="A193" i="10"/>
  <c r="AN195" i="1"/>
  <c r="G193" i="10"/>
  <c r="R195" i="1"/>
  <c r="I193" i="10"/>
  <c r="S195" i="1"/>
  <c r="D196" i="1" l="1"/>
  <c r="A197" i="1"/>
  <c r="C196" i="1"/>
  <c r="B196" i="1"/>
  <c r="H196" i="1" s="1"/>
  <c r="AL196" i="1"/>
  <c r="F194" i="10" s="1"/>
  <c r="F196" i="1"/>
  <c r="E196" i="1"/>
  <c r="I196" i="1"/>
  <c r="P196" i="1" s="1"/>
  <c r="AK196" i="1"/>
  <c r="B194" i="10" s="1"/>
  <c r="AA196" i="1"/>
  <c r="J194" i="10" s="1"/>
  <c r="G196" i="1"/>
  <c r="L196" i="1"/>
  <c r="K196" i="1"/>
  <c r="AB196" i="1"/>
  <c r="AC196" i="1" s="1"/>
  <c r="AD196" i="1" s="1"/>
  <c r="N196" i="1"/>
  <c r="AI196" i="1"/>
  <c r="N194" i="10" s="1"/>
  <c r="V196" i="1"/>
  <c r="J196" i="1"/>
  <c r="O194" i="10"/>
  <c r="K194" i="10"/>
  <c r="M196" i="1"/>
  <c r="G194" i="10"/>
  <c r="C194" i="10"/>
  <c r="AM196" i="1"/>
  <c r="AO196" i="1"/>
  <c r="E194" i="10"/>
  <c r="S196" i="1"/>
  <c r="T196" i="1"/>
  <c r="M194" i="10"/>
  <c r="Z196" i="1"/>
  <c r="A194" i="10"/>
  <c r="AN196" i="1"/>
  <c r="I194" i="10"/>
  <c r="AF196" i="1"/>
  <c r="AG196" i="1" s="1"/>
  <c r="AH196" i="1" s="1"/>
  <c r="R196" i="1"/>
  <c r="Y195" i="1"/>
  <c r="W195" i="1"/>
  <c r="X195" i="1" s="1"/>
  <c r="A198" i="1" l="1"/>
  <c r="D197" i="1"/>
  <c r="C197" i="1"/>
  <c r="AL197" i="1"/>
  <c r="F195" i="10" s="1"/>
  <c r="B197" i="1"/>
  <c r="H197" i="1" s="1"/>
  <c r="I197" i="1"/>
  <c r="P197" i="1" s="1"/>
  <c r="F197" i="1"/>
  <c r="E197" i="1"/>
  <c r="AK197" i="1"/>
  <c r="B195" i="10" s="1"/>
  <c r="AB197" i="1"/>
  <c r="AC197" i="1" s="1"/>
  <c r="AD197" i="1" s="1"/>
  <c r="G197" i="1"/>
  <c r="V197" i="1"/>
  <c r="M197" i="1"/>
  <c r="K197" i="1"/>
  <c r="J197" i="1"/>
  <c r="O195" i="10"/>
  <c r="K195" i="10"/>
  <c r="AI197" i="1"/>
  <c r="N195" i="10" s="1"/>
  <c r="L197" i="1"/>
  <c r="AA197" i="1"/>
  <c r="J195" i="10" s="1"/>
  <c r="G195" i="10"/>
  <c r="C195" i="10"/>
  <c r="S197" i="1"/>
  <c r="AM197" i="1"/>
  <c r="I195" i="10"/>
  <c r="R197" i="1"/>
  <c r="AF197" i="1"/>
  <c r="AG197" i="1" s="1"/>
  <c r="AH197" i="1" s="1"/>
  <c r="E195" i="10"/>
  <c r="T197" i="1"/>
  <c r="M195" i="10"/>
  <c r="AO197" i="1"/>
  <c r="AN197" i="1"/>
  <c r="Z197" i="1"/>
  <c r="A195" i="10"/>
  <c r="N197" i="1"/>
  <c r="Y196" i="1"/>
  <c r="W196" i="1"/>
  <c r="X196" i="1" s="1"/>
  <c r="Y197" i="1" l="1"/>
  <c r="W197" i="1"/>
  <c r="X197" i="1" s="1"/>
  <c r="D198" i="1"/>
  <c r="A199" i="1"/>
  <c r="C198" i="1"/>
  <c r="I198" i="1"/>
  <c r="P198" i="1" s="1"/>
  <c r="AL198" i="1"/>
  <c r="F196" i="10" s="1"/>
  <c r="B198" i="1"/>
  <c r="H198" i="1" s="1"/>
  <c r="E198" i="1"/>
  <c r="F198" i="1"/>
  <c r="V198" i="1"/>
  <c r="M198" i="1"/>
  <c r="AB198" i="1"/>
  <c r="AC198" i="1" s="1"/>
  <c r="AD198" i="1" s="1"/>
  <c r="L198" i="1"/>
  <c r="K198" i="1"/>
  <c r="AA198" i="1"/>
  <c r="J196" i="10" s="1"/>
  <c r="J198" i="1"/>
  <c r="O196" i="10"/>
  <c r="K196" i="10"/>
  <c r="C196" i="10"/>
  <c r="AK198" i="1"/>
  <c r="B196" i="10" s="1"/>
  <c r="G196" i="10"/>
  <c r="AI198" i="1"/>
  <c r="N196" i="10" s="1"/>
  <c r="T198" i="1"/>
  <c r="Z198" i="1"/>
  <c r="N198" i="1"/>
  <c r="I196" i="10"/>
  <c r="S198" i="1"/>
  <c r="AN198" i="1"/>
  <c r="A196" i="10"/>
  <c r="AM198" i="1"/>
  <c r="E196" i="10"/>
  <c r="G198" i="1"/>
  <c r="R198" i="1"/>
  <c r="AF198" i="1"/>
  <c r="AG198" i="1" s="1"/>
  <c r="AH198" i="1" s="1"/>
  <c r="AO198" i="1"/>
  <c r="M196" i="10"/>
  <c r="A200" i="1" l="1"/>
  <c r="C199" i="1"/>
  <c r="D199" i="1"/>
  <c r="I199" i="1"/>
  <c r="P199" i="1" s="1"/>
  <c r="B199" i="1"/>
  <c r="H199" i="1" s="1"/>
  <c r="F199" i="1"/>
  <c r="E199" i="1"/>
  <c r="AK199" i="1"/>
  <c r="B197" i="10" s="1"/>
  <c r="AL199" i="1"/>
  <c r="F197" i="10" s="1"/>
  <c r="L199" i="1"/>
  <c r="K199" i="1"/>
  <c r="V199" i="1"/>
  <c r="M199" i="1"/>
  <c r="G199" i="1"/>
  <c r="AA199" i="1"/>
  <c r="J197" i="10" s="1"/>
  <c r="AB199" i="1"/>
  <c r="AC199" i="1" s="1"/>
  <c r="AD199" i="1" s="1"/>
  <c r="AI199" i="1"/>
  <c r="N197" i="10" s="1"/>
  <c r="J199" i="1"/>
  <c r="K197" i="10"/>
  <c r="C197" i="10"/>
  <c r="O197" i="10"/>
  <c r="G197" i="10"/>
  <c r="AO199" i="1"/>
  <c r="R199" i="1"/>
  <c r="A197" i="10"/>
  <c r="N199" i="1"/>
  <c r="T199" i="1"/>
  <c r="S199" i="1"/>
  <c r="I197" i="10"/>
  <c r="AF199" i="1"/>
  <c r="AG199" i="1" s="1"/>
  <c r="AH199" i="1" s="1"/>
  <c r="E197" i="10"/>
  <c r="Z199" i="1"/>
  <c r="M197" i="10"/>
  <c r="AM199" i="1"/>
  <c r="AN199" i="1"/>
  <c r="Y198" i="1"/>
  <c r="W198" i="1"/>
  <c r="X198" i="1" s="1"/>
  <c r="W199" i="1" l="1"/>
  <c r="X199" i="1" s="1"/>
  <c r="Y199" i="1"/>
  <c r="D200" i="1"/>
  <c r="A201" i="1"/>
  <c r="C200" i="1"/>
  <c r="B200" i="1"/>
  <c r="H200" i="1" s="1"/>
  <c r="AL200" i="1"/>
  <c r="F198" i="10" s="1"/>
  <c r="I200" i="1"/>
  <c r="P200" i="1" s="1"/>
  <c r="F200" i="1"/>
  <c r="E200" i="1"/>
  <c r="AK200" i="1"/>
  <c r="B198" i="10" s="1"/>
  <c r="V200" i="1"/>
  <c r="N200" i="1"/>
  <c r="L200" i="1"/>
  <c r="K200" i="1"/>
  <c r="G200" i="1"/>
  <c r="AI200" i="1"/>
  <c r="N198" i="10" s="1"/>
  <c r="AA200" i="1"/>
  <c r="J198" i="10" s="1"/>
  <c r="M200" i="1"/>
  <c r="J200" i="1"/>
  <c r="O198" i="10"/>
  <c r="K198" i="10"/>
  <c r="AB200" i="1"/>
  <c r="AC200" i="1" s="1"/>
  <c r="AD200" i="1" s="1"/>
  <c r="G198" i="10"/>
  <c r="R200" i="1"/>
  <c r="T200" i="1"/>
  <c r="A198" i="10"/>
  <c r="C198" i="10"/>
  <c r="AO200" i="1"/>
  <c r="AM200" i="1"/>
  <c r="I198" i="10"/>
  <c r="Z200" i="1"/>
  <c r="E198" i="10"/>
  <c r="AN200" i="1"/>
  <c r="AF200" i="1"/>
  <c r="AG200" i="1" s="1"/>
  <c r="AH200" i="1" s="1"/>
  <c r="S200" i="1"/>
  <c r="M198" i="10"/>
  <c r="Y200" i="1" l="1"/>
  <c r="W200" i="1"/>
  <c r="X200" i="1" s="1"/>
  <c r="A202" i="1"/>
  <c r="D201" i="1"/>
  <c r="AL201" i="1"/>
  <c r="F199" i="10" s="1"/>
  <c r="C201" i="1"/>
  <c r="B201" i="1"/>
  <c r="H201" i="1" s="1"/>
  <c r="I201" i="1"/>
  <c r="P201" i="1" s="1"/>
  <c r="F201" i="1"/>
  <c r="E201" i="1"/>
  <c r="AK201" i="1"/>
  <c r="B199" i="10" s="1"/>
  <c r="N201" i="1"/>
  <c r="AB201" i="1"/>
  <c r="AC201" i="1" s="1"/>
  <c r="AD201" i="1" s="1"/>
  <c r="V201" i="1"/>
  <c r="AA201" i="1"/>
  <c r="J199" i="10" s="1"/>
  <c r="G201" i="1"/>
  <c r="M201" i="1"/>
  <c r="L201" i="1"/>
  <c r="J201" i="1"/>
  <c r="O199" i="10"/>
  <c r="K199" i="10"/>
  <c r="K201" i="1"/>
  <c r="AI201" i="1"/>
  <c r="N199" i="10" s="1"/>
  <c r="G199" i="10"/>
  <c r="C199" i="10"/>
  <c r="S201" i="1"/>
  <c r="AO201" i="1"/>
  <c r="A199" i="10"/>
  <c r="R201" i="1"/>
  <c r="AN201" i="1"/>
  <c r="I199" i="10"/>
  <c r="Z201" i="1"/>
  <c r="E199" i="10"/>
  <c r="T201" i="1"/>
  <c r="M199" i="10"/>
  <c r="AM201" i="1"/>
  <c r="AF201" i="1"/>
  <c r="AG201" i="1" s="1"/>
  <c r="AH201" i="1" s="1"/>
  <c r="D202" i="1" l="1"/>
  <c r="A203" i="1"/>
  <c r="C202" i="1"/>
  <c r="I202" i="1"/>
  <c r="P202" i="1" s="1"/>
  <c r="AL202" i="1"/>
  <c r="F200" i="10" s="1"/>
  <c r="B202" i="1"/>
  <c r="H202" i="1" s="1"/>
  <c r="F202" i="1"/>
  <c r="E202" i="1"/>
  <c r="AA202" i="1"/>
  <c r="J200" i="10" s="1"/>
  <c r="M202" i="1"/>
  <c r="AK202" i="1"/>
  <c r="B200" i="10" s="1"/>
  <c r="AB202" i="1"/>
  <c r="AC202" i="1" s="1"/>
  <c r="AD202" i="1" s="1"/>
  <c r="V202" i="1"/>
  <c r="L202" i="1"/>
  <c r="K202" i="1"/>
  <c r="G202" i="1"/>
  <c r="J202" i="1"/>
  <c r="O200" i="10"/>
  <c r="K200" i="10"/>
  <c r="AI202" i="1"/>
  <c r="N200" i="10" s="1"/>
  <c r="C200" i="10"/>
  <c r="G200" i="10"/>
  <c r="Z202" i="1"/>
  <c r="N202" i="1"/>
  <c r="M200" i="10"/>
  <c r="AF202" i="1"/>
  <c r="AG202" i="1" s="1"/>
  <c r="AH202" i="1" s="1"/>
  <c r="S202" i="1"/>
  <c r="A200" i="10"/>
  <c r="AN202" i="1"/>
  <c r="I200" i="10"/>
  <c r="AM202" i="1"/>
  <c r="T202" i="1"/>
  <c r="R202" i="1"/>
  <c r="AO202" i="1"/>
  <c r="E200" i="10"/>
  <c r="Y201" i="1"/>
  <c r="W201" i="1"/>
  <c r="X201" i="1" s="1"/>
  <c r="A204" i="1" l="1"/>
  <c r="D203" i="1"/>
  <c r="C203" i="1"/>
  <c r="I203" i="1"/>
  <c r="P203" i="1" s="1"/>
  <c r="B203" i="1"/>
  <c r="H203" i="1" s="1"/>
  <c r="AL203" i="1"/>
  <c r="F201" i="10" s="1"/>
  <c r="F203" i="1"/>
  <c r="E203" i="1"/>
  <c r="AK203" i="1"/>
  <c r="B201" i="10" s="1"/>
  <c r="L203" i="1"/>
  <c r="K203" i="1"/>
  <c r="AB203" i="1"/>
  <c r="AC203" i="1" s="1"/>
  <c r="AD203" i="1" s="1"/>
  <c r="M203" i="1"/>
  <c r="N203" i="1"/>
  <c r="AA203" i="1"/>
  <c r="J201" i="10" s="1"/>
  <c r="AI203" i="1"/>
  <c r="N201" i="10" s="1"/>
  <c r="O201" i="10"/>
  <c r="V203" i="1"/>
  <c r="C201" i="10"/>
  <c r="K201" i="10"/>
  <c r="AN203" i="1"/>
  <c r="G203" i="1"/>
  <c r="E201" i="10"/>
  <c r="G201" i="10"/>
  <c r="R203" i="1"/>
  <c r="T203" i="1"/>
  <c r="M201" i="10"/>
  <c r="AO203" i="1"/>
  <c r="A201" i="10"/>
  <c r="J203" i="1"/>
  <c r="AF203" i="1"/>
  <c r="AG203" i="1" s="1"/>
  <c r="AH203" i="1" s="1"/>
  <c r="S203" i="1"/>
  <c r="Z203" i="1"/>
  <c r="I201" i="10"/>
  <c r="AM203" i="1"/>
  <c r="W202" i="1"/>
  <c r="X202" i="1" s="1"/>
  <c r="Y202" i="1"/>
  <c r="Y203" i="1" l="1"/>
  <c r="W203" i="1"/>
  <c r="X203" i="1" s="1"/>
  <c r="D204" i="1"/>
  <c r="A205" i="1"/>
  <c r="C204" i="1"/>
  <c r="B204" i="1"/>
  <c r="H204" i="1" s="1"/>
  <c r="AL204" i="1"/>
  <c r="F202" i="10" s="1"/>
  <c r="F204" i="1"/>
  <c r="E204" i="1"/>
  <c r="I204" i="1"/>
  <c r="P204" i="1" s="1"/>
  <c r="AK204" i="1"/>
  <c r="B202" i="10" s="1"/>
  <c r="V204" i="1"/>
  <c r="AB204" i="1"/>
  <c r="AC204" i="1" s="1"/>
  <c r="AD204" i="1" s="1"/>
  <c r="L204" i="1"/>
  <c r="K204" i="1"/>
  <c r="M204" i="1"/>
  <c r="AI204" i="1"/>
  <c r="N202" i="10" s="1"/>
  <c r="J204" i="1"/>
  <c r="O202" i="10"/>
  <c r="AA204" i="1"/>
  <c r="J202" i="10" s="1"/>
  <c r="K202" i="10"/>
  <c r="G202" i="10"/>
  <c r="G204" i="1"/>
  <c r="S204" i="1"/>
  <c r="AM204" i="1"/>
  <c r="A202" i="10"/>
  <c r="Z204" i="1"/>
  <c r="R204" i="1"/>
  <c r="AF204" i="1"/>
  <c r="AG204" i="1" s="1"/>
  <c r="AH204" i="1" s="1"/>
  <c r="I202" i="10"/>
  <c r="N204" i="1"/>
  <c r="E202" i="10"/>
  <c r="C202" i="10"/>
  <c r="T204" i="1"/>
  <c r="M202" i="10"/>
  <c r="AN204" i="1"/>
  <c r="AO204" i="1"/>
  <c r="Y204" i="1" l="1"/>
  <c r="W204" i="1"/>
  <c r="X204" i="1" s="1"/>
  <c r="A206" i="1"/>
  <c r="D205" i="1"/>
  <c r="AL205" i="1"/>
  <c r="F203" i="10" s="1"/>
  <c r="B205" i="1"/>
  <c r="H205" i="1" s="1"/>
  <c r="I205" i="1"/>
  <c r="P205" i="1" s="1"/>
  <c r="F205" i="1"/>
  <c r="E205" i="1"/>
  <c r="C205" i="1"/>
  <c r="AK205" i="1"/>
  <c r="B203" i="10" s="1"/>
  <c r="V205" i="1"/>
  <c r="AB205" i="1"/>
  <c r="AC205" i="1" s="1"/>
  <c r="AD205" i="1" s="1"/>
  <c r="N205" i="1"/>
  <c r="M205" i="1"/>
  <c r="J205" i="1"/>
  <c r="O203" i="10"/>
  <c r="AA205" i="1"/>
  <c r="J203" i="10" s="1"/>
  <c r="K203" i="10"/>
  <c r="L205" i="1"/>
  <c r="AI205" i="1"/>
  <c r="N203" i="10" s="1"/>
  <c r="G205" i="1"/>
  <c r="G203" i="10"/>
  <c r="C203" i="10"/>
  <c r="Z205" i="1"/>
  <c r="AO205" i="1"/>
  <c r="A203" i="10"/>
  <c r="K205" i="1"/>
  <c r="S205" i="1"/>
  <c r="AN205" i="1"/>
  <c r="I203" i="10"/>
  <c r="AM205" i="1"/>
  <c r="E203" i="10"/>
  <c r="AF205" i="1"/>
  <c r="AG205" i="1" s="1"/>
  <c r="AH205" i="1" s="1"/>
  <c r="T205" i="1"/>
  <c r="R205" i="1"/>
  <c r="M203" i="10"/>
  <c r="W205" i="1" l="1"/>
  <c r="X205" i="1" s="1"/>
  <c r="Y205" i="1"/>
  <c r="D206" i="1"/>
  <c r="A207" i="1"/>
  <c r="C206" i="1"/>
  <c r="I206" i="1"/>
  <c r="P206" i="1" s="1"/>
  <c r="AL206" i="1"/>
  <c r="F204" i="10" s="1"/>
  <c r="B206" i="1"/>
  <c r="H206" i="1" s="1"/>
  <c r="F206" i="1"/>
  <c r="E206" i="1"/>
  <c r="AK206" i="1"/>
  <c r="B204" i="10" s="1"/>
  <c r="M206" i="1"/>
  <c r="V206" i="1"/>
  <c r="N206" i="1"/>
  <c r="L206" i="1"/>
  <c r="K206" i="1"/>
  <c r="AB206" i="1"/>
  <c r="AC206" i="1" s="1"/>
  <c r="AD206" i="1" s="1"/>
  <c r="G206" i="1"/>
  <c r="J206" i="1"/>
  <c r="O204" i="10"/>
  <c r="AA206" i="1"/>
  <c r="J204" i="10" s="1"/>
  <c r="K204" i="10"/>
  <c r="C204" i="10"/>
  <c r="AI206" i="1"/>
  <c r="N204" i="10" s="1"/>
  <c r="G204" i="10"/>
  <c r="AM206" i="1"/>
  <c r="Z206" i="1"/>
  <c r="A204" i="10"/>
  <c r="S206" i="1"/>
  <c r="AN206" i="1"/>
  <c r="I204" i="10"/>
  <c r="R206" i="1"/>
  <c r="E204" i="10"/>
  <c r="T206" i="1"/>
  <c r="M204" i="10"/>
  <c r="AO206" i="1"/>
  <c r="AF206" i="1"/>
  <c r="AG206" i="1" s="1"/>
  <c r="AH206" i="1" s="1"/>
  <c r="A208" i="1" l="1"/>
  <c r="C207" i="1"/>
  <c r="D207" i="1"/>
  <c r="I207" i="1"/>
  <c r="P207" i="1" s="1"/>
  <c r="B207" i="1"/>
  <c r="H207" i="1" s="1"/>
  <c r="AL207" i="1"/>
  <c r="F205" i="10" s="1"/>
  <c r="F207" i="1"/>
  <c r="E207" i="1"/>
  <c r="AK207" i="1"/>
  <c r="B205" i="10" s="1"/>
  <c r="N207" i="1"/>
  <c r="V207" i="1"/>
  <c r="L207" i="1"/>
  <c r="K207" i="1"/>
  <c r="AB207" i="1"/>
  <c r="AC207" i="1" s="1"/>
  <c r="AD207" i="1" s="1"/>
  <c r="M207" i="1"/>
  <c r="G207" i="1"/>
  <c r="AI207" i="1"/>
  <c r="N205" i="10" s="1"/>
  <c r="O205" i="10"/>
  <c r="C205" i="10"/>
  <c r="J207" i="1"/>
  <c r="K205" i="10"/>
  <c r="AA207" i="1"/>
  <c r="J205" i="10" s="1"/>
  <c r="S207" i="1"/>
  <c r="AN207" i="1"/>
  <c r="A205" i="10"/>
  <c r="R207" i="1"/>
  <c r="AM207" i="1"/>
  <c r="I205" i="10"/>
  <c r="G205" i="10"/>
  <c r="AF207" i="1"/>
  <c r="AG207" i="1" s="1"/>
  <c r="AH207" i="1" s="1"/>
  <c r="E205" i="10"/>
  <c r="AO207" i="1"/>
  <c r="Z207" i="1"/>
  <c r="T207" i="1"/>
  <c r="M205" i="10"/>
  <c r="Y206" i="1"/>
  <c r="W206" i="1"/>
  <c r="X206" i="1" s="1"/>
  <c r="W207" i="1" l="1"/>
  <c r="X207" i="1" s="1"/>
  <c r="Y207" i="1"/>
  <c r="D208" i="1"/>
  <c r="A209" i="1"/>
  <c r="C208" i="1"/>
  <c r="B208" i="1"/>
  <c r="H208" i="1" s="1"/>
  <c r="AL208" i="1"/>
  <c r="F206" i="10" s="1"/>
  <c r="F208" i="1"/>
  <c r="E208" i="1"/>
  <c r="I208" i="1"/>
  <c r="P208" i="1" s="1"/>
  <c r="AK208" i="1"/>
  <c r="B206" i="10" s="1"/>
  <c r="V208" i="1"/>
  <c r="N208" i="1"/>
  <c r="L208" i="1"/>
  <c r="K208" i="1"/>
  <c r="AB208" i="1"/>
  <c r="AC208" i="1" s="1"/>
  <c r="AD208" i="1" s="1"/>
  <c r="AI208" i="1"/>
  <c r="N206" i="10" s="1"/>
  <c r="M208" i="1"/>
  <c r="J208" i="1"/>
  <c r="O206" i="10"/>
  <c r="AA208" i="1"/>
  <c r="J206" i="10" s="1"/>
  <c r="K206" i="10"/>
  <c r="G206" i="10"/>
  <c r="S208" i="1"/>
  <c r="AO208" i="1"/>
  <c r="M206" i="10"/>
  <c r="AM208" i="1"/>
  <c r="Z208" i="1"/>
  <c r="A206" i="10"/>
  <c r="G208" i="1"/>
  <c r="AN208" i="1"/>
  <c r="I206" i="10"/>
  <c r="T208" i="1"/>
  <c r="E206" i="10"/>
  <c r="C206" i="10"/>
  <c r="AF208" i="1"/>
  <c r="AG208" i="1" s="1"/>
  <c r="AH208" i="1" s="1"/>
  <c r="R208" i="1"/>
  <c r="W208" i="1" l="1"/>
  <c r="X208" i="1" s="1"/>
  <c r="Y208" i="1"/>
  <c r="A210" i="1"/>
  <c r="D209" i="1"/>
  <c r="AL209" i="1"/>
  <c r="F207" i="10" s="1"/>
  <c r="B209" i="1"/>
  <c r="H209" i="1" s="1"/>
  <c r="C209" i="1"/>
  <c r="I209" i="1"/>
  <c r="P209" i="1" s="1"/>
  <c r="F209" i="1"/>
  <c r="E209" i="1"/>
  <c r="AK209" i="1"/>
  <c r="B207" i="10" s="1"/>
  <c r="AA209" i="1"/>
  <c r="J207" i="10" s="1"/>
  <c r="V209" i="1"/>
  <c r="M209" i="1"/>
  <c r="AB209" i="1"/>
  <c r="AC209" i="1" s="1"/>
  <c r="AD209" i="1" s="1"/>
  <c r="J209" i="1"/>
  <c r="O207" i="10"/>
  <c r="K207" i="10"/>
  <c r="AI209" i="1"/>
  <c r="N207" i="10" s="1"/>
  <c r="N209" i="1"/>
  <c r="K209" i="1"/>
  <c r="L209" i="1"/>
  <c r="G207" i="10"/>
  <c r="C207" i="10"/>
  <c r="Z209" i="1"/>
  <c r="AO209" i="1"/>
  <c r="E207" i="10"/>
  <c r="T209" i="1"/>
  <c r="AN209" i="1"/>
  <c r="M207" i="10"/>
  <c r="S209" i="1"/>
  <c r="A207" i="10"/>
  <c r="R209" i="1"/>
  <c r="I207" i="10"/>
  <c r="AF209" i="1"/>
  <c r="AG209" i="1" s="1"/>
  <c r="AH209" i="1" s="1"/>
  <c r="G209" i="1"/>
  <c r="AM209" i="1"/>
  <c r="D210" i="1" l="1"/>
  <c r="A211" i="1"/>
  <c r="C210" i="1"/>
  <c r="I210" i="1"/>
  <c r="P210" i="1" s="1"/>
  <c r="AL210" i="1"/>
  <c r="F208" i="10" s="1"/>
  <c r="B210" i="1"/>
  <c r="H210" i="1" s="1"/>
  <c r="E210" i="1"/>
  <c r="M210" i="1"/>
  <c r="AK210" i="1"/>
  <c r="B208" i="10" s="1"/>
  <c r="V210" i="1"/>
  <c r="N210" i="1"/>
  <c r="L210" i="1"/>
  <c r="K210" i="1"/>
  <c r="F210" i="1"/>
  <c r="J210" i="1"/>
  <c r="O208" i="10"/>
  <c r="AA210" i="1"/>
  <c r="J208" i="10" s="1"/>
  <c r="K208" i="10"/>
  <c r="C208" i="10"/>
  <c r="G208" i="10"/>
  <c r="AB210" i="1"/>
  <c r="AC210" i="1" s="1"/>
  <c r="AD210" i="1" s="1"/>
  <c r="AF210" i="1"/>
  <c r="AG210" i="1" s="1"/>
  <c r="AH210" i="1" s="1"/>
  <c r="G210" i="1"/>
  <c r="S210" i="1"/>
  <c r="I208" i="10"/>
  <c r="AM210" i="1"/>
  <c r="T210" i="1"/>
  <c r="E208" i="10"/>
  <c r="AN210" i="1"/>
  <c r="AI210" i="1"/>
  <c r="N208" i="10" s="1"/>
  <c r="Z210" i="1"/>
  <c r="M208" i="10"/>
  <c r="AO210" i="1"/>
  <c r="A208" i="10"/>
  <c r="R210" i="1"/>
  <c r="Y209" i="1"/>
  <c r="W209" i="1"/>
  <c r="X209" i="1" s="1"/>
  <c r="W210" i="1" l="1"/>
  <c r="X210" i="1" s="1"/>
  <c r="Y210" i="1"/>
  <c r="A212" i="1"/>
  <c r="D211" i="1"/>
  <c r="C211" i="1"/>
  <c r="I211" i="1"/>
  <c r="P211" i="1" s="1"/>
  <c r="B211" i="1"/>
  <c r="H211" i="1" s="1"/>
  <c r="AL211" i="1"/>
  <c r="F209" i="10" s="1"/>
  <c r="F211" i="1"/>
  <c r="E211" i="1"/>
  <c r="AK211" i="1"/>
  <c r="B209" i="10" s="1"/>
  <c r="N211" i="1"/>
  <c r="V211" i="1"/>
  <c r="L211" i="1"/>
  <c r="K211" i="1"/>
  <c r="AB211" i="1"/>
  <c r="AC211" i="1" s="1"/>
  <c r="AD211" i="1" s="1"/>
  <c r="AA211" i="1"/>
  <c r="J209" i="10" s="1"/>
  <c r="M211" i="1"/>
  <c r="AI211" i="1"/>
  <c r="N209" i="10" s="1"/>
  <c r="J211" i="1"/>
  <c r="K209" i="10"/>
  <c r="C209" i="10"/>
  <c r="T211" i="1"/>
  <c r="R211" i="1"/>
  <c r="A209" i="10"/>
  <c r="Z211" i="1"/>
  <c r="AM211" i="1"/>
  <c r="AO211" i="1"/>
  <c r="I209" i="10"/>
  <c r="O209" i="10"/>
  <c r="AN211" i="1"/>
  <c r="E209" i="10"/>
  <c r="AF211" i="1"/>
  <c r="AG211" i="1" s="1"/>
  <c r="AH211" i="1" s="1"/>
  <c r="G209" i="10"/>
  <c r="G211" i="1"/>
  <c r="M209" i="10"/>
  <c r="S211" i="1"/>
  <c r="D212" i="1" l="1"/>
  <c r="A213" i="1"/>
  <c r="C212" i="1"/>
  <c r="B212" i="1"/>
  <c r="H212" i="1" s="1"/>
  <c r="AL212" i="1"/>
  <c r="F210" i="10" s="1"/>
  <c r="F212" i="1"/>
  <c r="E212" i="1"/>
  <c r="I212" i="1"/>
  <c r="P212" i="1" s="1"/>
  <c r="AK212" i="1"/>
  <c r="B210" i="10" s="1"/>
  <c r="AB212" i="1"/>
  <c r="AC212" i="1" s="1"/>
  <c r="AD212" i="1" s="1"/>
  <c r="AA212" i="1"/>
  <c r="J210" i="10" s="1"/>
  <c r="L212" i="1"/>
  <c r="K212" i="1"/>
  <c r="N212" i="1"/>
  <c r="V212" i="1"/>
  <c r="AI212" i="1"/>
  <c r="N210" i="10" s="1"/>
  <c r="G212" i="1"/>
  <c r="J212" i="1"/>
  <c r="O210" i="10"/>
  <c r="K210" i="10"/>
  <c r="G210" i="10"/>
  <c r="C210" i="10"/>
  <c r="Z212" i="1"/>
  <c r="AM212" i="1"/>
  <c r="A210" i="10"/>
  <c r="T212" i="1"/>
  <c r="AO212" i="1"/>
  <c r="I210" i="10"/>
  <c r="M212" i="1"/>
  <c r="AF212" i="1"/>
  <c r="AG212" i="1" s="1"/>
  <c r="AH212" i="1" s="1"/>
  <c r="AN212" i="1"/>
  <c r="E210" i="10"/>
  <c r="R212" i="1"/>
  <c r="M210" i="10"/>
  <c r="S212" i="1"/>
  <c r="Y211" i="1"/>
  <c r="W211" i="1"/>
  <c r="X211" i="1" s="1"/>
  <c r="A214" i="1" l="1"/>
  <c r="D213" i="1"/>
  <c r="C213" i="1"/>
  <c r="AL213" i="1"/>
  <c r="F211" i="10" s="1"/>
  <c r="B213" i="1"/>
  <c r="H213" i="1" s="1"/>
  <c r="I213" i="1"/>
  <c r="P213" i="1" s="1"/>
  <c r="F213" i="1"/>
  <c r="E213" i="1"/>
  <c r="AK213" i="1"/>
  <c r="B211" i="10" s="1"/>
  <c r="AA213" i="1"/>
  <c r="J211" i="10" s="1"/>
  <c r="AB213" i="1"/>
  <c r="AC213" i="1" s="1"/>
  <c r="AD213" i="1" s="1"/>
  <c r="M213" i="1"/>
  <c r="N213" i="1"/>
  <c r="K213" i="1"/>
  <c r="J213" i="1"/>
  <c r="O211" i="10"/>
  <c r="K211" i="10"/>
  <c r="AI213" i="1"/>
  <c r="N211" i="10" s="1"/>
  <c r="V213" i="1"/>
  <c r="L213" i="1"/>
  <c r="G211" i="10"/>
  <c r="C211" i="10"/>
  <c r="AF213" i="1"/>
  <c r="AG213" i="1" s="1"/>
  <c r="AH213" i="1" s="1"/>
  <c r="T213" i="1"/>
  <c r="E211" i="10"/>
  <c r="AN213" i="1"/>
  <c r="M211" i="10"/>
  <c r="AM213" i="1"/>
  <c r="S213" i="1"/>
  <c r="Z213" i="1"/>
  <c r="R213" i="1"/>
  <c r="G213" i="1"/>
  <c r="AO213" i="1"/>
  <c r="I211" i="10"/>
  <c r="A211" i="10"/>
  <c r="W212" i="1"/>
  <c r="X212" i="1" s="1"/>
  <c r="Y212" i="1"/>
  <c r="W213" i="1" l="1"/>
  <c r="X213" i="1" s="1"/>
  <c r="Y213" i="1"/>
  <c r="D214" i="1"/>
  <c r="A215" i="1"/>
  <c r="C214" i="1"/>
  <c r="I214" i="1"/>
  <c r="P214" i="1" s="1"/>
  <c r="AL214" i="1"/>
  <c r="F212" i="10" s="1"/>
  <c r="B214" i="1"/>
  <c r="H214" i="1" s="1"/>
  <c r="E214" i="1"/>
  <c r="F214" i="1"/>
  <c r="V214" i="1"/>
  <c r="M214" i="1"/>
  <c r="G214" i="1"/>
  <c r="AB214" i="1"/>
  <c r="AC214" i="1" s="1"/>
  <c r="AD214" i="1" s="1"/>
  <c r="N214" i="1"/>
  <c r="L214" i="1"/>
  <c r="K214" i="1"/>
  <c r="J214" i="1"/>
  <c r="O212" i="10"/>
  <c r="AA214" i="1"/>
  <c r="J212" i="10" s="1"/>
  <c r="K212" i="10"/>
  <c r="AK214" i="1"/>
  <c r="B212" i="10" s="1"/>
  <c r="C212" i="10"/>
  <c r="G212" i="10"/>
  <c r="AI214" i="1"/>
  <c r="N212" i="10" s="1"/>
  <c r="R214" i="1"/>
  <c r="T214" i="1"/>
  <c r="E212" i="10"/>
  <c r="Z214" i="1"/>
  <c r="S214" i="1"/>
  <c r="M212" i="10"/>
  <c r="AF214" i="1"/>
  <c r="AG214" i="1" s="1"/>
  <c r="AH214" i="1" s="1"/>
  <c r="A212" i="10"/>
  <c r="AO214" i="1"/>
  <c r="I212" i="10"/>
  <c r="AM214" i="1"/>
  <c r="AN214" i="1"/>
  <c r="A216" i="1" l="1"/>
  <c r="C215" i="1"/>
  <c r="I215" i="1"/>
  <c r="P215" i="1" s="1"/>
  <c r="B215" i="1"/>
  <c r="H215" i="1" s="1"/>
  <c r="D215" i="1"/>
  <c r="F215" i="1"/>
  <c r="E215" i="1"/>
  <c r="AL215" i="1"/>
  <c r="F213" i="10" s="1"/>
  <c r="AK215" i="1"/>
  <c r="B213" i="10" s="1"/>
  <c r="L215" i="1"/>
  <c r="K215" i="1"/>
  <c r="V215" i="1"/>
  <c r="M215" i="1"/>
  <c r="AB215" i="1"/>
  <c r="AC215" i="1" s="1"/>
  <c r="AD215" i="1" s="1"/>
  <c r="AI215" i="1"/>
  <c r="N213" i="10" s="1"/>
  <c r="N215" i="1"/>
  <c r="AA215" i="1"/>
  <c r="J213" i="10" s="1"/>
  <c r="J215" i="1"/>
  <c r="K213" i="10"/>
  <c r="C213" i="10"/>
  <c r="O213" i="10"/>
  <c r="G213" i="10"/>
  <c r="AO215" i="1"/>
  <c r="S215" i="1"/>
  <c r="R215" i="1"/>
  <c r="I213" i="10"/>
  <c r="G215" i="1"/>
  <c r="AF215" i="1"/>
  <c r="AG215" i="1" s="1"/>
  <c r="AH215" i="1" s="1"/>
  <c r="E213" i="10"/>
  <c r="Z215" i="1"/>
  <c r="M213" i="10"/>
  <c r="AN215" i="1"/>
  <c r="T215" i="1"/>
  <c r="AM215" i="1"/>
  <c r="A213" i="10"/>
  <c r="W214" i="1"/>
  <c r="X214" i="1" s="1"/>
  <c r="Y214" i="1"/>
  <c r="W215" i="1" l="1"/>
  <c r="X215" i="1" s="1"/>
  <c r="Y215" i="1"/>
  <c r="D216" i="1"/>
  <c r="A217" i="1"/>
  <c r="C216" i="1"/>
  <c r="B216" i="1"/>
  <c r="H216" i="1" s="1"/>
  <c r="AL216" i="1"/>
  <c r="F214" i="10" s="1"/>
  <c r="I216" i="1"/>
  <c r="P216" i="1" s="1"/>
  <c r="F216" i="1"/>
  <c r="E216" i="1"/>
  <c r="AK216" i="1"/>
  <c r="B214" i="10" s="1"/>
  <c r="N216" i="1"/>
  <c r="AB216" i="1"/>
  <c r="AC216" i="1" s="1"/>
  <c r="AD216" i="1" s="1"/>
  <c r="AA216" i="1"/>
  <c r="J214" i="10" s="1"/>
  <c r="L216" i="1"/>
  <c r="K216" i="1"/>
  <c r="G216" i="1"/>
  <c r="V216" i="1"/>
  <c r="AI216" i="1"/>
  <c r="N214" i="10" s="1"/>
  <c r="M216" i="1"/>
  <c r="J216" i="1"/>
  <c r="O214" i="10"/>
  <c r="K214" i="10"/>
  <c r="G214" i="10"/>
  <c r="Z216" i="1"/>
  <c r="AM216" i="1"/>
  <c r="I214" i="10"/>
  <c r="C214" i="10"/>
  <c r="AN216" i="1"/>
  <c r="AO216" i="1"/>
  <c r="E214" i="10"/>
  <c r="R216" i="1"/>
  <c r="M214" i="10"/>
  <c r="AF216" i="1"/>
  <c r="AG216" i="1" s="1"/>
  <c r="AH216" i="1" s="1"/>
  <c r="A214" i="10"/>
  <c r="S216" i="1"/>
  <c r="T216" i="1"/>
  <c r="A218" i="1" l="1"/>
  <c r="D217" i="1"/>
  <c r="AL217" i="1"/>
  <c r="F215" i="10" s="1"/>
  <c r="C217" i="1"/>
  <c r="B217" i="1"/>
  <c r="H217" i="1" s="1"/>
  <c r="I217" i="1"/>
  <c r="P217" i="1" s="1"/>
  <c r="F217" i="1"/>
  <c r="E217" i="1"/>
  <c r="AK217" i="1"/>
  <c r="B215" i="10" s="1"/>
  <c r="V217" i="1"/>
  <c r="AB217" i="1"/>
  <c r="AC217" i="1" s="1"/>
  <c r="AD217" i="1" s="1"/>
  <c r="N217" i="1"/>
  <c r="M217" i="1"/>
  <c r="L217" i="1"/>
  <c r="J217" i="1"/>
  <c r="O215" i="10"/>
  <c r="AA217" i="1"/>
  <c r="J215" i="10" s="1"/>
  <c r="K215" i="10"/>
  <c r="K217" i="1"/>
  <c r="AI217" i="1"/>
  <c r="N215" i="10" s="1"/>
  <c r="G217" i="1"/>
  <c r="G215" i="10"/>
  <c r="C215" i="10"/>
  <c r="R217" i="1"/>
  <c r="AM217" i="1"/>
  <c r="I215" i="10"/>
  <c r="Z217" i="1"/>
  <c r="AF217" i="1"/>
  <c r="AG217" i="1" s="1"/>
  <c r="AH217" i="1" s="1"/>
  <c r="E215" i="10"/>
  <c r="AO217" i="1"/>
  <c r="M215" i="10"/>
  <c r="AN217" i="1"/>
  <c r="T217" i="1"/>
  <c r="S217" i="1"/>
  <c r="A215" i="10"/>
  <c r="W216" i="1"/>
  <c r="X216" i="1" s="1"/>
  <c r="Y216" i="1"/>
  <c r="W217" i="1" l="1"/>
  <c r="X217" i="1" s="1"/>
  <c r="Y217" i="1"/>
  <c r="D218" i="1"/>
  <c r="A219" i="1"/>
  <c r="C218" i="1"/>
  <c r="I218" i="1"/>
  <c r="P218" i="1" s="1"/>
  <c r="AL218" i="1"/>
  <c r="F216" i="10" s="1"/>
  <c r="B218" i="1"/>
  <c r="H218" i="1" s="1"/>
  <c r="F218" i="1"/>
  <c r="E218" i="1"/>
  <c r="V218" i="1"/>
  <c r="M218" i="1"/>
  <c r="AB218" i="1"/>
  <c r="AC218" i="1" s="1"/>
  <c r="AD218" i="1" s="1"/>
  <c r="AK218" i="1"/>
  <c r="B216" i="10" s="1"/>
  <c r="N218" i="1"/>
  <c r="L218" i="1"/>
  <c r="K218" i="1"/>
  <c r="G218" i="1"/>
  <c r="AA218" i="1"/>
  <c r="J216" i="10" s="1"/>
  <c r="J218" i="1"/>
  <c r="O216" i="10"/>
  <c r="AI218" i="1"/>
  <c r="N216" i="10" s="1"/>
  <c r="C216" i="10"/>
  <c r="G216" i="10"/>
  <c r="R218" i="1"/>
  <c r="AO218" i="1"/>
  <c r="I216" i="10"/>
  <c r="K216" i="10"/>
  <c r="Z218" i="1"/>
  <c r="AF218" i="1"/>
  <c r="AG218" i="1" s="1"/>
  <c r="AH218" i="1" s="1"/>
  <c r="E216" i="10"/>
  <c r="T218" i="1"/>
  <c r="M216" i="10"/>
  <c r="S218" i="1"/>
  <c r="A216" i="10"/>
  <c r="AM218" i="1"/>
  <c r="AN218" i="1"/>
  <c r="W218" i="1" l="1"/>
  <c r="X218" i="1" s="1"/>
  <c r="Y218" i="1"/>
  <c r="A220" i="1"/>
  <c r="D219" i="1"/>
  <c r="C219" i="1"/>
  <c r="I219" i="1"/>
  <c r="P219" i="1" s="1"/>
  <c r="B219" i="1"/>
  <c r="H219" i="1" s="1"/>
  <c r="AL219" i="1"/>
  <c r="F217" i="10" s="1"/>
  <c r="F219" i="1"/>
  <c r="E219" i="1"/>
  <c r="AK219" i="1"/>
  <c r="B217" i="10" s="1"/>
  <c r="V219" i="1"/>
  <c r="L219" i="1"/>
  <c r="K219" i="1"/>
  <c r="AB219" i="1"/>
  <c r="AC219" i="1" s="1"/>
  <c r="AD219" i="1" s="1"/>
  <c r="M219" i="1"/>
  <c r="N219" i="1"/>
  <c r="AI219" i="1"/>
  <c r="N217" i="10" s="1"/>
  <c r="O217" i="10"/>
  <c r="AA219" i="1"/>
  <c r="J217" i="10" s="1"/>
  <c r="C217" i="10"/>
  <c r="K217" i="10"/>
  <c r="J219" i="1"/>
  <c r="S219" i="1"/>
  <c r="AF219" i="1"/>
  <c r="AG219" i="1" s="1"/>
  <c r="AH219" i="1" s="1"/>
  <c r="A217" i="10"/>
  <c r="G217" i="10"/>
  <c r="Z219" i="1"/>
  <c r="R219" i="1"/>
  <c r="AO219" i="1"/>
  <c r="I217" i="10"/>
  <c r="AN219" i="1"/>
  <c r="E217" i="10"/>
  <c r="AM219" i="1"/>
  <c r="G219" i="1"/>
  <c r="T219" i="1"/>
  <c r="M217" i="10"/>
  <c r="W219" i="1" l="1"/>
  <c r="X219" i="1" s="1"/>
  <c r="Y219" i="1"/>
  <c r="D220" i="1"/>
  <c r="A221" i="1"/>
  <c r="C220" i="1"/>
  <c r="B220" i="1"/>
  <c r="H220" i="1" s="1"/>
  <c r="AL220" i="1"/>
  <c r="F218" i="10" s="1"/>
  <c r="F220" i="1"/>
  <c r="E220" i="1"/>
  <c r="I220" i="1"/>
  <c r="P220" i="1" s="1"/>
  <c r="AK220" i="1"/>
  <c r="B218" i="10" s="1"/>
  <c r="V220" i="1"/>
  <c r="AB220" i="1"/>
  <c r="AC220" i="1" s="1"/>
  <c r="AD220" i="1" s="1"/>
  <c r="L220" i="1"/>
  <c r="K220" i="1"/>
  <c r="G220" i="1"/>
  <c r="M220" i="1"/>
  <c r="AI220" i="1"/>
  <c r="N218" i="10" s="1"/>
  <c r="J220" i="1"/>
  <c r="O218" i="10"/>
  <c r="K218" i="10"/>
  <c r="AA220" i="1"/>
  <c r="J218" i="10" s="1"/>
  <c r="G218" i="10"/>
  <c r="N220" i="1"/>
  <c r="AF220" i="1"/>
  <c r="AG220" i="1" s="1"/>
  <c r="AH220" i="1" s="1"/>
  <c r="M218" i="10"/>
  <c r="AM220" i="1"/>
  <c r="AO220" i="1"/>
  <c r="A218" i="10"/>
  <c r="C218" i="10"/>
  <c r="Z220" i="1"/>
  <c r="T220" i="1"/>
  <c r="AN220" i="1"/>
  <c r="E218" i="10"/>
  <c r="S220" i="1"/>
  <c r="R220" i="1"/>
  <c r="I218" i="10"/>
  <c r="Y220" i="1" l="1"/>
  <c r="W220" i="1"/>
  <c r="X220" i="1" s="1"/>
  <c r="A222" i="1"/>
  <c r="D221" i="1"/>
  <c r="AL221" i="1"/>
  <c r="F219" i="10" s="1"/>
  <c r="B221" i="1"/>
  <c r="H221" i="1" s="1"/>
  <c r="I221" i="1"/>
  <c r="P221" i="1" s="1"/>
  <c r="C221" i="1"/>
  <c r="F221" i="1"/>
  <c r="E221" i="1"/>
  <c r="AK221" i="1"/>
  <c r="B219" i="10" s="1"/>
  <c r="G221" i="1"/>
  <c r="N221" i="1"/>
  <c r="AB221" i="1"/>
  <c r="AC221" i="1" s="1"/>
  <c r="AD221" i="1" s="1"/>
  <c r="M221" i="1"/>
  <c r="J221" i="1"/>
  <c r="O219" i="10"/>
  <c r="L221" i="1"/>
  <c r="AI221" i="1"/>
  <c r="N219" i="10" s="1"/>
  <c r="V221" i="1"/>
  <c r="AA221" i="1"/>
  <c r="J219" i="10" s="1"/>
  <c r="G219" i="10"/>
  <c r="K219" i="10"/>
  <c r="K221" i="1"/>
  <c r="C219" i="10"/>
  <c r="R221" i="1"/>
  <c r="T221" i="1"/>
  <c r="M219" i="10"/>
  <c r="AF221" i="1"/>
  <c r="AG221" i="1" s="1"/>
  <c r="AH221" i="1" s="1"/>
  <c r="AN221" i="1"/>
  <c r="A219" i="10"/>
  <c r="Z221" i="1"/>
  <c r="I219" i="10"/>
  <c r="S221" i="1"/>
  <c r="AO221" i="1"/>
  <c r="AM221" i="1"/>
  <c r="E219" i="10"/>
  <c r="W221" i="1" l="1"/>
  <c r="X221" i="1" s="1"/>
  <c r="Y221" i="1"/>
  <c r="D222" i="1"/>
  <c r="A223" i="1"/>
  <c r="C222" i="1"/>
  <c r="I222" i="1"/>
  <c r="P222" i="1" s="1"/>
  <c r="AL222" i="1"/>
  <c r="F220" i="10" s="1"/>
  <c r="B222" i="1"/>
  <c r="H222" i="1" s="1"/>
  <c r="F222" i="1"/>
  <c r="AK222" i="1"/>
  <c r="B220" i="10" s="1"/>
  <c r="V222" i="1"/>
  <c r="M222" i="1"/>
  <c r="E222" i="1"/>
  <c r="AB222" i="1"/>
  <c r="AC222" i="1" s="1"/>
  <c r="AD222" i="1" s="1"/>
  <c r="N222" i="1"/>
  <c r="L222" i="1"/>
  <c r="K222" i="1"/>
  <c r="G222" i="1"/>
  <c r="AA222" i="1"/>
  <c r="J220" i="10" s="1"/>
  <c r="J222" i="1"/>
  <c r="O220" i="10"/>
  <c r="C220" i="10"/>
  <c r="AI222" i="1"/>
  <c r="N220" i="10" s="1"/>
  <c r="G220" i="10"/>
  <c r="T222" i="1"/>
  <c r="AM222" i="1"/>
  <c r="M220" i="10"/>
  <c r="S222" i="1"/>
  <c r="AF222" i="1"/>
  <c r="AG222" i="1" s="1"/>
  <c r="AH222" i="1" s="1"/>
  <c r="A220" i="10"/>
  <c r="K220" i="10"/>
  <c r="AO222" i="1"/>
  <c r="R222" i="1"/>
  <c r="Z222" i="1"/>
  <c r="E220" i="10"/>
  <c r="I220" i="10"/>
  <c r="AN222" i="1"/>
  <c r="A224" i="1" l="1"/>
  <c r="C223" i="1"/>
  <c r="I223" i="1"/>
  <c r="P223" i="1" s="1"/>
  <c r="D223" i="1"/>
  <c r="B223" i="1"/>
  <c r="H223" i="1" s="1"/>
  <c r="AL223" i="1"/>
  <c r="F221" i="10" s="1"/>
  <c r="F223" i="1"/>
  <c r="E223" i="1"/>
  <c r="AK223" i="1"/>
  <c r="B221" i="10" s="1"/>
  <c r="AA223" i="1"/>
  <c r="J221" i="10" s="1"/>
  <c r="L223" i="1"/>
  <c r="K223" i="1"/>
  <c r="M223" i="1"/>
  <c r="AB223" i="1"/>
  <c r="AC223" i="1" s="1"/>
  <c r="AD223" i="1" s="1"/>
  <c r="V223" i="1"/>
  <c r="AI223" i="1"/>
  <c r="N221" i="10" s="1"/>
  <c r="O221" i="10"/>
  <c r="C221" i="10"/>
  <c r="J223" i="1"/>
  <c r="K221" i="10"/>
  <c r="G223" i="1"/>
  <c r="R223" i="1"/>
  <c r="AO223" i="1"/>
  <c r="I221" i="10"/>
  <c r="N223" i="1"/>
  <c r="AF223" i="1"/>
  <c r="AG223" i="1" s="1"/>
  <c r="AH223" i="1" s="1"/>
  <c r="E221" i="10"/>
  <c r="T223" i="1"/>
  <c r="M221" i="10"/>
  <c r="S223" i="1"/>
  <c r="A221" i="10"/>
  <c r="Z223" i="1"/>
  <c r="AM223" i="1"/>
  <c r="G221" i="10"/>
  <c r="AN223" i="1"/>
  <c r="W222" i="1"/>
  <c r="X222" i="1" s="1"/>
  <c r="Y222" i="1"/>
  <c r="W223" i="1" l="1"/>
  <c r="X223" i="1" s="1"/>
  <c r="Y223" i="1"/>
  <c r="D224" i="1"/>
  <c r="A225" i="1"/>
  <c r="C224" i="1"/>
  <c r="B224" i="1"/>
  <c r="H224" i="1" s="1"/>
  <c r="AL224" i="1"/>
  <c r="F222" i="10" s="1"/>
  <c r="F224" i="1"/>
  <c r="E224" i="1"/>
  <c r="AK224" i="1"/>
  <c r="B222" i="10" s="1"/>
  <c r="I224" i="1"/>
  <c r="P224" i="1" s="1"/>
  <c r="V224" i="1"/>
  <c r="L224" i="1"/>
  <c r="K224" i="1"/>
  <c r="AI224" i="1"/>
  <c r="N222" i="10" s="1"/>
  <c r="M224" i="1"/>
  <c r="AA224" i="1"/>
  <c r="J222" i="10" s="1"/>
  <c r="J224" i="1"/>
  <c r="O222" i="10"/>
  <c r="K222" i="10"/>
  <c r="G222" i="10"/>
  <c r="S224" i="1"/>
  <c r="AN224" i="1"/>
  <c r="M222" i="10"/>
  <c r="AB224" i="1"/>
  <c r="AC224" i="1" s="1"/>
  <c r="AD224" i="1" s="1"/>
  <c r="G224" i="1"/>
  <c r="R224" i="1"/>
  <c r="AM224" i="1"/>
  <c r="A222" i="10"/>
  <c r="N224" i="1"/>
  <c r="I222" i="10"/>
  <c r="Z224" i="1"/>
  <c r="C222" i="10"/>
  <c r="AF224" i="1"/>
  <c r="AG224" i="1" s="1"/>
  <c r="AH224" i="1" s="1"/>
  <c r="AO224" i="1"/>
  <c r="T224" i="1"/>
  <c r="E222" i="10"/>
  <c r="Y224" i="1" l="1"/>
  <c r="W224" i="1"/>
  <c r="X224" i="1" s="1"/>
  <c r="A226" i="1"/>
  <c r="D225" i="1"/>
  <c r="AL225" i="1"/>
  <c r="F223" i="10" s="1"/>
  <c r="B225" i="1"/>
  <c r="H225" i="1" s="1"/>
  <c r="C225" i="1"/>
  <c r="I225" i="1"/>
  <c r="P225" i="1" s="1"/>
  <c r="F225" i="1"/>
  <c r="E225" i="1"/>
  <c r="AK225" i="1"/>
  <c r="B223" i="10" s="1"/>
  <c r="AA225" i="1"/>
  <c r="J223" i="10" s="1"/>
  <c r="V225" i="1"/>
  <c r="AB225" i="1"/>
  <c r="AC225" i="1" s="1"/>
  <c r="AD225" i="1" s="1"/>
  <c r="M225" i="1"/>
  <c r="J225" i="1"/>
  <c r="O223" i="10"/>
  <c r="AI225" i="1"/>
  <c r="N223" i="10" s="1"/>
  <c r="K225" i="1"/>
  <c r="G223" i="10"/>
  <c r="L225" i="1"/>
  <c r="K223" i="10"/>
  <c r="C223" i="10"/>
  <c r="S225" i="1"/>
  <c r="AF225" i="1"/>
  <c r="AG225" i="1" s="1"/>
  <c r="AH225" i="1" s="1"/>
  <c r="AN225" i="1"/>
  <c r="I223" i="10"/>
  <c r="Z225" i="1"/>
  <c r="AO225" i="1"/>
  <c r="E223" i="10"/>
  <c r="R225" i="1"/>
  <c r="M223" i="10"/>
  <c r="G225" i="1"/>
  <c r="N225" i="1"/>
  <c r="T225" i="1"/>
  <c r="A223" i="10"/>
  <c r="AM225" i="1"/>
  <c r="D226" i="1" l="1"/>
  <c r="A227" i="1"/>
  <c r="C226" i="1"/>
  <c r="I226" i="1"/>
  <c r="P226" i="1" s="1"/>
  <c r="AL226" i="1"/>
  <c r="F224" i="10" s="1"/>
  <c r="E226" i="1"/>
  <c r="B226" i="1"/>
  <c r="H226" i="1" s="1"/>
  <c r="M226" i="1"/>
  <c r="AK226" i="1"/>
  <c r="B224" i="10" s="1"/>
  <c r="G226" i="1"/>
  <c r="V226" i="1"/>
  <c r="F226" i="1"/>
  <c r="L226" i="1"/>
  <c r="K226" i="1"/>
  <c r="AB226" i="1"/>
  <c r="AC226" i="1" s="1"/>
  <c r="AD226" i="1" s="1"/>
  <c r="J226" i="1"/>
  <c r="O224" i="10"/>
  <c r="AA226" i="1"/>
  <c r="J224" i="10" s="1"/>
  <c r="C224" i="10"/>
  <c r="G224" i="10"/>
  <c r="AI226" i="1"/>
  <c r="N224" i="10" s="1"/>
  <c r="N226" i="1"/>
  <c r="T226" i="1"/>
  <c r="A224" i="10"/>
  <c r="S226" i="1"/>
  <c r="AF226" i="1"/>
  <c r="AG226" i="1" s="1"/>
  <c r="AH226" i="1" s="1"/>
  <c r="AN226" i="1"/>
  <c r="I224" i="10"/>
  <c r="AM226" i="1"/>
  <c r="E224" i="10"/>
  <c r="K224" i="10"/>
  <c r="R226" i="1"/>
  <c r="M224" i="10"/>
  <c r="AO226" i="1"/>
  <c r="Z226" i="1"/>
  <c r="Y225" i="1"/>
  <c r="W225" i="1"/>
  <c r="X225" i="1" s="1"/>
  <c r="W226" i="1" l="1"/>
  <c r="X226" i="1" s="1"/>
  <c r="Y226" i="1"/>
  <c r="A228" i="1"/>
  <c r="D227" i="1"/>
  <c r="C227" i="1"/>
  <c r="I227" i="1"/>
  <c r="P227" i="1" s="1"/>
  <c r="B227" i="1"/>
  <c r="H227" i="1" s="1"/>
  <c r="AL227" i="1"/>
  <c r="F225" i="10" s="1"/>
  <c r="F227" i="1"/>
  <c r="E227" i="1"/>
  <c r="AK227" i="1"/>
  <c r="B225" i="10" s="1"/>
  <c r="L227" i="1"/>
  <c r="K227" i="1"/>
  <c r="V227" i="1"/>
  <c r="M227" i="1"/>
  <c r="AB227" i="1"/>
  <c r="AC227" i="1" s="1"/>
  <c r="AD227" i="1" s="1"/>
  <c r="AA227" i="1"/>
  <c r="J225" i="10" s="1"/>
  <c r="G227" i="1"/>
  <c r="AI227" i="1"/>
  <c r="N225" i="10" s="1"/>
  <c r="J227" i="1"/>
  <c r="C225" i="10"/>
  <c r="K225" i="10"/>
  <c r="AO227" i="1"/>
  <c r="T227" i="1"/>
  <c r="M225" i="10"/>
  <c r="Z227" i="1"/>
  <c r="AM227" i="1"/>
  <c r="A225" i="10"/>
  <c r="AN227" i="1"/>
  <c r="I225" i="10"/>
  <c r="R227" i="1"/>
  <c r="O225" i="10"/>
  <c r="N227" i="1"/>
  <c r="S227" i="1"/>
  <c r="G225" i="10"/>
  <c r="AF227" i="1"/>
  <c r="AG227" i="1" s="1"/>
  <c r="AH227" i="1" s="1"/>
  <c r="E225" i="10"/>
  <c r="D228" i="1" l="1"/>
  <c r="A229" i="1"/>
  <c r="C228" i="1"/>
  <c r="B228" i="1"/>
  <c r="H228" i="1" s="1"/>
  <c r="AL228" i="1"/>
  <c r="F226" i="10" s="1"/>
  <c r="F228" i="1"/>
  <c r="E228" i="1"/>
  <c r="I228" i="1"/>
  <c r="P228" i="1" s="1"/>
  <c r="AK228" i="1"/>
  <c r="B226" i="10" s="1"/>
  <c r="G228" i="1"/>
  <c r="L228" i="1"/>
  <c r="K228" i="1"/>
  <c r="V228" i="1"/>
  <c r="AI228" i="1"/>
  <c r="N226" i="10" s="1"/>
  <c r="AB228" i="1"/>
  <c r="AC228" i="1" s="1"/>
  <c r="AD228" i="1" s="1"/>
  <c r="AA228" i="1"/>
  <c r="J226" i="10" s="1"/>
  <c r="J228" i="1"/>
  <c r="O226" i="10"/>
  <c r="K226" i="10"/>
  <c r="M228" i="1"/>
  <c r="G226" i="10"/>
  <c r="C226" i="10"/>
  <c r="Z228" i="1"/>
  <c r="AO228" i="1"/>
  <c r="E226" i="10"/>
  <c r="AM228" i="1"/>
  <c r="R228" i="1"/>
  <c r="M226" i="10"/>
  <c r="AN228" i="1"/>
  <c r="T228" i="1"/>
  <c r="AF228" i="1"/>
  <c r="AG228" i="1" s="1"/>
  <c r="AH228" i="1" s="1"/>
  <c r="N228" i="1"/>
  <c r="S228" i="1"/>
  <c r="I226" i="10"/>
  <c r="A226" i="10"/>
  <c r="W227" i="1"/>
  <c r="X227" i="1" s="1"/>
  <c r="Y227" i="1"/>
  <c r="W228" i="1" l="1"/>
  <c r="X228" i="1" s="1"/>
  <c r="Y228" i="1"/>
  <c r="A230" i="1"/>
  <c r="D229" i="1"/>
  <c r="C229" i="1"/>
  <c r="AL229" i="1"/>
  <c r="F227" i="10" s="1"/>
  <c r="B229" i="1"/>
  <c r="H229" i="1" s="1"/>
  <c r="I229" i="1"/>
  <c r="P229" i="1" s="1"/>
  <c r="F229" i="1"/>
  <c r="E229" i="1"/>
  <c r="AK229" i="1"/>
  <c r="B227" i="10" s="1"/>
  <c r="N229" i="1"/>
  <c r="V229" i="1"/>
  <c r="M229" i="1"/>
  <c r="K229" i="1"/>
  <c r="J229" i="1"/>
  <c r="O227" i="10"/>
  <c r="AI229" i="1"/>
  <c r="N227" i="10" s="1"/>
  <c r="L229" i="1"/>
  <c r="G227" i="10"/>
  <c r="K227" i="10"/>
  <c r="AB229" i="1"/>
  <c r="AC229" i="1" s="1"/>
  <c r="AD229" i="1" s="1"/>
  <c r="AA229" i="1"/>
  <c r="J227" i="10" s="1"/>
  <c r="C227" i="10"/>
  <c r="S229" i="1"/>
  <c r="T229" i="1"/>
  <c r="AM229" i="1"/>
  <c r="I227" i="10"/>
  <c r="R229" i="1"/>
  <c r="AF229" i="1"/>
  <c r="AG229" i="1" s="1"/>
  <c r="AH229" i="1" s="1"/>
  <c r="E227" i="10"/>
  <c r="Z229" i="1"/>
  <c r="M227" i="10"/>
  <c r="G229" i="1"/>
  <c r="A227" i="10"/>
  <c r="AO229" i="1"/>
  <c r="AN229" i="1"/>
  <c r="D230" i="1" l="1"/>
  <c r="A231" i="1"/>
  <c r="C230" i="1"/>
  <c r="I230" i="1"/>
  <c r="P230" i="1" s="1"/>
  <c r="AL230" i="1"/>
  <c r="F228" i="10" s="1"/>
  <c r="B230" i="1"/>
  <c r="H230" i="1" s="1"/>
  <c r="E230" i="1"/>
  <c r="F230" i="1"/>
  <c r="N230" i="1"/>
  <c r="M230" i="1"/>
  <c r="G230" i="1"/>
  <c r="AB230" i="1"/>
  <c r="AC230" i="1" s="1"/>
  <c r="AD230" i="1" s="1"/>
  <c r="L230" i="1"/>
  <c r="K230" i="1"/>
  <c r="AK230" i="1"/>
  <c r="B228" i="10" s="1"/>
  <c r="J230" i="1"/>
  <c r="O228" i="10"/>
  <c r="V230" i="1"/>
  <c r="AA230" i="1"/>
  <c r="J228" i="10" s="1"/>
  <c r="C228" i="10"/>
  <c r="G228" i="10"/>
  <c r="AI230" i="1"/>
  <c r="N228" i="10" s="1"/>
  <c r="K228" i="10"/>
  <c r="T230" i="1"/>
  <c r="AO230" i="1"/>
  <c r="I228" i="10"/>
  <c r="AF230" i="1"/>
  <c r="AG230" i="1" s="1"/>
  <c r="AH230" i="1" s="1"/>
  <c r="AM230" i="1"/>
  <c r="E228" i="10"/>
  <c r="S230" i="1"/>
  <c r="Z230" i="1"/>
  <c r="R230" i="1"/>
  <c r="AN230" i="1"/>
  <c r="A228" i="10"/>
  <c r="M228" i="10"/>
  <c r="Y229" i="1"/>
  <c r="W229" i="1"/>
  <c r="X229" i="1" s="1"/>
  <c r="W230" i="1" l="1"/>
  <c r="X230" i="1" s="1"/>
  <c r="Y230" i="1"/>
  <c r="A232" i="1"/>
  <c r="C231" i="1"/>
  <c r="D231" i="1"/>
  <c r="I231" i="1"/>
  <c r="P231" i="1" s="1"/>
  <c r="B231" i="1"/>
  <c r="H231" i="1" s="1"/>
  <c r="F231" i="1"/>
  <c r="E231" i="1"/>
  <c r="AL231" i="1"/>
  <c r="F229" i="10" s="1"/>
  <c r="AK231" i="1"/>
  <c r="B229" i="10" s="1"/>
  <c r="N231" i="1"/>
  <c r="L231" i="1"/>
  <c r="K231" i="1"/>
  <c r="G231" i="1"/>
  <c r="V231" i="1"/>
  <c r="M231" i="1"/>
  <c r="AB231" i="1"/>
  <c r="AC231" i="1" s="1"/>
  <c r="AD231" i="1" s="1"/>
  <c r="AA231" i="1"/>
  <c r="J229" i="10" s="1"/>
  <c r="AI231" i="1"/>
  <c r="N229" i="10" s="1"/>
  <c r="J231" i="1"/>
  <c r="C229" i="10"/>
  <c r="O229" i="10"/>
  <c r="K229" i="10"/>
  <c r="G229" i="10"/>
  <c r="T231" i="1"/>
  <c r="AO231" i="1"/>
  <c r="I229" i="10"/>
  <c r="Z231" i="1"/>
  <c r="AN231" i="1"/>
  <c r="E229" i="10"/>
  <c r="S231" i="1"/>
  <c r="M229" i="10"/>
  <c r="AM231" i="1"/>
  <c r="R231" i="1"/>
  <c r="A229" i="10"/>
  <c r="AF231" i="1"/>
  <c r="AG231" i="1" s="1"/>
  <c r="AH231" i="1" s="1"/>
  <c r="D232" i="1" l="1"/>
  <c r="A233" i="1"/>
  <c r="C232" i="1"/>
  <c r="B232" i="1"/>
  <c r="H232" i="1" s="1"/>
  <c r="AL232" i="1"/>
  <c r="F230" i="10" s="1"/>
  <c r="I232" i="1"/>
  <c r="P232" i="1" s="1"/>
  <c r="F232" i="1"/>
  <c r="E232" i="1"/>
  <c r="AK232" i="1"/>
  <c r="B230" i="10" s="1"/>
  <c r="N232" i="1"/>
  <c r="V232" i="1"/>
  <c r="L232" i="1"/>
  <c r="K232" i="1"/>
  <c r="G232" i="1"/>
  <c r="AI232" i="1"/>
  <c r="N230" i="10" s="1"/>
  <c r="AB232" i="1"/>
  <c r="AC232" i="1" s="1"/>
  <c r="AD232" i="1" s="1"/>
  <c r="AA232" i="1"/>
  <c r="J230" i="10" s="1"/>
  <c r="M232" i="1"/>
  <c r="J232" i="1"/>
  <c r="O230" i="10"/>
  <c r="K230" i="10"/>
  <c r="G230" i="10"/>
  <c r="R232" i="1"/>
  <c r="AM232" i="1"/>
  <c r="I230" i="10"/>
  <c r="C230" i="10"/>
  <c r="Z232" i="1"/>
  <c r="AO232" i="1"/>
  <c r="E230" i="10"/>
  <c r="AF232" i="1"/>
  <c r="AG232" i="1" s="1"/>
  <c r="AH232" i="1" s="1"/>
  <c r="M230" i="10"/>
  <c r="AN232" i="1"/>
  <c r="T232" i="1"/>
  <c r="S232" i="1"/>
  <c r="A230" i="10"/>
  <c r="W231" i="1"/>
  <c r="X231" i="1" s="1"/>
  <c r="Y231" i="1"/>
  <c r="A234" i="1" l="1"/>
  <c r="D233" i="1"/>
  <c r="AL233" i="1"/>
  <c r="F231" i="10" s="1"/>
  <c r="C233" i="1"/>
  <c r="B233" i="1"/>
  <c r="H233" i="1" s="1"/>
  <c r="I233" i="1"/>
  <c r="P233" i="1" s="1"/>
  <c r="F233" i="1"/>
  <c r="E233" i="1"/>
  <c r="AK233" i="1"/>
  <c r="B231" i="10" s="1"/>
  <c r="N233" i="1"/>
  <c r="AB233" i="1"/>
  <c r="AC233" i="1" s="1"/>
  <c r="AD233" i="1" s="1"/>
  <c r="G233" i="1"/>
  <c r="AA233" i="1"/>
  <c r="J231" i="10" s="1"/>
  <c r="M233" i="1"/>
  <c r="L233" i="1"/>
  <c r="J233" i="1"/>
  <c r="O231" i="10"/>
  <c r="K233" i="1"/>
  <c r="AI233" i="1"/>
  <c r="N231" i="10" s="1"/>
  <c r="V233" i="1"/>
  <c r="G231" i="10"/>
  <c r="K231" i="10"/>
  <c r="C231" i="10"/>
  <c r="S233" i="1"/>
  <c r="AN233" i="1"/>
  <c r="I231" i="10"/>
  <c r="Z233" i="1"/>
  <c r="AF233" i="1"/>
  <c r="AG233" i="1" s="1"/>
  <c r="AH233" i="1" s="1"/>
  <c r="E231" i="10"/>
  <c r="T233" i="1"/>
  <c r="M231" i="10"/>
  <c r="AM233" i="1"/>
  <c r="A231" i="10"/>
  <c r="AO233" i="1"/>
  <c r="R233" i="1"/>
  <c r="Y232" i="1"/>
  <c r="W232" i="1"/>
  <c r="X232" i="1" s="1"/>
  <c r="W233" i="1" l="1"/>
  <c r="X233" i="1" s="1"/>
  <c r="Y233" i="1"/>
  <c r="D234" i="1"/>
  <c r="A235" i="1"/>
  <c r="C234" i="1"/>
  <c r="I234" i="1"/>
  <c r="P234" i="1" s="1"/>
  <c r="AL234" i="1"/>
  <c r="F232" i="10" s="1"/>
  <c r="B234" i="1"/>
  <c r="H234" i="1" s="1"/>
  <c r="F234" i="1"/>
  <c r="E234" i="1"/>
  <c r="G234" i="1"/>
  <c r="M234" i="1"/>
  <c r="V234" i="1"/>
  <c r="N234" i="1"/>
  <c r="AK234" i="1"/>
  <c r="B232" i="10" s="1"/>
  <c r="L234" i="1"/>
  <c r="K234" i="1"/>
  <c r="J234" i="1"/>
  <c r="O232" i="10"/>
  <c r="AB234" i="1"/>
  <c r="AC234" i="1" s="1"/>
  <c r="AD234" i="1" s="1"/>
  <c r="AI234" i="1"/>
  <c r="N232" i="10" s="1"/>
  <c r="AA234" i="1"/>
  <c r="J232" i="10" s="1"/>
  <c r="C232" i="10"/>
  <c r="G232" i="10"/>
  <c r="AM234" i="1"/>
  <c r="T234" i="1"/>
  <c r="I232" i="10"/>
  <c r="K232" i="10"/>
  <c r="Z234" i="1"/>
  <c r="AF234" i="1"/>
  <c r="AG234" i="1" s="1"/>
  <c r="AH234" i="1" s="1"/>
  <c r="E232" i="10"/>
  <c r="R234" i="1"/>
  <c r="M232" i="10"/>
  <c r="AO234" i="1"/>
  <c r="AN234" i="1"/>
  <c r="S234" i="1"/>
  <c r="A232" i="10"/>
  <c r="A236" i="1" l="1"/>
  <c r="D235" i="1"/>
  <c r="C235" i="1"/>
  <c r="I235" i="1"/>
  <c r="P235" i="1" s="1"/>
  <c r="B235" i="1"/>
  <c r="H235" i="1" s="1"/>
  <c r="AL235" i="1"/>
  <c r="F233" i="10" s="1"/>
  <c r="F235" i="1"/>
  <c r="E235" i="1"/>
  <c r="AK235" i="1"/>
  <c r="B233" i="10" s="1"/>
  <c r="N235" i="1"/>
  <c r="AA235" i="1"/>
  <c r="J233" i="10" s="1"/>
  <c r="L235" i="1"/>
  <c r="K235" i="1"/>
  <c r="M235" i="1"/>
  <c r="G235" i="1"/>
  <c r="AB235" i="1"/>
  <c r="AC235" i="1" s="1"/>
  <c r="AD235" i="1" s="1"/>
  <c r="V235" i="1"/>
  <c r="AI235" i="1"/>
  <c r="N233" i="10" s="1"/>
  <c r="O233" i="10"/>
  <c r="C233" i="10"/>
  <c r="K233" i="10"/>
  <c r="T235" i="1"/>
  <c r="AN235" i="1"/>
  <c r="I233" i="10"/>
  <c r="J235" i="1"/>
  <c r="G233" i="10"/>
  <c r="S235" i="1"/>
  <c r="AM235" i="1"/>
  <c r="E233" i="10"/>
  <c r="R235" i="1"/>
  <c r="M233" i="10"/>
  <c r="Z235" i="1"/>
  <c r="A233" i="10"/>
  <c r="AO235" i="1"/>
  <c r="AF235" i="1"/>
  <c r="AG235" i="1" s="1"/>
  <c r="AH235" i="1" s="1"/>
  <c r="W234" i="1"/>
  <c r="X234" i="1" s="1"/>
  <c r="Y234" i="1"/>
  <c r="W235" i="1" l="1"/>
  <c r="X235" i="1" s="1"/>
  <c r="Y235" i="1"/>
  <c r="D236" i="1"/>
  <c r="A237" i="1"/>
  <c r="C236" i="1"/>
  <c r="B236" i="1"/>
  <c r="H236" i="1" s="1"/>
  <c r="AL236" i="1"/>
  <c r="F234" i="10" s="1"/>
  <c r="F236" i="1"/>
  <c r="E236" i="1"/>
  <c r="I236" i="1"/>
  <c r="P236" i="1" s="1"/>
  <c r="AK236" i="1"/>
  <c r="B234" i="10" s="1"/>
  <c r="V236" i="1"/>
  <c r="L236" i="1"/>
  <c r="K236" i="1"/>
  <c r="AB236" i="1"/>
  <c r="AC236" i="1" s="1"/>
  <c r="AD236" i="1" s="1"/>
  <c r="M236" i="1"/>
  <c r="AI236" i="1"/>
  <c r="N234" i="10" s="1"/>
  <c r="N236" i="1"/>
  <c r="J236" i="1"/>
  <c r="O234" i="10"/>
  <c r="AA236" i="1"/>
  <c r="J234" i="10" s="1"/>
  <c r="K234" i="10"/>
  <c r="G234" i="10"/>
  <c r="R236" i="1"/>
  <c r="AO236" i="1"/>
  <c r="A234" i="10"/>
  <c r="Z236" i="1"/>
  <c r="T236" i="1"/>
  <c r="AN236" i="1"/>
  <c r="I234" i="10"/>
  <c r="AM236" i="1"/>
  <c r="E234" i="10"/>
  <c r="AF236" i="1"/>
  <c r="AG236" i="1" s="1"/>
  <c r="AH236" i="1" s="1"/>
  <c r="C234" i="10"/>
  <c r="G236" i="1"/>
  <c r="S236" i="1"/>
  <c r="M234" i="10"/>
  <c r="Y236" i="1" l="1"/>
  <c r="W236" i="1"/>
  <c r="X236" i="1" s="1"/>
  <c r="A238" i="1"/>
  <c r="D237" i="1"/>
  <c r="AL237" i="1"/>
  <c r="F235" i="10" s="1"/>
  <c r="B237" i="1"/>
  <c r="H237" i="1" s="1"/>
  <c r="I237" i="1"/>
  <c r="P237" i="1" s="1"/>
  <c r="C237" i="1"/>
  <c r="F237" i="1"/>
  <c r="E237" i="1"/>
  <c r="AK237" i="1"/>
  <c r="B235" i="10" s="1"/>
  <c r="G237" i="1"/>
  <c r="V237" i="1"/>
  <c r="M237" i="1"/>
  <c r="J237" i="1"/>
  <c r="O235" i="10"/>
  <c r="AA237" i="1"/>
  <c r="J235" i="10" s="1"/>
  <c r="L237" i="1"/>
  <c r="AI237" i="1"/>
  <c r="N235" i="10" s="1"/>
  <c r="K237" i="1"/>
  <c r="G235" i="10"/>
  <c r="AB237" i="1"/>
  <c r="AC237" i="1" s="1"/>
  <c r="AD237" i="1" s="1"/>
  <c r="K235" i="10"/>
  <c r="C235" i="10"/>
  <c r="T237" i="1"/>
  <c r="AF237" i="1"/>
  <c r="AG237" i="1" s="1"/>
  <c r="AH237" i="1" s="1"/>
  <c r="M235" i="10"/>
  <c r="S237" i="1"/>
  <c r="AO237" i="1"/>
  <c r="A235" i="10"/>
  <c r="Z237" i="1"/>
  <c r="AN237" i="1"/>
  <c r="I235" i="10"/>
  <c r="N237" i="1"/>
  <c r="E235" i="10"/>
  <c r="AM237" i="1"/>
  <c r="R237" i="1"/>
  <c r="D238" i="1" l="1"/>
  <c r="A239" i="1"/>
  <c r="C238" i="1"/>
  <c r="I238" i="1"/>
  <c r="P238" i="1" s="1"/>
  <c r="AL238" i="1"/>
  <c r="F236" i="10" s="1"/>
  <c r="B238" i="1"/>
  <c r="H238" i="1" s="1"/>
  <c r="F238" i="1"/>
  <c r="AK238" i="1"/>
  <c r="B236" i="10" s="1"/>
  <c r="N238" i="1"/>
  <c r="M238" i="1"/>
  <c r="V238" i="1"/>
  <c r="G238" i="1"/>
  <c r="L238" i="1"/>
  <c r="K238" i="1"/>
  <c r="E238" i="1"/>
  <c r="J238" i="1"/>
  <c r="O236" i="10"/>
  <c r="AA238" i="1"/>
  <c r="J236" i="10" s="1"/>
  <c r="AB238" i="1"/>
  <c r="AC238" i="1" s="1"/>
  <c r="AD238" i="1" s="1"/>
  <c r="C236" i="10"/>
  <c r="AI238" i="1"/>
  <c r="N236" i="10" s="1"/>
  <c r="G236" i="10"/>
  <c r="T238" i="1"/>
  <c r="AN238" i="1"/>
  <c r="M236" i="10"/>
  <c r="S238" i="1"/>
  <c r="AM238" i="1"/>
  <c r="A236" i="10"/>
  <c r="R238" i="1"/>
  <c r="I236" i="10"/>
  <c r="AF238" i="1"/>
  <c r="AG238" i="1" s="1"/>
  <c r="AH238" i="1" s="1"/>
  <c r="Z238" i="1"/>
  <c r="E236" i="10"/>
  <c r="K236" i="10"/>
  <c r="AO238" i="1"/>
  <c r="W237" i="1"/>
  <c r="X237" i="1" s="1"/>
  <c r="Y237" i="1"/>
  <c r="W238" i="1" l="1"/>
  <c r="X238" i="1" s="1"/>
  <c r="Y238" i="1"/>
  <c r="A240" i="1"/>
  <c r="C239" i="1"/>
  <c r="D239" i="1"/>
  <c r="I239" i="1"/>
  <c r="P239" i="1" s="1"/>
  <c r="B239" i="1"/>
  <c r="H239" i="1" s="1"/>
  <c r="AL239" i="1"/>
  <c r="F237" i="10" s="1"/>
  <c r="F239" i="1"/>
  <c r="E239" i="1"/>
  <c r="AK239" i="1"/>
  <c r="B237" i="10" s="1"/>
  <c r="N239" i="1"/>
  <c r="L239" i="1"/>
  <c r="K239" i="1"/>
  <c r="M239" i="1"/>
  <c r="AB239" i="1"/>
  <c r="AC239" i="1" s="1"/>
  <c r="AD239" i="1" s="1"/>
  <c r="V239" i="1"/>
  <c r="AI239" i="1"/>
  <c r="N237" i="10" s="1"/>
  <c r="O237" i="10"/>
  <c r="AA239" i="1"/>
  <c r="J237" i="10" s="1"/>
  <c r="C237" i="10"/>
  <c r="J239" i="1"/>
  <c r="K237" i="10"/>
  <c r="AO239" i="1"/>
  <c r="T239" i="1"/>
  <c r="E237" i="10"/>
  <c r="Z239" i="1"/>
  <c r="AM239" i="1"/>
  <c r="M237" i="10"/>
  <c r="G237" i="10"/>
  <c r="S239" i="1"/>
  <c r="A237" i="10"/>
  <c r="R239" i="1"/>
  <c r="AF239" i="1"/>
  <c r="AG239" i="1" s="1"/>
  <c r="AH239" i="1" s="1"/>
  <c r="AN239" i="1"/>
  <c r="G239" i="1"/>
  <c r="I237" i="10"/>
  <c r="D240" i="1" l="1"/>
  <c r="A241" i="1"/>
  <c r="C240" i="1"/>
  <c r="B240" i="1"/>
  <c r="H240" i="1" s="1"/>
  <c r="AL240" i="1"/>
  <c r="F238" i="10" s="1"/>
  <c r="F240" i="1"/>
  <c r="E240" i="1"/>
  <c r="AK240" i="1"/>
  <c r="B238" i="10" s="1"/>
  <c r="N240" i="1"/>
  <c r="V240" i="1"/>
  <c r="AB240" i="1"/>
  <c r="AC240" i="1" s="1"/>
  <c r="AD240" i="1" s="1"/>
  <c r="L240" i="1"/>
  <c r="K240" i="1"/>
  <c r="G240" i="1"/>
  <c r="AI240" i="1"/>
  <c r="N238" i="10" s="1"/>
  <c r="I240" i="1"/>
  <c r="P240" i="1" s="1"/>
  <c r="AA240" i="1"/>
  <c r="J238" i="10" s="1"/>
  <c r="M240" i="1"/>
  <c r="J240" i="1"/>
  <c r="O238" i="10"/>
  <c r="K238" i="10"/>
  <c r="G238" i="10"/>
  <c r="R240" i="1"/>
  <c r="AF240" i="1"/>
  <c r="AG240" i="1" s="1"/>
  <c r="AH240" i="1" s="1"/>
  <c r="E238" i="10"/>
  <c r="Z240" i="1"/>
  <c r="AN240" i="1"/>
  <c r="M238" i="10"/>
  <c r="T240" i="1"/>
  <c r="A238" i="10"/>
  <c r="S240" i="1"/>
  <c r="I238" i="10"/>
  <c r="C238" i="10"/>
  <c r="AO240" i="1"/>
  <c r="AM240" i="1"/>
  <c r="W239" i="1"/>
  <c r="X239" i="1" s="1"/>
  <c r="Y239" i="1"/>
  <c r="W240" i="1" l="1"/>
  <c r="X240" i="1" s="1"/>
  <c r="Y240" i="1"/>
  <c r="A242" i="1"/>
  <c r="D241" i="1"/>
  <c r="AL241" i="1"/>
  <c r="F239" i="10" s="1"/>
  <c r="B241" i="1"/>
  <c r="H241" i="1" s="1"/>
  <c r="C241" i="1"/>
  <c r="I241" i="1"/>
  <c r="P241" i="1" s="1"/>
  <c r="F241" i="1"/>
  <c r="E241" i="1"/>
  <c r="AK241" i="1"/>
  <c r="B239" i="10" s="1"/>
  <c r="AB241" i="1"/>
  <c r="AC241" i="1" s="1"/>
  <c r="AD241" i="1" s="1"/>
  <c r="AA241" i="1"/>
  <c r="J239" i="10" s="1"/>
  <c r="V241" i="1"/>
  <c r="M241" i="1"/>
  <c r="J241" i="1"/>
  <c r="O239" i="10"/>
  <c r="AI241" i="1"/>
  <c r="N239" i="10" s="1"/>
  <c r="K241" i="1"/>
  <c r="G239" i="10"/>
  <c r="K239" i="10"/>
  <c r="C239" i="10"/>
  <c r="N241" i="1"/>
  <c r="S241" i="1"/>
  <c r="AM241" i="1"/>
  <c r="A239" i="10"/>
  <c r="G241" i="1"/>
  <c r="R241" i="1"/>
  <c r="AO241" i="1"/>
  <c r="I239" i="10"/>
  <c r="AF241" i="1"/>
  <c r="AG241" i="1" s="1"/>
  <c r="AH241" i="1" s="1"/>
  <c r="E239" i="10"/>
  <c r="AN241" i="1"/>
  <c r="L241" i="1"/>
  <c r="Z241" i="1"/>
  <c r="T241" i="1"/>
  <c r="M239" i="10"/>
  <c r="Y241" i="1" l="1"/>
  <c r="W241" i="1"/>
  <c r="X241" i="1" s="1"/>
  <c r="D242" i="1"/>
  <c r="A243" i="1"/>
  <c r="C242" i="1"/>
  <c r="I242" i="1"/>
  <c r="P242" i="1" s="1"/>
  <c r="AL242" i="1"/>
  <c r="F240" i="10" s="1"/>
  <c r="B242" i="1"/>
  <c r="H242" i="1" s="1"/>
  <c r="E242" i="1"/>
  <c r="F242" i="1"/>
  <c r="AB242" i="1"/>
  <c r="AC242" i="1" s="1"/>
  <c r="AD242" i="1" s="1"/>
  <c r="M242" i="1"/>
  <c r="AK242" i="1"/>
  <c r="B240" i="10" s="1"/>
  <c r="V242" i="1"/>
  <c r="L242" i="1"/>
  <c r="K242" i="1"/>
  <c r="AA242" i="1"/>
  <c r="J240" i="10" s="1"/>
  <c r="J242" i="1"/>
  <c r="O240" i="10"/>
  <c r="C240" i="10"/>
  <c r="G240" i="10"/>
  <c r="T242" i="1"/>
  <c r="AM242" i="1"/>
  <c r="M240" i="10"/>
  <c r="AI242" i="1"/>
  <c r="N240" i="10" s="1"/>
  <c r="S242" i="1"/>
  <c r="AF242" i="1"/>
  <c r="AG242" i="1" s="1"/>
  <c r="AH242" i="1" s="1"/>
  <c r="A240" i="10"/>
  <c r="G242" i="1"/>
  <c r="AO242" i="1"/>
  <c r="Z242" i="1"/>
  <c r="E240" i="10"/>
  <c r="N242" i="1"/>
  <c r="I240" i="10"/>
  <c r="K240" i="10"/>
  <c r="AN242" i="1"/>
  <c r="R242" i="1"/>
  <c r="A244" i="1" l="1"/>
  <c r="D243" i="1"/>
  <c r="C243" i="1"/>
  <c r="I243" i="1"/>
  <c r="P243" i="1" s="1"/>
  <c r="B243" i="1"/>
  <c r="H243" i="1" s="1"/>
  <c r="AL243" i="1"/>
  <c r="F241" i="10" s="1"/>
  <c r="F243" i="1"/>
  <c r="E243" i="1"/>
  <c r="AK243" i="1"/>
  <c r="B241" i="10" s="1"/>
  <c r="AB243" i="1"/>
  <c r="AC243" i="1" s="1"/>
  <c r="AD243" i="1" s="1"/>
  <c r="L243" i="1"/>
  <c r="K243" i="1"/>
  <c r="N243" i="1"/>
  <c r="AA243" i="1"/>
  <c r="J241" i="10" s="1"/>
  <c r="M243" i="1"/>
  <c r="V243" i="1"/>
  <c r="G243" i="1"/>
  <c r="AI243" i="1"/>
  <c r="N241" i="10" s="1"/>
  <c r="J243" i="1"/>
  <c r="C241" i="10"/>
  <c r="K241" i="10"/>
  <c r="O241" i="10"/>
  <c r="AN243" i="1"/>
  <c r="Z243" i="1"/>
  <c r="M241" i="10"/>
  <c r="S243" i="1"/>
  <c r="AO243" i="1"/>
  <c r="A241" i="10"/>
  <c r="AM243" i="1"/>
  <c r="I241" i="10"/>
  <c r="T243" i="1"/>
  <c r="G241" i="10"/>
  <c r="R243" i="1"/>
  <c r="AF243" i="1"/>
  <c r="AG243" i="1" s="1"/>
  <c r="AH243" i="1" s="1"/>
  <c r="E241" i="10"/>
  <c r="Y242" i="1"/>
  <c r="W242" i="1"/>
  <c r="X242" i="1" s="1"/>
  <c r="Y243" i="1" l="1"/>
  <c r="W243" i="1"/>
  <c r="X243" i="1" s="1"/>
  <c r="D244" i="1"/>
  <c r="A245" i="1"/>
  <c r="C244" i="1"/>
  <c r="B244" i="1"/>
  <c r="H244" i="1" s="1"/>
  <c r="AL244" i="1"/>
  <c r="F242" i="10" s="1"/>
  <c r="F244" i="1"/>
  <c r="E244" i="1"/>
  <c r="I244" i="1"/>
  <c r="P244" i="1" s="1"/>
  <c r="AK244" i="1"/>
  <c r="B242" i="10" s="1"/>
  <c r="V244" i="1"/>
  <c r="L244" i="1"/>
  <c r="K244" i="1"/>
  <c r="AB244" i="1"/>
  <c r="AC244" i="1" s="1"/>
  <c r="AD244" i="1" s="1"/>
  <c r="G244" i="1"/>
  <c r="AI244" i="1"/>
  <c r="N242" i="10" s="1"/>
  <c r="AA244" i="1"/>
  <c r="J242" i="10" s="1"/>
  <c r="J244" i="1"/>
  <c r="O242" i="10"/>
  <c r="M244" i="1"/>
  <c r="K242" i="10"/>
  <c r="G242" i="10"/>
  <c r="C242" i="10"/>
  <c r="AF244" i="1"/>
  <c r="AG244" i="1" s="1"/>
  <c r="AH244" i="1" s="1"/>
  <c r="AM244" i="1"/>
  <c r="E242" i="10"/>
  <c r="AN244" i="1"/>
  <c r="S244" i="1"/>
  <c r="M242" i="10"/>
  <c r="R244" i="1"/>
  <c r="Z244" i="1"/>
  <c r="AO244" i="1"/>
  <c r="A242" i="10"/>
  <c r="T244" i="1"/>
  <c r="I242" i="10"/>
  <c r="N244" i="1"/>
  <c r="Y244" i="1" l="1"/>
  <c r="W244" i="1"/>
  <c r="X244" i="1" s="1"/>
  <c r="A246" i="1"/>
  <c r="D245" i="1"/>
  <c r="C245" i="1"/>
  <c r="AL245" i="1"/>
  <c r="F243" i="10" s="1"/>
  <c r="B245" i="1"/>
  <c r="H245" i="1" s="1"/>
  <c r="I245" i="1"/>
  <c r="P245" i="1" s="1"/>
  <c r="F245" i="1"/>
  <c r="E245" i="1"/>
  <c r="AK245" i="1"/>
  <c r="B243" i="10" s="1"/>
  <c r="G245" i="1"/>
  <c r="AB245" i="1"/>
  <c r="AC245" i="1" s="1"/>
  <c r="AD245" i="1" s="1"/>
  <c r="M245" i="1"/>
  <c r="K245" i="1"/>
  <c r="J245" i="1"/>
  <c r="O243" i="10"/>
  <c r="V245" i="1"/>
  <c r="AI245" i="1"/>
  <c r="N243" i="10" s="1"/>
  <c r="L245" i="1"/>
  <c r="G243" i="10"/>
  <c r="K243" i="10"/>
  <c r="C243" i="10"/>
  <c r="AM245" i="1"/>
  <c r="AO245" i="1"/>
  <c r="S245" i="1"/>
  <c r="I243" i="10"/>
  <c r="R245" i="1"/>
  <c r="N245" i="1"/>
  <c r="E243" i="10"/>
  <c r="AA245" i="1"/>
  <c r="J243" i="10" s="1"/>
  <c r="AF245" i="1"/>
  <c r="AG245" i="1" s="1"/>
  <c r="AH245" i="1" s="1"/>
  <c r="M243" i="10"/>
  <c r="T245" i="1"/>
  <c r="Z245" i="1"/>
  <c r="A243" i="10"/>
  <c r="AN245" i="1"/>
  <c r="Y245" i="1" l="1"/>
  <c r="W245" i="1"/>
  <c r="X245" i="1" s="1"/>
  <c r="D246" i="1"/>
  <c r="A247" i="1"/>
  <c r="C246" i="1"/>
  <c r="I246" i="1"/>
  <c r="P246" i="1" s="1"/>
  <c r="AL246" i="1"/>
  <c r="F244" i="10" s="1"/>
  <c r="B246" i="1"/>
  <c r="H246" i="1" s="1"/>
  <c r="E246" i="1"/>
  <c r="F246" i="1"/>
  <c r="G246" i="1"/>
  <c r="AB246" i="1"/>
  <c r="AC246" i="1" s="1"/>
  <c r="AD246" i="1" s="1"/>
  <c r="M246" i="1"/>
  <c r="V246" i="1"/>
  <c r="L246" i="1"/>
  <c r="K246" i="1"/>
  <c r="AK246" i="1"/>
  <c r="B244" i="10" s="1"/>
  <c r="J246" i="1"/>
  <c r="O244" i="10"/>
  <c r="AA246" i="1"/>
  <c r="J244" i="10" s="1"/>
  <c r="C244" i="10"/>
  <c r="G244" i="10"/>
  <c r="AI246" i="1"/>
  <c r="N244" i="10" s="1"/>
  <c r="K244" i="10"/>
  <c r="N246" i="1"/>
  <c r="R246" i="1"/>
  <c r="A244" i="10"/>
  <c r="Z246" i="1"/>
  <c r="T246" i="1"/>
  <c r="AO246" i="1"/>
  <c r="I244" i="10"/>
  <c r="AM246" i="1"/>
  <c r="E244" i="10"/>
  <c r="S246" i="1"/>
  <c r="AN246" i="1"/>
  <c r="M244" i="10"/>
  <c r="AF246" i="1"/>
  <c r="AG246" i="1" s="1"/>
  <c r="AH246" i="1" s="1"/>
  <c r="A248" i="1" l="1"/>
  <c r="C247" i="1"/>
  <c r="I247" i="1"/>
  <c r="P247" i="1" s="1"/>
  <c r="B247" i="1"/>
  <c r="H247" i="1" s="1"/>
  <c r="D247" i="1"/>
  <c r="F247" i="1"/>
  <c r="E247" i="1"/>
  <c r="AL247" i="1"/>
  <c r="F245" i="10" s="1"/>
  <c r="AK247" i="1"/>
  <c r="B245" i="10" s="1"/>
  <c r="L247" i="1"/>
  <c r="K247" i="1"/>
  <c r="G247" i="1"/>
  <c r="V247" i="1"/>
  <c r="M247" i="1"/>
  <c r="AA247" i="1"/>
  <c r="J245" i="10" s="1"/>
  <c r="AB247" i="1"/>
  <c r="AC247" i="1" s="1"/>
  <c r="AD247" i="1" s="1"/>
  <c r="AI247" i="1"/>
  <c r="N245" i="10" s="1"/>
  <c r="J247" i="1"/>
  <c r="C245" i="10"/>
  <c r="O245" i="10"/>
  <c r="K245" i="10"/>
  <c r="G245" i="10"/>
  <c r="R247" i="1"/>
  <c r="N247" i="1"/>
  <c r="M245" i="10"/>
  <c r="AF247" i="1"/>
  <c r="AG247" i="1" s="1"/>
  <c r="AH247" i="1" s="1"/>
  <c r="S247" i="1"/>
  <c r="A245" i="10"/>
  <c r="T247" i="1"/>
  <c r="AM247" i="1"/>
  <c r="AN247" i="1"/>
  <c r="E245" i="10"/>
  <c r="Z247" i="1"/>
  <c r="AO247" i="1"/>
  <c r="I245" i="10"/>
  <c r="Y246" i="1"/>
  <c r="W246" i="1"/>
  <c r="X246" i="1" s="1"/>
  <c r="Y247" i="1" l="1"/>
  <c r="W247" i="1"/>
  <c r="X247" i="1" s="1"/>
  <c r="D248" i="1"/>
  <c r="A249" i="1"/>
  <c r="C248" i="1"/>
  <c r="B248" i="1"/>
  <c r="H248" i="1" s="1"/>
  <c r="AL248" i="1"/>
  <c r="F246" i="10" s="1"/>
  <c r="I248" i="1"/>
  <c r="P248" i="1" s="1"/>
  <c r="F248" i="1"/>
  <c r="E248" i="1"/>
  <c r="AK248" i="1"/>
  <c r="B246" i="10" s="1"/>
  <c r="AA248" i="1"/>
  <c r="J246" i="10" s="1"/>
  <c r="V248" i="1"/>
  <c r="L248" i="1"/>
  <c r="K248" i="1"/>
  <c r="AB248" i="1"/>
  <c r="AC248" i="1" s="1"/>
  <c r="AD248" i="1" s="1"/>
  <c r="AI248" i="1"/>
  <c r="N246" i="10" s="1"/>
  <c r="M248" i="1"/>
  <c r="J248" i="1"/>
  <c r="O246" i="10"/>
  <c r="K246" i="10"/>
  <c r="G248" i="1"/>
  <c r="G246" i="10"/>
  <c r="R248" i="1"/>
  <c r="AF248" i="1"/>
  <c r="AG248" i="1" s="1"/>
  <c r="AH248" i="1" s="1"/>
  <c r="I246" i="10"/>
  <c r="C246" i="10"/>
  <c r="Z248" i="1"/>
  <c r="AO248" i="1"/>
  <c r="E246" i="10"/>
  <c r="N248" i="1"/>
  <c r="M246" i="10"/>
  <c r="AN248" i="1"/>
  <c r="T248" i="1"/>
  <c r="A246" i="10"/>
  <c r="S248" i="1"/>
  <c r="AM248" i="1"/>
  <c r="A250" i="1" l="1"/>
  <c r="D249" i="1"/>
  <c r="AL249" i="1"/>
  <c r="F247" i="10" s="1"/>
  <c r="C249" i="1"/>
  <c r="B249" i="1"/>
  <c r="H249" i="1" s="1"/>
  <c r="I249" i="1"/>
  <c r="P249" i="1" s="1"/>
  <c r="F249" i="1"/>
  <c r="E249" i="1"/>
  <c r="AK249" i="1"/>
  <c r="B247" i="10" s="1"/>
  <c r="G249" i="1"/>
  <c r="AA249" i="1"/>
  <c r="J247" i="10" s="1"/>
  <c r="V249" i="1"/>
  <c r="M249" i="1"/>
  <c r="AB249" i="1"/>
  <c r="AC249" i="1" s="1"/>
  <c r="AD249" i="1" s="1"/>
  <c r="L249" i="1"/>
  <c r="J249" i="1"/>
  <c r="O247" i="10"/>
  <c r="N249" i="1"/>
  <c r="K249" i="1"/>
  <c r="AI249" i="1"/>
  <c r="N247" i="10" s="1"/>
  <c r="G247" i="10"/>
  <c r="K247" i="10"/>
  <c r="C247" i="10"/>
  <c r="AM249" i="1"/>
  <c r="AO249" i="1"/>
  <c r="I247" i="10"/>
  <c r="T249" i="1"/>
  <c r="R249" i="1"/>
  <c r="E247" i="10"/>
  <c r="AF249" i="1"/>
  <c r="AG249" i="1" s="1"/>
  <c r="AH249" i="1" s="1"/>
  <c r="Z249" i="1"/>
  <c r="AN249" i="1"/>
  <c r="S249" i="1"/>
  <c r="A247" i="10"/>
  <c r="M247" i="10"/>
  <c r="W248" i="1"/>
  <c r="X248" i="1" s="1"/>
  <c r="Y248" i="1"/>
  <c r="W249" i="1" l="1"/>
  <c r="X249" i="1" s="1"/>
  <c r="Y249" i="1"/>
  <c r="D250" i="1"/>
  <c r="A251" i="1"/>
  <c r="C250" i="1"/>
  <c r="I250" i="1"/>
  <c r="P250" i="1" s="1"/>
  <c r="AL250" i="1"/>
  <c r="F248" i="10" s="1"/>
  <c r="B250" i="1"/>
  <c r="H250" i="1" s="1"/>
  <c r="F250" i="1"/>
  <c r="E250" i="1"/>
  <c r="G250" i="1"/>
  <c r="N250" i="1"/>
  <c r="M250" i="1"/>
  <c r="V250" i="1"/>
  <c r="AK250" i="1"/>
  <c r="B248" i="10" s="1"/>
  <c r="AA250" i="1"/>
  <c r="J248" i="10" s="1"/>
  <c r="L250" i="1"/>
  <c r="K250" i="1"/>
  <c r="J250" i="1"/>
  <c r="O248" i="10"/>
  <c r="AB250" i="1"/>
  <c r="AC250" i="1" s="1"/>
  <c r="AD250" i="1" s="1"/>
  <c r="AI250" i="1"/>
  <c r="N248" i="10" s="1"/>
  <c r="C248" i="10"/>
  <c r="G248" i="10"/>
  <c r="R250" i="1"/>
  <c r="AO250" i="1"/>
  <c r="I248" i="10"/>
  <c r="K248" i="10"/>
  <c r="Z250" i="1"/>
  <c r="AN250" i="1"/>
  <c r="E248" i="10"/>
  <c r="T250" i="1"/>
  <c r="M248" i="10"/>
  <c r="AM250" i="1"/>
  <c r="S250" i="1"/>
  <c r="A248" i="10"/>
  <c r="AF250" i="1"/>
  <c r="AG250" i="1" s="1"/>
  <c r="AH250" i="1" s="1"/>
  <c r="A252" i="1" l="1"/>
  <c r="D251" i="1"/>
  <c r="C251" i="1"/>
  <c r="I251" i="1"/>
  <c r="P251" i="1" s="1"/>
  <c r="B251" i="1"/>
  <c r="H251" i="1" s="1"/>
  <c r="AL251" i="1"/>
  <c r="F249" i="10" s="1"/>
  <c r="F251" i="1"/>
  <c r="E251" i="1"/>
  <c r="AK251" i="1"/>
  <c r="B249" i="10" s="1"/>
  <c r="V251" i="1"/>
  <c r="L251" i="1"/>
  <c r="K251" i="1"/>
  <c r="AB251" i="1"/>
  <c r="AC251" i="1" s="1"/>
  <c r="AD251" i="1" s="1"/>
  <c r="M251" i="1"/>
  <c r="AA251" i="1"/>
  <c r="J249" i="10" s="1"/>
  <c r="AI251" i="1"/>
  <c r="N249" i="10" s="1"/>
  <c r="O249" i="10"/>
  <c r="C249" i="10"/>
  <c r="K249" i="10"/>
  <c r="T251" i="1"/>
  <c r="AN251" i="1"/>
  <c r="M249" i="10"/>
  <c r="G249" i="10"/>
  <c r="G251" i="1"/>
  <c r="S251" i="1"/>
  <c r="AM251" i="1"/>
  <c r="A249" i="10"/>
  <c r="R251" i="1"/>
  <c r="I249" i="10"/>
  <c r="AF251" i="1"/>
  <c r="AG251" i="1" s="1"/>
  <c r="AH251" i="1" s="1"/>
  <c r="J251" i="1"/>
  <c r="AO251" i="1"/>
  <c r="N251" i="1"/>
  <c r="E249" i="10"/>
  <c r="Z251" i="1"/>
  <c r="W250" i="1"/>
  <c r="X250" i="1" s="1"/>
  <c r="Y250" i="1"/>
  <c r="W251" i="1" l="1"/>
  <c r="X251" i="1" s="1"/>
  <c r="Y251" i="1"/>
  <c r="D252" i="1"/>
  <c r="A253" i="1"/>
  <c r="C252" i="1"/>
  <c r="B252" i="1"/>
  <c r="H252" i="1" s="1"/>
  <c r="AL252" i="1"/>
  <c r="F250" i="10" s="1"/>
  <c r="F252" i="1"/>
  <c r="E252" i="1"/>
  <c r="I252" i="1"/>
  <c r="P252" i="1" s="1"/>
  <c r="AK252" i="1"/>
  <c r="B250" i="10" s="1"/>
  <c r="AA252" i="1"/>
  <c r="J250" i="10" s="1"/>
  <c r="G252" i="1"/>
  <c r="L252" i="1"/>
  <c r="K252" i="1"/>
  <c r="AB252" i="1"/>
  <c r="AC252" i="1" s="1"/>
  <c r="AD252" i="1" s="1"/>
  <c r="M252" i="1"/>
  <c r="AI252" i="1"/>
  <c r="N250" i="10" s="1"/>
  <c r="V252" i="1"/>
  <c r="J252" i="1"/>
  <c r="O250" i="10"/>
  <c r="K250" i="10"/>
  <c r="G250" i="10"/>
  <c r="AF252" i="1"/>
  <c r="AG252" i="1" s="1"/>
  <c r="AH252" i="1" s="1"/>
  <c r="T252" i="1"/>
  <c r="E250" i="10"/>
  <c r="Z252" i="1"/>
  <c r="AN252" i="1"/>
  <c r="M250" i="10"/>
  <c r="C250" i="10"/>
  <c r="S252" i="1"/>
  <c r="AO252" i="1"/>
  <c r="A250" i="10"/>
  <c r="R252" i="1"/>
  <c r="AM252" i="1"/>
  <c r="N252" i="1"/>
  <c r="I250" i="10"/>
  <c r="A254" i="1" l="1"/>
  <c r="D253" i="1"/>
  <c r="AL253" i="1"/>
  <c r="F251" i="10" s="1"/>
  <c r="B253" i="1"/>
  <c r="H253" i="1" s="1"/>
  <c r="I253" i="1"/>
  <c r="P253" i="1" s="1"/>
  <c r="F253" i="1"/>
  <c r="E253" i="1"/>
  <c r="C253" i="1"/>
  <c r="AK253" i="1"/>
  <c r="B251" i="10" s="1"/>
  <c r="AB253" i="1"/>
  <c r="AC253" i="1" s="1"/>
  <c r="AD253" i="1" s="1"/>
  <c r="AA253" i="1"/>
  <c r="J251" i="10" s="1"/>
  <c r="V253" i="1"/>
  <c r="M253" i="1"/>
  <c r="J253" i="1"/>
  <c r="O251" i="10"/>
  <c r="L253" i="1"/>
  <c r="AI253" i="1"/>
  <c r="N251" i="10" s="1"/>
  <c r="G251" i="10"/>
  <c r="K253" i="1"/>
  <c r="K251" i="10"/>
  <c r="C251" i="10"/>
  <c r="G253" i="1"/>
  <c r="S253" i="1"/>
  <c r="N253" i="1"/>
  <c r="AM253" i="1"/>
  <c r="T253" i="1"/>
  <c r="Z253" i="1"/>
  <c r="A251" i="10"/>
  <c r="AN253" i="1"/>
  <c r="AO253" i="1"/>
  <c r="I251" i="10"/>
  <c r="R253" i="1"/>
  <c r="AF253" i="1"/>
  <c r="AG253" i="1" s="1"/>
  <c r="AH253" i="1" s="1"/>
  <c r="M251" i="10"/>
  <c r="E251" i="10"/>
  <c r="Y252" i="1"/>
  <c r="W252" i="1"/>
  <c r="X252" i="1" s="1"/>
  <c r="W253" i="1" l="1"/>
  <c r="X253" i="1" s="1"/>
  <c r="Y253" i="1"/>
  <c r="D254" i="1"/>
  <c r="A255" i="1"/>
  <c r="C254" i="1"/>
  <c r="I254" i="1"/>
  <c r="P254" i="1" s="1"/>
  <c r="AL254" i="1"/>
  <c r="F252" i="10" s="1"/>
  <c r="B254" i="1"/>
  <c r="H254" i="1" s="1"/>
  <c r="F254" i="1"/>
  <c r="AK254" i="1"/>
  <c r="B252" i="10" s="1"/>
  <c r="AA254" i="1"/>
  <c r="J252" i="10" s="1"/>
  <c r="M254" i="1"/>
  <c r="E254" i="1"/>
  <c r="AB254" i="1"/>
  <c r="AC254" i="1" s="1"/>
  <c r="AD254" i="1" s="1"/>
  <c r="L254" i="1"/>
  <c r="K254" i="1"/>
  <c r="V254" i="1"/>
  <c r="J254" i="1"/>
  <c r="O252" i="10"/>
  <c r="C252" i="10"/>
  <c r="AI254" i="1"/>
  <c r="N252" i="10" s="1"/>
  <c r="G252" i="10"/>
  <c r="K252" i="10"/>
  <c r="T254" i="1"/>
  <c r="AO254" i="1"/>
  <c r="E252" i="10"/>
  <c r="G254" i="1"/>
  <c r="A252" i="10"/>
  <c r="S254" i="1"/>
  <c r="AM254" i="1"/>
  <c r="M252" i="10"/>
  <c r="R254" i="1"/>
  <c r="Z254" i="1"/>
  <c r="N254" i="1"/>
  <c r="AN254" i="1"/>
  <c r="I252" i="10"/>
  <c r="AF254" i="1"/>
  <c r="AG254" i="1" s="1"/>
  <c r="AH254" i="1" s="1"/>
  <c r="A256" i="1" l="1"/>
  <c r="C255" i="1"/>
  <c r="I255" i="1"/>
  <c r="P255" i="1" s="1"/>
  <c r="D255" i="1"/>
  <c r="B255" i="1"/>
  <c r="H255" i="1" s="1"/>
  <c r="AL255" i="1"/>
  <c r="F253" i="10" s="1"/>
  <c r="F255" i="1"/>
  <c r="E255" i="1"/>
  <c r="AK255" i="1"/>
  <c r="B253" i="10" s="1"/>
  <c r="L255" i="1"/>
  <c r="K255" i="1"/>
  <c r="AB255" i="1"/>
  <c r="AC255" i="1" s="1"/>
  <c r="AD255" i="1" s="1"/>
  <c r="M255" i="1"/>
  <c r="V255" i="1"/>
  <c r="AI255" i="1"/>
  <c r="N253" i="10" s="1"/>
  <c r="AA255" i="1"/>
  <c r="J253" i="10" s="1"/>
  <c r="G255" i="1"/>
  <c r="O253" i="10"/>
  <c r="C253" i="10"/>
  <c r="J255" i="1"/>
  <c r="K253" i="10"/>
  <c r="AF255" i="1"/>
  <c r="AG255" i="1" s="1"/>
  <c r="AH255" i="1" s="1"/>
  <c r="T255" i="1"/>
  <c r="A253" i="10"/>
  <c r="G253" i="10"/>
  <c r="E253" i="10"/>
  <c r="S255" i="1"/>
  <c r="AO255" i="1"/>
  <c r="AM255" i="1"/>
  <c r="I253" i="10"/>
  <c r="R255" i="1"/>
  <c r="N255" i="1"/>
  <c r="AN255" i="1"/>
  <c r="M253" i="10"/>
  <c r="Z255" i="1"/>
  <c r="Y254" i="1"/>
  <c r="W254" i="1"/>
  <c r="X254" i="1" s="1"/>
  <c r="W255" i="1" l="1"/>
  <c r="X255" i="1" s="1"/>
  <c r="Y255" i="1"/>
  <c r="D256" i="1"/>
  <c r="A257" i="1"/>
  <c r="C256" i="1"/>
  <c r="B256" i="1"/>
  <c r="H256" i="1" s="1"/>
  <c r="AL256" i="1"/>
  <c r="F254" i="10" s="1"/>
  <c r="F256" i="1"/>
  <c r="E256" i="1"/>
  <c r="AK256" i="1"/>
  <c r="B254" i="10" s="1"/>
  <c r="I256" i="1"/>
  <c r="P256" i="1" s="1"/>
  <c r="V256" i="1"/>
  <c r="AB256" i="1"/>
  <c r="AC256" i="1" s="1"/>
  <c r="AD256" i="1" s="1"/>
  <c r="L256" i="1"/>
  <c r="K256" i="1"/>
  <c r="AI256" i="1"/>
  <c r="N254" i="10" s="1"/>
  <c r="AA256" i="1"/>
  <c r="J254" i="10" s="1"/>
  <c r="M256" i="1"/>
  <c r="J256" i="1"/>
  <c r="O254" i="10"/>
  <c r="K254" i="10"/>
  <c r="G254" i="10"/>
  <c r="AF256" i="1"/>
  <c r="AG256" i="1" s="1"/>
  <c r="AH256" i="1" s="1"/>
  <c r="T256" i="1"/>
  <c r="E254" i="10"/>
  <c r="AM256" i="1"/>
  <c r="G256" i="1"/>
  <c r="A254" i="10"/>
  <c r="C254" i="10"/>
  <c r="AO256" i="1"/>
  <c r="R256" i="1"/>
  <c r="N256" i="1"/>
  <c r="Z256" i="1"/>
  <c r="S256" i="1"/>
  <c r="I254" i="10"/>
  <c r="M254" i="10"/>
  <c r="AN256" i="1"/>
  <c r="Y256" i="1" l="1"/>
  <c r="W256" i="1"/>
  <c r="X256" i="1" s="1"/>
  <c r="D257" i="1"/>
  <c r="D258" i="1" s="1"/>
  <c r="AL257" i="1"/>
  <c r="F255" i="10" s="1"/>
  <c r="B257" i="1"/>
  <c r="H257" i="1" s="1"/>
  <c r="H258" i="1" s="1"/>
  <c r="C257" i="1"/>
  <c r="C258" i="1" s="1"/>
  <c r="I257" i="1"/>
  <c r="P257" i="1" s="1"/>
  <c r="P258" i="1" s="1"/>
  <c r="F257" i="1"/>
  <c r="F258" i="1" s="1"/>
  <c r="E257" i="1"/>
  <c r="E258" i="1" s="1"/>
  <c r="AK257" i="1"/>
  <c r="B255" i="10" s="1"/>
  <c r="AB257" i="1"/>
  <c r="AC257" i="1" s="1"/>
  <c r="AD257" i="1" s="1"/>
  <c r="M257" i="1"/>
  <c r="M258" i="1" s="1"/>
  <c r="J257" i="1"/>
  <c r="J258" i="1" s="1"/>
  <c r="O255" i="10"/>
  <c r="AI257" i="1"/>
  <c r="N255" i="10" s="1"/>
  <c r="AA257" i="1"/>
  <c r="J255" i="10" s="1"/>
  <c r="V257" i="1"/>
  <c r="K257" i="1"/>
  <c r="K258" i="1" s="1"/>
  <c r="G255" i="10"/>
  <c r="K255" i="10"/>
  <c r="L257" i="1"/>
  <c r="L258" i="1" s="1"/>
  <c r="C255" i="10"/>
  <c r="G257" i="1"/>
  <c r="N257" i="1"/>
  <c r="AM257" i="1"/>
  <c r="A255" i="10"/>
  <c r="T257" i="1"/>
  <c r="I255" i="10"/>
  <c r="E255" i="10"/>
  <c r="Z257" i="1"/>
  <c r="AF257" i="1"/>
  <c r="AG257" i="1" s="1"/>
  <c r="AH257" i="1" s="1"/>
  <c r="R257" i="1"/>
  <c r="AN257" i="1"/>
  <c r="M255" i="10"/>
  <c r="AO257" i="1"/>
  <c r="S257" i="1"/>
  <c r="K8" i="10" l="1"/>
  <c r="J256" i="10"/>
  <c r="G8" i="10"/>
  <c r="F256" i="10"/>
  <c r="M11" i="1"/>
  <c r="M12" i="1"/>
  <c r="C8" i="10"/>
  <c r="B256" i="10"/>
  <c r="O8" i="10"/>
  <c r="N256" i="10"/>
  <c r="W257" i="1"/>
  <c r="X257" i="1" s="1"/>
  <c r="Y257" i="1"/>
  <c r="F12" i="1"/>
  <c r="F11" i="1"/>
  <c r="O9" i="10" l="1"/>
  <c r="O10" i="10"/>
  <c r="G10" i="10"/>
  <c r="G9" i="10"/>
  <c r="C10" i="10"/>
  <c r="C9" i="10"/>
  <c r="K10" i="10"/>
  <c r="K9" i="10"/>
  <c r="O28" i="10" l="1"/>
  <c r="O29" i="10"/>
  <c r="O30" i="10"/>
  <c r="O32" i="10"/>
  <c r="O33" i="10"/>
  <c r="O31" i="10"/>
  <c r="O34" i="10"/>
  <c r="O35" i="10"/>
  <c r="O36" i="10"/>
  <c r="O37" i="10"/>
  <c r="O39" i="10"/>
  <c r="O38" i="10"/>
  <c r="O40" i="10"/>
  <c r="O41" i="10"/>
  <c r="O42" i="10"/>
  <c r="O43" i="10"/>
  <c r="O44" i="10"/>
  <c r="O45" i="10"/>
  <c r="O46" i="10"/>
  <c r="O47" i="10"/>
  <c r="O48" i="10"/>
  <c r="O49" i="10"/>
  <c r="O50" i="10"/>
  <c r="O51" i="10"/>
  <c r="O53" i="10"/>
  <c r="O52" i="10"/>
  <c r="O55" i="10"/>
  <c r="O54" i="10"/>
  <c r="O56" i="10"/>
  <c r="O57" i="10"/>
  <c r="O58" i="10"/>
  <c r="O59" i="10"/>
  <c r="O60" i="10"/>
  <c r="O61" i="10"/>
  <c r="O62" i="10"/>
  <c r="O63" i="10"/>
  <c r="O64" i="10"/>
  <c r="O65" i="10"/>
  <c r="O66" i="10"/>
  <c r="O68" i="10"/>
  <c r="O67" i="10"/>
  <c r="O69" i="10"/>
  <c r="O70" i="10"/>
  <c r="O71" i="10"/>
  <c r="O73" i="10"/>
  <c r="O72" i="10"/>
  <c r="O75" i="10"/>
  <c r="O74" i="10"/>
  <c r="C28" i="10"/>
  <c r="C29" i="10"/>
  <c r="C30" i="10"/>
  <c r="C31" i="10"/>
  <c r="C32" i="10"/>
  <c r="C33" i="10"/>
  <c r="C34" i="10"/>
  <c r="C35" i="10"/>
  <c r="C36" i="10"/>
  <c r="C37" i="10"/>
  <c r="C38" i="10"/>
  <c r="C39" i="10"/>
  <c r="C41" i="10"/>
  <c r="C40" i="10"/>
  <c r="C42" i="10"/>
  <c r="C43" i="10"/>
  <c r="C44" i="10"/>
  <c r="C46" i="10"/>
  <c r="C45" i="10"/>
  <c r="C47" i="10"/>
  <c r="C48" i="10"/>
  <c r="C49" i="10"/>
  <c r="C50" i="10"/>
  <c r="C51" i="10"/>
  <c r="C52" i="10"/>
  <c r="C53" i="10"/>
  <c r="C54" i="10"/>
  <c r="C55" i="10"/>
  <c r="C56" i="10"/>
  <c r="C57" i="10"/>
  <c r="C58" i="10"/>
  <c r="C59" i="10"/>
  <c r="C60" i="10"/>
  <c r="C61" i="10"/>
  <c r="C62" i="10"/>
  <c r="C64" i="10"/>
  <c r="C63" i="10"/>
  <c r="C65" i="10"/>
  <c r="C66" i="10"/>
  <c r="C67" i="10"/>
  <c r="C68" i="10"/>
  <c r="C69" i="10"/>
  <c r="C70" i="10"/>
  <c r="C71" i="10"/>
  <c r="C73" i="10"/>
  <c r="C72" i="10"/>
  <c r="C75" i="10"/>
  <c r="C74" i="10"/>
  <c r="K28" i="10"/>
  <c r="K30" i="10"/>
  <c r="K29" i="10"/>
  <c r="K31" i="10"/>
  <c r="K32" i="10"/>
  <c r="K33" i="10"/>
  <c r="K34" i="10"/>
  <c r="K35" i="10"/>
  <c r="K36" i="10"/>
  <c r="K38" i="10"/>
  <c r="K37" i="10"/>
  <c r="K39" i="10"/>
  <c r="K41" i="10"/>
  <c r="K40" i="10"/>
  <c r="K42" i="10"/>
  <c r="K43" i="10"/>
  <c r="K44" i="10"/>
  <c r="K45" i="10"/>
  <c r="K46" i="10"/>
  <c r="K47" i="10"/>
  <c r="K48" i="10"/>
  <c r="K49" i="10"/>
  <c r="K50" i="10"/>
  <c r="K51" i="10"/>
  <c r="K52" i="10"/>
  <c r="K53" i="10"/>
  <c r="K54" i="10"/>
  <c r="K55" i="10"/>
  <c r="K56" i="10"/>
  <c r="K57" i="10"/>
  <c r="K58" i="10"/>
  <c r="K59" i="10"/>
  <c r="K60" i="10"/>
  <c r="K61" i="10"/>
  <c r="K62" i="10"/>
  <c r="K64" i="10"/>
  <c r="K63" i="10"/>
  <c r="K65" i="10"/>
  <c r="K66" i="10"/>
  <c r="K67" i="10"/>
  <c r="K68" i="10"/>
  <c r="K69" i="10"/>
  <c r="K70" i="10"/>
  <c r="K71" i="10"/>
  <c r="K73" i="10"/>
  <c r="K72" i="10"/>
  <c r="K74" i="10"/>
  <c r="K75" i="10"/>
  <c r="G28" i="10"/>
  <c r="G29" i="10"/>
  <c r="G32" i="10"/>
  <c r="G30" i="10"/>
  <c r="G31" i="10"/>
  <c r="G33" i="10"/>
  <c r="G34" i="10"/>
  <c r="G35" i="10"/>
  <c r="G36" i="10"/>
  <c r="G37" i="10"/>
  <c r="G38" i="10"/>
  <c r="G39" i="10"/>
  <c r="G41" i="10"/>
  <c r="G40" i="10"/>
  <c r="G42" i="10"/>
  <c r="G43" i="10"/>
  <c r="G44" i="10"/>
  <c r="G45" i="10"/>
  <c r="G46" i="10"/>
  <c r="G47" i="10"/>
  <c r="G48" i="10"/>
  <c r="G49" i="10"/>
  <c r="G50" i="10"/>
  <c r="G51" i="10"/>
  <c r="G53" i="10"/>
  <c r="G52" i="10"/>
  <c r="G54" i="10"/>
  <c r="G55" i="10"/>
  <c r="G56" i="10"/>
  <c r="G57" i="10"/>
  <c r="G58" i="10"/>
  <c r="G59" i="10"/>
  <c r="G60" i="10"/>
  <c r="G61" i="10"/>
  <c r="G62" i="10"/>
  <c r="G63" i="10"/>
  <c r="G64" i="10"/>
  <c r="G65" i="10"/>
  <c r="G66" i="10"/>
  <c r="G67" i="10"/>
  <c r="G68" i="10"/>
  <c r="G69" i="10"/>
  <c r="G70" i="10"/>
  <c r="G71" i="10"/>
  <c r="G72" i="10"/>
  <c r="G73" i="10"/>
  <c r="G74" i="10"/>
  <c r="G75" i="10"/>
  <c r="K18" i="10"/>
  <c r="K22" i="10"/>
  <c r="K27" i="10"/>
  <c r="K19" i="10"/>
  <c r="K26" i="10"/>
  <c r="K16" i="10"/>
  <c r="K20" i="10"/>
  <c r="K17" i="10"/>
  <c r="K21" i="10"/>
  <c r="K25" i="10"/>
  <c r="K15" i="10"/>
  <c r="K23" i="10"/>
  <c r="K24" i="10"/>
  <c r="G15" i="10"/>
  <c r="G20" i="10"/>
  <c r="G24" i="10"/>
  <c r="G25" i="10"/>
  <c r="G18" i="10"/>
  <c r="G27" i="10"/>
  <c r="G19" i="10"/>
  <c r="G26" i="10"/>
  <c r="G16" i="10"/>
  <c r="G21" i="10"/>
  <c r="M13" i="1"/>
  <c r="D120" i="24" s="1"/>
  <c r="G22" i="10"/>
  <c r="G17" i="10"/>
  <c r="G23" i="10"/>
  <c r="C27" i="10"/>
  <c r="C25" i="10"/>
  <c r="C19" i="10"/>
  <c r="F13" i="1"/>
  <c r="C23" i="10"/>
  <c r="C26" i="10"/>
  <c r="C24" i="10"/>
  <c r="C17" i="10"/>
  <c r="C22" i="10"/>
  <c r="C20" i="10"/>
  <c r="C15" i="10"/>
  <c r="C16" i="10"/>
  <c r="C18" i="10"/>
  <c r="C21" i="10"/>
  <c r="O17" i="10"/>
  <c r="O22" i="10"/>
  <c r="O27" i="10"/>
  <c r="O16" i="10"/>
  <c r="O24" i="10"/>
  <c r="O18" i="10"/>
  <c r="O25" i="10"/>
  <c r="O15" i="10"/>
  <c r="O19" i="10"/>
  <c r="O23" i="10"/>
  <c r="O26" i="10"/>
  <c r="O20" i="10"/>
  <c r="O21" i="10"/>
  <c r="K256" i="10" l="1"/>
  <c r="K11" i="10" s="1"/>
  <c r="O256" i="10"/>
  <c r="O11" i="10" s="1"/>
  <c r="AG72" i="15"/>
  <c r="AG73" i="22"/>
  <c r="AI71" i="23"/>
  <c r="AH70" i="21"/>
  <c r="AG71" i="19"/>
  <c r="AH70" i="17"/>
  <c r="AH72" i="18"/>
  <c r="AH70" i="20"/>
  <c r="AI71" i="16"/>
  <c r="C256" i="10"/>
  <c r="C11" i="10" s="1"/>
  <c r="G256" i="10"/>
  <c r="G11" i="10" s="1"/>
</calcChain>
</file>

<file path=xl/sharedStrings.xml><?xml version="1.0" encoding="utf-8"?>
<sst xmlns="http://schemas.openxmlformats.org/spreadsheetml/2006/main" count="2541" uniqueCount="822">
  <si>
    <t>FLUJO CERO</t>
  </si>
  <si>
    <t>TIR</t>
  </si>
  <si>
    <t>FLUJOS</t>
  </si>
  <si>
    <t>VALOR PRESENTE NETO</t>
  </si>
  <si>
    <t>I.V.A.</t>
  </si>
  <si>
    <t>AVALÚO</t>
  </si>
  <si>
    <t>SEGURO ANUAL</t>
  </si>
  <si>
    <t>COMISIÓN APERTURA</t>
  </si>
  <si>
    <t>CREDIACTIVO</t>
  </si>
  <si>
    <t>AMORTIZACIONES CRECIENTES</t>
  </si>
  <si>
    <t>CAT (FUNCIÓN)</t>
  </si>
  <si>
    <t>CAT (FÓRMULA)</t>
  </si>
  <si>
    <t>COMPROBACIÓN</t>
  </si>
  <si>
    <t>AMORTIZACIONES IGUALES</t>
  </si>
  <si>
    <t>SUMAS</t>
  </si>
  <si>
    <t>N</t>
  </si>
  <si>
    <t>No.</t>
  </si>
  <si>
    <t>SALDO INICIAL</t>
  </si>
  <si>
    <t>AMORTIZACIÓN DE CAPITAL</t>
  </si>
  <si>
    <t>INTERÉS</t>
  </si>
  <si>
    <t>PAGO</t>
  </si>
  <si>
    <t>SALDO FINAL</t>
  </si>
  <si>
    <t>Frecuencia</t>
  </si>
  <si>
    <t>Quincenal</t>
  </si>
  <si>
    <t>Mensual</t>
  </si>
  <si>
    <t>Trimestral</t>
  </si>
  <si>
    <t>Semestral</t>
  </si>
  <si>
    <t>Pagos por año</t>
  </si>
  <si>
    <t>Días</t>
  </si>
  <si>
    <t>COTIZADOR CREDIACTIVO</t>
  </si>
  <si>
    <t>Monto del Crédito:</t>
  </si>
  <si>
    <t>Periodos de Gracia:</t>
  </si>
  <si>
    <t>Tasa de Interés Anual</t>
  </si>
  <si>
    <t>Comisión por Apertura</t>
  </si>
  <si>
    <t>Comisión por Avalúo</t>
  </si>
  <si>
    <t>Seguro Anual</t>
  </si>
  <si>
    <t>No. De Pagos</t>
  </si>
  <si>
    <t>Plazo en Años</t>
  </si>
  <si>
    <t>Simulación crediactivo</t>
  </si>
  <si>
    <t>Crediactivo Pesos</t>
  </si>
  <si>
    <t>Crediactivo Dólares</t>
  </si>
  <si>
    <t>Períodos de gracia</t>
  </si>
  <si>
    <t>Tipo de simulación:</t>
  </si>
  <si>
    <t>Frecuencia de Pagos:</t>
  </si>
  <si>
    <t>Plazo:</t>
  </si>
  <si>
    <t>Garantía Hipotecaria:</t>
  </si>
  <si>
    <t>Garantía Hipotecaria</t>
  </si>
  <si>
    <t>I.V.A.:</t>
  </si>
  <si>
    <t>IVA</t>
  </si>
  <si>
    <t>FRONTERA</t>
  </si>
  <si>
    <t>NO FRONTERA</t>
  </si>
  <si>
    <t>Fecha:</t>
  </si>
  <si>
    <t>Con Garantía Hipotecaria</t>
  </si>
  <si>
    <t>Sin Garantía Hipotecaria</t>
  </si>
  <si>
    <t>Comisiones</t>
  </si>
  <si>
    <t>TIIE</t>
  </si>
  <si>
    <t>Fórmulas</t>
  </si>
  <si>
    <t>Parámetros</t>
  </si>
  <si>
    <t>Salidas Combos</t>
  </si>
  <si>
    <t>Rangos $ / Plazo</t>
  </si>
  <si>
    <t>+ De 5 años</t>
  </si>
  <si>
    <t>CAT:</t>
  </si>
  <si>
    <t>Frecuencia:</t>
  </si>
  <si>
    <t>Valor de la propiedad:</t>
  </si>
  <si>
    <t>Avalúo:</t>
  </si>
  <si>
    <t>Seguro contra daños:</t>
  </si>
  <si>
    <t>ABONO</t>
  </si>
  <si>
    <t>Tasa de Interés Anual:</t>
  </si>
  <si>
    <t>TIIE:</t>
  </si>
  <si>
    <t>Número de Pagos:</t>
  </si>
  <si>
    <t>Para Macro de Plazo</t>
  </si>
  <si>
    <t>Prepagos</t>
  </si>
  <si>
    <t>REDUCE PLAZO Y PAGO
Amortización original</t>
  </si>
  <si>
    <t>REDUCE PAGO
Amortización por diferencia</t>
  </si>
  <si>
    <t>REDUCE PLAZO
Amortización por diferencia</t>
  </si>
  <si>
    <t>Amortización a capital a mostrar en la tabla</t>
  </si>
  <si>
    <t>Saldo Insoluto / Sin prepagos</t>
  </si>
  <si>
    <t>Interés sobre Saldo Insoluto / Sin prepagos</t>
  </si>
  <si>
    <t>Plazo remanente</t>
  </si>
  <si>
    <t>Pago Para CAT</t>
  </si>
  <si>
    <t>Amortizaciones Crecientes</t>
  </si>
  <si>
    <t>Amortizaciones Iguales</t>
  </si>
  <si>
    <t>quincenas</t>
  </si>
  <si>
    <t>meses</t>
  </si>
  <si>
    <t>trimestres</t>
  </si>
  <si>
    <t>semestres</t>
  </si>
  <si>
    <t>Frecuencia.</t>
  </si>
  <si>
    <t>Plazo estimado:</t>
  </si>
  <si>
    <t>CÁLCULO DEL CAT CON IVA AMORTIZACIONES CRECIENTES</t>
  </si>
  <si>
    <t>CÁLCULO DEL CAT CON IVA AMORTIZACIONES IGUALES</t>
  </si>
  <si>
    <t>CÁLCULO DEL CAT SIN IVA AMORTIZACIONES CRECIENTES</t>
  </si>
  <si>
    <t>CÁLCULO DEL CAT SIN IVA AMORTIZACIONES IGUALES</t>
  </si>
  <si>
    <t>Amortizaciones Crecientes SIN IVA</t>
  </si>
  <si>
    <t>Amortizaciones Iguales SIN IVA</t>
  </si>
  <si>
    <t>i.v.a. de Interés sobre Saldo Insoluto / Sin prepagos</t>
  </si>
  <si>
    <t>Comisión por apertura:</t>
  </si>
  <si>
    <t>Sin I.V.A.</t>
  </si>
  <si>
    <t>No. De Pagos con periodo de gracia</t>
  </si>
  <si>
    <t>Nuevo Plazo</t>
  </si>
  <si>
    <t>Cuando hay período de gracia</t>
  </si>
  <si>
    <t>Pago Para CAT con período de gracia</t>
  </si>
  <si>
    <t>Seguro Anual para CAT</t>
  </si>
  <si>
    <t>Fecha TIIE</t>
  </si>
  <si>
    <t xml:space="preserve">Márgen </t>
  </si>
  <si>
    <t>Tasa según rango y plazo</t>
  </si>
  <si>
    <t>Salidas Macros</t>
  </si>
  <si>
    <t>Seguro Anual Dólares</t>
  </si>
  <si>
    <t>Seguro Anual para CAT Dólares</t>
  </si>
  <si>
    <t>Tipo de cambio:</t>
  </si>
  <si>
    <t>Fecha Tipo de Cambio</t>
  </si>
  <si>
    <t>Hasta 1 Años</t>
  </si>
  <si>
    <t>+ De 1 hasta 5 años</t>
  </si>
  <si>
    <t>Nuevo Rango 02-Marzo-2010</t>
  </si>
  <si>
    <t>Rango de plazo a partir de 1 año 02-Marzo-2010</t>
  </si>
  <si>
    <t>Cambio de tasas 02-Marzo-2010</t>
  </si>
  <si>
    <t>Ya no aplica, apartir de nuevas tasas 02-Marzo-10</t>
  </si>
  <si>
    <t>Cancelado</t>
  </si>
  <si>
    <t>Nota: La presente información es únicamente para efectos ilustrativos, no representa ningún ofrecimiento formal por parte de Ixe. El CAT es para fines informativos y de comparación exclusivamente.</t>
  </si>
  <si>
    <t xml:space="preserve">Erp 16-12-13 Se Homologo el IVA a 16% será la misma para Frontera y no Frontera </t>
  </si>
  <si>
    <t xml:space="preserve"> </t>
  </si>
  <si>
    <t>Proteger y Asignar Contraseña</t>
  </si>
  <si>
    <t>Registrar Mensaje al Cerrar</t>
  </si>
  <si>
    <t>Proteger Hojas con Contraseña</t>
  </si>
  <si>
    <t>Dejar Pestañas Visibles</t>
  </si>
  <si>
    <t>Tabla</t>
  </si>
  <si>
    <t>Se agrego modulo de cierre.</t>
  </si>
  <si>
    <t>Log de cierres</t>
  </si>
  <si>
    <t>Fecha</t>
  </si>
  <si>
    <t>Usuario</t>
  </si>
  <si>
    <t>Equipo</t>
  </si>
  <si>
    <t>Mensaje</t>
  </si>
  <si>
    <t>a8002673</t>
  </si>
  <si>
    <t>TSURA8002673P1</t>
  </si>
  <si>
    <t>Menu Principal</t>
  </si>
  <si>
    <t>[CIERRE 20141216_124722] Se cierra con modulo 1.4 |Contraseña: C16C12114</t>
  </si>
  <si>
    <t>CONTRATO DE APERTURA DE</t>
  </si>
  <si>
    <t>CREDITO SIMPLE</t>
  </si>
  <si>
    <t>BANCO MERCANTIL DEL NORTE, S.A., INSTITUCION DE BANCA MULTIPLE, GRUPO FINANCIERO BANORTE</t>
  </si>
  <si>
    <t>FECHA</t>
  </si>
  <si>
    <r>
      <t xml:space="preserve">LUGAR </t>
    </r>
    <r>
      <rPr>
        <b/>
        <sz val="7.5"/>
        <rFont val="Tahoma"/>
        <family val="2"/>
      </rPr>
      <t>DE FIRMA DEL CONTRATO</t>
    </r>
  </si>
  <si>
    <t>NOMBRE Y NUMERO DE LA SUCURSAL</t>
  </si>
  <si>
    <t>DIA / MES / AÑO</t>
  </si>
  <si>
    <t>I.- DOMICILIO DEL BANCO</t>
  </si>
  <si>
    <t>DOMICILIO</t>
  </si>
  <si>
    <t>(calle y numero)</t>
  </si>
  <si>
    <t>COLONIA</t>
  </si>
  <si>
    <t>POBLACION</t>
  </si>
  <si>
    <t>ESTADO</t>
  </si>
  <si>
    <t>CODIGO POSTAL</t>
  </si>
  <si>
    <t>II.- DATOS DE LA PARTE ACREDITADA</t>
  </si>
  <si>
    <t>NOMBRE (Nombre(s) Apellidos Paterno y Materno) O DENOMINACIÓN SOCIAL</t>
  </si>
  <si>
    <t>R.F.C.</t>
  </si>
  <si>
    <t>NACIONALIDAD</t>
  </si>
  <si>
    <t>ORIGINARIO</t>
  </si>
  <si>
    <t>EDAD</t>
  </si>
  <si>
    <t>ESTADO CIVIL</t>
  </si>
  <si>
    <t>TELEFONO</t>
  </si>
  <si>
    <t>NOMBRE  (Nombre(s) Apellidos Paterno y Materno) O DENOMINACIÓN SOCIAL</t>
  </si>
  <si>
    <t>III.- APODERADO(S) DE LA PARTE ACREDITADA</t>
  </si>
  <si>
    <t>NOMBRE  (Nombre(s) Apellidos Paterno y Materno)</t>
  </si>
  <si>
    <t xml:space="preserve">IV.- FIADOR(ES) SOLIDARIO(S) </t>
  </si>
  <si>
    <t xml:space="preserve">V.- APODERADO(S) DEL (DE LOS) FIADOR(ES) SOLIDARIO(S) </t>
  </si>
  <si>
    <t>VI.- CARACTERISTICAS DEL CREDITO</t>
  </si>
  <si>
    <t>IMPORTE DEL CREDITO (NUMERO Y LETRA)</t>
  </si>
  <si>
    <t>PLAZO DEL CREDITO</t>
  </si>
  <si>
    <t>FECHA DE VENCIMIENTO</t>
  </si>
  <si>
    <t>CUENTA DE CHEQUES</t>
  </si>
  <si>
    <t>COMISION POR APERTURA</t>
  </si>
  <si>
    <t>CAT</t>
  </si>
  <si>
    <t>(DD/MM/AAAA)</t>
  </si>
  <si>
    <t>MESES</t>
  </si>
  <si>
    <t>PORCENTAJE INTERES TASA FIJA</t>
  </si>
  <si>
    <t>DIFERENCIAL TASA VARIABLE</t>
  </si>
  <si>
    <t>MESES DE GRACIA DE CAPITAL</t>
  </si>
  <si>
    <t>DIA DE PAGO DE CAPITAL E INTERESES ORDINARIOS</t>
  </si>
  <si>
    <t>DE CADA MES</t>
  </si>
  <si>
    <t>DESTINO DEL CREDITO</t>
  </si>
  <si>
    <t>VII.- FIRMAS DE LOS INTERVINIENTES</t>
  </si>
  <si>
    <t>El presente documento (la “Carátula”) forma parte integrante del Contrato de Apertura de Crédito Simple (el “Contrato”) que suscriben “EL BANCO”, “LA PARTE ACREDITADA” y EL  o LOS FIADOR(ES) SOLIDARIO(S)</t>
  </si>
  <si>
    <t>APODERADO(S) BANCO (Nombre y Firma)</t>
  </si>
  <si>
    <t>ACREDITADO</t>
  </si>
  <si>
    <t>FIADOR</t>
  </si>
  <si>
    <r>
      <t>D-J42061-B / BANORTE</t>
    </r>
    <r>
      <rPr>
        <sz val="6"/>
        <rFont val="Tahoma"/>
        <family val="2"/>
      </rPr>
      <t xml:space="preserve">    BANCO MERCANTIL DEL NORTE, S.A. , INSTITUCION DE BANCA MULTIPLE, GRUPO FINANCIERO BANORTE</t>
    </r>
  </si>
  <si>
    <t>INTRANET V ABR/15</t>
  </si>
  <si>
    <t>CONTRATO DE APERTURA DE CREDITO SIMPLE QUE CELEBRAN POR UNA PRIMERA PARTE BANCO MERCANTIL DEL NORTE, S.A., INSTITUCION DE BANCA MULTIPLE, GRUPO FINANCIERO BANORTE, A QUIEN SE LE DENOMINARA “EL BANCO”, POR UNA SEGUNDA PARTE LA(S) PERSONA(S) FISICA(S) O LA(S) PERSONA(S) MORAL(ES) CUYOS DATOS SE INDICAN EN LA CARATULA DE ESTE CONTRATO, A QUIEN(ES) SE LE(S) DENOMINARA LA “PARTE ACREDITADA”, Y POR UNA ÚLTIMA PARTE LA(S) PERSONA(S) FISICA(S) Y/O MORAL(ES) CUYOS DATOS SE INDICA(N) EN DICHA CARATULA COMO FIADOR(ES) SOLIDARIO(S) AL TENOR DE LAS SIGUIENTES:</t>
  </si>
  <si>
    <t>D E C L A R A C I O N E S:</t>
  </si>
  <si>
    <r>
      <t xml:space="preserve">I.                     </t>
    </r>
    <r>
      <rPr>
        <sz val="8"/>
        <rFont val="Arial"/>
        <family val="2"/>
      </rPr>
      <t>Declara LA PARTE ACREDITADA:</t>
    </r>
  </si>
  <si>
    <t>1.                   Que la información proporcionada y consignada en la Carátula es cierta y que la información patrimonial y financiera que ha entregado con anterioridad a EL BANCO y con base en la que EL BANCO celebra el presente Contrato, presenta de manera exacta y fiel su situación financiera, y al momento de la firma de este instrumento no existe cambio adverso alguno que afecte de manera significativa su condición financiera o sus operaciones, en su caso, por lo que está en aptitud de cumplir oportunamente con todas y cada una de las obligaciones consignadas en el presente Contrato. Para efectos del presente contrato “Carátula” significa el documento adjunto al presente Contrato y que forma parte integrante del mismo, que contiene los datos generales de la Parte Acreditada, del/de los Fiador(es) Solidario(s) del Crédito, así como información, términos y condiciones generales y particulares aplicables al presente Contrato.</t>
  </si>
  <si>
    <t>2.                   Que para la celebración de este Contrato ha obtenido todas las autorizaciones necesarias de cualquier autoridad o corporativas, en su caso, por lo que no se no requiere de ninguna autorización adicional y no tienen limitación legal, contractual, ni de ninguna autoridad judicial o administrativa o de cualquier índole, para celebrar el presente Contrato.</t>
  </si>
  <si>
    <t>3.                   Que no existe ninguna acción legal o procedimiento en su contra o de sus bienes (o que afecte a los mismos) ante autoridades judiciales o administrativas, adicional a los manifestados a EL BANCO a la fecha de este Contrato y que pudiera llegar a afectar el cumplimiento de las obligaciones contraídas en virtud del mismo.</t>
  </si>
  <si>
    <t>4.                   Que EL BANCO hizo de su conocimiento antes de la firma de este Contrato: el contenido del mismo y de todos los documentos a suscribir, los cargos, comisiones o gastos que se generarán por su celebración y, en su caso, los descuentos o bonificaciones a que tiene derecho.</t>
  </si>
  <si>
    <t>5.                   Que para el caso de que el importe del Crédito sea menor al equivalente a 900,000 Unidades de Inversión, EL BANCO hizo de su conocimiento antes de la firma de este Contrato el costo de financiamiento expresado en términos porcentuales anuales, “para fines informativos y de comparación exclusivamente”, (“Costo Anual Total” o “CAT”) el cual se indica en la Carátula del presente Contrato bajo el rubro “CAT”.</t>
  </si>
  <si>
    <t>6.                   En caso de que la PARTE ACREDITADA sea Persona Moral, que: (i) es una entidad debidamente constituida y existente de conformidad con las leyes de los Estados Unidos Mexicanos, plenamente facultada conforme al objeto de su institución para la celebración del presente Contrato; y (ii) su(s) Representante(s) cuenta(n) con capacidad legal y facultades suficientes para la celebración del presente Contrato, mismas que a la fecha no le(s) han sido revocadas, modificadas, ni restringidas de forma alguna.</t>
  </si>
  <si>
    <t>7.                   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</si>
  <si>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8.                   En su caso, celebró con EL BANCO el(los) contrato(s) de crédito que se describen en el Anexo “A” del presente Contrato, siendo el motivo del otorgamiento del presente Crédito precisamente el pago de pasivos con el propio BANCO.</t>
  </si>
  <si>
    <r>
      <t xml:space="preserve">II.                   </t>
    </r>
    <r>
      <rPr>
        <sz val="8"/>
        <rFont val="Arial"/>
        <family val="2"/>
      </rPr>
      <t>Declara EL BANCO:</t>
    </r>
  </si>
  <si>
    <t>1.                   Que es una Institución de Crédito constituida conforme a las leyes de los Estados Unidos Mexicanos plenamente facultada para celebrar el presente Contrato y sus representantes cuentan con capacidad legal y facultades suficientes para la celebración del presente Contrato, mismas que a la fecha no les han sido revocadas, modificadas, ni restringidas de forma alguna.</t>
  </si>
  <si>
    <r>
      <t xml:space="preserve">III.   </t>
    </r>
    <r>
      <rPr>
        <sz val="8"/>
        <rFont val="Arial"/>
        <family val="2"/>
      </rPr>
      <t>Declara(n) el/los FIADOR(ES) SOLIDARIO(S)</t>
    </r>
  </si>
  <si>
    <t>1.                   Que es su voluntad garantizar las obligaciones de la Parte Acreditada derivadas del presente Contrato, mediante la fianza que se establece más adelante y su aval en los pagarés que se suscriban conforme al Contrato de Crédito.</t>
  </si>
  <si>
    <t>Expuesto lo anterior, las partes otorgan las siguientes:</t>
  </si>
  <si>
    <t>C L A U S U L A S:</t>
  </si>
  <si>
    <r>
      <t xml:space="preserve">PRIMERA:- </t>
    </r>
    <r>
      <rPr>
        <sz val="8"/>
        <rFont val="Arial"/>
        <family val="2"/>
      </rPr>
      <t>IMPORTE DEL CREDITO.- EL BANCO concede a la PARTE ACREDITADA, un crédito simple, hasta por la cantidad de pesos, moneda nacional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</si>
  <si>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 solo acto, mediante la suscripción de un pagaré a la orden de EL BANCO. El pagaré de que se trata es de tipo causal, no modifica este contrato y sólo señala los plazos dentro de los cuales deberá quedar reembolsado el Crédito, así como la disposición del mismo, pero podrá ser descontados por EL BANCO en los términos del artículo 299 (doscientos noventa y nueve) de la Ley General de Títulos y Operaciones de Crédito, para lo cual lo faculta la PARTE ACREDITADA.</t>
    </r>
  </si>
  <si>
    <r>
      <t xml:space="preserve">TERCERA:- </t>
    </r>
    <r>
      <rPr>
        <sz val="8"/>
        <rFont val="Arial"/>
        <family val="2"/>
      </rPr>
      <t>DESTINO DEL CREDITO.- La PARTE ACREDITADA se obliga a invertir el importe del Crédito precisamente en el destino que se señala en la Carátula del presente Contrato bajo el rubro “Destino”.</t>
    </r>
  </si>
  <si>
    <r>
      <t xml:space="preserve">CUARTA:- </t>
    </r>
    <r>
      <rPr>
        <sz val="8"/>
        <rFont val="Arial"/>
        <family val="2"/>
      </rPr>
      <t>PLAZO DEL CREDITO.- El plazo del presente Crédito se indica en la Carátula bajo el rubro “Plazo del Crédito” contado a partir de la fecha de firma del presente Contrato. No obstante lo anterior, los términos y condiciones del presente Contrato continuarán vigentes mientras existan cantidades pendientes de pago al amparo del mismo.</t>
    </r>
  </si>
  <si>
    <r>
      <t xml:space="preserve">QUINTA:- </t>
    </r>
    <r>
      <rPr>
        <sz val="8"/>
        <rFont val="Arial"/>
        <family val="2"/>
      </rPr>
      <t>PAGO DEL CREDITO.- El pago del Crédito concedido, será efectuado por la PARTE ACREDITADA mediante el número de amortizaciones mensuales y consecutivas, por las cantidades y en las fechas de vencimiento que se establezcan en el pagaré a que se refiere la Cláusula de Disposición, en la inteligencia que, en su caso, se concede a la PARTE ACREDITADA el número de meses de gracia señalado en la Carátula de este Contrato para empezar a reembolsar el importe de capital.</t>
    </r>
  </si>
  <si>
    <r>
      <t xml:space="preserve">SEXTA:- </t>
    </r>
    <r>
      <rPr>
        <sz val="8"/>
        <rFont val="Arial"/>
        <family val="2"/>
      </rPr>
      <t>TASA DE INTERES ORDINARIO.- La PARTE ACREDITADA se obliga a pagar a EL BANCO, sin necesidad de previo requerimiento, intereses ordinarios sobre el saldo insoluto de la suma ejercida, de la siguiente manera:</t>
    </r>
  </si>
  <si>
    <t>a)      A razón de la tasa de interés anual fija cuyo porcentaje se indica en la Carátula; o bien</t>
  </si>
  <si>
    <t>b)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</si>
  <si>
    <r>
      <t>“</t>
    </r>
    <r>
      <rPr>
        <u/>
        <sz val="8"/>
        <rFont val="Arial"/>
        <family val="2"/>
      </rPr>
      <t>Diferencia</t>
    </r>
    <r>
      <rPr>
        <sz val="8"/>
        <rFont val="Arial"/>
        <family val="2"/>
      </rPr>
      <t>l”: Significa los puntos porcentuales y/o sus fracciones, fijos, que se adicionen a la Tasa TIIE como tasa de referencia, o en su caso a la tasa sustituta, para el establecimiento de la tasa de interés ordinario.</t>
    </r>
  </si>
  <si>
    <t>Los intereses se calcularán sobre la base de 360 (trescientos sesenta) días por año y se causarán sobre saldos insolutos. Los intereses serán pagaderos por mensualidades vencidas, el día calendario de cada mes que se indica en la Carátula del presente Contrato.</t>
  </si>
  <si>
    <t>Si por cualquier circunstancia en algún mes, “EL BANCO” no llegare a aplicar la tasa de interés ordinario como se establece en esta Cláusula, se conviene entre las partes expresamente, que “EL BANCO” está facultado para realizar las modificaciones o ajustes necesarios, con efectos retroactivos a aquel o aquellos meses en los que no se hubiere llevado a cabo la modificación correspondiente.</t>
  </si>
  <si>
    <t>En caso de que durante el primer año de vigencia del presente contrato “LA PARTE ACREDITADA” haya realizado el pago puntual y oportuno de todos y cada uno de los pagos de capital, de intereses ordinarios y comisiones, la tasa anual aplicable para determinar el interés ordinario e interés moratorio durante el resto de la vigencia del contrato, será la que resulte de restar un punto porcentual a la tasa anual de interés aplicable conforme a los párrafos anteriores de esta cláusula. Lo dispuesto anteriormente se aplicara a partir del mes inmediato siguiente al primer aniversario de vigencia del Crédito. Lo antes pactado quedara sin efecto en caso de que “LA PARTE ACREDITADA” incumpla en el pago puntual y oportuno de cualquier pago de capital o intereses, por lo que para el plazo restante del presente contrato a partir dicho incumplimiento, la tasa de interés ordinaria y moratoria se determinara de acuerdo a lo originalmente pactado.</t>
  </si>
  <si>
    <r>
      <t xml:space="preserve">SÉPTIMA:-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 que antecede, en la fecha en que se realice el pago o en su caso, conforme a la Cláusula de TASAS SUSTITUTAS siguiente.</t>
    </r>
  </si>
  <si>
    <r>
      <t>OCTAVA</t>
    </r>
    <r>
      <rPr>
        <sz val="8"/>
        <rFont val="Arial"/>
        <family val="2"/>
      </rPr>
      <t>.- 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</si>
  <si>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t>2.-La tasa que resulte de sumar el Diferencial establecido en la Carátula al promedio aritmético del rendimiento de Certificados de la Tesorería de la Federación (CETES), a plazo de veintiocho días o el plazo que sustituya a éste, colocados en emisión primaria, que se publica regularmente en los diarios de mayor circulación en el país, de las últimas cuatro semanas inmediatas anteriores a la fecha de inicio de cada uno de los periodos en que deba efectuarse el pago de los intereses. Si en alguna o algunas de las semanas a que se hace referencia en el párrafo que antecede, no se llegaren a emitir CETES a veintiocho días de plazo, se considerará el rendimiento de CETES de la semana inmediata anterior o posterior a la semana en que se hayan dejado de emitir dichos CETES, el que resulte superior a elección de EL BANCO. La estipulación convenida en esta Cláusula, se aplicará también a la tasa de interés moratorio, en la inteligencia de que en este evento, dicha tasa moratoria será la que resulte de sumar los puntos porcentuales establecidos en la carátula de este contrato, a la tasa sustituta que se obtenga en la fecha en que se realice el pago, multiplicada además la tasa resultante por 2 (dos).</t>
  </si>
  <si>
    <r>
      <t xml:space="preserve">NOVENA:- </t>
    </r>
    <r>
      <rPr>
        <sz val="8"/>
        <rFont val="Arial"/>
        <family val="2"/>
      </rPr>
      <t>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t>
    </r>
  </si>
  <si>
    <r>
      <t xml:space="preserve">DECIMA:- </t>
    </r>
    <r>
      <rPr>
        <sz val="8"/>
        <rFont val="Arial"/>
        <family val="2"/>
      </rPr>
      <t>PAGOS ANTICIPADOS.- La PARTE ACREDITADA podrá pagar anticipadamente, total o parcialmente, el importe del crédito, con sus respectivos intereses.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</si>
  <si>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t>Si la PARTE ACREDITADA pretende efectuar el pago total o parcial anticipado del saldo insoluto del crédito, pagará a EL BANCO simultáneamente a dicho pago anticipado, una comisión calculada conforme a la siguiente formula si los intereses se calculan a razón de una tasa de interés anual fija en términos de lo establecido en el inciso a) de la Cláusula de Tasa de Interés Ordinario que antecede:</t>
  </si>
  <si>
    <t>Dónde:</t>
  </si>
  <si>
    <t>n = número de pagos que restan al vencimiento.</t>
  </si>
  <si>
    <t>Poj = pago “j” de capital e intereses conforme a las amortizaciones del crédito (j=l, 2,...n). Los intereses se calcularán utilizando la tasa de interés ordinario pactada.</t>
  </si>
  <si>
    <t>Pnj = pago “j” de capital e intereses conforme a las amortizaciones ajustadas después del pago anticipado (j=1,2,...n). Los intereses se calcularán utilizando la tasa de interés ordinario pactada. En caso de pago anticipado total, este término de la fórmula es igual a cero.</t>
  </si>
  <si>
    <t>m = periodicidad del pago de intereses del anticipadamente (mensual) expresada en días. crédito que se paga</t>
  </si>
  <si>
    <t>Cetes = promedio de la curva de cetes vigente en la fecha del pago anticipado, expresada en los términos de la periodicidad del pago de los intereses del crédito. El promedio sólo deberá considerar los cetes a un plazo mayor o igual a "m" y menor o igual al plazo remanente del crédito, o en su defecto hasta el plazo máximo disponible. (por cetes vigente deberá entenderse los cetes correspondientes a la última subasta primaria realizada por Banco de México)</t>
  </si>
  <si>
    <t>Kj = número de días entre la fecha del pago anticipado y la fecha de pago "j".</t>
  </si>
  <si>
    <t>MP = monto del pago anticipado. La PARTE ACREDITADA se obliga a pagar a EL BANCO, en el domicilio de éste, el importe de dicha comisión, simultáneamente al pago anticipado. Si al aplicarse la fórmula antes señalada, el resultado fuera negativo o igual a cero, LA PARTE ACREDITADA no pagará importe alguno por concepto de comisión por pago anticipado. concepto de conformidad con el presente instrumento o con los pagarés, fuere día inhábil bancario, la fecha de vencimiento de dicho pago se pospondrá al día hábil bancario inmediato posterior del domicilio de EL BANCO.</t>
  </si>
  <si>
    <t>Si los intereses se calculan a razón de una tasa de interés anual variable de conformidad con lo establecido en el inciso b) de la Cláusula Tasa de Interés Ordinario que antecede, el pago que se pretenda realizar no generará el cobro de comisión alguna.</t>
  </si>
  <si>
    <r>
      <t xml:space="preserve">DECIMA PRIMERA:- </t>
    </r>
    <r>
      <rPr>
        <sz val="8"/>
        <rFont val="Arial"/>
        <family val="2"/>
      </rPr>
      <t>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t>
    </r>
  </si>
  <si>
    <r>
      <t xml:space="preserve">DECIMA SEGUNDA:-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</si>
  <si>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TERCERA:- </t>
    </r>
    <r>
      <rPr>
        <sz val="8"/>
        <rFont val="Arial"/>
        <family val="2"/>
      </rPr>
      <t>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t>
    </r>
  </si>
  <si>
    <t>La PARTE ACREDITADA faculta a EL BANCO para compensar contra las cantidades vencidas y no pagadas del Crédito, cualquier depósito constituido por la PARTE ACREDITADA en EL BANCO, así como cualquier adeudo de EL BANCO a favor de LA PARTE ACREDITADA.</t>
  </si>
  <si>
    <r>
      <t xml:space="preserve">DECIMA CUARTA:- </t>
    </r>
    <r>
      <rPr>
        <sz val="8"/>
        <rFont val="Arial"/>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</si>
  <si>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 xml:space="preserve">DECIMA QUINTA:- </t>
    </r>
    <r>
      <rPr>
        <sz val="8"/>
        <rFont val="Arial"/>
        <family val="2"/>
      </rPr>
      <t>FIANZA.- En este acto la(s) persona(s) física(s) y/o moral(es) que se mencionan en la Carátula como FIADOR(ES) SOLIDARIO(S), constituye(n) fianza solidaria 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t>
    </r>
  </si>
  <si>
    <t>Esta fianza solidaria subsistirá hasta que EL BANCO haya quedado totalmente pagado del importe del crédito, de sus accesorios y consecuencias legales, aún en los casos de prórroga o espera a la PARTE ACREDITADA sin consentimiento de el(los) FIADOR(ES) SOLIDARIO(S), o en los que éstos no puedan subrogarse por cualquier causa en los derechos y privilegios de EL BANCO o porque al volverse exigible el adeudo principal, el propio banco no ejercite sus derechos judicialmente, o si ya iniciado el juicio deja de promover sin causa justificada por más de tres meses, aún cuando el(los) FIADOR(ES) SOLIDARIO(S) solicite(n) a EL BANCO que proceda judicialmente.</t>
  </si>
  <si>
    <t>En consecuencia, el(los) FIADOR(ES) SOLIDARIO(S) renuncia(n) al contenido de los artículos 2845 (dos mil ochocientos cuarenta y cinco), 2846 (dos mil ochocientos cuarenta y seis), 2847 (dos mil ochocientos cuarenta y siete) y 2849 (dos mil ochocientos cuarenta y nueve) del Código Civil Federal.</t>
  </si>
  <si>
    <r>
      <t xml:space="preserve">DECIMA SEXTA:-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</si>
  <si>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SEPTIMA: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t>
    </r>
  </si>
  <si>
    <r>
      <t xml:space="preserve">DECIMA OCTAVA: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</si>
  <si>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DECIMA NOVENA: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</si>
  <si>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t>
    </r>
    <r>
      <rPr>
        <sz val="8"/>
        <rFont val="Arial"/>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</si>
  <si>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PRIMERA:- </t>
    </r>
    <r>
      <rPr>
        <sz val="8"/>
        <rFont val="Arial"/>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</si>
  <si>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SEGUNDA:- </t>
    </r>
    <r>
      <rPr>
        <sz val="8"/>
        <rFont val="Arial"/>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</si>
  <si>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TERCERA: </t>
    </r>
    <r>
      <rPr>
        <sz val="8"/>
        <rFont val="Arial"/>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</si>
  <si>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CUARTA: </t>
    </r>
    <r>
      <rPr>
        <sz val="8"/>
        <rFont val="Arial"/>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</si>
  <si>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QUINTA: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</si>
  <si>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 xml:space="preserve">VIGESIMA SEXTA: </t>
    </r>
    <r>
      <rPr>
        <sz val="8"/>
        <rFont val="Arial"/>
        <family val="2"/>
      </rPr>
      <t>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</si>
  <si>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t>En el supuesto de que la PARTE ACREDITADA estuviere obligada a hacer alguna retención sobre los pagos de principal, intereses ordinarios o moratorios, comisiones, gastos y costos y cualquier otra cantidad pagadera por la PARTE ACREDITADA a EL BANCO de conformidad con el presente Contrato y con los pagarés por concepto de impuestos o por cualquier otro concepto, la PARTE ACREDITADA pagará a EL BANCO las cantidades adicionales que se requieran para asegurar que EL BANCO reciba la cantidad integra que hubiere recibido si no se hubiere realizado dicha retención y entregará a EL BANCO las constancias de retención correspondientes en original y copia, dentro de los 5 (cinco) días hábiles siguientes a aquél en que sean exigibles y pagaderos.</t>
  </si>
  <si>
    <t>La PARTE ACREDITADA se obliga a sacar a EL BANCO en paz y a salvo de toda responsabilidad que a cargo de EL BANCO llegaré o pudiere llegar a existir por concepto de dichos impuestos y se obliga a reembolsar a EL BANCO, a la vista, cualquier cantidad que EL BANCO hubiera tenido que pagar por dichos conceptos, por motivo de las operaciones celebradas en el presente Contrato y los pagarés, con excepción de los Impuestos que, en su caso, deba pagar EL BANCO conforme a la legislación aplicable.</t>
  </si>
  <si>
    <t>Las obligaciones de la PARTE ACREDITADA derivadas de la presente Cláusula subsistirán durante todo el período de prescripción de los impuestos independientemente de que el Crédito quede totalmente pagado con anterioridad al término de dicho período.</t>
  </si>
  <si>
    <r>
      <t xml:space="preserve">VIGESIMA SEPTIMA: </t>
    </r>
    <r>
      <rPr>
        <sz val="8"/>
        <rFont val="Arial"/>
        <family val="2"/>
      </rPr>
      <t>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</si>
  <si>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VIGESIMA OCTAVA</t>
    </r>
    <r>
      <rPr>
        <sz val="8"/>
        <rFont val="Arial"/>
        <family val="2"/>
      </rPr>
      <t>: FECHAS DE ACREDITAMIENTO.- Los pagos que realice la PARTE ACREDITADA se aplicarán de acuerdo con el medio de pago utilizado de la siguiente manera:</t>
    </r>
  </si>
  <si>
    <t>Medios de pago:</t>
  </si>
  <si>
    <t>Fechas de acreditamiento del pago:</t>
  </si>
  <si>
    <t>Efectivo</t>
  </si>
  <si>
    <t>Se acreditará el mismo día.</t>
  </si>
  <si>
    <t>Cheque</t>
  </si>
  <si>
    <t>a) A cargo de EL BANCO, se acreditará el mismo día.</t>
  </si>
  <si>
    <t>b) De otro banco, depositado antes de las 16:00 horas, se acreditará a más tardar el día hábil bancario siguiente; y después de las 16:00 horas, se acreditará a más tardar el segundo día hábil bancario siguiente.</t>
  </si>
  <si>
    <t>Domiciliación</t>
  </si>
  <si>
    <t>Se acreditará:</t>
  </si>
  <si>
    <t>a) En la fecha que se acuerde con la PARTE ACREDITADA, o</t>
  </si>
  <si>
    <t>b) En la fecha límite de pago del Crédito.</t>
  </si>
  <si>
    <t>Transferencias electrónicas de fondos</t>
  </si>
  <si>
    <t>a) A través del Sistema de Pagos Electrónicos Interbancarios (SPEI), se acreditará el mismo día.</t>
  </si>
  <si>
    <t>b) Dentro de EL BANCO, se acreditará el mismo día.</t>
  </si>
  <si>
    <t>c) De otro banco, se acreditará a más tardar el día hábil bancario siguiente.</t>
  </si>
  <si>
    <r>
      <t xml:space="preserve">VIGESIMA NOVENA:- </t>
    </r>
    <r>
      <rPr>
        <sz val="8"/>
        <rFont val="Arial"/>
        <family val="2"/>
      </rPr>
      <t xml:space="preserve">SUCESORES Y CESIONARIOS.- La PARTE ACREDITADA no podrá ceder, enajenar, gravar o afectar en cualquier forma sus derechos u obligaciones conforme a este Contrato. </t>
    </r>
  </si>
  <si>
    <r>
      <rPr>
        <b/>
        <sz val="8"/>
        <rFont val="Arial"/>
        <family val="2"/>
      </rPr>
      <t>TRIGESIMA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</si>
  <si>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t>En este acto la PARTE ACREDITADA autoriza expresa e irrevocablemente a EL BANCO para que, en caso de que éste lleve a cabo cualquier negociación, descuento o cesión en los términos antes establecidos, pueda dar toda la información que el cesionario requiera respecto a la PARTE ACREDITADA y que haya sido proporcionada por éste a EL BANCO.</t>
  </si>
  <si>
    <r>
      <t xml:space="preserve">TRIGESIMA PRIMERA:- </t>
    </r>
    <r>
      <rPr>
        <sz val="8"/>
        <rFont val="Arial"/>
        <family val="2"/>
      </rPr>
      <t>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t>
    </r>
  </si>
  <si>
    <r>
      <t xml:space="preserve">TRIGESIMA SEGUNDA:-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</si>
  <si>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P E R S O N A L I D A D:</t>
  </si>
  <si>
    <t>Los comparecientes en el presente contrato, se reconocen entre sí la personalidad con que actúa(n), ya sea por propio derecho o en nombre y representación  de  su(s)  mandante(s) conforme a los poderes y facultades que les fueron conferidos, manifestando los representantes bajo protesta de decir verdad, que dichos poderes y facultades no les han sido revocados ni limitados, reconociendo además los comparecientes la existencia y subsistencia legal del (de los respectivos) mandante(s).</t>
  </si>
  <si>
    <t>LA PARTE ACREDITADA</t>
  </si>
  <si>
    <t>EL(LOS) FIADOR(ES) SOLIDARIO(S):</t>
  </si>
  <si>
    <t xml:space="preserve">EL BANCO </t>
  </si>
  <si>
    <t>Banco Mercantil del Norte, S.A., Institución de Banca Múltiple, Grupo Financiero Banorte</t>
  </si>
  <si>
    <t>Representado por:</t>
  </si>
  <si>
    <t>Anexo “A” del Contrato de Crédito Simple</t>
  </si>
  <si>
    <t>Descripción del(de los) contrato(s) de crédito celebrado(s) entre EL BANCO y LA PARTE ACREDITADA que se pagarán con el Crédito, cuyo saldo insoluto reconoce deber LA PARTE ACREDITADA a EL BANCO:</t>
  </si>
  <si>
    <t xml:space="preserve">1.                   Tipo        de        contrato        de        crédito:  </t>
  </si>
  <si>
    <t xml:space="preserve">                      Fecha de celebración:</t>
  </si>
  <si>
    <t xml:space="preserve">                      Importe</t>
  </si>
  <si>
    <t xml:space="preserve">                      Número de crédito</t>
  </si>
  <si>
    <t xml:space="preserve">2.                   Tipo        de        contrato        de        crédito:  </t>
  </si>
  <si>
    <t>El presente Anexo “A” se firma en la Ciudad indicada en la Carátula bajo el rubro “Lugar de Firma del Contrato” precisamente en la fecha indicada en la referida Carátula.</t>
  </si>
  <si>
    <t>CREDITO EN CUENTA CORRIENTE</t>
  </si>
  <si>
    <t>COMISION POR</t>
  </si>
  <si>
    <t>DIFERENCIAL</t>
  </si>
  <si>
    <t xml:space="preserve">DIA DE PAGO DE </t>
  </si>
  <si>
    <t>COMISION PAGOS</t>
  </si>
  <si>
    <t>APERTURA</t>
  </si>
  <si>
    <t>(TASA VARIABLE)</t>
  </si>
  <si>
    <t>INTERESES ORDINARIOS</t>
  </si>
  <si>
    <t>ANTICIPADOS</t>
  </si>
  <si>
    <t>3 DE CADA MES</t>
  </si>
  <si>
    <t>El presente documento (la “Carátula”) forma parte integrante del Contrato de Apertura de Crédito en Cuenta Corriente (el “Contrato”) que suscriben “EL BANCO”, “LA PARTE ACREDITADA” y EL  o LOS FIADOR(ES) SOLIDARIO(S)</t>
  </si>
  <si>
    <t>CONTRATO DE APERTURA DE CREDITO EN CUENTA CORRIENTE QUE CELEBRAN POR UNA PRIMERA PARTE BANCO MERCANTIL DEL NORTE, S.A., INSTITUCION DE BANCA MULTIPLE, GRUPO FINANCIERO BANORTE, A QUIEN SE LE DENOMINARA “EL BANCO”, POR UNA SEGUNDA PARTE LA(S) PERSONA(S) FISICA(S) O LA(S) PERSONA(S) MORAL(ES) CUYOS DATOS SE INDICAN EN LA CARATULA DE ESTE CONTRATO, A QUIEN(ES) SE LE(S) DENOMINARA LA “PARTE ACREDITADA”, Y POR UNA ÚLTIMA PARTE LA(S) PERSONA(S) FISICA(S) Y/O MORAL(ES) CUYOS DATOS SE INDICA(N) EN DICHA CARATULA COMO FIADOR(ES) SOLIDARIO(S) AL TENOR DE LAS SIGUIENTES:</t>
  </si>
  <si>
    <t>1.                   Que la información proporcionada y consignada en la Carátula es cierta y que la información patrimonial y financiera que ha entregado con anterioridad a EL BANCO y con base en la que EL BANCO celebra el presente Contrato, presenta de manera exacta y fiel su situación financiera, y al momento de la firma de este instrumento no existe cambio adverso alguno que afecte de manera significativa su condición financiera o sus operaciones, en su caso, por lo que está en aptitud de cumplir oportunamente con todas y cada una de las obligaciones consignadas en el presente Contrato. Para efectos del presente contrato “Carátula” significa el documento adjunto al presente Contrato y que forma parte integrante del mismo, que contiene los datos generales de la PARTE ACREDITADA, del/de los FIADOR(ES) SOLIDARIO(S) del Crédito, así como información, términos y condiciones generales y particulares aplicables al presente Contrato.</t>
  </si>
  <si>
    <t>1.                   Que es su voluntad garantizar las obligaciones de la PARTE ACREDITADA derivadas del presente Contrato, mediante la fianza que se establece más adelante y su aval en los pagarés que se suscriban conforme al Contrato de Crédito.</t>
  </si>
  <si>
    <r>
      <t xml:space="preserve">PRIMERA:- </t>
    </r>
    <r>
      <rPr>
        <sz val="8"/>
        <rFont val="Arial"/>
        <family val="2"/>
      </rPr>
      <t>IMPORTE DEL CREDITO.- EL BANCO concede a la PARTE  ACREDITADA, un crédito  en cuenta corriente, hasta por la cantidad de pesos, moneda nacional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</si>
  <si>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uno o varios actos, mediante la suscripción de pagarés a la orden de EL BANCO. Los pagarés de que se trata son de tipo causal, no modifican este contrato y sólo señalan los plazos dentro de los cuales deberá quedar reembolsado el Crédito, así como la disposición del mismo, pero podrán ser descontados por EL BANCO en los términos del artículo 299 (doscientos noventa y nueve) de la Ley General de Títulos y Operaciones de Crédito, para lo cual lo faculta la PARTE ACREDITADA.</t>
    </r>
  </si>
  <si>
    <r>
      <t xml:space="preserve">TERCERA:- </t>
    </r>
    <r>
      <rPr>
        <sz val="8"/>
        <rFont val="Arial"/>
        <family val="2"/>
      </rPr>
      <t>DESTINO DEL CREDITO.- La PARTE ACREDITADA se obliga a invertir el importe del Crédito precisamente al fomento de su actividad.</t>
    </r>
  </si>
  <si>
    <r>
      <t xml:space="preserve">QUINTA:- </t>
    </r>
    <r>
      <rPr>
        <sz val="8"/>
        <rFont val="Arial"/>
        <family val="2"/>
      </rPr>
      <t>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pactado en el párrafo que antecede.</t>
    </r>
  </si>
  <si>
    <r>
      <t xml:space="preserve">SEXTA:- </t>
    </r>
    <r>
      <rPr>
        <sz val="8"/>
        <rFont val="Arial"/>
        <family val="2"/>
      </rPr>
      <t>PAGO DEL CREDITO.- El pago del Crédito concedido, será efectuado por LA PARTE ACREDITADA, en el domicilio de “EL BANCO”, conforme a la fecha de vencimiento y cantidad que se establezcan en cada uno de los pagarés que suscriba LA PARTE ACREDITADA a favor de “EL BANCO” para amparar la disposición total o parcial del importe del Crédito y la obligación de pago del mismo, en la inteligencia de que la fecha de vencimiento que se fije en cada pagaré, no deberá exceder de la fecha de vencimiento del Crédito que se señala en la Carátula de este Contrato.</t>
    </r>
  </si>
  <si>
    <r>
      <t xml:space="preserve">SEPTIMA:- </t>
    </r>
    <r>
      <rPr>
        <sz val="8"/>
        <rFont val="Arial"/>
        <family val="2"/>
      </rPr>
      <t xml:space="preserve">TASA DE INTERES ORDINARIO.- La PARTE ACREDITADA se obliga a pagar a EL BANCO, sin necesidad de previo requerimiento, intereses ordinarios sobre el saldo insoluto de las sumas ejercidas,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 </t>
    </r>
  </si>
  <si>
    <t>“Diferencial”: Significa los puntos porcentuales y/o sus fracciones, fijos, que se adicionen a la Tasa TIIE como tasa de referencia, o en su caso a la tasa sustituta, para el establecimiento de la tasa de interés ordinario.</t>
  </si>
  <si>
    <t>Los intereses se calcularán sobre la base de 360 (trescientos sesenta) días por año y se causarán sobre el saldo insoluto de cada Disposición del Crédito. Los intereses serán pagaderos por mensualidades vencidas, el día calendario de cada mes que se indica en la Carátula del presente Contrato.</t>
  </si>
  <si>
    <t>En caso de que durante el primer año de vigencia del presente contrato “LA PARTE ACREDITADA” haya realizado el pago puntual y oportuno de todos y cada uno de los pagos de capital, de intereses ordinarios y comisiones, la tasa anual aplicable para determinar el interés ordinario e interés moratorio durante el resto de la vigencia del contrato, será la que resulte de restar un punto porcentual a la tasa anual de interés aplicable conforme a los párrafos anteriores de esta cláusula. Lo dispuesto anteriormente se aplicara a partir del mes inmediato siguiente al primer aniversario de vigencia del Crédito. Queda entendido que lo pactado en el párrafo inmediato anterior quedara sin efecto en caso de que “LA PARTE ACREDITADA” incumpla en el pago puntual y oportuno de cualquier pago de capital o intereses, por lo que para el plazo restante del presente contrato a partir dicho incumplimiento, la tasa de interés ordinaria y moratoria se determinara de acuerdo a lo originalmente pactado.</t>
  </si>
  <si>
    <r>
      <t xml:space="preserve">OCTAVA:-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 que antecede, en la fecha en que se realice el pago o en su caso, conforme a la Cláusula de TASAS SUSTITUTAS siguiente.</t>
    </r>
  </si>
  <si>
    <r>
      <t>NOVENA</t>
    </r>
    <r>
      <rPr>
        <sz val="8"/>
        <rFont val="Arial"/>
        <family val="2"/>
      </rPr>
      <t>.- 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</si>
  <si>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r>
      <t xml:space="preserve">DÉCIMA:- </t>
    </r>
    <r>
      <rPr>
        <sz val="8"/>
        <rFont val="Arial"/>
        <family val="2"/>
      </rPr>
      <t>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al hacer la primera disposición del Crédito.</t>
    </r>
  </si>
  <si>
    <r>
      <t xml:space="preserve">DECIMA PRIMERA:-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</si>
  <si>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SEGUNDA:- </t>
    </r>
    <r>
      <rPr>
        <sz val="8"/>
        <rFont val="Arial"/>
        <family val="2"/>
      </rPr>
      <t>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t>
    </r>
  </si>
  <si>
    <r>
      <t xml:space="preserve">DECIMA TERCERA:-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</si>
  <si>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CUARTA:- </t>
    </r>
    <r>
      <rPr>
        <sz val="8"/>
        <rFont val="Arial"/>
        <family val="2"/>
      </rPr>
      <t>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t>
    </r>
  </si>
  <si>
    <r>
      <t xml:space="preserve">DECIMA QUINTA:- </t>
    </r>
    <r>
      <rPr>
        <sz val="8"/>
        <rFont val="Arial"/>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</si>
  <si>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 xml:space="preserve">DECIMA SEXTA:- </t>
    </r>
    <r>
      <rPr>
        <sz val="8"/>
        <rFont val="Arial"/>
        <family val="2"/>
      </rPr>
      <t>FIANZA.- En este acto la(s) persona(s) física(s) y/o moral(es) que se mencionan en la Carátula como FIADOR(ES) SOLIDARIO(S), constituye(n) fianza  solidaria 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t>
    </r>
  </si>
  <si>
    <r>
      <rPr>
        <b/>
        <sz val="8"/>
        <rFont val="Arial"/>
        <family val="2"/>
      </rPr>
      <t xml:space="preserve">DECIMA SEPTIMA:-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</si>
  <si>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OCTAVA: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t>
    </r>
  </si>
  <si>
    <r>
      <t xml:space="preserve">DECIMA NOVENA: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t>
    </r>
  </si>
  <si>
    <t>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</si>
  <si>
    <r>
      <t xml:space="preserve">VIGESIMA: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</si>
  <si>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PRIMERA- </t>
    </r>
    <r>
      <rPr>
        <sz val="8"/>
        <rFont val="Arial"/>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</si>
  <si>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SEGUNDA:- </t>
    </r>
    <r>
      <rPr>
        <sz val="8"/>
        <rFont val="Arial"/>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</si>
  <si>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TERCERA:- </t>
    </r>
    <r>
      <rPr>
        <sz val="8"/>
        <rFont val="Arial"/>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</si>
  <si>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CUARTA: </t>
    </r>
    <r>
      <rPr>
        <sz val="8"/>
        <rFont val="Arial"/>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</si>
  <si>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QUINTA: </t>
    </r>
    <r>
      <rPr>
        <sz val="8"/>
        <rFont val="Arial"/>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</si>
  <si>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SEXTA: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</si>
  <si>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 xml:space="preserve">VIGESIMA SEPTIMA: </t>
    </r>
    <r>
      <rPr>
        <sz val="8"/>
        <rFont val="Arial"/>
        <family val="2"/>
      </rPr>
      <t>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</si>
  <si>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 xml:space="preserve">VIGESIMA OCTAVA: </t>
    </r>
    <r>
      <rPr>
        <sz val="8"/>
        <rFont val="Arial"/>
        <family val="2"/>
      </rPr>
      <t>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</si>
  <si>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VIGESIMA NOVENA</t>
    </r>
    <r>
      <rPr>
        <sz val="8"/>
        <rFont val="Arial"/>
        <family val="2"/>
      </rPr>
      <t>: FECHAS DE ACREDITAMIENTO.- Los pagos que realice la PARTE ACREDITADA se aplicarán de acuerdo con el medio de pago utilizado de la siguiente manera:</t>
    </r>
  </si>
  <si>
    <r>
      <t xml:space="preserve">TRIGESIMA:- </t>
    </r>
    <r>
      <rPr>
        <sz val="8"/>
        <rFont val="Arial"/>
        <family val="2"/>
      </rPr>
      <t>SUCESORES Y CESIONARIOS.- La PARTE ACREDITADA no podrá ceder, enajenar, gravar o afectar en cualquier forma sus derechos u obligaciones conforme a este Contrato.</t>
    </r>
  </si>
  <si>
    <r>
      <t>TRIGESIMA PRIMERA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</si>
  <si>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SEGUNDA:- </t>
    </r>
    <r>
      <rPr>
        <sz val="8"/>
        <rFont val="Arial"/>
        <family val="2"/>
      </rPr>
      <t>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t>
    </r>
  </si>
  <si>
    <r>
      <t xml:space="preserve">TRIGESIMA TERCERA:-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</si>
  <si>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Los comparecientes en el presente contrato, se reconocen entre sí  la personalidad con que actúa(n), ya sea por propio derecho o en nombre y representación  de  su(s)  mandante(s) conforme a los poderes y facultades que les fueron conferidos, manifestando los representantes bajo protesta de decir verdad, que dichos poderes y facultades no les han sido revocados ni limitados, reconociendo además los comparecientes la existencia y subsistencia legal del (de los respectivos) mandante(s).</t>
  </si>
  <si>
    <t>EL BANCO</t>
  </si>
  <si>
    <t>Banco Mercantil del Norte, S.A., Institución de Banca Múltiple, Grupo Financiero Banorte Representado por:</t>
  </si>
  <si>
    <t>CREDIACTIVO PROGRAMAS DE APOYO</t>
  </si>
  <si>
    <t>COMISION PAGOS ANTICIPADOS</t>
  </si>
  <si>
    <r>
      <t xml:space="preserve">II.                     </t>
    </r>
    <r>
      <rPr>
        <sz val="8"/>
        <rFont val="Arial"/>
        <family val="2"/>
      </rPr>
      <t>Declara EL BANCO:</t>
    </r>
  </si>
  <si>
    <r>
      <t xml:space="preserve">III.    </t>
    </r>
    <r>
      <rPr>
        <sz val="8"/>
        <rFont val="Arial"/>
        <family val="2"/>
      </rPr>
      <t>Declara(n) el/los FIADOR(ES) SOLIDARIO(S)</t>
    </r>
  </si>
  <si>
    <t>b)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</si>
  <si>
    <t>2.-La tasa que resulte de sumar el Diferencial establecido en la Carátula al promedio aritmético del rendimiento de Certificados de la Tesorería de la Federación (CETES), a plazo de veintiocho días o el plazo que sustituya a éste, colocados en emisión primaria, que se publica regularmente en los diarios de mayor circulación en el país, de las últimas cuatro semanas inmediatas anteriores a la fecha de inicio de cada uno de los periodos en que deba efectuarse el pago de los intereses. Si en alguna o algunas de las semanas a que se hace referencia en el párrafo que antecede, no se llegaren a emitir CETES a veintiocho días de plazo, se considerará el rendimiento de CETES de la semana inmediata anterior o posterior a la semana en que se hayan dejado de emitir dichos CETES, el que resulte superior a elección de EL BANCO. La estipulación convenida en esta Cláusula, se aplicará también a la tasa de interés moratorio, en la inteligencia de que en este evento, dicha  tasa moratoria será la que resulte de sumar los puntos porcentuales establecidos en la carátula de este contrato, a la tasa sustituta que se obtenga en la fecha en que se realice el pago, multiplicada además la tasa resultante por 2 (dos).</t>
  </si>
  <si>
    <r>
      <t xml:space="preserve">DECIMA:-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</si>
  <si>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SEXTA:-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</si>
  <si>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OCTAVA: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</si>
  <si>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t>En el supuesto de que la PARTE ACREDITADA estuviere obligada a hacer alguna retención sobre los pagos de principal, intereses ordinarios o moratorios, comisiones, gastos y costos y cualquier otra cantidad  pagadera  por  la  PARTE  ACREDITADA a  EL  BANCO  de  conformidad  con  el  presente</t>
  </si>
  <si>
    <t>Contrato y con los pagarés por concepto de impuestos o por cualquier otro concepto, la PARTE ACREDITADA pagará a EL BANCO las cantidades adicionales que se requieran para asegurar que EL BANCO reciba la cantidad integra que hubiere recibido si no se hubiere realizado dicha retención y entregará a EL BANCO las constancias de retención correspondientes en original y copia, dentro de los 5 (cinco) días hábiles siguientes a aquél en que sean exigibles y pagaderos.</t>
  </si>
  <si>
    <r>
      <t xml:space="preserve">VIGESIMA NOVENA:- </t>
    </r>
    <r>
      <rPr>
        <sz val="8"/>
        <rFont val="Arial"/>
        <family val="2"/>
      </rPr>
      <t>SUCESORES Y CESIONARIOS.- La PARTE ACREDITADA no podrá ceder, enajenar, gravar o afectar en cualquier forma sus derechos u obligaciones conforme a este Contrato.</t>
    </r>
  </si>
  <si>
    <r>
      <t>TRIGESIMA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</si>
  <si>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t>CREDIACTIVO DOLARES</t>
  </si>
  <si>
    <t>PUNTOS PORCENTUALES</t>
  </si>
  <si>
    <t>MESES DE GRACIA</t>
  </si>
  <si>
    <t>DE CAPITAL</t>
  </si>
  <si>
    <t>I.                     Declara LA PARTE ACREDITADA:</t>
  </si>
  <si>
    <t xml:space="preserve">8.                   En su caso, celebró con EL BANCO el(los) contrato(s) de crédito que se describen en el Anexo “A” del presente Contrato, siendo el motivo del otorgamiento del presente Crédito precisamente el pago de pasivos con el propio BANCO. </t>
  </si>
  <si>
    <r>
      <t xml:space="preserve">II.                   </t>
    </r>
    <r>
      <rPr>
        <sz val="8"/>
        <rFont val="Arial"/>
        <family val="2"/>
      </rPr>
      <t>Declara EL BANCO:</t>
    </r>
  </si>
  <si>
    <r>
      <t>III.</t>
    </r>
    <r>
      <rPr>
        <sz val="8"/>
        <rFont val="Arial"/>
        <family val="2"/>
      </rPr>
      <t xml:space="preserve"> Declara(n) el/los FIADOR(ES) SOLIDARIO(S)</t>
    </r>
  </si>
  <si>
    <r>
      <t xml:space="preserve">PRIMERA:- </t>
    </r>
    <r>
      <rPr>
        <sz val="8"/>
        <rFont val="Arial"/>
        <family val="2"/>
      </rPr>
      <t>IMPORTE DEL CREDITO.- EL BANCO concede a la PARTE ACREDITADA, un crédito simple, hasta por la cantidad de dólares, moneda del curso legal de los Estados Unidos de América (“Dólares”) que se indica en la Carátula de este contrato (en lo sucesivo el “Crédito”). Dentro del límite del Crédito no quedan comprendidos los intereses, comisiones y gastos que debe pagar la PARTE ACREDITADA y que se estipulan en el presente instrumento.</t>
    </r>
  </si>
  <si>
    <r>
      <t xml:space="preserve">QUINTA:- </t>
    </r>
    <r>
      <rPr>
        <sz val="8"/>
        <rFont val="Arial"/>
        <family val="2"/>
      </rPr>
      <t xml:space="preserve">PAGO DEL CREDITO.- El pago del Crédito concedido, será efectuado por la PARTE ACREDITADA mediante el número de amortizaciones mensuales y consecutivas, por las cantidades y en las fechas de vencimiento que se establezcan en el pagaré a que se refiere la Cláusula de Disposición, en la inteligencia que, en su caso, se concede a la PARTE ACREDITADA el número de meses de gracia señalado en la Carátula de este Contrato para empezar a reembolsar el importe de capital. </t>
    </r>
  </si>
  <si>
    <r>
      <t>SEXTA:-</t>
    </r>
    <r>
      <rPr>
        <sz val="8"/>
        <rFont val="Arial"/>
        <family val="2"/>
      </rPr>
      <t xml:space="preserve"> TASA DE INTERES ORDINARIO.- La PARTE ACREDITADA se obliga a pagar a EL BANCO, sin necesidad de previo requerimiento, intereses ordinarios sobre el saldo insoluto de la suma ejercida, a razón de la tasa de interés anual variable que resulte de sumar el Diferencial (como dicho término se define más adelante) que se señala en la Carátula, a la Tasa Interbancaria de Londres (London Interbank Offered Rate (“LIBOR”) en operaciones de 6 (seis) meses para la moneda Dólar de los Estados Unidos de América, cotizada en el mercado internacional y que se publica diariamente por la Asociación de Banqueros Británicos (BBA por sus siglas en inglés) en el sistema Reuters en la página Libor o en la que llegue a sustituir esta página. Para determinar la tasa inicial se tomará la LIBOR publicada en la fecha de disposición del importe del crédito, para los meses subsecuentes se tomará la Tasa LIBOR publicada en la fecha de pago de los intereses. </t>
    </r>
  </si>
  <si>
    <r>
      <t>“</t>
    </r>
    <r>
      <rPr>
        <u/>
        <sz val="8"/>
        <rFont val="Arial"/>
        <family val="2"/>
      </rPr>
      <t>Diferencial</t>
    </r>
    <r>
      <rPr>
        <sz val="8"/>
        <rFont val="Arial"/>
        <family val="2"/>
      </rPr>
      <t>”: Significa los puntos porcentuales y/o sus fracciones, fijos, que se adicionen a la Tasa LIBOR como tasa de referencia, o en su caso a la tasa sustituta, para el establecimiento de la tasa de interés ordinario.</t>
    </r>
  </si>
  <si>
    <r>
      <t xml:space="preserve">SÉPTIMA:-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3 (tres) la tasa que se determine conforme a la Cláusula de TASA DE INTERES ORDINARIO</t>
    </r>
    <r>
      <rPr>
        <b/>
        <sz val="8"/>
        <rFont val="Arial"/>
        <family val="2"/>
      </rPr>
      <t xml:space="preserve"> </t>
    </r>
    <r>
      <rPr>
        <sz val="8"/>
        <rFont val="Arial"/>
        <family val="2"/>
      </rPr>
      <t xml:space="preserve">que antecede, en la fecha en que se realice el pago o en su caso, conforme a la Cláusula de TASA SUSTITUTA siguiente. </t>
    </r>
  </si>
  <si>
    <r>
      <t>OCTAVA</t>
    </r>
    <r>
      <rPr>
        <sz val="8"/>
        <rFont val="Arial"/>
        <family val="2"/>
      </rPr>
      <t xml:space="preserve">.- </t>
    </r>
    <r>
      <rPr>
        <sz val="8"/>
        <color rgb="FF000000"/>
        <rFont val="Arial"/>
        <family val="2"/>
      </rPr>
      <t xml:space="preserve"> TASAS SUSTITUTAS. – </t>
    </r>
    <r>
      <rPr>
        <sz val="8"/>
        <rFont val="Arial"/>
        <family val="2"/>
      </rPr>
      <t>En el evento de que no se llegare a publicar la Tasa LIBOR, se considerará la publicada el día inmediato anterior al día en que se haya dejado de publicar dicha Tasa LIBOR. Si la Tasa LIBOR dejara de publicarse de manera definitiva, la tasa anual de interés que se aplicará en lo sucesivo será la que resulte de sumar el Diferencial establecido en la Carátula, a la Tasa PRIME RATE para dólares, moneda de los Estados Unidos de América, cotizada en ese país y que se publica diariamente por el Wall Street Journal en el sistema Reuters o en la que llegue a sustituir esta página, correspondiente a la Tasa PRIME RATE vigente en la fecha de inicio de cada uno de los períodos en que deba efectuarse el pago de los intereses. La estipulación convenida en esta Cláusula, aplicará también para el cálculo de la tasa de interés moratorio.</t>
    </r>
  </si>
  <si>
    <r>
      <t xml:space="preserve">NOVENA:- </t>
    </r>
    <r>
      <rPr>
        <sz val="8"/>
        <rFont val="Arial"/>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 </t>
    </r>
  </si>
  <si>
    <r>
      <t xml:space="preserve">DECIMA:- </t>
    </r>
    <r>
      <rPr>
        <sz val="8"/>
        <rFont val="Arial"/>
        <family val="2"/>
      </rPr>
      <t xml:space="preserve">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</si>
  <si>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r>
      <t xml:space="preserve">DECIMA PRIMERA:- </t>
    </r>
    <r>
      <rPr>
        <sz val="8"/>
        <rFont val="Arial"/>
        <family val="2"/>
      </rPr>
      <t xml:space="preserve">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 </t>
    </r>
  </si>
  <si>
    <r>
      <t>DECIMA SEGUNDA:-</t>
    </r>
    <r>
      <rPr>
        <sz val="8"/>
        <rFont val="Arial"/>
        <family val="2"/>
      </rPr>
      <t xml:space="preserve"> PAGOS.- La PARTE ACREDITADA se obliga a pagar el importe del crédito, intereses ordinarios, intereses moratorios, y demás cantidades que adeude con motivo de este contrato, en dólares de los Estados Unidos de América, precisamente en </t>
    </r>
    <r>
      <rPr>
        <i/>
        <sz val="8"/>
        <rFont val="Arial"/>
        <family val="2"/>
      </rPr>
      <t>Bank of America, N.A.</t>
    </r>
    <r>
      <rPr>
        <sz val="8"/>
        <rFont val="Arial"/>
        <family val="2"/>
      </rPr>
      <t xml:space="preserve"> ubicado en 555 California Street, San Francisco, California, 94104, Estados Unidos de América o en cualquier otro domicilio que indique por escrito EL BANCO a LA PARTE ACREDITADA con la debida anticipación, mediante depósito en la cuenta número 6290292217 (seis, dos, nueve, cero, dos, nueve, dos, dos, uno, siete)</t>
    </r>
    <r>
      <rPr>
        <b/>
        <sz val="8"/>
        <rFont val="Arial"/>
        <family val="2"/>
      </rPr>
      <t xml:space="preserve"> </t>
    </r>
    <r>
      <rPr>
        <sz val="8"/>
        <rFont val="Arial"/>
        <family val="2"/>
      </rPr>
      <t xml:space="preserve">ABA 026009593 (cero, dos, seis, cero, cero, nueve, cinco, nueve, tres), Swift: BOFAUS6S que </t>
    </r>
    <r>
      <rPr>
        <i/>
        <sz val="8"/>
        <rFont val="Arial"/>
        <family val="2"/>
      </rPr>
      <t xml:space="preserve">Bank of America, N.A. </t>
    </r>
    <r>
      <rPr>
        <sz val="8"/>
        <rFont val="Arial"/>
        <family val="2"/>
      </rPr>
      <t>le lleva a EL BANCO o en cualquier otra cuenta que por escrito indique EL BANCO a la PARTE ACREDITADA con la debida anticipación.</t>
    </r>
  </si>
  <si>
    <r>
      <t xml:space="preserve">DECIMA TERCERA:- </t>
    </r>
    <r>
      <rPr>
        <sz val="8"/>
        <rFont val="Arial"/>
        <family val="2"/>
      </rPr>
      <t xml:space="preserve">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 </t>
    </r>
  </si>
  <si>
    <r>
      <t>DECIMA QUINTA:-</t>
    </r>
    <r>
      <rPr>
        <sz val="8"/>
        <rFont val="Arial"/>
        <family val="2"/>
      </rPr>
      <t xml:space="preserve"> FIANZA.- En este acto la(s) persona(s) física(s) y/o moral(es) que se mencionan en la Carátula como FIADOR(ES) SOLIDARIO(S), constituye(n) fianza  solidaria</t>
    </r>
    <r>
      <rPr>
        <b/>
        <sz val="8"/>
        <rFont val="Arial"/>
        <family val="2"/>
      </rPr>
      <t xml:space="preserve"> </t>
    </r>
    <r>
      <rPr>
        <sz val="8"/>
        <rFont val="Arial"/>
        <family val="2"/>
      </rPr>
      <t xml:space="preserve">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 </t>
    </r>
  </si>
  <si>
    <t xml:space="preserve">Esta fianza solidaria subsistirá hasta que EL BANCO haya quedado totalmente pagado del importe del crédito, de sus accesorios y consecuencias legales, aún en los casos de prórroga o espera a la PARTE ACREDITADA sin consentimiento de el(los) FIADOR(ES) SOLIDARIO(S), o en los que éstos no puedan subrogarse por cualquier causa en los derechos y privilegios de EL BANCO o porque al volverse exigible el adeudo principal, el propio banco no ejercite sus derechos judicialmente, o si ya iniciado el juicio deja de promover sin causa justificada por más de tres meses, aún cuando el(los) FIADOR(ES) SOLIDARIO(S) solicite(n) a EL BANCO que proceda judicialmente.                         </t>
  </si>
  <si>
    <t>En consecuencia, el(los) FIADOR(ES) SOLIDARIO(S) renuncia(n) al contenido de los artículos 2845 (dos mil ochocientos cuarenta y cinco), 2846 (dos mil ochocientos cuarenta y seis), 2847 (dos mil ochocientos cuarenta y siete) y 2849 (dos mil ochocientos cuarenta y nueve) del Código Civil Federal.  </t>
  </si>
  <si>
    <r>
      <t xml:space="preserve">DECIMA SEXTA:- </t>
    </r>
    <r>
      <rPr>
        <sz val="8"/>
        <rFont val="Arial"/>
        <family val="2"/>
      </rPr>
      <t xml:space="preserve">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t>
    </r>
  </si>
  <si>
    <r>
      <t xml:space="preserve">DECIMA SEPTIMA: </t>
    </r>
    <r>
      <rPr>
        <sz val="8"/>
        <rFont val="Arial"/>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 </t>
    </r>
  </si>
  <si>
    <r>
      <t xml:space="preserve">DECIMA OCTAVA: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</si>
  <si>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QUINTA: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</si>
  <si>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VIGESIMA SEXTA:</t>
    </r>
    <r>
      <rPr>
        <sz val="8"/>
        <rFont val="Arial"/>
        <family val="2"/>
      </rPr>
      <t xml:space="preserve"> 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</si>
  <si>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VIGESIMA SEPTIMA:</t>
    </r>
    <r>
      <rPr>
        <sz val="8"/>
        <rFont val="Arial"/>
        <family val="2"/>
      </rPr>
      <t xml:space="preserve"> 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</si>
  <si>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TRIGESIMA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</si>
  <si>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PRIMERA:- </t>
    </r>
    <r>
      <rPr>
        <sz val="8"/>
        <rFont val="Arial"/>
        <family val="2"/>
      </rPr>
      <t xml:space="preserve">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 </t>
    </r>
  </si>
  <si>
    <t>Los comparecientes en el presente contrato, se reconocen entre sí la personalidad  con  que actúa(n), ya sea por  propio derecho  o en nombre y representación de su(s) mandante(s) conforme a los poderes y facultades que les fueron conferidos, manifestando los representantes bajo protesta de decir verdad, que dichos poderes y facultades no les han sido revocados ni limitados, reconociendo además los comparecientes la existencia y subsistencia legal del (de los respectivos) mandante(s).</t>
  </si>
  <si>
    <t>II.                    Declara EL BANCO:</t>
  </si>
  <si>
    <r>
      <t xml:space="preserve">PRIMERA:- </t>
    </r>
    <r>
      <rPr>
        <sz val="8"/>
        <rFont val="Arial"/>
        <family val="2"/>
      </rPr>
      <t>IMPORTE DEL CREDITO.- EL BANCO concede a la PARTE ACREDITADA, un crédito en cuenta corriente, hasta por la cantidad de dólares, moneda del curso legal de los Estados Unidos de América (“Dólares”)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</si>
  <si>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uno o varios actos, mediante la suscripción de pagarés a la orden de EL BANCO. Los pagarés de que se trata es de tipo causal, no modifican este contrato y sólo señalan los plazos dentro de los cuales deberá quedar reembolsado el Crédito, así como la disposición del mismo, pero podrán ser descontados por EL BANCO en los términos del artículo 299 (doscientos noventa y nueve) de la Ley General de Títulos y Operaciones de Crédito, para lo cual lo faculta la PARTE ACREDITADA.</t>
    </r>
  </si>
  <si>
    <r>
      <t xml:space="preserve">TERCERA:- </t>
    </r>
    <r>
      <rPr>
        <sz val="8"/>
        <rFont val="Arial"/>
        <family val="2"/>
      </rPr>
      <t>DESTINO DEL CREDITO.- La PARTE ACREDITADA se obliga a invertir el importe del Crédito precisamente en el fomento de su actividad.</t>
    </r>
  </si>
  <si>
    <r>
      <t>QUINTA:-</t>
    </r>
    <r>
      <rPr>
        <sz val="8"/>
        <color rgb="FF000000"/>
        <rFont val="Arial"/>
        <family val="2"/>
      </rPr>
      <t xml:space="preserve"> 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pactado en el párrafo que antecede.</t>
    </r>
  </si>
  <si>
    <r>
      <t xml:space="preserve">SEXTA:- </t>
    </r>
    <r>
      <rPr>
        <sz val="8"/>
        <rFont val="Arial"/>
        <family val="2"/>
      </rPr>
      <t xml:space="preserve">PAGO DEL CREDITO.- </t>
    </r>
    <r>
      <rPr>
        <sz val="8"/>
        <color rgb="FF000000"/>
        <rFont val="Arial"/>
        <family val="2"/>
      </rPr>
      <t xml:space="preserve">El pago del Crédito concedido será efectuado por LA PARTE ACREDITADA conforme a la fecha de vencimiento y cantidad que se establezcan en cada uno de los pagarés que suscriba LA PARTE ACREDITADA a favor de “EL BANCO” para amparar la disposición total o parcial del importe del Crédito y la obligación de pago del mismo, en la inteligencia de que la fecha de vencimiento que se fije en cada pagaré, no deberá exceder de la fecha de vencimiento del Crédito que se señala en la Carátula de este Contrato. </t>
    </r>
  </si>
  <si>
    <r>
      <t>SEPTIMA:-</t>
    </r>
    <r>
      <rPr>
        <sz val="8"/>
        <rFont val="Arial"/>
        <family val="2"/>
      </rPr>
      <t xml:space="preserve"> TASA DE INTERES ORDINARIO.- La PARTE ACREDITADA se obliga a pagar a EL BANCO, sin necesidad de previo requerimiento, intereses ordinarios sobre el saldo insoluto de la suma ejercida, a razón de la tasa de interés anual variable que resulte de sumar el Diferencial (como dicho término se define más adelante) que se señala en la Carátula, a la Tasa Interbancaria de Londres (London Interbank Offered Rate (“LIBOR”) en operaciones de 6 (seis) meses para la moneda Dólar de los Estados Unidos de América, cotizada en el mercado internacional y que se publica diariamente por la Asociación de Banqueros Británicos (BBA por sus siglas en inglés) en el sistema Reuters en la página Libor o en la que llegue a sustituir esta página. Para determinar la tasa inicial se tomará la LIBOR publicada en la fecha de disposición del  crédito, para los meses subsecuentes, se tomará la Tasa LIBOR  publicada en la fecha de pago de los intereses. </t>
    </r>
  </si>
  <si>
    <r>
      <t xml:space="preserve">OCTAVA:-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3 (tres) la tasa que se determine conforme a la Cláusula de TASA DE INTERES ORDINARIO</t>
    </r>
    <r>
      <rPr>
        <b/>
        <sz val="8"/>
        <rFont val="Arial"/>
        <family val="2"/>
      </rPr>
      <t xml:space="preserve"> </t>
    </r>
    <r>
      <rPr>
        <sz val="8"/>
        <rFont val="Arial"/>
        <family val="2"/>
      </rPr>
      <t xml:space="preserve">que antecede, en la fecha en que se realice el pago o en su caso, conforme a la Cláusula de TASA SUSTITUTA siguiente. </t>
    </r>
  </si>
  <si>
    <r>
      <t>NOVENA</t>
    </r>
    <r>
      <rPr>
        <sz val="8"/>
        <rFont val="Arial"/>
        <family val="2"/>
      </rPr>
      <t xml:space="preserve">:- </t>
    </r>
    <r>
      <rPr>
        <sz val="8"/>
        <color rgb="FF000000"/>
        <rFont val="Arial"/>
        <family val="2"/>
      </rPr>
      <t xml:space="preserve"> TASAS SUSTITUTAS. – </t>
    </r>
    <r>
      <rPr>
        <sz val="8"/>
        <rFont val="Arial"/>
        <family val="2"/>
      </rPr>
      <t>En el evento de que no se llegare a publicar la Tasa LIBOR, se considerará la publicada el día inmediato anterior al día en que se haya dejado de publicar dicha Tasa LIBOR. Si la Tasa LIBOR dejara de publicarse de manera definitiva, la tasa anual de interés que se aplicará en lo sucesivo será la que resulte de sumar el Diferencial establecido en la Carátula, a la Tasa PRIME RATE para dólares, moneda de los Estados Unidos de América, cotizada en ese país y que se publica diariamente por el Wall Street Journal en el sistema Reuters o en la que llegue a sustituir esta página, correspondiente a la Tasa PRIME RATE vigente en la fecha de inicio de cada uno de los períodos en que deba efectuarse el pago de los intereses. La estipulación convenida en esta Cláusula, aplicará también para el cálculo de la tasa de interés moratorio.</t>
    </r>
  </si>
  <si>
    <r>
      <t xml:space="preserve">DECIMA:- </t>
    </r>
    <r>
      <rPr>
        <sz val="8"/>
        <rFont val="Arial"/>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 </t>
    </r>
  </si>
  <si>
    <r>
      <t xml:space="preserve">DECIMA PRIMERA:- </t>
    </r>
    <r>
      <rPr>
        <sz val="8"/>
        <rFont val="Arial"/>
        <family val="2"/>
      </rPr>
      <t xml:space="preserve">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</si>
  <si>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r>
      <t xml:space="preserve">DECIMA SEGUNDA:- </t>
    </r>
    <r>
      <rPr>
        <sz val="8"/>
        <rFont val="Arial"/>
        <family val="2"/>
      </rPr>
      <t xml:space="preserve">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 </t>
    </r>
  </si>
  <si>
    <r>
      <t>DECIMA TERCERA:-</t>
    </r>
    <r>
      <rPr>
        <sz val="8"/>
        <rFont val="Arial"/>
        <family val="2"/>
      </rPr>
      <t xml:space="preserve"> PAGOS.- La PARTE ACREDITADA se obliga a pagar el importe del crédito, intereses ordinarios, intereses moratorios, y demás cantidades que adeude con motivo de este contrato, en dólares de los Estados Unidos de América, precisamente en </t>
    </r>
    <r>
      <rPr>
        <i/>
        <sz val="8"/>
        <rFont val="Arial"/>
        <family val="2"/>
      </rPr>
      <t>Bank of America, N.A.</t>
    </r>
    <r>
      <rPr>
        <sz val="8"/>
        <rFont val="Arial"/>
        <family val="2"/>
      </rPr>
      <t xml:space="preserve"> ubicado en 555 California Street, San Francisco, California, 94104, Estados Unidos de América o en cualquier otro domicilio que indique por escrito EL BANCO a LA PARTE ACREDITADA con la debida anticipación, mediante depósito en la cuenta número 6290292217 (seis, dos, nueve, cero, dos, nueve, dos, dos, uno, siete)</t>
    </r>
    <r>
      <rPr>
        <b/>
        <sz val="8"/>
        <rFont val="Arial"/>
        <family val="2"/>
      </rPr>
      <t xml:space="preserve"> </t>
    </r>
    <r>
      <rPr>
        <sz val="8"/>
        <rFont val="Arial"/>
        <family val="2"/>
      </rPr>
      <t xml:space="preserve">ABA 026009593 (cero, dos, seis, cero, cero, nueve, cinco, nueve, tres), Swift: BOFAUS6S que </t>
    </r>
    <r>
      <rPr>
        <i/>
        <sz val="8"/>
        <rFont val="Arial"/>
        <family val="2"/>
      </rPr>
      <t xml:space="preserve">Bank of America, N.A. </t>
    </r>
    <r>
      <rPr>
        <sz val="8"/>
        <rFont val="Arial"/>
        <family val="2"/>
      </rPr>
      <t>le lleva a EL BANCO o en cualquier otra cuenta que por escrito indique EL BANCO a la PARTE ACREDITADA con la debida anticipación.</t>
    </r>
  </si>
  <si>
    <r>
      <t xml:space="preserve">DECIMA CUARTA:- </t>
    </r>
    <r>
      <rPr>
        <sz val="8"/>
        <rFont val="Arial"/>
        <family val="2"/>
      </rPr>
      <t xml:space="preserve">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 </t>
    </r>
  </si>
  <si>
    <r>
      <t>DECIMA SEXTA:-</t>
    </r>
    <r>
      <rPr>
        <sz val="8"/>
        <rFont val="Arial"/>
        <family val="2"/>
      </rPr>
      <t xml:space="preserve"> FIANZA.- En este acto la(s) persona(s) física(s) y/o moral(es) que se mencionan en la Carátula como FIADOR(ES) SOLIDARIO(S), constituye(n) fianza  solidaria</t>
    </r>
    <r>
      <rPr>
        <b/>
        <sz val="8"/>
        <rFont val="Arial"/>
        <family val="2"/>
      </rPr>
      <t xml:space="preserve"> </t>
    </r>
    <r>
      <rPr>
        <sz val="8"/>
        <rFont val="Arial"/>
        <family val="2"/>
      </rPr>
      <t xml:space="preserve">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 </t>
    </r>
  </si>
  <si>
    <r>
      <t xml:space="preserve">DECIMA SEPTIMA:- </t>
    </r>
    <r>
      <rPr>
        <sz val="8"/>
        <rFont val="Arial"/>
        <family val="2"/>
      </rPr>
      <t xml:space="preserve">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t>
    </r>
  </si>
  <si>
    <r>
      <t xml:space="preserve">DECIMA OCTAVA: </t>
    </r>
    <r>
      <rPr>
        <sz val="8"/>
        <rFont val="Arial"/>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 </t>
    </r>
  </si>
  <si>
    <r>
      <t xml:space="preserve">DECIMA NOVENA: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</si>
  <si>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</si>
  <si>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VIGESIMA SEPTIMA:</t>
    </r>
    <r>
      <rPr>
        <sz val="8"/>
        <rFont val="Arial"/>
        <family val="2"/>
      </rPr>
      <t xml:space="preserve"> 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</si>
  <si>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VIGESIMA OCTAVA:</t>
    </r>
    <r>
      <rPr>
        <sz val="8"/>
        <rFont val="Arial"/>
        <family val="2"/>
      </rPr>
      <t xml:space="preserve"> 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</si>
  <si>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TRIGESIMA PRIMERA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</si>
  <si>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SEGUNDA:- </t>
    </r>
    <r>
      <rPr>
        <sz val="8"/>
        <rFont val="Arial"/>
        <family val="2"/>
      </rPr>
      <t xml:space="preserve">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 </t>
    </r>
  </si>
  <si>
    <r>
      <t xml:space="preserve">DECIMA:- </t>
    </r>
    <r>
      <rPr>
        <sz val="9"/>
        <rFont val="Century Gothic"/>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 </t>
    </r>
  </si>
  <si>
    <r>
      <t xml:space="preserve">DECIMA PRIMERA:- </t>
    </r>
    <r>
      <rPr>
        <sz val="9"/>
        <rFont val="Century Gothic"/>
        <family val="2"/>
      </rPr>
      <t xml:space="preserve">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</si>
  <si>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r>
      <t xml:space="preserve">DECIMA SEGUNDA:- </t>
    </r>
    <r>
      <rPr>
        <sz val="9"/>
        <rFont val="Century Gothic"/>
        <family val="2"/>
      </rPr>
      <t xml:space="preserve">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 </t>
    </r>
  </si>
  <si>
    <r>
      <t>DECIMA TERCERA:-</t>
    </r>
    <r>
      <rPr>
        <sz val="9"/>
        <rFont val="Century Gothic"/>
        <family val="2"/>
      </rPr>
      <t xml:space="preserve"> PAGOS.- La PARTE ACREDITADA se obliga a pagar el importe del crédito, intereses ordinarios, intereses moratorios, y demás cantidades que adeude con motivo de este contrato, en dólares de los Estados Unidos de América, precisamente en </t>
    </r>
    <r>
      <rPr>
        <i/>
        <sz val="9"/>
        <rFont val="Century Gothic"/>
        <family val="2"/>
      </rPr>
      <t>Bank of America, N.A.</t>
    </r>
    <r>
      <rPr>
        <sz val="9"/>
        <rFont val="Century Gothic"/>
        <family val="2"/>
      </rPr>
      <t xml:space="preserve"> ubicado en 555 California Street, San Francisco, California, 94104, Estados Unidos de América o en cualquier otro domicilio que indique por escrito EL BANCO a LA PARTE ACREDITADA con la debida anticipación, mediante depósito en la cuenta número 6290292217 (seis, dos, nueve, cero, dos, nueve, dos, dos, uno, siete)</t>
    </r>
    <r>
      <rPr>
        <b/>
        <sz val="10"/>
        <rFont val="Arial"/>
        <family val="2"/>
      </rPr>
      <t xml:space="preserve"> </t>
    </r>
    <r>
      <rPr>
        <sz val="9"/>
        <rFont val="Century Gothic"/>
        <family val="2"/>
      </rPr>
      <t>ABA 026009593 (cero, dos, seis, cero, cero, nueve, cinco, nueve, tres</t>
    </r>
    <r>
      <rPr>
        <sz val="10"/>
        <rFont val="Arial"/>
        <family val="2"/>
      </rPr>
      <t>)</t>
    </r>
    <r>
      <rPr>
        <sz val="9"/>
        <rFont val="Century Gothic"/>
        <family val="2"/>
      </rPr>
      <t xml:space="preserve">, Swift: BOFAUS6S que </t>
    </r>
    <r>
      <rPr>
        <i/>
        <sz val="9"/>
        <rFont val="Century Gothic"/>
        <family val="2"/>
      </rPr>
      <t xml:space="preserve">Bank of America, N.A. </t>
    </r>
    <r>
      <rPr>
        <sz val="9"/>
        <rFont val="Century Gothic"/>
        <family val="2"/>
      </rPr>
      <t>le lleva a EL BANCO o en cualquier otra cuenta que por escrito indique EL BANCO a la PARTE ACREDITADA con la debida anticipación.</t>
    </r>
  </si>
  <si>
    <r>
      <t xml:space="preserve">DECIMA CUARTA:- </t>
    </r>
    <r>
      <rPr>
        <sz val="9"/>
        <rFont val="Century Gothic"/>
        <family val="2"/>
      </rPr>
      <t xml:space="preserve">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 </t>
    </r>
  </si>
  <si>
    <r>
      <t xml:space="preserve">DECIMA QUINTA:- </t>
    </r>
    <r>
      <rPr>
        <sz val="9"/>
        <rFont val="Century Gothic"/>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</si>
  <si>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DECIMA SEXTA:-</t>
    </r>
    <r>
      <rPr>
        <sz val="9"/>
        <rFont val="Century Gothic"/>
        <family val="2"/>
      </rPr>
      <t xml:space="preserve"> FIANZA.- En este acto la(s) persona(s) física(s) y/o moral(es) que se mencionan en la Carátula como FIADOR(ES) SOLIDARIO(S), constituye(n) fianza  solidaria</t>
    </r>
    <r>
      <rPr>
        <b/>
        <sz val="9"/>
        <rFont val="Century Gothic"/>
        <family val="2"/>
      </rPr>
      <t xml:space="preserve"> </t>
    </r>
    <r>
      <rPr>
        <sz val="9"/>
        <rFont val="Century Gothic"/>
        <family val="2"/>
      </rPr>
      <t xml:space="preserve">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 </t>
    </r>
  </si>
  <si>
    <r>
      <t xml:space="preserve">DECIMA SEPTIMA:- </t>
    </r>
    <r>
      <rPr>
        <sz val="9"/>
        <rFont val="Century Gothic"/>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t>
    </r>
    <r>
      <rPr>
        <sz val="10"/>
        <rFont val="Century Gothic"/>
        <family val="2"/>
      </rPr>
      <t xml:space="preserve"> M</t>
    </r>
    <r>
      <rPr>
        <sz val="9"/>
        <rFont val="Century Gothic"/>
        <family val="2"/>
      </rPr>
      <t xml:space="preserve">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t>
    </r>
  </si>
  <si>
    <r>
      <t xml:space="preserve">DECIMA OCTAVA: </t>
    </r>
    <r>
      <rPr>
        <sz val="9"/>
        <rFont val="Century Gothic"/>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 </t>
    </r>
  </si>
  <si>
    <r>
      <t xml:space="preserve">DECIMA NOVENA: </t>
    </r>
    <r>
      <rPr>
        <sz val="9"/>
        <rFont val="Century Gothic"/>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</si>
  <si>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t>
    </r>
    <r>
      <rPr>
        <sz val="9"/>
        <rFont val="Century Gothic"/>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</si>
  <si>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PRIMERA- </t>
    </r>
    <r>
      <rPr>
        <sz val="9"/>
        <rFont val="Century Gothic"/>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</si>
  <si>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SEGUNDA:- </t>
    </r>
    <r>
      <rPr>
        <sz val="9"/>
        <rFont val="Century Gothic"/>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</si>
  <si>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TERCERA:- </t>
    </r>
    <r>
      <rPr>
        <sz val="9"/>
        <rFont val="Century Gothic"/>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</si>
  <si>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CUARTA: </t>
    </r>
    <r>
      <rPr>
        <sz val="9"/>
        <rFont val="Century Gothic"/>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</si>
  <si>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QUINTA: </t>
    </r>
    <r>
      <rPr>
        <sz val="9"/>
        <rFont val="Century Gothic"/>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</si>
  <si>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SEXTA: </t>
    </r>
    <r>
      <rPr>
        <sz val="9"/>
        <rFont val="Century Gothic"/>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</si>
  <si>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VIGESIMA SEPTIMA:</t>
    </r>
    <r>
      <rPr>
        <sz val="9"/>
        <rFont val="Century Gothic"/>
        <family val="2"/>
      </rPr>
      <t xml:space="preserve"> 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</si>
  <si>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VIGESIMA OCTAVA:</t>
    </r>
    <r>
      <rPr>
        <sz val="9"/>
        <rFont val="Century Gothic"/>
        <family val="2"/>
      </rPr>
      <t xml:space="preserve"> 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</si>
  <si>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VIGESIMA NOVENA</t>
    </r>
    <r>
      <rPr>
        <sz val="9"/>
        <rFont val="Century Gothic"/>
        <family val="2"/>
      </rPr>
      <t>: FECHAS DE ACREDITAMIENTO.- Los pagos que realice la PARTE ACREDITADA se aplicarán de acuerdo con el medio de pago utilizado de la siguiente manera:</t>
    </r>
  </si>
  <si>
    <r>
      <rPr>
        <b/>
        <sz val="10.5"/>
        <rFont val="Arial"/>
        <family val="2"/>
      </rPr>
      <t xml:space="preserve">CREDIACTIVO </t>
    </r>
    <r>
      <rPr>
        <b/>
        <u/>
        <sz val="11.5"/>
        <rFont val="Arial"/>
        <family val="2"/>
      </rPr>
      <t>CREDITO EN LINEA</t>
    </r>
    <r>
      <rPr>
        <b/>
        <sz val="10.5"/>
        <rFont val="Arial"/>
        <family val="2"/>
      </rPr>
      <t xml:space="preserve"> </t>
    </r>
  </si>
  <si>
    <r>
      <t xml:space="preserve">LUGAR </t>
    </r>
    <r>
      <rPr>
        <b/>
        <sz val="8"/>
        <rFont val="Tahoma"/>
        <family val="2"/>
      </rPr>
      <t>DE FIRMA DEL CONTRATO</t>
    </r>
  </si>
  <si>
    <t>CAT SIN IVA</t>
  </si>
  <si>
    <t>TASA VARIABLE</t>
  </si>
  <si>
    <t>REEMBOLSO DEL CREDITO</t>
  </si>
  <si>
    <t>FECHA PRIMER PAGO</t>
  </si>
  <si>
    <t>FECHA SEGUNDO PAGO</t>
  </si>
  <si>
    <t>FECHA TERCER PAGO</t>
  </si>
  <si>
    <r>
      <t>D-J42061-B / BANORTE</t>
    </r>
    <r>
      <rPr>
        <sz val="8"/>
        <rFont val="Tahoma"/>
        <family val="2"/>
      </rPr>
      <t xml:space="preserve">    BANCO MERCANTIL DEL NORTE, S.A. , INSTITUCION DE BANCA MULTIPLE, GRUPO FINANCIERO BANORTE</t>
    </r>
  </si>
  <si>
    <r>
      <t>D-J42061-B / BANORTE</t>
    </r>
    <r>
      <rPr>
        <sz val="8"/>
        <rFont val="Arial"/>
        <family val="2"/>
      </rPr>
      <t xml:space="preserve">    BANCO MERCANTIL DEL NORTE, S.A. , INSTITUCION DE BANCA MULTIPLE, GRUPO FINANCIERO BANORTE</t>
    </r>
  </si>
  <si>
    <r>
      <t xml:space="preserve">CREDIACTIVO </t>
    </r>
    <r>
      <rPr>
        <b/>
        <u/>
        <sz val="8"/>
        <rFont val="Arial"/>
        <family val="2"/>
      </rPr>
      <t>COMBINACION DE MEDIOS</t>
    </r>
  </si>
  <si>
    <r>
      <t xml:space="preserve">LUGAR </t>
    </r>
    <r>
      <rPr>
        <b/>
        <sz val="8"/>
        <rFont val="Arial"/>
        <family val="2"/>
      </rPr>
      <t>DE FIRMA DEL CONTRATO</t>
    </r>
  </si>
  <si>
    <t>COMPRAS DE GOBIERNO</t>
  </si>
  <si>
    <t xml:space="preserve">6.                   Que  conoce  y  entiende plenamente los  términos y  condiciones del “Convenio   del Esquema de Financiamiento de Contratos a Proveedores del Gobierno Federal” (en lo sucesivo el “Convenio”),  celebrado con fecha ocho de abril de dos mil diez, entre Nacional Financiera, Sociedad  Nacional de Crédito, Institución de Banca de  Desarrollo,  a  quien se  le denominó “Nafin”,  EL BANCO, a  quien se  le  denominó el como el “Intermediario Financiero” y Arrendadora y Factor Banorte, Sociedad Anónima de Capital Variable, Sociedad Financiera de Objeto Múltiple, Entidad Regulada, Grupo Financiero Banorte, a quien se le denominó como el “Descontante”. </t>
  </si>
  <si>
    <t>7.                   Que esta advertida por EL BANCO que el presente Crédito se operará de acuerdo con las condiciones y/o lineamientos del Esquema de Financiamiento de Contratos a Proveedores del Gobierno Federal y del Convenio referido en la declaración anterior.</t>
  </si>
  <si>
    <t>8.                   En caso de que la PARTE ACREDITADA sea Persona Moral, que: (i) es una entidad debidamente constituida y existente de conformidad con las leyes de los Estados Unidos Mexicanos, plenamente facultada conforme al objeto de su institución para la celebración del presente Contrato; y (ii) su(s) Representante(s) cuenta(n) con capacidad legal y facultades suficientes para la celebración del presente Contrato, mismas que a la fecha no le(s) han sido revocadas, modificadas, ni restringidas de forma alguna.</t>
  </si>
  <si>
    <t>9.                   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</si>
  <si>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1.                   Que es su voluntad garantizar las obligaciones de la PARTE ACREDITADA derivadas del presente Contrato, mediante la fianza que se establece más adelante y su aval en los pagarés que se suscriban conforme al Contrato de Crédito.</t>
  </si>
  <si>
    <r>
      <t xml:space="preserve">PRIMERA:- </t>
    </r>
    <r>
      <rPr>
        <sz val="8"/>
        <rFont val="Arial"/>
        <family val="2"/>
      </rPr>
      <t>IMPORTE DEL CREDITO.- EL BANCO concede a la PARTE ACREDITADA, un crédito simple, hasta por la cantidad de pesos, moneda nacional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</si>
  <si>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 solo  acto, mediante la suscripción de un pagaré a la orden de EL BANCO. El pagaré de que se trata es de tipo causal, no modifica este contrato y sólo señala los plazos dentro de los cuales deberá quedar reembolsado el Crédito, así como la disposición del mismo, pero podrá ser descontado por EL BANCO en los términos del artículo 299 (doscientos noventa y nueve) de la Ley General de Títulos y Operaciones de Crédito, para lo cual lo faculta la PARTE ACREDITADA.</t>
    </r>
  </si>
  <si>
    <t>Para que la PARTE ACREDITADA pueda disponer del Crédito, es necesario que entregue la   Instrucción Irrevocable Nafin y la Instrucción Irrevocable Intermediario Financiero y/o Descontante (ambas en forma conjunta las “Instrucciones”) para los fines señalados en  las  mismas Instrucciones y en el Convenio.</t>
  </si>
  <si>
    <t>La PARTE ACREDITADA autoriza a EL BANCO para que la disposición del Crédito que efectúe, la deposite EL BANCO en la Cuenta de Cheques señalada en la Carátula de este contrato.</t>
  </si>
  <si>
    <r>
      <t xml:space="preserve">TERCERA:- </t>
    </r>
    <r>
      <rPr>
        <sz val="8"/>
        <rFont val="Arial"/>
        <family val="2"/>
      </rPr>
      <t xml:space="preserve">DESTINO DEL CREDITO.- La PARTE ACREDITADA se obliga a invertir el importe del Crédito precisamente al </t>
    </r>
    <r>
      <rPr>
        <sz val="8"/>
        <color rgb="FF000000"/>
        <rFont val="Arial"/>
        <family val="2"/>
      </rPr>
      <t>financiamiento del proyecto o servicio derivado del contrato celebrado por la PARTE ACREDITADA con la dependencia o entidad de la administración pública federal centralizada o paraestatal señalada en el mismo contrato, el cual tiene por objeto que la PARTE ACREDITADA provea determinados bienes o servicios o  realice la obra pública conforme a las condiciones y/o lineamientos del Esquema de Financiamiento de Contratos a Proveedores del Gobierno Federal y al Convenio.</t>
    </r>
  </si>
  <si>
    <r>
      <t>QUINTA:-</t>
    </r>
    <r>
      <rPr>
        <sz val="8"/>
        <color rgb="FF000000"/>
        <rFont val="Arial"/>
        <family val="2"/>
      </rPr>
      <t xml:space="preserve"> </t>
    </r>
    <r>
      <rPr>
        <sz val="8"/>
        <rFont val="Arial"/>
        <family val="2"/>
      </rPr>
      <t xml:space="preserve">PAGO DEL CREDITO.- El pago del Crédito concedido, será efectuado por la PARTE ACREDITADA mediante el número de amortizaciones mensuales y consecutivas, por las cantidades y en las fechas de vencimiento que se establezcan en el pagaré a que se refiere la Cláusula de Disposición, en la inteligencia que, en su caso, se concede a la PARTE ACREDITADA el número de meses de gracia señalado en la Carátula de este Contrato para empezar a reembolsar el importe de capital. </t>
    </r>
  </si>
  <si>
    <t xml:space="preserve">a)      A razón de la tasa de interés anual fija cuyo porcentaje se indica en la Carátula; o bien  </t>
  </si>
  <si>
    <t xml:space="preserve">b)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 </t>
  </si>
  <si>
    <r>
      <t>“</t>
    </r>
    <r>
      <rPr>
        <u/>
        <sz val="8"/>
        <rFont val="Arial"/>
        <family val="2"/>
      </rPr>
      <t>Diferencial</t>
    </r>
    <r>
      <rPr>
        <sz val="8"/>
        <rFont val="Arial"/>
        <family val="2"/>
      </rPr>
      <t>”: Significa los puntos porcentuales y/o sus fracciones, fijos, que se adicionen a la Tasa TIIE como tasa de referencia, o en su caso a la tasa sustituta, para el establecimiento de la tasa de interés ordinario.</t>
    </r>
  </si>
  <si>
    <t>Los intereses se calcularán sobre la base de 360 (trescientos sesenta) días por año y se causarán sobre saldos insolutos.  Los intereses serán pagaderos por mensualidades vencidas, el día calendario de cada mes que se indica en la Carátula del presente Contrato.</t>
  </si>
  <si>
    <r>
      <t xml:space="preserve">SEPTIMA:-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t>
    </r>
    <r>
      <rPr>
        <b/>
        <sz val="8"/>
        <rFont val="Arial"/>
        <family val="2"/>
      </rPr>
      <t xml:space="preserve"> </t>
    </r>
    <r>
      <rPr>
        <sz val="8"/>
        <rFont val="Arial"/>
        <family val="2"/>
      </rPr>
      <t xml:space="preserve">que antecede, en la fecha en que se realice el pago o en su caso, conforme a la Cláusula de TASAS SUSTITUTAS siguiente. </t>
    </r>
  </si>
  <si>
    <r>
      <t>OCTAVA</t>
    </r>
    <r>
      <rPr>
        <sz val="8"/>
        <rFont val="Arial"/>
        <family val="2"/>
      </rPr>
      <t xml:space="preserve">.- </t>
    </r>
    <r>
      <rPr>
        <sz val="8"/>
        <color rgb="FF000000"/>
        <rFont val="Arial"/>
        <family val="2"/>
      </rPr>
      <t>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</si>
  <si>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r>
      <t xml:space="preserve">NOVENA:- </t>
    </r>
    <r>
      <rPr>
        <sz val="8"/>
        <rFont val="Arial"/>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al hacer la primera disposición del Crédito. </t>
    </r>
  </si>
  <si>
    <r>
      <t xml:space="preserve">DECIMA:- </t>
    </r>
    <r>
      <rPr>
        <sz val="8"/>
        <color rgb="FF000000"/>
        <rFont val="Arial"/>
        <family val="2"/>
      </rPr>
      <t xml:space="preserve">PAGOS ANTICIPADOS.- </t>
    </r>
    <r>
      <rPr>
        <sz val="8"/>
        <rFont val="Arial"/>
        <family val="2"/>
      </rPr>
      <t xml:space="preserve">La PARTE ACREDITADA podrá pagar anticipadamente, total o parcialmente, el importe del crédito, con sus respectivos intereses.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</si>
  <si>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t xml:space="preserve">Si los intereses se calculan a razón de una tasa de interés anual variable de conformidad con lo establecido en el inciso b) de la Cláusula Tasa de Interés Ordinario que antecede, el pago que se pretenda realizar no generará el cobro de comisión alguna. </t>
  </si>
  <si>
    <r>
      <t>DECIMA SEGUNDA:-</t>
    </r>
    <r>
      <rPr>
        <sz val="8"/>
        <rFont val="Arial"/>
        <family val="2"/>
      </rPr>
      <t xml:space="preserve"> 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 </t>
    </r>
  </si>
  <si>
    <r>
      <t xml:space="preserve">DECIMA SEXTA:-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la PARTE ACREDITADA es persona moral o a la actividad empresarial que realiza, si la PARTE ACREDITADA es persona física,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y k) Depositar en la cuenta de cheques señalada en la Carátula, la totalidad de los recursos a que tenga derecho, como contraprestación por las operaciones de factoraje o descuento electrónico automática que le correspondan conforme al Esquema de Financiamiento de Contratos a Proveedores del Gobierno Federal, su Convenio y las Instrucciones.</t>
    </r>
  </si>
  <si>
    <r>
      <t xml:space="preserve">DECIMA SEPTIMA: </t>
    </r>
    <r>
      <rPr>
        <sz val="8"/>
        <rFont val="Arial"/>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b) No vender, traspasar, ceder o cerrar su empresa o negocio; y c) No cancelar la cuenta de cheques señalada en la Carátula de este Contrato. </t>
    </r>
  </si>
  <si>
    <t>Asimismo, la PARTE ACREDITADA autoriza a EL BANCO para proporcionar al Descontante, Arrendadora y Factor Banorte, Sociedad Anónima de Capital Variable, Sociedad Financiera de Objeto Múltiple, Entidad Regulada, Grupo Financiero Banorte, toda la información y documentación referente al presente Crédito conforme al Esquema de Financiamiento de Contratos a Proveedores del Gobierno Federal, su Convenio y las Instrucciones.</t>
  </si>
  <si>
    <r>
      <t xml:space="preserve"> TRIGESIMA SEGUNDA:-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</si>
  <si>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6.                   Que   conoce   y  entiende  plenamente  los  términos  y  condiciones  del “Convenio d e l Esquema de Financiamiento de Contratos a Proveedores del Gobierno Federal” (en lo sucesivo el “Convenio”), celebrado con fecha ocho de abril de dos mil diez, entre Nacional Financiera, Sociedad  Nacional  d e Crédito,  Institución de Banca de  Desarrollo,  a  quien  se le denominó  “Nafin”, EL BANCO, a quien se le denominó el como el “Intermediario Financiero” y Arrendadora y Factor Banorte, Sociedad Anónima de Capital Variable, Sociedad Financiera de Objeto Múltiple, Entidad Regulada, Grupo Financiero Banorte, a quien se le denominó como el “ Descontante”.</t>
  </si>
  <si>
    <t>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</si>
  <si>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Que es su voluntad garantizar las obligaciones de la PARTE ACREDITADA derivadas del presente Contrato, mediante la fianza que se establece más adelante y su aval en los pagarés que se suscriban conforme al Contrato de Crédito.</t>
  </si>
  <si>
    <t>Para que la PARTE ACREDITADA pueda disponer del Crédito, es necesario que entregue la Instrucción Irrevocable Nafin y la Instrucción Irrevocable Intermediario Financiero y / o Descontante (ambas en forma conjunta las “Instrucciones”) para los fines  señalados  en  las mismas  Instrucciones y en el  Convenio.</t>
  </si>
  <si>
    <t>La PARTE ACREDITADA autoriza a EL BANCO para que la o las disposiciones del Crédito que efectúe, las deposite EL BANCO en la  cuenta de cheques señalada  en  la Carátula de  este contrato.</t>
  </si>
  <si>
    <r>
      <t xml:space="preserve">TERCERA:- </t>
    </r>
    <r>
      <rPr>
        <sz val="8"/>
        <rFont val="Arial"/>
        <family val="2"/>
      </rPr>
      <t>DESTINO DEL CREDITO.- La PARTE ACREDITADA se obliga a invertir el importe del Crédito precisamente al financiamiento del proyecto o servicio derivado del contrato celebrado por la PARTE ACREDITADA con la dependencia o entidad de la administración pública federal centralizada o paraestatal señalada en el mismo contrato, el cual tiene por objeto que la PARTE ACREDITADA provea determinados bienes o servicios o realice la obra pública conforme a las condiciones y/o lineamientos del Esquema de Financiamiento de Contratos a Proveedores del Gobierno Federal y al Convenio.</t>
    </r>
  </si>
  <si>
    <r>
      <t xml:space="preserve">SEPTIMA:- </t>
    </r>
    <r>
      <rPr>
        <sz val="8"/>
        <rFont val="Arial"/>
        <family val="2"/>
      </rPr>
      <t>TASA DE INTERES ORDINARIO.- La PARTE ACREDITADA se obliga a pagar a EL BANCO, sin necesidad de previo requerimiento, intereses ordinarios sobre el saldo insoluto de las sumas ejercidas,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r>
  </si>
  <si>
    <r>
      <t xml:space="preserve">DECIMA TERCERA:-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</si>
  <si>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SEPTIMA:-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la PARTE ACREDITADA es persona moral o a la actividad empresarial que realiza, si la PARTE ACREDITADA es persona física,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y k) Depositar en la cuenta de cheques señalada en la Carátula, la totalidad de los recursos a que tenga derecho, como contraprestación por las operaciones de factoraje o descuento electrónico automática que le correspondan conforme al Esquema de Financiamiento de Contratos a Proveedores del Gobierno Federal,  su  Convenio  y  las Instrucciones.</t>
    </r>
  </si>
  <si>
    <r>
      <t xml:space="preserve">DECIMA  OCTAVA: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b) No vender, traspasar, ceder o cerrar  su  empresa  o negocio; y c) No cancelar la cuenta de cheques señalada en la Carátula de este Contrato.</t>
    </r>
  </si>
  <si>
    <r>
      <t xml:space="preserve">DECIMA NOVENA: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</si>
  <si>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t>Asimismo, la PARTE ACREDITADA autoriza a EL BANCO para proporcionar al Descontante, Arrendadora y Factor Banorte,  Sociedad  Anónima  de  Capital  Variable,  Sociedad  Financiera de Objeto Múltiple, Entidad Regulada, Grupo Financiero Banorte, toda la información y documentación referente al presente Crédito conforme al Esquema de Financiamiento de Contratos  a     Proveedores  del  Gobierno  Federal, su Convenio y las Instrucciones.</t>
  </si>
  <si>
    <t>Generales</t>
  </si>
  <si>
    <t>Contrato</t>
  </si>
  <si>
    <t>Fecha (DD/MM/AAAA)</t>
  </si>
  <si>
    <t>Lugar de firma de Contrato</t>
  </si>
  <si>
    <t>Nombre y Número de Sucursal</t>
  </si>
  <si>
    <t>Datos del Banco</t>
  </si>
  <si>
    <t>Domicilio (Calle y Número)</t>
  </si>
  <si>
    <t>Colonia</t>
  </si>
  <si>
    <t>Población</t>
  </si>
  <si>
    <t>Estado</t>
  </si>
  <si>
    <t>Codigo Postal</t>
  </si>
  <si>
    <t>Datos de la Parte Acreditada</t>
  </si>
  <si>
    <t>Nombre del Acreditado</t>
  </si>
  <si>
    <t>Poblacion</t>
  </si>
  <si>
    <t>Nacionalidad</t>
  </si>
  <si>
    <t>Originario</t>
  </si>
  <si>
    <t>Edad</t>
  </si>
  <si>
    <t>Estado Civil</t>
  </si>
  <si>
    <t>Telefono</t>
  </si>
  <si>
    <t>Nombre del Acreditado 2</t>
  </si>
  <si>
    <t xml:space="preserve">Datos de los Apoderado (s) de la parte Acreditada </t>
  </si>
  <si>
    <t>Nombre Apoderado del Acreditado Uno</t>
  </si>
  <si>
    <t>Nombre Apoderado del Acreditado Dos</t>
  </si>
  <si>
    <t>Datos de los Fiadores Solidarios (En su Caso)</t>
  </si>
  <si>
    <t>Nombre del Fiador Solidario Uno</t>
  </si>
  <si>
    <t>RFC</t>
  </si>
  <si>
    <t>Nombre del Fiador Solidario Dos</t>
  </si>
  <si>
    <t>Nombre del Fiador Solidario Tres</t>
  </si>
  <si>
    <t>Apoderados(s) del (de los) Fiador (es) Solidarios</t>
  </si>
  <si>
    <t>Nombre Apoderado del Fiador Solidario Uno</t>
  </si>
  <si>
    <t>Nombre Apoderado del Fiador Solidario Dos</t>
  </si>
  <si>
    <t>Nombre Apoderado del Fiador Solidario Tres</t>
  </si>
  <si>
    <t>Características del Crédito</t>
  </si>
  <si>
    <t>Plazo del Crédito (Meses)</t>
  </si>
  <si>
    <t>Fecha de Vencimiento</t>
  </si>
  <si>
    <t>Cuenta de Cheques</t>
  </si>
  <si>
    <t>Porcentaje de Interés Tasa Fija</t>
  </si>
  <si>
    <t>Meses de Gracia de Capital</t>
  </si>
  <si>
    <t>Día de Pago de Capital e Intereses Ordinarios</t>
  </si>
  <si>
    <t>Destino del Crédito</t>
  </si>
  <si>
    <t>Porcentaje de comisión por pagos anticipados</t>
  </si>
  <si>
    <t>Diferencial puntos porcentuales (LIBOR)</t>
  </si>
  <si>
    <t>Fecha de Primer Pago</t>
  </si>
  <si>
    <t>Fecha de Segundo Pago</t>
  </si>
  <si>
    <t>Fecha de Tercer Pago</t>
  </si>
  <si>
    <t>Datos de los Apoderados del Banco</t>
  </si>
  <si>
    <t>Nombre Apoderado del Banco Uno</t>
  </si>
  <si>
    <t>Nombre Apoderado del Banco Dos</t>
  </si>
  <si>
    <t>Anexo "A" del contrato de crédito simple</t>
  </si>
  <si>
    <t>Tipo de Contrato de Crédito</t>
  </si>
  <si>
    <t>Fecha de Celebración</t>
  </si>
  <si>
    <t>Importe</t>
  </si>
  <si>
    <t>Número de Crédito</t>
  </si>
  <si>
    <t>Tabla que se usó para generar los Nombres Definidos:</t>
  </si>
  <si>
    <t>SECCIÓN</t>
  </si>
  <si>
    <t>ETIQUETA Captura</t>
  </si>
  <si>
    <t>TRANSFORM</t>
  </si>
  <si>
    <t>Id</t>
  </si>
  <si>
    <t>ND_FULL</t>
  </si>
  <si>
    <t>CAPTURA</t>
  </si>
  <si>
    <t>GENERALES</t>
  </si>
  <si>
    <t>DIA</t>
  </si>
  <si>
    <t>MES</t>
  </si>
  <si>
    <t>Domicilio Calle Número</t>
  </si>
  <si>
    <t>Plazo del Crédito Meses</t>
  </si>
  <si>
    <t>Diferencial Tasa Variable TIIE</t>
  </si>
  <si>
    <t>Diferencial puntos porcentuales LIBOR</t>
  </si>
  <si>
    <t>AA_</t>
  </si>
  <si>
    <t>DATOS_DE_BANCO</t>
  </si>
  <si>
    <t>DATOS_DE_LA_PARTE_ACREDITADA</t>
  </si>
  <si>
    <t>DATOS_APODERADOS_ACREDITADO</t>
  </si>
  <si>
    <t>DATOS_FIADORES</t>
  </si>
  <si>
    <t>DATOS_APODERADOS_FIADOR</t>
  </si>
  <si>
    <t>CARACTERISTICAS_CREDITO</t>
  </si>
  <si>
    <t>DATOS_APODERADOS_BANCO</t>
  </si>
  <si>
    <t>ANEXO_ACS_REESTRUCTURA</t>
  </si>
  <si>
    <t>AñO</t>
  </si>
  <si>
    <t>ACS</t>
  </si>
  <si>
    <t>ACCC</t>
  </si>
  <si>
    <t>ACS PROGRAMAS DE APOYO</t>
  </si>
  <si>
    <t>ACS DLLS</t>
  </si>
  <si>
    <t>ACCC DLLS</t>
  </si>
  <si>
    <t>CREDILINEA</t>
  </si>
  <si>
    <t>COMBINACIÓN DE MEDIOS</t>
  </si>
  <si>
    <t>ACS COMPRAS DE GOBIERNO</t>
  </si>
  <si>
    <t>ACCC COMPRAS DE GOBIERNO</t>
  </si>
  <si>
    <t>AA_001_GENERALES_CONTRATO</t>
  </si>
  <si>
    <t>AA_002_GENERALES_FECHA</t>
  </si>
  <si>
    <t>AA_003_GENERALES_DIA</t>
  </si>
  <si>
    <t>AA_004_GENERALES_MES</t>
  </si>
  <si>
    <t>AA_005_GENERALES_AÑO</t>
  </si>
  <si>
    <t>AA_006_GENERALES_LUGAR_DE_FIRMA_DE_CONTRATO</t>
  </si>
  <si>
    <t>AA_007_GENERALES_NOMBRE_Y_NÚMERO_DE_SUCURSAL</t>
  </si>
  <si>
    <t>AA_008_DATOS_DE_BANCO_DOMICILIO_CALLE_NÚMERO</t>
  </si>
  <si>
    <t>AA_009_DATOS_DE_BANCO_COLONIA</t>
  </si>
  <si>
    <t>AA_010_DATOS_DE_BANCO_POBLACIÓN</t>
  </si>
  <si>
    <t>AA_011_DATOS_DE_BANCO_ESTADO</t>
  </si>
  <si>
    <t>AA_012_DATOS_DE_BANCO_CODIGO_POSTAL</t>
  </si>
  <si>
    <t>AA_013_DATOS_DE_LA_PARTE_ACREDITADA_NOMBRE_DEL_ACREDITADO</t>
  </si>
  <si>
    <t>AA_014_DATOS_DE_LA_PARTE_ACREDITADA_R_F_C_</t>
  </si>
  <si>
    <t>AA_015_DATOS_DE_LA_PARTE_ACREDITADA_DOMICILIO_CALLE_NÚMERO</t>
  </si>
  <si>
    <t>AA_016_DATOS_DE_LA_PARTE_ACREDITADA_COLONIA</t>
  </si>
  <si>
    <t>AA_017_DATOS_DE_LA_PARTE_ACREDITADA_POBLACION</t>
  </si>
  <si>
    <t>AA_018_DATOS_DE_LA_PARTE_ACREDITADA_ESTADO</t>
  </si>
  <si>
    <t>AA_019_DATOS_DE_LA_PARTE_ACREDITADA_NACIONALIDAD</t>
  </si>
  <si>
    <t>AA_020_DATOS_DE_LA_PARTE_ACREDITADA_ORIGINARIO</t>
  </si>
  <si>
    <t>AA_021_DATOS_DE_LA_PARTE_ACREDITADA_EDAD</t>
  </si>
  <si>
    <t>AA_022_DATOS_DE_LA_PARTE_ACREDITADA_ESTADO_CIVIL</t>
  </si>
  <si>
    <t>AA_023_DATOS_DE_LA_PARTE_ACREDITADA_TELEFONO</t>
  </si>
  <si>
    <t>AA_024_DATOS_DE_LA_PARTE_ACREDITADA_NOMBRE_DEL_ACREDITADO_2</t>
  </si>
  <si>
    <t>AA_025_DATOS_DE_LA_PARTE_ACREDITADA_R_F_C_</t>
  </si>
  <si>
    <t>AA_026_DATOS_DE_LA_PARTE_ACREDITADA_DOMICILIO_CALLE_NÚMERO</t>
  </si>
  <si>
    <t>AA_027_DATOS_DE_LA_PARTE_ACREDITADA_COLONIA</t>
  </si>
  <si>
    <t>AA_028_DATOS_DE_LA_PARTE_ACREDITADA_POBLACION</t>
  </si>
  <si>
    <t>AA_029_DATOS_DE_LA_PARTE_ACREDITADA_ESTADO</t>
  </si>
  <si>
    <t>AA_030_DATOS_DE_LA_PARTE_ACREDITADA_NACIONALIDAD</t>
  </si>
  <si>
    <t>AA_031_DATOS_DE_LA_PARTE_ACREDITADA_ORIGINARIO</t>
  </si>
  <si>
    <t>AA_032_DATOS_DE_LA_PARTE_ACREDITADA_EDAD</t>
  </si>
  <si>
    <t>AA_033_DATOS_DE_LA_PARTE_ACREDITADA_ESTADO_CIVIL</t>
  </si>
  <si>
    <t>AA_034_DATOS_DE_LA_PARTE_ACREDITADA_TELEFONO</t>
  </si>
  <si>
    <t>AA_035_DATOS_APODERADOS_ACREDITADO_NOMBRE_APODERADO_DEL_ACREDITADO_UNO</t>
  </si>
  <si>
    <t>AA_036_DATOS_APODERADOS_ACREDITADO_NOMBRE_APODERADO_DEL_ACREDITADO_DOS</t>
  </si>
  <si>
    <t>AA_037_DATOS_FIADORES_NOMBRE_DEL_FIADOR_SOLIDARIO_UNO</t>
  </si>
  <si>
    <t>AA_038_DATOS_FIADORES_RFC</t>
  </si>
  <si>
    <t>AA_039_DATOS_FIADORES_DOMICILIO_CALLE_NÚMERO</t>
  </si>
  <si>
    <t>AA_040_DATOS_FIADORES_COLONIA</t>
  </si>
  <si>
    <t>AA_041_DATOS_FIADORES_POBLACIÓN</t>
  </si>
  <si>
    <t>AA_042_DATOS_FIADORES_ESTADO</t>
  </si>
  <si>
    <t>AA_043_DATOS_FIADORES_NACIONALIDAD</t>
  </si>
  <si>
    <t>AA_044_DATOS_FIADORES_ORIGINARIO</t>
  </si>
  <si>
    <t>AA_045_DATOS_FIADORES_EDAD</t>
  </si>
  <si>
    <t>AA_046_DATOS_FIADORES_ESTADO_CIVIL</t>
  </si>
  <si>
    <t>AA_047_DATOS_FIADORES_TELEFONO</t>
  </si>
  <si>
    <t>AA_048_DATOS_FIADORES_NOMBRE_DEL_FIADOR_SOLIDARIO_DOS</t>
  </si>
  <si>
    <t>AA_049_DATOS_FIADORES_RFC</t>
  </si>
  <si>
    <t>AA_050_DATOS_FIADORES_DOMICILIO_CALLE_NÚMERO</t>
  </si>
  <si>
    <t>AA_051_DATOS_FIADORES_COLONIA</t>
  </si>
  <si>
    <t>AA_052_DATOS_FIADORES_POBLACIÓN</t>
  </si>
  <si>
    <t>AA_053_DATOS_FIADORES_ESTADO</t>
  </si>
  <si>
    <t>AA_054_DATOS_FIADORES_NACIONALIDAD</t>
  </si>
  <si>
    <t>AA_055_DATOS_FIADORES_ORIGINARIO</t>
  </si>
  <si>
    <t>AA_056_DATOS_FIADORES_EDAD</t>
  </si>
  <si>
    <t>AA_057_DATOS_FIADORES_ESTADO_CIVIL</t>
  </si>
  <si>
    <t>AA_058_DATOS_FIADORES_TELEFONO</t>
  </si>
  <si>
    <t>AA_059_DATOS_FIADORES_NOMBRE_DEL_FIADOR_SOLIDARIO_TRES</t>
  </si>
  <si>
    <t>AA_060_DATOS_FIADORES_RFC</t>
  </si>
  <si>
    <t>AA_061_DATOS_FIADORES_DOMICILIO_CALLE_NÚMERO</t>
  </si>
  <si>
    <t>AA_062_DATOS_FIADORES_COLONIA</t>
  </si>
  <si>
    <t>AA_063_DATOS_FIADORES_POBLACIÓN</t>
  </si>
  <si>
    <t>AA_064_DATOS_FIADORES_ESTADO</t>
  </si>
  <si>
    <t>AA_065_DATOS_FIADORES_NACIONALIDAD</t>
  </si>
  <si>
    <t>AA_066_DATOS_FIADORES_ORIGINARIO</t>
  </si>
  <si>
    <t>AA_067_DATOS_FIADORES_EDAD</t>
  </si>
  <si>
    <t>AA_068_DATOS_FIADORES_ESTADO_CIVIL</t>
  </si>
  <si>
    <t>AA_069_DATOS_FIADORES_TELEFONO</t>
  </si>
  <si>
    <t>AA_070_DATOS_APODERADOS_FIADOR_NOMBRE_APODERADO_DEL_FIADOR_SOLIDARIO_UNO</t>
  </si>
  <si>
    <t>AA_071_DATOS_APODERADOS_FIADOR_NOMBRE_APODERADO_DEL_FIADOR_SOLIDARIO_DOS</t>
  </si>
  <si>
    <t>AA_072_DATOS_APODERADOS_FIADOR_NOMBRE_APODERADO_DEL_FIADOR_SOLIDARIO_TRES</t>
  </si>
  <si>
    <t>AA_073_CARACTERISTICAS_CREDITO_IMPORTE_NÚMERO_LETRA</t>
  </si>
  <si>
    <t>AA_074_CARACTERISTICAS_CREDITO_PLAZO_DEL_CRÉDITO_MESES</t>
  </si>
  <si>
    <t>AA_075_CARACTERISTICAS_CREDITO_FECHA_DE_VENCIMIENTO</t>
  </si>
  <si>
    <t>AA_076_CARACTERISTICAS_CREDITO_CUENTA_DE_CHEQUES</t>
  </si>
  <si>
    <t>AA_077_CARACTERISTICAS_CREDITO_COMISIÓN_POR_APERTURA</t>
  </si>
  <si>
    <t>AA_078_CARACTERISTICAS_CREDITO_CAT_SIN_IVA</t>
  </si>
  <si>
    <t>AA_079_CARACTERISTICAS_CREDITO_PORCENTAJE_DE_INTERÉS_TASA_FIJA</t>
  </si>
  <si>
    <t>AA_080_CARACTERISTICAS_CREDITO_DIFERENCIAL_TASA_VARIABLE_TIIE</t>
  </si>
  <si>
    <t>AA_081_CARACTERISTICAS_CREDITO_MESES_DE_GRACIA_DE_CAPITAL</t>
  </si>
  <si>
    <t>AA_082_CARACTERISTICAS_CREDITO_DÍA_DE_PAGO_DE_CAPITAL_E_INTERESES_ORDINARIOS</t>
  </si>
  <si>
    <t>AA_083_CARACTERISTICAS_CREDITO_DESTINO_DEL_CRÉDITO</t>
  </si>
  <si>
    <t>AA_084_CARACTERISTICAS_CREDITO_PORCENTAJE_DE_COMISIÓN_POR_PAGOS_ANTICIPADOS</t>
  </si>
  <si>
    <t>AA_085_CARACTERISTICAS_CREDITO_DIFERENCIAL_PUNTOS_PORCENTUALES_LIBOR</t>
  </si>
  <si>
    <t>AA_086_CARACTERISTICAS_CREDITO_FECHA_DE_PRIMER_PAGO</t>
  </si>
  <si>
    <t>AA_087_CARACTERISTICAS_CREDITO_FECHA_DE_SEGUNDO_PAGO</t>
  </si>
  <si>
    <t>AA_088_CARACTERISTICAS_CREDITO_FECHA_DE_TERCER_PAGO</t>
  </si>
  <si>
    <t>AA_089_DATOS_APODERADOS_BANCO_NOMBRE_APODERADO_DEL_BANCO_UNO</t>
  </si>
  <si>
    <t>AA_090_DATOS_APODERADOS_BANCO_NOMBRE_APODERADO_DEL_BANCO_DOS</t>
  </si>
  <si>
    <t>AA_091_ANEXO_ACS_REESTRUCTURA_TIPO_DE_CONTRATO_DE_CRÉDITO</t>
  </si>
  <si>
    <t>AA_092_ANEXO_ACS_REESTRUCTURA_FECHA_DE_CELEBRACIÓN</t>
  </si>
  <si>
    <t>AA_093_ANEXO_ACS_REESTRUCTURA_IMPORTE</t>
  </si>
  <si>
    <t>AA_094_ANEXO_ACS_REESTRUCTURA_NÚMERO_DE_CRÉDITO</t>
  </si>
  <si>
    <t>AA_095_ANEXO_ACS_REESTRUCTURA_TIPO_DE_CONTRATO_DE_CRÉDITO</t>
  </si>
  <si>
    <t>AA_096_ANEXO_ACS_REESTRUCTURA_FECHA_DE_CELEBRACIÓN</t>
  </si>
  <si>
    <t>AA_097_ANEXO_ACS_REESTRUCTURA_IMPORTE</t>
  </si>
  <si>
    <t>AA_098_ANEXO_ACS_REESTRUCTURA_NÚMERO_DE_CRÉDITO</t>
  </si>
  <si>
    <t>DIA DE PAGO DE INTERESES ORDINARIOS 3 DE CADA MES</t>
  </si>
  <si>
    <t>Nombre Apoderado del Acreditado Tres</t>
  </si>
  <si>
    <t>Nombre del Acreditado Uno</t>
  </si>
  <si>
    <t>Nombre del Acreditado Dos</t>
  </si>
  <si>
    <t>AA_099_ANEXO_ACS_REESTRUCTURA_ACREDITADO_UNO</t>
  </si>
  <si>
    <t>AA_100_ANEXO_ACS_REESTRUCTURA_ACREDITADO_DOS</t>
  </si>
  <si>
    <t>AA_101_ANEXO_ACS_REESTRUCTURA_FIADOR_UNO</t>
  </si>
  <si>
    <t>AA_102_ANEXO_ACS_REESTRUCTURA_FIADOR_DOS</t>
  </si>
  <si>
    <t>AA_103_ANEXO_ACS_REESTRUCTURA_FIADOR_TRES</t>
  </si>
  <si>
    <t>AA_104_ANEXO_ACS_REESTRUCTURA_APODERADO_BANCO_UNO</t>
  </si>
  <si>
    <t>AA_105_ANEXO_ACS_REESTRUCTURA_APODERADO_BANCO_DOS</t>
  </si>
  <si>
    <t>Acs Reestructura Acreditado Uno</t>
  </si>
  <si>
    <t>Acs Reestructura Acreditado Dos</t>
  </si>
  <si>
    <t>Acs Reestructura Fiador Uno</t>
  </si>
  <si>
    <t>Acs Reestructura Fiador Dos</t>
  </si>
  <si>
    <t>Acs Reestructura Fiador Tres</t>
  </si>
  <si>
    <t>Acs Reestructura Apoderado Banco Uno</t>
  </si>
  <si>
    <t>Acs Reestructura Apoderado Banco Dos</t>
  </si>
  <si>
    <t>Se corto el combo 01/09/15 para llevarlo a la hoja "Captura"</t>
  </si>
  <si>
    <t>Monterrey, Nuevo León</t>
  </si>
  <si>
    <t>161 Morones Prieto</t>
  </si>
  <si>
    <t>161-25351-5</t>
  </si>
  <si>
    <t>Importe del Crédito (Letra)</t>
  </si>
  <si>
    <t>Importe del Crédito (Número)</t>
  </si>
  <si>
    <t>Importe Número</t>
  </si>
  <si>
    <t>Importe Letra</t>
  </si>
  <si>
    <t>AA_106_CARACTERISTICAS_CREDITO_IMPORTE_NÚMERO_LETRA</t>
  </si>
  <si>
    <t>Tasa de Interés</t>
  </si>
  <si>
    <t>Tipo de Tasa</t>
  </si>
  <si>
    <t>Fija</t>
  </si>
  <si>
    <t>Variable</t>
  </si>
  <si>
    <t>Fecha de TIIE</t>
  </si>
  <si>
    <t>Valor de TIIE</t>
  </si>
  <si>
    <t>Valor de Tasa de interés Fija</t>
  </si>
  <si>
    <t>AA_107_CARACTERISTICAS_CREDITO_VALOR_DE_TIIE</t>
  </si>
  <si>
    <t>AA_108_CARACTERISTICAS_CREDITO_FECHA_DE_TIIE</t>
  </si>
  <si>
    <t>AA_109_CARACTERISTICAS_CREDITO_TIPO_DE_TASA</t>
  </si>
  <si>
    <t>CONTRATO DE APERTURA DE CREDITO EN CUENTA CORRIENTE QUE CELEBRAN POR UNA PRIMERA PARTE BANCO MERCANTIL DEL NORTE, S.A., INSTITUCION DE BANCA MULTIPLE, GRUPO FINANCIERO BANORTE, A QUIEN SE LE DENOMINARA “EL BANCO”, POR UNA SEGUNDA PARTE LA(S) PERSONA(S) FISICA(S) O
LA(S) PERSONA(S) MORAL(ES) CUYOS DATOS SE INDICAN EN LA CARATULA DE ESTE CONTRATO, A QUIEN(ES) SE LE(S) DENOMINARA LA “PARTE ACREDITADA”, Y POR UNA ÚLTIMA PARTE LA(S) PERSONA(S) FISICA(S) Y/O MORAL(ES) CUYOS DATOS SE INDICA(N) EN DICHA CARATULA COMO FIADOR(ES) SOLIDARIO(S) AL TENOR DE LAS SIGUIENTES:</t>
  </si>
  <si>
    <t>1. Que la información proporcionada y consignada en la Carátula es cierta y que la información patrimonial y financiera que ha entregado con anterioridad a EL BANCO y con base en la que EL BANCO celebra el presente Contrato, presenta de manera exacta y fiel su situación la que EL BANCO celebra el presente Contrato, presenta de manera exacta y fiel su situación financiera, y al momento de la firma de este instrumento no existe cambio adverso alguno que financiera, y al momento de la firma de este instrumento no existe cambio adverso alguno que afecte de manera significativa su condición financiera o sus operaciones, en su caso, por lo que está en aptitud de cumplir oportunamente con todas y cada una de las obligaciones consignadas en el presente Contrato. Para efectos del presente contrato “Carátula” significa el documento adjunto al presente Contrato y que forma parte integrante del mismo, que contiene los datos generales de la PARTE ACREDITADA, del/de los FIADOR(ES) SOLIDARIO(S) del Crédito, así como información, términos y condiciones generales y particulares aplicables al presente Contrato.</t>
  </si>
  <si>
    <t>2. Que para la celebración de este Contrato ha obtenido todas las autorizaciones necesarias de cualquier autoridad o corporativas, en su caso, por lo que no se no requiere de ninguna autorización adicional y no tienen limitación legal, contractual, ni de ninguna autoridad judicial o administrativa o de cualquier índole, para celebrar el presente Contrato.</t>
  </si>
  <si>
    <t>3. Que no existe ninguna acción legal o procedimiento en su contra o de sus bienes (o que afecte a los mismos) ante autoridades judiciales o administrativas, adicional a los manifestados a EL BANCO a la fecha de este Contrato y que pudiera llegar a afectar el cumplimiento de las obligaciones contraídas en virtud del mismo.</t>
  </si>
  <si>
    <t>4. Que EL BANCO hizo de su conocimiento antes de la firma de este Contrato: el contenido del mismo y de todos los documentos a suscribir, los cargos, comisiones o gastos que se generarán por su celebración y, en su caso, los descuentos o bonificaciones a que tiene derecho.</t>
  </si>
  <si>
    <t>5. Que para el caso de que el importe del Crédito sea menor al equivalente a 900,000 Unidades de Inversión, EL BANCO hizo de su conocimiento antes de la firma de este Contrato el costo de financiamiento expresado en términos porcentuales anuales, “para fines informativos y de comparación exclusivamente”, (“Costo Anual Total” o “CAT”) el cual se indica en la Carátula del presente Contrato bajo el rubro “CAT”.</t>
  </si>
  <si>
    <t>6. En caso de que la PARTE ACREDITADA sea Persona Moral, que: (i) es una entidad debidamente constituida y existente de conformidad con las leyes de los Estados Unidos Mexicanos, plenamente facultada conforme al objeto de su institución para la celebración del presente Contrato; y (ii) su(s) Representante(s) cuenta(n) con capacidad legal y facultades suficientes para la celebración del presente Contrato, mismas que a la fecha no le(s) han sido revocadas, modificadas, ni restringidas de forma alguna.</t>
  </si>
  <si>
    <t>7. 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</si>
  <si>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Que es una Institución de Crédito constituida conforme a las leyes de los Estados Unidos Mexicanos plenamente facultada para celebrar el presente Contrato y sus representantes cuentan con capacidad legal y facultades suficientes para la celebración del presente Contrato, mismas que a la fecha no les han sido revocadas, modificadas, ni restringidas de forma alguna.</t>
  </si>
  <si>
    <t>1. Que es una Institución de Crédito constituida conforme a las leyes de los Estados Unidos Mexicanos plenamente facultada para celebrar el presente Contrato y sus representantes cuentan con capacidad legal y facultades suficientes para la celebración del presente Contrato, mismas que a la fecha no les han sido revocadas, modificadas, ni restringidas de forma alguna.</t>
  </si>
  <si>
    <r>
      <t xml:space="preserve">III.      </t>
    </r>
    <r>
      <rPr>
        <sz val="8"/>
        <rFont val="Arial"/>
        <family val="2"/>
      </rPr>
      <t>Declara(n) el/los FIADOR(ES) SOLIDARIO(S)</t>
    </r>
  </si>
  <si>
    <r>
      <rPr>
        <b/>
        <sz val="8"/>
        <rFont val="Arial"/>
        <family val="2"/>
      </rPr>
      <t>I</t>
    </r>
    <r>
      <rPr>
        <sz val="8"/>
        <rFont val="Arial"/>
        <family val="2"/>
      </rPr>
      <t>. Declara LA PARTE ACREDITADA:</t>
    </r>
  </si>
  <si>
    <r>
      <rPr>
        <b/>
        <sz val="8"/>
        <rFont val="Arial"/>
        <family val="2"/>
      </rPr>
      <t>II</t>
    </r>
    <r>
      <rPr>
        <sz val="8"/>
        <rFont val="Arial"/>
        <family val="2"/>
      </rPr>
      <t>.</t>
    </r>
    <r>
      <rPr>
        <b/>
        <sz val="8"/>
        <rFont val="Arial"/>
        <family val="2"/>
      </rPr>
      <t> </t>
    </r>
    <r>
      <rPr>
        <sz val="8"/>
        <rFont val="Arial"/>
        <family val="2"/>
      </rPr>
      <t>Declara EL BANCO:</t>
    </r>
  </si>
  <si>
    <r>
      <t xml:space="preserve">III. </t>
    </r>
    <r>
      <rPr>
        <sz val="8"/>
        <rFont val="Arial"/>
        <family val="2"/>
      </rPr>
      <t>Declara(n) el/los FIADOR(ES) SOLIDARIO(S)</t>
    </r>
  </si>
  <si>
    <t>1. Que es su voluntad garantizar las obligaciones de la PARTE ACREDITADA derivadas del presente Contrato, mediante la fianza que se establece más adelante y su aval en los pagarés que se suscriban conforme al Contrato de Crédito.</t>
  </si>
  <si>
    <r>
      <rPr>
        <b/>
        <sz val="8"/>
        <rFont val="Arial"/>
        <family val="2"/>
      </rPr>
      <t>SEGUNDA</t>
    </r>
    <r>
      <rPr>
        <sz val="8"/>
        <rFont val="Arial"/>
        <family val="2"/>
      </rPr>
      <t>:- DISPOSICION.- La PARTE ACREDITADA dispondrá del Crédito que se le otorga en uno o varios actos, para ello solicitará a EL BANCO las ministraciones respectivas por medio de dispositivos automatizados o sistemas de cómputo de conformidad con los términos y condiciones establecidos en el contrato de prestación de servicios bancarios (cualquiera que sea su denominación) que al efecto tiene celebrado con EL BANCO. Invariablemente las cantidades dispuestas al amparo del Crédito otorgado se abonarán en la cuenta de cheques señalada en la Carátula, en el entendido de que aquellas disposiciones que se soliciten en horas y días inhábiles bancarios, se abonarán precisamente el día hábil bancario inmediato siguiente. En virtud de lo anterior las partes reconocen que las disposiciones efectuadas por LA PARTE ACREDITADA se comprobarán con los registros contables correspondientes a los abonos realizados a la cuenta de cheques referida en ésta cláusula, por lo que los registros contables de EL BANCO harán prueba para las partes. Las disposiciones del C rédito están condicionadas a que no exista una o algunas de las causas de vencimiento anticipado pactadas en este contrato.</t>
    </r>
  </si>
  <si>
    <r>
      <t xml:space="preserve">TERCERA:-  </t>
    </r>
    <r>
      <rPr>
        <sz val="8"/>
        <rFont val="Arial"/>
        <family val="2"/>
      </rPr>
      <t>USO  DE  SISTEMAS,  EQUIPOS  Y  MEDIOS  AUTOMATIZADOS  O  ELECTRÓNICOS.-  LA PARTE ACREDITADA autoriza a “EL BANCO” para que las operaciones y servicios puedan celebrarse o prestarse por medio del  uso de sistemas, equipos  o medios automatizados o electrónicos. Las grabaciones, cintas magnéticas y documentos que resulten del uso de tales equipos y sistemas acreditarán la creación, transmisión, modificación o extinción de derechos y obligaciones de las partes. Los servicios que “EL BANCO” otorgue a la PARTE ACREDITADA a través de sistemas, equipos o medios automatizados, electrónicos o magnéticos, tales como el teléfono (“Banca Telefónica”), Internet (“Banca por Internet”) u otros, permitirán a la PARTE ACREDITADA realizar aquellas operaciones que “EL BANCO” ponga a disposición de la PARTE ACREDITADA a través de dichos sistemas, equipos o medios automatizados, electrónicos o magnéticos, y se regirán por lo establecido en el artículo 52 de la Ley de Instituciones de Crédito, por lo que:</t>
    </r>
  </si>
  <si>
    <t>i)      El servicio de Banca Telefónica se regirá por lo establecido en este instrumento, en el contrato de apertura de depósito bancario de dinero a la vista que la PARTE ACREDITADA tenga celebrado con “EL BANCO” (cualquiera que sea su denominación), mismo que aplicará, en lo conducente, al servicio de Banca por Internet, en el entendido que a este servicio por Internet, le será además aplicable lo establecido en el contrato que celebre la PARTE ACREDITADA (en papel o por medios electrónicos) con “EL BANCO” para tales efectos.</t>
  </si>
  <si>
    <t>ii)   “EL BANCO” proporcionará a la PARTE ACREDITADA , como medios de identificación y de acceso a los servicios señalados en el primer párrafo de esta cláusula, dispositivos de seguridad (en adelante los “Dispositivos de Seguridad”) individuales y confidenciales, tales como: contraseñas electrónicas alfanuméricas, y, en su caso, un medio de autenticación (“Dispositivo Físico”) que genera claves para autorizar transacciones.</t>
  </si>
  <si>
    <t>La PARTE ACREDITADA reconoce y acepta expresamente que EL BANCO no será responsable si por caso fortuito, fuerza mayor o fallas en los dispositivos automatizados o sistemas de cómputo de EL BANCO, o por cualquier otra causa ajena al  control  de  éste  último,  la PARTE ACREDITADA no pudiere realizar disposición(es) del Crédito otorgado de acuerdo con este contrato.</t>
  </si>
  <si>
    <t>Cuando el servicio de Banca por Internet sea contratado conforme a lo señalado en este punto la PARTE ACREDITADA solo podrá realizar, a través de dicho servicio, las consultas de saldos y movimientos sobre sus cuentas y transferencias de fondos entre cuentas propias.</t>
  </si>
  <si>
    <t>“EL BANCO” informará a LA PARTE ACREDITADA, a través de los estados de cuenta o los medios que estime convenientes, en caso de proceder conforme a lo pactado en los incisos ix) y x) que anteceden.</t>
  </si>
  <si>
    <t>iv)     La PARTE ACREDITADA acepta, de manera expresa e irrevocable, ser el único responsable por el uso que se le dé a los Dispositivos de Seguridad, liberando a “EL BANCO” de cualquier responsabilidad al respecto.</t>
  </si>
  <si>
    <t>v)   El uso de los medios automatizados, electrónicos o de telecomunicaciones, estará sujeto a la disponibilidad de los mismos dentro del horario de atención a clientes y a los servicios que se ofrezcan a través de ellos. “EL BANCO”, en virtud de la naturaleza de los medios referidos, no asume ninguna responsabilidad en el caso de que la PARTE ACREDITADA esté impedida para hacer uso de su Cuenta en caso de fallas en los mismos y/o por la suspensión o supresión del servicio.</t>
  </si>
  <si>
    <t>iii)     Cualquiera de los medios de identificación antes mencionados, se entenderán como sustitutos de la firma autógrafa de la PARTE ACREDITADA, por lo que lo obligarán y producirán los mismos efectos que ésta y, en consecuencia, tendrán el mismo valor probatorio. Por lo anterior, el uso de los Dispositivos de Seguridad obligarán a la PARTE ACREDITADA en los términos de las autorizaciones, trámites y/o por la ejecución de operaciones y por los demás actos que surjan o se deriven de la utilización de los mismos.</t>
  </si>
  <si>
    <t>vi)  Para el servicio de Banca por Internet la PARTE ACREDITADA puede realizar la asignación de su contraseña electrónica alfanumérica a través del portal de “EL BANCO”.</t>
  </si>
  <si>
    <t>vii)   LA PARTE ACREDITADA autoriza a “EL BANCO” para que este último envíe información relativa a las operaciones realizadas por la PARTE ACREDITADA, a través de los servicios referidos en la presente cláusula, a la dirección de correo electrónico que, en su caso, señaló la PARTE ACREDITADA a EL BANCO.</t>
  </si>
  <si>
    <t>viii)    Para efectos del presente contrato se entiende por operaciones monetarias aquellas transacciones que impliquen la transferencia o retiro de recursos dinerarios con cargo a la cuenta de cheques de la PARTE ACREDITADA que se señala en la Carátula.</t>
  </si>
  <si>
    <t>ix)   La PARTE ACREDITADA autoriza a “EL BANCO” para que este último suspenda o cancele el trámite de las operaciones efectuadas mediante el uso de equipos, medios electrónicos, ópticos o de cualquier otra tecnología, sistemas automatizados de procesamiento de datos y redes de telecomunicaciones, ya sean públicos o privados, en caso de que presuma que dicho medio está siendo utilizado en forma indebida, o bien, en caso de detectar errores en las instrucciones recibidas; estando además “EL BANCO” facultado para restringir hasta por 15 (quince) días hábiles la disposición de recursos que procedan de tales operaciones con la finalidad  de efectuar las investigaciones correspondientes, pudiéndose prorrogar 10 (diez) días hábiles, siempre que se haya dado vista a la autoridad competente sobre probables hechos ilícitos cometidos en virtud de la operación respectiva.</t>
  </si>
  <si>
    <t>vii) No obstante lo establecido en el inciso anterior, en los casos en que, por error se hayan abonado recursos en la cuenta de cheques de LA PARTE ACREDITADA que se señala en la Carátula o bien por motivo de las investigaciones antes referidas, se tenga evidencia de que dicha cuenta de cheques fue abierta con información o documentación falsa, o bien, que los medios de identificación pactados para la realización de las operaciones referidas en el párrafo anterior, fueron utilizados en forma indebida, “EL BANCO” podrá cargar en la referida cuenta de cheques el importe respectivo con el propósito de que se regresen los recursos correspondientes a la cuenta de la que procedieron.</t>
  </si>
  <si>
    <r>
      <t xml:space="preserve">CUARTA:- </t>
    </r>
    <r>
      <rPr>
        <sz val="8"/>
        <rFont val="Arial"/>
        <family val="2"/>
      </rPr>
      <t>DESTINO DEL CREDITO.- La PARTE ACREDITADA se obliga a invertir el importe del Crédito precisamente en capital de trabajo.</t>
    </r>
  </si>
  <si>
    <r>
      <t xml:space="preserve">QUINTA:- </t>
    </r>
    <r>
      <rPr>
        <sz val="8"/>
        <rFont val="Arial"/>
        <family val="2"/>
      </rPr>
      <t>PLAZO DEL CREDITO.- El plazo del presente Crédito se indica en la Carátula bajo el rubro “Plazo del Crédito” contado a partir de la fecha de firma del presente Contrato. No obstante lo anterior, los términos y condiciones del presente Contrato continuarán vigentes mientras existan cantidades pendientes de pago al amparo del mismo.</t>
    </r>
  </si>
  <si>
    <r>
      <t xml:space="preserve">SEXTA:- </t>
    </r>
    <r>
      <rPr>
        <sz val="8"/>
        <rFont val="Arial"/>
        <family val="2"/>
      </rPr>
      <t>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antes pactado.</t>
    </r>
  </si>
  <si>
    <r>
      <t xml:space="preserve">SEPTIMA:- </t>
    </r>
    <r>
      <rPr>
        <sz val="8"/>
        <rFont val="Arial"/>
        <family val="2"/>
      </rPr>
      <t>PAGO DEL  CREDITO.- El pago del Crédito  concedido, será efectuado por LA PARTE ACREDITADA en el domicilio de “EL BANCO”, de la siguiente manera:</t>
    </r>
  </si>
  <si>
    <t>a)    Las disposiciones del Crédito que se efectúen durante el primer año de vigencia del mismo, se pagarán precisamente en la fecha que se  señala en  la Carátula  bajo el rubro “Fecha Primer Pago”.</t>
  </si>
  <si>
    <t>b)  Las disposiciones del Crédito que se efectúen durante el segundo año de vigencia del mismo, se pagarán precisamente en la fecha que se señala en la Carátula bajo el rubro “ Fecha Segundo Pago”.</t>
  </si>
  <si>
    <t>c)  Las disposiciones del Crédito que se efectúen durante el tercer año de vigencia del mismo, se pagarán precisamente en la fecha que se señala en la Carátula bajo el rubro “Fecha Tercer Pago”.</t>
  </si>
  <si>
    <t>a)  Las disposiciones del Crédito que se efectúen durante el primer año de vigencia del mismo, se pagarán precisamente en la fecha que se  señala en  la Carátula  bajo el rubro “Fecha Primer Pago”.</t>
  </si>
  <si>
    <r>
      <t xml:space="preserve">OCTAVA:- </t>
    </r>
    <r>
      <rPr>
        <sz val="8"/>
        <rFont val="Arial"/>
        <family val="2"/>
      </rPr>
      <t>TASA DE INTERES ORDINARIO.- La PARTE ACREDITADA se obliga a pagar a EL BANCO, sin necesidad de previo requerimiento, intereses ordinarios sobre el saldo insoluto de las sumas ejercidas,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r>
  </si>
  <si>
    <r>
      <t xml:space="preserve">NOVENA:-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 que antecede, en la fecha en que se realice el pago o en su caso, conforme a la Cláusula de TASAS SUSTITUTAS siguiente.</t>
    </r>
  </si>
  <si>
    <r>
      <t>DÉCIMA</t>
    </r>
    <r>
      <rPr>
        <sz val="8"/>
        <rFont val="Arial"/>
        <family val="2"/>
      </rPr>
      <t>.- 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</si>
  <si>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r>
      <t xml:space="preserve">DÉCIMA  PRIMERA:-  </t>
    </r>
    <r>
      <rPr>
        <sz val="8"/>
        <rFont val="Arial"/>
        <family val="2"/>
      </rPr>
      <t>COMISIONES.-  La  PARTE  ACREDITADA  se  obliga  a  pagar  a  EL  BANCO,  sin necesidad de previo requerimiento, las comisiones que a continuación se mencionan:</t>
    </r>
  </si>
  <si>
    <t>(i)    Comisión por apertura del Crédito, por una cantidad igual a la que resulte de aplicar el porcentaje establecido en la Carátula, al importe del crédito, la cual se cubrirá al hacer la primera disposición del Crédito.</t>
  </si>
  <si>
    <t>(ii)  Comisión por disposición, igual a la cantidad correspondiente a un día de devengo de intereses ordinarios, calculados de conformidad con lo establecido en la Cláusula TASA DE INTERES ORDINARIO. Dicha comisión sólo se cubrirá en caso de que la PARTE ACREDITADA pague el importe dispuesto del Crédito al amparo del presente Contrato, el mismo día de su disposición  y dentro  del  horario de servicio  de las sucursales  de  EL  BANCO.</t>
  </si>
  <si>
    <r>
      <t xml:space="preserve">DECIMA SEGUNDA:-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</si>
  <si>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TERCERA:- </t>
    </r>
    <r>
      <rPr>
        <sz val="8"/>
        <rFont val="Arial"/>
        <family val="2"/>
      </rPr>
      <t>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t>
    </r>
  </si>
  <si>
    <r>
      <t xml:space="preserve">DECIMA CUARTA:-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</si>
  <si>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QUINTA:- </t>
    </r>
    <r>
      <rPr>
        <sz val="8"/>
        <rFont val="Arial"/>
        <family val="2"/>
      </rPr>
      <t>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t>
    </r>
  </si>
  <si>
    <r>
      <t xml:space="preserve">DECIMA SEXTA:- </t>
    </r>
    <r>
      <rPr>
        <sz val="8"/>
        <rFont val="Arial"/>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</si>
  <si>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 xml:space="preserve">DECIMA SÉPTIMA:- </t>
    </r>
    <r>
      <rPr>
        <sz val="8"/>
        <rFont val="Arial"/>
        <family val="2"/>
      </rPr>
      <t>FIANZA.- En este acto la(s) persona(s) física(s) y/o moral(es) que se mencionan en la Carátula como FIADOR(ES) SOLIDARIO(S), constituye(n) fianza solidaria 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t>
    </r>
  </si>
  <si>
    <r>
      <t xml:space="preserve">DECIMA OCTAVA:-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es persona moral) o la actividad empresarial que realiza (si es persona física), cuando EL BANCO se lo solicite, en un término que no deberá exceder de 15 (quince) días naturales contados a partir de la fecha en que le sea entregada tal solicitud. En el caso de que la PARTE ACREDITADA cotice en cualquier Bolsa de Valores, ya sea nacional o extranjera, el contenido de la información solicitada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b) Proporcionar a EL BANCO estados financieros anuales dictaminados para efectos financieros (no fiscales) por Contador Público autorizado, cuando se tenga la obligación de hacerlo, dentro de los 180 (ciento ochenta) días naturales siguientes a la terminación del ejercicio fiscal.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</si>
  <si>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NOVENA: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t>
    </r>
  </si>
  <si>
    <r>
      <t xml:space="preserve">VIGESIMA: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</si>
  <si>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PRIMERA: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</si>
  <si>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SEGUNDA- </t>
    </r>
    <r>
      <rPr>
        <sz val="8"/>
        <rFont val="Arial"/>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</si>
  <si>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TERCERA:- </t>
    </r>
    <r>
      <rPr>
        <sz val="8"/>
        <rFont val="Arial"/>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</si>
  <si>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CUARTA:- </t>
    </r>
    <r>
      <rPr>
        <sz val="8"/>
        <rFont val="Arial"/>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</si>
  <si>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QUINTA: </t>
    </r>
    <r>
      <rPr>
        <sz val="8"/>
        <rFont val="Arial"/>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</si>
  <si>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SEXTA: </t>
    </r>
    <r>
      <rPr>
        <sz val="8"/>
        <rFont val="Arial"/>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</si>
  <si>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SÉPTIMA: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</si>
  <si>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 xml:space="preserve">VIGESIMA OCTAVA: </t>
    </r>
    <r>
      <rPr>
        <sz val="8"/>
        <rFont val="Arial"/>
        <family val="2"/>
      </rPr>
      <t>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</si>
  <si>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 xml:space="preserve">VIGESIMA NOVENA:- </t>
    </r>
    <r>
      <rPr>
        <sz val="8"/>
        <rFont val="Arial"/>
        <family val="2"/>
      </rPr>
      <t>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</si>
  <si>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 xml:space="preserve">TRIGESIMA:- </t>
    </r>
    <r>
      <rPr>
        <sz val="8"/>
        <rFont val="Arial"/>
        <family val="2"/>
      </rPr>
      <t>FECHAS DE ACREDITAMIENTO.- Los pagos que realice la PARTE ACREDITADA se aplicarán de acuerdo con el medio de pago utilizado de la siguiente manera:</t>
    </r>
  </si>
  <si>
    <r>
      <t xml:space="preserve">TRIGESIMA PRIMERA:- </t>
    </r>
    <r>
      <rPr>
        <sz val="8"/>
        <rFont val="Arial"/>
        <family val="2"/>
      </rPr>
      <t>SUCESORES Y CESIONARIOS.- La PARTE ACREDITADA no podrá ceder, enajenar, gravar o afectar en cualquier forma sus derechos u obligaciones conforme a este Contrato.</t>
    </r>
  </si>
  <si>
    <r>
      <t>TRIGESIMA SEGUNDA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</si>
  <si>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TERCERA:- </t>
    </r>
    <r>
      <rPr>
        <sz val="8"/>
        <rFont val="Arial"/>
        <family val="2"/>
      </rPr>
      <t>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t>
    </r>
  </si>
  <si>
    <r>
      <t xml:space="preserve">TRIGESIMA CUARTA:-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</si>
  <si>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Invariablemente las cantidades dispuestas al amparo del Crédito otorgado se abonarán en la cuenta de cheques señalada en la Carátula, en el entendido de que aquellas disposiciones que se soliciten en horas y días inhábiles bancarios, se abonarán precisamente el día hábil bancario inmediato siguiente. En virtud de lo anterior las partes reconocen que las disposiciones efectuadas por LA PARTE ACREDITADA se comprobarán con los registros contables correspondientes  a los abonos realizados a la cuenta de cheques referida en ésta cláusula, por lo que los registros contables de EL BANCO harán prueba para las partes. Las disposiciones  del C rédito están condicionadas a que no exista ninguna de las causas de  vencimiento anticipado pactadas en este contrato.</t>
  </si>
  <si>
    <r>
      <t xml:space="preserve">SEGUNDA:- </t>
    </r>
    <r>
      <rPr>
        <sz val="8"/>
        <rFont val="Arial"/>
        <family val="2"/>
      </rPr>
      <t>DISPOSICION.- La PARTE ACREDITADA dispondrá del Crédito que se le otorga en uno o varios actos, pudiendo solicitar a EL BANCO las ministraciones respectivas a través de cualquiera de los siguientes medios en forma indistinta:</t>
    </r>
  </si>
  <si>
    <t>a)    Por medio de dispositivos automatizados o sistemas de cómputo de conformidad con los términos y condiciones establecidos en el contrato de prestación de servicios bancarios (cualquiera que sea su denominación) que al efecto tiene celebrado con EL BANCO.</t>
  </si>
  <si>
    <t>b)    Por medio del uso de su tarjeta de débito (en adelante la “Tarjeta de Disposición”) asociada a su cuenta de depósito bancario de dinero a la vista identificada en la Carátula bajo el rubro Cuenta de Cheques.</t>
  </si>
  <si>
    <t>c)    Mediante la suscripción de pagarés a la orden de EL BANCO. Los pagarés de que se trata son de tipo causal, no modifican este contrato y solo señalan los plazos dentro de los cuales deberá quedar reembolsado el Crédito, así como la disposición del mismo, pero podrán ser descontados por EL BANCO en los términos del artículo 299 (doscientos noventa y nueve) de la Ley General de Títulos y Operaciones de Crédito, para lo cual lo faculta la PARTE ACREDITADA.</t>
  </si>
  <si>
    <r>
      <t xml:space="preserve">TERCERA:- </t>
    </r>
    <r>
      <rPr>
        <sz val="8"/>
        <rFont val="Arial"/>
        <family val="2"/>
      </rPr>
      <t>USO DE SISTEMAS, EQUIPOS Y MEDIOS AUTOMATIZADOS, ELECTRÓNICOS O TARJETAS.- LA PARTE ACREDITADA autoriza a “EL BANCO” para que las operaciones y servicios puedan celebrarse o prestarse  por medio  del uso de sistemas, equipos o medios automatizados o  electrónicos o tarjetas. Las grabaciones, cintas magnéticas y documentos que resulten del uso de tales equipos y sistemas acreditarán la creación, transmisión, modificación o extinción de derechos y obligaciones de las partes. Los servicios que “EL BANCO” otorgue a la PARTE ACREDITADA a través de sistemas, equipos o medios automatizados, electrónicos o magnéticos, tales como el teléfono (“Banca Telefónica”), Internet (“Banca por Internet”) u otros, permitirán a la PARTE ACREDITADA realizar aquellas operaciones que “EL BANCO” ponga a disposición de la PARTE ACREDITADA a través de dichos sistemas, equipos o medios automatizados, electrónicos o magnéticos, y se regirán por lo establecido en el artículo 52 de la Ley de Instituciones de Crédito, por lo que:</t>
    </r>
  </si>
  <si>
    <t>i)      El servicio de Banca Telefónica y el uso de tarjetas y números de identificación personal (“NIP’s”) se regirán por lo  establecido  en  este instrumento, en  el  contrato  de  apertura de depósito bancario de dinero a la vista que la PARTE ACREDITADA tenga celebrado con “EL BANCO” (cualquiera que sea su denominación) respecto a dichas Tarjetas, mismo que aplicará, en lo conducente, al servicio de Banca por Internet, en el entendido que a este servicio por Internet, le será además aplicable lo establecido en el contrato que celebre la PARTE ACREDITADA (en papel o por medios electrónicos) con “EL BANCO” para tales efectos.</t>
  </si>
  <si>
    <t>ii)  “EL BANCO” proporcionará a la PARTE ACREDITADA , como medios de identificación y de acceso a los servicios señalados en el primer párrafo de esta cláusula, dispositivos de seguridad (en adelante los “Dispositivos de Seguridad”) individuales y confidenciales, tales como: contraseñas electrónicas alfanuméricas, tarjetas plásticas con banda magnética y/o circuito electrónico, números de identificación personal (NIP’s) y, en su caso, un medio de autenticación (“Dispositivo Físico”) que genera claves para autorizar transacciones.</t>
  </si>
  <si>
    <t>iii)   Cualquiera de los medios de identificación antes mencionados, se entenderán como sustitutos de la firma autógrafa de la PARTE ACREDITADA, por lo que lo obligarán y producirán los mismos efectos que ésta y, en consecuencia, tendrán el mismo valor probatorio. Por lo anterior, el uso de los Dispositivos de Seguridad obligarán a la PARTE ACREDITADA en los términos de las autorizaciones, trámites y/o por la ejecución de operaciones y por los demás actos que surjan o se deriven de la utilización de los mismos.</t>
  </si>
  <si>
    <t>iv)  La PARTE ACREDITADA acepta, de manera expresa e irrevocable, ser el único responsable por el uso que se le dé a los Dispositivos de Seguridad, liberando a “EL BANCO” de cualquier responsabilidad al respecto.</t>
  </si>
  <si>
    <t>vii) LA PARTE ACREDITADA autoriza a “EL BANCO” para que este último envíe información relativa a las operaciones realizadas por la PARTE ACREDITADA, a través de los servicios referidos en la presente cláusula, a la dirección de correo electrónico que, en su caso, señaló la PARTE ACREDITADA a EL BANCO.</t>
  </si>
  <si>
    <t>viii)  El monto diario de las operaciones monetarias realizadas a través de cajeros automáticos, no podrán exceder del equivalente en moneda nacional a las 1,500 Udis, entendiéndose por operaciones monetarias aquellas transacciones que impliquen la transferencia o retiro de recursos dinerarios con cargo a la cuenta de cheques de la PARTE ACREDITADA que se señala en la Carátula. El límite antes indicado aplicará para cada día natural.</t>
  </si>
  <si>
    <t>x)  No obstante lo establecido en el inciso anterior, en los casos en que, por error se hayan abonado recursos en la cuenta de cheques de LA PARTE ACREDITADA que se señala en la Carátula o bien por motivo de las investigaciones antes referidas, se tenga evidencia de que dicha cuenta de cheques fue abierta con información o documentación falsa, o bien, que los medios de identificación pactados para la realización de las operaciones referidas en el párrafo anterior, fueron utilizados en forma indebida, “EL BANCO” podrá cargar en la referida cuenta de cheques el importe respectivo con el propósito de que se regresen los recursos correspondientes a la cuenta de la que procedieron.</t>
  </si>
  <si>
    <r>
      <t xml:space="preserve">CUARTA:- </t>
    </r>
    <r>
      <rPr>
        <sz val="8"/>
        <rFont val="Arial"/>
        <family val="2"/>
      </rPr>
      <t>DESTINO DEL CREDITO.- La PARTE ACREDITADA se obliga a invertir el importe del Crédito precisamente para el fomento de su actividad.</t>
    </r>
  </si>
  <si>
    <r>
      <t xml:space="preserve">SEXTA:- </t>
    </r>
    <r>
      <rPr>
        <sz val="8"/>
        <rFont val="Arial"/>
        <family val="2"/>
      </rPr>
      <t>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antes pactado.</t>
    </r>
  </si>
  <si>
    <t>Los intereses se calcularán sobre la base de 360 (trescientos sesenta) días por año y se causarán sobre  el  saldo  insoluto  de  cada  Disposición  del  Crédito.  Los  intereses  serán  pagaderos  por mensualidades vencidas, el día calendario de cada mes que se indica en la Carátula del presente Contrato.</t>
  </si>
  <si>
    <r>
      <t xml:space="preserve">DECIMA SEGUNDA:-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</si>
  <si>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OCTAVA:-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es persona moral) o la actividad empresarial que realiza (si es persona física), cuando EL BANCO se lo solicite, en un término que no deberá exceder de 15 (quince) días naturales contados a partir de la fecha en que le sea entregada tal solicitud. En el caso de que la PARTE ACREDITADA cotice en cualquier Bolsa de Valores, ya sea nacional o extranjera, el contenido de la información solicitada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b) Proporcionar a EL BANCO estados financieros anuales dictaminados para efectos financieros (no fiscales) por Contador Público autorizado, cuando se tenga la obligación de hacerlo, dentro de los 180 (ciento ochenta) días naturales siguientes a la terminación del ejercicio fiscal.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</si>
  <si>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VIGESIMA: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</si>
  <si>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SÉPTIMA: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</si>
  <si>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t>Monto de Crédito</t>
  </si>
  <si>
    <t>Mínimo</t>
  </si>
  <si>
    <t>Máximo</t>
  </si>
  <si>
    <r>
      <t>Settings de ejecución.</t>
    </r>
    <r>
      <rPr>
        <sz val="10"/>
        <rFont val="Arial"/>
      </rPr>
      <t xml:space="preserve"> Se consultan cuando el simulador está en uso.</t>
    </r>
  </si>
  <si>
    <t>Modo de Mantenimiento</t>
  </si>
  <si>
    <t>Marca</t>
  </si>
  <si>
    <t>Banorte</t>
  </si>
  <si>
    <t>Proteger Hojas con Contraseña:</t>
  </si>
  <si>
    <t>- - Se asigna al cerrar - -</t>
  </si>
  <si>
    <r>
      <t>Identificación y Mensaje del Cierre.</t>
    </r>
    <r>
      <rPr>
        <sz val="10"/>
        <rFont val="Arial"/>
      </rPr>
      <t xml:space="preserve"> Se llenan al cerrar el archivo.</t>
    </r>
  </si>
  <si>
    <r>
      <t xml:space="preserve">Archivos Extra. </t>
    </r>
    <r>
      <rPr>
        <sz val="10"/>
        <rFont val="Arial"/>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</si>
  <si>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</si>
  <si>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</si>
  <si>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</si>
  <si>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</si>
  <si>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</si>
  <si>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</si>
  <si>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</si>
  <si>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</si>
  <si>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</si>
  <si>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</si>
  <si>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</si>
  <si>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+3 (3eecb2a+)</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</si>
  <si>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</si>
  <si>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</si>
  <si>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</si>
  <si>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</si>
  <si>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</si>
  <si>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</si>
  <si>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</si>
  <si>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</si>
  <si>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</si>
  <si>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</si>
  <si>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</si>
  <si>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</si>
  <si>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</si>
  <si>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Crediactivo Banorte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</si>
</sst>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9">
    <numFmt numFmtId="8" formatCode="&quot;$&quot;#,##0.00;[Red]\-&quot;$&quot;#,##0.00"/>
    <numFmt numFmtId="44" formatCode="_-&quot;$&quot;* #,##0.00_-;\-&quot;$&quot;* #,##0.00_-;_-&quot;$&quot;* &quot;-&quot;??_-;_-@_-"/>
    <numFmt numFmtId="43" formatCode="_-* #,##0.00_-;\-* #,##0.00_-;_-* &quot;-&quot;??_-;_-@_-"/>
    <numFmt numFmtId="164" formatCode="_(&quot;$&quot;* #,##0.00_);_(&quot;$&quot;* \(#,##0.00\);_(&quot;$&quot;* &quot;-&quot;??_);_(@_)"/>
    <numFmt numFmtId="165" formatCode="_(* #,##0.00_);_(* \(#,##0.00\);_(* &quot;-&quot;??_);_(@_)"/>
    <numFmt numFmtId="166" formatCode="0.0000%"/>
    <numFmt numFmtId="167" formatCode="#,##0.00_ ;[Red]\-#,##0.00\ "/>
    <numFmt numFmtId="168" formatCode="&quot;$&quot;#,##0.00;[Red]&quot;$&quot;#,##0.00"/>
    <numFmt numFmtId="169" formatCode="0.0%"/>
    <numFmt numFmtId="170" formatCode="#,##0_ ;[Red]\-#,##0\ "/>
    <numFmt numFmtId="171" formatCode="[$-80A]d&quot; de &quot;mmmm&quot; de &quot;yyyy;@"/>
    <numFmt numFmtId="172" formatCode="dd/mmm/yyyy"/>
    <numFmt numFmtId="173" formatCode="&quot;$&quot;#,##0.0000;[Red]\-&quot;$&quot;#,##0.0000"/>
    <numFmt numFmtId="174" formatCode="_(&quot;$&quot;* #,##0.0000_);_(&quot;$&quot;* \(#,##0.0000\);_(&quot;$&quot;* &quot;-&quot;??_);_(@_)"/>
    <numFmt numFmtId="175" formatCode="&quot;Sufijo:&quot;\ @"/>
    <numFmt numFmtId="176" formatCode="&quot;Versión MCA:&quot;\ @"/>
    <numFmt numFmtId="177" formatCode="&quot;Mensaje de cierre: &quot;\ @"/>
    <numFmt numFmtId="178" formatCode="&quot;[&quot;\ @\ &quot;]&quot;"/>
    <numFmt numFmtId="179" formatCode="&quot;Hojas Interactivas:&quot;\ General"/>
  </numFmts>
  <fonts count="96">
    <font>
      <sz val="10"/>
      <name val="Arial"/>
    </font>
    <font>
      <sz val="11"/>
      <color theme="1"/>
      <name val="Calibri"/>
      <family val="2"/>
      <scheme val="minor"/>
    </font>
    <font>
      <sz val="10"/>
      <name val="Arial"/>
      <family val="2"/>
    </font>
    <font>
      <sz val="8"/>
      <name val="Arial"/>
      <family val="2"/>
    </font>
    <font>
      <b/>
      <sz val="10"/>
      <color indexed="12"/>
      <name val="Arial"/>
      <family val="2"/>
    </font>
    <font>
      <sz val="10"/>
      <name val="Arial"/>
      <family val="2"/>
    </font>
    <font>
      <b/>
      <sz val="16"/>
      <color indexed="9"/>
      <name val="Arial"/>
      <family val="2"/>
    </font>
    <font>
      <b/>
      <sz val="8"/>
      <color indexed="9"/>
      <name val="Arial"/>
      <family val="2"/>
    </font>
    <font>
      <sz val="8"/>
      <name val="Arial"/>
      <family val="2"/>
    </font>
    <font>
      <b/>
      <sz val="8"/>
      <name val="Arial"/>
      <family val="2"/>
    </font>
    <font>
      <b/>
      <sz val="8"/>
      <color indexed="12"/>
      <name val="Arial"/>
      <family val="2"/>
    </font>
    <font>
      <b/>
      <sz val="10"/>
      <color indexed="12"/>
      <name val="Arial"/>
      <family val="2"/>
    </font>
    <font>
      <b/>
      <sz val="10"/>
      <name val="Arial"/>
      <family val="2"/>
    </font>
    <font>
      <sz val="7"/>
      <name val="Arial"/>
      <family val="2"/>
    </font>
    <font>
      <b/>
      <sz val="8"/>
      <name val="Arial"/>
      <family val="2"/>
    </font>
    <font>
      <b/>
      <sz val="8"/>
      <color indexed="10"/>
      <name val="Arial"/>
      <family val="2"/>
    </font>
    <font>
      <sz val="8"/>
      <color indexed="9"/>
      <name val="Arial"/>
      <family val="2"/>
    </font>
    <font>
      <b/>
      <sz val="8"/>
      <color indexed="50"/>
      <name val="Arial"/>
      <family val="2"/>
    </font>
    <font>
      <b/>
      <sz val="8"/>
      <color indexed="17"/>
      <name val="Arial"/>
      <family val="2"/>
    </font>
    <font>
      <sz val="5"/>
      <color indexed="9"/>
      <name val="Arial"/>
      <family val="2"/>
    </font>
    <font>
      <sz val="8"/>
      <color indexed="10"/>
      <name val="Arial"/>
      <family val="2"/>
    </font>
    <font>
      <sz val="8"/>
      <color indexed="9"/>
      <name val="Arial"/>
      <family val="2"/>
    </font>
    <font>
      <b/>
      <sz val="12"/>
      <color indexed="53"/>
      <name val="Arial"/>
      <family val="2"/>
    </font>
    <font>
      <b/>
      <sz val="12"/>
      <color indexed="12"/>
      <name val="Arial"/>
      <family val="2"/>
    </font>
    <font>
      <b/>
      <sz val="12"/>
      <name val="Arial"/>
      <family val="2"/>
    </font>
    <font>
      <b/>
      <sz val="12"/>
      <color indexed="10"/>
      <name val="Arial"/>
      <family val="2"/>
    </font>
    <font>
      <b/>
      <sz val="11"/>
      <color indexed="53"/>
      <name val="Arial"/>
      <family val="2"/>
    </font>
    <font>
      <sz val="11"/>
      <name val="Arial"/>
      <family val="2"/>
    </font>
    <font>
      <b/>
      <sz val="11"/>
      <color indexed="12"/>
      <name val="Arial"/>
      <family val="2"/>
    </font>
    <font>
      <b/>
      <sz val="7"/>
      <name val="Arial"/>
      <family val="2"/>
    </font>
    <font>
      <sz val="8"/>
      <name val="Tahoma"/>
      <family val="2"/>
    </font>
    <font>
      <sz val="10"/>
      <name val="Book Antiqua"/>
      <family val="1"/>
    </font>
    <font>
      <sz val="11"/>
      <color theme="1"/>
      <name val="Calibri"/>
      <family val="2"/>
      <scheme val="minor"/>
    </font>
    <font>
      <b/>
      <sz val="11"/>
      <color rgb="FF0000FF"/>
      <name val="Arial"/>
      <family val="2"/>
    </font>
    <font>
      <b/>
      <sz val="8"/>
      <color rgb="FF92D050"/>
      <name val="Arial"/>
      <family val="2"/>
    </font>
    <font>
      <sz val="8"/>
      <color rgb="FFFF0000"/>
      <name val="Arial"/>
      <family val="2"/>
    </font>
    <font>
      <b/>
      <sz val="11"/>
      <color theme="0"/>
      <name val="Arial"/>
      <family val="2"/>
    </font>
    <font>
      <b/>
      <sz val="8"/>
      <color rgb="FF7030A0"/>
      <name val="Book Antiqua"/>
      <family val="1"/>
    </font>
    <font>
      <b/>
      <sz val="10.5"/>
      <name val="Arial"/>
      <family val="2"/>
    </font>
    <font>
      <sz val="7"/>
      <name val="Tahoma"/>
      <family val="2"/>
    </font>
    <font>
      <b/>
      <sz val="11"/>
      <name val="Arial"/>
      <family val="2"/>
    </font>
    <font>
      <sz val="6"/>
      <name val="Arial"/>
      <family val="2"/>
    </font>
    <font>
      <sz val="7.5"/>
      <name val="Arial"/>
      <family val="2"/>
    </font>
    <font>
      <sz val="7.5"/>
      <name val="Tahoma"/>
      <family val="2"/>
    </font>
    <font>
      <b/>
      <sz val="7.5"/>
      <name val="Tahoma"/>
      <family val="2"/>
    </font>
    <font>
      <b/>
      <sz val="7"/>
      <name val="Tahoma"/>
      <family val="2"/>
    </font>
    <font>
      <b/>
      <u/>
      <sz val="7.5"/>
      <name val="Tahoma"/>
      <family val="2"/>
    </font>
    <font>
      <sz val="7.5"/>
      <color rgb="FFFF0000"/>
      <name val="Tahoma"/>
      <family val="2"/>
    </font>
    <font>
      <sz val="6"/>
      <name val="Tahoma"/>
      <family val="2"/>
    </font>
    <font>
      <b/>
      <sz val="8"/>
      <name val="Tahoma"/>
      <family val="2"/>
    </font>
    <font>
      <u/>
      <sz val="8"/>
      <name val="Arial"/>
      <family val="2"/>
    </font>
    <font>
      <sz val="10"/>
      <color theme="1"/>
      <name val="Century Gothic"/>
      <family val="2"/>
    </font>
    <font>
      <sz val="8"/>
      <color theme="1"/>
      <name val="Arial"/>
      <family val="2"/>
    </font>
    <font>
      <sz val="9"/>
      <name val="Century Gothic"/>
      <family val="2"/>
    </font>
    <font>
      <sz val="7.3"/>
      <name val="Tahoma"/>
      <family val="2"/>
    </font>
    <font>
      <sz val="7.4"/>
      <name val="Tahoma"/>
      <family val="2"/>
    </font>
    <font>
      <b/>
      <sz val="9"/>
      <name val="Century Gothic"/>
      <family val="2"/>
    </font>
    <font>
      <sz val="8"/>
      <name val="Century Gothic"/>
      <family val="2"/>
    </font>
    <font>
      <sz val="8.5"/>
      <name val="Century Gothic"/>
      <family val="2"/>
    </font>
    <font>
      <sz val="10"/>
      <name val="Century Gothic"/>
      <family val="2"/>
    </font>
    <font>
      <sz val="6.5"/>
      <name val="Century Gothic"/>
      <family val="2"/>
    </font>
    <font>
      <sz val="5.5"/>
      <name val="Century Gothic"/>
      <family val="2"/>
    </font>
    <font>
      <sz val="8"/>
      <color rgb="FF000000"/>
      <name val="Arial"/>
      <family val="2"/>
    </font>
    <font>
      <i/>
      <sz val="8"/>
      <name val="Arial"/>
      <family val="2"/>
    </font>
    <font>
      <b/>
      <sz val="8"/>
      <color rgb="FF000000"/>
      <name val="Arial"/>
      <family val="2"/>
    </font>
    <font>
      <i/>
      <sz val="9"/>
      <name val="Century Gothic"/>
      <family val="2"/>
    </font>
    <font>
      <b/>
      <u/>
      <sz val="11.5"/>
      <name val="Arial"/>
      <family val="2"/>
    </font>
    <font>
      <b/>
      <u/>
      <sz val="8"/>
      <name val="Tahoma"/>
      <family val="2"/>
    </font>
    <font>
      <sz val="8"/>
      <color theme="0"/>
      <name val="Arial"/>
      <family val="2"/>
    </font>
    <font>
      <b/>
      <u/>
      <sz val="8"/>
      <name val="Arial"/>
      <family val="2"/>
    </font>
    <font>
      <b/>
      <sz val="10"/>
      <name val="Century Gothic"/>
      <family val="2"/>
    </font>
    <font>
      <sz val="10"/>
      <color rgb="FFFF0000"/>
      <name val="Century Gothic"/>
      <family val="2"/>
    </font>
    <font>
      <b/>
      <sz val="10"/>
      <color rgb="FF0000CC"/>
      <name val="Century Gothic"/>
      <family val="2"/>
    </font>
    <font>
      <sz val="10"/>
      <color rgb="FF0000CC"/>
      <name val="Century Gothic"/>
      <family val="2"/>
    </font>
    <font>
      <b/>
      <sz val="11"/>
      <color theme="1"/>
      <name val="Century Gothic"/>
      <family val="2"/>
    </font>
    <font>
      <b/>
      <sz val="11"/>
      <name val="Century Gothic"/>
      <family val="2"/>
    </font>
    <font>
      <sz val="5"/>
      <name val="Century Gothic"/>
      <family val="2"/>
    </font>
    <font>
      <b/>
      <sz val="7.5"/>
      <name val="Arial"/>
      <family val="2"/>
    </font>
    <font>
      <b/>
      <sz val="10"/>
      <color rgb="FF0000FF"/>
      <name val="Century Gothic"/>
      <family val="2"/>
    </font>
    <font>
      <sz val="10"/>
      <color rgb="FF000000"/>
      <name val="Segoe UI"/>
      <family val="2"/>
    </font>
    <font>
      <b/>
      <sz val="10"/>
      <color theme="0"/>
      <name val="Century Gothic"/>
      <family val="2"/>
    </font>
    <font>
      <sz val="9"/>
      <name val="Arial"/>
      <family val="2"/>
    </font>
    <font>
      <sz val="12"/>
      <name val="Times New Roman"/>
      <family val="1"/>
    </font>
    <font>
      <sz val="8"/>
      <name val="Aral"/>
    </font>
    <font>
      <sz val="9.5"/>
      <name val="Century Gothic"/>
      <family val="2"/>
    </font>
    <font>
      <sz val="11"/>
      <color rgb="FFFF0000"/>
      <name val="Calibri"/>
      <family val="2"/>
      <scheme val="minor"/>
    </font>
    <font>
      <b/>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sz val="11"/>
      <color rgb="FF333333"/>
      <name val="Calibri"/>
      <family val="2"/>
      <scheme val="minor"/>
    </font>
    <font>
      <sz val="11"/>
      <color rgb="FF000000"/>
      <name val="Calibri"/>
      <family val="2"/>
      <scheme val="minor"/>
    </font>
    <font>
      <sz val="8"/>
      <color rgb="FF000000"/>
      <name val="Tahoma"/>
      <family val="2"/>
    </font>
    <font>
      <sz val="9"/>
      <color theme="1"/>
      <name val="Calibri"/>
      <family val="2"/>
      <scheme val="minor"/>
    </font>
    <font>
      <b/>
      <sz val="10"/>
      <color theme="1"/>
      <name val="Calibri"/>
      <family val="2"/>
      <scheme val="minor"/>
    </font>
    <font>
      <sz val="10"/>
      <color theme="1"/>
      <name val="Calibri"/>
      <family val="2"/>
      <scheme val="minor"/>
    </font>
  </fonts>
  <fills count="29">
    <fill>
      <patternFill patternType="none"/>
    </fill>
    <fill>
      <patternFill patternType="gray125"/>
    </fill>
    <fill>
      <patternFill patternType="solid">
        <fgColor indexed="9"/>
        <bgColor indexed="64"/>
      </patternFill>
    </fill>
    <fill>
      <patternFill patternType="solid">
        <fgColor indexed="16"/>
        <bgColor indexed="64"/>
      </patternFill>
    </fill>
    <fill>
      <patternFill patternType="solid">
        <fgColor indexed="13"/>
        <bgColor indexed="64"/>
      </patternFill>
    </fill>
    <fill>
      <patternFill patternType="solid">
        <fgColor indexed="43"/>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9"/>
        <bgColor indexed="64"/>
      </patternFill>
    </fill>
    <fill>
      <patternFill patternType="solid">
        <fgColor indexed="51"/>
        <bgColor indexed="64"/>
      </patternFill>
    </fill>
    <fill>
      <patternFill patternType="solid">
        <fgColor indexed="42"/>
        <bgColor indexed="64"/>
      </patternFill>
    </fill>
    <fill>
      <patternFill patternType="solid">
        <fgColor indexed="47"/>
        <bgColor indexed="64"/>
      </patternFill>
    </fill>
    <fill>
      <patternFill patternType="solid">
        <fgColor rgb="FFFFFF00"/>
        <bgColor indexed="64"/>
      </patternFill>
    </fill>
    <fill>
      <patternFill patternType="solid">
        <fgColor rgb="FF92D050"/>
        <bgColor indexed="64"/>
      </patternFill>
    </fill>
    <fill>
      <patternFill patternType="solid">
        <fgColor theme="1"/>
        <bgColor indexed="64"/>
      </patternFill>
    </fill>
    <fill>
      <patternFill patternType="solid">
        <fgColor rgb="FFFF0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rgb="FFDEDEDE"/>
        <bgColor indexed="64"/>
      </patternFill>
    </fill>
    <fill>
      <patternFill patternType="solid">
        <fgColor rgb="FFFFC0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rgb="FFD99795"/>
        <bgColor indexed="64"/>
      </patternFill>
    </fill>
    <fill>
      <patternFill patternType="solid">
        <fgColor theme="5" tint="0.79998168889431442"/>
        <bgColor indexed="64"/>
      </patternFill>
    </fill>
    <fill>
      <patternFill patternType="solid">
        <fgColor rgb="FFFFFFCC"/>
        <bgColor indexed="64"/>
      </patternFill>
    </fill>
  </fills>
  <borders count="1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double">
        <color indexed="64"/>
      </bottom>
      <diagonal/>
    </border>
    <border>
      <left/>
      <right/>
      <top style="double">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bottom style="thin">
        <color indexed="64"/>
      </bottom>
      <diagonal/>
    </border>
    <border>
      <left style="thin">
        <color indexed="55"/>
      </left>
      <right/>
      <top style="thin">
        <color indexed="55"/>
      </top>
      <bottom/>
      <diagonal/>
    </border>
    <border>
      <left/>
      <right/>
      <top style="thin">
        <color indexed="55"/>
      </top>
      <bottom/>
      <diagonal/>
    </border>
    <border>
      <left style="thin">
        <color indexed="23"/>
      </left>
      <right/>
      <top style="thin">
        <color indexed="55"/>
      </top>
      <bottom/>
      <diagonal/>
    </border>
    <border>
      <left/>
      <right style="thin">
        <color indexed="23"/>
      </right>
      <top style="thin">
        <color indexed="55"/>
      </top>
      <bottom/>
      <diagonal/>
    </border>
    <border>
      <left/>
      <right style="thin">
        <color indexed="55"/>
      </right>
      <top style="thin">
        <color indexed="55"/>
      </top>
      <bottom/>
      <diagonal/>
    </border>
    <border>
      <left style="thin">
        <color indexed="55"/>
      </left>
      <right/>
      <top/>
      <bottom/>
      <diagonal/>
    </border>
    <border>
      <left style="thin">
        <color indexed="23"/>
      </left>
      <right/>
      <top/>
      <bottom/>
      <diagonal/>
    </border>
    <border>
      <left/>
      <right style="thin">
        <color indexed="23"/>
      </right>
      <top/>
      <bottom/>
      <diagonal/>
    </border>
    <border>
      <left/>
      <right style="thin">
        <color indexed="55"/>
      </right>
      <top/>
      <bottom/>
      <diagonal/>
    </border>
    <border>
      <left style="thin">
        <color indexed="55"/>
      </left>
      <right/>
      <top/>
      <bottom style="thin">
        <color indexed="55"/>
      </bottom>
      <diagonal/>
    </border>
    <border>
      <left/>
      <right/>
      <top/>
      <bottom style="thin">
        <color indexed="55"/>
      </bottom>
      <diagonal/>
    </border>
    <border>
      <left/>
      <right style="thin">
        <color indexed="23"/>
      </right>
      <top/>
      <bottom style="thin">
        <color indexed="55"/>
      </bottom>
      <diagonal/>
    </border>
    <border>
      <left style="thin">
        <color indexed="23"/>
      </left>
      <right/>
      <top/>
      <bottom style="thin">
        <color indexed="55"/>
      </bottom>
      <diagonal/>
    </border>
    <border>
      <left/>
      <right style="thin">
        <color indexed="55"/>
      </right>
      <top/>
      <bottom style="thin">
        <color indexed="55"/>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bottom style="thin">
        <color indexed="23"/>
      </bottom>
      <diagonal/>
    </border>
    <border>
      <left/>
      <right/>
      <top/>
      <bottom style="thin">
        <color indexed="23"/>
      </bottom>
      <diagonal/>
    </border>
    <border>
      <left/>
      <right style="thin">
        <color indexed="23"/>
      </right>
      <top/>
      <bottom style="thin">
        <color indexed="23"/>
      </bottom>
      <diagonal/>
    </border>
    <border>
      <left/>
      <right/>
      <top/>
      <bottom style="thin">
        <color theme="0" tint="-0.499984740745262"/>
      </bottom>
      <diagonal/>
    </border>
    <border>
      <left/>
      <right style="thin">
        <color indexed="23"/>
      </right>
      <top/>
      <bottom style="thin">
        <color theme="0"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indexed="23"/>
      </left>
      <right/>
      <top style="thin">
        <color theme="1" tint="0.499984740745262"/>
      </top>
      <bottom/>
      <diagonal/>
    </border>
    <border>
      <left/>
      <right style="thin">
        <color indexed="23"/>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indexed="23"/>
      </right>
      <top/>
      <bottom style="thin">
        <color theme="1" tint="0.499984740745262"/>
      </bottom>
      <diagonal/>
    </border>
    <border>
      <left style="thin">
        <color indexed="23"/>
      </left>
      <right/>
      <top/>
      <bottom style="thin">
        <color theme="1" tint="0.499984740745262"/>
      </bottom>
      <diagonal/>
    </border>
    <border>
      <left/>
      <right style="thin">
        <color theme="1" tint="0.499984740745262"/>
      </right>
      <top/>
      <bottom style="thin">
        <color theme="1" tint="0.499984740745262"/>
      </bottom>
      <diagonal/>
    </border>
    <border>
      <left/>
      <right style="thin">
        <color indexed="64"/>
      </right>
      <top style="thin">
        <color indexed="23"/>
      </top>
      <bottom/>
      <diagonal/>
    </border>
    <border>
      <left/>
      <right style="thin">
        <color indexed="64"/>
      </right>
      <top/>
      <bottom/>
      <diagonal/>
    </border>
    <border>
      <left style="thin">
        <color theme="1" tint="0.499984740745262"/>
      </left>
      <right/>
      <top/>
      <bottom/>
      <diagonal/>
    </border>
    <border>
      <left/>
      <right style="thin">
        <color theme="1" tint="0.499984740745262"/>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right style="thin">
        <color theme="1" tint="0.499984740745262"/>
      </right>
      <top style="thin">
        <color theme="0" tint="-0.499984740745262"/>
      </top>
      <bottom/>
      <diagonal/>
    </border>
    <border>
      <left style="thin">
        <color theme="1" tint="0.499984740745262"/>
      </left>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1" tint="0.499984740745262"/>
      </left>
      <right/>
      <top/>
      <bottom style="thin">
        <color theme="0" tint="-0.499984740745262"/>
      </bottom>
      <diagonal/>
    </border>
    <border>
      <left/>
      <right style="thin">
        <color theme="1" tint="0.499984740745262"/>
      </right>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theme="0" tint="-0.34998626667073579"/>
      </bottom>
      <diagonal/>
    </border>
    <border>
      <left/>
      <right style="thin">
        <color indexed="23"/>
      </right>
      <top style="thin">
        <color theme="0" tint="-0.499984740745262"/>
      </top>
      <bottom/>
      <diagonal/>
    </border>
    <border>
      <left style="thin">
        <color indexed="23"/>
      </left>
      <right/>
      <top style="thin">
        <color theme="0" tint="-0.499984740745262"/>
      </top>
      <bottom/>
      <diagonal/>
    </border>
    <border>
      <left style="thin">
        <color indexed="23"/>
      </left>
      <right/>
      <top/>
      <bottom style="thin">
        <color theme="0" tint="-0.499984740745262"/>
      </bottom>
      <diagonal/>
    </border>
    <border>
      <left style="thin">
        <color theme="0" tint="-0.499984740745262"/>
      </left>
      <right/>
      <top style="thin">
        <color theme="1"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style="thin">
        <color theme="0" tint="-0.499984740745262"/>
      </top>
      <bottom/>
      <diagonal/>
    </border>
    <border>
      <left style="thin">
        <color theme="0" tint="-0.34998626667073579"/>
      </left>
      <right/>
      <top/>
      <bottom/>
      <diagonal/>
    </border>
    <border>
      <left/>
      <right style="thin">
        <color theme="0" tint="-0.34998626667073579"/>
      </right>
      <top/>
      <bottom/>
      <diagonal/>
    </border>
    <border>
      <left style="thin">
        <color theme="1" tint="0.499984740745262"/>
      </left>
      <right/>
      <top style="thin">
        <color indexed="64"/>
      </top>
      <bottom/>
      <diagonal/>
    </border>
    <border>
      <left/>
      <right style="thin">
        <color theme="0" tint="-0.499984740745262"/>
      </right>
      <top style="thin">
        <color indexed="64"/>
      </top>
      <bottom/>
      <diagonal/>
    </border>
    <border>
      <left/>
      <right style="thin">
        <color indexed="64"/>
      </right>
      <top/>
      <bottom style="thin">
        <color theme="0" tint="-0.499984740745262"/>
      </bottom>
      <diagonal/>
    </border>
    <border>
      <left style="thin">
        <color indexed="64"/>
      </left>
      <right/>
      <top/>
      <bottom style="thin">
        <color theme="0" tint="-0.499984740745262"/>
      </bottom>
      <diagonal/>
    </border>
    <border>
      <left style="hair">
        <color indexed="64"/>
      </left>
      <right style="hair">
        <color indexed="64"/>
      </right>
      <top style="hair">
        <color indexed="64"/>
      </top>
      <bottom style="hair">
        <color indexed="64"/>
      </bottom>
      <diagonal/>
    </border>
    <border>
      <left/>
      <right style="thin">
        <color indexed="64"/>
      </right>
      <top/>
      <bottom style="thin">
        <color theme="1" tint="0.499984740745262"/>
      </bottom>
      <diagonal/>
    </border>
    <border>
      <left style="thin">
        <color theme="0" tint="-0.499984740745262"/>
      </left>
      <right/>
      <top/>
      <bottom style="thin">
        <color theme="1" tint="0.499984740745262"/>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style="thin">
        <color theme="0" tint="-0.499984740745262"/>
      </right>
      <top/>
      <bottom style="thin">
        <color theme="1" tint="0.499984740745262"/>
      </bottom>
      <diagonal/>
    </border>
    <border>
      <left/>
      <right style="thin">
        <color theme="0" tint="-0.499984740745262"/>
      </right>
      <top/>
      <bottom style="thin">
        <color indexed="23"/>
      </bottom>
      <diagonal/>
    </border>
    <border>
      <left/>
      <right style="thin">
        <color theme="0" tint="-0.499984740745262"/>
      </right>
      <top style="thin">
        <color indexed="23"/>
      </top>
      <bottom/>
      <diagonal/>
    </border>
    <border>
      <left style="thin">
        <color theme="0" tint="-0.499984740745262"/>
      </left>
      <right/>
      <top/>
      <bottom style="thin">
        <color theme="0" tint="-0.34998626667073579"/>
      </bottom>
      <diagonal/>
    </border>
    <border>
      <left/>
      <right style="thin">
        <color theme="0" tint="-0.499984740745262"/>
      </right>
      <top/>
      <bottom style="thin">
        <color theme="0" tint="-0.34998626667073579"/>
      </bottom>
      <diagonal/>
    </border>
    <border>
      <left/>
      <right style="thin">
        <color theme="0" tint="-0.499984740745262"/>
      </right>
      <top style="thin">
        <color theme="1" tint="0.499984740745262"/>
      </top>
      <bottom/>
      <diagonal/>
    </border>
    <border>
      <left style="thin">
        <color theme="0" tint="-0.499984740745262"/>
      </left>
      <right/>
      <top/>
      <bottom style="thin">
        <color indexed="23"/>
      </bottom>
      <diagonal/>
    </border>
    <border>
      <left style="hair">
        <color indexed="64"/>
      </left>
      <right style="hair">
        <color indexed="64"/>
      </right>
      <top style="hair">
        <color indexed="64"/>
      </top>
      <bottom/>
      <diagonal/>
    </border>
    <border>
      <left/>
      <right style="hair">
        <color indexed="64"/>
      </right>
      <top/>
      <bottom/>
      <diagonal/>
    </border>
    <border>
      <left style="hair">
        <color indexed="64"/>
      </left>
      <right style="thin">
        <color indexed="64"/>
      </right>
      <top/>
      <bottom/>
      <diagonal/>
    </border>
    <border>
      <left/>
      <right style="thin">
        <color theme="1" tint="0.499984740745262"/>
      </right>
      <top/>
      <bottom style="thin">
        <color theme="0" tint="-0.34998626667073579"/>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18">
    <xf numFmtId="0" fontId="0" fillId="0" borderId="0"/>
    <xf numFmtId="165" fontId="2" fillId="0" borderId="0" applyFont="0" applyFill="0" applyBorder="0" applyAlignment="0" applyProtection="0"/>
    <xf numFmtId="43" fontId="31" fillId="0" borderId="0" applyFont="0" applyFill="0" applyBorder="0" applyAlignment="0" applyProtection="0"/>
    <xf numFmtId="164" fontId="2"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32" fillId="0" borderId="0"/>
    <xf numFmtId="0" fontId="5" fillId="0" borderId="0"/>
    <xf numFmtId="0" fontId="31" fillId="0" borderId="0"/>
    <xf numFmtId="0" fontId="5" fillId="0" borderId="0"/>
    <xf numFmtId="0" fontId="32" fillId="0" borderId="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1" fillId="0" borderId="0"/>
    <xf numFmtId="0" fontId="51" fillId="0" borderId="0"/>
    <xf numFmtId="0" fontId="1" fillId="0" borderId="0"/>
    <xf numFmtId="0" fontId="1" fillId="0" borderId="0"/>
  </cellStyleXfs>
  <cellXfs count="1144">
    <xf numFmtId="0" fontId="0" fillId="0" borderId="0" xfId="0"/>
    <xf numFmtId="0" fontId="2" fillId="0" borderId="0" xfId="0" applyFont="1"/>
    <xf numFmtId="0" fontId="5" fillId="0" borderId="0" xfId="0" applyFont="1"/>
    <xf numFmtId="0" fontId="0" fillId="2" borderId="0" xfId="0" applyFill="1"/>
    <xf numFmtId="170" fontId="4" fillId="0" borderId="0" xfId="0" applyNumberFormat="1" applyFont="1" applyFill="1" applyBorder="1" applyAlignment="1" applyProtection="1">
      <alignment horizontal="center" vertical="center"/>
      <protection locked="0"/>
    </xf>
    <xf numFmtId="164" fontId="4" fillId="0" borderId="0" xfId="3" applyFont="1" applyFill="1" applyBorder="1" applyAlignment="1" applyProtection="1">
      <alignment horizontal="center" vertical="center"/>
      <protection locked="0"/>
    </xf>
    <xf numFmtId="0" fontId="8" fillId="0" borderId="0" xfId="0" applyFont="1"/>
    <xf numFmtId="10" fontId="8" fillId="0" borderId="0" xfId="11" applyNumberFormat="1" applyFont="1" applyFill="1" applyAlignment="1" applyProtection="1">
      <alignment horizontal="center" vertical="center" wrapText="1"/>
      <protection hidden="1"/>
    </xf>
    <xf numFmtId="0" fontId="8" fillId="0" borderId="0" xfId="0" applyFont="1" applyAlignment="1">
      <alignment wrapText="1"/>
    </xf>
    <xf numFmtId="10" fontId="10" fillId="0" borderId="0" xfId="11" applyNumberFormat="1" applyFont="1" applyFill="1" applyAlignment="1" applyProtection="1">
      <alignment horizontal="center" vertical="center" wrapText="1"/>
      <protection hidden="1"/>
    </xf>
    <xf numFmtId="0" fontId="8" fillId="0" borderId="0" xfId="0" applyFont="1" applyFill="1" applyAlignment="1">
      <alignment wrapText="1"/>
    </xf>
    <xf numFmtId="167" fontId="8" fillId="0" borderId="0" xfId="1" applyNumberFormat="1" applyFont="1" applyBorder="1" applyAlignment="1">
      <alignment horizontal="center" vertical="center"/>
    </xf>
    <xf numFmtId="0" fontId="8" fillId="0" borderId="0" xfId="0" applyFont="1" applyAlignment="1" applyProtection="1">
      <alignment horizontal="center"/>
    </xf>
    <xf numFmtId="2" fontId="8" fillId="0" borderId="0" xfId="0" applyNumberFormat="1" applyFont="1"/>
    <xf numFmtId="0" fontId="3" fillId="0" borderId="0" xfId="0" applyFont="1"/>
    <xf numFmtId="0" fontId="3" fillId="0" borderId="0" xfId="0" applyFont="1" applyAlignment="1">
      <alignment vertical="center"/>
    </xf>
    <xf numFmtId="0" fontId="9" fillId="0" borderId="0" xfId="0" applyFont="1" applyAlignment="1">
      <alignment horizontal="left" vertical="center"/>
    </xf>
    <xf numFmtId="0" fontId="0" fillId="2" borderId="0" xfId="0" applyFill="1" applyBorder="1"/>
    <xf numFmtId="0" fontId="5" fillId="0" borderId="0" xfId="0" applyFont="1" applyBorder="1"/>
    <xf numFmtId="0" fontId="0" fillId="0" borderId="0" xfId="0" applyBorder="1"/>
    <xf numFmtId="0" fontId="12" fillId="0" borderId="0" xfId="0" applyFont="1" applyAlignment="1">
      <alignment horizontal="right"/>
    </xf>
    <xf numFmtId="0" fontId="12" fillId="0" borderId="0" xfId="0" applyFont="1" applyAlignment="1">
      <alignment horizontal="right" vertical="center"/>
    </xf>
    <xf numFmtId="0" fontId="12" fillId="0" borderId="0" xfId="0" applyFont="1" applyBorder="1" applyAlignment="1">
      <alignment horizontal="right" vertical="center"/>
    </xf>
    <xf numFmtId="0" fontId="8" fillId="0" borderId="0" xfId="0" applyFont="1" applyFill="1"/>
    <xf numFmtId="0" fontId="8" fillId="0" borderId="0" xfId="0" applyFont="1" applyFill="1" applyBorder="1" applyAlignment="1" applyProtection="1">
      <alignment horizontal="center" vertical="center" wrapText="1"/>
    </xf>
    <xf numFmtId="0" fontId="8" fillId="0" borderId="1" xfId="0" applyFont="1" applyBorder="1" applyAlignment="1" applyProtection="1">
      <alignment horizontal="center" vertical="center"/>
    </xf>
    <xf numFmtId="168" fontId="8" fillId="0" borderId="1" xfId="0" applyNumberFormat="1" applyFont="1" applyBorder="1" applyAlignment="1">
      <alignment horizontal="center" vertical="center" wrapText="1"/>
    </xf>
    <xf numFmtId="168" fontId="8" fillId="0" borderId="0" xfId="0" applyNumberFormat="1" applyFont="1" applyFill="1" applyBorder="1" applyAlignment="1">
      <alignment horizontal="center" vertical="center" wrapText="1"/>
    </xf>
    <xf numFmtId="0" fontId="8" fillId="0" borderId="1" xfId="0" applyFont="1" applyBorder="1" applyAlignment="1">
      <alignment horizontal="center" vertical="center"/>
    </xf>
    <xf numFmtId="0" fontId="8" fillId="0" borderId="1" xfId="0" applyFont="1" applyBorder="1" applyAlignment="1">
      <alignment horizontal="center" wrapText="1"/>
    </xf>
    <xf numFmtId="0" fontId="8" fillId="0" borderId="1" xfId="0" applyFont="1" applyBorder="1" applyAlignment="1" applyProtection="1">
      <alignment horizontal="center"/>
    </xf>
    <xf numFmtId="10" fontId="8" fillId="0" borderId="1" xfId="11" applyNumberFormat="1" applyFont="1" applyFill="1" applyBorder="1" applyAlignment="1" applyProtection="1">
      <alignment horizontal="center" vertical="center" wrapText="1"/>
      <protection hidden="1"/>
    </xf>
    <xf numFmtId="10" fontId="8" fillId="0" borderId="0" xfId="11" applyNumberFormat="1" applyFont="1" applyFill="1" applyBorder="1" applyAlignment="1" applyProtection="1">
      <alignment horizontal="center" vertical="center" wrapText="1"/>
      <protection hidden="1"/>
    </xf>
    <xf numFmtId="0" fontId="7" fillId="3" borderId="1" xfId="0" applyFont="1" applyFill="1" applyBorder="1" applyAlignment="1" applyProtection="1">
      <alignment horizontal="center"/>
    </xf>
    <xf numFmtId="10" fontId="7" fillId="3" borderId="1" xfId="11" applyNumberFormat="1" applyFont="1" applyFill="1" applyBorder="1" applyAlignment="1" applyProtection="1">
      <alignment horizontal="center" vertical="center" wrapText="1"/>
      <protection hidden="1"/>
    </xf>
    <xf numFmtId="10" fontId="7" fillId="0" borderId="0" xfId="11" applyNumberFormat="1" applyFont="1" applyFill="1" applyBorder="1" applyAlignment="1" applyProtection="1">
      <alignment horizontal="center" vertical="center" wrapText="1"/>
      <protection hidden="1"/>
    </xf>
    <xf numFmtId="0" fontId="8" fillId="0" borderId="0" xfId="0" applyFont="1" applyBorder="1" applyAlignment="1" applyProtection="1">
      <alignment horizontal="center" vertical="center"/>
    </xf>
    <xf numFmtId="168" fontId="8" fillId="0" borderId="0" xfId="0" applyNumberFormat="1" applyFont="1" applyBorder="1" applyAlignment="1">
      <alignment horizontal="center" vertical="center" wrapText="1"/>
    </xf>
    <xf numFmtId="0" fontId="8" fillId="0" borderId="0" xfId="0" applyFont="1" applyFill="1" applyBorder="1" applyAlignment="1" applyProtection="1">
      <alignment horizontal="center" vertical="center"/>
    </xf>
    <xf numFmtId="14" fontId="8" fillId="0" borderId="0" xfId="0" applyNumberFormat="1" applyFont="1" applyAlignment="1" applyProtection="1">
      <alignment horizontal="center" wrapText="1"/>
    </xf>
    <xf numFmtId="14" fontId="8" fillId="0" borderId="0" xfId="0" applyNumberFormat="1" applyFont="1" applyFill="1" applyAlignment="1" applyProtection="1">
      <alignment horizontal="center" wrapText="1"/>
    </xf>
    <xf numFmtId="1" fontId="8" fillId="0" borderId="0" xfId="0" applyNumberFormat="1" applyFont="1" applyBorder="1" applyAlignment="1" applyProtection="1">
      <alignment horizontal="center" vertical="center"/>
    </xf>
    <xf numFmtId="167" fontId="8" fillId="0" borderId="0" xfId="1" applyNumberFormat="1" applyFont="1" applyBorder="1" applyAlignment="1" applyProtection="1">
      <alignment horizontal="center" vertical="center"/>
    </xf>
    <xf numFmtId="167" fontId="8" fillId="0" borderId="0" xfId="1" applyNumberFormat="1" applyFont="1" applyFill="1" applyBorder="1" applyAlignment="1" applyProtection="1">
      <alignment horizontal="center" vertical="center"/>
    </xf>
    <xf numFmtId="167" fontId="8" fillId="0" borderId="0" xfId="0" applyNumberFormat="1" applyFont="1" applyAlignment="1">
      <alignment horizontal="center"/>
    </xf>
    <xf numFmtId="167" fontId="8" fillId="0" borderId="2" xfId="1" applyNumberFormat="1" applyFont="1" applyBorder="1" applyAlignment="1">
      <alignment horizontal="center" vertical="center"/>
    </xf>
    <xf numFmtId="167" fontId="8" fillId="0" borderId="0" xfId="1" applyNumberFormat="1" applyFont="1" applyFill="1" applyBorder="1" applyAlignment="1">
      <alignment horizontal="center" vertical="center"/>
    </xf>
    <xf numFmtId="0" fontId="3" fillId="0" borderId="0" xfId="0" applyFont="1" applyAlignment="1">
      <alignment horizontal="right" vertical="center"/>
    </xf>
    <xf numFmtId="0" fontId="9" fillId="0" borderId="0" xfId="0" applyFont="1" applyAlignment="1">
      <alignment horizontal="right" vertical="center"/>
    </xf>
    <xf numFmtId="0" fontId="9" fillId="0" borderId="0" xfId="0" applyFont="1" applyAlignment="1">
      <alignment horizontal="right" vertical="center" wrapText="1"/>
    </xf>
    <xf numFmtId="0" fontId="9" fillId="0" borderId="0" xfId="0" applyFont="1" applyAlignment="1">
      <alignment horizontal="center" vertical="center"/>
    </xf>
    <xf numFmtId="0" fontId="8" fillId="0" borderId="0" xfId="0" applyFont="1" applyAlignment="1">
      <alignment horizontal="right" vertical="center"/>
    </xf>
    <xf numFmtId="170" fontId="14" fillId="0" borderId="0" xfId="0" applyNumberFormat="1" applyFont="1" applyFill="1" applyBorder="1" applyAlignment="1" applyProtection="1">
      <alignment horizontal="right" vertical="center"/>
      <protection locked="0"/>
    </xf>
    <xf numFmtId="167" fontId="8" fillId="0" borderId="0" xfId="0" applyNumberFormat="1" applyFont="1"/>
    <xf numFmtId="0" fontId="15" fillId="4" borderId="1" xfId="0" applyFont="1" applyFill="1" applyBorder="1" applyAlignment="1" applyProtection="1">
      <alignment horizontal="center"/>
    </xf>
    <xf numFmtId="10" fontId="15" fillId="4" borderId="1" xfId="11" applyNumberFormat="1" applyFont="1" applyFill="1" applyBorder="1" applyAlignment="1" applyProtection="1">
      <alignment horizontal="center" vertical="center" wrapText="1"/>
      <protection hidden="1"/>
    </xf>
    <xf numFmtId="10" fontId="7" fillId="3" borderId="0" xfId="11" applyNumberFormat="1" applyFont="1" applyFill="1" applyBorder="1" applyAlignment="1" applyProtection="1">
      <alignment horizontal="center" vertical="center" wrapText="1"/>
      <protection hidden="1"/>
    </xf>
    <xf numFmtId="164" fontId="4" fillId="0" borderId="0" xfId="3" applyFont="1" applyFill="1" applyBorder="1" applyAlignment="1" applyProtection="1">
      <alignment horizontal="center" vertical="center"/>
      <protection locked="0" hidden="1"/>
    </xf>
    <xf numFmtId="0" fontId="2" fillId="0" borderId="0" xfId="0" applyFont="1" applyProtection="1">
      <protection locked="0" hidden="1"/>
    </xf>
    <xf numFmtId="170" fontId="4" fillId="0" borderId="0" xfId="0" applyNumberFormat="1" applyFont="1" applyFill="1" applyBorder="1" applyAlignment="1" applyProtection="1">
      <alignment horizontal="center" vertical="center"/>
      <protection locked="0" hidden="1"/>
    </xf>
    <xf numFmtId="0" fontId="5" fillId="0" borderId="0" xfId="0" applyFont="1" applyProtection="1">
      <protection locked="0" hidden="1"/>
    </xf>
    <xf numFmtId="167" fontId="10" fillId="5" borderId="0" xfId="0" applyNumberFormat="1" applyFont="1" applyFill="1" applyAlignment="1" applyProtection="1">
      <alignment horizontal="center"/>
      <protection locked="0"/>
    </xf>
    <xf numFmtId="0" fontId="8" fillId="0" borderId="0" xfId="0" applyFont="1" applyProtection="1">
      <protection hidden="1"/>
    </xf>
    <xf numFmtId="0" fontId="16" fillId="0" borderId="0" xfId="0" applyFont="1" applyFill="1" applyAlignment="1" applyProtection="1">
      <alignment vertical="center"/>
      <protection hidden="1"/>
    </xf>
    <xf numFmtId="0" fontId="8" fillId="0" borderId="0" xfId="0" applyFont="1" applyAlignment="1" applyProtection="1">
      <alignment vertical="center"/>
      <protection hidden="1"/>
    </xf>
    <xf numFmtId="0" fontId="9" fillId="0" borderId="0" xfId="0" applyFont="1" applyBorder="1" applyAlignment="1" applyProtection="1">
      <alignment horizontal="center" wrapText="1"/>
      <protection hidden="1"/>
    </xf>
    <xf numFmtId="0" fontId="8" fillId="0" borderId="0" xfId="0" applyFont="1" applyFill="1" applyAlignment="1" applyProtection="1">
      <alignment horizontal="left" vertical="center"/>
      <protection hidden="1"/>
    </xf>
    <xf numFmtId="0" fontId="8" fillId="0" borderId="0" xfId="0" applyFont="1" applyAlignment="1" applyProtection="1">
      <alignment horizontal="right" vertical="center"/>
      <protection hidden="1"/>
    </xf>
    <xf numFmtId="0" fontId="21" fillId="0" borderId="0" xfId="0" applyFont="1" applyProtection="1">
      <protection hidden="1"/>
    </xf>
    <xf numFmtId="0" fontId="8" fillId="0" borderId="0" xfId="0" applyFont="1" applyAlignment="1" applyProtection="1">
      <alignment horizontal="left" vertical="center"/>
      <protection hidden="1"/>
    </xf>
    <xf numFmtId="0" fontId="8" fillId="0" borderId="0" xfId="0" applyFont="1" applyFill="1" applyProtection="1">
      <protection hidden="1"/>
    </xf>
    <xf numFmtId="0" fontId="8" fillId="0" borderId="0" xfId="0" applyFont="1" applyAlignment="1" applyProtection="1">
      <alignment horizontal="right"/>
      <protection hidden="1"/>
    </xf>
    <xf numFmtId="172" fontId="9" fillId="0" borderId="0" xfId="0" applyNumberFormat="1" applyFont="1" applyAlignment="1" applyProtection="1">
      <alignment horizontal="right"/>
      <protection hidden="1"/>
    </xf>
    <xf numFmtId="164" fontId="9" fillId="0" borderId="0" xfId="3" applyFont="1" applyProtection="1">
      <protection hidden="1"/>
    </xf>
    <xf numFmtId="0" fontId="9" fillId="0" borderId="0" xfId="0" applyFont="1" applyAlignment="1" applyProtection="1">
      <alignment horizontal="right"/>
      <protection hidden="1"/>
    </xf>
    <xf numFmtId="10" fontId="9" fillId="0" borderId="0" xfId="11" applyNumberFormat="1" applyFont="1" applyProtection="1">
      <protection hidden="1"/>
    </xf>
    <xf numFmtId="0" fontId="9" fillId="0" borderId="0" xfId="0" applyFont="1" applyProtection="1">
      <protection hidden="1"/>
    </xf>
    <xf numFmtId="0" fontId="8" fillId="0" borderId="0" xfId="0" applyFont="1" applyAlignment="1" applyProtection="1">
      <alignment wrapText="1"/>
      <protection hidden="1"/>
    </xf>
    <xf numFmtId="170" fontId="8" fillId="0" borderId="0" xfId="0" applyNumberFormat="1" applyFont="1" applyFill="1" applyBorder="1" applyAlignment="1" applyProtection="1">
      <alignment horizontal="right" vertical="center"/>
      <protection hidden="1"/>
    </xf>
    <xf numFmtId="0" fontId="8" fillId="0" borderId="0" xfId="0" applyFont="1" applyFill="1" applyAlignment="1" applyProtection="1">
      <alignment wrapText="1"/>
      <protection hidden="1"/>
    </xf>
    <xf numFmtId="0" fontId="9" fillId="0" borderId="0" xfId="0" applyFont="1" applyAlignment="1" applyProtection="1">
      <alignment wrapText="1"/>
      <protection hidden="1"/>
    </xf>
    <xf numFmtId="0" fontId="21" fillId="0" borderId="0" xfId="0" applyFont="1" applyAlignment="1" applyProtection="1">
      <alignment wrapText="1"/>
      <protection hidden="1"/>
    </xf>
    <xf numFmtId="8" fontId="8" fillId="0" borderId="0" xfId="0" applyNumberFormat="1" applyFont="1" applyFill="1" applyBorder="1" applyAlignment="1" applyProtection="1">
      <alignment horizontal="center" vertical="center"/>
      <protection hidden="1"/>
    </xf>
    <xf numFmtId="164" fontId="9" fillId="0" borderId="0" xfId="3" applyFont="1" applyAlignment="1" applyProtection="1">
      <alignment wrapText="1"/>
      <protection hidden="1"/>
    </xf>
    <xf numFmtId="0" fontId="8" fillId="0" borderId="0" xfId="0" applyFont="1" applyAlignment="1" applyProtection="1">
      <alignment horizontal="right" wrapText="1"/>
      <protection hidden="1"/>
    </xf>
    <xf numFmtId="0" fontId="18" fillId="0" borderId="0" xfId="0" applyFont="1" applyAlignment="1" applyProtection="1">
      <alignment horizontal="center"/>
      <protection hidden="1"/>
    </xf>
    <xf numFmtId="0" fontId="18" fillId="0" borderId="0" xfId="0" applyFont="1" applyAlignment="1" applyProtection="1">
      <alignment horizontal="center" wrapText="1"/>
      <protection hidden="1"/>
    </xf>
    <xf numFmtId="169" fontId="9" fillId="0" borderId="0" xfId="11" applyNumberFormat="1" applyFont="1" applyAlignment="1" applyProtection="1">
      <alignment horizontal="center" wrapText="1"/>
      <protection hidden="1"/>
    </xf>
    <xf numFmtId="167" fontId="8" fillId="0" borderId="0" xfId="0" applyNumberFormat="1" applyFont="1" applyAlignment="1" applyProtection="1">
      <alignment wrapText="1"/>
      <protection hidden="1"/>
    </xf>
    <xf numFmtId="0" fontId="9" fillId="0" borderId="0" xfId="0" applyFont="1" applyFill="1" applyBorder="1" applyAlignment="1" applyProtection="1">
      <alignment horizontal="center" wrapText="1"/>
      <protection hidden="1"/>
    </xf>
    <xf numFmtId="0" fontId="21" fillId="0" borderId="0" xfId="0" applyFont="1" applyFill="1" applyAlignment="1" applyProtection="1">
      <alignment wrapText="1"/>
      <protection hidden="1"/>
    </xf>
    <xf numFmtId="0" fontId="8" fillId="6" borderId="3" xfId="0" applyFont="1" applyFill="1" applyBorder="1" applyAlignment="1" applyProtection="1">
      <alignment horizontal="center" wrapText="1"/>
      <protection hidden="1"/>
    </xf>
    <xf numFmtId="0" fontId="8" fillId="7" borderId="3" xfId="0" applyFont="1" applyFill="1" applyBorder="1" applyAlignment="1" applyProtection="1">
      <alignment horizontal="center" wrapText="1"/>
      <protection hidden="1"/>
    </xf>
    <xf numFmtId="0" fontId="20" fillId="4" borderId="3" xfId="0" applyFont="1" applyFill="1" applyBorder="1" applyAlignment="1" applyProtection="1">
      <alignment horizontal="center" wrapText="1"/>
      <protection hidden="1"/>
    </xf>
    <xf numFmtId="40" fontId="8" fillId="0" borderId="0" xfId="0" applyNumberFormat="1" applyFont="1" applyFill="1" applyBorder="1" applyAlignment="1" applyProtection="1">
      <alignment horizontal="center" vertical="center" wrapText="1"/>
      <protection hidden="1"/>
    </xf>
    <xf numFmtId="2" fontId="8" fillId="0" borderId="0" xfId="0" applyNumberFormat="1" applyFont="1" applyFill="1" applyBorder="1" applyAlignment="1" applyProtection="1">
      <alignment horizontal="center" vertical="center" wrapText="1"/>
      <protection hidden="1"/>
    </xf>
    <xf numFmtId="10" fontId="8" fillId="0" borderId="0" xfId="0" applyNumberFormat="1" applyFont="1" applyFill="1" applyBorder="1" applyAlignment="1" applyProtection="1">
      <alignment horizontal="center" vertical="center" wrapText="1"/>
      <protection hidden="1"/>
    </xf>
    <xf numFmtId="0" fontId="8" fillId="0" borderId="0" xfId="0" applyFont="1" applyFill="1" applyBorder="1" applyAlignment="1" applyProtection="1">
      <alignment horizontal="center" vertical="center" wrapText="1"/>
      <protection hidden="1"/>
    </xf>
    <xf numFmtId="0" fontId="8" fillId="0" borderId="0" xfId="0" applyFont="1" applyAlignment="1" applyProtection="1">
      <alignment horizontal="center" vertical="center" wrapText="1"/>
      <protection hidden="1"/>
    </xf>
    <xf numFmtId="0" fontId="8" fillId="0" borderId="0" xfId="0" applyFont="1" applyFill="1" applyAlignment="1" applyProtection="1">
      <alignment horizontal="center" vertical="center" wrapText="1"/>
      <protection hidden="1"/>
    </xf>
    <xf numFmtId="0" fontId="8" fillId="4" borderId="0" xfId="0" applyFont="1" applyFill="1" applyAlignment="1" applyProtection="1">
      <alignment horizontal="center" vertical="center" wrapText="1"/>
      <protection hidden="1"/>
    </xf>
    <xf numFmtId="0" fontId="8" fillId="8" borderId="0" xfId="0" applyFont="1" applyFill="1" applyAlignment="1" applyProtection="1">
      <alignment horizontal="center" vertical="center" wrapText="1"/>
      <protection hidden="1"/>
    </xf>
    <xf numFmtId="0" fontId="8" fillId="9" borderId="0" xfId="0" applyFont="1" applyFill="1" applyAlignment="1" applyProtection="1">
      <alignment horizontal="center" vertical="center" wrapText="1"/>
      <protection hidden="1"/>
    </xf>
    <xf numFmtId="0" fontId="8" fillId="10" borderId="0" xfId="0" applyFont="1" applyFill="1" applyAlignment="1" applyProtection="1">
      <alignment horizontal="center" vertical="center" wrapText="1"/>
      <protection hidden="1"/>
    </xf>
    <xf numFmtId="40" fontId="8" fillId="0" borderId="4" xfId="0" applyNumberFormat="1" applyFont="1" applyFill="1" applyBorder="1" applyAlignment="1" applyProtection="1">
      <alignment horizontal="center" vertical="center" wrapText="1"/>
      <protection hidden="1"/>
    </xf>
    <xf numFmtId="40" fontId="9" fillId="6" borderId="5" xfId="0" applyNumberFormat="1" applyFont="1" applyFill="1" applyBorder="1" applyAlignment="1" applyProtection="1">
      <alignment horizontal="center" vertical="center" wrapText="1"/>
      <protection hidden="1"/>
    </xf>
    <xf numFmtId="40" fontId="9" fillId="7" borderId="5" xfId="0" applyNumberFormat="1" applyFont="1" applyFill="1" applyBorder="1" applyAlignment="1" applyProtection="1">
      <alignment horizontal="center" vertical="center" wrapText="1"/>
      <protection hidden="1"/>
    </xf>
    <xf numFmtId="40" fontId="15" fillId="4" borderId="5" xfId="0" applyNumberFormat="1" applyFont="1" applyFill="1" applyBorder="1" applyAlignment="1" applyProtection="1">
      <alignment horizontal="center" vertical="center" wrapText="1"/>
      <protection hidden="1"/>
    </xf>
    <xf numFmtId="1" fontId="8" fillId="0" borderId="0" xfId="0" applyNumberFormat="1" applyFont="1" applyFill="1" applyBorder="1" applyAlignment="1" applyProtection="1">
      <alignment horizontal="center" vertical="center"/>
      <protection hidden="1"/>
    </xf>
    <xf numFmtId="167" fontId="8" fillId="0" borderId="0" xfId="1" applyNumberFormat="1" applyFont="1" applyBorder="1" applyAlignment="1" applyProtection="1">
      <alignment horizontal="center" vertical="center"/>
      <protection hidden="1"/>
    </xf>
    <xf numFmtId="167" fontId="8" fillId="0" borderId="0" xfId="0" applyNumberFormat="1" applyFont="1" applyFill="1" applyBorder="1" applyAlignment="1" applyProtection="1">
      <alignment horizontal="center" vertical="center"/>
      <protection hidden="1"/>
    </xf>
    <xf numFmtId="167" fontId="8" fillId="8" borderId="0" xfId="1" applyNumberFormat="1" applyFont="1" applyFill="1" applyBorder="1" applyAlignment="1" applyProtection="1">
      <alignment horizontal="center" vertical="center"/>
      <protection hidden="1"/>
    </xf>
    <xf numFmtId="0" fontId="8" fillId="6" borderId="0" xfId="0" applyFont="1" applyFill="1" applyProtection="1">
      <protection hidden="1"/>
    </xf>
    <xf numFmtId="0" fontId="8" fillId="7" borderId="0" xfId="0" applyFont="1" applyFill="1" applyProtection="1">
      <protection hidden="1"/>
    </xf>
    <xf numFmtId="0" fontId="20" fillId="4" borderId="0" xfId="0" applyFont="1" applyFill="1" applyProtection="1">
      <protection hidden="1"/>
    </xf>
    <xf numFmtId="167" fontId="8" fillId="0" borderId="0" xfId="0" applyNumberFormat="1" applyFont="1" applyAlignment="1" applyProtection="1">
      <alignment horizontal="center" vertical="center"/>
      <protection hidden="1"/>
    </xf>
    <xf numFmtId="0" fontId="21" fillId="0" borderId="0" xfId="0" applyFont="1" applyAlignment="1" applyProtection="1">
      <alignment horizontal="center"/>
      <protection hidden="1"/>
    </xf>
    <xf numFmtId="0" fontId="19" fillId="0" borderId="0" xfId="0" applyFont="1" applyAlignment="1" applyProtection="1">
      <alignment horizontal="center"/>
      <protection hidden="1"/>
    </xf>
    <xf numFmtId="167" fontId="8" fillId="0" borderId="0" xfId="0" applyNumberFormat="1" applyFont="1" applyProtection="1">
      <protection hidden="1"/>
    </xf>
    <xf numFmtId="4" fontId="8" fillId="0" borderId="0" xfId="0" applyNumberFormat="1" applyFont="1" applyProtection="1">
      <protection hidden="1"/>
    </xf>
    <xf numFmtId="167" fontId="8" fillId="0" borderId="0" xfId="0" applyNumberFormat="1" applyFont="1" applyAlignment="1" applyProtection="1">
      <alignment horizontal="center"/>
      <protection hidden="1"/>
    </xf>
    <xf numFmtId="167" fontId="8" fillId="4" borderId="0" xfId="1" applyNumberFormat="1" applyFont="1" applyFill="1" applyBorder="1" applyAlignment="1" applyProtection="1">
      <alignment horizontal="center" vertical="center"/>
      <protection hidden="1"/>
    </xf>
    <xf numFmtId="167" fontId="8" fillId="9" borderId="0" xfId="1" applyNumberFormat="1" applyFont="1" applyFill="1" applyBorder="1" applyAlignment="1" applyProtection="1">
      <alignment horizontal="center" vertical="center"/>
      <protection hidden="1"/>
    </xf>
    <xf numFmtId="8" fontId="8" fillId="6" borderId="0" xfId="0" applyNumberFormat="1" applyFont="1" applyFill="1" applyProtection="1">
      <protection hidden="1"/>
    </xf>
    <xf numFmtId="164" fontId="8" fillId="0" borderId="0" xfId="0" applyNumberFormat="1" applyFont="1" applyFill="1" applyProtection="1">
      <protection hidden="1"/>
    </xf>
    <xf numFmtId="8" fontId="8" fillId="0" borderId="0" xfId="0" applyNumberFormat="1" applyFont="1" applyFill="1" applyProtection="1">
      <protection hidden="1"/>
    </xf>
    <xf numFmtId="8" fontId="8" fillId="7" borderId="0" xfId="0" applyNumberFormat="1" applyFont="1" applyFill="1" applyProtection="1">
      <protection hidden="1"/>
    </xf>
    <xf numFmtId="8" fontId="20" fillId="4" borderId="0" xfId="0" applyNumberFormat="1" applyFont="1" applyFill="1" applyProtection="1">
      <protection hidden="1"/>
    </xf>
    <xf numFmtId="164" fontId="8" fillId="4" borderId="0" xfId="3" applyFont="1" applyFill="1" applyProtection="1">
      <protection hidden="1"/>
    </xf>
    <xf numFmtId="167" fontId="8" fillId="0" borderId="6" xfId="0" applyNumberFormat="1" applyFont="1" applyBorder="1" applyAlignment="1" applyProtection="1">
      <alignment horizontal="center"/>
      <protection hidden="1"/>
    </xf>
    <xf numFmtId="165" fontId="9" fillId="0" borderId="0" xfId="1" applyFont="1" applyBorder="1" applyAlignment="1" applyProtection="1">
      <alignment horizontal="center" vertical="center"/>
      <protection hidden="1"/>
    </xf>
    <xf numFmtId="167" fontId="8" fillId="0" borderId="7" xfId="1" applyNumberFormat="1" applyFont="1" applyBorder="1" applyAlignment="1" applyProtection="1">
      <alignment horizontal="center" vertical="center"/>
      <protection hidden="1"/>
    </xf>
    <xf numFmtId="167" fontId="17" fillId="0" borderId="0" xfId="0" applyNumberFormat="1" applyFont="1" applyAlignment="1" applyProtection="1">
      <alignment horizontal="center"/>
      <protection hidden="1"/>
    </xf>
    <xf numFmtId="0" fontId="8" fillId="0" borderId="0" xfId="0" applyFont="1" applyBorder="1" applyProtection="1">
      <protection hidden="1"/>
    </xf>
    <xf numFmtId="2" fontId="8" fillId="0" borderId="0" xfId="0" applyNumberFormat="1" applyFont="1" applyProtection="1">
      <protection hidden="1"/>
    </xf>
    <xf numFmtId="0" fontId="9" fillId="0" borderId="0" xfId="0" applyFont="1" applyAlignment="1" applyProtection="1">
      <alignment horizontal="left" vertical="center"/>
      <protection hidden="1"/>
    </xf>
    <xf numFmtId="10" fontId="26" fillId="0" borderId="0" xfId="0" applyNumberFormat="1" applyFont="1" applyFill="1" applyBorder="1" applyAlignment="1" applyProtection="1">
      <alignment horizontal="center" vertical="center"/>
      <protection locked="0"/>
    </xf>
    <xf numFmtId="10" fontId="26" fillId="0" borderId="0" xfId="11" applyNumberFormat="1" applyFont="1" applyFill="1" applyBorder="1" applyAlignment="1" applyProtection="1">
      <alignment horizontal="center" vertical="center"/>
      <protection locked="0"/>
    </xf>
    <xf numFmtId="10" fontId="28" fillId="0" borderId="0" xfId="11" applyNumberFormat="1" applyFont="1" applyFill="1" applyAlignment="1" applyProtection="1">
      <alignment horizontal="center" vertical="center" wrapText="1"/>
      <protection hidden="1"/>
    </xf>
    <xf numFmtId="8" fontId="28" fillId="0" borderId="0" xfId="0" applyNumberFormat="1" applyFont="1" applyFill="1" applyBorder="1" applyAlignment="1" applyProtection="1">
      <alignment horizontal="center" vertical="center"/>
      <protection locked="0"/>
    </xf>
    <xf numFmtId="170" fontId="26" fillId="0" borderId="0" xfId="0" applyNumberFormat="1" applyFont="1" applyFill="1" applyBorder="1" applyAlignment="1" applyProtection="1">
      <alignment horizontal="center" vertical="center"/>
    </xf>
    <xf numFmtId="0" fontId="9"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0" fontId="24" fillId="0" borderId="0" xfId="0" applyFont="1" applyAlignment="1">
      <alignment vertical="center"/>
    </xf>
    <xf numFmtId="0" fontId="25" fillId="0" borderId="0" xfId="0" applyFont="1" applyAlignment="1">
      <alignment vertical="center"/>
    </xf>
    <xf numFmtId="0" fontId="27" fillId="0" borderId="0" xfId="0" applyFont="1" applyAlignment="1">
      <alignment vertical="center"/>
    </xf>
    <xf numFmtId="0" fontId="3" fillId="0" borderId="0" xfId="0" applyFont="1" applyAlignment="1">
      <alignment horizontal="center" vertical="center"/>
    </xf>
    <xf numFmtId="0" fontId="15" fillId="0" borderId="0" xfId="0" applyFont="1" applyAlignment="1">
      <alignment vertical="center"/>
    </xf>
    <xf numFmtId="0" fontId="3" fillId="0" borderId="0" xfId="0" applyFont="1" applyFill="1" applyAlignment="1">
      <alignment vertical="center"/>
    </xf>
    <xf numFmtId="0" fontId="9" fillId="0" borderId="0" xfId="0" quotePrefix="1" applyFont="1" applyAlignment="1">
      <alignment horizontal="right" vertical="center"/>
    </xf>
    <xf numFmtId="164" fontId="8" fillId="0" borderId="1" xfId="3" applyFont="1" applyBorder="1" applyAlignment="1">
      <alignment vertical="center"/>
    </xf>
    <xf numFmtId="164" fontId="8" fillId="0" borderId="1" xfId="3" applyFont="1" applyBorder="1" applyAlignment="1">
      <alignment vertical="center" wrapText="1"/>
    </xf>
    <xf numFmtId="2" fontId="3" fillId="0" borderId="0" xfId="0" applyNumberFormat="1" applyFont="1" applyAlignment="1">
      <alignment horizontal="center" vertical="center"/>
    </xf>
    <xf numFmtId="10" fontId="3" fillId="0" borderId="0" xfId="11" applyNumberFormat="1" applyFont="1" applyAlignment="1">
      <alignment horizontal="center" vertical="center"/>
    </xf>
    <xf numFmtId="10" fontId="8" fillId="0" borderId="1" xfId="11" applyNumberFormat="1" applyFont="1" applyBorder="1" applyAlignment="1">
      <alignment horizontal="center" vertical="center"/>
    </xf>
    <xf numFmtId="0" fontId="9" fillId="13" borderId="0" xfId="0" applyFont="1" applyFill="1" applyAlignment="1">
      <alignment vertical="center"/>
    </xf>
    <xf numFmtId="0" fontId="3" fillId="13" borderId="0" xfId="0" applyFont="1" applyFill="1" applyAlignment="1">
      <alignment vertical="center"/>
    </xf>
    <xf numFmtId="164" fontId="26" fillId="0" borderId="0" xfId="3" applyFont="1" applyFill="1" applyBorder="1" applyAlignment="1" applyProtection="1">
      <alignment horizontal="center" vertical="center"/>
    </xf>
    <xf numFmtId="174" fontId="9" fillId="0" borderId="0" xfId="3" applyNumberFormat="1" applyFont="1" applyAlignment="1" applyProtection="1">
      <alignment horizontal="left" vertical="center"/>
      <protection hidden="1"/>
    </xf>
    <xf numFmtId="164" fontId="9" fillId="0" borderId="0" xfId="3" quotePrefix="1" applyFont="1" applyAlignment="1" applyProtection="1">
      <alignment wrapText="1"/>
      <protection hidden="1"/>
    </xf>
    <xf numFmtId="10" fontId="33" fillId="0" borderId="0" xfId="0" applyNumberFormat="1" applyFont="1" applyAlignment="1">
      <alignment horizontal="center" vertical="center"/>
    </xf>
    <xf numFmtId="164" fontId="8" fillId="14" borderId="1" xfId="3" applyFont="1" applyFill="1" applyBorder="1" applyAlignment="1">
      <alignment vertical="center" wrapText="1"/>
    </xf>
    <xf numFmtId="10" fontId="8" fillId="14" borderId="1" xfId="11" applyNumberFormat="1" applyFont="1" applyFill="1" applyBorder="1" applyAlignment="1">
      <alignment horizontal="center" vertical="center"/>
    </xf>
    <xf numFmtId="0" fontId="9" fillId="14" borderId="0" xfId="0" applyFont="1" applyFill="1" applyAlignment="1">
      <alignment horizontal="right" vertical="center"/>
    </xf>
    <xf numFmtId="0" fontId="9" fillId="14" borderId="0" xfId="0" quotePrefix="1" applyFont="1" applyFill="1" applyAlignment="1">
      <alignment horizontal="right" vertical="center"/>
    </xf>
    <xf numFmtId="0" fontId="34" fillId="15" borderId="0" xfId="0" applyFont="1" applyFill="1" applyAlignment="1">
      <alignment vertical="center"/>
    </xf>
    <xf numFmtId="0" fontId="3" fillId="15" borderId="0" xfId="0" applyFont="1" applyFill="1" applyAlignment="1">
      <alignment vertical="center"/>
    </xf>
    <xf numFmtId="0" fontId="12" fillId="0" borderId="0" xfId="0" applyFont="1" applyAlignment="1" applyProtection="1">
      <alignment horizontal="center" vertical="center"/>
      <protection hidden="1"/>
    </xf>
    <xf numFmtId="2" fontId="3" fillId="13" borderId="0" xfId="0" applyNumberFormat="1" applyFont="1" applyFill="1" applyAlignment="1">
      <alignment horizontal="center" vertical="center"/>
    </xf>
    <xf numFmtId="0" fontId="35" fillId="0" borderId="0" xfId="0" applyFont="1" applyAlignment="1">
      <alignment vertical="center"/>
    </xf>
    <xf numFmtId="173" fontId="36" fillId="16" borderId="0" xfId="0" applyNumberFormat="1" applyFont="1" applyFill="1" applyBorder="1" applyAlignment="1" applyProtection="1">
      <alignment horizontal="center" vertical="center"/>
      <protection locked="0"/>
    </xf>
    <xf numFmtId="15" fontId="36" fillId="16" borderId="0" xfId="0" applyNumberFormat="1" applyFont="1" applyFill="1" applyAlignment="1">
      <alignment horizontal="center" vertical="center"/>
    </xf>
    <xf numFmtId="166" fontId="36" fillId="17" borderId="0" xfId="11" applyNumberFormat="1" applyFont="1" applyFill="1" applyAlignment="1">
      <alignment horizontal="center" vertical="center"/>
    </xf>
    <xf numFmtId="15" fontId="36" fillId="17" borderId="0" xfId="0" applyNumberFormat="1" applyFont="1" applyFill="1" applyAlignment="1">
      <alignment horizontal="center" vertical="center"/>
    </xf>
    <xf numFmtId="0" fontId="37" fillId="0" borderId="0" xfId="0" applyFont="1" applyAlignment="1">
      <alignment vertical="center"/>
    </xf>
    <xf numFmtId="0" fontId="12" fillId="0" borderId="0" xfId="0" applyFont="1"/>
    <xf numFmtId="14" fontId="0" fillId="0" borderId="0" xfId="0" applyNumberFormat="1"/>
    <xf numFmtId="0" fontId="5" fillId="2" borderId="0" xfId="0" applyFont="1" applyFill="1" applyBorder="1"/>
    <xf numFmtId="0" fontId="5" fillId="2" borderId="0" xfId="0" applyFont="1" applyFill="1"/>
    <xf numFmtId="0" fontId="38" fillId="2" borderId="0" xfId="0" applyFont="1" applyFill="1" applyBorder="1" applyAlignment="1"/>
    <xf numFmtId="0" fontId="5" fillId="2" borderId="0" xfId="0" applyFont="1" applyFill="1" applyBorder="1" applyAlignment="1">
      <alignment horizontal="right"/>
    </xf>
    <xf numFmtId="0" fontId="39" fillId="2" borderId="0" xfId="0" applyFont="1" applyFill="1" applyBorder="1"/>
    <xf numFmtId="0" fontId="5" fillId="2" borderId="0" xfId="0" applyFont="1" applyFill="1" applyAlignment="1">
      <alignment horizontal="right"/>
    </xf>
    <xf numFmtId="0" fontId="24" fillId="2" borderId="0" xfId="0" applyFont="1" applyFill="1" applyBorder="1" applyAlignment="1">
      <alignment horizontal="right"/>
    </xf>
    <xf numFmtId="0" fontId="40" fillId="2" borderId="0" xfId="0" applyFont="1" applyFill="1" applyBorder="1" applyAlignment="1">
      <alignment vertical="top"/>
    </xf>
    <xf numFmtId="0" fontId="41" fillId="2" borderId="0" xfId="0" applyFont="1" applyFill="1" applyBorder="1"/>
    <xf numFmtId="0" fontId="41" fillId="2" borderId="0" xfId="0" applyFont="1" applyFill="1"/>
    <xf numFmtId="0" fontId="42" fillId="2" borderId="0" xfId="0" applyFont="1" applyFill="1" applyBorder="1"/>
    <xf numFmtId="0" fontId="43" fillId="2" borderId="23" xfId="0" applyFont="1" applyFill="1" applyBorder="1"/>
    <xf numFmtId="0" fontId="43" fillId="2" borderId="22" xfId="0" applyFont="1" applyFill="1" applyBorder="1"/>
    <xf numFmtId="0" fontId="43" fillId="2" borderId="24" xfId="0" applyFont="1" applyFill="1" applyBorder="1"/>
    <xf numFmtId="0" fontId="43" fillId="2" borderId="25" xfId="0" applyFont="1" applyFill="1" applyBorder="1"/>
    <xf numFmtId="0" fontId="42" fillId="2" borderId="0" xfId="0" applyFont="1" applyFill="1"/>
    <xf numFmtId="0" fontId="43" fillId="2" borderId="27" xfId="0" applyFont="1" applyFill="1" applyBorder="1"/>
    <xf numFmtId="0" fontId="43" fillId="2" borderId="0" xfId="0" applyFont="1" applyFill="1" applyBorder="1"/>
    <xf numFmtId="0" fontId="43" fillId="2" borderId="28" xfId="0" applyFont="1" applyFill="1" applyBorder="1"/>
    <xf numFmtId="0" fontId="43" fillId="2" borderId="29" xfId="0" applyFont="1" applyFill="1" applyBorder="1"/>
    <xf numFmtId="0" fontId="13" fillId="2" borderId="0" xfId="0" applyFont="1" applyFill="1" applyBorder="1"/>
    <xf numFmtId="0" fontId="13" fillId="2" borderId="0" xfId="0" applyFont="1" applyFill="1"/>
    <xf numFmtId="0" fontId="45" fillId="2" borderId="0" xfId="0" applyFont="1" applyFill="1" applyBorder="1"/>
    <xf numFmtId="0" fontId="43" fillId="2" borderId="35" xfId="0" applyFont="1" applyFill="1" applyBorder="1"/>
    <xf numFmtId="0" fontId="43" fillId="2" borderId="36" xfId="0" applyFont="1" applyFill="1" applyBorder="1"/>
    <xf numFmtId="0" fontId="43" fillId="2" borderId="37" xfId="0" applyFont="1" applyFill="1" applyBorder="1"/>
    <xf numFmtId="0" fontId="44" fillId="2" borderId="0" xfId="0" applyFont="1" applyFill="1" applyBorder="1"/>
    <xf numFmtId="0" fontId="42" fillId="2" borderId="41" xfId="0" applyFont="1" applyFill="1" applyBorder="1"/>
    <xf numFmtId="0" fontId="43" fillId="2" borderId="43" xfId="0" applyFont="1" applyFill="1" applyBorder="1"/>
    <xf numFmtId="0" fontId="43" fillId="2" borderId="44" xfId="0" applyFont="1" applyFill="1" applyBorder="1"/>
    <xf numFmtId="0" fontId="43" fillId="2" borderId="45" xfId="0" applyFont="1" applyFill="1" applyBorder="1"/>
    <xf numFmtId="0" fontId="42" fillId="2" borderId="44" xfId="0" applyFont="1" applyFill="1" applyBorder="1"/>
    <xf numFmtId="0" fontId="43" fillId="2" borderId="46" xfId="0" applyFont="1" applyFill="1" applyBorder="1"/>
    <xf numFmtId="0" fontId="43" fillId="2" borderId="47" xfId="0" applyFont="1" applyFill="1" applyBorder="1"/>
    <xf numFmtId="0" fontId="43" fillId="2" borderId="49" xfId="0" applyFont="1" applyFill="1" applyBorder="1"/>
    <xf numFmtId="0" fontId="42" fillId="2" borderId="49" xfId="0" applyFont="1" applyFill="1" applyBorder="1"/>
    <xf numFmtId="0" fontId="43" fillId="2" borderId="53" xfId="0" applyFont="1" applyFill="1" applyBorder="1"/>
    <xf numFmtId="0" fontId="43" fillId="2" borderId="0" xfId="0" applyFont="1" applyFill="1" applyBorder="1" applyAlignment="1">
      <alignment vertical="center"/>
    </xf>
    <xf numFmtId="0" fontId="42" fillId="2" borderId="0" xfId="0" applyFont="1" applyFill="1" applyAlignment="1">
      <alignment vertical="center"/>
    </xf>
    <xf numFmtId="0" fontId="43" fillId="2" borderId="55" xfId="0" applyFont="1" applyFill="1" applyBorder="1"/>
    <xf numFmtId="0" fontId="42" fillId="2" borderId="56" xfId="0" applyFont="1" applyFill="1" applyBorder="1"/>
    <xf numFmtId="0" fontId="43" fillId="2" borderId="56" xfId="0" applyFont="1" applyFill="1" applyBorder="1"/>
    <xf numFmtId="0" fontId="43" fillId="2" borderId="41" xfId="0" applyFont="1" applyFill="1" applyBorder="1" applyAlignment="1">
      <alignment vertical="center"/>
    </xf>
    <xf numFmtId="0" fontId="42" fillId="2" borderId="63" xfId="0" applyFont="1" applyFill="1" applyBorder="1"/>
    <xf numFmtId="0" fontId="42" fillId="2" borderId="47" xfId="0" applyFont="1" applyFill="1" applyBorder="1"/>
    <xf numFmtId="0" fontId="43" fillId="2" borderId="49" xfId="0" applyFont="1" applyFill="1" applyBorder="1" applyAlignment="1"/>
    <xf numFmtId="0" fontId="42" fillId="2" borderId="52" xfId="0" applyFont="1" applyFill="1" applyBorder="1"/>
    <xf numFmtId="0" fontId="42" fillId="2" borderId="43" xfId="0" applyFont="1" applyFill="1" applyBorder="1"/>
    <xf numFmtId="0" fontId="42" fillId="2" borderId="55" xfId="0" applyFont="1" applyFill="1" applyBorder="1"/>
    <xf numFmtId="0" fontId="42" fillId="2" borderId="48" xfId="0" applyFont="1" applyFill="1" applyBorder="1"/>
    <xf numFmtId="0" fontId="48" fillId="2" borderId="0" xfId="0" applyFont="1" applyFill="1"/>
    <xf numFmtId="0" fontId="49" fillId="2" borderId="0" xfId="0" applyFont="1" applyFill="1"/>
    <xf numFmtId="0" fontId="41" fillId="21" borderId="0" xfId="0" applyFont="1" applyFill="1"/>
    <xf numFmtId="0" fontId="9" fillId="21" borderId="0" xfId="0" applyFont="1" applyFill="1" applyAlignment="1">
      <alignment horizontal="justify" vertical="justify" wrapText="1"/>
    </xf>
    <xf numFmtId="0" fontId="3" fillId="21" borderId="0" xfId="0" applyFont="1" applyFill="1" applyAlignment="1">
      <alignment horizontal="justify" vertical="justify" wrapText="1"/>
    </xf>
    <xf numFmtId="0" fontId="3" fillId="21" borderId="0" xfId="7" applyFont="1" applyFill="1" applyBorder="1" applyAlignment="1">
      <alignment vertical="top" wrapText="1"/>
    </xf>
    <xf numFmtId="0" fontId="3" fillId="21" borderId="0" xfId="7" applyFont="1" applyFill="1" applyAlignment="1"/>
    <xf numFmtId="0" fontId="3" fillId="21" borderId="0" xfId="7" applyFont="1" applyFill="1" applyAlignment="1">
      <alignment horizontal="center"/>
    </xf>
    <xf numFmtId="0" fontId="3" fillId="21" borderId="0" xfId="7" applyFont="1" applyFill="1" applyBorder="1" applyAlignment="1">
      <alignment vertical="top"/>
    </xf>
    <xf numFmtId="0" fontId="3" fillId="21" borderId="0" xfId="7" applyFont="1" applyFill="1"/>
    <xf numFmtId="0" fontId="5" fillId="21" borderId="0" xfId="0" applyFont="1" applyFill="1"/>
    <xf numFmtId="0" fontId="53" fillId="21" borderId="0" xfId="0" applyFont="1" applyFill="1" applyAlignment="1">
      <alignment vertical="center"/>
    </xf>
    <xf numFmtId="0" fontId="0" fillId="21" borderId="0" xfId="0" applyFill="1"/>
    <xf numFmtId="0" fontId="3" fillId="21" borderId="0" xfId="0" applyFont="1" applyFill="1" applyAlignment="1">
      <alignment horizontal="left" wrapText="1"/>
    </xf>
    <xf numFmtId="0" fontId="3" fillId="21" borderId="0" xfId="0" applyFont="1" applyFill="1" applyAlignment="1">
      <alignment vertical="justify" wrapText="1"/>
    </xf>
    <xf numFmtId="0" fontId="43" fillId="2" borderId="58" xfId="0" applyFont="1" applyFill="1" applyBorder="1"/>
    <xf numFmtId="0" fontId="43" fillId="2" borderId="57" xfId="0" applyFont="1" applyFill="1" applyBorder="1"/>
    <xf numFmtId="0" fontId="43" fillId="2" borderId="75" xfId="0" applyFont="1" applyFill="1" applyBorder="1"/>
    <xf numFmtId="0" fontId="42" fillId="2" borderId="58" xfId="0" applyFont="1" applyFill="1" applyBorder="1"/>
    <xf numFmtId="0" fontId="43" fillId="2" borderId="74" xfId="0" applyFont="1" applyFill="1" applyBorder="1"/>
    <xf numFmtId="0" fontId="43" fillId="2" borderId="59" xfId="0" applyFont="1" applyFill="1" applyBorder="1"/>
    <xf numFmtId="0" fontId="54" fillId="2" borderId="0" xfId="0" applyFont="1" applyFill="1" applyBorder="1" applyAlignment="1"/>
    <xf numFmtId="0" fontId="54" fillId="2" borderId="0" xfId="0" applyFont="1" applyFill="1" applyBorder="1" applyAlignment="1">
      <alignment vertical="top"/>
    </xf>
    <xf numFmtId="0" fontId="47" fillId="2" borderId="56" xfId="0" applyFont="1" applyFill="1" applyBorder="1" applyAlignment="1">
      <alignment vertical="top"/>
    </xf>
    <xf numFmtId="0" fontId="54" fillId="2" borderId="49" xfId="0" applyFont="1" applyFill="1" applyBorder="1" applyAlignment="1"/>
    <xf numFmtId="0" fontId="42" fillId="2" borderId="78" xfId="0" applyFont="1" applyFill="1" applyBorder="1"/>
    <xf numFmtId="0" fontId="42" fillId="2" borderId="79" xfId="0" applyFont="1" applyFill="1" applyBorder="1"/>
    <xf numFmtId="0" fontId="42" fillId="2" borderId="62" xfId="0" applyFont="1" applyFill="1" applyBorder="1"/>
    <xf numFmtId="0" fontId="48" fillId="2" borderId="0" xfId="0" applyFont="1" applyFill="1" applyBorder="1"/>
    <xf numFmtId="0" fontId="56" fillId="21" borderId="0" xfId="0" applyFont="1" applyFill="1" applyAlignment="1">
      <alignment vertical="center"/>
    </xf>
    <xf numFmtId="0" fontId="57" fillId="21" borderId="0" xfId="0" applyFont="1" applyFill="1" applyAlignment="1">
      <alignment vertical="center"/>
    </xf>
    <xf numFmtId="0" fontId="58" fillId="21" borderId="0" xfId="0" applyFont="1" applyFill="1" applyAlignment="1">
      <alignment vertical="center"/>
    </xf>
    <xf numFmtId="0" fontId="3" fillId="21" borderId="0" xfId="0" applyFont="1" applyFill="1" applyBorder="1" applyAlignment="1">
      <alignment horizontal="left" vertical="center" wrapText="1"/>
    </xf>
    <xf numFmtId="0" fontId="3" fillId="21" borderId="0" xfId="0" applyFont="1" applyFill="1" applyBorder="1" applyAlignment="1">
      <alignment horizontal="left" vertical="center"/>
    </xf>
    <xf numFmtId="0" fontId="59" fillId="21" borderId="0" xfId="0" applyFont="1" applyFill="1" applyAlignment="1">
      <alignment vertical="center"/>
    </xf>
    <xf numFmtId="0" fontId="60" fillId="21" borderId="0" xfId="0" applyFont="1" applyFill="1" applyAlignment="1">
      <alignment vertical="center"/>
    </xf>
    <xf numFmtId="0" fontId="61" fillId="21" borderId="0" xfId="0" applyFont="1" applyFill="1" applyAlignment="1">
      <alignment vertical="center"/>
    </xf>
    <xf numFmtId="0" fontId="46" fillId="2" borderId="78" xfId="0" applyFont="1" applyFill="1" applyBorder="1" applyAlignment="1">
      <alignment vertical="center"/>
    </xf>
    <xf numFmtId="0" fontId="46" fillId="2" borderId="79" xfId="0" applyFont="1" applyFill="1" applyBorder="1" applyAlignment="1">
      <alignment vertical="center"/>
    </xf>
    <xf numFmtId="0" fontId="43" fillId="2" borderId="79" xfId="0" applyFont="1" applyFill="1" applyBorder="1"/>
    <xf numFmtId="0" fontId="43" fillId="2" borderId="78" xfId="0" applyFont="1" applyFill="1" applyBorder="1"/>
    <xf numFmtId="0" fontId="43" fillId="2" borderId="0" xfId="0" applyFont="1" applyFill="1" applyBorder="1" applyAlignment="1"/>
    <xf numFmtId="0" fontId="48" fillId="2" borderId="58" xfId="0" applyFont="1" applyFill="1" applyBorder="1"/>
    <xf numFmtId="0" fontId="3" fillId="21" borderId="0" xfId="0" applyFont="1" applyFill="1" applyAlignment="1">
      <alignment horizontal="left" vertical="center" wrapText="1"/>
    </xf>
    <xf numFmtId="0" fontId="3" fillId="21" borderId="0" xfId="0" applyFont="1" applyFill="1" applyAlignment="1">
      <alignment vertical="center" wrapText="1"/>
    </xf>
    <xf numFmtId="0" fontId="3" fillId="0" borderId="0" xfId="0" applyFont="1" applyAlignment="1">
      <alignment horizontal="justify" vertical="justify" wrapText="1"/>
    </xf>
    <xf numFmtId="0" fontId="3" fillId="2" borderId="0" xfId="0" applyFont="1" applyFill="1" applyAlignment="1">
      <alignment horizontal="justify" vertical="justify" wrapText="1"/>
    </xf>
    <xf numFmtId="0" fontId="43" fillId="2" borderId="58" xfId="0" applyFont="1" applyFill="1" applyBorder="1" applyAlignment="1"/>
    <xf numFmtId="0" fontId="43" fillId="2" borderId="78" xfId="0" applyFont="1" applyFill="1" applyBorder="1" applyAlignment="1"/>
    <xf numFmtId="0" fontId="46" fillId="2" borderId="0" xfId="0" applyFont="1" applyFill="1" applyBorder="1" applyAlignment="1">
      <alignment vertical="center"/>
    </xf>
    <xf numFmtId="0" fontId="46" fillId="2" borderId="41" xfId="0" applyFont="1" applyFill="1" applyBorder="1" applyAlignment="1">
      <alignment vertical="center"/>
    </xf>
    <xf numFmtId="0" fontId="46" fillId="2" borderId="63" xfId="0" applyFont="1" applyFill="1" applyBorder="1" applyAlignment="1">
      <alignment vertical="center"/>
    </xf>
    <xf numFmtId="0" fontId="43" fillId="2" borderId="88" xfId="0" applyFont="1" applyFill="1" applyBorder="1" applyAlignment="1"/>
    <xf numFmtId="0" fontId="56" fillId="21" borderId="0" xfId="0" applyFont="1" applyFill="1" applyAlignment="1">
      <alignment horizontal="center" vertical="center"/>
    </xf>
    <xf numFmtId="0" fontId="53" fillId="21" borderId="0" xfId="0" applyFont="1" applyFill="1" applyAlignment="1">
      <alignment horizontal="center" vertical="center"/>
    </xf>
    <xf numFmtId="0" fontId="3" fillId="2" borderId="0" xfId="7" applyFont="1" applyFill="1" applyBorder="1" applyAlignment="1">
      <alignment vertical="top" wrapText="1"/>
    </xf>
    <xf numFmtId="0" fontId="3" fillId="2" borderId="0" xfId="7" applyFont="1" applyFill="1" applyBorder="1" applyAlignment="1">
      <alignment vertical="top"/>
    </xf>
    <xf numFmtId="0" fontId="3" fillId="2" borderId="0" xfId="7" applyFont="1" applyFill="1"/>
    <xf numFmtId="0" fontId="54" fillId="2" borderId="79" xfId="0" applyFont="1" applyFill="1" applyBorder="1" applyAlignment="1"/>
    <xf numFmtId="0" fontId="55" fillId="2" borderId="0" xfId="0" applyFont="1" applyFill="1" applyBorder="1" applyAlignment="1"/>
    <xf numFmtId="0" fontId="55" fillId="2" borderId="79" xfId="0" applyFont="1" applyFill="1" applyBorder="1" applyAlignment="1"/>
    <xf numFmtId="0" fontId="55" fillId="2" borderId="78" xfId="0" applyFont="1" applyFill="1" applyBorder="1" applyAlignment="1"/>
    <xf numFmtId="0" fontId="47" fillId="2" borderId="79" xfId="0" applyFont="1" applyFill="1" applyBorder="1" applyAlignment="1">
      <alignment vertical="top"/>
    </xf>
    <xf numFmtId="0" fontId="54" fillId="2" borderId="41" xfId="0" applyFont="1" applyFill="1" applyBorder="1" applyAlignment="1"/>
    <xf numFmtId="0" fontId="54" fillId="2" borderId="57" xfId="0" applyFont="1" applyFill="1" applyBorder="1" applyAlignment="1"/>
    <xf numFmtId="0" fontId="54" fillId="2" borderId="58" xfId="0" applyFont="1" applyFill="1" applyBorder="1" applyAlignment="1"/>
    <xf numFmtId="0" fontId="54" fillId="2" borderId="59" xfId="0" applyFont="1" applyFill="1" applyBorder="1" applyAlignment="1"/>
    <xf numFmtId="0" fontId="54" fillId="2" borderId="78" xfId="0" applyFont="1" applyFill="1" applyBorder="1" applyAlignment="1"/>
    <xf numFmtId="0" fontId="54" fillId="2" borderId="63" xfId="0" applyFont="1" applyFill="1" applyBorder="1" applyAlignment="1"/>
    <xf numFmtId="0" fontId="9" fillId="21" borderId="0" xfId="0" applyFont="1" applyFill="1" applyAlignment="1">
      <alignment horizontal="justify" vertical="justify"/>
    </xf>
    <xf numFmtId="0" fontId="3" fillId="21" borderId="0" xfId="0" applyFont="1" applyFill="1" applyAlignment="1">
      <alignment horizontal="justify" vertical="justify"/>
    </xf>
    <xf numFmtId="0" fontId="56" fillId="0" borderId="0" xfId="0" applyFont="1" applyAlignment="1">
      <alignment horizontal="center" vertical="center"/>
    </xf>
    <xf numFmtId="0" fontId="56" fillId="0" borderId="0" xfId="0" applyFont="1" applyAlignment="1">
      <alignment horizontal="justify" vertical="center"/>
    </xf>
    <xf numFmtId="0" fontId="53" fillId="0" borderId="0" xfId="0" applyFont="1" applyAlignment="1">
      <alignment horizontal="justify" vertical="center"/>
    </xf>
    <xf numFmtId="0" fontId="5" fillId="2" borderId="0" xfId="7" applyFont="1" applyFill="1" applyBorder="1"/>
    <xf numFmtId="0" fontId="5" fillId="2" borderId="0" xfId="7" applyFont="1" applyFill="1"/>
    <xf numFmtId="0" fontId="38" fillId="2" borderId="0" xfId="7" applyFont="1" applyFill="1" applyBorder="1" applyAlignment="1"/>
    <xf numFmtId="0" fontId="5" fillId="2" borderId="0" xfId="7" applyFont="1" applyFill="1" applyBorder="1" applyAlignment="1">
      <alignment horizontal="right"/>
    </xf>
    <xf numFmtId="0" fontId="39" fillId="2" borderId="0" xfId="7" applyFont="1" applyFill="1" applyBorder="1"/>
    <xf numFmtId="0" fontId="5" fillId="2" borderId="0" xfId="7" applyFont="1" applyFill="1" applyAlignment="1">
      <alignment horizontal="right"/>
    </xf>
    <xf numFmtId="0" fontId="24" fillId="2" borderId="0" xfId="7" applyFont="1" applyFill="1" applyBorder="1" applyAlignment="1">
      <alignment horizontal="right"/>
    </xf>
    <xf numFmtId="0" fontId="41" fillId="2" borderId="0" xfId="7" applyFont="1" applyFill="1" applyBorder="1"/>
    <xf numFmtId="0" fontId="41" fillId="2" borderId="0" xfId="7" applyFont="1" applyFill="1"/>
    <xf numFmtId="0" fontId="3" fillId="2" borderId="0" xfId="7" applyFont="1" applyFill="1" applyBorder="1"/>
    <xf numFmtId="0" fontId="30" fillId="2" borderId="23" xfId="7" applyFont="1" applyFill="1" applyBorder="1"/>
    <xf numFmtId="0" fontId="30" fillId="2" borderId="22" xfId="7" applyFont="1" applyFill="1" applyBorder="1"/>
    <xf numFmtId="0" fontId="30" fillId="2" borderId="24" xfId="7" applyFont="1" applyFill="1" applyBorder="1"/>
    <xf numFmtId="0" fontId="30" fillId="2" borderId="25" xfId="7" applyFont="1" applyFill="1" applyBorder="1"/>
    <xf numFmtId="0" fontId="42" fillId="2" borderId="0" xfId="7" applyFont="1" applyFill="1"/>
    <xf numFmtId="0" fontId="30" fillId="2" borderId="27" xfId="7" applyFont="1" applyFill="1" applyBorder="1"/>
    <xf numFmtId="0" fontId="30" fillId="2" borderId="0" xfId="7" applyFont="1" applyFill="1" applyBorder="1"/>
    <xf numFmtId="0" fontId="30" fillId="2" borderId="28" xfId="7" applyFont="1" applyFill="1" applyBorder="1"/>
    <xf numFmtId="0" fontId="30" fillId="2" borderId="29" xfId="7" applyFont="1" applyFill="1" applyBorder="1"/>
    <xf numFmtId="0" fontId="13" fillId="2" borderId="0" xfId="7" applyFont="1" applyFill="1"/>
    <xf numFmtId="0" fontId="49" fillId="2" borderId="0" xfId="7" applyFont="1" applyFill="1" applyBorder="1"/>
    <xf numFmtId="0" fontId="30" fillId="2" borderId="35" xfId="7" applyFont="1" applyFill="1" applyBorder="1"/>
    <xf numFmtId="0" fontId="30" fillId="2" borderId="36" xfId="7" applyFont="1" applyFill="1" applyBorder="1"/>
    <xf numFmtId="0" fontId="30" fillId="2" borderId="37" xfId="7" applyFont="1" applyFill="1" applyBorder="1"/>
    <xf numFmtId="0" fontId="30" fillId="2" borderId="57" xfId="7" applyFont="1" applyFill="1" applyBorder="1"/>
    <xf numFmtId="0" fontId="30" fillId="2" borderId="58" xfId="7" applyFont="1" applyFill="1" applyBorder="1"/>
    <xf numFmtId="0" fontId="3" fillId="2" borderId="58" xfId="7" applyFont="1" applyFill="1" applyBorder="1"/>
    <xf numFmtId="0" fontId="30" fillId="2" borderId="59" xfId="7" applyFont="1" applyFill="1" applyBorder="1"/>
    <xf numFmtId="0" fontId="3" fillId="2" borderId="41" xfId="7" applyFont="1" applyFill="1" applyBorder="1"/>
    <xf numFmtId="0" fontId="30" fillId="2" borderId="53" xfId="7" applyFont="1" applyFill="1" applyBorder="1"/>
    <xf numFmtId="0" fontId="3" fillId="2" borderId="0" xfId="7" applyFont="1" applyFill="1" applyAlignment="1">
      <alignment vertical="center"/>
    </xf>
    <xf numFmtId="0" fontId="30" fillId="2" borderId="0" xfId="7" applyFont="1" applyFill="1" applyBorder="1" applyAlignment="1"/>
    <xf numFmtId="0" fontId="42" fillId="2" borderId="0" xfId="7" applyFont="1" applyFill="1" applyAlignment="1">
      <alignment vertical="center"/>
    </xf>
    <xf numFmtId="0" fontId="30" fillId="2" borderId="70" xfId="7" applyFont="1" applyFill="1" applyBorder="1" applyAlignment="1"/>
    <xf numFmtId="0" fontId="30" fillId="2" borderId="70" xfId="7" applyFont="1" applyFill="1" applyBorder="1"/>
    <xf numFmtId="0" fontId="30" fillId="2" borderId="92" xfId="7" applyFont="1" applyFill="1" applyBorder="1" applyAlignment="1"/>
    <xf numFmtId="0" fontId="54" fillId="2" borderId="0" xfId="7" applyFont="1" applyFill="1" applyBorder="1" applyAlignment="1"/>
    <xf numFmtId="0" fontId="30" fillId="2" borderId="79" xfId="7" applyFont="1" applyFill="1" applyBorder="1" applyAlignment="1"/>
    <xf numFmtId="0" fontId="30" fillId="2" borderId="41" xfId="7" applyFont="1" applyFill="1" applyBorder="1" applyAlignment="1"/>
    <xf numFmtId="0" fontId="30" fillId="2" borderId="93" xfId="7" applyFont="1" applyFill="1" applyBorder="1"/>
    <xf numFmtId="0" fontId="42" fillId="2" borderId="0" xfId="7" applyFont="1" applyFill="1" applyBorder="1"/>
    <xf numFmtId="0" fontId="3" fillId="2" borderId="56" xfId="7" applyFont="1" applyFill="1" applyBorder="1"/>
    <xf numFmtId="0" fontId="30" fillId="2" borderId="48" xfId="7" applyFont="1" applyFill="1" applyBorder="1"/>
    <xf numFmtId="0" fontId="30" fillId="2" borderId="49" xfId="7" applyFont="1" applyFill="1" applyBorder="1"/>
    <xf numFmtId="0" fontId="30" fillId="2" borderId="49" xfId="7" applyFont="1" applyFill="1" applyBorder="1" applyAlignment="1">
      <alignment horizontal="center"/>
    </xf>
    <xf numFmtId="0" fontId="3" fillId="2" borderId="49" xfId="7" applyFont="1" applyFill="1" applyBorder="1" applyAlignment="1">
      <alignment horizontal="center"/>
    </xf>
    <xf numFmtId="0" fontId="67" fillId="2" borderId="49" xfId="7" applyFont="1" applyFill="1" applyBorder="1" applyAlignment="1">
      <alignment horizontal="center" vertical="center"/>
    </xf>
    <xf numFmtId="0" fontId="3" fillId="2" borderId="49" xfId="7" applyFont="1" applyFill="1" applyBorder="1" applyAlignment="1">
      <alignment horizontal="center" vertical="center"/>
    </xf>
    <xf numFmtId="0" fontId="30" fillId="2" borderId="52" xfId="7" applyFont="1" applyFill="1" applyBorder="1" applyAlignment="1">
      <alignment horizontal="center"/>
    </xf>
    <xf numFmtId="0" fontId="3" fillId="2" borderId="57" xfId="7" applyFont="1" applyFill="1" applyBorder="1"/>
    <xf numFmtId="0" fontId="3" fillId="2" borderId="59" xfId="7" applyFont="1" applyFill="1" applyBorder="1"/>
    <xf numFmtId="0" fontId="3" fillId="2" borderId="78" xfId="7" applyFont="1" applyFill="1" applyBorder="1"/>
    <xf numFmtId="0" fontId="3" fillId="2" borderId="79" xfId="7" applyFont="1" applyFill="1" applyBorder="1"/>
    <xf numFmtId="0" fontId="3" fillId="2" borderId="62" xfId="7" applyFont="1" applyFill="1" applyBorder="1"/>
    <xf numFmtId="0" fontId="3" fillId="2" borderId="63" xfId="7" applyFont="1" applyFill="1" applyBorder="1"/>
    <xf numFmtId="0" fontId="30" fillId="2" borderId="0" xfId="7" applyFont="1" applyFill="1"/>
    <xf numFmtId="0" fontId="49" fillId="2" borderId="0" xfId="7" applyFont="1" applyFill="1"/>
    <xf numFmtId="0" fontId="3" fillId="2" borderId="0" xfId="7" applyFont="1" applyFill="1" applyBorder="1" applyAlignment="1">
      <alignment vertical="justify" wrapText="1"/>
    </xf>
    <xf numFmtId="0" fontId="68" fillId="2" borderId="0" xfId="7" applyFont="1" applyFill="1" applyBorder="1"/>
    <xf numFmtId="0" fontId="9" fillId="2" borderId="0" xfId="7" applyFont="1" applyFill="1"/>
    <xf numFmtId="0" fontId="3" fillId="21" borderId="0" xfId="7" applyFont="1" applyFill="1" applyBorder="1" applyAlignment="1">
      <alignment vertical="justify" wrapText="1"/>
    </xf>
    <xf numFmtId="0" fontId="68" fillId="21" borderId="0" xfId="7" applyFont="1" applyFill="1" applyBorder="1" applyAlignment="1">
      <alignment horizontal="left"/>
    </xf>
    <xf numFmtId="0" fontId="9" fillId="2" borderId="0" xfId="7" applyFont="1" applyFill="1" applyBorder="1" applyAlignment="1"/>
    <xf numFmtId="0" fontId="3" fillId="2" borderId="0" xfId="7" applyFont="1" applyFill="1" applyBorder="1" applyAlignment="1">
      <alignment horizontal="right"/>
    </xf>
    <xf numFmtId="0" fontId="3" fillId="2" borderId="0" xfId="7" applyFont="1" applyFill="1" applyBorder="1" applyAlignment="1">
      <alignment horizontal="left"/>
    </xf>
    <xf numFmtId="0" fontId="3" fillId="2" borderId="0" xfId="7" applyFont="1" applyFill="1" applyAlignment="1">
      <alignment horizontal="right"/>
    </xf>
    <xf numFmtId="0" fontId="3" fillId="2" borderId="23" xfId="7" applyFont="1" applyFill="1" applyBorder="1"/>
    <xf numFmtId="0" fontId="3" fillId="2" borderId="22" xfId="7" applyFont="1" applyFill="1" applyBorder="1"/>
    <xf numFmtId="0" fontId="3" fillId="2" borderId="24" xfId="7" applyFont="1" applyFill="1" applyBorder="1"/>
    <xf numFmtId="0" fontId="3" fillId="2" borderId="25" xfId="7" applyFont="1" applyFill="1" applyBorder="1"/>
    <xf numFmtId="0" fontId="3" fillId="2" borderId="27" xfId="7" applyFont="1" applyFill="1" applyBorder="1"/>
    <xf numFmtId="0" fontId="3" fillId="2" borderId="28" xfId="7" applyFont="1" applyFill="1" applyBorder="1"/>
    <xf numFmtId="0" fontId="3" fillId="2" borderId="29" xfId="7" applyFont="1" applyFill="1" applyBorder="1"/>
    <xf numFmtId="0" fontId="9" fillId="2" borderId="0" xfId="7" applyFont="1" applyFill="1" applyBorder="1"/>
    <xf numFmtId="0" fontId="3" fillId="2" borderId="35" xfId="7" applyFont="1" applyFill="1" applyBorder="1"/>
    <xf numFmtId="0" fontId="3" fillId="2" borderId="36" xfId="7" applyFont="1" applyFill="1" applyBorder="1"/>
    <xf numFmtId="0" fontId="3" fillId="2" borderId="37" xfId="7" applyFont="1" applyFill="1" applyBorder="1"/>
    <xf numFmtId="0" fontId="3" fillId="2" borderId="53" xfId="7" applyFont="1" applyFill="1" applyBorder="1"/>
    <xf numFmtId="0" fontId="3" fillId="2" borderId="0" xfId="7" applyFont="1" applyFill="1" applyBorder="1" applyAlignment="1"/>
    <xf numFmtId="0" fontId="3" fillId="2" borderId="41" xfId="7" applyFont="1" applyFill="1" applyBorder="1" applyAlignment="1"/>
    <xf numFmtId="0" fontId="3" fillId="2" borderId="93" xfId="7" applyFont="1" applyFill="1" applyBorder="1"/>
    <xf numFmtId="0" fontId="3" fillId="2" borderId="48" xfId="7" applyFont="1" applyFill="1" applyBorder="1"/>
    <xf numFmtId="0" fontId="3" fillId="2" borderId="49" xfId="7" applyFont="1" applyFill="1" applyBorder="1"/>
    <xf numFmtId="0" fontId="69" fillId="2" borderId="49" xfId="7" applyFont="1" applyFill="1" applyBorder="1" applyAlignment="1">
      <alignment horizontal="center" vertical="center"/>
    </xf>
    <xf numFmtId="0" fontId="3" fillId="2" borderId="52" xfId="7" applyFont="1" applyFill="1" applyBorder="1" applyAlignment="1">
      <alignment horizontal="center"/>
    </xf>
    <xf numFmtId="0" fontId="43" fillId="2" borderId="55" xfId="0" applyFont="1" applyFill="1" applyBorder="1" applyAlignment="1"/>
    <xf numFmtId="0" fontId="46" fillId="2" borderId="0" xfId="0" applyFont="1" applyFill="1" applyBorder="1" applyAlignment="1"/>
    <xf numFmtId="0" fontId="46" fillId="2" borderId="56" xfId="0" applyFont="1" applyFill="1" applyBorder="1" applyAlignment="1"/>
    <xf numFmtId="0" fontId="53" fillId="21" borderId="0" xfId="0" applyFont="1" applyFill="1" applyAlignment="1">
      <alignment horizontal="justify" vertical="center"/>
    </xf>
    <xf numFmtId="0" fontId="62" fillId="21" borderId="0" xfId="0" applyFont="1" applyFill="1" applyAlignment="1">
      <alignment horizontal="justify" vertical="justify" wrapText="1"/>
    </xf>
    <xf numFmtId="0" fontId="9" fillId="0" borderId="0" xfId="0" applyFont="1" applyAlignment="1">
      <alignment horizontal="justify" vertical="justify" wrapText="1"/>
    </xf>
    <xf numFmtId="0" fontId="59" fillId="0" borderId="0" xfId="7" applyFont="1" applyAlignment="1" applyProtection="1">
      <alignment horizontal="center"/>
      <protection hidden="1"/>
    </xf>
    <xf numFmtId="0" fontId="59" fillId="0" borderId="0" xfId="7" applyFont="1" applyProtection="1">
      <protection hidden="1"/>
    </xf>
    <xf numFmtId="0" fontId="59" fillId="0" borderId="0" xfId="7" applyFont="1"/>
    <xf numFmtId="0" fontId="59" fillId="22" borderId="8" xfId="7" applyFont="1" applyFill="1" applyBorder="1" applyProtection="1">
      <protection hidden="1"/>
    </xf>
    <xf numFmtId="0" fontId="59" fillId="22" borderId="10" xfId="7" applyFont="1" applyFill="1" applyBorder="1" applyProtection="1">
      <protection hidden="1"/>
    </xf>
    <xf numFmtId="0" fontId="59" fillId="0" borderId="69" xfId="7" applyFont="1" applyFill="1" applyBorder="1" applyProtection="1">
      <protection hidden="1"/>
    </xf>
    <xf numFmtId="0" fontId="59" fillId="0" borderId="70" xfId="7" applyFont="1" applyFill="1" applyBorder="1" applyProtection="1">
      <protection hidden="1"/>
    </xf>
    <xf numFmtId="0" fontId="59" fillId="0" borderId="71" xfId="7" applyFont="1" applyFill="1" applyBorder="1" applyProtection="1">
      <protection hidden="1"/>
    </xf>
    <xf numFmtId="0" fontId="59" fillId="0" borderId="19" xfId="7" applyFont="1" applyFill="1" applyBorder="1" applyProtection="1">
      <protection hidden="1"/>
    </xf>
    <xf numFmtId="0" fontId="70" fillId="0" borderId="0" xfId="7" applyFont="1" applyFill="1" applyBorder="1" applyAlignment="1" applyProtection="1">
      <alignment horizontal="right" indent="1"/>
      <protection hidden="1"/>
    </xf>
    <xf numFmtId="0" fontId="59" fillId="0" borderId="54" xfId="7" applyFont="1" applyFill="1" applyBorder="1" applyProtection="1">
      <protection hidden="1"/>
    </xf>
    <xf numFmtId="0" fontId="71" fillId="0" borderId="0" xfId="7" applyFont="1" applyProtection="1">
      <protection hidden="1"/>
    </xf>
    <xf numFmtId="0" fontId="70" fillId="0" borderId="0" xfId="7" applyFont="1" applyFill="1" applyBorder="1" applyAlignment="1" applyProtection="1">
      <alignment horizontal="right" vertical="center" indent="1"/>
      <protection hidden="1"/>
    </xf>
    <xf numFmtId="0" fontId="72" fillId="0" borderId="95" xfId="7" applyFont="1" applyFill="1" applyBorder="1" applyAlignment="1" applyProtection="1">
      <alignment horizontal="center"/>
      <protection locked="0" hidden="1"/>
    </xf>
    <xf numFmtId="0" fontId="59" fillId="0" borderId="95" xfId="7" applyFont="1" applyFill="1" applyBorder="1" applyAlignment="1" applyProtection="1">
      <alignment horizontal="center"/>
      <protection locked="0" hidden="1"/>
    </xf>
    <xf numFmtId="0" fontId="59" fillId="0" borderId="4" xfId="7" applyFont="1" applyFill="1" applyBorder="1" applyProtection="1">
      <protection hidden="1"/>
    </xf>
    <xf numFmtId="0" fontId="59" fillId="0" borderId="20" xfId="7" applyFont="1" applyFill="1" applyBorder="1" applyProtection="1">
      <protection hidden="1"/>
    </xf>
    <xf numFmtId="0" fontId="59" fillId="0" borderId="72" xfId="7" applyFont="1" applyFill="1" applyBorder="1" applyProtection="1">
      <protection hidden="1"/>
    </xf>
    <xf numFmtId="0" fontId="59" fillId="0" borderId="95" xfId="7" applyFont="1" applyFill="1" applyBorder="1" applyAlignment="1" applyProtection="1">
      <alignment horizontal="center" wrapText="1"/>
      <protection hidden="1"/>
    </xf>
    <xf numFmtId="0" fontId="59" fillId="18" borderId="19" xfId="7" applyFont="1" applyFill="1" applyBorder="1" applyProtection="1">
      <protection hidden="1"/>
    </xf>
    <xf numFmtId="0" fontId="70" fillId="18" borderId="0" xfId="7" applyFont="1" applyFill="1" applyBorder="1" applyAlignment="1" applyProtection="1">
      <alignment horizontal="right" indent="1"/>
      <protection hidden="1"/>
    </xf>
    <xf numFmtId="0" fontId="59" fillId="18" borderId="95" xfId="7" applyFont="1" applyFill="1" applyBorder="1" applyAlignment="1" applyProtection="1">
      <alignment horizontal="center"/>
      <protection locked="0" hidden="1"/>
    </xf>
    <xf numFmtId="0" fontId="59" fillId="22" borderId="54" xfId="7" applyFont="1" applyFill="1" applyBorder="1" applyProtection="1">
      <protection hidden="1"/>
    </xf>
    <xf numFmtId="0" fontId="59" fillId="0" borderId="0" xfId="7" applyFont="1" applyFill="1" applyBorder="1" applyProtection="1">
      <protection hidden="1"/>
    </xf>
    <xf numFmtId="0" fontId="59" fillId="22" borderId="19" xfId="7" applyFont="1" applyFill="1" applyBorder="1" applyProtection="1">
      <protection hidden="1"/>
    </xf>
    <xf numFmtId="0" fontId="70" fillId="22" borderId="0" xfId="7" applyFont="1" applyFill="1" applyBorder="1" applyAlignment="1" applyProtection="1">
      <alignment horizontal="right" indent="1"/>
      <protection hidden="1"/>
    </xf>
    <xf numFmtId="0" fontId="59" fillId="22" borderId="95" xfId="7" applyFont="1" applyFill="1" applyBorder="1" applyAlignment="1" applyProtection="1">
      <alignment horizontal="center"/>
      <protection locked="0" hidden="1"/>
    </xf>
    <xf numFmtId="0" fontId="59" fillId="0" borderId="0" xfId="7" applyFont="1" applyFill="1" applyProtection="1">
      <protection hidden="1"/>
    </xf>
    <xf numFmtId="0" fontId="59" fillId="18" borderId="54" xfId="7" applyFont="1" applyFill="1" applyBorder="1" applyProtection="1">
      <protection hidden="1"/>
    </xf>
    <xf numFmtId="0" fontId="70" fillId="0" borderId="20" xfId="7" applyFont="1" applyFill="1" applyBorder="1" applyAlignment="1" applyProtection="1">
      <alignment horizontal="right"/>
      <protection hidden="1"/>
    </xf>
    <xf numFmtId="0" fontId="73" fillId="0" borderId="0" xfId="7" applyFont="1" applyProtection="1">
      <protection hidden="1"/>
    </xf>
    <xf numFmtId="0" fontId="59" fillId="0" borderId="0" xfId="7" applyFont="1" applyBorder="1" applyProtection="1">
      <protection hidden="1"/>
    </xf>
    <xf numFmtId="0" fontId="59" fillId="23" borderId="8" xfId="7" applyFont="1" applyFill="1" applyBorder="1" applyProtection="1">
      <protection hidden="1"/>
    </xf>
    <xf numFmtId="0" fontId="59" fillId="23" borderId="10" xfId="7" applyFont="1" applyFill="1" applyBorder="1" applyProtection="1">
      <protection hidden="1"/>
    </xf>
    <xf numFmtId="0" fontId="74" fillId="0" borderId="0" xfId="0" applyFont="1" applyProtection="1">
      <protection hidden="1"/>
    </xf>
    <xf numFmtId="0" fontId="59" fillId="0" borderId="0" xfId="0" applyFont="1" applyProtection="1">
      <protection hidden="1"/>
    </xf>
    <xf numFmtId="0" fontId="75" fillId="11" borderId="1" xfId="0" applyFont="1" applyFill="1" applyBorder="1" applyAlignment="1" applyProtection="1">
      <alignment horizontal="center"/>
      <protection hidden="1"/>
    </xf>
    <xf numFmtId="0" fontId="5" fillId="0" borderId="0" xfId="7"/>
    <xf numFmtId="0" fontId="5" fillId="19" borderId="0" xfId="7" applyFill="1"/>
    <xf numFmtId="0" fontId="43" fillId="2" borderId="43" xfId="0" applyFont="1" applyFill="1" applyBorder="1" applyAlignment="1">
      <alignment horizontal="center" vertical="center"/>
    </xf>
    <xf numFmtId="0" fontId="43" fillId="2" borderId="44" xfId="0" applyFont="1" applyFill="1" applyBorder="1" applyAlignment="1">
      <alignment horizontal="center" vertical="center"/>
    </xf>
    <xf numFmtId="0" fontId="43" fillId="2" borderId="0" xfId="0" applyFont="1" applyFill="1" applyBorder="1" applyAlignment="1">
      <alignment horizontal="center" vertical="center"/>
    </xf>
    <xf numFmtId="0" fontId="59" fillId="13" borderId="0" xfId="7" applyFont="1" applyFill="1"/>
    <xf numFmtId="0" fontId="43" fillId="2" borderId="47" xfId="0" applyFont="1" applyFill="1" applyBorder="1" applyAlignment="1">
      <alignment horizontal="center" vertical="center"/>
    </xf>
    <xf numFmtId="0" fontId="43" fillId="2" borderId="55" xfId="0" applyFont="1" applyFill="1" applyBorder="1" applyAlignment="1">
      <alignment horizontal="center" vertical="center"/>
    </xf>
    <xf numFmtId="0" fontId="43" fillId="2" borderId="56" xfId="0" applyFont="1" applyFill="1" applyBorder="1" applyAlignment="1">
      <alignment horizontal="center" vertical="center"/>
    </xf>
    <xf numFmtId="0" fontId="43" fillId="2" borderId="77" xfId="0" applyFont="1" applyFill="1" applyBorder="1" applyAlignment="1">
      <alignment horizontal="center" vertical="center"/>
    </xf>
    <xf numFmtId="0" fontId="3" fillId="21" borderId="0" xfId="0" applyFont="1" applyFill="1" applyAlignment="1">
      <alignment vertical="center"/>
    </xf>
    <xf numFmtId="14" fontId="59" fillId="0" borderId="95" xfId="7" applyNumberFormat="1" applyFont="1" applyFill="1" applyBorder="1" applyAlignment="1" applyProtection="1">
      <alignment horizontal="center"/>
      <protection locked="0" hidden="1"/>
    </xf>
    <xf numFmtId="0" fontId="43" fillId="2" borderId="0" xfId="0" applyFont="1" applyFill="1" applyBorder="1" applyAlignment="1">
      <alignment horizontal="left"/>
    </xf>
    <xf numFmtId="0" fontId="43" fillId="2" borderId="103" xfId="0" applyFont="1" applyFill="1" applyBorder="1"/>
    <xf numFmtId="0" fontId="42" fillId="2" borderId="28" xfId="0" applyFont="1" applyFill="1" applyBorder="1"/>
    <xf numFmtId="0" fontId="30" fillId="2" borderId="78" xfId="7" applyFont="1" applyFill="1" applyBorder="1" applyAlignment="1">
      <alignment vertical="center"/>
    </xf>
    <xf numFmtId="0" fontId="43" fillId="2" borderId="56" xfId="0" applyFont="1" applyFill="1" applyBorder="1" applyAlignment="1"/>
    <xf numFmtId="4" fontId="59" fillId="0" borderId="95" xfId="7" applyNumberFormat="1" applyFont="1" applyFill="1" applyBorder="1" applyAlignment="1" applyProtection="1">
      <alignment horizontal="center"/>
      <protection locked="0" hidden="1"/>
    </xf>
    <xf numFmtId="0" fontId="59" fillId="21" borderId="19" xfId="7" applyFont="1" applyFill="1" applyBorder="1" applyProtection="1">
      <protection hidden="1"/>
    </xf>
    <xf numFmtId="0" fontId="59" fillId="21" borderId="54" xfId="7" applyFont="1" applyFill="1" applyBorder="1" applyProtection="1">
      <protection hidden="1"/>
    </xf>
    <xf numFmtId="0" fontId="70" fillId="21" borderId="109" xfId="7" applyFont="1" applyFill="1" applyBorder="1" applyAlignment="1" applyProtection="1">
      <alignment horizontal="right" indent="1"/>
      <protection hidden="1"/>
    </xf>
    <xf numFmtId="0" fontId="70" fillId="0" borderId="109" xfId="7" applyFont="1" applyFill="1" applyBorder="1" applyAlignment="1" applyProtection="1">
      <alignment horizontal="right" indent="1"/>
      <protection hidden="1"/>
    </xf>
    <xf numFmtId="0" fontId="59" fillId="21" borderId="110" xfId="7" applyFont="1" applyFill="1" applyBorder="1" applyProtection="1">
      <protection hidden="1"/>
    </xf>
    <xf numFmtId="0" fontId="43" fillId="2" borderId="0" xfId="0" applyNumberFormat="1" applyFont="1" applyFill="1" applyBorder="1" applyAlignment="1">
      <alignment horizontal="center"/>
    </xf>
    <xf numFmtId="0" fontId="43" fillId="2" borderId="56" xfId="0" applyNumberFormat="1" applyFont="1" applyFill="1" applyBorder="1" applyAlignment="1">
      <alignment horizontal="center"/>
    </xf>
    <xf numFmtId="0" fontId="59" fillId="0" borderId="108" xfId="7" applyFont="1" applyFill="1" applyBorder="1" applyAlignment="1" applyProtection="1">
      <alignment horizontal="center"/>
      <protection locked="0" hidden="1"/>
    </xf>
    <xf numFmtId="0" fontId="59" fillId="0" borderId="110" xfId="7" applyFont="1" applyFill="1" applyBorder="1" applyProtection="1">
      <protection hidden="1"/>
    </xf>
    <xf numFmtId="0" fontId="59" fillId="0" borderId="110" xfId="7" applyFont="1" applyBorder="1"/>
    <xf numFmtId="14" fontId="78" fillId="0" borderId="95" xfId="7" applyNumberFormat="1" applyFont="1" applyFill="1" applyBorder="1" applyAlignment="1" applyProtection="1">
      <alignment horizontal="center"/>
      <protection locked="0" hidden="1"/>
    </xf>
    <xf numFmtId="0" fontId="76" fillId="0" borderId="95" xfId="7" applyFont="1" applyFill="1" applyBorder="1" applyAlignment="1" applyProtection="1">
      <alignment horizontal="center" vertical="center"/>
      <protection hidden="1"/>
    </xf>
    <xf numFmtId="0" fontId="78" fillId="0" borderId="95" xfId="7" applyFont="1" applyFill="1" applyBorder="1" applyAlignment="1" applyProtection="1">
      <alignment horizontal="center"/>
      <protection locked="0" hidden="1"/>
    </xf>
    <xf numFmtId="10" fontId="78" fillId="0" borderId="95" xfId="11" applyNumberFormat="1" applyFont="1" applyFill="1" applyBorder="1" applyAlignment="1" applyProtection="1">
      <alignment horizontal="center"/>
      <protection locked="0" hidden="1"/>
    </xf>
    <xf numFmtId="10" fontId="72" fillId="0" borderId="95" xfId="7" applyNumberFormat="1" applyFont="1" applyFill="1" applyBorder="1" applyAlignment="1" applyProtection="1">
      <alignment horizontal="center"/>
      <protection locked="0" hidden="1"/>
    </xf>
    <xf numFmtId="49" fontId="78" fillId="0" borderId="95" xfId="7" applyNumberFormat="1" applyFont="1" applyFill="1" applyBorder="1" applyAlignment="1" applyProtection="1">
      <alignment horizontal="center"/>
      <protection locked="0" hidden="1"/>
    </xf>
    <xf numFmtId="0" fontId="79" fillId="0" borderId="0" xfId="0" applyFont="1"/>
    <xf numFmtId="0" fontId="78" fillId="0" borderId="95" xfId="11" applyNumberFormat="1" applyFont="1" applyFill="1" applyBorder="1" applyAlignment="1" applyProtection="1">
      <alignment horizontal="center"/>
      <protection locked="0" hidden="1"/>
    </xf>
    <xf numFmtId="3" fontId="13" fillId="13" borderId="0" xfId="0" applyNumberFormat="1" applyFont="1" applyFill="1" applyAlignment="1" applyProtection="1">
      <alignment horizontal="left"/>
      <protection locked="0" hidden="1"/>
    </xf>
    <xf numFmtId="3" fontId="41" fillId="13" borderId="0" xfId="3" applyNumberFormat="1" applyFont="1" applyFill="1" applyBorder="1" applyAlignment="1" applyProtection="1">
      <alignment horizontal="left"/>
      <protection locked="0" hidden="1"/>
    </xf>
    <xf numFmtId="0" fontId="76" fillId="0" borderId="0" xfId="7" applyFont="1" applyFill="1" applyBorder="1" applyAlignment="1" applyProtection="1">
      <alignment horizontal="left"/>
      <protection locked="0" hidden="1"/>
    </xf>
    <xf numFmtId="0" fontId="59" fillId="0" borderId="0" xfId="7" applyFont="1" applyFill="1" applyBorder="1" applyAlignment="1" applyProtection="1">
      <alignment horizontal="center"/>
      <protection locked="0" hidden="1"/>
    </xf>
    <xf numFmtId="0" fontId="59" fillId="0" borderId="0" xfId="7" applyFont="1" applyFill="1" applyBorder="1" applyProtection="1">
      <protection locked="0" hidden="1"/>
    </xf>
    <xf numFmtId="0" fontId="76" fillId="0" borderId="0" xfId="7" applyFont="1" applyFill="1" applyBorder="1" applyProtection="1">
      <protection locked="0" hidden="1"/>
    </xf>
    <xf numFmtId="0" fontId="79" fillId="13" borderId="0" xfId="0" applyFont="1" applyFill="1"/>
    <xf numFmtId="0" fontId="76" fillId="0" borderId="0" xfId="7" applyFont="1"/>
    <xf numFmtId="1" fontId="78" fillId="0" borderId="95" xfId="11" applyNumberFormat="1" applyFont="1" applyFill="1" applyBorder="1" applyAlignment="1" applyProtection="1">
      <alignment horizontal="center"/>
      <protection locked="0" hidden="1"/>
    </xf>
    <xf numFmtId="10" fontId="26" fillId="0" borderId="0" xfId="11" applyNumberFormat="1" applyFont="1" applyFill="1" applyBorder="1" applyAlignment="1" applyProtection="1">
      <alignment horizontal="center" vertical="center"/>
    </xf>
    <xf numFmtId="166" fontId="78" fillId="0" borderId="95" xfId="0" applyNumberFormat="1" applyFont="1" applyFill="1" applyBorder="1" applyAlignment="1" applyProtection="1">
      <alignment horizontal="center" vertical="center"/>
      <protection locked="0"/>
    </xf>
    <xf numFmtId="14" fontId="78" fillId="0" borderId="95" xfId="0" applyNumberFormat="1" applyFont="1" applyFill="1" applyBorder="1" applyAlignment="1" applyProtection="1">
      <alignment horizontal="center" vertical="center"/>
      <protection locked="0"/>
    </xf>
    <xf numFmtId="0" fontId="80" fillId="0" borderId="0" xfId="7" applyFont="1" applyFill="1" applyBorder="1" applyAlignment="1" applyProtection="1">
      <alignment horizontal="right" indent="1"/>
      <protection hidden="1"/>
    </xf>
    <xf numFmtId="169" fontId="80" fillId="0" borderId="95" xfId="11" applyNumberFormat="1" applyFont="1" applyFill="1" applyBorder="1" applyAlignment="1" applyProtection="1">
      <alignment horizontal="center"/>
      <protection locked="0" hidden="1"/>
    </xf>
    <xf numFmtId="0" fontId="43" fillId="2" borderId="55" xfId="0" applyFont="1" applyFill="1" applyBorder="1" applyAlignment="1">
      <alignment horizontal="center"/>
    </xf>
    <xf numFmtId="0" fontId="43" fillId="2" borderId="0" xfId="0" applyFont="1" applyFill="1" applyBorder="1" applyAlignment="1">
      <alignment horizontal="center"/>
    </xf>
    <xf numFmtId="0" fontId="43" fillId="2" borderId="56" xfId="0" applyFont="1" applyFill="1" applyBorder="1" applyAlignment="1">
      <alignment horizontal="center"/>
    </xf>
    <xf numFmtId="0" fontId="43" fillId="2" borderId="28" xfId="0" applyFont="1" applyFill="1" applyBorder="1" applyAlignment="1">
      <alignment horizontal="center"/>
    </xf>
    <xf numFmtId="169" fontId="44" fillId="2" borderId="48" xfId="11" applyNumberFormat="1" applyFont="1" applyFill="1" applyBorder="1" applyAlignment="1">
      <alignment horizontal="right"/>
    </xf>
    <xf numFmtId="14" fontId="78" fillId="0" borderId="95" xfId="0" applyNumberFormat="1" applyFont="1" applyFill="1" applyBorder="1" applyAlignment="1" applyProtection="1">
      <alignment horizontal="center"/>
      <protection locked="0"/>
    </xf>
    <xf numFmtId="169" fontId="77" fillId="2" borderId="48" xfId="11" applyNumberFormat="1" applyFont="1" applyFill="1" applyBorder="1" applyAlignment="1">
      <alignment horizontal="right"/>
    </xf>
    <xf numFmtId="0" fontId="2" fillId="2" borderId="0" xfId="0" applyFont="1" applyFill="1" applyAlignment="1">
      <alignment wrapText="1"/>
    </xf>
    <xf numFmtId="0" fontId="59" fillId="0" borderId="0" xfId="7" applyFont="1" applyAlignment="1" applyProtection="1">
      <alignment wrapText="1"/>
      <protection hidden="1"/>
    </xf>
    <xf numFmtId="0" fontId="59" fillId="0" borderId="95" xfId="7" applyNumberFormat="1" applyFont="1" applyFill="1" applyBorder="1" applyAlignment="1" applyProtection="1">
      <alignment horizontal="center"/>
      <protection locked="0" hidden="1"/>
    </xf>
    <xf numFmtId="0" fontId="3" fillId="21" borderId="0" xfId="0" applyFont="1" applyFill="1" applyAlignment="1">
      <alignment horizontal="justify" vertical="justify" wrapText="1"/>
    </xf>
    <xf numFmtId="0" fontId="9" fillId="21" borderId="0" xfId="0" applyFont="1" applyFill="1" applyAlignment="1">
      <alignment horizontal="justify" vertical="justify" wrapText="1"/>
    </xf>
    <xf numFmtId="0" fontId="53" fillId="21" borderId="0" xfId="0" applyFont="1" applyFill="1" applyAlignment="1">
      <alignment horizontal="center" vertical="center"/>
    </xf>
    <xf numFmtId="0" fontId="9" fillId="21" borderId="0" xfId="0" applyFont="1" applyFill="1" applyAlignment="1">
      <alignment horizontal="left" vertical="center"/>
    </xf>
    <xf numFmtId="0" fontId="3" fillId="2" borderId="0" xfId="7" applyFont="1" applyFill="1" applyBorder="1" applyAlignment="1">
      <alignment horizontal="justify" vertical="justify"/>
    </xf>
    <xf numFmtId="0" fontId="3" fillId="2" borderId="0" xfId="7" applyFont="1" applyFill="1" applyBorder="1" applyAlignment="1">
      <alignment vertical="justify"/>
    </xf>
    <xf numFmtId="0" fontId="53" fillId="0" borderId="0" xfId="0" applyFont="1" applyAlignment="1">
      <alignment vertical="center"/>
    </xf>
    <xf numFmtId="0" fontId="57" fillId="0" borderId="0" xfId="0" applyFont="1" applyAlignment="1">
      <alignment vertical="center"/>
    </xf>
    <xf numFmtId="0" fontId="3" fillId="21" borderId="0" xfId="7" applyFont="1" applyFill="1" applyBorder="1" applyAlignment="1">
      <alignment horizontal="justify" vertical="justify"/>
    </xf>
    <xf numFmtId="0" fontId="82" fillId="21" borderId="0" xfId="0" applyFont="1" applyFill="1"/>
    <xf numFmtId="0" fontId="3" fillId="2" borderId="70" xfId="7" applyFont="1" applyFill="1" applyBorder="1" applyAlignment="1">
      <alignment vertical="justify" wrapText="1"/>
    </xf>
    <xf numFmtId="0" fontId="5" fillId="21" borderId="0" xfId="0" applyFont="1" applyFill="1" applyBorder="1"/>
    <xf numFmtId="0" fontId="84" fillId="21" borderId="0" xfId="0" applyFont="1" applyFill="1" applyAlignment="1">
      <alignment vertical="center"/>
    </xf>
    <xf numFmtId="0" fontId="3" fillId="21" borderId="0" xfId="0" applyFont="1" applyFill="1" applyAlignment="1">
      <alignment horizontal="justify" vertical="justify" wrapText="1"/>
    </xf>
    <xf numFmtId="0" fontId="9" fillId="21" borderId="0" xfId="0" applyFont="1" applyFill="1" applyAlignment="1">
      <alignment horizontal="justify" vertical="justify" wrapText="1"/>
    </xf>
    <xf numFmtId="0" fontId="42" fillId="2" borderId="36" xfId="0" applyFont="1" applyFill="1" applyBorder="1"/>
    <xf numFmtId="167" fontId="78" fillId="0" borderId="95" xfId="7" applyNumberFormat="1" applyFont="1" applyFill="1" applyBorder="1" applyAlignment="1" applyProtection="1">
      <alignment horizontal="center" vertical="center"/>
      <protection locked="0" hidden="1"/>
    </xf>
    <xf numFmtId="170" fontId="0" fillId="0" borderId="0" xfId="0" applyNumberFormat="1"/>
    <xf numFmtId="0" fontId="12" fillId="0" borderId="0" xfId="0" applyFont="1" applyAlignment="1">
      <alignment horizontal="right" vertical="center"/>
    </xf>
    <xf numFmtId="171" fontId="11" fillId="0" borderId="8" xfId="0" applyNumberFormat="1" applyFont="1" applyBorder="1" applyAlignment="1" applyProtection="1">
      <alignment horizontal="center" vertical="center"/>
      <protection locked="0"/>
    </xf>
    <xf numFmtId="171" fontId="11" fillId="0" borderId="10" xfId="0" applyNumberFormat="1" applyFont="1" applyBorder="1" applyAlignment="1" applyProtection="1">
      <alignment horizontal="center" vertical="center"/>
      <protection locked="0"/>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14" xfId="0" applyFont="1" applyFill="1" applyBorder="1" applyAlignment="1">
      <alignment horizontal="center" vertical="center"/>
    </xf>
    <xf numFmtId="0" fontId="6" fillId="3" borderId="0" xfId="0" applyFont="1" applyFill="1" applyBorder="1" applyAlignment="1">
      <alignment horizontal="center" vertical="center"/>
    </xf>
    <xf numFmtId="0" fontId="6" fillId="3" borderId="15"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8" xfId="0" applyFont="1" applyFill="1" applyBorder="1" applyAlignment="1">
      <alignment horizontal="center" vertical="center"/>
    </xf>
    <xf numFmtId="164" fontId="4" fillId="0" borderId="1" xfId="3" applyFont="1" applyFill="1" applyBorder="1" applyAlignment="1" applyProtection="1">
      <alignment horizontal="center" vertical="center"/>
      <protection locked="0"/>
    </xf>
    <xf numFmtId="0" fontId="9" fillId="12" borderId="8" xfId="0" applyFont="1" applyFill="1" applyBorder="1" applyAlignment="1" applyProtection="1">
      <alignment horizontal="center" wrapText="1"/>
      <protection hidden="1"/>
    </xf>
    <xf numFmtId="0" fontId="9" fillId="12" borderId="9" xfId="0" applyFont="1" applyFill="1" applyBorder="1" applyAlignment="1" applyProtection="1">
      <alignment horizontal="center" wrapText="1"/>
      <protection hidden="1"/>
    </xf>
    <xf numFmtId="0" fontId="9" fillId="12" borderId="10" xfId="0" applyFont="1" applyFill="1" applyBorder="1" applyAlignment="1" applyProtection="1">
      <alignment horizontal="center" wrapText="1"/>
      <protection hidden="1"/>
    </xf>
    <xf numFmtId="0" fontId="9" fillId="5" borderId="8" xfId="0" applyFont="1" applyFill="1" applyBorder="1" applyAlignment="1" applyProtection="1">
      <alignment horizontal="center" wrapText="1"/>
      <protection hidden="1"/>
    </xf>
    <xf numFmtId="0" fontId="9" fillId="5" borderId="9" xfId="0" applyFont="1" applyFill="1" applyBorder="1" applyAlignment="1" applyProtection="1">
      <alignment horizontal="center" wrapText="1"/>
      <protection hidden="1"/>
    </xf>
    <xf numFmtId="0" fontId="9" fillId="5" borderId="10" xfId="0" applyFont="1" applyFill="1" applyBorder="1" applyAlignment="1" applyProtection="1">
      <alignment horizontal="center" wrapText="1"/>
      <protection hidden="1"/>
    </xf>
    <xf numFmtId="0" fontId="7" fillId="3" borderId="19" xfId="0" applyFont="1" applyFill="1" applyBorder="1" applyAlignment="1" applyProtection="1">
      <alignment horizontal="center" wrapText="1"/>
      <protection hidden="1"/>
    </xf>
    <xf numFmtId="0" fontId="7" fillId="3" borderId="0" xfId="0" applyFont="1" applyFill="1" applyBorder="1" applyAlignment="1" applyProtection="1">
      <alignment horizontal="center" wrapText="1"/>
      <protection hidden="1"/>
    </xf>
    <xf numFmtId="0" fontId="9" fillId="0" borderId="0" xfId="0" applyFont="1" applyBorder="1" applyAlignment="1" applyProtection="1">
      <alignment horizontal="center"/>
      <protection hidden="1"/>
    </xf>
    <xf numFmtId="1" fontId="29" fillId="0" borderId="0" xfId="0" applyNumberFormat="1" applyFont="1" applyAlignment="1" applyProtection="1">
      <alignment horizontal="left"/>
      <protection hidden="1"/>
    </xf>
    <xf numFmtId="0" fontId="5" fillId="18" borderId="0" xfId="7" applyFill="1" applyAlignment="1">
      <alignment horizontal="center"/>
    </xf>
    <xf numFmtId="0" fontId="2" fillId="18" borderId="0" xfId="7" applyFont="1" applyFill="1" applyAlignment="1">
      <alignment horizontal="center"/>
    </xf>
    <xf numFmtId="0" fontId="70" fillId="22" borderId="9" xfId="7" applyFont="1" applyFill="1" applyBorder="1" applyAlignment="1" applyProtection="1">
      <alignment horizontal="center"/>
      <protection hidden="1"/>
    </xf>
    <xf numFmtId="0" fontId="70" fillId="23" borderId="9" xfId="7" applyFont="1" applyFill="1" applyBorder="1" applyAlignment="1" applyProtection="1">
      <alignment horizontal="center"/>
      <protection hidden="1"/>
    </xf>
    <xf numFmtId="0" fontId="15" fillId="4" borderId="0" xfId="0" applyFont="1" applyFill="1" applyBorder="1" applyAlignment="1" applyProtection="1">
      <alignment horizontal="center" vertical="center" wrapText="1"/>
    </xf>
    <xf numFmtId="0" fontId="15" fillId="4" borderId="20" xfId="0" applyFont="1" applyFill="1" applyBorder="1" applyAlignment="1" applyProtection="1">
      <alignment horizontal="center" vertical="center" wrapText="1"/>
    </xf>
    <xf numFmtId="0" fontId="8" fillId="0" borderId="0" xfId="0" applyFont="1" applyBorder="1" applyAlignment="1" applyProtection="1">
      <alignment horizontal="center" vertical="center" wrapText="1"/>
    </xf>
    <xf numFmtId="0" fontId="8" fillId="0" borderId="20" xfId="0" applyFont="1" applyBorder="1" applyAlignment="1" applyProtection="1">
      <alignment horizontal="center" vertical="center" wrapText="1"/>
    </xf>
    <xf numFmtId="0" fontId="43" fillId="2" borderId="38" xfId="0" applyFont="1" applyFill="1" applyBorder="1" applyAlignment="1">
      <alignment horizontal="left"/>
    </xf>
    <xf numFmtId="0" fontId="43" fillId="2" borderId="39" xfId="0" applyFont="1" applyFill="1" applyBorder="1" applyAlignment="1">
      <alignment horizontal="left"/>
    </xf>
    <xf numFmtId="0" fontId="43" fillId="2" borderId="40" xfId="0" applyFont="1" applyFill="1" applyBorder="1" applyAlignment="1">
      <alignment horizontal="left"/>
    </xf>
    <xf numFmtId="0" fontId="43" fillId="2" borderId="38" xfId="0" applyFont="1" applyFill="1" applyBorder="1" applyAlignment="1">
      <alignment horizontal="center"/>
    </xf>
    <xf numFmtId="0" fontId="43" fillId="2" borderId="39" xfId="0" applyFont="1" applyFill="1" applyBorder="1" applyAlignment="1">
      <alignment horizontal="center"/>
    </xf>
    <xf numFmtId="0" fontId="43" fillId="2" borderId="40" xfId="0" applyFont="1" applyFill="1" applyBorder="1" applyAlignment="1">
      <alignment horizontal="center"/>
    </xf>
    <xf numFmtId="0" fontId="43" fillId="2" borderId="76" xfId="0" applyFont="1" applyFill="1" applyBorder="1" applyAlignment="1">
      <alignment horizontal="left"/>
    </xf>
    <xf numFmtId="0" fontId="43" fillId="2" borderId="41" xfId="0" applyFont="1" applyFill="1" applyBorder="1" applyAlignment="1">
      <alignment horizontal="left"/>
    </xf>
    <xf numFmtId="0" fontId="43" fillId="2" borderId="42" xfId="0" applyFont="1" applyFill="1" applyBorder="1" applyAlignment="1">
      <alignment horizontal="left"/>
    </xf>
    <xf numFmtId="0" fontId="38" fillId="2" borderId="0" xfId="0" applyFont="1" applyFill="1" applyBorder="1" applyAlignment="1">
      <alignment horizontal="right"/>
    </xf>
    <xf numFmtId="0" fontId="38" fillId="2" borderId="0" xfId="0" applyFont="1" applyFill="1" applyBorder="1" applyAlignment="1">
      <alignment horizontal="center"/>
    </xf>
    <xf numFmtId="0" fontId="40" fillId="2" borderId="0" xfId="0" applyFont="1" applyFill="1" applyBorder="1" applyAlignment="1">
      <alignment horizontal="right" vertical="top"/>
    </xf>
    <xf numFmtId="0" fontId="43" fillId="2" borderId="21" xfId="0" applyFont="1" applyFill="1" applyBorder="1" applyAlignment="1">
      <alignment horizontal="center"/>
    </xf>
    <xf numFmtId="0" fontId="43" fillId="2" borderId="22" xfId="0" applyFont="1" applyFill="1" applyBorder="1" applyAlignment="1">
      <alignment horizontal="center"/>
    </xf>
    <xf numFmtId="0" fontId="43" fillId="2" borderId="26" xfId="0" applyFont="1" applyFill="1" applyBorder="1" applyAlignment="1">
      <alignment horizontal="center" vertical="top"/>
    </xf>
    <xf numFmtId="0" fontId="43" fillId="2" borderId="0" xfId="0" applyFont="1" applyFill="1" applyBorder="1" applyAlignment="1">
      <alignment horizontal="center" vertical="top"/>
    </xf>
    <xf numFmtId="14" fontId="43" fillId="2" borderId="30" xfId="0" applyNumberFormat="1" applyFont="1" applyFill="1" applyBorder="1" applyAlignment="1">
      <alignment horizontal="center"/>
    </xf>
    <xf numFmtId="0" fontId="43" fillId="2" borderId="31" xfId="0" applyFont="1" applyFill="1" applyBorder="1" applyAlignment="1">
      <alignment horizontal="center"/>
    </xf>
    <xf numFmtId="0" fontId="43" fillId="2" borderId="32" xfId="0" applyFont="1" applyFill="1" applyBorder="1" applyAlignment="1">
      <alignment horizontal="center"/>
    </xf>
    <xf numFmtId="0" fontId="43" fillId="2" borderId="33" xfId="0" applyFont="1" applyFill="1" applyBorder="1" applyAlignment="1">
      <alignment horizontal="left"/>
    </xf>
    <xf numFmtId="0" fontId="43" fillId="2" borderId="31" xfId="0" applyFont="1" applyFill="1" applyBorder="1" applyAlignment="1">
      <alignment horizontal="left"/>
    </xf>
    <xf numFmtId="0" fontId="43" fillId="2" borderId="32" xfId="0" applyFont="1" applyFill="1" applyBorder="1" applyAlignment="1">
      <alignment horizontal="left"/>
    </xf>
    <xf numFmtId="0" fontId="43" fillId="2" borderId="34" xfId="0" applyFont="1" applyFill="1" applyBorder="1" applyAlignment="1">
      <alignment horizontal="left"/>
    </xf>
    <xf numFmtId="0" fontId="3" fillId="21" borderId="0" xfId="0" applyFont="1" applyFill="1" applyAlignment="1">
      <alignment horizontal="justify" vertical="justify" wrapText="1"/>
    </xf>
    <xf numFmtId="0" fontId="43" fillId="2" borderId="67" xfId="0" applyFont="1" applyFill="1" applyBorder="1" applyAlignment="1">
      <alignment horizontal="center" vertical="center"/>
    </xf>
    <xf numFmtId="0" fontId="43" fillId="2" borderId="68" xfId="0" applyFont="1" applyFill="1" applyBorder="1" applyAlignment="1">
      <alignment horizontal="center" vertical="center"/>
    </xf>
    <xf numFmtId="0" fontId="9" fillId="21" borderId="0" xfId="0" applyFont="1" applyFill="1" applyAlignment="1">
      <alignment horizontal="center" vertical="justify" wrapText="1"/>
    </xf>
    <xf numFmtId="0" fontId="9" fillId="21" borderId="0" xfId="0" applyFont="1" applyFill="1" applyAlignment="1">
      <alignment horizontal="justify" vertical="justify" wrapText="1"/>
    </xf>
    <xf numFmtId="0" fontId="43" fillId="2" borderId="98" xfId="0" applyFont="1" applyFill="1" applyBorder="1" applyAlignment="1">
      <alignment horizontal="center"/>
    </xf>
    <xf numFmtId="0" fontId="43" fillId="2" borderId="99" xfId="0" applyFont="1" applyFill="1" applyBorder="1" applyAlignment="1">
      <alignment horizontal="center"/>
    </xf>
    <xf numFmtId="0" fontId="43" fillId="2" borderId="100" xfId="0" applyFont="1" applyFill="1" applyBorder="1" applyAlignment="1">
      <alignment horizontal="center"/>
    </xf>
    <xf numFmtId="0" fontId="43" fillId="2" borderId="66" xfId="0" applyFont="1" applyFill="1" applyBorder="1" applyAlignment="1">
      <alignment horizontal="center" vertical="center"/>
    </xf>
    <xf numFmtId="0" fontId="43" fillId="2" borderId="57" xfId="0" applyFont="1" applyFill="1" applyBorder="1" applyAlignment="1">
      <alignment horizontal="center"/>
    </xf>
    <xf numFmtId="0" fontId="43" fillId="2" borderId="58" xfId="0" applyFont="1" applyFill="1" applyBorder="1" applyAlignment="1">
      <alignment horizontal="center"/>
    </xf>
    <xf numFmtId="0" fontId="43" fillId="2" borderId="62" xfId="0" applyFont="1" applyFill="1" applyBorder="1" applyAlignment="1">
      <alignment horizontal="center"/>
    </xf>
    <xf numFmtId="0" fontId="43" fillId="2" borderId="41" xfId="0" applyFont="1" applyFill="1" applyBorder="1" applyAlignment="1">
      <alignment horizontal="center"/>
    </xf>
    <xf numFmtId="0" fontId="42" fillId="2" borderId="55" xfId="0" applyFont="1" applyFill="1" applyBorder="1" applyAlignment="1">
      <alignment horizontal="center"/>
    </xf>
    <xf numFmtId="0" fontId="42" fillId="2" borderId="0" xfId="0" applyFont="1" applyFill="1" applyBorder="1" applyAlignment="1">
      <alignment horizontal="center"/>
    </xf>
    <xf numFmtId="0" fontId="42" fillId="2" borderId="56" xfId="0" applyFont="1" applyFill="1" applyBorder="1" applyAlignment="1">
      <alignment horizontal="center"/>
    </xf>
    <xf numFmtId="0" fontId="42" fillId="2" borderId="48" xfId="0" applyFont="1" applyFill="1" applyBorder="1" applyAlignment="1">
      <alignment horizontal="center"/>
    </xf>
    <xf numFmtId="0" fontId="42" fillId="2" borderId="49" xfId="0" applyFont="1" applyFill="1" applyBorder="1" applyAlignment="1">
      <alignment horizontal="center"/>
    </xf>
    <xf numFmtId="0" fontId="42" fillId="2" borderId="52" xfId="0" applyFont="1" applyFill="1" applyBorder="1" applyAlignment="1">
      <alignment horizontal="center"/>
    </xf>
    <xf numFmtId="0" fontId="3" fillId="21" borderId="0" xfId="0" applyFont="1" applyFill="1" applyAlignment="1">
      <alignment horizontal="left" vertical="center"/>
    </xf>
    <xf numFmtId="0" fontId="52" fillId="20" borderId="69" xfId="14" applyFont="1" applyFill="1" applyBorder="1" applyAlignment="1">
      <alignment horizontal="center" vertical="top" wrapText="1"/>
    </xf>
    <xf numFmtId="0" fontId="52" fillId="20" borderId="70" xfId="14" applyFont="1" applyFill="1" applyBorder="1" applyAlignment="1">
      <alignment horizontal="center" vertical="top" wrapText="1"/>
    </xf>
    <xf numFmtId="0" fontId="52" fillId="20" borderId="71" xfId="14" applyFont="1" applyFill="1" applyBorder="1" applyAlignment="1">
      <alignment horizontal="center" vertical="top" wrapText="1"/>
    </xf>
    <xf numFmtId="0" fontId="52" fillId="20" borderId="19" xfId="14" applyFont="1" applyFill="1" applyBorder="1" applyAlignment="1">
      <alignment horizontal="center" vertical="top" wrapText="1"/>
    </xf>
    <xf numFmtId="0" fontId="52" fillId="20" borderId="0" xfId="14" applyFont="1" applyFill="1" applyBorder="1" applyAlignment="1">
      <alignment horizontal="center" vertical="top" wrapText="1"/>
    </xf>
    <xf numFmtId="0" fontId="52" fillId="20" borderId="54" xfId="14" applyFont="1" applyFill="1" applyBorder="1" applyAlignment="1">
      <alignment horizontal="center" vertical="top" wrapText="1"/>
    </xf>
    <xf numFmtId="0" fontId="52" fillId="20" borderId="19" xfId="15" applyFont="1" applyFill="1" applyBorder="1" applyAlignment="1">
      <alignment horizontal="left" vertical="top" wrapText="1"/>
    </xf>
    <xf numFmtId="0" fontId="52" fillId="20" borderId="0" xfId="15" applyFont="1" applyFill="1" applyBorder="1" applyAlignment="1">
      <alignment horizontal="left" vertical="top" wrapText="1"/>
    </xf>
    <xf numFmtId="0" fontId="52" fillId="20" borderId="54" xfId="15" applyFont="1" applyFill="1" applyBorder="1" applyAlignment="1">
      <alignment horizontal="left" vertical="top" wrapText="1"/>
    </xf>
    <xf numFmtId="0" fontId="52" fillId="20" borderId="4" xfId="14" applyFont="1" applyFill="1" applyBorder="1" applyAlignment="1">
      <alignment horizontal="center" vertical="top" wrapText="1"/>
    </xf>
    <xf numFmtId="0" fontId="52" fillId="20" borderId="20" xfId="14" applyFont="1" applyFill="1" applyBorder="1" applyAlignment="1">
      <alignment horizontal="center" vertical="top" wrapText="1"/>
    </xf>
    <xf numFmtId="0" fontId="52" fillId="20" borderId="72" xfId="14" applyFont="1" applyFill="1" applyBorder="1" applyAlignment="1">
      <alignment horizontal="center" vertical="top" wrapText="1"/>
    </xf>
    <xf numFmtId="0" fontId="52" fillId="20" borderId="69" xfId="15" applyFont="1" applyFill="1" applyBorder="1" applyAlignment="1">
      <alignment horizontal="left" vertical="top" wrapText="1"/>
    </xf>
    <xf numFmtId="0" fontId="52" fillId="20" borderId="70" xfId="15" applyFont="1" applyFill="1" applyBorder="1" applyAlignment="1">
      <alignment horizontal="left" vertical="top" wrapText="1"/>
    </xf>
    <xf numFmtId="0" fontId="52" fillId="20" borderId="71" xfId="15" applyFont="1" applyFill="1" applyBorder="1" applyAlignment="1">
      <alignment horizontal="left" vertical="top" wrapText="1"/>
    </xf>
    <xf numFmtId="0" fontId="52" fillId="20" borderId="4" xfId="15" applyFont="1" applyFill="1" applyBorder="1" applyAlignment="1">
      <alignment horizontal="left" vertical="top" wrapText="1"/>
    </xf>
    <xf numFmtId="0" fontId="52" fillId="20" borderId="20" xfId="15" applyFont="1" applyFill="1" applyBorder="1" applyAlignment="1">
      <alignment horizontal="left" vertical="top" wrapText="1"/>
    </xf>
    <xf numFmtId="0" fontId="52" fillId="20" borderId="72" xfId="15" applyFont="1" applyFill="1" applyBorder="1" applyAlignment="1">
      <alignment horizontal="left" vertical="top" wrapText="1"/>
    </xf>
    <xf numFmtId="0" fontId="52" fillId="20" borderId="8" xfId="14" applyFont="1" applyFill="1" applyBorder="1" applyAlignment="1">
      <alignment horizontal="center" vertical="top" wrapText="1"/>
    </xf>
    <xf numFmtId="0" fontId="52" fillId="20" borderId="9" xfId="14" applyFont="1" applyFill="1" applyBorder="1" applyAlignment="1">
      <alignment horizontal="center" vertical="top" wrapText="1"/>
    </xf>
    <xf numFmtId="0" fontId="52" fillId="20" borderId="10" xfId="14" applyFont="1" applyFill="1" applyBorder="1" applyAlignment="1">
      <alignment horizontal="center" vertical="top" wrapText="1"/>
    </xf>
    <xf numFmtId="0" fontId="52" fillId="20" borderId="8" xfId="15" applyFont="1" applyFill="1" applyBorder="1" applyAlignment="1">
      <alignment horizontal="center" vertical="top" wrapText="1"/>
    </xf>
    <xf numFmtId="0" fontId="52" fillId="20" borderId="9" xfId="15" applyFont="1" applyFill="1" applyBorder="1" applyAlignment="1">
      <alignment horizontal="center" vertical="top" wrapText="1"/>
    </xf>
    <xf numFmtId="0" fontId="52" fillId="20" borderId="10" xfId="15" applyFont="1" applyFill="1" applyBorder="1" applyAlignment="1">
      <alignment horizontal="center" vertical="top" wrapText="1"/>
    </xf>
    <xf numFmtId="0" fontId="52" fillId="20" borderId="8" xfId="15" applyFont="1" applyFill="1" applyBorder="1" applyAlignment="1">
      <alignment horizontal="left" vertical="top" wrapText="1"/>
    </xf>
    <xf numFmtId="0" fontId="52" fillId="20" borderId="9" xfId="15" applyFont="1" applyFill="1" applyBorder="1" applyAlignment="1">
      <alignment horizontal="left" vertical="top" wrapText="1"/>
    </xf>
    <xf numFmtId="0" fontId="52" fillId="20" borderId="10" xfId="15" applyFont="1" applyFill="1" applyBorder="1" applyAlignment="1">
      <alignment horizontal="left" vertical="top" wrapText="1"/>
    </xf>
    <xf numFmtId="0" fontId="9" fillId="21" borderId="0" xfId="7" applyFont="1" applyFill="1" applyAlignment="1">
      <alignment horizontal="center"/>
    </xf>
    <xf numFmtId="0" fontId="3" fillId="0" borderId="20" xfId="7" applyFont="1" applyFill="1" applyBorder="1" applyAlignment="1">
      <alignment horizontal="center" vertical="top" wrapText="1"/>
    </xf>
    <xf numFmtId="0" fontId="3" fillId="21" borderId="70" xfId="7" applyFont="1" applyFill="1" applyBorder="1" applyAlignment="1">
      <alignment horizontal="center" vertical="top" wrapText="1"/>
    </xf>
    <xf numFmtId="0" fontId="3" fillId="21" borderId="0" xfId="7" applyFont="1" applyFill="1" applyAlignment="1">
      <alignment horizontal="center"/>
    </xf>
    <xf numFmtId="0" fontId="3" fillId="21" borderId="70" xfId="7" applyFont="1" applyFill="1" applyBorder="1" applyAlignment="1">
      <alignment horizontal="center"/>
    </xf>
    <xf numFmtId="0" fontId="3" fillId="21" borderId="0" xfId="0" applyFont="1" applyFill="1" applyAlignment="1">
      <alignment horizontal="center" vertical="center"/>
    </xf>
    <xf numFmtId="14" fontId="3" fillId="21" borderId="0" xfId="0" applyNumberFormat="1" applyFont="1" applyFill="1" applyAlignment="1">
      <alignment horizontal="center"/>
    </xf>
    <xf numFmtId="4" fontId="3" fillId="21" borderId="0" xfId="0" applyNumberFormat="1" applyFont="1" applyFill="1" applyAlignment="1">
      <alignment horizontal="center"/>
    </xf>
    <xf numFmtId="0" fontId="3" fillId="0" borderId="20" xfId="0" applyFont="1" applyFill="1" applyBorder="1" applyAlignment="1">
      <alignment horizontal="center" vertical="justify" wrapText="1"/>
    </xf>
    <xf numFmtId="0" fontId="3" fillId="21" borderId="0" xfId="0" applyFont="1" applyFill="1" applyAlignment="1">
      <alignment horizontal="center"/>
    </xf>
    <xf numFmtId="0" fontId="3" fillId="21" borderId="0" xfId="0" applyFont="1" applyFill="1" applyAlignment="1">
      <alignment horizontal="center" vertical="center" wrapText="1"/>
    </xf>
    <xf numFmtId="0" fontId="3" fillId="21" borderId="0" xfId="0" applyFont="1" applyFill="1" applyAlignment="1">
      <alignment horizontal="left" wrapText="1"/>
    </xf>
    <xf numFmtId="0" fontId="3" fillId="21" borderId="0" xfId="0" applyFont="1" applyFill="1" applyAlignment="1">
      <alignment horizontal="left" vertical="justify" wrapText="1"/>
    </xf>
    <xf numFmtId="0" fontId="43" fillId="2" borderId="51" xfId="0" applyFont="1" applyFill="1" applyBorder="1" applyAlignment="1">
      <alignment horizontal="left"/>
    </xf>
    <xf numFmtId="0" fontId="43" fillId="2" borderId="49" xfId="0" applyFont="1" applyFill="1" applyBorder="1" applyAlignment="1">
      <alignment horizontal="left"/>
    </xf>
    <xf numFmtId="0" fontId="43" fillId="2" borderId="50" xfId="0" applyFont="1" applyFill="1" applyBorder="1" applyAlignment="1">
      <alignment horizontal="left"/>
    </xf>
    <xf numFmtId="0" fontId="43" fillId="2" borderId="48" xfId="0" applyFont="1" applyFill="1" applyBorder="1" applyAlignment="1">
      <alignment horizontal="left"/>
    </xf>
    <xf numFmtId="0" fontId="43" fillId="2" borderId="51" xfId="0" applyFont="1" applyFill="1" applyBorder="1" applyAlignment="1">
      <alignment horizontal="center"/>
    </xf>
    <xf numFmtId="0" fontId="43" fillId="2" borderId="49" xfId="0" applyFont="1" applyFill="1" applyBorder="1" applyAlignment="1">
      <alignment horizontal="center"/>
    </xf>
    <xf numFmtId="0" fontId="43" fillId="2" borderId="50" xfId="0" applyFont="1" applyFill="1" applyBorder="1" applyAlignment="1">
      <alignment horizontal="center"/>
    </xf>
    <xf numFmtId="0" fontId="43" fillId="2" borderId="52" xfId="0" applyFont="1" applyFill="1" applyBorder="1" applyAlignment="1">
      <alignment horizontal="left"/>
    </xf>
    <xf numFmtId="0" fontId="43" fillId="0" borderId="64" xfId="0" applyFont="1" applyFill="1" applyBorder="1" applyAlignment="1">
      <alignment horizontal="center"/>
    </xf>
    <xf numFmtId="0" fontId="0" fillId="0" borderId="41" xfId="0" applyBorder="1"/>
    <xf numFmtId="14" fontId="43" fillId="2" borderId="64" xfId="0" applyNumberFormat="1" applyFont="1" applyFill="1" applyBorder="1" applyAlignment="1">
      <alignment horizontal="center"/>
    </xf>
    <xf numFmtId="0" fontId="43" fillId="2" borderId="65" xfId="0" applyFont="1" applyFill="1" applyBorder="1" applyAlignment="1">
      <alignment horizontal="center"/>
    </xf>
    <xf numFmtId="1" fontId="43" fillId="2" borderId="64" xfId="0" applyNumberFormat="1" applyFont="1" applyFill="1" applyBorder="1" applyAlignment="1">
      <alignment horizontal="center"/>
    </xf>
    <xf numFmtId="1" fontId="43" fillId="2" borderId="41" xfId="0" applyNumberFormat="1" applyFont="1" applyFill="1" applyBorder="1" applyAlignment="1">
      <alignment horizontal="center"/>
    </xf>
    <xf numFmtId="1" fontId="43" fillId="2" borderId="65" xfId="0" applyNumberFormat="1" applyFont="1" applyFill="1" applyBorder="1" applyAlignment="1">
      <alignment horizontal="center"/>
    </xf>
    <xf numFmtId="0" fontId="43" fillId="2" borderId="97" xfId="11" applyNumberFormat="1" applyFont="1" applyFill="1" applyBorder="1" applyAlignment="1">
      <alignment horizontal="center"/>
    </xf>
    <xf numFmtId="0" fontId="43" fillId="2" borderId="49" xfId="11" applyNumberFormat="1" applyFont="1" applyFill="1" applyBorder="1" applyAlignment="1">
      <alignment horizontal="center"/>
    </xf>
    <xf numFmtId="0" fontId="43" fillId="2" borderId="52" xfId="11" applyNumberFormat="1" applyFont="1" applyFill="1" applyBorder="1" applyAlignment="1">
      <alignment horizontal="center"/>
    </xf>
    <xf numFmtId="0" fontId="43" fillId="2" borderId="48" xfId="0" applyFont="1" applyFill="1" applyBorder="1" applyAlignment="1">
      <alignment horizontal="center"/>
    </xf>
    <xf numFmtId="0" fontId="43" fillId="2" borderId="52" xfId="0" applyFont="1" applyFill="1" applyBorder="1" applyAlignment="1">
      <alignment horizontal="center"/>
    </xf>
    <xf numFmtId="0" fontId="43" fillId="2" borderId="63" xfId="0" applyFont="1" applyFill="1" applyBorder="1" applyAlignment="1">
      <alignment horizontal="left"/>
    </xf>
    <xf numFmtId="169" fontId="44" fillId="2" borderId="78" xfId="11" applyNumberFormat="1" applyFont="1" applyFill="1" applyBorder="1" applyAlignment="1">
      <alignment horizontal="center"/>
    </xf>
    <xf numFmtId="169" fontId="44" fillId="2" borderId="0" xfId="11" applyNumberFormat="1" applyFont="1" applyFill="1" applyBorder="1" applyAlignment="1">
      <alignment horizontal="center"/>
    </xf>
    <xf numFmtId="169" fontId="44" fillId="2" borderId="62" xfId="11" applyNumberFormat="1" applyFont="1" applyFill="1" applyBorder="1" applyAlignment="1">
      <alignment horizontal="center"/>
    </xf>
    <xf numFmtId="169" fontId="44" fillId="2" borderId="41" xfId="11" applyNumberFormat="1" applyFont="1" applyFill="1" applyBorder="1" applyAlignment="1">
      <alignment horizontal="center"/>
    </xf>
    <xf numFmtId="0" fontId="43" fillId="2" borderId="41" xfId="0" applyNumberFormat="1" applyFont="1" applyFill="1" applyBorder="1" applyAlignment="1">
      <alignment horizontal="left"/>
    </xf>
    <xf numFmtId="0" fontId="43" fillId="2" borderId="65" xfId="0" applyNumberFormat="1" applyFont="1" applyFill="1" applyBorder="1" applyAlignment="1">
      <alignment horizontal="left"/>
    </xf>
    <xf numFmtId="0" fontId="43" fillId="2" borderId="43" xfId="0" applyFont="1" applyFill="1" applyBorder="1" applyAlignment="1">
      <alignment horizontal="center"/>
    </xf>
    <xf numFmtId="0" fontId="43" fillId="2" borderId="44" xfId="0" applyFont="1" applyFill="1" applyBorder="1" applyAlignment="1">
      <alignment horizontal="center"/>
    </xf>
    <xf numFmtId="0" fontId="43" fillId="2" borderId="106" xfId="0" applyFont="1" applyFill="1" applyBorder="1" applyAlignment="1">
      <alignment horizontal="center"/>
    </xf>
    <xf numFmtId="10" fontId="43" fillId="2" borderId="97" xfId="11" applyNumberFormat="1" applyFont="1" applyFill="1" applyBorder="1" applyAlignment="1">
      <alignment horizontal="center"/>
    </xf>
    <xf numFmtId="10" fontId="43" fillId="2" borderId="49" xfId="11" applyNumberFormat="1" applyFont="1" applyFill="1" applyBorder="1" applyAlignment="1">
      <alignment horizontal="center"/>
    </xf>
    <xf numFmtId="10" fontId="43" fillId="2" borderId="101" xfId="11" applyNumberFormat="1" applyFont="1" applyFill="1" applyBorder="1" applyAlignment="1">
      <alignment horizontal="center"/>
    </xf>
    <xf numFmtId="10" fontId="43" fillId="2" borderId="55" xfId="11" applyNumberFormat="1" applyFont="1" applyFill="1" applyBorder="1" applyAlignment="1">
      <alignment horizontal="center"/>
    </xf>
    <xf numFmtId="10" fontId="43" fillId="2" borderId="0" xfId="11" applyNumberFormat="1" applyFont="1" applyFill="1" applyBorder="1" applyAlignment="1">
      <alignment horizontal="center"/>
    </xf>
    <xf numFmtId="10" fontId="43" fillId="2" borderId="79" xfId="11" applyNumberFormat="1" applyFont="1" applyFill="1" applyBorder="1" applyAlignment="1">
      <alignment horizontal="center"/>
    </xf>
    <xf numFmtId="10" fontId="43" fillId="2" borderId="64" xfId="11" applyNumberFormat="1" applyFont="1" applyFill="1" applyBorder="1" applyAlignment="1">
      <alignment horizontal="center"/>
    </xf>
    <xf numFmtId="10" fontId="43" fillId="2" borderId="41" xfId="11" applyNumberFormat="1" applyFont="1" applyFill="1" applyBorder="1" applyAlignment="1">
      <alignment horizontal="center"/>
    </xf>
    <xf numFmtId="10" fontId="43" fillId="2" borderId="63" xfId="11" applyNumberFormat="1" applyFont="1" applyFill="1" applyBorder="1" applyAlignment="1">
      <alignment horizontal="center"/>
    </xf>
    <xf numFmtId="0" fontId="42" fillId="0" borderId="64" xfId="0" applyFont="1" applyFill="1" applyBorder="1" applyAlignment="1">
      <alignment horizontal="right"/>
    </xf>
    <xf numFmtId="0" fontId="43" fillId="2" borderId="47" xfId="0" applyFont="1" applyFill="1" applyBorder="1" applyAlignment="1">
      <alignment horizontal="center"/>
    </xf>
    <xf numFmtId="0" fontId="43" fillId="2" borderId="55" xfId="0" applyFont="1" applyFill="1" applyBorder="1" applyAlignment="1">
      <alignment horizontal="center"/>
    </xf>
    <xf numFmtId="0" fontId="43" fillId="2" borderId="0" xfId="0" applyFont="1" applyFill="1" applyBorder="1" applyAlignment="1">
      <alignment horizontal="center"/>
    </xf>
    <xf numFmtId="0" fontId="43" fillId="2" borderId="56" xfId="0" applyFont="1" applyFill="1" applyBorder="1" applyAlignment="1">
      <alignment horizontal="center"/>
    </xf>
    <xf numFmtId="0" fontId="43" fillId="0" borderId="0" xfId="0" applyFont="1" applyFill="1" applyBorder="1" applyAlignment="1">
      <alignment horizontal="left" vertical="center"/>
    </xf>
    <xf numFmtId="0" fontId="43" fillId="0" borderId="56" xfId="0" applyFont="1" applyFill="1" applyBorder="1" applyAlignment="1">
      <alignment horizontal="left" vertical="center"/>
    </xf>
    <xf numFmtId="0" fontId="43" fillId="0" borderId="49" xfId="0" applyFont="1" applyFill="1" applyBorder="1" applyAlignment="1">
      <alignment horizontal="left" vertical="center"/>
    </xf>
    <xf numFmtId="0" fontId="43" fillId="0" borderId="52" xfId="0" applyFont="1" applyFill="1" applyBorder="1" applyAlignment="1">
      <alignment horizontal="left" vertical="center"/>
    </xf>
    <xf numFmtId="0" fontId="43" fillId="2" borderId="43" xfId="0" applyFont="1" applyFill="1" applyBorder="1" applyAlignment="1">
      <alignment horizontal="center" vertical="center"/>
    </xf>
    <xf numFmtId="0" fontId="43" fillId="2" borderId="44" xfId="0" applyFont="1" applyFill="1" applyBorder="1" applyAlignment="1">
      <alignment horizontal="center" vertical="center"/>
    </xf>
    <xf numFmtId="0" fontId="43" fillId="2" borderId="48" xfId="0" applyFont="1" applyFill="1" applyBorder="1" applyAlignment="1">
      <alignment horizontal="center" vertical="center"/>
    </xf>
    <xf numFmtId="0" fontId="43" fillId="2" borderId="49" xfId="0" applyFont="1" applyFill="1" applyBorder="1" applyAlignment="1">
      <alignment horizontal="center" vertical="center"/>
    </xf>
    <xf numFmtId="0" fontId="39" fillId="2" borderId="0" xfId="0" applyFont="1" applyFill="1" applyBorder="1" applyAlignment="1">
      <alignment horizontal="left" vertical="center" wrapText="1"/>
    </xf>
    <xf numFmtId="0" fontId="5" fillId="0" borderId="0" xfId="0" applyFont="1" applyAlignment="1">
      <alignment horizontal="left" vertical="center" wrapText="1"/>
    </xf>
    <xf numFmtId="0" fontId="43" fillId="2" borderId="59" xfId="0" applyFont="1" applyFill="1" applyBorder="1" applyAlignment="1">
      <alignment horizontal="center"/>
    </xf>
    <xf numFmtId="0" fontId="43" fillId="2" borderId="60" xfId="0" applyFont="1" applyFill="1" applyBorder="1" applyAlignment="1">
      <alignment horizontal="center"/>
    </xf>
    <xf numFmtId="0" fontId="43" fillId="2" borderId="61" xfId="0" applyFont="1" applyFill="1" applyBorder="1" applyAlignment="1">
      <alignment horizontal="center"/>
    </xf>
    <xf numFmtId="8" fontId="43" fillId="2" borderId="51" xfId="3" applyNumberFormat="1" applyFont="1" applyFill="1" applyBorder="1" applyAlignment="1">
      <alignment horizontal="right" vertical="center"/>
    </xf>
    <xf numFmtId="8" fontId="43" fillId="2" borderId="49" xfId="3" applyNumberFormat="1" applyFont="1" applyFill="1" applyBorder="1" applyAlignment="1">
      <alignment horizontal="right" vertical="center"/>
    </xf>
    <xf numFmtId="4" fontId="43" fillId="2" borderId="49" xfId="0" applyNumberFormat="1" applyFont="1" applyFill="1" applyBorder="1" applyAlignment="1">
      <alignment horizontal="left" vertical="center"/>
    </xf>
    <xf numFmtId="4" fontId="43" fillId="2" borderId="96" xfId="0" applyNumberFormat="1" applyFont="1" applyFill="1" applyBorder="1" applyAlignment="1">
      <alignment horizontal="left" vertical="center"/>
    </xf>
    <xf numFmtId="0" fontId="54" fillId="2" borderId="57" xfId="0" applyFont="1" applyFill="1" applyBorder="1" applyAlignment="1">
      <alignment horizontal="center"/>
    </xf>
    <xf numFmtId="0" fontId="54" fillId="2" borderId="58" xfId="0" applyFont="1" applyFill="1" applyBorder="1" applyAlignment="1">
      <alignment horizontal="center"/>
    </xf>
    <xf numFmtId="0" fontId="54" fillId="2" borderId="59" xfId="0" applyFont="1" applyFill="1" applyBorder="1" applyAlignment="1">
      <alignment horizontal="center"/>
    </xf>
    <xf numFmtId="0" fontId="54" fillId="2" borderId="77" xfId="0" applyFont="1" applyFill="1" applyBorder="1" applyAlignment="1">
      <alignment horizontal="center"/>
    </xf>
    <xf numFmtId="0" fontId="54" fillId="2" borderId="44" xfId="0" applyFont="1" applyFill="1" applyBorder="1" applyAlignment="1">
      <alignment horizontal="center"/>
    </xf>
    <xf numFmtId="0" fontId="54" fillId="2" borderId="47" xfId="0" applyFont="1" applyFill="1" applyBorder="1" applyAlignment="1">
      <alignment horizontal="center"/>
    </xf>
    <xf numFmtId="0" fontId="43" fillId="2" borderId="102" xfId="0" applyFont="1" applyFill="1" applyBorder="1" applyAlignment="1">
      <alignment horizontal="left"/>
    </xf>
    <xf numFmtId="0" fontId="43" fillId="2" borderId="38" xfId="0" applyFont="1" applyFill="1" applyBorder="1" applyAlignment="1">
      <alignment horizontal="left" vertical="center"/>
    </xf>
    <xf numFmtId="0" fontId="43" fillId="2" borderId="39" xfId="0" applyFont="1" applyFill="1" applyBorder="1" applyAlignment="1">
      <alignment horizontal="left" vertical="center"/>
    </xf>
    <xf numFmtId="0" fontId="43" fillId="2" borderId="40" xfId="0" applyFont="1" applyFill="1" applyBorder="1" applyAlignment="1">
      <alignment horizontal="left" vertical="center"/>
    </xf>
    <xf numFmtId="0" fontId="43" fillId="2" borderId="38" xfId="0" applyFont="1" applyFill="1" applyBorder="1" applyAlignment="1">
      <alignment horizontal="left" vertical="top"/>
    </xf>
    <xf numFmtId="0" fontId="43" fillId="2" borderId="39" xfId="0" applyFont="1" applyFill="1" applyBorder="1" applyAlignment="1">
      <alignment horizontal="left" vertical="top"/>
    </xf>
    <xf numFmtId="0" fontId="43" fillId="2" borderId="40" xfId="0" applyFont="1" applyFill="1" applyBorder="1" applyAlignment="1">
      <alignment horizontal="left" vertical="top"/>
    </xf>
    <xf numFmtId="0" fontId="43" fillId="2" borderId="76" xfId="0" applyFont="1" applyFill="1" applyBorder="1" applyAlignment="1">
      <alignment horizontal="left" vertical="top"/>
    </xf>
    <xf numFmtId="0" fontId="43" fillId="2" borderId="41" xfId="0" applyFont="1" applyFill="1" applyBorder="1" applyAlignment="1">
      <alignment horizontal="left" vertical="top"/>
    </xf>
    <xf numFmtId="0" fontId="43" fillId="2" borderId="63" xfId="0" applyFont="1" applyFill="1" applyBorder="1" applyAlignment="1">
      <alignment horizontal="left" vertical="top"/>
    </xf>
    <xf numFmtId="0" fontId="0" fillId="0" borderId="39" xfId="0" applyBorder="1" applyAlignment="1">
      <alignment horizontal="left" vertical="top"/>
    </xf>
    <xf numFmtId="0" fontId="0" fillId="0" borderId="40" xfId="0" applyBorder="1" applyAlignment="1">
      <alignment horizontal="left" vertical="top"/>
    </xf>
    <xf numFmtId="0" fontId="43" fillId="2" borderId="76" xfId="0" applyFont="1" applyFill="1"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left" vertical="center"/>
    </xf>
    <xf numFmtId="0" fontId="0" fillId="0" borderId="39" xfId="0" applyBorder="1" applyAlignment="1">
      <alignment horizontal="left" vertical="center"/>
    </xf>
    <xf numFmtId="0" fontId="0" fillId="0" borderId="40" xfId="0" applyBorder="1" applyAlignment="1">
      <alignment horizontal="left" vertical="center"/>
    </xf>
    <xf numFmtId="0" fontId="42" fillId="2" borderId="57" xfId="0" applyFont="1" applyFill="1" applyBorder="1" applyAlignment="1">
      <alignment horizontal="center"/>
    </xf>
    <xf numFmtId="0" fontId="42" fillId="2" borderId="58" xfId="0" applyFont="1" applyFill="1" applyBorder="1" applyAlignment="1">
      <alignment horizontal="center"/>
    </xf>
    <xf numFmtId="0" fontId="42" fillId="2" borderId="59" xfId="0" applyFont="1" applyFill="1" applyBorder="1" applyAlignment="1">
      <alignment horizontal="center"/>
    </xf>
    <xf numFmtId="0" fontId="42" fillId="2" borderId="62" xfId="0" applyFont="1" applyFill="1" applyBorder="1" applyAlignment="1">
      <alignment horizontal="center"/>
    </xf>
    <xf numFmtId="0" fontId="42" fillId="2" borderId="41" xfId="0" applyFont="1" applyFill="1" applyBorder="1" applyAlignment="1">
      <alignment horizontal="center"/>
    </xf>
    <xf numFmtId="0" fontId="42" fillId="2" borderId="63" xfId="0" applyFont="1" applyFill="1" applyBorder="1" applyAlignment="1">
      <alignment horizontal="center"/>
    </xf>
    <xf numFmtId="1" fontId="43" fillId="2" borderId="48" xfId="0" applyNumberFormat="1" applyFont="1" applyFill="1" applyBorder="1" applyAlignment="1">
      <alignment horizontal="center" vertical="top"/>
    </xf>
    <xf numFmtId="0" fontId="43" fillId="2" borderId="49" xfId="0" applyFont="1" applyFill="1" applyBorder="1" applyAlignment="1">
      <alignment horizontal="center" vertical="top"/>
    </xf>
    <xf numFmtId="0" fontId="43" fillId="2" borderId="52" xfId="0" applyFont="1" applyFill="1" applyBorder="1" applyAlignment="1">
      <alignment horizontal="center" vertical="top"/>
    </xf>
    <xf numFmtId="0" fontId="43" fillId="2" borderId="62" xfId="0" applyFont="1" applyFill="1" applyBorder="1" applyAlignment="1">
      <alignment horizontal="center" vertical="center"/>
    </xf>
    <xf numFmtId="0" fontId="43" fillId="2" borderId="41" xfId="0" applyFont="1" applyFill="1" applyBorder="1" applyAlignment="1">
      <alignment horizontal="center" vertical="center"/>
    </xf>
    <xf numFmtId="0" fontId="43" fillId="2" borderId="63" xfId="0" applyFont="1" applyFill="1" applyBorder="1" applyAlignment="1">
      <alignment horizontal="center" vertical="center"/>
    </xf>
    <xf numFmtId="0" fontId="43" fillId="2" borderId="80" xfId="0" applyFont="1" applyFill="1" applyBorder="1" applyAlignment="1">
      <alignment horizontal="center"/>
    </xf>
    <xf numFmtId="0" fontId="43" fillId="2" borderId="81" xfId="0" applyFont="1" applyFill="1" applyBorder="1" applyAlignment="1">
      <alignment horizontal="center"/>
    </xf>
    <xf numFmtId="0" fontId="43" fillId="2" borderId="80" xfId="0" applyFont="1" applyFill="1" applyBorder="1" applyAlignment="1">
      <alignment horizontal="center" vertical="center"/>
    </xf>
    <xf numFmtId="0" fontId="43" fillId="2" borderId="81" xfId="0" applyFont="1" applyFill="1" applyBorder="1" applyAlignment="1">
      <alignment horizontal="center" vertical="center"/>
    </xf>
    <xf numFmtId="0" fontId="43" fillId="2" borderId="82" xfId="0" applyFont="1"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3" fillId="21" borderId="0" xfId="0" applyFont="1" applyFill="1" applyAlignment="1">
      <alignment horizontal="left" vertical="center" wrapText="1"/>
    </xf>
    <xf numFmtId="0" fontId="9" fillId="21" borderId="0" xfId="0" applyFont="1" applyFill="1" applyAlignment="1">
      <alignment horizontal="center" vertical="center"/>
    </xf>
    <xf numFmtId="0" fontId="9" fillId="21" borderId="0" xfId="0" applyFont="1" applyFill="1" applyAlignment="1">
      <alignment horizontal="left" vertical="center"/>
    </xf>
    <xf numFmtId="0" fontId="9" fillId="0" borderId="0" xfId="0" applyFont="1" applyAlignment="1">
      <alignment horizontal="left" vertical="center"/>
    </xf>
    <xf numFmtId="0" fontId="3" fillId="21" borderId="0" xfId="0" applyFont="1" applyFill="1" applyAlignment="1">
      <alignment horizontal="justify" vertical="justify"/>
    </xf>
    <xf numFmtId="0" fontId="53" fillId="21" borderId="0" xfId="0" applyFont="1" applyFill="1" applyAlignment="1">
      <alignment horizontal="center" vertical="center"/>
    </xf>
    <xf numFmtId="0" fontId="43" fillId="2" borderId="62" xfId="0" applyFont="1" applyFill="1" applyBorder="1" applyAlignment="1">
      <alignment horizontal="left" vertical="top"/>
    </xf>
    <xf numFmtId="0" fontId="0" fillId="0" borderId="41" xfId="0" applyBorder="1" applyAlignment="1">
      <alignment horizontal="left" vertical="top"/>
    </xf>
    <xf numFmtId="0" fontId="0" fillId="0" borderId="42" xfId="0" applyBorder="1" applyAlignment="1">
      <alignment horizontal="left" vertical="top"/>
    </xf>
    <xf numFmtId="0" fontId="43" fillId="2" borderId="38" xfId="0" applyFont="1" applyFill="1" applyBorder="1" applyAlignment="1">
      <alignment horizontal="center" vertical="top"/>
    </xf>
    <xf numFmtId="0" fontId="43" fillId="2" borderId="39" xfId="0" applyFont="1" applyFill="1" applyBorder="1" applyAlignment="1">
      <alignment horizontal="center" vertical="top"/>
    </xf>
    <xf numFmtId="0" fontId="43" fillId="2" borderId="40" xfId="0" applyFont="1" applyFill="1" applyBorder="1" applyAlignment="1">
      <alignment horizontal="center" vertical="top"/>
    </xf>
    <xf numFmtId="0" fontId="43" fillId="2" borderId="76" xfId="0" applyFont="1" applyFill="1" applyBorder="1" applyAlignment="1">
      <alignment horizontal="center" vertical="top"/>
    </xf>
    <xf numFmtId="0" fontId="43" fillId="2" borderId="41" xfId="0" applyFont="1" applyFill="1" applyBorder="1" applyAlignment="1">
      <alignment horizontal="center" vertical="top"/>
    </xf>
    <xf numFmtId="0" fontId="43" fillId="2" borderId="42" xfId="0" applyFont="1" applyFill="1" applyBorder="1" applyAlignment="1">
      <alignment horizontal="center" vertical="top"/>
    </xf>
    <xf numFmtId="0" fontId="43" fillId="0" borderId="48" xfId="0" applyFont="1" applyFill="1" applyBorder="1" applyAlignment="1">
      <alignment horizontal="center"/>
    </xf>
    <xf numFmtId="0" fontId="0" fillId="0" borderId="49" xfId="0" applyFill="1" applyBorder="1" applyAlignment="1">
      <alignment horizontal="center"/>
    </xf>
    <xf numFmtId="14" fontId="43" fillId="2" borderId="48" xfId="0" applyNumberFormat="1" applyFont="1" applyFill="1" applyBorder="1" applyAlignment="1">
      <alignment horizontal="center" vertical="top"/>
    </xf>
    <xf numFmtId="0" fontId="43" fillId="2" borderId="62" xfId="0" applyFont="1" applyFill="1" applyBorder="1" applyAlignment="1">
      <alignment horizontal="center" vertical="top"/>
    </xf>
    <xf numFmtId="0" fontId="43" fillId="2" borderId="63" xfId="0" applyFont="1" applyFill="1" applyBorder="1" applyAlignment="1">
      <alignment horizontal="center" vertical="top"/>
    </xf>
    <xf numFmtId="10" fontId="43" fillId="2" borderId="97" xfId="11" applyNumberFormat="1" applyFont="1" applyFill="1" applyBorder="1" applyAlignment="1">
      <alignment horizontal="center" vertical="top"/>
    </xf>
    <xf numFmtId="10" fontId="43" fillId="2" borderId="49" xfId="11" applyNumberFormat="1" applyFont="1" applyFill="1" applyBorder="1" applyAlignment="1">
      <alignment horizontal="center" vertical="top"/>
    </xf>
    <xf numFmtId="10" fontId="43" fillId="2" borderId="52" xfId="11" applyNumberFormat="1" applyFont="1" applyFill="1" applyBorder="1" applyAlignment="1">
      <alignment horizontal="center" vertical="top"/>
    </xf>
    <xf numFmtId="0" fontId="54" fillId="2" borderId="55" xfId="0" applyFont="1" applyFill="1" applyBorder="1" applyAlignment="1">
      <alignment horizontal="center"/>
    </xf>
    <xf numFmtId="0" fontId="54" fillId="2" borderId="0" xfId="0" applyFont="1" applyFill="1" applyBorder="1" applyAlignment="1">
      <alignment horizontal="center"/>
    </xf>
    <xf numFmtId="0" fontId="54" fillId="2" borderId="56" xfId="0" applyFont="1" applyFill="1" applyBorder="1" applyAlignment="1">
      <alignment horizontal="center"/>
    </xf>
    <xf numFmtId="0" fontId="43" fillId="2" borderId="78" xfId="0" applyFont="1" applyFill="1" applyBorder="1" applyAlignment="1">
      <alignment horizontal="center" vertical="center"/>
    </xf>
    <xf numFmtId="0" fontId="43" fillId="2" borderId="0" xfId="0" applyFont="1" applyFill="1" applyBorder="1" applyAlignment="1">
      <alignment horizontal="center" vertical="center"/>
    </xf>
    <xf numFmtId="0" fontId="43" fillId="2" borderId="79" xfId="0" applyFont="1" applyFill="1" applyBorder="1" applyAlignment="1">
      <alignment horizontal="center" vertical="center"/>
    </xf>
    <xf numFmtId="0" fontId="54" fillId="2" borderId="78" xfId="0" applyFont="1" applyFill="1" applyBorder="1" applyAlignment="1">
      <alignment horizontal="center"/>
    </xf>
    <xf numFmtId="0" fontId="54" fillId="2" borderId="43" xfId="0" applyFont="1" applyFill="1" applyBorder="1" applyAlignment="1">
      <alignment horizontal="center"/>
    </xf>
    <xf numFmtId="0" fontId="55" fillId="2" borderId="43" xfId="0" applyFont="1" applyFill="1" applyBorder="1" applyAlignment="1">
      <alignment horizontal="center"/>
    </xf>
    <xf numFmtId="0" fontId="55" fillId="2" borderId="44" xfId="0" applyFont="1" applyFill="1" applyBorder="1" applyAlignment="1">
      <alignment horizontal="center"/>
    </xf>
    <xf numFmtId="0" fontId="55" fillId="2" borderId="47" xfId="0" applyFont="1" applyFill="1" applyBorder="1" applyAlignment="1">
      <alignment horizontal="center"/>
    </xf>
    <xf numFmtId="10" fontId="43" fillId="2" borderId="48" xfId="11" applyNumberFormat="1" applyFont="1" applyFill="1" applyBorder="1" applyAlignment="1">
      <alignment horizontal="center" vertical="top"/>
    </xf>
    <xf numFmtId="10" fontId="43" fillId="2" borderId="101" xfId="11" applyNumberFormat="1" applyFont="1" applyFill="1" applyBorder="1" applyAlignment="1">
      <alignment horizontal="center" vertical="top"/>
    </xf>
    <xf numFmtId="0" fontId="43" fillId="2" borderId="27" xfId="0" applyFont="1" applyFill="1" applyBorder="1" applyAlignment="1">
      <alignment horizontal="left"/>
    </xf>
    <xf numFmtId="0" fontId="43" fillId="2" borderId="0" xfId="0" applyFont="1" applyFill="1" applyBorder="1" applyAlignment="1">
      <alignment horizontal="left"/>
    </xf>
    <xf numFmtId="0" fontId="43" fillId="2" borderId="28" xfId="0" applyFont="1" applyFill="1" applyBorder="1" applyAlignment="1">
      <alignment horizontal="left"/>
    </xf>
    <xf numFmtId="0" fontId="43" fillId="2" borderId="35" xfId="0" applyFont="1" applyFill="1" applyBorder="1" applyAlignment="1">
      <alignment horizontal="center"/>
    </xf>
    <xf numFmtId="0" fontId="43" fillId="2" borderId="36" xfId="0" applyFont="1" applyFill="1" applyBorder="1" applyAlignment="1">
      <alignment horizontal="center"/>
    </xf>
    <xf numFmtId="0" fontId="43" fillId="2" borderId="37" xfId="0" applyFont="1" applyFill="1" applyBorder="1" applyAlignment="1">
      <alignment horizontal="center"/>
    </xf>
    <xf numFmtId="0" fontId="43" fillId="2" borderId="27" xfId="0" applyFont="1" applyFill="1" applyBorder="1" applyAlignment="1">
      <alignment horizontal="center"/>
    </xf>
    <xf numFmtId="0" fontId="43" fillId="2" borderId="28" xfId="0" applyFont="1" applyFill="1" applyBorder="1" applyAlignment="1">
      <alignment horizontal="center"/>
    </xf>
    <xf numFmtId="0" fontId="43" fillId="2" borderId="78" xfId="0" applyFont="1" applyFill="1" applyBorder="1" applyAlignment="1">
      <alignment horizontal="left"/>
    </xf>
    <xf numFmtId="0" fontId="43" fillId="2" borderId="79" xfId="0" applyFont="1" applyFill="1" applyBorder="1" applyAlignment="1">
      <alignment horizontal="left"/>
    </xf>
    <xf numFmtId="0" fontId="43" fillId="2" borderId="62" xfId="0" applyFont="1" applyFill="1" applyBorder="1" applyAlignment="1">
      <alignment horizontal="left"/>
    </xf>
    <xf numFmtId="0" fontId="43" fillId="0" borderId="76" xfId="0" applyFont="1" applyFill="1" applyBorder="1" applyAlignment="1">
      <alignment horizontal="center"/>
    </xf>
    <xf numFmtId="0" fontId="43" fillId="0" borderId="41" xfId="0" applyFont="1" applyFill="1" applyBorder="1" applyAlignment="1">
      <alignment horizontal="center"/>
    </xf>
    <xf numFmtId="14" fontId="43" fillId="2" borderId="76" xfId="0" applyNumberFormat="1" applyFont="1" applyFill="1" applyBorder="1" applyAlignment="1">
      <alignment horizontal="center"/>
    </xf>
    <xf numFmtId="0" fontId="43" fillId="2" borderId="42" xfId="0" applyFont="1" applyFill="1" applyBorder="1" applyAlignment="1">
      <alignment horizontal="center"/>
    </xf>
    <xf numFmtId="1" fontId="43" fillId="2" borderId="76" xfId="0" applyNumberFormat="1" applyFont="1" applyFill="1" applyBorder="1" applyAlignment="1">
      <alignment horizontal="center"/>
    </xf>
    <xf numFmtId="10" fontId="43" fillId="2" borderId="78" xfId="11" applyNumberFormat="1" applyFont="1" applyFill="1" applyBorder="1" applyAlignment="1">
      <alignment horizontal="center"/>
    </xf>
    <xf numFmtId="10" fontId="43" fillId="2" borderId="28" xfId="11" applyNumberFormat="1" applyFont="1" applyFill="1" applyBorder="1" applyAlignment="1">
      <alignment horizontal="center"/>
    </xf>
    <xf numFmtId="10" fontId="43" fillId="2" borderId="62" xfId="11" applyNumberFormat="1" applyFont="1" applyFill="1" applyBorder="1" applyAlignment="1">
      <alignment horizontal="center"/>
    </xf>
    <xf numFmtId="10" fontId="43" fillId="2" borderId="42" xfId="11" applyNumberFormat="1" applyFont="1" applyFill="1" applyBorder="1" applyAlignment="1">
      <alignment horizontal="center"/>
    </xf>
    <xf numFmtId="10" fontId="43" fillId="2" borderId="27" xfId="11" applyNumberFormat="1" applyFont="1" applyFill="1" applyBorder="1" applyAlignment="1">
      <alignment horizontal="center"/>
    </xf>
    <xf numFmtId="10" fontId="43" fillId="2" borderId="76" xfId="11" applyNumberFormat="1" applyFont="1" applyFill="1" applyBorder="1" applyAlignment="1">
      <alignment horizontal="center"/>
    </xf>
    <xf numFmtId="169" fontId="44" fillId="2" borderId="27" xfId="11" applyNumberFormat="1" applyFont="1" applyFill="1" applyBorder="1" applyAlignment="1">
      <alignment horizontal="center"/>
    </xf>
    <xf numFmtId="169" fontId="44" fillId="2" borderId="76" xfId="11" applyNumberFormat="1" applyFont="1" applyFill="1" applyBorder="1" applyAlignment="1">
      <alignment horizontal="center"/>
    </xf>
    <xf numFmtId="0" fontId="43" fillId="2" borderId="73" xfId="0" applyFont="1" applyFill="1" applyBorder="1" applyAlignment="1">
      <alignment horizontal="left"/>
    </xf>
    <xf numFmtId="0" fontId="43" fillId="2" borderId="111" xfId="0" applyFont="1" applyFill="1" applyBorder="1" applyAlignment="1">
      <alignment horizontal="left"/>
    </xf>
    <xf numFmtId="0" fontId="44" fillId="2" borderId="104" xfId="0" applyFont="1" applyFill="1" applyBorder="1" applyAlignment="1">
      <alignment horizontal="center" vertical="center"/>
    </xf>
    <xf numFmtId="0" fontId="44" fillId="2" borderId="73" xfId="0" applyFont="1" applyFill="1" applyBorder="1" applyAlignment="1">
      <alignment horizontal="center" vertical="center"/>
    </xf>
    <xf numFmtId="0" fontId="44" fillId="2" borderId="105" xfId="0" applyFont="1" applyFill="1" applyBorder="1" applyAlignment="1">
      <alignment horizontal="center" vertical="center"/>
    </xf>
    <xf numFmtId="0" fontId="43" fillId="2" borderId="104" xfId="0" applyFont="1" applyFill="1" applyBorder="1" applyAlignment="1">
      <alignment horizontal="center"/>
    </xf>
    <xf numFmtId="0" fontId="43" fillId="2" borderId="73" xfId="0" applyFont="1" applyFill="1" applyBorder="1" applyAlignment="1">
      <alignment horizontal="center"/>
    </xf>
    <xf numFmtId="0" fontId="43" fillId="2" borderId="105" xfId="0" applyFont="1" applyFill="1" applyBorder="1" applyAlignment="1">
      <alignment horizontal="center"/>
    </xf>
    <xf numFmtId="10" fontId="43" fillId="2" borderId="104" xfId="11" applyNumberFormat="1" applyFont="1" applyFill="1" applyBorder="1" applyAlignment="1">
      <alignment horizontal="center"/>
    </xf>
    <xf numFmtId="10" fontId="43" fillId="2" borderId="73" xfId="11" applyNumberFormat="1" applyFont="1" applyFill="1" applyBorder="1" applyAlignment="1">
      <alignment horizontal="center"/>
    </xf>
    <xf numFmtId="10" fontId="43" fillId="2" borderId="105" xfId="11" applyNumberFormat="1" applyFont="1" applyFill="1" applyBorder="1" applyAlignment="1">
      <alignment horizontal="center"/>
    </xf>
    <xf numFmtId="0" fontId="3" fillId="0" borderId="0" xfId="0" applyFont="1" applyAlignment="1">
      <alignment horizontal="justify" vertical="justify" wrapText="1"/>
    </xf>
    <xf numFmtId="0" fontId="9" fillId="0" borderId="0" xfId="0" applyFont="1" applyAlignment="1">
      <alignment horizontal="center" vertical="center" wrapText="1"/>
    </xf>
    <xf numFmtId="0" fontId="9" fillId="21" borderId="0" xfId="0" applyFont="1" applyFill="1" applyAlignment="1">
      <alignment horizontal="left" vertical="center" wrapText="1"/>
    </xf>
    <xf numFmtId="0" fontId="42" fillId="2" borderId="78" xfId="0" applyFont="1" applyFill="1" applyBorder="1" applyAlignment="1">
      <alignment horizontal="center"/>
    </xf>
    <xf numFmtId="0" fontId="42" fillId="2" borderId="79" xfId="0" applyFont="1" applyFill="1" applyBorder="1" applyAlignment="1">
      <alignment horizontal="center"/>
    </xf>
    <xf numFmtId="0" fontId="43" fillId="2" borderId="82" xfId="0" applyFont="1" applyFill="1" applyBorder="1" applyAlignment="1">
      <alignment horizontal="center"/>
    </xf>
    <xf numFmtId="0" fontId="9" fillId="21" borderId="0" xfId="0" applyFont="1" applyFill="1" applyAlignment="1">
      <alignment horizontal="center" vertical="center" wrapText="1"/>
    </xf>
    <xf numFmtId="0" fontId="3" fillId="0" borderId="0" xfId="0" applyFont="1" applyAlignment="1">
      <alignment horizontal="left" vertical="center" wrapText="1"/>
    </xf>
    <xf numFmtId="0" fontId="9" fillId="0" borderId="0" xfId="0" applyFont="1" applyAlignment="1">
      <alignment horizontal="justify" vertical="justify" wrapText="1"/>
    </xf>
    <xf numFmtId="0" fontId="56" fillId="21" borderId="0" xfId="0" applyFont="1" applyFill="1" applyAlignment="1">
      <alignment horizontal="center" vertical="center"/>
    </xf>
    <xf numFmtId="0" fontId="3" fillId="21" borderId="0" xfId="0" applyFont="1" applyFill="1" applyAlignment="1">
      <alignment horizontal="center" vertical="justify" wrapText="1"/>
    </xf>
    <xf numFmtId="0" fontId="9" fillId="0" borderId="0" xfId="0" applyFont="1" applyAlignment="1">
      <alignment horizontal="center" vertical="justify" wrapText="1"/>
    </xf>
    <xf numFmtId="0" fontId="43" fillId="2" borderId="78" xfId="0" applyFont="1" applyFill="1" applyBorder="1" applyAlignment="1">
      <alignment horizontal="center"/>
    </xf>
    <xf numFmtId="0" fontId="43" fillId="2" borderId="79" xfId="0" applyFont="1" applyFill="1" applyBorder="1" applyAlignment="1">
      <alignment horizontal="center"/>
    </xf>
    <xf numFmtId="0" fontId="43" fillId="2" borderId="83" xfId="0" applyFont="1" applyFill="1" applyBorder="1" applyAlignment="1">
      <alignment horizontal="center"/>
    </xf>
    <xf numFmtId="0" fontId="43" fillId="2" borderId="84" xfId="0" applyFont="1" applyFill="1" applyBorder="1" applyAlignment="1">
      <alignment horizontal="center"/>
    </xf>
    <xf numFmtId="0" fontId="43" fillId="2" borderId="85" xfId="0" applyFont="1" applyFill="1" applyBorder="1" applyAlignment="1">
      <alignment horizontal="center"/>
    </xf>
    <xf numFmtId="0" fontId="0" fillId="0" borderId="31" xfId="0" applyBorder="1" applyAlignment="1">
      <alignment horizontal="left"/>
    </xf>
    <xf numFmtId="0" fontId="0" fillId="0" borderId="34" xfId="0" applyBorder="1" applyAlignment="1">
      <alignment horizontal="left"/>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left"/>
    </xf>
    <xf numFmtId="0" fontId="0" fillId="0" borderId="42" xfId="0" applyBorder="1" applyAlignment="1">
      <alignment horizontal="left"/>
    </xf>
    <xf numFmtId="0" fontId="42" fillId="2" borderId="43" xfId="0" applyFont="1" applyFill="1" applyBorder="1" applyAlignment="1">
      <alignment horizontal="center"/>
    </xf>
    <xf numFmtId="0" fontId="42" fillId="2" borderId="44" xfId="0" applyFont="1" applyFill="1" applyBorder="1" applyAlignment="1">
      <alignment horizontal="center"/>
    </xf>
    <xf numFmtId="0" fontId="42" fillId="2" borderId="47" xfId="0" applyFont="1" applyFill="1" applyBorder="1" applyAlignment="1">
      <alignment horizontal="center"/>
    </xf>
    <xf numFmtId="0" fontId="42" fillId="2" borderId="64" xfId="0" applyFont="1" applyFill="1" applyBorder="1" applyAlignment="1">
      <alignment horizontal="center"/>
    </xf>
    <xf numFmtId="0" fontId="42" fillId="2" borderId="65" xfId="0" applyFont="1" applyFill="1" applyBorder="1" applyAlignment="1">
      <alignment horizontal="center"/>
    </xf>
    <xf numFmtId="0" fontId="42" fillId="2" borderId="61" xfId="0" applyFont="1" applyFill="1" applyBorder="1" applyAlignment="1">
      <alignment horizontal="center"/>
    </xf>
    <xf numFmtId="0" fontId="42" fillId="2" borderId="60" xfId="0" applyFont="1" applyFill="1" applyBorder="1" applyAlignment="1">
      <alignment horizontal="center"/>
    </xf>
    <xf numFmtId="0" fontId="43" fillId="2" borderId="86" xfId="0" applyFont="1" applyFill="1" applyBorder="1" applyAlignment="1">
      <alignment horizontal="center" vertical="center"/>
    </xf>
    <xf numFmtId="0" fontId="43" fillId="2" borderId="73" xfId="0" applyFont="1" applyFill="1" applyBorder="1" applyAlignment="1">
      <alignment horizontal="center" vertical="center"/>
    </xf>
    <xf numFmtId="0" fontId="43" fillId="2" borderId="87" xfId="0" applyFont="1" applyFill="1" applyBorder="1" applyAlignment="1">
      <alignment horizontal="center" vertical="center"/>
    </xf>
    <xf numFmtId="10" fontId="42" fillId="2" borderId="86" xfId="11" applyNumberFormat="1" applyFont="1" applyFill="1" applyBorder="1" applyAlignment="1">
      <alignment horizontal="center"/>
    </xf>
    <xf numFmtId="10" fontId="42" fillId="2" borderId="73" xfId="11" applyNumberFormat="1" applyFont="1" applyFill="1" applyBorder="1" applyAlignment="1">
      <alignment horizontal="center"/>
    </xf>
    <xf numFmtId="10" fontId="42" fillId="2" borderId="87" xfId="11" applyNumberFormat="1" applyFont="1" applyFill="1" applyBorder="1" applyAlignment="1">
      <alignment horizontal="center"/>
    </xf>
    <xf numFmtId="0" fontId="42" fillId="0" borderId="58" xfId="0" applyFont="1" applyFill="1" applyBorder="1" applyAlignment="1">
      <alignment horizontal="center" vertical="center"/>
    </xf>
    <xf numFmtId="0" fontId="42" fillId="0" borderId="60" xfId="0" applyFont="1" applyFill="1" applyBorder="1" applyAlignment="1">
      <alignment horizontal="center" vertical="center"/>
    </xf>
    <xf numFmtId="0" fontId="42" fillId="0" borderId="0" xfId="0" applyFont="1" applyFill="1" applyBorder="1" applyAlignment="1">
      <alignment horizontal="center" vertical="center"/>
    </xf>
    <xf numFmtId="0" fontId="42" fillId="0" borderId="56" xfId="0" applyFont="1" applyFill="1" applyBorder="1" applyAlignment="1">
      <alignment horizontal="center" vertical="center"/>
    </xf>
    <xf numFmtId="0" fontId="42" fillId="0" borderId="49" xfId="0" applyFont="1" applyFill="1" applyBorder="1" applyAlignment="1">
      <alignment horizontal="center" vertical="center"/>
    </xf>
    <xf numFmtId="0" fontId="42" fillId="0" borderId="52" xfId="0" applyFont="1" applyFill="1" applyBorder="1" applyAlignment="1">
      <alignment horizontal="center" vertical="center"/>
    </xf>
    <xf numFmtId="0" fontId="43" fillId="2" borderId="89" xfId="0" applyFont="1" applyFill="1" applyBorder="1" applyAlignment="1">
      <alignment horizontal="center"/>
    </xf>
    <xf numFmtId="0" fontId="43" fillId="2" borderId="90" xfId="0" applyFont="1" applyFill="1" applyBorder="1" applyAlignment="1">
      <alignment horizontal="center"/>
    </xf>
    <xf numFmtId="0" fontId="3" fillId="21" borderId="20" xfId="7" applyFont="1" applyFill="1" applyBorder="1" applyAlignment="1">
      <alignment horizontal="center" vertical="top" wrapText="1"/>
    </xf>
    <xf numFmtId="0" fontId="3" fillId="0" borderId="70" xfId="7" applyFont="1" applyBorder="1" applyAlignment="1">
      <alignment horizontal="center" vertical="top" wrapText="1"/>
    </xf>
    <xf numFmtId="0" fontId="3" fillId="2" borderId="20" xfId="7" applyFont="1" applyFill="1" applyBorder="1" applyAlignment="1">
      <alignment horizontal="center" vertical="top" wrapText="1"/>
    </xf>
    <xf numFmtId="0" fontId="9" fillId="0" borderId="0" xfId="7" applyFont="1" applyAlignment="1">
      <alignment horizontal="center"/>
    </xf>
    <xf numFmtId="0" fontId="3" fillId="21" borderId="20" xfId="0" applyFont="1" applyFill="1" applyBorder="1" applyAlignment="1">
      <alignment horizontal="center" vertical="justify" wrapText="1"/>
    </xf>
    <xf numFmtId="0" fontId="0" fillId="0" borderId="49" xfId="0" applyBorder="1" applyAlignment="1">
      <alignment horizontal="left"/>
    </xf>
    <xf numFmtId="0" fontId="0" fillId="0" borderId="50" xfId="0" applyBorder="1" applyAlignment="1">
      <alignment horizontal="left"/>
    </xf>
    <xf numFmtId="0" fontId="43" fillId="0" borderId="104" xfId="0" applyFont="1" applyFill="1" applyBorder="1" applyAlignment="1">
      <alignment horizontal="center"/>
    </xf>
    <xf numFmtId="0" fontId="43" fillId="0" borderId="73" xfId="0" applyFont="1" applyFill="1" applyBorder="1" applyAlignment="1">
      <alignment horizontal="center"/>
    </xf>
    <xf numFmtId="14" fontId="43" fillId="2" borderId="104" xfId="0" applyNumberFormat="1" applyFont="1" applyFill="1" applyBorder="1" applyAlignment="1">
      <alignment horizontal="center"/>
    </xf>
    <xf numFmtId="1" fontId="43" fillId="2" borderId="62" xfId="0" applyNumberFormat="1" applyFont="1" applyFill="1" applyBorder="1" applyAlignment="1">
      <alignment horizontal="center"/>
    </xf>
    <xf numFmtId="0" fontId="43" fillId="2" borderId="63" xfId="0" applyFont="1" applyFill="1" applyBorder="1" applyAlignment="1">
      <alignment horizontal="center"/>
    </xf>
    <xf numFmtId="0" fontId="55" fillId="2" borderId="78" xfId="0" applyFont="1" applyFill="1" applyBorder="1" applyAlignment="1">
      <alignment horizontal="left"/>
    </xf>
    <xf numFmtId="0" fontId="55" fillId="2" borderId="0" xfId="0" applyFont="1" applyFill="1" applyBorder="1" applyAlignment="1">
      <alignment horizontal="left"/>
    </xf>
    <xf numFmtId="0" fontId="54" fillId="2" borderId="41" xfId="0" applyFont="1" applyFill="1" applyBorder="1" applyAlignment="1">
      <alignment horizontal="center"/>
    </xf>
    <xf numFmtId="0" fontId="54" fillId="2" borderId="63" xfId="0" applyFont="1" applyFill="1" applyBorder="1" applyAlignment="1">
      <alignment horizontal="center"/>
    </xf>
    <xf numFmtId="0" fontId="54" fillId="2" borderId="62" xfId="0" applyFont="1" applyFill="1" applyBorder="1" applyAlignment="1">
      <alignment horizontal="center"/>
    </xf>
    <xf numFmtId="0" fontId="43" fillId="2" borderId="76" xfId="0" applyFont="1" applyFill="1" applyBorder="1" applyAlignment="1">
      <alignment horizontal="center"/>
    </xf>
    <xf numFmtId="0" fontId="9" fillId="21" borderId="0" xfId="0" applyFont="1" applyFill="1" applyAlignment="1">
      <alignment horizontal="justify" vertical="justify"/>
    </xf>
    <xf numFmtId="0" fontId="9" fillId="21" borderId="0" xfId="0" applyFont="1" applyFill="1" applyAlignment="1">
      <alignment horizontal="center" vertical="justify"/>
    </xf>
    <xf numFmtId="0" fontId="64" fillId="21" borderId="0" xfId="0" applyFont="1" applyFill="1" applyAlignment="1">
      <alignment horizontal="justify" vertical="justify"/>
    </xf>
    <xf numFmtId="0" fontId="3" fillId="0" borderId="70" xfId="7" applyFont="1" applyBorder="1" applyAlignment="1">
      <alignment horizontal="center"/>
    </xf>
    <xf numFmtId="0" fontId="3" fillId="2" borderId="20" xfId="0" applyFont="1" applyFill="1" applyBorder="1" applyAlignment="1">
      <alignment horizontal="center" vertical="justify" wrapText="1"/>
    </xf>
    <xf numFmtId="10" fontId="54" fillId="2" borderId="62" xfId="11" applyNumberFormat="1" applyFont="1" applyFill="1" applyBorder="1" applyAlignment="1">
      <alignment horizontal="center" vertical="center"/>
    </xf>
    <xf numFmtId="10" fontId="54" fillId="2" borderId="41" xfId="11" applyNumberFormat="1" applyFont="1" applyFill="1" applyBorder="1" applyAlignment="1">
      <alignment horizontal="center" vertical="center"/>
    </xf>
    <xf numFmtId="10" fontId="54" fillId="2" borderId="63" xfId="11" applyNumberFormat="1" applyFont="1" applyFill="1" applyBorder="1" applyAlignment="1">
      <alignment horizontal="center" vertical="center"/>
    </xf>
    <xf numFmtId="0" fontId="54" fillId="2" borderId="41" xfId="0" applyFont="1" applyFill="1" applyBorder="1" applyAlignment="1">
      <alignment horizontal="left"/>
    </xf>
    <xf numFmtId="0" fontId="54" fillId="2" borderId="63" xfId="0" applyFont="1" applyFill="1" applyBorder="1" applyAlignment="1">
      <alignment horizontal="left"/>
    </xf>
    <xf numFmtId="0" fontId="43" fillId="0" borderId="62" xfId="0" applyFont="1" applyFill="1" applyBorder="1" applyAlignment="1">
      <alignment horizontal="right"/>
    </xf>
    <xf numFmtId="0" fontId="43" fillId="0" borderId="41" xfId="0" applyFont="1" applyFill="1" applyBorder="1" applyAlignment="1">
      <alignment horizontal="right"/>
    </xf>
    <xf numFmtId="14" fontId="43" fillId="2" borderId="62" xfId="0" applyNumberFormat="1" applyFont="1" applyFill="1" applyBorder="1" applyAlignment="1">
      <alignment horizontal="center"/>
    </xf>
    <xf numFmtId="1" fontId="43" fillId="2" borderId="62" xfId="0" applyNumberFormat="1" applyFont="1" applyFill="1" applyBorder="1" applyAlignment="1">
      <alignment horizontal="center" vertical="center"/>
    </xf>
    <xf numFmtId="0" fontId="55" fillId="2" borderId="57" xfId="0" applyFont="1" applyFill="1" applyBorder="1" applyAlignment="1">
      <alignment horizontal="center"/>
    </xf>
    <xf numFmtId="0" fontId="55" fillId="2" borderId="58" xfId="0" applyFont="1" applyFill="1" applyBorder="1" applyAlignment="1">
      <alignment horizontal="center"/>
    </xf>
    <xf numFmtId="0" fontId="55" fillId="2" borderId="59" xfId="0" applyFont="1" applyFill="1" applyBorder="1" applyAlignment="1">
      <alignment horizontal="center"/>
    </xf>
    <xf numFmtId="0" fontId="54" fillId="2" borderId="79" xfId="0" applyFont="1" applyFill="1" applyBorder="1" applyAlignment="1">
      <alignment horizontal="center"/>
    </xf>
    <xf numFmtId="0" fontId="30" fillId="2" borderId="38" xfId="7" applyFont="1" applyFill="1" applyBorder="1" applyAlignment="1">
      <alignment horizontal="left"/>
    </xf>
    <xf numFmtId="0" fontId="30" fillId="2" borderId="38" xfId="7" applyFont="1" applyFill="1" applyBorder="1" applyAlignment="1">
      <alignment horizontal="center"/>
    </xf>
    <xf numFmtId="0" fontId="30" fillId="2" borderId="39" xfId="7" applyFont="1" applyFill="1" applyBorder="1" applyAlignment="1">
      <alignment horizontal="left"/>
    </xf>
    <xf numFmtId="0" fontId="30" fillId="2" borderId="40" xfId="7" applyFont="1" applyFill="1" applyBorder="1" applyAlignment="1">
      <alignment horizontal="left"/>
    </xf>
    <xf numFmtId="0" fontId="30" fillId="2" borderId="27" xfId="7" applyFont="1" applyFill="1" applyBorder="1" applyAlignment="1">
      <alignment horizontal="left"/>
    </xf>
    <xf numFmtId="0" fontId="30" fillId="2" borderId="0" xfId="7" applyFont="1" applyFill="1" applyBorder="1" applyAlignment="1">
      <alignment horizontal="left"/>
    </xf>
    <xf numFmtId="0" fontId="30" fillId="2" borderId="28" xfId="7" applyFont="1" applyFill="1" applyBorder="1" applyAlignment="1">
      <alignment horizontal="left"/>
    </xf>
    <xf numFmtId="0" fontId="30" fillId="2" borderId="62" xfId="7" applyFont="1" applyFill="1" applyBorder="1" applyAlignment="1">
      <alignment horizontal="left"/>
    </xf>
    <xf numFmtId="0" fontId="0" fillId="0" borderId="63" xfId="0" applyBorder="1" applyAlignment="1">
      <alignment horizontal="left"/>
    </xf>
    <xf numFmtId="0" fontId="30" fillId="2" borderId="0" xfId="7" applyFont="1" applyFill="1" applyBorder="1" applyAlignment="1">
      <alignment horizontal="left" vertical="center" wrapText="1"/>
    </xf>
    <xf numFmtId="0" fontId="3" fillId="0" borderId="0" xfId="7" applyFont="1" applyAlignment="1">
      <alignment horizontal="left" vertical="center" wrapText="1"/>
    </xf>
    <xf numFmtId="0" fontId="30" fillId="2" borderId="80" xfId="7" applyFont="1" applyFill="1" applyBorder="1" applyAlignment="1">
      <alignment horizontal="center"/>
    </xf>
    <xf numFmtId="0" fontId="30" fillId="2" borderId="81" xfId="7" applyFont="1" applyFill="1" applyBorder="1" applyAlignment="1">
      <alignment horizontal="center"/>
    </xf>
    <xf numFmtId="0" fontId="30" fillId="2" borderId="82" xfId="7" applyFont="1" applyFill="1" applyBorder="1" applyAlignment="1">
      <alignment horizontal="center"/>
    </xf>
    <xf numFmtId="0" fontId="30" fillId="2" borderId="80" xfId="7" applyFont="1" applyFill="1" applyBorder="1" applyAlignment="1">
      <alignment horizontal="center" vertical="center"/>
    </xf>
    <xf numFmtId="0" fontId="30" fillId="2" borderId="81" xfId="7" applyFont="1" applyFill="1" applyBorder="1" applyAlignment="1">
      <alignment horizontal="center" vertical="center"/>
    </xf>
    <xf numFmtId="0" fontId="30" fillId="2" borderId="82" xfId="7" applyFont="1" applyFill="1" applyBorder="1" applyAlignment="1">
      <alignment horizontal="center" vertical="center"/>
    </xf>
    <xf numFmtId="0" fontId="38" fillId="2" borderId="0" xfId="7" applyFont="1" applyFill="1" applyBorder="1" applyAlignment="1">
      <alignment horizontal="center"/>
    </xf>
    <xf numFmtId="0" fontId="40" fillId="2" borderId="0" xfId="7" applyFont="1" applyFill="1" applyBorder="1" applyAlignment="1">
      <alignment horizontal="right" vertical="top"/>
    </xf>
    <xf numFmtId="0" fontId="30" fillId="2" borderId="21" xfId="7" applyFont="1" applyFill="1" applyBorder="1" applyAlignment="1">
      <alignment horizontal="center"/>
    </xf>
    <xf numFmtId="0" fontId="30" fillId="2" borderId="22" xfId="7" applyFont="1" applyFill="1" applyBorder="1" applyAlignment="1">
      <alignment horizontal="center"/>
    </xf>
    <xf numFmtId="0" fontId="30" fillId="2" borderId="26" xfId="7" applyFont="1" applyFill="1" applyBorder="1" applyAlignment="1">
      <alignment horizontal="center" vertical="top"/>
    </xf>
    <xf numFmtId="0" fontId="30" fillId="2" borderId="0" xfId="7" applyFont="1" applyFill="1" applyBorder="1" applyAlignment="1">
      <alignment horizontal="center" vertical="top"/>
    </xf>
    <xf numFmtId="0" fontId="30" fillId="2" borderId="33" xfId="7" applyFont="1" applyFill="1" applyBorder="1" applyAlignment="1">
      <alignment horizontal="left"/>
    </xf>
    <xf numFmtId="0" fontId="30" fillId="2" borderId="31" xfId="7" applyFont="1" applyFill="1" applyBorder="1" applyAlignment="1">
      <alignment horizontal="left"/>
    </xf>
    <xf numFmtId="0" fontId="30" fillId="2" borderId="32" xfId="7" applyFont="1" applyFill="1" applyBorder="1" applyAlignment="1">
      <alignment horizontal="left"/>
    </xf>
    <xf numFmtId="14" fontId="30" fillId="2" borderId="20" xfId="7" applyNumberFormat="1" applyFont="1" applyFill="1" applyBorder="1" applyAlignment="1">
      <alignment horizontal="center" vertical="top"/>
    </xf>
    <xf numFmtId="0" fontId="30" fillId="2" borderId="20" xfId="7" applyFont="1" applyFill="1" applyBorder="1" applyAlignment="1">
      <alignment horizontal="center" vertical="top"/>
    </xf>
    <xf numFmtId="0" fontId="30" fillId="2" borderId="69" xfId="7" applyFont="1" applyFill="1" applyBorder="1" applyAlignment="1">
      <alignment horizontal="center" vertical="top" wrapText="1"/>
    </xf>
    <xf numFmtId="0" fontId="30" fillId="2" borderId="70" xfId="7" applyFont="1" applyFill="1" applyBorder="1" applyAlignment="1">
      <alignment horizontal="center" vertical="top" wrapText="1"/>
    </xf>
    <xf numFmtId="0" fontId="30" fillId="2" borderId="71" xfId="7" applyFont="1" applyFill="1" applyBorder="1" applyAlignment="1">
      <alignment horizontal="center" vertical="top" wrapText="1"/>
    </xf>
    <xf numFmtId="0" fontId="30" fillId="2" borderId="19" xfId="7" applyFont="1" applyFill="1" applyBorder="1" applyAlignment="1">
      <alignment horizontal="center" vertical="top" wrapText="1"/>
    </xf>
    <xf numFmtId="0" fontId="30" fillId="2" borderId="0" xfId="7" applyFont="1" applyFill="1" applyBorder="1" applyAlignment="1">
      <alignment horizontal="center" vertical="top" wrapText="1"/>
    </xf>
    <xf numFmtId="0" fontId="30" fillId="2" borderId="54" xfId="7" applyFont="1" applyFill="1" applyBorder="1" applyAlignment="1">
      <alignment horizontal="center" vertical="top" wrapText="1"/>
    </xf>
    <xf numFmtId="0" fontId="30" fillId="2" borderId="94" xfId="7" applyFont="1" applyFill="1" applyBorder="1" applyAlignment="1">
      <alignment horizontal="center" vertical="top" wrapText="1"/>
    </xf>
    <xf numFmtId="0" fontId="30" fillId="2" borderId="41" xfId="7" applyFont="1" applyFill="1" applyBorder="1" applyAlignment="1">
      <alignment horizontal="center" vertical="top" wrapText="1"/>
    </xf>
    <xf numFmtId="0" fontId="30" fillId="2" borderId="93" xfId="7" applyFont="1" applyFill="1" applyBorder="1" applyAlignment="1">
      <alignment horizontal="center" vertical="top" wrapText="1"/>
    </xf>
    <xf numFmtId="10" fontId="30" fillId="2" borderId="94" xfId="11" applyNumberFormat="1" applyFont="1" applyFill="1" applyBorder="1" applyAlignment="1">
      <alignment horizontal="center" vertical="top"/>
    </xf>
    <xf numFmtId="10" fontId="30" fillId="2" borderId="41" xfId="11" applyNumberFormat="1" applyFont="1" applyFill="1" applyBorder="1" applyAlignment="1">
      <alignment horizontal="center" vertical="top"/>
    </xf>
    <xf numFmtId="10" fontId="30" fillId="2" borderId="63" xfId="11" applyNumberFormat="1" applyFont="1" applyFill="1" applyBorder="1" applyAlignment="1">
      <alignment horizontal="center" vertical="top"/>
    </xf>
    <xf numFmtId="14" fontId="30" fillId="2" borderId="30" xfId="7" applyNumberFormat="1" applyFont="1" applyFill="1" applyBorder="1" applyAlignment="1">
      <alignment horizontal="center"/>
    </xf>
    <xf numFmtId="0" fontId="30" fillId="2" borderId="31" xfId="7" applyFont="1" applyFill="1" applyBorder="1" applyAlignment="1">
      <alignment horizontal="center"/>
    </xf>
    <xf numFmtId="0" fontId="30" fillId="2" borderId="32" xfId="7" applyFont="1" applyFill="1" applyBorder="1" applyAlignment="1">
      <alignment horizontal="center"/>
    </xf>
    <xf numFmtId="0" fontId="30" fillId="2" borderId="55" xfId="7" applyFont="1" applyFill="1" applyBorder="1" applyAlignment="1">
      <alignment horizontal="center"/>
    </xf>
    <xf numFmtId="0" fontId="30" fillId="2" borderId="0" xfId="7" applyFont="1" applyFill="1" applyBorder="1" applyAlignment="1">
      <alignment horizontal="center"/>
    </xf>
    <xf numFmtId="0" fontId="30" fillId="2" borderId="56" xfId="7" applyFont="1" applyFill="1" applyBorder="1" applyAlignment="1">
      <alignment horizontal="center"/>
    </xf>
    <xf numFmtId="14" fontId="30" fillId="2" borderId="94" xfId="7" applyNumberFormat="1" applyFont="1" applyFill="1" applyBorder="1" applyAlignment="1">
      <alignment horizontal="center"/>
    </xf>
    <xf numFmtId="0" fontId="30" fillId="2" borderId="41" xfId="7" applyFont="1" applyFill="1" applyBorder="1" applyAlignment="1">
      <alignment horizontal="center"/>
    </xf>
    <xf numFmtId="0" fontId="30" fillId="2" borderId="93" xfId="7" applyFont="1" applyFill="1" applyBorder="1" applyAlignment="1">
      <alignment horizontal="center"/>
    </xf>
    <xf numFmtId="1" fontId="30" fillId="2" borderId="94" xfId="7" applyNumberFormat="1" applyFont="1" applyFill="1" applyBorder="1" applyAlignment="1">
      <alignment horizontal="center"/>
    </xf>
    <xf numFmtId="0" fontId="30" fillId="2" borderId="94" xfId="7" applyFont="1" applyFill="1" applyBorder="1" applyAlignment="1">
      <alignment horizontal="center"/>
    </xf>
    <xf numFmtId="0" fontId="30" fillId="2" borderId="91" xfId="7" applyFont="1" applyFill="1" applyBorder="1" applyAlignment="1">
      <alignment horizontal="left" wrapText="1"/>
    </xf>
    <xf numFmtId="0" fontId="30" fillId="2" borderId="70" xfId="7" applyFont="1" applyFill="1" applyBorder="1" applyAlignment="1">
      <alignment horizontal="left" wrapText="1"/>
    </xf>
    <xf numFmtId="0" fontId="30" fillId="2" borderId="71" xfId="7" applyFont="1" applyFill="1" applyBorder="1" applyAlignment="1">
      <alignment horizontal="left" wrapText="1"/>
    </xf>
    <xf numFmtId="0" fontId="30" fillId="2" borderId="55" xfId="7" applyFont="1" applyFill="1" applyBorder="1" applyAlignment="1">
      <alignment horizontal="left" wrapText="1"/>
    </xf>
    <xf numFmtId="0" fontId="30" fillId="2" borderId="0" xfId="7" applyFont="1" applyFill="1" applyBorder="1" applyAlignment="1">
      <alignment horizontal="left" wrapText="1"/>
    </xf>
    <xf numFmtId="0" fontId="30" fillId="2" borderId="54" xfId="7" applyFont="1" applyFill="1" applyBorder="1" applyAlignment="1">
      <alignment horizontal="left" wrapText="1"/>
    </xf>
    <xf numFmtId="0" fontId="30" fillId="2" borderId="69" xfId="7" applyFont="1" applyFill="1" applyBorder="1" applyAlignment="1">
      <alignment horizontal="center"/>
    </xf>
    <xf numFmtId="0" fontId="30" fillId="2" borderId="70" xfId="7" applyFont="1" applyFill="1" applyBorder="1" applyAlignment="1">
      <alignment horizontal="center"/>
    </xf>
    <xf numFmtId="0" fontId="30" fillId="2" borderId="69" xfId="7" applyFont="1" applyFill="1" applyBorder="1" applyAlignment="1">
      <alignment horizontal="center" wrapText="1"/>
    </xf>
    <xf numFmtId="0" fontId="30" fillId="2" borderId="70" xfId="7" applyFont="1" applyFill="1" applyBorder="1" applyAlignment="1">
      <alignment horizontal="center" wrapText="1"/>
    </xf>
    <xf numFmtId="0" fontId="30" fillId="2" borderId="71" xfId="7" applyFont="1" applyFill="1" applyBorder="1" applyAlignment="1">
      <alignment horizontal="center" wrapText="1"/>
    </xf>
    <xf numFmtId="0" fontId="30" fillId="2" borderId="19" xfId="7" applyFont="1" applyFill="1" applyBorder="1" applyAlignment="1">
      <alignment horizontal="center" wrapText="1"/>
    </xf>
    <xf numFmtId="0" fontId="30" fillId="2" borderId="0" xfId="7" applyFont="1" applyFill="1" applyBorder="1" applyAlignment="1">
      <alignment horizontal="center" wrapText="1"/>
    </xf>
    <xf numFmtId="0" fontId="30" fillId="2" borderId="54" xfId="7" applyFont="1" applyFill="1" applyBorder="1" applyAlignment="1">
      <alignment horizontal="center" wrapText="1"/>
    </xf>
    <xf numFmtId="0" fontId="30" fillId="2" borderId="71" xfId="7" applyFont="1" applyFill="1" applyBorder="1" applyAlignment="1">
      <alignment horizontal="center"/>
    </xf>
    <xf numFmtId="0" fontId="30" fillId="2" borderId="19" xfId="7" applyFont="1" applyFill="1" applyBorder="1" applyAlignment="1">
      <alignment horizontal="center"/>
    </xf>
    <xf numFmtId="0" fontId="30" fillId="2" borderId="54" xfId="7" applyFont="1" applyFill="1" applyBorder="1" applyAlignment="1">
      <alignment horizontal="center"/>
    </xf>
    <xf numFmtId="10" fontId="30" fillId="2" borderId="93" xfId="11" applyNumberFormat="1" applyFont="1" applyFill="1" applyBorder="1" applyAlignment="1">
      <alignment horizontal="center" vertical="top"/>
    </xf>
    <xf numFmtId="0" fontId="30" fillId="2" borderId="39" xfId="7" applyFont="1" applyFill="1" applyBorder="1" applyAlignment="1">
      <alignment horizontal="center"/>
    </xf>
    <xf numFmtId="0" fontId="30" fillId="2" borderId="40" xfId="7" applyFont="1" applyFill="1" applyBorder="1" applyAlignment="1">
      <alignment horizontal="center"/>
    </xf>
    <xf numFmtId="0" fontId="3" fillId="2" borderId="0" xfId="7" applyFont="1" applyFill="1" applyBorder="1" applyAlignment="1">
      <alignment horizontal="left" vertical="justify" wrapText="1"/>
    </xf>
    <xf numFmtId="0" fontId="3" fillId="2" borderId="0" xfId="7" applyFont="1" applyFill="1" applyBorder="1" applyAlignment="1">
      <alignment horizontal="justify" vertical="justify"/>
    </xf>
    <xf numFmtId="14" fontId="3" fillId="2" borderId="20" xfId="7" applyNumberFormat="1" applyFont="1" applyFill="1" applyBorder="1" applyAlignment="1">
      <alignment horizontal="center" vertical="top"/>
    </xf>
    <xf numFmtId="0" fontId="3" fillId="2" borderId="20" xfId="7" applyFont="1" applyFill="1" applyBorder="1" applyAlignment="1">
      <alignment horizontal="center" vertical="top"/>
    </xf>
    <xf numFmtId="0" fontId="30" fillId="2" borderId="0" xfId="7" applyFont="1" applyFill="1" applyBorder="1" applyAlignment="1">
      <alignment horizontal="center" vertical="center"/>
    </xf>
    <xf numFmtId="0" fontId="30" fillId="2" borderId="92" xfId="7" applyFont="1" applyFill="1" applyBorder="1" applyAlignment="1">
      <alignment horizontal="center"/>
    </xf>
    <xf numFmtId="0" fontId="30" fillId="2" borderId="79" xfId="7" applyFont="1" applyFill="1" applyBorder="1" applyAlignment="1">
      <alignment horizontal="center"/>
    </xf>
    <xf numFmtId="0" fontId="30" fillId="0" borderId="64" xfId="7" applyFont="1" applyFill="1" applyBorder="1" applyAlignment="1">
      <alignment horizontal="center"/>
    </xf>
    <xf numFmtId="0" fontId="30" fillId="0" borderId="41" xfId="7" applyFont="1" applyFill="1" applyBorder="1" applyAlignment="1">
      <alignment horizontal="center"/>
    </xf>
    <xf numFmtId="0" fontId="9" fillId="2" borderId="0" xfId="7" applyFont="1" applyFill="1" applyBorder="1" applyAlignment="1">
      <alignment horizontal="center" vertical="justify" wrapText="1"/>
    </xf>
    <xf numFmtId="0" fontId="30" fillId="2" borderId="107" xfId="7" applyFont="1" applyFill="1" applyBorder="1" applyAlignment="1">
      <alignment horizontal="left"/>
    </xf>
    <xf numFmtId="0" fontId="9" fillId="2" borderId="0" xfId="7" applyFont="1" applyFill="1" applyAlignment="1">
      <alignment horizontal="justify" vertical="justify" wrapText="1"/>
    </xf>
    <xf numFmtId="0" fontId="30" fillId="2" borderId="57" xfId="7" applyFont="1" applyFill="1" applyBorder="1" applyAlignment="1">
      <alignment horizontal="center"/>
    </xf>
    <xf numFmtId="0" fontId="30" fillId="2" borderId="58" xfId="7" applyFont="1" applyFill="1" applyBorder="1" applyAlignment="1">
      <alignment horizontal="center"/>
    </xf>
    <xf numFmtId="0" fontId="30" fillId="2" borderId="59" xfId="7" applyFont="1" applyFill="1" applyBorder="1" applyAlignment="1">
      <alignment horizontal="center"/>
    </xf>
    <xf numFmtId="0" fontId="30" fillId="2" borderId="62" xfId="7" applyFont="1" applyFill="1" applyBorder="1" applyAlignment="1">
      <alignment horizontal="center"/>
    </xf>
    <xf numFmtId="0" fontId="30" fillId="2" borderId="63" xfId="7" applyFont="1" applyFill="1" applyBorder="1" applyAlignment="1">
      <alignment horizontal="center"/>
    </xf>
    <xf numFmtId="0" fontId="30" fillId="2" borderId="78" xfId="7" applyFont="1" applyFill="1" applyBorder="1" applyAlignment="1">
      <alignment horizontal="center"/>
    </xf>
    <xf numFmtId="0" fontId="3" fillId="0" borderId="0" xfId="0" applyFont="1" applyAlignment="1">
      <alignment horizontal="left" wrapText="1"/>
    </xf>
    <xf numFmtId="0" fontId="9" fillId="21" borderId="0" xfId="0" applyFont="1" applyFill="1" applyAlignment="1">
      <alignment horizontal="left" wrapText="1"/>
    </xf>
    <xf numFmtId="0" fontId="9" fillId="0" borderId="0" xfId="0" applyFont="1" applyAlignment="1">
      <alignment horizontal="left" vertical="center" wrapText="1"/>
    </xf>
    <xf numFmtId="0" fontId="3" fillId="2" borderId="20" xfId="7" applyFont="1" applyFill="1" applyBorder="1" applyAlignment="1">
      <alignment horizontal="center" vertical="justify" wrapText="1"/>
    </xf>
    <xf numFmtId="0" fontId="81" fillId="21" borderId="0" xfId="0" applyFont="1" applyFill="1" applyAlignment="1">
      <alignment horizontal="center" vertical="center"/>
    </xf>
    <xf numFmtId="0" fontId="9" fillId="2" borderId="0" xfId="7" applyFont="1" applyFill="1" applyBorder="1" applyAlignment="1">
      <alignment horizontal="center"/>
    </xf>
    <xf numFmtId="0" fontId="9" fillId="2" borderId="0" xfId="7" applyFont="1" applyFill="1" applyBorder="1" applyAlignment="1">
      <alignment horizontal="center" vertical="top"/>
    </xf>
    <xf numFmtId="0" fontId="3" fillId="2" borderId="21" xfId="7" applyFont="1" applyFill="1" applyBorder="1" applyAlignment="1">
      <alignment horizontal="center"/>
    </xf>
    <xf numFmtId="0" fontId="3" fillId="2" borderId="22" xfId="7" applyFont="1" applyFill="1" applyBorder="1" applyAlignment="1">
      <alignment horizontal="center"/>
    </xf>
    <xf numFmtId="0" fontId="3" fillId="2" borderId="26" xfId="7" applyFont="1" applyFill="1" applyBorder="1" applyAlignment="1">
      <alignment horizontal="center" vertical="top"/>
    </xf>
    <xf numFmtId="0" fontId="3" fillId="2" borderId="0" xfId="7" applyFont="1" applyFill="1" applyBorder="1" applyAlignment="1">
      <alignment horizontal="center" vertical="top"/>
    </xf>
    <xf numFmtId="14" fontId="3" fillId="2" borderId="30" xfId="7" applyNumberFormat="1" applyFont="1" applyFill="1" applyBorder="1" applyAlignment="1">
      <alignment horizontal="center"/>
    </xf>
    <xf numFmtId="0" fontId="3" fillId="2" borderId="31" xfId="7" applyFont="1" applyFill="1" applyBorder="1" applyAlignment="1">
      <alignment horizontal="center"/>
    </xf>
    <xf numFmtId="0" fontId="3" fillId="2" borderId="32" xfId="7" applyFont="1" applyFill="1" applyBorder="1" applyAlignment="1">
      <alignment horizontal="center"/>
    </xf>
    <xf numFmtId="0" fontId="3" fillId="0" borderId="64" xfId="7" applyFont="1" applyFill="1" applyBorder="1" applyAlignment="1">
      <alignment horizontal="center"/>
    </xf>
    <xf numFmtId="0" fontId="3" fillId="0" borderId="41" xfId="7" applyFont="1" applyFill="1" applyBorder="1" applyAlignment="1">
      <alignment horizontal="center"/>
    </xf>
    <xf numFmtId="14" fontId="3" fillId="2" borderId="94" xfId="7" applyNumberFormat="1" applyFont="1" applyFill="1" applyBorder="1" applyAlignment="1">
      <alignment horizontal="center"/>
    </xf>
    <xf numFmtId="0" fontId="3" fillId="2" borderId="41" xfId="7" applyFont="1" applyFill="1" applyBorder="1" applyAlignment="1">
      <alignment horizontal="center"/>
    </xf>
    <xf numFmtId="0" fontId="3" fillId="2" borderId="93" xfId="7" applyFont="1" applyFill="1" applyBorder="1" applyAlignment="1">
      <alignment horizontal="center"/>
    </xf>
    <xf numFmtId="1" fontId="3" fillId="2" borderId="94" xfId="7" applyNumberFormat="1" applyFont="1" applyFill="1" applyBorder="1" applyAlignment="1">
      <alignment horizontal="center"/>
    </xf>
    <xf numFmtId="0" fontId="3" fillId="2" borderId="94" xfId="7" applyFont="1" applyFill="1" applyBorder="1" applyAlignment="1">
      <alignment horizontal="center"/>
    </xf>
    <xf numFmtId="0" fontId="3" fillId="2" borderId="38" xfId="7" applyFont="1" applyFill="1" applyBorder="1" applyAlignment="1">
      <alignment horizontal="left"/>
    </xf>
    <xf numFmtId="0" fontId="3" fillId="2" borderId="39" xfId="7" applyFont="1" applyFill="1" applyBorder="1" applyAlignment="1">
      <alignment horizontal="left"/>
    </xf>
    <xf numFmtId="0" fontId="3" fillId="2" borderId="40" xfId="7" applyFont="1" applyFill="1" applyBorder="1" applyAlignment="1">
      <alignment horizontal="left"/>
    </xf>
    <xf numFmtId="0" fontId="3" fillId="2" borderId="91" xfId="7" applyFont="1" applyFill="1" applyBorder="1" applyAlignment="1">
      <alignment horizontal="left" wrapText="1"/>
    </xf>
    <xf numFmtId="0" fontId="3" fillId="2" borderId="70" xfId="7" applyFont="1" applyFill="1" applyBorder="1" applyAlignment="1">
      <alignment horizontal="left" wrapText="1"/>
    </xf>
    <xf numFmtId="0" fontId="3" fillId="2" borderId="71" xfId="7" applyFont="1" applyFill="1" applyBorder="1" applyAlignment="1">
      <alignment horizontal="left" wrapText="1"/>
    </xf>
    <xf numFmtId="0" fontId="3" fillId="2" borderId="55" xfId="7" applyFont="1" applyFill="1" applyBorder="1" applyAlignment="1">
      <alignment horizontal="left" wrapText="1"/>
    </xf>
    <xf numFmtId="0" fontId="3" fillId="2" borderId="0" xfId="7" applyFont="1" applyFill="1" applyBorder="1" applyAlignment="1">
      <alignment horizontal="left" wrapText="1"/>
    </xf>
    <xf numFmtId="0" fontId="3" fillId="2" borderId="54" xfId="7" applyFont="1" applyFill="1" applyBorder="1" applyAlignment="1">
      <alignment horizontal="left" wrapText="1"/>
    </xf>
    <xf numFmtId="0" fontId="3" fillId="2" borderId="27" xfId="7" applyFont="1" applyFill="1" applyBorder="1" applyAlignment="1">
      <alignment horizontal="left"/>
    </xf>
    <xf numFmtId="0" fontId="0" fillId="0" borderId="0" xfId="0" applyAlignment="1">
      <alignment horizontal="left"/>
    </xf>
    <xf numFmtId="0" fontId="0" fillId="0" borderId="28" xfId="0" applyBorder="1" applyAlignment="1">
      <alignment horizontal="left"/>
    </xf>
    <xf numFmtId="0" fontId="3" fillId="2" borderId="33" xfId="7" applyFont="1" applyFill="1" applyBorder="1" applyAlignment="1">
      <alignment horizontal="left"/>
    </xf>
    <xf numFmtId="0" fontId="3" fillId="2" borderId="31" xfId="7" applyFont="1" applyFill="1" applyBorder="1" applyAlignment="1">
      <alignment horizontal="left"/>
    </xf>
    <xf numFmtId="0" fontId="3" fillId="2" borderId="32" xfId="7" applyFont="1" applyFill="1" applyBorder="1" applyAlignment="1">
      <alignment horizontal="left"/>
    </xf>
    <xf numFmtId="0" fontId="3" fillId="2" borderId="38" xfId="7" applyFont="1" applyFill="1" applyBorder="1" applyAlignment="1">
      <alignment horizontal="center"/>
    </xf>
    <xf numFmtId="0" fontId="3" fillId="2" borderId="39" xfId="7" applyFont="1" applyFill="1" applyBorder="1" applyAlignment="1">
      <alignment horizontal="center"/>
    </xf>
    <xf numFmtId="0" fontId="3" fillId="2" borderId="40" xfId="7" applyFont="1" applyFill="1" applyBorder="1" applyAlignment="1">
      <alignment horizontal="center"/>
    </xf>
    <xf numFmtId="0" fontId="3" fillId="2" borderId="69" xfId="7" applyFont="1" applyFill="1" applyBorder="1" applyAlignment="1">
      <alignment horizontal="center"/>
    </xf>
    <xf numFmtId="0" fontId="3" fillId="2" borderId="70" xfId="7" applyFont="1" applyFill="1" applyBorder="1" applyAlignment="1">
      <alignment horizontal="center"/>
    </xf>
    <xf numFmtId="0" fontId="3" fillId="2" borderId="69" xfId="7" applyFont="1" applyFill="1" applyBorder="1" applyAlignment="1">
      <alignment horizontal="center" wrapText="1"/>
    </xf>
    <xf numFmtId="0" fontId="3" fillId="2" borderId="70" xfId="7" applyFont="1" applyFill="1" applyBorder="1" applyAlignment="1">
      <alignment horizontal="center" wrapText="1"/>
    </xf>
    <xf numFmtId="0" fontId="3" fillId="2" borderId="71" xfId="7" applyFont="1" applyFill="1" applyBorder="1" applyAlignment="1">
      <alignment horizontal="center" wrapText="1"/>
    </xf>
    <xf numFmtId="0" fontId="3" fillId="2" borderId="19" xfId="7" applyFont="1" applyFill="1" applyBorder="1" applyAlignment="1">
      <alignment horizontal="center" wrapText="1"/>
    </xf>
    <xf numFmtId="0" fontId="3" fillId="2" borderId="0" xfId="7" applyFont="1" applyFill="1" applyBorder="1" applyAlignment="1">
      <alignment horizontal="center" wrapText="1"/>
    </xf>
    <xf numFmtId="0" fontId="3" fillId="2" borderId="54" xfId="7" applyFont="1" applyFill="1" applyBorder="1" applyAlignment="1">
      <alignment horizontal="center" wrapText="1"/>
    </xf>
    <xf numFmtId="0" fontId="3" fillId="2" borderId="19" xfId="7" applyFont="1" applyFill="1" applyBorder="1" applyAlignment="1">
      <alignment horizontal="center"/>
    </xf>
    <xf numFmtId="0" fontId="3" fillId="2" borderId="0" xfId="7" applyFont="1" applyFill="1" applyBorder="1" applyAlignment="1">
      <alignment horizontal="center"/>
    </xf>
    <xf numFmtId="0" fontId="3" fillId="2" borderId="54" xfId="7" applyFont="1" applyFill="1" applyBorder="1" applyAlignment="1">
      <alignment horizontal="center"/>
    </xf>
    <xf numFmtId="0" fontId="3" fillId="2" borderId="71" xfId="7" applyFont="1" applyFill="1" applyBorder="1" applyAlignment="1">
      <alignment horizontal="center"/>
    </xf>
    <xf numFmtId="0" fontId="3" fillId="2" borderId="92" xfId="7" applyFont="1" applyFill="1" applyBorder="1" applyAlignment="1">
      <alignment horizontal="center"/>
    </xf>
    <xf numFmtId="0" fontId="3" fillId="2" borderId="79" xfId="7" applyFont="1" applyFill="1" applyBorder="1" applyAlignment="1">
      <alignment horizontal="center"/>
    </xf>
    <xf numFmtId="0" fontId="3" fillId="0" borderId="0" xfId="0" applyFont="1" applyAlignment="1">
      <alignment horizontal="left"/>
    </xf>
    <xf numFmtId="0" fontId="3" fillId="2" borderId="62" xfId="7" applyFont="1" applyFill="1" applyBorder="1" applyAlignment="1">
      <alignment horizontal="left"/>
    </xf>
    <xf numFmtId="0" fontId="3" fillId="2" borderId="107" xfId="7" applyFont="1" applyFill="1" applyBorder="1" applyAlignment="1">
      <alignment horizontal="left"/>
    </xf>
    <xf numFmtId="0" fontId="30" fillId="2" borderId="69" xfId="7" applyFont="1" applyFill="1" applyBorder="1" applyAlignment="1">
      <alignment horizontal="center" vertical="center" wrapText="1"/>
    </xf>
    <xf numFmtId="0" fontId="30" fillId="2" borderId="70" xfId="7" applyFont="1" applyFill="1" applyBorder="1" applyAlignment="1">
      <alignment horizontal="center" vertical="center" wrapText="1"/>
    </xf>
    <xf numFmtId="0" fontId="30" fillId="2" borderId="71" xfId="7" applyFont="1" applyFill="1" applyBorder="1" applyAlignment="1">
      <alignment horizontal="center" vertical="center" wrapText="1"/>
    </xf>
    <xf numFmtId="0" fontId="30" fillId="2" borderId="19" xfId="7" applyFont="1" applyFill="1" applyBorder="1" applyAlignment="1">
      <alignment horizontal="center" vertical="center" wrapText="1"/>
    </xf>
    <xf numFmtId="0" fontId="30" fillId="2" borderId="0" xfId="7" applyFont="1" applyFill="1" applyBorder="1" applyAlignment="1">
      <alignment horizontal="center" vertical="center" wrapText="1"/>
    </xf>
    <xf numFmtId="0" fontId="30" fillId="2" borderId="54" xfId="7" applyFont="1" applyFill="1" applyBorder="1" applyAlignment="1">
      <alignment horizontal="center" vertical="center" wrapText="1"/>
    </xf>
    <xf numFmtId="0" fontId="30" fillId="2" borderId="94" xfId="7" applyFont="1" applyFill="1" applyBorder="1" applyAlignment="1">
      <alignment horizontal="center" vertical="center" wrapText="1"/>
    </xf>
    <xf numFmtId="0" fontId="30" fillId="2" borderId="41" xfId="7" applyFont="1" applyFill="1" applyBorder="1" applyAlignment="1">
      <alignment horizontal="center" vertical="center" wrapText="1"/>
    </xf>
    <xf numFmtId="0" fontId="30" fillId="2" borderId="93" xfId="7" applyFont="1" applyFill="1" applyBorder="1" applyAlignment="1">
      <alignment horizontal="center" vertical="center" wrapText="1"/>
    </xf>
    <xf numFmtId="0" fontId="3" fillId="2" borderId="57" xfId="7" applyFont="1" applyFill="1" applyBorder="1" applyAlignment="1">
      <alignment horizontal="center"/>
    </xf>
    <xf numFmtId="0" fontId="3" fillId="2" borderId="58" xfId="7" applyFont="1" applyFill="1" applyBorder="1" applyAlignment="1">
      <alignment horizontal="center"/>
    </xf>
    <xf numFmtId="0" fontId="3" fillId="2" borderId="59" xfId="7" applyFont="1" applyFill="1" applyBorder="1" applyAlignment="1">
      <alignment horizontal="center"/>
    </xf>
    <xf numFmtId="0" fontId="3" fillId="2" borderId="62" xfId="7" applyFont="1" applyFill="1" applyBorder="1" applyAlignment="1">
      <alignment horizontal="center"/>
    </xf>
    <xf numFmtId="0" fontId="3" fillId="2" borderId="63" xfId="7" applyFont="1" applyFill="1" applyBorder="1" applyAlignment="1">
      <alignment horizontal="center"/>
    </xf>
    <xf numFmtId="0" fontId="3" fillId="2" borderId="78" xfId="7" applyFont="1" applyFill="1" applyBorder="1" applyAlignment="1">
      <alignment horizontal="center"/>
    </xf>
    <xf numFmtId="10" fontId="3" fillId="2" borderId="94" xfId="11" applyNumberFormat="1" applyFont="1" applyFill="1" applyBorder="1" applyAlignment="1">
      <alignment horizontal="center" vertical="top"/>
    </xf>
    <xf numFmtId="10" fontId="3" fillId="2" borderId="41" xfId="11" applyNumberFormat="1" applyFont="1" applyFill="1" applyBorder="1" applyAlignment="1">
      <alignment horizontal="center" vertical="top"/>
    </xf>
    <xf numFmtId="10" fontId="3" fillId="2" borderId="63" xfId="11" applyNumberFormat="1" applyFont="1" applyFill="1" applyBorder="1" applyAlignment="1">
      <alignment horizontal="center" vertical="top"/>
    </xf>
    <xf numFmtId="0" fontId="3" fillId="2" borderId="0" xfId="7" applyFont="1" applyFill="1" applyBorder="1" applyAlignment="1">
      <alignment horizontal="left" vertical="center" wrapText="1"/>
    </xf>
    <xf numFmtId="0" fontId="3" fillId="2" borderId="80" xfId="7" applyFont="1" applyFill="1" applyBorder="1" applyAlignment="1">
      <alignment horizontal="center"/>
    </xf>
    <xf numFmtId="0" fontId="3" fillId="2" borderId="81" xfId="7" applyFont="1" applyFill="1" applyBorder="1" applyAlignment="1">
      <alignment horizontal="center"/>
    </xf>
    <xf numFmtId="0" fontId="3" fillId="2" borderId="82" xfId="7" applyFont="1" applyFill="1" applyBorder="1" applyAlignment="1">
      <alignment horizontal="center"/>
    </xf>
    <xf numFmtId="0" fontId="3" fillId="2" borderId="80" xfId="7" applyFont="1" applyFill="1" applyBorder="1" applyAlignment="1">
      <alignment horizontal="center" vertical="center"/>
    </xf>
    <xf numFmtId="0" fontId="3" fillId="2" borderId="81" xfId="7" applyFont="1" applyFill="1" applyBorder="1" applyAlignment="1">
      <alignment horizontal="center" vertical="center"/>
    </xf>
    <xf numFmtId="0" fontId="3" fillId="2" borderId="82" xfId="7" applyFont="1" applyFill="1" applyBorder="1" applyAlignment="1">
      <alignment horizontal="center" vertical="center"/>
    </xf>
    <xf numFmtId="0" fontId="3" fillId="2" borderId="55" xfId="7" applyFont="1" applyFill="1" applyBorder="1" applyAlignment="1">
      <alignment horizontal="center"/>
    </xf>
    <xf numFmtId="0" fontId="3" fillId="2" borderId="56" xfId="7" applyFont="1" applyFill="1" applyBorder="1" applyAlignment="1">
      <alignment horizontal="center"/>
    </xf>
    <xf numFmtId="14" fontId="3" fillId="2" borderId="20" xfId="7" applyNumberFormat="1" applyFont="1" applyFill="1" applyBorder="1" applyAlignment="1">
      <alignment horizontal="center"/>
    </xf>
    <xf numFmtId="0" fontId="3" fillId="2" borderId="20" xfId="7" applyFont="1" applyFill="1" applyBorder="1" applyAlignment="1">
      <alignment horizontal="center"/>
    </xf>
    <xf numFmtId="0" fontId="3" fillId="2" borderId="0" xfId="7" applyFont="1" applyFill="1" applyBorder="1" applyAlignment="1">
      <alignment horizontal="right" vertical="center"/>
    </xf>
    <xf numFmtId="14" fontId="3" fillId="2" borderId="20" xfId="7" applyNumberFormat="1" applyFont="1" applyFill="1" applyBorder="1" applyAlignment="1">
      <alignment horizontal="center" vertical="center"/>
    </xf>
    <xf numFmtId="0" fontId="3" fillId="2" borderId="20" xfId="7" applyFont="1" applyFill="1" applyBorder="1" applyAlignment="1">
      <alignment horizontal="center" vertical="center"/>
    </xf>
    <xf numFmtId="10" fontId="3" fillId="2" borderId="93" xfId="11" applyNumberFormat="1" applyFont="1" applyFill="1" applyBorder="1" applyAlignment="1">
      <alignment horizontal="center" vertical="top"/>
    </xf>
    <xf numFmtId="0" fontId="83" fillId="21" borderId="0" xfId="0" applyFont="1" applyFill="1" applyAlignment="1">
      <alignment horizontal="left" vertical="center" wrapText="1"/>
    </xf>
    <xf numFmtId="0" fontId="9" fillId="0" borderId="0" xfId="0" applyFont="1" applyAlignment="1">
      <alignment horizontal="left" wrapText="1"/>
    </xf>
    <xf numFmtId="0" fontId="3" fillId="2" borderId="0" xfId="7" applyFont="1" applyFill="1" applyBorder="1" applyAlignment="1">
      <alignment horizontal="center" vertical="justify" wrapText="1"/>
    </xf>
    <xf numFmtId="14" fontId="43" fillId="2" borderId="33" xfId="0" applyNumberFormat="1" applyFont="1" applyFill="1" applyBorder="1" applyAlignment="1">
      <alignment horizontal="left"/>
    </xf>
    <xf numFmtId="0" fontId="43" fillId="2" borderId="64" xfId="0" applyFont="1" applyFill="1" applyBorder="1" applyAlignment="1">
      <alignment horizontal="center"/>
    </xf>
    <xf numFmtId="0" fontId="64" fillId="21" borderId="0" xfId="0" applyFont="1" applyFill="1" applyAlignment="1">
      <alignment horizontal="justify" vertical="justify" wrapText="1"/>
    </xf>
    <xf numFmtId="0" fontId="62" fillId="21" borderId="0" xfId="0" applyFont="1" applyFill="1" applyAlignment="1">
      <alignment horizontal="justify" vertical="justify" wrapText="1"/>
    </xf>
    <xf numFmtId="10" fontId="43" fillId="2" borderId="65" xfId="11" applyNumberFormat="1" applyFont="1" applyFill="1" applyBorder="1" applyAlignment="1">
      <alignment horizontal="center"/>
    </xf>
    <xf numFmtId="169" fontId="44" fillId="2" borderId="64" xfId="11" applyNumberFormat="1" applyFont="1" applyFill="1" applyBorder="1" applyAlignment="1">
      <alignment horizontal="right"/>
    </xf>
    <xf numFmtId="169" fontId="44" fillId="2" borderId="41" xfId="11" applyNumberFormat="1" applyFont="1" applyFill="1" applyBorder="1" applyAlignment="1">
      <alignment horizontal="right"/>
    </xf>
    <xf numFmtId="0" fontId="43" fillId="2" borderId="65" xfId="0" applyFont="1" applyFill="1" applyBorder="1" applyAlignment="1">
      <alignment horizontal="left"/>
    </xf>
    <xf numFmtId="10" fontId="43" fillId="2" borderId="48" xfId="11" applyNumberFormat="1" applyFont="1" applyFill="1" applyBorder="1" applyAlignment="1">
      <alignment horizontal="center"/>
    </xf>
    <xf numFmtId="0" fontId="42" fillId="2" borderId="49" xfId="0" applyFont="1" applyFill="1" applyBorder="1" applyAlignment="1">
      <alignment horizontal="left"/>
    </xf>
    <xf numFmtId="0" fontId="42" fillId="2" borderId="52" xfId="0" applyFont="1" applyFill="1" applyBorder="1" applyAlignment="1">
      <alignment horizontal="left"/>
    </xf>
    <xf numFmtId="0" fontId="9" fillId="21" borderId="0" xfId="0" applyFont="1" applyFill="1" applyAlignment="1">
      <alignment horizontal="center" wrapText="1"/>
    </xf>
    <xf numFmtId="1" fontId="43" fillId="2" borderId="48" xfId="0" applyNumberFormat="1" applyFont="1" applyFill="1" applyBorder="1" applyAlignment="1">
      <alignment horizontal="center" vertical="center"/>
    </xf>
    <xf numFmtId="0" fontId="43" fillId="2" borderId="52" xfId="0" applyFont="1" applyFill="1" applyBorder="1" applyAlignment="1">
      <alignment horizontal="center" vertical="center"/>
    </xf>
    <xf numFmtId="0" fontId="9" fillId="0" borderId="0" xfId="0" applyFont="1" applyAlignment="1">
      <alignment horizontal="center" wrapText="1"/>
    </xf>
    <xf numFmtId="10" fontId="42" fillId="2" borderId="62" xfId="11" applyNumberFormat="1" applyFont="1" applyFill="1" applyBorder="1" applyAlignment="1">
      <alignment horizontal="center" vertical="top"/>
    </xf>
    <xf numFmtId="10" fontId="42" fillId="2" borderId="41" xfId="11" applyNumberFormat="1" applyFont="1" applyFill="1" applyBorder="1" applyAlignment="1">
      <alignment horizontal="center" vertical="top"/>
    </xf>
    <xf numFmtId="10" fontId="42" fillId="2" borderId="65" xfId="11" applyNumberFormat="1" applyFont="1" applyFill="1" applyBorder="1" applyAlignment="1">
      <alignment horizontal="center" vertical="top"/>
    </xf>
    <xf numFmtId="0" fontId="43" fillId="0" borderId="49" xfId="0" applyFont="1" applyFill="1" applyBorder="1" applyAlignment="1">
      <alignment horizontal="center"/>
    </xf>
    <xf numFmtId="14" fontId="43" fillId="2" borderId="48" xfId="0" applyNumberFormat="1" applyFont="1" applyFill="1" applyBorder="1" applyAlignment="1">
      <alignment horizontal="center"/>
    </xf>
    <xf numFmtId="0" fontId="42" fillId="2" borderId="62" xfId="0" applyFont="1" applyFill="1" applyBorder="1" applyAlignment="1">
      <alignment horizontal="center" vertical="center"/>
    </xf>
    <xf numFmtId="0" fontId="42" fillId="2" borderId="41" xfId="0" applyFont="1" applyFill="1" applyBorder="1" applyAlignment="1">
      <alignment horizontal="center" vertical="center"/>
    </xf>
    <xf numFmtId="0" fontId="42" fillId="2" borderId="63" xfId="0" applyFont="1" applyFill="1" applyBorder="1" applyAlignment="1">
      <alignment horizontal="center" vertical="center"/>
    </xf>
    <xf numFmtId="0" fontId="86" fillId="18" borderId="0" xfId="16" applyFont="1" applyFill="1"/>
    <xf numFmtId="0" fontId="1" fillId="18" borderId="0" xfId="16" applyFill="1"/>
    <xf numFmtId="0" fontId="1" fillId="0" borderId="0" xfId="16"/>
    <xf numFmtId="0" fontId="88" fillId="11" borderId="1" xfId="17" applyFont="1" applyFill="1" applyBorder="1" applyAlignment="1">
      <alignment horizontal="right" vertical="center" indent="1"/>
    </xf>
    <xf numFmtId="0" fontId="1" fillId="0" borderId="1" xfId="17" applyBorder="1" applyAlignment="1">
      <alignment horizontal="left" indent="2"/>
    </xf>
    <xf numFmtId="0" fontId="88" fillId="11" borderId="1" xfId="17" applyFont="1" applyFill="1" applyBorder="1" applyAlignment="1">
      <alignment horizontal="right" vertical="center" wrapText="1" indent="1"/>
    </xf>
    <xf numFmtId="0" fontId="1" fillId="0" borderId="1" xfId="17" quotePrefix="1" applyFont="1" applyBorder="1" applyAlignment="1">
      <alignment horizontal="left" indent="2"/>
    </xf>
    <xf numFmtId="175" fontId="88" fillId="0" borderId="1" xfId="17" applyNumberFormat="1" applyFont="1" applyFill="1" applyBorder="1" applyAlignment="1">
      <alignment horizontal="center" vertical="center"/>
    </xf>
    <xf numFmtId="176" fontId="88" fillId="0" borderId="1" xfId="17" applyNumberFormat="1" applyFont="1" applyFill="1" applyBorder="1" applyAlignment="1">
      <alignment horizontal="center" vertical="center"/>
    </xf>
    <xf numFmtId="177" fontId="89" fillId="0" borderId="8" xfId="17" applyNumberFormat="1" applyFont="1" applyFill="1" applyBorder="1" applyAlignment="1">
      <alignment horizontal="left" vertical="center" wrapText="1" indent="1"/>
    </xf>
    <xf numFmtId="177" fontId="89" fillId="0" borderId="10" xfId="17" applyNumberFormat="1" applyFont="1" applyFill="1" applyBorder="1" applyAlignment="1">
      <alignment horizontal="left" vertical="center" wrapText="1" indent="1"/>
    </xf>
    <xf numFmtId="0" fontId="86" fillId="0" borderId="1" xfId="16" applyFont="1" applyBorder="1" applyAlignment="1">
      <alignment horizontal="center"/>
    </xf>
    <xf numFmtId="0" fontId="1" fillId="0" borderId="0" xfId="16" applyAlignment="1">
      <alignment horizontal="center"/>
    </xf>
    <xf numFmtId="0" fontId="86" fillId="0" borderId="0" xfId="16" applyFont="1" applyAlignment="1">
      <alignment horizontal="center"/>
    </xf>
    <xf numFmtId="0" fontId="88" fillId="11" borderId="1" xfId="16" applyFont="1" applyFill="1" applyBorder="1" applyAlignment="1">
      <alignment horizontal="center"/>
    </xf>
    <xf numFmtId="0" fontId="1" fillId="0" borderId="0" xfId="16" applyFill="1" applyBorder="1" applyAlignment="1">
      <alignment horizontal="center"/>
    </xf>
    <xf numFmtId="0" fontId="1" fillId="0" borderId="0" xfId="17" applyFont="1"/>
    <xf numFmtId="0" fontId="1" fillId="0" borderId="0" xfId="17"/>
    <xf numFmtId="0" fontId="86" fillId="19" borderId="0" xfId="17" applyFont="1" applyFill="1"/>
    <xf numFmtId="0" fontId="1" fillId="19" borderId="0" xfId="17" applyFill="1"/>
    <xf numFmtId="0" fontId="1" fillId="19" borderId="0" xfId="17" applyFont="1" applyFill="1" applyAlignment="1">
      <alignment horizontal="right" indent="1"/>
    </xf>
    <xf numFmtId="0" fontId="86" fillId="19" borderId="0" xfId="17" applyFont="1" applyFill="1" applyAlignment="1">
      <alignment horizontal="center"/>
    </xf>
    <xf numFmtId="178" fontId="85" fillId="0" borderId="0" xfId="17" applyNumberFormat="1" applyFont="1" applyAlignment="1">
      <alignment horizontal="left"/>
    </xf>
    <xf numFmtId="0" fontId="85" fillId="0" borderId="0" xfId="17" applyFont="1" applyAlignment="1">
      <alignment horizontal="center"/>
    </xf>
    <xf numFmtId="179" fontId="88" fillId="11" borderId="1" xfId="17" applyNumberFormat="1" applyFont="1" applyFill="1" applyBorder="1" applyAlignment="1">
      <alignment horizontal="center" vertical="center" wrapText="1"/>
    </xf>
    <xf numFmtId="0" fontId="87" fillId="0" borderId="0" xfId="17" applyFont="1" applyFill="1" applyAlignment="1">
      <alignment horizontal="center" vertical="center"/>
    </xf>
    <xf numFmtId="0" fontId="86" fillId="20" borderId="112" xfId="17" applyFont="1" applyFill="1" applyBorder="1" applyAlignment="1">
      <alignment vertical="center"/>
    </xf>
    <xf numFmtId="0" fontId="1" fillId="20" borderId="113" xfId="17" applyFill="1" applyBorder="1"/>
    <xf numFmtId="0" fontId="1" fillId="20" borderId="114" xfId="17" applyFill="1" applyBorder="1"/>
    <xf numFmtId="0" fontId="0" fillId="0" borderId="1" xfId="17" applyFont="1" applyFill="1" applyBorder="1" applyProtection="1">
      <protection locked="0"/>
    </xf>
    <xf numFmtId="0" fontId="1" fillId="0" borderId="8" xfId="17" applyFill="1" applyBorder="1" applyAlignment="1" applyProtection="1">
      <alignment horizontal="left" vertical="center" wrapText="1"/>
      <protection locked="0"/>
    </xf>
    <xf numFmtId="0" fontId="1" fillId="13" borderId="9" xfId="17" applyFill="1" applyBorder="1" applyAlignment="1" applyProtection="1">
      <alignment horizontal="left" vertical="center"/>
      <protection locked="0"/>
    </xf>
    <xf numFmtId="0" fontId="1" fillId="13" borderId="10" xfId="17" applyFill="1" applyBorder="1" applyAlignment="1" applyProtection="1">
      <alignment horizontal="left" vertical="center"/>
      <protection locked="0"/>
    </xf>
    <xf numFmtId="0" fontId="1" fillId="24" borderId="0" xfId="17" applyFill="1"/>
    <xf numFmtId="0" fontId="1" fillId="24" borderId="0" xfId="17" applyFill="1" applyAlignment="1">
      <alignment horizontal="left" vertical="center" indent="1"/>
    </xf>
    <xf numFmtId="0" fontId="1" fillId="24" borderId="0" xfId="17" applyFill="1" applyAlignment="1">
      <alignment vertical="center"/>
    </xf>
    <xf numFmtId="0" fontId="1" fillId="0" borderId="1" xfId="17" applyFont="1" applyFill="1" applyBorder="1" applyProtection="1">
      <protection locked="0"/>
    </xf>
    <xf numFmtId="0" fontId="1" fillId="25" borderId="0" xfId="17" applyFill="1"/>
    <xf numFmtId="0" fontId="1" fillId="25" borderId="0" xfId="17" applyFill="1" applyAlignment="1">
      <alignment horizontal="left" vertical="center" indent="1"/>
    </xf>
    <xf numFmtId="0" fontId="1" fillId="25" borderId="0" xfId="17" applyFill="1" applyAlignment="1">
      <alignment vertical="center"/>
    </xf>
    <xf numFmtId="0" fontId="1" fillId="0" borderId="1" xfId="17" applyFill="1" applyBorder="1" applyProtection="1">
      <protection locked="0"/>
    </xf>
    <xf numFmtId="0" fontId="93" fillId="25" borderId="0" xfId="17" applyFont="1" applyFill="1" applyAlignment="1">
      <alignment horizontal="right" vertical="center" indent="1"/>
    </xf>
    <xf numFmtId="0" fontId="1" fillId="26" borderId="1" xfId="17" applyFill="1" applyBorder="1" applyAlignment="1" applyProtection="1">
      <alignment horizontal="center" vertical="center"/>
    </xf>
    <xf numFmtId="0" fontId="1" fillId="27" borderId="0" xfId="17" applyFill="1"/>
    <xf numFmtId="0" fontId="1" fillId="27" borderId="0" xfId="17" applyFill="1" applyAlignment="1">
      <alignment horizontal="left" vertical="center" indent="1"/>
    </xf>
    <xf numFmtId="0" fontId="1" fillId="27" borderId="0" xfId="17" applyFill="1" applyAlignment="1">
      <alignment vertical="center"/>
    </xf>
    <xf numFmtId="0" fontId="86" fillId="18" borderId="0" xfId="17" applyFont="1" applyFill="1" applyAlignment="1">
      <alignment vertical="center"/>
    </xf>
    <xf numFmtId="0" fontId="1" fillId="18" borderId="0" xfId="17" applyFill="1"/>
    <xf numFmtId="0" fontId="87" fillId="0" borderId="0" xfId="17" applyFont="1" applyProtection="1">
      <protection locked="0"/>
    </xf>
    <xf numFmtId="0" fontId="1" fillId="0" borderId="0" xfId="17" applyProtection="1">
      <protection locked="0"/>
    </xf>
    <xf numFmtId="0" fontId="94" fillId="20" borderId="115" xfId="17" applyFont="1" applyFill="1" applyBorder="1" applyAlignment="1" applyProtection="1">
      <alignment vertical="center"/>
      <protection locked="0"/>
    </xf>
    <xf numFmtId="0" fontId="94" fillId="20" borderId="113" xfId="17" applyFont="1" applyFill="1" applyBorder="1" applyAlignment="1" applyProtection="1">
      <alignment vertical="center"/>
      <protection locked="0"/>
    </xf>
    <xf numFmtId="0" fontId="94" fillId="20" borderId="113" xfId="17" applyFont="1" applyFill="1" applyBorder="1" applyAlignment="1" applyProtection="1">
      <alignment horizontal="center" vertical="center"/>
      <protection locked="0"/>
    </xf>
    <xf numFmtId="0" fontId="1" fillId="20" borderId="113" xfId="17" applyFill="1" applyBorder="1" applyProtection="1">
      <protection locked="0"/>
    </xf>
    <xf numFmtId="0" fontId="1" fillId="20" borderId="114" xfId="17" applyFill="1" applyBorder="1" applyProtection="1">
      <protection locked="0"/>
    </xf>
    <xf numFmtId="0" fontId="95" fillId="0" borderId="8" xfId="17" applyFont="1" applyBorder="1" applyAlignment="1" applyProtection="1">
      <alignment horizontal="left" vertical="center"/>
      <protection locked="0"/>
    </xf>
    <xf numFmtId="0" fontId="95" fillId="0" borderId="9" xfId="17" applyFont="1" applyBorder="1" applyAlignment="1" applyProtection="1">
      <alignment horizontal="left" vertical="center"/>
      <protection locked="0"/>
    </xf>
    <xf numFmtId="0" fontId="95" fillId="0" borderId="10" xfId="17" applyFont="1" applyBorder="1" applyAlignment="1" applyProtection="1">
      <alignment horizontal="left" vertical="center"/>
      <protection locked="0"/>
    </xf>
    <xf numFmtId="0" fontId="1" fillId="28" borderId="0" xfId="17" applyFont="1" applyFill="1"/>
    <xf numFmtId="0" fontId="1" fillId="28" borderId="0" xfId="17" applyFill="1"/>
    <xf numFmtId="0" fontId="86" fillId="28" borderId="0" xfId="17" applyFont="1" applyFill="1" applyAlignment="1">
      <alignment horizontal="center"/>
    </xf>
    <xf numFmtId="0" fontId="89" fillId="24" borderId="0" xfId="17" applyFont="1" applyFill="1"/>
    <xf numFmtId="0" fontId="1" fillId="24" borderId="0" xfId="17" applyFont="1" applyFill="1" applyAlignment="1">
      <alignment horizontal="left" vertical="center" indent="1"/>
    </xf>
    <xf numFmtId="0" fontId="1" fillId="27" borderId="0" xfId="17" applyFont="1" applyFill="1" applyAlignment="1">
      <alignment horizontal="left" vertical="center" indent="1"/>
    </xf>
  </cellXfs>
  <cellStyles count="18">
    <cellStyle name="Comma" xfId="1" builtinId="3"/>
    <cellStyle name="Currency" xfId="3" builtinId="4"/>
    <cellStyle name="Millares 2" xfId="2"/>
    <cellStyle name="Moneda 2" xfId="4"/>
    <cellStyle name="Moneda 2 2" xfId="5"/>
    <cellStyle name="Normal" xfId="0" builtinId="0"/>
    <cellStyle name="Normal 2" xfId="6"/>
    <cellStyle name="Normal 2 2" xfId="7"/>
    <cellStyle name="Normal 2 2 2" xfId="8"/>
    <cellStyle name="Normal 3" xfId="9"/>
    <cellStyle name="Normal 3 2" xfId="14"/>
    <cellStyle name="Normal 4" xfId="10"/>
    <cellStyle name="Normal 4 2" xfId="15"/>
    <cellStyle name="Normal 4 3" xfId="17"/>
    <cellStyle name="Normal 5" xfId="16"/>
    <cellStyle name="Percent" xfId="11" builtinId="5"/>
    <cellStyle name="Porcentual 2" xfId="12"/>
    <cellStyle name="Porcentual 2 2" xfId="13"/>
  </cellStyles>
  <dxfs count="1">
    <dxf>
      <font>
        <condense val="0"/>
        <extend val="0"/>
        <color rgb="FF9C0006"/>
      </font>
      <fill>
        <patternFill>
          <bgColor rgb="FFFFC7CE"/>
        </patternFill>
      </fill>
    </dxf>
  </dxfs>
  <tableStyles count="0" defaultTableStyle="TableStyleMedium9" defaultPivotStyle="PivotStyleLight16"/>
  <colors>
    <mruColors>
      <color rgb="FF9B2D2A"/>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Drop" dropLines="6" dropStyle="combo" dx="16" fmlaLink="Parámetros!$B$1" fmlaRange="Parámetros!$B$2" sel="1" val="0"/>
</file>

<file path=xl/ctrlProps/ctrlProp13.xml><?xml version="1.0" encoding="utf-8"?>
<formControlPr xmlns="http://schemas.microsoft.com/office/spreadsheetml/2009/9/main" objectType="Drop" dropLines="6" dropStyle="combo" dx="16" fmlaLink="Parámetros!$A$5" fmlaRange="Parámetros!$B$7:$B$10" sel="2" val="0"/>
</file>

<file path=xl/ctrlProps/ctrlProp14.xml><?xml version="1.0" encoding="utf-8"?>
<formControlPr xmlns="http://schemas.microsoft.com/office/spreadsheetml/2009/9/main" objectType="Drop" dropLines="6" dropStyle="combo" dx="16" fmlaLink="$E$17" fmlaRange="Parámetros!$B$34:$B$35" sel="1" val="0"/>
</file>

<file path=xl/ctrlProps/ctrlProp15.xml><?xml version="1.0" encoding="utf-8"?>
<formControlPr xmlns="http://schemas.microsoft.com/office/spreadsheetml/2009/9/main" objectType="Drop" dropLines="4" dropStyle="combo" dx="16" fmlaLink="Combos!$C$16" fmlaRange="Combos!$B$17:$B$20" sel="1" val="0"/>
</file>

<file path=xl/ctrlProps/ctrlProp16.xml><?xml version="1.0" encoding="utf-8"?>
<formControlPr xmlns="http://schemas.microsoft.com/office/spreadsheetml/2009/9/main" objectType="Drop" dropLines="9" dropStyle="combo" dx="16" fmlaLink="Combos!$C$1" fmlaRange="Combos!$B$2:$B$10" noThreeD="1" sel="1" val="0"/>
</file>

<file path=xl/ctrlProps/ctrlProp17.xml><?xml version="1.0" encoding="utf-8"?>
<formControlPr xmlns="http://schemas.microsoft.com/office/spreadsheetml/2009/9/main" objectType="Drop" dropLines="2" dropStyle="combo" dx="16" fmlaLink="Combos!$C$12" fmlaRange="Combos!$B$13:$B$14" sel="1" val="0"/>
</file>

<file path=xl/ctrlProps/ctrlProp18.xml><?xml version="1.0" encoding="utf-8"?>
<formControlPr xmlns="http://schemas.microsoft.com/office/spreadsheetml/2009/9/main" objectType="Drop" dropLines="5" dropStyle="combo" dx="16" fmlaLink="Parámetros!$B$11" fmlaRange="Parámetros!$B$12:$B$16" sel="5" val="0"/>
</file>

<file path=xl/ctrlProps/ctrlProp19.xml><?xml version="1.0" encoding="utf-8"?>
<formControlPr xmlns="http://schemas.microsoft.com/office/spreadsheetml/2009/9/main" objectType="Drop" dropLines="7" dropStyle="combo" dx="16" fmlaLink="'Menu Principal'!$E$13" fmlaRange="Parámetros!$B$23:$B$29" sel="1" val="0"/>
</file>

<file path=xl/ctrlProps/ctrlProp20.xml><?xml version="1.0" encoding="utf-8"?>
<formControlPr xmlns="http://schemas.microsoft.com/office/spreadsheetml/2009/9/main" objectType="Drop" dropLines="2" dropStyle="combo" dx="16" fmlaLink="Combos!$C$22" fmlaRange="Combos!$B$23:$B$24" sel="1" val="0"/>
</file>

<file path=xl/ctrlProps/ctrlProp21.xml><?xml version="1.0" encoding="utf-8"?>
<formControlPr xmlns="http://schemas.microsoft.com/office/spreadsheetml/2009/9/main" objectType="Drop" dropLines="6" dropStyle="combo" dx="16" fmlaLink="$E$14" fmlaRange="Parámetros!$B$31:$B$32" sel="1" val="0"/>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28673" name="btnCerrarLibro"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cs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28674" name="btnResaltarNombresInválidos" hidden="1">
              <a:extLst>
                <a:ext uri="{63B3BB69-23CF-44E3-9099-C40C66FF867C}">
                  <a14:compatExt spid="_x0000_s286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28675" name="checkProtegerContraseña"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28676" name="btnCopiarMódulo" hidden="1">
              <a:extLst>
                <a:ext uri="{63B3BB69-23CF-44E3-9099-C40C66FF867C}">
                  <a14:compatExt spid="_x0000_s286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28677" name="checkRegistrarMensaje"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28678" name="checkProtegerHojasConContraseña"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28679" name="btnRegistrarMensaje" hidden="1">
              <a:extLst>
                <a:ext uri="{63B3BB69-23CF-44E3-9099-C40C66FF867C}">
                  <a14:compatExt spid="_x0000_s286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28680" name="btnEliminarMódulo" hidden="1">
              <a:extLst>
                <a:ext uri="{63B3BB69-23CF-44E3-9099-C40C66FF867C}">
                  <a14:compatExt spid="_x0000_s286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28681" name="btnPseudoCierre" hidden="1">
              <a:extLst>
                <a:ext uri="{63B3BB69-23CF-44E3-9099-C40C66FF867C}">
                  <a14:compatExt spid="_x0000_s286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28682" name="Check Box 10" hidden="1">
              <a:extLst>
                <a:ext uri="{63B3BB69-23CF-44E3-9099-C40C66FF867C}">
                  <a14:compatExt spid="_x0000_s286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28683" name="Check Box 11" hidden="1">
              <a:extLst>
                <a:ext uri="{63B3BB69-23CF-44E3-9099-C40C66FF867C}">
                  <a14:compatExt spid="_x0000_s28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219075</xdr:rowOff>
    </xdr:from>
    <xdr:to>
      <xdr:col>0</xdr:col>
      <xdr:colOff>1038225</xdr:colOff>
      <xdr:row>5</xdr:row>
      <xdr:rowOff>19050</xdr:rowOff>
    </xdr:to>
    <xdr:pic>
      <xdr:nvPicPr>
        <xdr:cNvPr id="1122" name="Picture 1" descr="CREDIACTIVO PESOS"/>
        <xdr:cNvPicPr>
          <a:picLocks noChangeAspect="1" noChangeArrowheads="1"/>
        </xdr:cNvPicPr>
      </xdr:nvPicPr>
      <xdr:blipFill>
        <a:blip xmlns:r="http://schemas.openxmlformats.org/officeDocument/2006/relationships" r:embed="rId1" cstate="print"/>
        <a:srcRect l="7947" t="7216" r="19867" b="15463"/>
        <a:stretch>
          <a:fillRect/>
        </a:stretch>
      </xdr:blipFill>
      <xdr:spPr bwMode="auto">
        <a:xfrm>
          <a:off x="0" y="85725"/>
          <a:ext cx="1038225" cy="7048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4</xdr:col>
          <xdr:colOff>0</xdr:colOff>
          <xdr:row>7</xdr:row>
          <xdr:rowOff>30480</xdr:rowOff>
        </xdr:from>
        <xdr:to>
          <xdr:col>6</xdr:col>
          <xdr:colOff>7620</xdr:colOff>
          <xdr:row>7</xdr:row>
          <xdr:rowOff>198120</xdr:rowOff>
        </xdr:to>
        <xdr:sp macro="" textlink="">
          <xdr:nvSpPr>
            <xdr:cNvPr id="1027" name="Drop Down 3" hidden="1">
              <a:extLst>
                <a:ext uri="{63B3BB69-23CF-44E3-9099-C40C66FF867C}">
                  <a14:compatExt spid="_x0000_s102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22860</xdr:rowOff>
        </xdr:from>
        <xdr:to>
          <xdr:col>6</xdr:col>
          <xdr:colOff>7620</xdr:colOff>
          <xdr:row>10</xdr:row>
          <xdr:rowOff>190500</xdr:rowOff>
        </xdr:to>
        <xdr:sp macro="" textlink="">
          <xdr:nvSpPr>
            <xdr:cNvPr id="1029" name="Drop Down 5" hidden="1">
              <a:extLst>
                <a:ext uri="{63B3BB69-23CF-44E3-9099-C40C66FF867C}">
                  <a14:compatExt spid="_x0000_s102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30480</xdr:rowOff>
        </xdr:from>
        <xdr:to>
          <xdr:col>6</xdr:col>
          <xdr:colOff>7620</xdr:colOff>
          <xdr:row>16</xdr:row>
          <xdr:rowOff>198120</xdr:rowOff>
        </xdr:to>
        <xdr:sp macro="" textlink="">
          <xdr:nvSpPr>
            <xdr:cNvPr id="1031" name="Drop Down 7" hidden="1">
              <a:extLst>
                <a:ext uri="{63B3BB69-23CF-44E3-9099-C40C66FF867C}">
                  <a14:compatExt spid="_x0000_s103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0</xdr:rowOff>
    </xdr:from>
    <xdr:to>
      <xdr:col>5</xdr:col>
      <xdr:colOff>609600</xdr:colOff>
      <xdr:row>1</xdr:row>
      <xdr:rowOff>76200</xdr:rowOff>
    </xdr:to>
    <xdr:sp macro="" textlink="">
      <xdr:nvSpPr>
        <xdr:cNvPr id="2" name="Text Box 12"/>
        <xdr:cNvSpPr txBox="1">
          <a:spLocks noChangeArrowheads="1"/>
        </xdr:cNvSpPr>
      </xdr:nvSpPr>
      <xdr:spPr bwMode="auto">
        <a:xfrm>
          <a:off x="19050" y="0"/>
          <a:ext cx="7029450" cy="26670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a:lstStyle/>
        <a:p>
          <a:pPr algn="ctr"/>
          <a:r>
            <a:rPr lang="es-MX" b="1">
              <a:solidFill>
                <a:schemeClr val="bg1"/>
              </a:solidFill>
            </a:rPr>
            <a:t>Captura</a:t>
          </a:r>
          <a:r>
            <a:rPr lang="es-MX" b="1" baseline="0">
              <a:solidFill>
                <a:schemeClr val="bg1"/>
              </a:solidFill>
            </a:rPr>
            <a:t> de Contrato Crediactivo </a:t>
          </a:r>
          <a:endParaRPr lang="es-MX" b="1">
            <a:solidFill>
              <a:schemeClr val="bg1"/>
            </a:solidFill>
          </a:endParaRPr>
        </a:p>
      </xdr:txBody>
    </xdr:sp>
    <xdr:clientData/>
  </xdr:twoCellAnchor>
  <xdr:twoCellAnchor>
    <xdr:from>
      <xdr:col>0</xdr:col>
      <xdr:colOff>0</xdr:colOff>
      <xdr:row>147</xdr:row>
      <xdr:rowOff>47625</xdr:rowOff>
    </xdr:from>
    <xdr:to>
      <xdr:col>5</xdr:col>
      <xdr:colOff>361950</xdr:colOff>
      <xdr:row>148</xdr:row>
      <xdr:rowOff>142875</xdr:rowOff>
    </xdr:to>
    <xdr:sp macro="" textlink="">
      <xdr:nvSpPr>
        <xdr:cNvPr id="3" name="Text Box 12"/>
        <xdr:cNvSpPr txBox="1">
          <a:spLocks noChangeArrowheads="1"/>
        </xdr:cNvSpPr>
      </xdr:nvSpPr>
      <xdr:spPr bwMode="auto">
        <a:xfrm>
          <a:off x="0" y="24784050"/>
          <a:ext cx="7029450" cy="26670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sp>
    <xdr:clientData/>
  </xdr:twoCellAnchor>
  <xdr:twoCellAnchor>
    <xdr:from>
      <xdr:col>3</xdr:col>
      <xdr:colOff>1895475</xdr:colOff>
      <xdr:row>0</xdr:row>
      <xdr:rowOff>9525</xdr:rowOff>
    </xdr:from>
    <xdr:to>
      <xdr:col>5</xdr:col>
      <xdr:colOff>364005</xdr:colOff>
      <xdr:row>1</xdr:row>
      <xdr:rowOff>63397</xdr:rowOff>
    </xdr:to>
    <xdr:sp macro="[0]!Tipo_de_Contrato" textlink="">
      <xdr:nvSpPr>
        <xdr:cNvPr id="4" name="Text Box 22"/>
        <xdr:cNvSpPr txBox="1">
          <a:spLocks noChangeArrowheads="1"/>
        </xdr:cNvSpPr>
      </xdr:nvSpPr>
      <xdr:spPr bwMode="auto">
        <a:xfrm>
          <a:off x="5753100" y="9525"/>
          <a:ext cx="1278405" cy="244372"/>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eaLnBrk="1" fontAlgn="auto" latinLnBrk="0" hangingPunct="1"/>
          <a:r>
            <a:rPr lang="es-MX" sz="1100" b="1" i="0" baseline="0">
              <a:solidFill>
                <a:schemeClr val="bg1"/>
              </a:solidFill>
              <a:effectLst/>
              <a:latin typeface="+mn-lt"/>
              <a:ea typeface="+mn-ea"/>
              <a:cs typeface="+mn-cs"/>
            </a:rPr>
            <a:t>Contrato</a:t>
          </a:r>
          <a:endParaRPr lang="es-MX" sz="1000">
            <a:solidFill>
              <a:schemeClr val="bg1"/>
            </a:solidFill>
            <a:effectLst/>
          </a:endParaRPr>
        </a:p>
      </xdr:txBody>
    </xdr:sp>
    <xdr:clientData/>
  </xdr:twoCellAnchor>
  <xdr:twoCellAnchor>
    <xdr:from>
      <xdr:col>3</xdr:col>
      <xdr:colOff>1876425</xdr:colOff>
      <xdr:row>147</xdr:row>
      <xdr:rowOff>57150</xdr:rowOff>
    </xdr:from>
    <xdr:to>
      <xdr:col>5</xdr:col>
      <xdr:colOff>344955</xdr:colOff>
      <xdr:row>148</xdr:row>
      <xdr:rowOff>130072</xdr:rowOff>
    </xdr:to>
    <xdr:sp macro="[0]!Tipo_de_Contrato" textlink="">
      <xdr:nvSpPr>
        <xdr:cNvPr id="5" name="Text Box 22"/>
        <xdr:cNvSpPr txBox="1">
          <a:spLocks noChangeArrowheads="1"/>
        </xdr:cNvSpPr>
      </xdr:nvSpPr>
      <xdr:spPr bwMode="auto">
        <a:xfrm>
          <a:off x="5734050" y="25822275"/>
          <a:ext cx="1278405" cy="244372"/>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eaLnBrk="1" fontAlgn="auto" latinLnBrk="0" hangingPunct="1"/>
          <a:r>
            <a:rPr lang="es-MX" sz="1100" b="1" i="0" baseline="0">
              <a:solidFill>
                <a:schemeClr val="bg1"/>
              </a:solidFill>
              <a:effectLst/>
              <a:latin typeface="+mn-lt"/>
              <a:ea typeface="+mn-ea"/>
              <a:cs typeface="+mn-cs"/>
            </a:rPr>
            <a:t>Contrato</a:t>
          </a:r>
          <a:endParaRPr lang="es-MX" sz="1000">
            <a:solidFill>
              <a:schemeClr val="bg1"/>
            </a:solidFill>
            <a:effectLst/>
          </a:endParaRPr>
        </a:p>
      </xdr:txBody>
    </xdr:sp>
    <xdr:clientData/>
  </xdr:twoCellAnchor>
  <mc:AlternateContent xmlns:mc="http://schemas.openxmlformats.org/markup-compatibility/2006">
    <mc:Choice xmlns:a14="http://schemas.microsoft.com/office/drawing/2010/main" Requires="a14">
      <xdr:twoCellAnchor editAs="absolute">
        <xdr:from>
          <xdr:col>3</xdr:col>
          <xdr:colOff>0</xdr:colOff>
          <xdr:row>102</xdr:row>
          <xdr:rowOff>15240</xdr:rowOff>
        </xdr:from>
        <xdr:to>
          <xdr:col>4</xdr:col>
          <xdr:colOff>15240</xdr:colOff>
          <xdr:row>102</xdr:row>
          <xdr:rowOff>175260</xdr:rowOff>
        </xdr:to>
        <xdr:sp macro="" textlink="">
          <xdr:nvSpPr>
            <xdr:cNvPr id="17411" name="Drop Down 3" hidden="1">
              <a:extLst>
                <a:ext uri="{63B3BB69-23CF-44E3-9099-C40C66FF867C}">
                  <a14:compatExt spid="_x0000_s1741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91440</xdr:rowOff>
        </xdr:from>
        <xdr:to>
          <xdr:col>3</xdr:col>
          <xdr:colOff>2164080</xdr:colOff>
          <xdr:row>5</xdr:row>
          <xdr:rowOff>129540</xdr:rowOff>
        </xdr:to>
        <xdr:sp macro="" textlink="">
          <xdr:nvSpPr>
            <xdr:cNvPr id="17415" name="Drop Down 7" hidden="1">
              <a:extLst>
                <a:ext uri="{63B3BB69-23CF-44E3-9099-C40C66FF867C}">
                  <a14:compatExt spid="_x0000_s174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105</xdr:row>
          <xdr:rowOff>7620</xdr:rowOff>
        </xdr:from>
        <xdr:to>
          <xdr:col>4</xdr:col>
          <xdr:colOff>15240</xdr:colOff>
          <xdr:row>105</xdr:row>
          <xdr:rowOff>167640</xdr:rowOff>
        </xdr:to>
        <xdr:sp macro="" textlink="">
          <xdr:nvSpPr>
            <xdr:cNvPr id="17416" name="Drop Down 8" hidden="1">
              <a:extLst>
                <a:ext uri="{63B3BB69-23CF-44E3-9099-C40C66FF867C}">
                  <a14:compatExt spid="_x0000_s1741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7620</xdr:rowOff>
        </xdr:from>
        <xdr:to>
          <xdr:col>4</xdr:col>
          <xdr:colOff>15240</xdr:colOff>
          <xdr:row>103</xdr:row>
          <xdr:rowOff>167640</xdr:rowOff>
        </xdr:to>
        <xdr:sp macro="" textlink="">
          <xdr:nvSpPr>
            <xdr:cNvPr id="17417" name="Drop Down 9" hidden="1">
              <a:extLst>
                <a:ext uri="{63B3BB69-23CF-44E3-9099-C40C66FF867C}">
                  <a14:compatExt spid="_x0000_s1741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104</xdr:row>
          <xdr:rowOff>7620</xdr:rowOff>
        </xdr:from>
        <xdr:to>
          <xdr:col>4</xdr:col>
          <xdr:colOff>22860</xdr:colOff>
          <xdr:row>104</xdr:row>
          <xdr:rowOff>175260</xdr:rowOff>
        </xdr:to>
        <xdr:sp macro="" textlink="">
          <xdr:nvSpPr>
            <xdr:cNvPr id="17418" name="Drop Down 10" hidden="1">
              <a:extLst>
                <a:ext uri="{63B3BB69-23CF-44E3-9099-C40C66FF867C}">
                  <a14:compatExt spid="_x0000_s1741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4</xdr:col>
          <xdr:colOff>15240</xdr:colOff>
          <xdr:row>106</xdr:row>
          <xdr:rowOff>160020</xdr:rowOff>
        </xdr:to>
        <xdr:sp macro="" textlink="">
          <xdr:nvSpPr>
            <xdr:cNvPr id="17419" name="Drop Down 11" hidden="1">
              <a:extLst>
                <a:ext uri="{63B3BB69-23CF-44E3-9099-C40C66FF867C}">
                  <a14:compatExt spid="_x0000_s1741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60960</xdr:colOff>
          <xdr:row>31</xdr:row>
          <xdr:rowOff>7620</xdr:rowOff>
        </xdr:from>
        <xdr:to>
          <xdr:col>8</xdr:col>
          <xdr:colOff>601980</xdr:colOff>
          <xdr:row>32</xdr:row>
          <xdr:rowOff>22860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86</xdr:row>
      <xdr:rowOff>95250</xdr:rowOff>
    </xdr:to>
    <xdr:sp macro="" textlink="">
      <xdr:nvSpPr>
        <xdr:cNvPr id="2" name="Rectangle 1"/>
        <xdr:cNvSpPr>
          <a:spLocks noChangeArrowheads="1"/>
        </xdr:cNvSpPr>
      </xdr:nvSpPr>
      <xdr:spPr bwMode="auto">
        <a:xfrm>
          <a:off x="19050" y="28575"/>
          <a:ext cx="7296150" cy="10677525"/>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7</xdr:col>
      <xdr:colOff>57976</xdr:colOff>
      <xdr:row>157</xdr:row>
      <xdr:rowOff>57986</xdr:rowOff>
    </xdr:from>
    <xdr:to>
      <xdr:col>29</xdr:col>
      <xdr:colOff>49692</xdr:colOff>
      <xdr:row>168</xdr:row>
      <xdr:rowOff>7462</xdr:rowOff>
    </xdr:to>
    <xdr:pic>
      <xdr:nvPicPr>
        <xdr:cNvPr id="5" name="4 Image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34326" y="32347736"/>
          <a:ext cx="4392266" cy="11020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9525</xdr:colOff>
      <xdr:row>311</xdr:row>
      <xdr:rowOff>114300</xdr:rowOff>
    </xdr:from>
    <xdr:to>
      <xdr:col>21</xdr:col>
      <xdr:colOff>9525</xdr:colOff>
      <xdr:row>311</xdr:row>
      <xdr:rowOff>114300</xdr:rowOff>
    </xdr:to>
    <xdr:sp macro="" textlink="">
      <xdr:nvSpPr>
        <xdr:cNvPr id="6" name="Freeform 17"/>
        <xdr:cNvSpPr>
          <a:spLocks/>
        </xdr:cNvSpPr>
      </xdr:nvSpPr>
      <xdr:spPr bwMode="auto">
        <a:xfrm>
          <a:off x="2886075" y="750474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9525</xdr:colOff>
      <xdr:row>312</xdr:row>
      <xdr:rowOff>123825</xdr:rowOff>
    </xdr:from>
    <xdr:to>
      <xdr:col>21</xdr:col>
      <xdr:colOff>9525</xdr:colOff>
      <xdr:row>312</xdr:row>
      <xdr:rowOff>123825</xdr:rowOff>
    </xdr:to>
    <xdr:sp macro="" textlink="">
      <xdr:nvSpPr>
        <xdr:cNvPr id="7" name="Freeform 17"/>
        <xdr:cNvSpPr>
          <a:spLocks/>
        </xdr:cNvSpPr>
      </xdr:nvSpPr>
      <xdr:spPr bwMode="auto">
        <a:xfrm>
          <a:off x="2886075" y="751998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28575</xdr:colOff>
      <xdr:row>313</xdr:row>
      <xdr:rowOff>133350</xdr:rowOff>
    </xdr:from>
    <xdr:to>
      <xdr:col>21</xdr:col>
      <xdr:colOff>28575</xdr:colOff>
      <xdr:row>313</xdr:row>
      <xdr:rowOff>133350</xdr:rowOff>
    </xdr:to>
    <xdr:sp macro="" textlink="">
      <xdr:nvSpPr>
        <xdr:cNvPr id="8" name="Freeform 17"/>
        <xdr:cNvSpPr>
          <a:spLocks/>
        </xdr:cNvSpPr>
      </xdr:nvSpPr>
      <xdr:spPr bwMode="auto">
        <a:xfrm>
          <a:off x="2905125" y="753522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19050</xdr:colOff>
      <xdr:row>315</xdr:row>
      <xdr:rowOff>0</xdr:rowOff>
    </xdr:from>
    <xdr:to>
      <xdr:col>21</xdr:col>
      <xdr:colOff>19050</xdr:colOff>
      <xdr:row>315</xdr:row>
      <xdr:rowOff>0</xdr:rowOff>
    </xdr:to>
    <xdr:sp macro="" textlink="">
      <xdr:nvSpPr>
        <xdr:cNvPr id="9" name="Freeform 17"/>
        <xdr:cNvSpPr>
          <a:spLocks/>
        </xdr:cNvSpPr>
      </xdr:nvSpPr>
      <xdr:spPr bwMode="auto">
        <a:xfrm>
          <a:off x="2895600" y="755046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9525</xdr:colOff>
      <xdr:row>317</xdr:row>
      <xdr:rowOff>114300</xdr:rowOff>
    </xdr:from>
    <xdr:to>
      <xdr:col>21</xdr:col>
      <xdr:colOff>9525</xdr:colOff>
      <xdr:row>317</xdr:row>
      <xdr:rowOff>114300</xdr:rowOff>
    </xdr:to>
    <xdr:sp macro="" textlink="">
      <xdr:nvSpPr>
        <xdr:cNvPr id="10" name="Freeform 17"/>
        <xdr:cNvSpPr>
          <a:spLocks/>
        </xdr:cNvSpPr>
      </xdr:nvSpPr>
      <xdr:spPr bwMode="auto">
        <a:xfrm>
          <a:off x="2886075" y="7582852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9525</xdr:colOff>
      <xdr:row>318</xdr:row>
      <xdr:rowOff>123825</xdr:rowOff>
    </xdr:from>
    <xdr:to>
      <xdr:col>21</xdr:col>
      <xdr:colOff>9525</xdr:colOff>
      <xdr:row>318</xdr:row>
      <xdr:rowOff>123825</xdr:rowOff>
    </xdr:to>
    <xdr:sp macro="" textlink="">
      <xdr:nvSpPr>
        <xdr:cNvPr id="11" name="Freeform 17"/>
        <xdr:cNvSpPr>
          <a:spLocks/>
        </xdr:cNvSpPr>
      </xdr:nvSpPr>
      <xdr:spPr bwMode="auto">
        <a:xfrm>
          <a:off x="2886075" y="7598092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28575</xdr:colOff>
      <xdr:row>319</xdr:row>
      <xdr:rowOff>133350</xdr:rowOff>
    </xdr:from>
    <xdr:to>
      <xdr:col>21</xdr:col>
      <xdr:colOff>28575</xdr:colOff>
      <xdr:row>319</xdr:row>
      <xdr:rowOff>133350</xdr:rowOff>
    </xdr:to>
    <xdr:sp macro="" textlink="">
      <xdr:nvSpPr>
        <xdr:cNvPr id="12" name="Freeform 17"/>
        <xdr:cNvSpPr>
          <a:spLocks/>
        </xdr:cNvSpPr>
      </xdr:nvSpPr>
      <xdr:spPr bwMode="auto">
        <a:xfrm>
          <a:off x="2905125" y="7613332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31059</xdr:colOff>
      <xdr:row>321</xdr:row>
      <xdr:rowOff>16152</xdr:rowOff>
    </xdr:from>
    <xdr:to>
      <xdr:col>21</xdr:col>
      <xdr:colOff>31059</xdr:colOff>
      <xdr:row>321</xdr:row>
      <xdr:rowOff>16152</xdr:rowOff>
    </xdr:to>
    <xdr:sp macro="" textlink="">
      <xdr:nvSpPr>
        <xdr:cNvPr id="13" name="Freeform 17"/>
        <xdr:cNvSpPr>
          <a:spLocks/>
        </xdr:cNvSpPr>
      </xdr:nvSpPr>
      <xdr:spPr bwMode="auto">
        <a:xfrm>
          <a:off x="2888559" y="76158174"/>
          <a:ext cx="1192696"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3311</xdr:colOff>
      <xdr:row>0</xdr:row>
      <xdr:rowOff>61291</xdr:rowOff>
    </xdr:from>
    <xdr:to>
      <xdr:col>30</xdr:col>
      <xdr:colOff>76546</xdr:colOff>
      <xdr:row>1</xdr:row>
      <xdr:rowOff>124579</xdr:rowOff>
    </xdr:to>
    <xdr:sp macro="[0]!Regresar_Captura_Datos_Haga_clic_en" textlink="">
      <xdr:nvSpPr>
        <xdr:cNvPr id="15" name="Regresar_Captura_Datos"/>
        <xdr:cNvSpPr txBox="1">
          <a:spLocks noChangeArrowheads="1"/>
        </xdr:cNvSpPr>
      </xdr:nvSpPr>
      <xdr:spPr bwMode="auto">
        <a:xfrm>
          <a:off x="4649854" y="6129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149084</xdr:colOff>
      <xdr:row>0</xdr:row>
      <xdr:rowOff>57980</xdr:rowOff>
    </xdr:from>
    <xdr:to>
      <xdr:col>37</xdr:col>
      <xdr:colOff>24806</xdr:colOff>
      <xdr:row>1</xdr:row>
      <xdr:rowOff>122728</xdr:rowOff>
    </xdr:to>
    <xdr:sp macro="[0]!IMPRIMIR_Haga_clic_en" textlink="">
      <xdr:nvSpPr>
        <xdr:cNvPr id="4" name="3 Rectángulo"/>
        <xdr:cNvSpPr/>
      </xdr:nvSpPr>
      <xdr:spPr>
        <a:xfrm>
          <a:off x="5988323" y="57980"/>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66236</xdr:colOff>
      <xdr:row>367</xdr:row>
      <xdr:rowOff>36438</xdr:rowOff>
    </xdr:from>
    <xdr:to>
      <xdr:col>30</xdr:col>
      <xdr:colOff>139471</xdr:colOff>
      <xdr:row>369</xdr:row>
      <xdr:rowOff>50030</xdr:rowOff>
    </xdr:to>
    <xdr:sp macro="[0]!Regresar_Captura_Datos_Haga_clic_en" textlink="">
      <xdr:nvSpPr>
        <xdr:cNvPr id="18" name="Regresar_Captura_Datos"/>
        <xdr:cNvSpPr txBox="1">
          <a:spLocks noChangeArrowheads="1"/>
        </xdr:cNvSpPr>
      </xdr:nvSpPr>
      <xdr:spPr bwMode="auto">
        <a:xfrm>
          <a:off x="4712779" y="82390416"/>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182255</xdr:colOff>
      <xdr:row>367</xdr:row>
      <xdr:rowOff>33127</xdr:rowOff>
    </xdr:from>
    <xdr:to>
      <xdr:col>38</xdr:col>
      <xdr:colOff>16563</xdr:colOff>
      <xdr:row>369</xdr:row>
      <xdr:rowOff>48179</xdr:rowOff>
    </xdr:to>
    <xdr:sp macro="[0]!IMPRIMIR_Haga_clic_en" textlink="">
      <xdr:nvSpPr>
        <xdr:cNvPr id="19" name="18 Rectángulo"/>
        <xdr:cNvSpPr/>
      </xdr:nvSpPr>
      <xdr:spPr>
        <a:xfrm>
          <a:off x="6021494" y="82387105"/>
          <a:ext cx="1267199"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81</xdr:row>
      <xdr:rowOff>95250</xdr:rowOff>
    </xdr:to>
    <xdr:sp macro="" textlink="">
      <xdr:nvSpPr>
        <xdr:cNvPr id="2" name="Rectangle 1"/>
        <xdr:cNvSpPr>
          <a:spLocks noChangeArrowheads="1"/>
        </xdr:cNvSpPr>
      </xdr:nvSpPr>
      <xdr:spPr bwMode="auto">
        <a:xfrm>
          <a:off x="19050" y="28575"/>
          <a:ext cx="7534275" cy="996315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64907</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5307" cy="409575"/>
        </a:xfrm>
        <a:prstGeom prst="rect">
          <a:avLst/>
        </a:prstGeom>
        <a:noFill/>
        <a:ln w="9525">
          <a:noFill/>
          <a:miter lim="800000"/>
          <a:headEnd/>
          <a:tailEnd/>
        </a:ln>
      </xdr:spPr>
    </xdr:pic>
    <xdr:clientData/>
  </xdr:twoCellAnchor>
  <xdr:twoCellAnchor>
    <xdr:from>
      <xdr:col>10</xdr:col>
      <xdr:colOff>157461</xdr:colOff>
      <xdr:row>214</xdr:row>
      <xdr:rowOff>0</xdr:rowOff>
    </xdr:from>
    <xdr:to>
      <xdr:col>27</xdr:col>
      <xdr:colOff>185208</xdr:colOff>
      <xdr:row>214</xdr:row>
      <xdr:rowOff>9525</xdr:rowOff>
    </xdr:to>
    <xdr:grpSp>
      <xdr:nvGrpSpPr>
        <xdr:cNvPr id="6" name="Group 13"/>
        <xdr:cNvGrpSpPr>
          <a:grpSpLocks/>
        </xdr:cNvGrpSpPr>
      </xdr:nvGrpSpPr>
      <xdr:grpSpPr bwMode="auto">
        <a:xfrm>
          <a:off x="2021048" y="60123457"/>
          <a:ext cx="3465030" cy="9525"/>
          <a:chOff x="0" y="0"/>
          <a:chExt cx="5496" cy="20"/>
        </a:xfrm>
      </xdr:grpSpPr>
      <xdr:sp macro="" textlink="">
        <xdr:nvSpPr>
          <xdr:cNvPr id="7" name="Freeform 14"/>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217</xdr:row>
      <xdr:rowOff>0</xdr:rowOff>
    </xdr:from>
    <xdr:to>
      <xdr:col>28</xdr:col>
      <xdr:colOff>2992</xdr:colOff>
      <xdr:row>217</xdr:row>
      <xdr:rowOff>9525</xdr:rowOff>
    </xdr:to>
    <xdr:grpSp>
      <xdr:nvGrpSpPr>
        <xdr:cNvPr id="8" name="Group 11"/>
        <xdr:cNvGrpSpPr>
          <a:grpSpLocks/>
        </xdr:cNvGrpSpPr>
      </xdr:nvGrpSpPr>
      <xdr:grpSpPr bwMode="auto">
        <a:xfrm>
          <a:off x="2037614" y="60620413"/>
          <a:ext cx="3465030" cy="9525"/>
          <a:chOff x="0" y="0"/>
          <a:chExt cx="5497" cy="20"/>
        </a:xfrm>
      </xdr:grpSpPr>
      <xdr:sp macro="" textlink="">
        <xdr:nvSpPr>
          <xdr:cNvPr id="9" name="Freeform 12"/>
          <xdr:cNvSpPr>
            <a:spLocks/>
          </xdr:cNvSpPr>
        </xdr:nvSpPr>
        <xdr:spPr bwMode="auto">
          <a:xfrm>
            <a:off x="4" y="4"/>
            <a:ext cx="5488" cy="20"/>
          </a:xfrm>
          <a:custGeom>
            <a:avLst/>
            <a:gdLst>
              <a:gd name="T0" fmla="*/ 0 w 5488"/>
              <a:gd name="T1" fmla="*/ 0 h 20"/>
              <a:gd name="T2" fmla="*/ 5487 w 5488"/>
              <a:gd name="T3" fmla="*/ 0 h 20"/>
            </a:gdLst>
            <a:ahLst/>
            <a:cxnLst>
              <a:cxn ang="0">
                <a:pos x="T0" y="T1"/>
              </a:cxn>
              <a:cxn ang="0">
                <a:pos x="T2" y="T3"/>
              </a:cxn>
            </a:cxnLst>
            <a:rect l="0" t="0" r="r" b="b"/>
            <a:pathLst>
              <a:path w="5488" h="20">
                <a:moveTo>
                  <a:pt x="0" y="0"/>
                </a:moveTo>
                <a:lnTo>
                  <a:pt x="5487"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223</xdr:row>
      <xdr:rowOff>16566</xdr:rowOff>
    </xdr:from>
    <xdr:to>
      <xdr:col>28</xdr:col>
      <xdr:colOff>12517</xdr:colOff>
      <xdr:row>223</xdr:row>
      <xdr:rowOff>26091</xdr:rowOff>
    </xdr:to>
    <xdr:grpSp>
      <xdr:nvGrpSpPr>
        <xdr:cNvPr id="10" name="Group 9"/>
        <xdr:cNvGrpSpPr>
          <a:grpSpLocks/>
        </xdr:cNvGrpSpPr>
      </xdr:nvGrpSpPr>
      <xdr:grpSpPr bwMode="auto">
        <a:xfrm>
          <a:off x="2037614" y="61912501"/>
          <a:ext cx="3474555" cy="9525"/>
          <a:chOff x="0" y="0"/>
          <a:chExt cx="5499" cy="20"/>
        </a:xfrm>
      </xdr:grpSpPr>
      <xdr:sp macro="" textlink="">
        <xdr:nvSpPr>
          <xdr:cNvPr id="11" name="Freeform 10"/>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236</xdr:row>
      <xdr:rowOff>0</xdr:rowOff>
    </xdr:from>
    <xdr:to>
      <xdr:col>28</xdr:col>
      <xdr:colOff>12517</xdr:colOff>
      <xdr:row>236</xdr:row>
      <xdr:rowOff>9525</xdr:rowOff>
    </xdr:to>
    <xdr:grpSp>
      <xdr:nvGrpSpPr>
        <xdr:cNvPr id="16" name="Group 3"/>
        <xdr:cNvGrpSpPr>
          <a:grpSpLocks/>
        </xdr:cNvGrpSpPr>
      </xdr:nvGrpSpPr>
      <xdr:grpSpPr bwMode="auto">
        <a:xfrm>
          <a:off x="2037614" y="64181935"/>
          <a:ext cx="3474555" cy="9525"/>
          <a:chOff x="0" y="0"/>
          <a:chExt cx="5500" cy="20"/>
        </a:xfrm>
      </xdr:grpSpPr>
      <xdr:sp macro="" textlink="">
        <xdr:nvSpPr>
          <xdr:cNvPr id="17" name="Freeform 4"/>
          <xdr:cNvSpPr>
            <a:spLocks/>
          </xdr:cNvSpPr>
        </xdr:nvSpPr>
        <xdr:spPr bwMode="auto">
          <a:xfrm>
            <a:off x="4" y="4"/>
            <a:ext cx="5491" cy="20"/>
          </a:xfrm>
          <a:custGeom>
            <a:avLst/>
            <a:gdLst>
              <a:gd name="T0" fmla="*/ 0 w 5491"/>
              <a:gd name="T1" fmla="*/ 0 h 20"/>
              <a:gd name="T2" fmla="*/ 5490 w 5491"/>
              <a:gd name="T3" fmla="*/ 0 h 20"/>
            </a:gdLst>
            <a:ahLst/>
            <a:cxnLst>
              <a:cxn ang="0">
                <a:pos x="T0" y="T1"/>
              </a:cxn>
              <a:cxn ang="0">
                <a:pos x="T2" y="T3"/>
              </a:cxn>
            </a:cxnLst>
            <a:rect l="0" t="0" r="r" b="b"/>
            <a:pathLst>
              <a:path w="5491" h="20">
                <a:moveTo>
                  <a:pt x="0" y="0"/>
                </a:moveTo>
                <a:lnTo>
                  <a:pt x="54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240</xdr:row>
      <xdr:rowOff>0</xdr:rowOff>
    </xdr:from>
    <xdr:to>
      <xdr:col>28</xdr:col>
      <xdr:colOff>12517</xdr:colOff>
      <xdr:row>240</xdr:row>
      <xdr:rowOff>9525</xdr:rowOff>
    </xdr:to>
    <xdr:grpSp>
      <xdr:nvGrpSpPr>
        <xdr:cNvPr id="18" name="Group 1"/>
        <xdr:cNvGrpSpPr>
          <a:grpSpLocks/>
        </xdr:cNvGrpSpPr>
      </xdr:nvGrpSpPr>
      <xdr:grpSpPr bwMode="auto">
        <a:xfrm>
          <a:off x="2037614" y="64745152"/>
          <a:ext cx="3474555" cy="9525"/>
          <a:chOff x="0" y="0"/>
          <a:chExt cx="5500" cy="20"/>
        </a:xfrm>
      </xdr:grpSpPr>
      <xdr:sp macro="" textlink="">
        <xdr:nvSpPr>
          <xdr:cNvPr id="19" name="Freeform 2"/>
          <xdr:cNvSpPr>
            <a:spLocks/>
          </xdr:cNvSpPr>
        </xdr:nvSpPr>
        <xdr:spPr bwMode="auto">
          <a:xfrm>
            <a:off x="4" y="4"/>
            <a:ext cx="5491" cy="20"/>
          </a:xfrm>
          <a:custGeom>
            <a:avLst/>
            <a:gdLst>
              <a:gd name="T0" fmla="*/ 0 w 5491"/>
              <a:gd name="T1" fmla="*/ 0 h 20"/>
              <a:gd name="T2" fmla="*/ 5490 w 5491"/>
              <a:gd name="T3" fmla="*/ 0 h 20"/>
            </a:gdLst>
            <a:ahLst/>
            <a:cxnLst>
              <a:cxn ang="0">
                <a:pos x="T0" y="T1"/>
              </a:cxn>
              <a:cxn ang="0">
                <a:pos x="T2" y="T3"/>
              </a:cxn>
            </a:cxnLst>
            <a:rect l="0" t="0" r="r" b="b"/>
            <a:pathLst>
              <a:path w="5491" h="20">
                <a:moveTo>
                  <a:pt x="0" y="0"/>
                </a:moveTo>
                <a:lnTo>
                  <a:pt x="54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226</xdr:row>
      <xdr:rowOff>16566</xdr:rowOff>
    </xdr:from>
    <xdr:to>
      <xdr:col>28</xdr:col>
      <xdr:colOff>12517</xdr:colOff>
      <xdr:row>226</xdr:row>
      <xdr:rowOff>26091</xdr:rowOff>
    </xdr:to>
    <xdr:grpSp>
      <xdr:nvGrpSpPr>
        <xdr:cNvPr id="20" name="Group 9"/>
        <xdr:cNvGrpSpPr>
          <a:grpSpLocks/>
        </xdr:cNvGrpSpPr>
      </xdr:nvGrpSpPr>
      <xdr:grpSpPr bwMode="auto">
        <a:xfrm>
          <a:off x="2037614" y="62409457"/>
          <a:ext cx="3474555" cy="9525"/>
          <a:chOff x="0" y="0"/>
          <a:chExt cx="5499" cy="20"/>
        </a:xfrm>
      </xdr:grpSpPr>
      <xdr:sp macro="" textlink="">
        <xdr:nvSpPr>
          <xdr:cNvPr id="21" name="Freeform 10"/>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174027</xdr:colOff>
      <xdr:row>229</xdr:row>
      <xdr:rowOff>16566</xdr:rowOff>
    </xdr:from>
    <xdr:to>
      <xdr:col>28</xdr:col>
      <xdr:colOff>12517</xdr:colOff>
      <xdr:row>229</xdr:row>
      <xdr:rowOff>26091</xdr:rowOff>
    </xdr:to>
    <xdr:grpSp>
      <xdr:nvGrpSpPr>
        <xdr:cNvPr id="22" name="Group 9"/>
        <xdr:cNvGrpSpPr>
          <a:grpSpLocks/>
        </xdr:cNvGrpSpPr>
      </xdr:nvGrpSpPr>
      <xdr:grpSpPr bwMode="auto">
        <a:xfrm>
          <a:off x="2037614" y="63038936"/>
          <a:ext cx="3474555" cy="9525"/>
          <a:chOff x="0" y="0"/>
          <a:chExt cx="5499" cy="20"/>
        </a:xfrm>
      </xdr:grpSpPr>
      <xdr:sp macro="" textlink="">
        <xdr:nvSpPr>
          <xdr:cNvPr id="23" name="Freeform 10"/>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26</xdr:col>
      <xdr:colOff>8292</xdr:colOff>
      <xdr:row>0</xdr:row>
      <xdr:rowOff>57981</xdr:rowOff>
    </xdr:from>
    <xdr:to>
      <xdr:col>31</xdr:col>
      <xdr:colOff>98093</xdr:colOff>
      <xdr:row>1</xdr:row>
      <xdr:rowOff>121269</xdr:rowOff>
    </xdr:to>
    <xdr:sp macro="[0]!Regresar_Captura_Datos_Haga_clic_en" textlink="">
      <xdr:nvSpPr>
        <xdr:cNvPr id="25" name="Regresar_Captura_Datos"/>
        <xdr:cNvSpPr txBox="1">
          <a:spLocks noChangeArrowheads="1"/>
        </xdr:cNvSpPr>
      </xdr:nvSpPr>
      <xdr:spPr bwMode="auto">
        <a:xfrm>
          <a:off x="5110379" y="5798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149159</xdr:colOff>
      <xdr:row>0</xdr:row>
      <xdr:rowOff>57981</xdr:rowOff>
    </xdr:from>
    <xdr:to>
      <xdr:col>36</xdr:col>
      <xdr:colOff>182250</xdr:colOff>
      <xdr:row>1</xdr:row>
      <xdr:rowOff>122729</xdr:rowOff>
    </xdr:to>
    <xdr:sp macro="[0]!IMPRIMIR_Haga_clic_en" textlink="">
      <xdr:nvSpPr>
        <xdr:cNvPr id="26" name="25 Rectángulo"/>
        <xdr:cNvSpPr/>
      </xdr:nvSpPr>
      <xdr:spPr>
        <a:xfrm>
          <a:off x="6427376" y="57981"/>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26</xdr:col>
      <xdr:colOff>149075</xdr:colOff>
      <xdr:row>246</xdr:row>
      <xdr:rowOff>19877</xdr:rowOff>
    </xdr:from>
    <xdr:to>
      <xdr:col>32</xdr:col>
      <xdr:colOff>40093</xdr:colOff>
      <xdr:row>247</xdr:row>
      <xdr:rowOff>83165</xdr:rowOff>
    </xdr:to>
    <xdr:sp macro="[0]!Regresar_Captura_Datos_Haga_clic_en" textlink="">
      <xdr:nvSpPr>
        <xdr:cNvPr id="24" name="Regresar_Captura_Datos"/>
        <xdr:cNvSpPr txBox="1">
          <a:spLocks noChangeArrowheads="1"/>
        </xdr:cNvSpPr>
      </xdr:nvSpPr>
      <xdr:spPr bwMode="auto">
        <a:xfrm>
          <a:off x="5251162" y="6356405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32</xdr:col>
      <xdr:colOff>74591</xdr:colOff>
      <xdr:row>246</xdr:row>
      <xdr:rowOff>16565</xdr:rowOff>
    </xdr:from>
    <xdr:to>
      <xdr:col>38</xdr:col>
      <xdr:colOff>24855</xdr:colOff>
      <xdr:row>247</xdr:row>
      <xdr:rowOff>81313</xdr:rowOff>
    </xdr:to>
    <xdr:sp macro="[0]!IMPRIMIR_Haga_clic_en" textlink="">
      <xdr:nvSpPr>
        <xdr:cNvPr id="27" name="26 Rectángulo"/>
        <xdr:cNvSpPr/>
      </xdr:nvSpPr>
      <xdr:spPr>
        <a:xfrm>
          <a:off x="6551591" y="63560739"/>
          <a:ext cx="1267199"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85</xdr:row>
      <xdr:rowOff>95250</xdr:rowOff>
    </xdr:to>
    <xdr:sp macro="" textlink="">
      <xdr:nvSpPr>
        <xdr:cNvPr id="2" name="Rectangle 1"/>
        <xdr:cNvSpPr>
          <a:spLocks noChangeArrowheads="1"/>
        </xdr:cNvSpPr>
      </xdr:nvSpPr>
      <xdr:spPr bwMode="auto">
        <a:xfrm>
          <a:off x="19050" y="28575"/>
          <a:ext cx="7296150" cy="1061085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10</xdr:col>
      <xdr:colOff>67255</xdr:colOff>
      <xdr:row>227</xdr:row>
      <xdr:rowOff>0</xdr:rowOff>
    </xdr:from>
    <xdr:to>
      <xdr:col>27</xdr:col>
      <xdr:colOff>152980</xdr:colOff>
      <xdr:row>227</xdr:row>
      <xdr:rowOff>9525</xdr:rowOff>
    </xdr:to>
    <xdr:grpSp>
      <xdr:nvGrpSpPr>
        <xdr:cNvPr id="5" name="Group 13"/>
        <xdr:cNvGrpSpPr>
          <a:grpSpLocks/>
        </xdr:cNvGrpSpPr>
      </xdr:nvGrpSpPr>
      <xdr:grpSpPr bwMode="auto">
        <a:xfrm>
          <a:off x="1930842" y="63370239"/>
          <a:ext cx="3465029" cy="9525"/>
          <a:chOff x="0" y="0"/>
          <a:chExt cx="5496" cy="20"/>
        </a:xfrm>
      </xdr:grpSpPr>
      <xdr:sp macro="" textlink="">
        <xdr:nvSpPr>
          <xdr:cNvPr id="6" name="Freeform 14"/>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19</xdr:colOff>
      <xdr:row>231</xdr:row>
      <xdr:rowOff>0</xdr:rowOff>
    </xdr:from>
    <xdr:to>
      <xdr:col>27</xdr:col>
      <xdr:colOff>95269</xdr:colOff>
      <xdr:row>231</xdr:row>
      <xdr:rowOff>9525</xdr:rowOff>
    </xdr:to>
    <xdr:grpSp>
      <xdr:nvGrpSpPr>
        <xdr:cNvPr id="7" name="Group 11"/>
        <xdr:cNvGrpSpPr>
          <a:grpSpLocks/>
        </xdr:cNvGrpSpPr>
      </xdr:nvGrpSpPr>
      <xdr:grpSpPr bwMode="auto">
        <a:xfrm>
          <a:off x="1863606" y="64032848"/>
          <a:ext cx="3474554" cy="9525"/>
          <a:chOff x="0" y="0"/>
          <a:chExt cx="5499" cy="20"/>
        </a:xfrm>
      </xdr:grpSpPr>
      <xdr:sp macro="" textlink="">
        <xdr:nvSpPr>
          <xdr:cNvPr id="8" name="Freeform 12"/>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19</xdr:colOff>
      <xdr:row>237</xdr:row>
      <xdr:rowOff>0</xdr:rowOff>
    </xdr:from>
    <xdr:to>
      <xdr:col>27</xdr:col>
      <xdr:colOff>95269</xdr:colOff>
      <xdr:row>237</xdr:row>
      <xdr:rowOff>9525</xdr:rowOff>
    </xdr:to>
    <xdr:grpSp>
      <xdr:nvGrpSpPr>
        <xdr:cNvPr id="9" name="Group 9"/>
        <xdr:cNvGrpSpPr>
          <a:grpSpLocks/>
        </xdr:cNvGrpSpPr>
      </xdr:nvGrpSpPr>
      <xdr:grpSpPr bwMode="auto">
        <a:xfrm>
          <a:off x="1863606" y="65382913"/>
          <a:ext cx="3474554" cy="9525"/>
          <a:chOff x="0" y="0"/>
          <a:chExt cx="5501" cy="20"/>
        </a:xfrm>
      </xdr:grpSpPr>
      <xdr:sp macro="" textlink="">
        <xdr:nvSpPr>
          <xdr:cNvPr id="10" name="Freeform 10"/>
          <xdr:cNvSpPr>
            <a:spLocks/>
          </xdr:cNvSpPr>
        </xdr:nvSpPr>
        <xdr:spPr bwMode="auto">
          <a:xfrm>
            <a:off x="4" y="4"/>
            <a:ext cx="5492" cy="20"/>
          </a:xfrm>
          <a:custGeom>
            <a:avLst/>
            <a:gdLst>
              <a:gd name="T0" fmla="*/ 0 w 5492"/>
              <a:gd name="T1" fmla="*/ 0 h 20"/>
              <a:gd name="T2" fmla="*/ 5491 w 5492"/>
              <a:gd name="T3" fmla="*/ 0 h 20"/>
            </a:gdLst>
            <a:ahLst/>
            <a:cxnLst>
              <a:cxn ang="0">
                <a:pos x="T0" y="T1"/>
              </a:cxn>
              <a:cxn ang="0">
                <a:pos x="T2" y="T3"/>
              </a:cxn>
            </a:cxnLst>
            <a:rect l="0" t="0" r="r" b="b"/>
            <a:pathLst>
              <a:path w="5492" h="20">
                <a:moveTo>
                  <a:pt x="0" y="0"/>
                </a:moveTo>
                <a:lnTo>
                  <a:pt x="5491"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19</xdr:colOff>
      <xdr:row>240</xdr:row>
      <xdr:rowOff>0</xdr:rowOff>
    </xdr:from>
    <xdr:to>
      <xdr:col>27</xdr:col>
      <xdr:colOff>95269</xdr:colOff>
      <xdr:row>240</xdr:row>
      <xdr:rowOff>9525</xdr:rowOff>
    </xdr:to>
    <xdr:grpSp>
      <xdr:nvGrpSpPr>
        <xdr:cNvPr id="11" name="Group 7"/>
        <xdr:cNvGrpSpPr>
          <a:grpSpLocks/>
        </xdr:cNvGrpSpPr>
      </xdr:nvGrpSpPr>
      <xdr:grpSpPr bwMode="auto">
        <a:xfrm>
          <a:off x="1863606" y="65962696"/>
          <a:ext cx="3474554" cy="9525"/>
          <a:chOff x="0" y="0"/>
          <a:chExt cx="5499" cy="20"/>
        </a:xfrm>
      </xdr:grpSpPr>
      <xdr:sp macro="" textlink="">
        <xdr:nvSpPr>
          <xdr:cNvPr id="12" name="Freeform 8"/>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11225</xdr:colOff>
      <xdr:row>243</xdr:row>
      <xdr:rowOff>0</xdr:rowOff>
    </xdr:from>
    <xdr:to>
      <xdr:col>27</xdr:col>
      <xdr:colOff>106475</xdr:colOff>
      <xdr:row>243</xdr:row>
      <xdr:rowOff>9525</xdr:rowOff>
    </xdr:to>
    <xdr:grpSp>
      <xdr:nvGrpSpPr>
        <xdr:cNvPr id="13" name="Group 5"/>
        <xdr:cNvGrpSpPr>
          <a:grpSpLocks/>
        </xdr:cNvGrpSpPr>
      </xdr:nvGrpSpPr>
      <xdr:grpSpPr bwMode="auto">
        <a:xfrm>
          <a:off x="1874812" y="66542478"/>
          <a:ext cx="3474554" cy="9525"/>
          <a:chOff x="0" y="0"/>
          <a:chExt cx="5500" cy="20"/>
        </a:xfrm>
      </xdr:grpSpPr>
      <xdr:sp macro="" textlink="">
        <xdr:nvSpPr>
          <xdr:cNvPr id="14" name="Freeform 6"/>
          <xdr:cNvSpPr>
            <a:spLocks/>
          </xdr:cNvSpPr>
        </xdr:nvSpPr>
        <xdr:spPr bwMode="auto">
          <a:xfrm>
            <a:off x="4" y="4"/>
            <a:ext cx="5491" cy="20"/>
          </a:xfrm>
          <a:custGeom>
            <a:avLst/>
            <a:gdLst>
              <a:gd name="T0" fmla="*/ 0 w 5491"/>
              <a:gd name="T1" fmla="*/ 0 h 20"/>
              <a:gd name="T2" fmla="*/ 5490 w 5491"/>
              <a:gd name="T3" fmla="*/ 0 h 20"/>
            </a:gdLst>
            <a:ahLst/>
            <a:cxnLst>
              <a:cxn ang="0">
                <a:pos x="T0" y="T1"/>
              </a:cxn>
              <a:cxn ang="0">
                <a:pos x="T2" y="T3"/>
              </a:cxn>
            </a:cxnLst>
            <a:rect l="0" t="0" r="r" b="b"/>
            <a:pathLst>
              <a:path w="5491" h="20">
                <a:moveTo>
                  <a:pt x="0" y="0"/>
                </a:moveTo>
                <a:lnTo>
                  <a:pt x="5490"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19</xdr:colOff>
      <xdr:row>252</xdr:row>
      <xdr:rowOff>0</xdr:rowOff>
    </xdr:from>
    <xdr:to>
      <xdr:col>27</xdr:col>
      <xdr:colOff>85744</xdr:colOff>
      <xdr:row>252</xdr:row>
      <xdr:rowOff>9525</xdr:rowOff>
    </xdr:to>
    <xdr:grpSp>
      <xdr:nvGrpSpPr>
        <xdr:cNvPr id="15" name="Group 3"/>
        <xdr:cNvGrpSpPr>
          <a:grpSpLocks/>
        </xdr:cNvGrpSpPr>
      </xdr:nvGrpSpPr>
      <xdr:grpSpPr bwMode="auto">
        <a:xfrm>
          <a:off x="1863606" y="68240413"/>
          <a:ext cx="3465029" cy="9525"/>
          <a:chOff x="0" y="0"/>
          <a:chExt cx="5496" cy="20"/>
        </a:xfrm>
      </xdr:grpSpPr>
      <xdr:sp macro="" textlink="">
        <xdr:nvSpPr>
          <xdr:cNvPr id="16" name="Freeform 4"/>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19</xdr:colOff>
      <xdr:row>256</xdr:row>
      <xdr:rowOff>0</xdr:rowOff>
    </xdr:from>
    <xdr:to>
      <xdr:col>27</xdr:col>
      <xdr:colOff>85744</xdr:colOff>
      <xdr:row>256</xdr:row>
      <xdr:rowOff>9525</xdr:rowOff>
    </xdr:to>
    <xdr:grpSp>
      <xdr:nvGrpSpPr>
        <xdr:cNvPr id="17" name="Group 1"/>
        <xdr:cNvGrpSpPr>
          <a:grpSpLocks/>
        </xdr:cNvGrpSpPr>
      </xdr:nvGrpSpPr>
      <xdr:grpSpPr bwMode="auto">
        <a:xfrm>
          <a:off x="1863606" y="68903022"/>
          <a:ext cx="3465029" cy="9525"/>
          <a:chOff x="0" y="0"/>
          <a:chExt cx="5496" cy="20"/>
        </a:xfrm>
      </xdr:grpSpPr>
      <xdr:sp macro="" textlink="">
        <xdr:nvSpPr>
          <xdr:cNvPr id="18" name="Freeform 2"/>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24</xdr:col>
      <xdr:colOff>16538</xdr:colOff>
      <xdr:row>0</xdr:row>
      <xdr:rowOff>57961</xdr:rowOff>
    </xdr:from>
    <xdr:to>
      <xdr:col>30</xdr:col>
      <xdr:colOff>89773</xdr:colOff>
      <xdr:row>1</xdr:row>
      <xdr:rowOff>121249</xdr:rowOff>
    </xdr:to>
    <xdr:sp macro="[0]!Regresar_Captura_Datos_Haga_clic_en" textlink="">
      <xdr:nvSpPr>
        <xdr:cNvPr id="19" name="Regresar_Captura_Datos"/>
        <xdr:cNvSpPr txBox="1">
          <a:spLocks noChangeArrowheads="1"/>
        </xdr:cNvSpPr>
      </xdr:nvSpPr>
      <xdr:spPr bwMode="auto">
        <a:xfrm>
          <a:off x="4663081" y="5796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165688</xdr:colOff>
      <xdr:row>0</xdr:row>
      <xdr:rowOff>57961</xdr:rowOff>
    </xdr:from>
    <xdr:to>
      <xdr:col>36</xdr:col>
      <xdr:colOff>190497</xdr:colOff>
      <xdr:row>1</xdr:row>
      <xdr:rowOff>122709</xdr:rowOff>
    </xdr:to>
    <xdr:sp macro="[0]!IMPRIMIR_Haga_clic_en" textlink="">
      <xdr:nvSpPr>
        <xdr:cNvPr id="20" name="19 Rectángulo"/>
        <xdr:cNvSpPr/>
      </xdr:nvSpPr>
      <xdr:spPr>
        <a:xfrm>
          <a:off x="6004927" y="57961"/>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82830</xdr:colOff>
      <xdr:row>258</xdr:row>
      <xdr:rowOff>19877</xdr:rowOff>
    </xdr:from>
    <xdr:to>
      <xdr:col>30</xdr:col>
      <xdr:colOff>156065</xdr:colOff>
      <xdr:row>259</xdr:row>
      <xdr:rowOff>83164</xdr:rowOff>
    </xdr:to>
    <xdr:sp macro="[0]!Regresar_Captura_Datos_Haga_clic_en" textlink="">
      <xdr:nvSpPr>
        <xdr:cNvPr id="21" name="Regresar_Captura_Datos"/>
        <xdr:cNvSpPr txBox="1">
          <a:spLocks noChangeArrowheads="1"/>
        </xdr:cNvSpPr>
      </xdr:nvSpPr>
      <xdr:spPr bwMode="auto">
        <a:xfrm>
          <a:off x="4729373" y="69544094"/>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29820</xdr:colOff>
      <xdr:row>258</xdr:row>
      <xdr:rowOff>16566</xdr:rowOff>
    </xdr:from>
    <xdr:to>
      <xdr:col>38</xdr:col>
      <xdr:colOff>13216</xdr:colOff>
      <xdr:row>259</xdr:row>
      <xdr:rowOff>81313</xdr:rowOff>
    </xdr:to>
    <xdr:sp macro="[0]!IMPRIMIR_Haga_clic_en" textlink="">
      <xdr:nvSpPr>
        <xdr:cNvPr id="22" name="21 Rectángulo"/>
        <xdr:cNvSpPr/>
      </xdr:nvSpPr>
      <xdr:spPr>
        <a:xfrm>
          <a:off x="6067842" y="69540783"/>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86</xdr:row>
      <xdr:rowOff>95250</xdr:rowOff>
    </xdr:to>
    <xdr:sp macro="" textlink="">
      <xdr:nvSpPr>
        <xdr:cNvPr id="2" name="Rectangle 1"/>
        <xdr:cNvSpPr>
          <a:spLocks noChangeArrowheads="1"/>
        </xdr:cNvSpPr>
      </xdr:nvSpPr>
      <xdr:spPr bwMode="auto">
        <a:xfrm>
          <a:off x="19050" y="28575"/>
          <a:ext cx="7381875" cy="1053465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24</xdr:col>
      <xdr:colOff>115931</xdr:colOff>
      <xdr:row>0</xdr:row>
      <xdr:rowOff>74527</xdr:rowOff>
    </xdr:from>
    <xdr:to>
      <xdr:col>30</xdr:col>
      <xdr:colOff>131188</xdr:colOff>
      <xdr:row>1</xdr:row>
      <xdr:rowOff>137815</xdr:rowOff>
    </xdr:to>
    <xdr:sp macro="[0]!Regresar_Captura_Datos_Haga_clic_en" textlink="">
      <xdr:nvSpPr>
        <xdr:cNvPr id="4" name="Regresar_Captura_Datos"/>
        <xdr:cNvSpPr txBox="1">
          <a:spLocks noChangeArrowheads="1"/>
        </xdr:cNvSpPr>
      </xdr:nvSpPr>
      <xdr:spPr bwMode="auto">
        <a:xfrm>
          <a:off x="4795605" y="74527"/>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173971</xdr:colOff>
      <xdr:row>0</xdr:row>
      <xdr:rowOff>74527</xdr:rowOff>
    </xdr:from>
    <xdr:to>
      <xdr:col>36</xdr:col>
      <xdr:colOff>198780</xdr:colOff>
      <xdr:row>1</xdr:row>
      <xdr:rowOff>139275</xdr:rowOff>
    </xdr:to>
    <xdr:sp macro="[0]!IMPRIMIR_Haga_clic_en" textlink="">
      <xdr:nvSpPr>
        <xdr:cNvPr id="5" name="4 Rectángulo"/>
        <xdr:cNvSpPr/>
      </xdr:nvSpPr>
      <xdr:spPr>
        <a:xfrm>
          <a:off x="6104319" y="74527"/>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149113</xdr:colOff>
      <xdr:row>245</xdr:row>
      <xdr:rowOff>19877</xdr:rowOff>
    </xdr:from>
    <xdr:to>
      <xdr:col>30</xdr:col>
      <xdr:colOff>164370</xdr:colOff>
      <xdr:row>246</xdr:row>
      <xdr:rowOff>83164</xdr:rowOff>
    </xdr:to>
    <xdr:sp macro="[0]!Regresar_Captura_Datos_Haga_clic_en" textlink="">
      <xdr:nvSpPr>
        <xdr:cNvPr id="6" name="Regresar_Captura_Datos"/>
        <xdr:cNvSpPr txBox="1">
          <a:spLocks noChangeArrowheads="1"/>
        </xdr:cNvSpPr>
      </xdr:nvSpPr>
      <xdr:spPr bwMode="auto">
        <a:xfrm>
          <a:off x="4828787" y="67448594"/>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38126</xdr:colOff>
      <xdr:row>245</xdr:row>
      <xdr:rowOff>16566</xdr:rowOff>
    </xdr:from>
    <xdr:to>
      <xdr:col>38</xdr:col>
      <xdr:colOff>21521</xdr:colOff>
      <xdr:row>246</xdr:row>
      <xdr:rowOff>81313</xdr:rowOff>
    </xdr:to>
    <xdr:sp macro="[0]!IMPRIMIR_Haga_clic_en" textlink="">
      <xdr:nvSpPr>
        <xdr:cNvPr id="7" name="6 Rectángulo"/>
        <xdr:cNvSpPr/>
      </xdr:nvSpPr>
      <xdr:spPr>
        <a:xfrm>
          <a:off x="6167256" y="67445283"/>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84</xdr:row>
      <xdr:rowOff>95250</xdr:rowOff>
    </xdr:to>
    <xdr:sp macro="" textlink="">
      <xdr:nvSpPr>
        <xdr:cNvPr id="2" name="Rectangle 1"/>
        <xdr:cNvSpPr>
          <a:spLocks noChangeArrowheads="1"/>
        </xdr:cNvSpPr>
      </xdr:nvSpPr>
      <xdr:spPr bwMode="auto">
        <a:xfrm>
          <a:off x="19050" y="28575"/>
          <a:ext cx="7362825" cy="1036320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64907</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5307" cy="409575"/>
        </a:xfrm>
        <a:prstGeom prst="rect">
          <a:avLst/>
        </a:prstGeom>
        <a:noFill/>
        <a:ln w="9525">
          <a:noFill/>
          <a:miter lim="800000"/>
          <a:headEnd/>
          <a:tailEnd/>
        </a:ln>
      </xdr:spPr>
    </xdr:pic>
    <xdr:clientData/>
  </xdr:twoCellAnchor>
  <xdr:twoCellAnchor>
    <xdr:from>
      <xdr:col>24</xdr:col>
      <xdr:colOff>41425</xdr:colOff>
      <xdr:row>0</xdr:row>
      <xdr:rowOff>66084</xdr:rowOff>
    </xdr:from>
    <xdr:to>
      <xdr:col>30</xdr:col>
      <xdr:colOff>48399</xdr:colOff>
      <xdr:row>1</xdr:row>
      <xdr:rowOff>129372</xdr:rowOff>
    </xdr:to>
    <xdr:sp macro="[0]!Regresar_Captura_Datos_Haga_clic_en" textlink="">
      <xdr:nvSpPr>
        <xdr:cNvPr id="4" name="Regresar_Captura_Datos"/>
        <xdr:cNvSpPr txBox="1">
          <a:spLocks noChangeArrowheads="1"/>
        </xdr:cNvSpPr>
      </xdr:nvSpPr>
      <xdr:spPr bwMode="auto">
        <a:xfrm>
          <a:off x="4687968" y="66084"/>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99465</xdr:colOff>
      <xdr:row>0</xdr:row>
      <xdr:rowOff>66084</xdr:rowOff>
    </xdr:from>
    <xdr:to>
      <xdr:col>36</xdr:col>
      <xdr:colOff>107708</xdr:colOff>
      <xdr:row>1</xdr:row>
      <xdr:rowOff>130832</xdr:rowOff>
    </xdr:to>
    <xdr:sp macro="[0]!IMPRIMIR_Haga_clic_en" textlink="">
      <xdr:nvSpPr>
        <xdr:cNvPr id="5" name="4 Rectángulo"/>
        <xdr:cNvSpPr/>
      </xdr:nvSpPr>
      <xdr:spPr>
        <a:xfrm>
          <a:off x="6004965" y="66084"/>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157396</xdr:colOff>
      <xdr:row>250</xdr:row>
      <xdr:rowOff>28152</xdr:rowOff>
    </xdr:from>
    <xdr:to>
      <xdr:col>30</xdr:col>
      <xdr:colOff>164370</xdr:colOff>
      <xdr:row>251</xdr:row>
      <xdr:rowOff>83157</xdr:rowOff>
    </xdr:to>
    <xdr:sp macro="[0]!Regresar_Captura_Datos_Haga_clic_en" textlink="">
      <xdr:nvSpPr>
        <xdr:cNvPr id="8" name="Regresar_Captura_Datos"/>
        <xdr:cNvSpPr txBox="1">
          <a:spLocks noChangeArrowheads="1"/>
        </xdr:cNvSpPr>
      </xdr:nvSpPr>
      <xdr:spPr bwMode="auto">
        <a:xfrm>
          <a:off x="4803939" y="67928978"/>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38125</xdr:colOff>
      <xdr:row>250</xdr:row>
      <xdr:rowOff>24841</xdr:rowOff>
    </xdr:from>
    <xdr:to>
      <xdr:col>38</xdr:col>
      <xdr:colOff>4956</xdr:colOff>
      <xdr:row>251</xdr:row>
      <xdr:rowOff>81306</xdr:rowOff>
    </xdr:to>
    <xdr:sp macro="[0]!IMPRIMIR_Haga_clic_en" textlink="">
      <xdr:nvSpPr>
        <xdr:cNvPr id="9" name="8 Rectángulo"/>
        <xdr:cNvSpPr/>
      </xdr:nvSpPr>
      <xdr:spPr>
        <a:xfrm>
          <a:off x="6142408" y="67925667"/>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38100</xdr:colOff>
      <xdr:row>84</xdr:row>
      <xdr:rowOff>95250</xdr:rowOff>
    </xdr:to>
    <xdr:sp macro="" textlink="">
      <xdr:nvSpPr>
        <xdr:cNvPr id="2" name="Rectangle 1"/>
        <xdr:cNvSpPr>
          <a:spLocks noChangeArrowheads="1"/>
        </xdr:cNvSpPr>
      </xdr:nvSpPr>
      <xdr:spPr bwMode="auto">
        <a:xfrm>
          <a:off x="19050" y="359879"/>
          <a:ext cx="7440267" cy="10602154"/>
        </a:xfrm>
        <a:prstGeom prst="rect">
          <a:avLst/>
        </a:prstGeom>
        <a:noFill/>
        <a:ln w="38100" cmpd="dbl">
          <a:solidFill>
            <a:srgbClr val="000000"/>
          </a:solidFill>
          <a:miter lim="800000"/>
          <a:headEnd/>
          <a:tailEnd/>
        </a:ln>
      </xdr:spPr>
    </xdr:sp>
    <xdr:clientData/>
  </xdr:twoCellAnchor>
  <xdr:twoCellAnchor editAs="oneCell">
    <xdr:from>
      <xdr:col>1</xdr:col>
      <xdr:colOff>0</xdr:colOff>
      <xdr:row>2</xdr:row>
      <xdr:rowOff>47625</xdr:rowOff>
    </xdr:from>
    <xdr:to>
      <xdr:col>17</xdr:col>
      <xdr:colOff>66675</xdr:colOff>
      <xdr:row>5</xdr:row>
      <xdr:rowOff>19050</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47625"/>
          <a:ext cx="3267075" cy="409575"/>
        </a:xfrm>
        <a:prstGeom prst="rect">
          <a:avLst/>
        </a:prstGeom>
        <a:noFill/>
        <a:ln w="9525">
          <a:noFill/>
          <a:miter lim="800000"/>
          <a:headEnd/>
          <a:tailEnd/>
        </a:ln>
      </xdr:spPr>
    </xdr:pic>
    <xdr:clientData/>
  </xdr:twoCellAnchor>
  <xdr:twoCellAnchor>
    <xdr:from>
      <xdr:col>24</xdr:col>
      <xdr:colOff>157352</xdr:colOff>
      <xdr:row>0</xdr:row>
      <xdr:rowOff>66259</xdr:rowOff>
    </xdr:from>
    <xdr:to>
      <xdr:col>30</xdr:col>
      <xdr:colOff>156044</xdr:colOff>
      <xdr:row>1</xdr:row>
      <xdr:rowOff>129547</xdr:rowOff>
    </xdr:to>
    <xdr:sp macro="[0]!Regresar_Captura_Datos_Haga_clic_en" textlink="">
      <xdr:nvSpPr>
        <xdr:cNvPr id="37" name="Regresar_Captura_Datos"/>
        <xdr:cNvSpPr txBox="1">
          <a:spLocks noChangeArrowheads="1"/>
        </xdr:cNvSpPr>
      </xdr:nvSpPr>
      <xdr:spPr bwMode="auto">
        <a:xfrm>
          <a:off x="4837026" y="66259"/>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16562</xdr:colOff>
      <xdr:row>0</xdr:row>
      <xdr:rowOff>66262</xdr:rowOff>
    </xdr:from>
    <xdr:to>
      <xdr:col>37</xdr:col>
      <xdr:colOff>8241</xdr:colOff>
      <xdr:row>1</xdr:row>
      <xdr:rowOff>131010</xdr:rowOff>
    </xdr:to>
    <xdr:sp macro="[0]!IMPRIMIR_Haga_clic_en" textlink="">
      <xdr:nvSpPr>
        <xdr:cNvPr id="38" name="37 Rectángulo"/>
        <xdr:cNvSpPr/>
      </xdr:nvSpPr>
      <xdr:spPr>
        <a:xfrm>
          <a:off x="6162258" y="6626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25</xdr:col>
      <xdr:colOff>9</xdr:colOff>
      <xdr:row>281</xdr:row>
      <xdr:rowOff>36443</xdr:rowOff>
    </xdr:from>
    <xdr:to>
      <xdr:col>30</xdr:col>
      <xdr:colOff>197484</xdr:colOff>
      <xdr:row>282</xdr:row>
      <xdr:rowOff>99731</xdr:rowOff>
    </xdr:to>
    <xdr:sp macro="[0]!Regresar_Captura_Datos_Haga_clic_en" textlink="">
      <xdr:nvSpPr>
        <xdr:cNvPr id="39" name="Regresar_Captura_Datos"/>
        <xdr:cNvSpPr txBox="1">
          <a:spLocks noChangeArrowheads="1"/>
        </xdr:cNvSpPr>
      </xdr:nvSpPr>
      <xdr:spPr bwMode="auto">
        <a:xfrm>
          <a:off x="4878466" y="109192943"/>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71239</xdr:colOff>
      <xdr:row>281</xdr:row>
      <xdr:rowOff>33132</xdr:rowOff>
    </xdr:from>
    <xdr:to>
      <xdr:col>38</xdr:col>
      <xdr:colOff>21505</xdr:colOff>
      <xdr:row>282</xdr:row>
      <xdr:rowOff>97880</xdr:rowOff>
    </xdr:to>
    <xdr:sp macro="[0]!IMPRIMIR_Haga_clic_en" textlink="">
      <xdr:nvSpPr>
        <xdr:cNvPr id="40" name="39 Rectángulo"/>
        <xdr:cNvSpPr/>
      </xdr:nvSpPr>
      <xdr:spPr>
        <a:xfrm>
          <a:off x="6216935" y="10918963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84</xdr:row>
      <xdr:rowOff>95250</xdr:rowOff>
    </xdr:to>
    <xdr:sp macro="" textlink="">
      <xdr:nvSpPr>
        <xdr:cNvPr id="2" name="Rectangle 1"/>
        <xdr:cNvSpPr>
          <a:spLocks noChangeArrowheads="1"/>
        </xdr:cNvSpPr>
      </xdr:nvSpPr>
      <xdr:spPr bwMode="auto">
        <a:xfrm>
          <a:off x="19050" y="28575"/>
          <a:ext cx="7477125" cy="10525125"/>
        </a:xfrm>
        <a:prstGeom prst="rect">
          <a:avLst/>
        </a:prstGeom>
        <a:noFill/>
        <a:ln w="38100" cmpd="dbl">
          <a:solidFill>
            <a:srgbClr val="000000"/>
          </a:solidFill>
          <a:miter lim="800000"/>
          <a:headEnd/>
          <a:tailEnd/>
        </a:ln>
      </xdr:spPr>
    </xdr:sp>
    <xdr:clientData/>
  </xdr:twoCellAnchor>
  <xdr:twoCellAnchor editAs="oneCell">
    <xdr:from>
      <xdr:col>1</xdr:col>
      <xdr:colOff>0</xdr:colOff>
      <xdr:row>2</xdr:row>
      <xdr:rowOff>57150</xdr:rowOff>
    </xdr:from>
    <xdr:to>
      <xdr:col>17</xdr:col>
      <xdr:colOff>66675</xdr:colOff>
      <xdr:row>5</xdr:row>
      <xdr:rowOff>92075</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142875" y="57150"/>
          <a:ext cx="3267075" cy="415925"/>
        </a:xfrm>
        <a:prstGeom prst="rect">
          <a:avLst/>
        </a:prstGeom>
        <a:noFill/>
        <a:ln w="9525">
          <a:noFill/>
          <a:miter lim="800000"/>
          <a:headEnd/>
          <a:tailEnd/>
        </a:ln>
      </xdr:spPr>
    </xdr:pic>
    <xdr:clientData/>
  </xdr:twoCellAnchor>
  <xdr:twoCellAnchor>
    <xdr:from>
      <xdr:col>24</xdr:col>
      <xdr:colOff>124235</xdr:colOff>
      <xdr:row>0</xdr:row>
      <xdr:rowOff>66261</xdr:rowOff>
    </xdr:from>
    <xdr:to>
      <xdr:col>30</xdr:col>
      <xdr:colOff>122926</xdr:colOff>
      <xdr:row>1</xdr:row>
      <xdr:rowOff>129549</xdr:rowOff>
    </xdr:to>
    <xdr:sp macro="[0]!Regresar_Captura_Datos_Haga_clic_en" textlink="">
      <xdr:nvSpPr>
        <xdr:cNvPr id="46" name="Regresar_Captura_Datos"/>
        <xdr:cNvSpPr txBox="1">
          <a:spLocks noChangeArrowheads="1"/>
        </xdr:cNvSpPr>
      </xdr:nvSpPr>
      <xdr:spPr bwMode="auto">
        <a:xfrm>
          <a:off x="4878452" y="6626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173935</xdr:colOff>
      <xdr:row>0</xdr:row>
      <xdr:rowOff>66262</xdr:rowOff>
    </xdr:from>
    <xdr:to>
      <xdr:col>36</xdr:col>
      <xdr:colOff>149049</xdr:colOff>
      <xdr:row>1</xdr:row>
      <xdr:rowOff>131010</xdr:rowOff>
    </xdr:to>
    <xdr:sp macro="[0]!IMPRIMIR_Haga_clic_en" textlink="">
      <xdr:nvSpPr>
        <xdr:cNvPr id="47" name="46 Rectángulo"/>
        <xdr:cNvSpPr/>
      </xdr:nvSpPr>
      <xdr:spPr>
        <a:xfrm>
          <a:off x="6195392" y="6626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25</xdr:col>
      <xdr:colOff>41434</xdr:colOff>
      <xdr:row>298</xdr:row>
      <xdr:rowOff>36443</xdr:rowOff>
    </xdr:from>
    <xdr:to>
      <xdr:col>31</xdr:col>
      <xdr:colOff>40126</xdr:colOff>
      <xdr:row>299</xdr:row>
      <xdr:rowOff>99731</xdr:rowOff>
    </xdr:to>
    <xdr:sp macro="[0]!Regresar_Captura_Datos_Haga_clic_en" textlink="">
      <xdr:nvSpPr>
        <xdr:cNvPr id="48" name="Regresar_Captura_Datos"/>
        <xdr:cNvSpPr txBox="1">
          <a:spLocks noChangeArrowheads="1"/>
        </xdr:cNvSpPr>
      </xdr:nvSpPr>
      <xdr:spPr bwMode="auto">
        <a:xfrm>
          <a:off x="4994434" y="88792878"/>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112664</xdr:colOff>
      <xdr:row>298</xdr:row>
      <xdr:rowOff>33132</xdr:rowOff>
    </xdr:from>
    <xdr:to>
      <xdr:col>39</xdr:col>
      <xdr:colOff>0</xdr:colOff>
      <xdr:row>299</xdr:row>
      <xdr:rowOff>97880</xdr:rowOff>
    </xdr:to>
    <xdr:sp macro="[0]!IMPRIMIR_Haga_clic_en" textlink="">
      <xdr:nvSpPr>
        <xdr:cNvPr id="49" name="48 Rectángulo"/>
        <xdr:cNvSpPr/>
      </xdr:nvSpPr>
      <xdr:spPr>
        <a:xfrm>
          <a:off x="6332903" y="88789567"/>
          <a:ext cx="1262249"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85</xdr:row>
      <xdr:rowOff>95250</xdr:rowOff>
    </xdr:to>
    <xdr:sp macro="" textlink="">
      <xdr:nvSpPr>
        <xdr:cNvPr id="2" name="Rectangle 1"/>
        <xdr:cNvSpPr>
          <a:spLocks noChangeArrowheads="1"/>
        </xdr:cNvSpPr>
      </xdr:nvSpPr>
      <xdr:spPr bwMode="auto">
        <a:xfrm>
          <a:off x="19050" y="28575"/>
          <a:ext cx="7296150" cy="1043940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7</xdr:col>
      <xdr:colOff>16576</xdr:colOff>
      <xdr:row>151</xdr:row>
      <xdr:rowOff>140797</xdr:rowOff>
    </xdr:from>
    <xdr:to>
      <xdr:col>29</xdr:col>
      <xdr:colOff>7050</xdr:colOff>
      <xdr:row>158</xdr:row>
      <xdr:rowOff>137069</xdr:rowOff>
    </xdr:to>
    <xdr:pic>
      <xdr:nvPicPr>
        <xdr:cNvPr id="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1283815" y="32393275"/>
          <a:ext cx="4363692" cy="1130990"/>
        </a:xfrm>
        <a:prstGeom prst="rect">
          <a:avLst/>
        </a:prstGeom>
        <a:noFill/>
        <a:ln w="9525">
          <a:noFill/>
          <a:miter lim="800000"/>
          <a:headEnd/>
          <a:tailEnd/>
        </a:ln>
      </xdr:spPr>
    </xdr:pic>
    <xdr:clientData/>
  </xdr:twoCellAnchor>
  <xdr:twoCellAnchor>
    <xdr:from>
      <xdr:col>24</xdr:col>
      <xdr:colOff>41414</xdr:colOff>
      <xdr:row>0</xdr:row>
      <xdr:rowOff>66261</xdr:rowOff>
    </xdr:from>
    <xdr:to>
      <xdr:col>30</xdr:col>
      <xdr:colOff>114649</xdr:colOff>
      <xdr:row>1</xdr:row>
      <xdr:rowOff>129549</xdr:rowOff>
    </xdr:to>
    <xdr:sp macro="[0]!Regresar_Captura_Datos_Haga_clic_en" textlink="">
      <xdr:nvSpPr>
        <xdr:cNvPr id="6" name="Regresar_Captura_Datos"/>
        <xdr:cNvSpPr txBox="1">
          <a:spLocks noChangeArrowheads="1"/>
        </xdr:cNvSpPr>
      </xdr:nvSpPr>
      <xdr:spPr bwMode="auto">
        <a:xfrm>
          <a:off x="4687957" y="6626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182216</xdr:colOff>
      <xdr:row>0</xdr:row>
      <xdr:rowOff>66262</xdr:rowOff>
    </xdr:from>
    <xdr:to>
      <xdr:col>36</xdr:col>
      <xdr:colOff>198742</xdr:colOff>
      <xdr:row>1</xdr:row>
      <xdr:rowOff>131010</xdr:rowOff>
    </xdr:to>
    <xdr:sp macro="[0]!IMPRIMIR_Haga_clic_en" textlink="">
      <xdr:nvSpPr>
        <xdr:cNvPr id="7" name="6 Rectángulo"/>
        <xdr:cNvSpPr/>
      </xdr:nvSpPr>
      <xdr:spPr>
        <a:xfrm>
          <a:off x="6021455" y="6626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107698</xdr:colOff>
      <xdr:row>283</xdr:row>
      <xdr:rowOff>28160</xdr:rowOff>
    </xdr:from>
    <xdr:to>
      <xdr:col>30</xdr:col>
      <xdr:colOff>180933</xdr:colOff>
      <xdr:row>284</xdr:row>
      <xdr:rowOff>91448</xdr:rowOff>
    </xdr:to>
    <xdr:sp macro="[0]!Regresar_Captura_Datos_Haga_clic_en" textlink="">
      <xdr:nvSpPr>
        <xdr:cNvPr id="8" name="Regresar_Captura_Datos"/>
        <xdr:cNvSpPr txBox="1">
          <a:spLocks noChangeArrowheads="1"/>
        </xdr:cNvSpPr>
      </xdr:nvSpPr>
      <xdr:spPr bwMode="auto">
        <a:xfrm>
          <a:off x="4754241" y="77263486"/>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54688</xdr:colOff>
      <xdr:row>283</xdr:row>
      <xdr:rowOff>24849</xdr:rowOff>
    </xdr:from>
    <xdr:to>
      <xdr:col>38</xdr:col>
      <xdr:colOff>13236</xdr:colOff>
      <xdr:row>284</xdr:row>
      <xdr:rowOff>89597</xdr:rowOff>
    </xdr:to>
    <xdr:sp macro="[0]!IMPRIMIR_Haga_clic_en" textlink="">
      <xdr:nvSpPr>
        <xdr:cNvPr id="9" name="8 Rectángulo"/>
        <xdr:cNvSpPr/>
      </xdr:nvSpPr>
      <xdr:spPr>
        <a:xfrm>
          <a:off x="6092710" y="77260175"/>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19050</xdr:colOff>
      <xdr:row>2</xdr:row>
      <xdr:rowOff>41413</xdr:rowOff>
    </xdr:from>
    <xdr:to>
      <xdr:col>38</xdr:col>
      <xdr:colOff>24848</xdr:colOff>
      <xdr:row>81</xdr:row>
      <xdr:rowOff>95250</xdr:rowOff>
    </xdr:to>
    <xdr:sp macro="" textlink="">
      <xdr:nvSpPr>
        <xdr:cNvPr id="2" name="Rectangle 1"/>
        <xdr:cNvSpPr>
          <a:spLocks noChangeArrowheads="1"/>
        </xdr:cNvSpPr>
      </xdr:nvSpPr>
      <xdr:spPr bwMode="auto">
        <a:xfrm>
          <a:off x="19050" y="372717"/>
          <a:ext cx="7708624" cy="9959837"/>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131168</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5307" cy="409575"/>
        </a:xfrm>
        <a:prstGeom prst="rect">
          <a:avLst/>
        </a:prstGeom>
        <a:noFill/>
        <a:ln w="9525">
          <a:noFill/>
          <a:miter lim="800000"/>
          <a:headEnd/>
          <a:tailEnd/>
        </a:ln>
      </xdr:spPr>
    </xdr:pic>
    <xdr:clientData/>
  </xdr:twoCellAnchor>
  <xdr:twoCellAnchor>
    <xdr:from>
      <xdr:col>25</xdr:col>
      <xdr:colOff>99391</xdr:colOff>
      <xdr:row>0</xdr:row>
      <xdr:rowOff>57978</xdr:rowOff>
    </xdr:from>
    <xdr:to>
      <xdr:col>30</xdr:col>
      <xdr:colOff>189191</xdr:colOff>
      <xdr:row>1</xdr:row>
      <xdr:rowOff>121266</xdr:rowOff>
    </xdr:to>
    <xdr:sp macro="[0]!Regresar_Captura_Datos_Haga_clic_en" textlink="">
      <xdr:nvSpPr>
        <xdr:cNvPr id="4" name="Regresar_Captura_Datos"/>
        <xdr:cNvSpPr txBox="1">
          <a:spLocks noChangeArrowheads="1"/>
        </xdr:cNvSpPr>
      </xdr:nvSpPr>
      <xdr:spPr bwMode="auto">
        <a:xfrm>
          <a:off x="5002695" y="57978"/>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74543</xdr:colOff>
      <xdr:row>0</xdr:row>
      <xdr:rowOff>57978</xdr:rowOff>
    </xdr:from>
    <xdr:to>
      <xdr:col>36</xdr:col>
      <xdr:colOff>173895</xdr:colOff>
      <xdr:row>1</xdr:row>
      <xdr:rowOff>122726</xdr:rowOff>
    </xdr:to>
    <xdr:sp macro="[0]!IMPRIMIR_Haga_clic_en" textlink="">
      <xdr:nvSpPr>
        <xdr:cNvPr id="5" name="4 Rectángulo"/>
        <xdr:cNvSpPr/>
      </xdr:nvSpPr>
      <xdr:spPr>
        <a:xfrm>
          <a:off x="6352760" y="57978"/>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26</xdr:col>
      <xdr:colOff>8293</xdr:colOff>
      <xdr:row>256</xdr:row>
      <xdr:rowOff>28160</xdr:rowOff>
    </xdr:from>
    <xdr:to>
      <xdr:col>31</xdr:col>
      <xdr:colOff>98093</xdr:colOff>
      <xdr:row>257</xdr:row>
      <xdr:rowOff>91448</xdr:rowOff>
    </xdr:to>
    <xdr:sp macro="[0]!Regresar_Captura_Datos_Haga_clic_en" textlink="">
      <xdr:nvSpPr>
        <xdr:cNvPr id="6" name="Regresar_Captura_Datos"/>
        <xdr:cNvSpPr txBox="1">
          <a:spLocks noChangeArrowheads="1"/>
        </xdr:cNvSpPr>
      </xdr:nvSpPr>
      <xdr:spPr bwMode="auto">
        <a:xfrm>
          <a:off x="4994423" y="69800856"/>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170631</xdr:colOff>
      <xdr:row>256</xdr:row>
      <xdr:rowOff>24849</xdr:rowOff>
    </xdr:from>
    <xdr:to>
      <xdr:col>38</xdr:col>
      <xdr:colOff>13222</xdr:colOff>
      <xdr:row>257</xdr:row>
      <xdr:rowOff>89597</xdr:rowOff>
    </xdr:to>
    <xdr:sp macro="[0]!IMPRIMIR_Haga_clic_en" textlink="">
      <xdr:nvSpPr>
        <xdr:cNvPr id="7" name="6 Rectángulo"/>
        <xdr:cNvSpPr/>
      </xdr:nvSpPr>
      <xdr:spPr>
        <a:xfrm>
          <a:off x="6332892" y="69797545"/>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ervas\Documents\Repos\MCA\Cierre%20Autom&#225;tic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_Consola"/>
      <sheetName val="CA_Servicios"/>
      <sheetName val="Cierre Automático"/>
    </sheetNames>
    <definedNames>
      <definedName name="ActualizarOtroLibro"/>
      <definedName name="CerrarLibro"/>
      <definedName name="checkRegistrarMensaje_Click"/>
      <definedName name="EliminarModuloCA"/>
      <definedName name="PseudoCierreToggle"/>
      <definedName name="RegistraLogDeCierre"/>
      <definedName name="ResaltaNombresInvalidos"/>
    </defined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3.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2"/>
  <sheetViews>
    <sheetView tabSelected="1" zoomScaleNormal="100" workbookViewId="0"/>
  </sheetViews>
  <sheetFormatPr defaultColWidth="9.109375" defaultRowHeight="14.4"/>
  <cols>
    <col min="1" max="1" width="3.5546875" style="1097" customWidth="1"/>
    <col min="2" max="2" width="27.33203125" style="1097" customWidth="1"/>
    <col min="3" max="3" width="3.5546875" style="1097" customWidth="1"/>
    <col min="4" max="4" width="9.33203125" style="1097" customWidth="1"/>
    <col min="5" max="5" width="9.109375" style="1097" customWidth="1"/>
    <col min="6" max="7" width="9.33203125" style="1097" customWidth="1"/>
    <col min="8" max="11" width="10.109375" style="1097" customWidth="1"/>
    <col min="12" max="12" width="6.6640625" style="1097" customWidth="1"/>
    <col min="13" max="13" width="8.5546875" style="1097" customWidth="1"/>
    <col min="14" max="14" width="7" style="1097" customWidth="1"/>
    <col min="15" max="16384" width="9.109375" style="1097"/>
  </cols>
  <sheetData>
    <row r="1" spans="1:13">
      <c r="A1" s="1096" t="s">
        <v>119</v>
      </c>
    </row>
    <row r="2" spans="1:13">
      <c r="B2" s="1098" t="s">
        <v>804</v>
      </c>
      <c r="C2" s="1099"/>
      <c r="D2" s="1099"/>
      <c r="E2" s="1099"/>
      <c r="F2" s="1099"/>
      <c r="G2" s="1099"/>
      <c r="H2" s="1099"/>
      <c r="I2" s="1099"/>
      <c r="J2" s="1100" t="s">
        <v>805</v>
      </c>
      <c r="K2" s="1101" t="s">
        <v>806</v>
      </c>
      <c r="L2" s="1102" t="s">
        <v>807</v>
      </c>
      <c r="M2" s="1103"/>
    </row>
    <row r="4" spans="1:13">
      <c r="B4" s="1104">
        <v>2</v>
      </c>
      <c r="C4" s="1105">
        <v>0</v>
      </c>
      <c r="D4" s="1106" t="s">
        <v>808</v>
      </c>
      <c r="E4" s="1107"/>
      <c r="F4" s="1107"/>
      <c r="G4" s="1107"/>
      <c r="H4" s="1107"/>
      <c r="I4" s="1107"/>
      <c r="J4" s="1107"/>
      <c r="K4" s="1108"/>
      <c r="M4" s="1096"/>
    </row>
    <row r="5" spans="1:13" ht="17.25" customHeight="1">
      <c r="A5" s="1096"/>
      <c r="B5" s="1109" t="s">
        <v>133</v>
      </c>
      <c r="D5" s="1110"/>
      <c r="E5" s="1111"/>
      <c r="F5" s="1111"/>
      <c r="G5" s="1111"/>
      <c r="H5" s="1111"/>
      <c r="I5" s="1111"/>
      <c r="J5" s="1111"/>
      <c r="K5" s="1112"/>
      <c r="M5" s="1096"/>
    </row>
    <row r="6" spans="1:13" ht="17.25" customHeight="1">
      <c r="B6" s="1109" t="s">
        <v>124</v>
      </c>
      <c r="M6" s="1096"/>
    </row>
    <row r="7" spans="1:13" ht="17.25" customHeight="1">
      <c r="B7" s="1109"/>
      <c r="D7" s="1113"/>
      <c r="E7" s="1113"/>
      <c r="F7" s="1114" t="s">
        <v>809</v>
      </c>
      <c r="G7" s="1115"/>
      <c r="H7" s="1115"/>
      <c r="I7" s="1115"/>
      <c r="J7" s="1115"/>
      <c r="K7" s="1115"/>
    </row>
    <row r="8" spans="1:13" ht="17.25" customHeight="1">
      <c r="B8" s="1116"/>
      <c r="D8" s="1113"/>
      <c r="E8" s="1113"/>
      <c r="F8" s="1113"/>
      <c r="G8" s="1115"/>
      <c r="H8" s="1115"/>
      <c r="I8" s="1115"/>
      <c r="J8" s="1115"/>
      <c r="K8" s="1115"/>
    </row>
    <row r="9" spans="1:13" ht="17.25" customHeight="1">
      <c r="B9" s="1116"/>
    </row>
    <row r="10" spans="1:13" ht="17.25" customHeight="1">
      <c r="B10" s="1116"/>
      <c r="D10" s="1117"/>
      <c r="E10" s="1117"/>
      <c r="F10" s="1118" t="s">
        <v>810</v>
      </c>
      <c r="G10" s="1119"/>
      <c r="H10" s="1119"/>
      <c r="I10" s="1119"/>
      <c r="J10" s="1119"/>
      <c r="K10" s="1119"/>
    </row>
    <row r="11" spans="1:13" ht="17.25" customHeight="1">
      <c r="B11" s="1120"/>
      <c r="D11" s="1117"/>
      <c r="E11" s="1117"/>
      <c r="F11" s="1117"/>
      <c r="G11" s="1119"/>
      <c r="H11" s="1119"/>
      <c r="I11" s="1119"/>
      <c r="J11" s="1121" t="s">
        <v>811</v>
      </c>
      <c r="K11" s="1122" t="s">
        <v>812</v>
      </c>
    </row>
    <row r="12" spans="1:13" ht="17.25" customHeight="1">
      <c r="B12" s="1120"/>
    </row>
    <row r="13" spans="1:13" ht="17.25" customHeight="1">
      <c r="B13" s="1120"/>
      <c r="D13" s="1123"/>
      <c r="E13" s="1123"/>
      <c r="F13" s="1124" t="s">
        <v>813</v>
      </c>
      <c r="G13" s="1125"/>
      <c r="H13" s="1125"/>
      <c r="I13" s="1125"/>
      <c r="J13" s="1125"/>
      <c r="K13" s="1125"/>
    </row>
    <row r="14" spans="1:13" ht="17.25" customHeight="1">
      <c r="B14" s="1120"/>
      <c r="D14" s="1123"/>
      <c r="E14" s="1123"/>
      <c r="F14" s="1123"/>
      <c r="G14" s="1125"/>
      <c r="H14" s="1125"/>
      <c r="I14" s="1125"/>
      <c r="J14" s="1125"/>
      <c r="K14" s="1125"/>
    </row>
    <row r="15" spans="1:13" ht="17.25" customHeight="1">
      <c r="B15" s="1120"/>
      <c r="M15" s="1096"/>
    </row>
    <row r="16" spans="1:13" ht="17.25" customHeight="1">
      <c r="B16" s="1120"/>
      <c r="D16" s="1126" t="s">
        <v>814</v>
      </c>
      <c r="E16" s="1127"/>
      <c r="F16" s="1127"/>
      <c r="G16" s="1127"/>
      <c r="H16" s="1127"/>
      <c r="I16" s="1127"/>
      <c r="J16" s="1127"/>
      <c r="K16" s="1127"/>
    </row>
    <row r="17" spans="2:11" ht="17.25" customHeight="1">
      <c r="B17" s="1120"/>
      <c r="D17" s="1128" t="b">
        <v>1</v>
      </c>
      <c r="E17" s="1128" t="s">
        <v>120</v>
      </c>
      <c r="F17" s="1128"/>
      <c r="G17" s="1128"/>
      <c r="H17" s="1128"/>
      <c r="I17" s="1128"/>
    </row>
    <row r="18" spans="2:11" ht="17.25" customHeight="1">
      <c r="B18" s="1120"/>
      <c r="D18" s="1128" t="b">
        <v>0</v>
      </c>
      <c r="E18" s="1128" t="s">
        <v>121</v>
      </c>
      <c r="F18" s="1128"/>
      <c r="J18" s="1129"/>
      <c r="K18" s="1129"/>
    </row>
    <row r="19" spans="2:11" ht="17.25" customHeight="1">
      <c r="B19" s="1120"/>
      <c r="D19" s="1128" t="b">
        <v>1</v>
      </c>
      <c r="E19" s="1128" t="s">
        <v>122</v>
      </c>
      <c r="F19" s="1128"/>
      <c r="G19" s="1130" t="s">
        <v>119</v>
      </c>
      <c r="H19" s="1131"/>
      <c r="I19" s="1132" t="s">
        <v>815</v>
      </c>
      <c r="J19" s="1133"/>
      <c r="K19" s="1134"/>
    </row>
    <row r="20" spans="2:11" ht="17.25" customHeight="1">
      <c r="B20" s="1120"/>
      <c r="D20" s="1128" t="b">
        <v>1</v>
      </c>
      <c r="E20" s="1128" t="s">
        <v>123</v>
      </c>
      <c r="F20" s="1128"/>
      <c r="G20" s="1135" t="s">
        <v>821</v>
      </c>
      <c r="H20" s="1136"/>
      <c r="I20" s="1136"/>
      <c r="J20" s="1136"/>
      <c r="K20" s="1137"/>
    </row>
    <row r="21" spans="2:11" ht="17.25" customHeight="1">
      <c r="B21" s="1120"/>
      <c r="D21" s="1128" t="b">
        <v>0</v>
      </c>
      <c r="E21" s="1128" t="s">
        <v>816</v>
      </c>
      <c r="F21" s="1128"/>
    </row>
    <row r="22" spans="2:11" ht="17.25" customHeight="1">
      <c r="B22" s="1120"/>
    </row>
    <row r="24" spans="2:11">
      <c r="B24" s="1138"/>
    </row>
    <row r="25" spans="2:11">
      <c r="B25" s="1139"/>
    </row>
    <row r="26" spans="2:11">
      <c r="B26" s="1140" t="s">
        <v>817</v>
      </c>
    </row>
    <row r="28" spans="2:11">
      <c r="B28" s="1098" t="s">
        <v>818</v>
      </c>
      <c r="C28" s="1099"/>
      <c r="D28" s="1099"/>
      <c r="E28" s="1099"/>
      <c r="F28" s="1099"/>
      <c r="G28" s="1099"/>
      <c r="H28" s="1099"/>
      <c r="I28" s="1099"/>
      <c r="J28" s="1099"/>
      <c r="K28" s="1099"/>
    </row>
    <row r="30" spans="2:11" ht="19.5" customHeight="1">
      <c r="B30" s="1141"/>
      <c r="C30" s="1113"/>
      <c r="D30" s="1142" t="s">
        <v>819</v>
      </c>
      <c r="E30" s="1113"/>
      <c r="F30" s="1113"/>
      <c r="G30" s="1113"/>
      <c r="H30" s="1113"/>
      <c r="I30" s="1113"/>
      <c r="J30" s="1113"/>
      <c r="K30" s="1113"/>
    </row>
    <row r="32" spans="2:11" ht="19.5" customHeight="1">
      <c r="B32" s="1123"/>
      <c r="C32" s="1123"/>
      <c r="D32" s="1143" t="s">
        <v>820</v>
      </c>
      <c r="E32" s="1123"/>
      <c r="F32" s="1123"/>
      <c r="G32" s="1123"/>
      <c r="H32" s="1123"/>
      <c r="I32" s="1123"/>
      <c r="J32" s="1123"/>
      <c r="K32" s="1123"/>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2867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2867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2867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2867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2867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2867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2868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2868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09375" defaultRowHeight="14.4"/>
  <cols>
    <col min="1" max="1" width="2" style="1082" bestFit="1" customWidth="1"/>
    <col min="2" max="2" width="51.5546875" style="1082" customWidth="1"/>
    <col min="3" max="3" width="51.5546875" style="1082" bestFit="1" customWidth="1"/>
    <col min="4" max="4" width="29" style="1082" customWidth="1"/>
    <col min="5" max="5" width="92.44140625" style="1082" bestFit="1" customWidth="1"/>
    <col min="6" max="16384" width="9.109375" style="1082"/>
  </cols>
  <sheetData>
    <row r="2" spans="2:3">
      <c r="B2" s="1080" t="s">
        <v>788</v>
      </c>
      <c r="C2" s="1081"/>
    </row>
    <row r="4" spans="2:3">
      <c r="B4" s="1083" t="s">
        <v>789</v>
      </c>
      <c r="C4" s="1084" t="b">
        <v>1</v>
      </c>
    </row>
    <row r="5" spans="2:3">
      <c r="B5" s="1085" t="s">
        <v>790</v>
      </c>
      <c r="C5" s="1084" t="s">
        <v>791</v>
      </c>
    </row>
    <row r="6" spans="2:3">
      <c r="B6" s="1085" t="s">
        <v>792</v>
      </c>
      <c r="C6" s="1086" t="s">
        <v>793</v>
      </c>
    </row>
    <row r="8" spans="2:3">
      <c r="B8" s="1080" t="s">
        <v>794</v>
      </c>
      <c r="C8" s="1081"/>
    </row>
    <row r="10" spans="2:3">
      <c r="B10" s="1087" t="s">
        <v>119</v>
      </c>
      <c r="C10" s="1088" t="s">
        <v>119</v>
      </c>
    </row>
    <row r="11" spans="2:3" ht="45" customHeight="1">
      <c r="B11" s="1089" t="s">
        <v>119</v>
      </c>
      <c r="C11" s="1090"/>
    </row>
    <row r="13" spans="2:3">
      <c r="B13" s="1080" t="s">
        <v>795</v>
      </c>
      <c r="C13" s="1081"/>
    </row>
    <row r="14" spans="2:3">
      <c r="B14" s="1082" t="s">
        <v>119</v>
      </c>
    </row>
    <row r="15" spans="2:3">
      <c r="B15" s="1091" t="s">
        <v>796</v>
      </c>
      <c r="C15" s="1091" t="s">
        <v>797</v>
      </c>
    </row>
    <row r="16" spans="2:3">
      <c r="B16" s="1092" t="s">
        <v>798</v>
      </c>
      <c r="C16" s="1082" t="s">
        <v>799</v>
      </c>
    </row>
    <row r="17" spans="2:4">
      <c r="B17" s="1092" t="s">
        <v>800</v>
      </c>
      <c r="C17" s="1082" t="s">
        <v>801</v>
      </c>
      <c r="D17" s="1093"/>
    </row>
    <row r="18" spans="2:4">
      <c r="B18" s="1082" t="s">
        <v>119</v>
      </c>
    </row>
    <row r="19" spans="2:4">
      <c r="B19" s="1094" t="s">
        <v>802</v>
      </c>
      <c r="C19" s="1094" t="s">
        <v>803</v>
      </c>
    </row>
    <row r="20" spans="2:4">
      <c r="B20" s="1092"/>
      <c r="C20" s="1092"/>
    </row>
    <row r="21" spans="2:4">
      <c r="B21" s="1092"/>
      <c r="C21" s="1092"/>
    </row>
    <row r="22" spans="2:4">
      <c r="B22" s="1092"/>
      <c r="C22" s="1092"/>
    </row>
    <row r="23" spans="2:4">
      <c r="B23" s="1092"/>
      <c r="C23" s="1092"/>
    </row>
    <row r="24" spans="2:4">
      <c r="C24" s="1095"/>
    </row>
    <row r="25" spans="2:4">
      <c r="C25" s="1095"/>
    </row>
    <row r="26" spans="2:4">
      <c r="C26" s="1095"/>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M36"/>
  <sheetViews>
    <sheetView showGridLines="0" workbookViewId="0">
      <selection activeCell="E9" sqref="E9:F9"/>
    </sheetView>
  </sheetViews>
  <sheetFormatPr defaultColWidth="11.5546875" defaultRowHeight="13.2"/>
  <cols>
    <col min="1" max="1" width="15.6640625" customWidth="1"/>
    <col min="2" max="8" width="10.6640625" customWidth="1"/>
    <col min="9" max="9" width="19.109375" bestFit="1" customWidth="1"/>
    <col min="10" max="11" width="10.6640625" customWidth="1"/>
    <col min="12" max="12" width="15.6640625" customWidth="1"/>
  </cols>
  <sheetData>
    <row r="1" spans="1:13" ht="6.75" customHeight="1" thickBot="1">
      <c r="A1" s="3"/>
      <c r="B1" s="3"/>
      <c r="C1" s="3"/>
      <c r="D1" s="3"/>
      <c r="E1" s="3"/>
      <c r="F1" s="3"/>
      <c r="G1" s="3"/>
      <c r="H1" s="3"/>
      <c r="I1" s="3"/>
      <c r="J1" s="3"/>
      <c r="K1" s="3"/>
      <c r="L1" s="3"/>
      <c r="M1" s="3"/>
    </row>
    <row r="2" spans="1:13" ht="14.1" customHeight="1">
      <c r="A2" s="3"/>
      <c r="B2" s="511" t="s">
        <v>29</v>
      </c>
      <c r="C2" s="512"/>
      <c r="D2" s="512"/>
      <c r="E2" s="512"/>
      <c r="F2" s="512"/>
      <c r="G2" s="512"/>
      <c r="H2" s="512"/>
      <c r="I2" s="512"/>
      <c r="J2" s="512"/>
      <c r="K2" s="513"/>
      <c r="L2" s="3"/>
      <c r="M2" s="3"/>
    </row>
    <row r="3" spans="1:13" ht="14.1" customHeight="1">
      <c r="A3" s="3"/>
      <c r="B3" s="514"/>
      <c r="C3" s="515"/>
      <c r="D3" s="515"/>
      <c r="E3" s="515"/>
      <c r="F3" s="515"/>
      <c r="G3" s="515"/>
      <c r="H3" s="515"/>
      <c r="I3" s="515"/>
      <c r="J3" s="515"/>
      <c r="K3" s="516"/>
      <c r="L3" s="3"/>
      <c r="M3" s="3"/>
    </row>
    <row r="4" spans="1:13" ht="14.1" customHeight="1">
      <c r="A4" s="3"/>
      <c r="B4" s="514"/>
      <c r="C4" s="515"/>
      <c r="D4" s="515"/>
      <c r="E4" s="515"/>
      <c r="F4" s="515"/>
      <c r="G4" s="515"/>
      <c r="H4" s="515"/>
      <c r="I4" s="515"/>
      <c r="J4" s="515"/>
      <c r="K4" s="516"/>
      <c r="L4" s="3"/>
      <c r="M4" s="3"/>
    </row>
    <row r="5" spans="1:13" ht="14.1" customHeight="1" thickBot="1">
      <c r="A5" s="3"/>
      <c r="B5" s="517"/>
      <c r="C5" s="518"/>
      <c r="D5" s="518"/>
      <c r="E5" s="518"/>
      <c r="F5" s="518"/>
      <c r="G5" s="518"/>
      <c r="H5" s="518"/>
      <c r="I5" s="518"/>
      <c r="J5" s="518"/>
      <c r="K5" s="519"/>
      <c r="L5" s="3"/>
      <c r="M5" s="3"/>
    </row>
    <row r="6" spans="1:13">
      <c r="A6" s="3"/>
      <c r="B6" s="1"/>
      <c r="C6" s="1"/>
      <c r="D6" s="1"/>
      <c r="E6" s="1"/>
      <c r="F6" s="1"/>
      <c r="G6" s="1"/>
      <c r="H6" s="1"/>
      <c r="I6" s="1"/>
      <c r="J6" s="1"/>
      <c r="K6" s="1"/>
      <c r="L6" s="3"/>
      <c r="M6" s="3"/>
    </row>
    <row r="7" spans="1:13" ht="17.25" customHeight="1">
      <c r="A7" s="3"/>
      <c r="B7" s="1"/>
      <c r="C7" s="1"/>
      <c r="D7" s="1"/>
      <c r="E7" s="1"/>
      <c r="F7" s="1"/>
      <c r="G7" s="1"/>
      <c r="H7" s="20" t="s">
        <v>51</v>
      </c>
      <c r="I7" s="509">
        <f ca="1">AA_002_GENERALES_FECHA</f>
        <v>42625</v>
      </c>
      <c r="J7" s="510"/>
      <c r="K7" s="1"/>
      <c r="L7" s="3"/>
      <c r="M7" s="3"/>
    </row>
    <row r="8" spans="1:13" ht="21.75" customHeight="1">
      <c r="A8" s="3"/>
      <c r="B8" s="508" t="s">
        <v>42</v>
      </c>
      <c r="C8" s="508"/>
      <c r="D8" s="508"/>
      <c r="E8" s="58"/>
      <c r="F8" s="1"/>
      <c r="G8" s="1"/>
      <c r="H8" s="1"/>
      <c r="I8" s="1"/>
      <c r="J8" s="1"/>
      <c r="K8" s="1"/>
      <c r="L8" s="3"/>
      <c r="M8" s="3"/>
    </row>
    <row r="9" spans="1:13" ht="21.75" customHeight="1">
      <c r="A9" s="3"/>
      <c r="B9" s="508" t="s">
        <v>30</v>
      </c>
      <c r="C9" s="508"/>
      <c r="D9" s="508"/>
      <c r="E9" s="520">
        <f>AA_073_CARACTERISTICAS_CREDITO_IMPORTE_NÚMERO_LETRA</f>
        <v>1000000</v>
      </c>
      <c r="F9" s="520"/>
      <c r="G9" s="168" t="str">
        <f>IF(Simulación_crediactivo=1,"M.N.","USD")</f>
        <v>M.N.</v>
      </c>
      <c r="H9" s="2"/>
      <c r="I9" s="2"/>
      <c r="J9" s="2"/>
      <c r="K9" s="2"/>
      <c r="L9" s="3"/>
      <c r="M9" s="3"/>
    </row>
    <row r="10" spans="1:13" s="19" customFormat="1" ht="4.5" customHeight="1">
      <c r="A10" s="17"/>
      <c r="B10" s="22"/>
      <c r="C10" s="22"/>
      <c r="D10" s="22"/>
      <c r="E10" s="5"/>
      <c r="F10" s="5"/>
      <c r="G10" s="18"/>
      <c r="H10" s="18"/>
      <c r="I10" s="18"/>
      <c r="J10" s="18"/>
      <c r="K10" s="18"/>
      <c r="L10" s="17"/>
      <c r="M10" s="17"/>
    </row>
    <row r="11" spans="1:13" ht="21.75" customHeight="1">
      <c r="A11" s="3"/>
      <c r="B11" s="508" t="s">
        <v>43</v>
      </c>
      <c r="C11" s="508">
        <v>2</v>
      </c>
      <c r="D11" s="508"/>
      <c r="E11" s="57"/>
      <c r="F11" s="5"/>
      <c r="G11" s="2"/>
      <c r="H11" s="2"/>
      <c r="I11" s="2"/>
      <c r="J11" s="2"/>
      <c r="K11" s="2"/>
      <c r="L11" s="3"/>
      <c r="M11" s="3"/>
    </row>
    <row r="12" spans="1:13" ht="21.75" customHeight="1">
      <c r="A12" s="3"/>
      <c r="B12" s="508" t="s">
        <v>69</v>
      </c>
      <c r="C12" s="508">
        <v>2</v>
      </c>
      <c r="D12" s="508"/>
      <c r="E12" s="467">
        <f>+Parámetros!E12</f>
        <v>16</v>
      </c>
      <c r="F12" s="5"/>
      <c r="G12" s="1" t="s">
        <v>679</v>
      </c>
      <c r="H12" s="2"/>
      <c r="I12" s="2"/>
      <c r="J12" s="2"/>
      <c r="K12" s="2"/>
      <c r="L12" s="3"/>
      <c r="M12" s="3"/>
    </row>
    <row r="13" spans="1:13" ht="21.75" customHeight="1">
      <c r="A13" s="3"/>
      <c r="B13" s="508" t="s">
        <v>31</v>
      </c>
      <c r="C13" s="508">
        <v>2</v>
      </c>
      <c r="D13" s="508"/>
      <c r="E13" s="466">
        <v>1</v>
      </c>
      <c r="G13" s="1" t="s">
        <v>679</v>
      </c>
      <c r="H13" s="2"/>
      <c r="I13" s="2"/>
      <c r="J13" s="2"/>
      <c r="K13" s="2"/>
      <c r="L13" s="3"/>
      <c r="M13" s="3"/>
    </row>
    <row r="14" spans="1:13" ht="21.75" hidden="1" customHeight="1">
      <c r="A14" s="3"/>
      <c r="B14" s="508" t="s">
        <v>47</v>
      </c>
      <c r="C14" s="508">
        <v>2</v>
      </c>
      <c r="D14" s="508"/>
      <c r="E14" s="59">
        <v>1</v>
      </c>
      <c r="F14" s="4"/>
      <c r="G14" s="2"/>
      <c r="H14" s="2"/>
      <c r="I14" s="2"/>
      <c r="J14" s="2"/>
      <c r="K14" s="2"/>
      <c r="L14" s="3"/>
      <c r="M14" s="3"/>
    </row>
    <row r="15" spans="1:13" ht="21.75" hidden="1" customHeight="1">
      <c r="A15" s="3"/>
      <c r="B15" s="508" t="str">
        <f>IF(Garantía_Hipotecaria=1,"","Valor de la Propiedad:")</f>
        <v/>
      </c>
      <c r="C15" s="508"/>
      <c r="D15" s="508"/>
      <c r="E15" s="520">
        <v>0</v>
      </c>
      <c r="F15" s="520"/>
      <c r="G15" s="168" t="str">
        <f>IF(Garantía_Hipotecaria=1,"",IF(AND(Garantía_Hipotecaria=2,Simulación_crediactivo=1),"M.N.","USD"))</f>
        <v/>
      </c>
      <c r="H15" s="2"/>
      <c r="I15" s="2"/>
      <c r="J15" s="2"/>
      <c r="K15" s="2"/>
      <c r="L15" s="3"/>
      <c r="M15" s="3"/>
    </row>
    <row r="16" spans="1:13" ht="4.5" hidden="1" customHeight="1">
      <c r="A16" s="3"/>
      <c r="B16" s="21"/>
      <c r="C16" s="21"/>
      <c r="D16" s="21"/>
      <c r="E16" s="5"/>
      <c r="F16" s="5"/>
      <c r="G16" s="2"/>
      <c r="H16" s="2"/>
      <c r="I16" s="2"/>
      <c r="J16" s="2"/>
      <c r="K16" s="2"/>
      <c r="L16" s="3"/>
      <c r="M16" s="3"/>
    </row>
    <row r="17" spans="1:13" ht="21.75" customHeight="1">
      <c r="A17" s="3"/>
      <c r="B17" s="508" t="s">
        <v>45</v>
      </c>
      <c r="C17" s="508"/>
      <c r="D17" s="508"/>
      <c r="E17" s="60">
        <v>1</v>
      </c>
      <c r="F17" s="2"/>
      <c r="G17" s="2"/>
      <c r="H17" s="2"/>
      <c r="I17" s="2"/>
      <c r="J17" s="2"/>
      <c r="K17" s="2"/>
      <c r="L17" s="3"/>
      <c r="M17" s="3"/>
    </row>
    <row r="18" spans="1:13">
      <c r="A18" s="3"/>
      <c r="B18" s="2"/>
      <c r="C18" s="2"/>
      <c r="D18" s="2"/>
      <c r="E18" s="2"/>
      <c r="F18" s="2"/>
      <c r="G18" s="2"/>
      <c r="H18" s="2"/>
      <c r="I18" s="2"/>
      <c r="J18" s="2"/>
      <c r="K18" s="2"/>
      <c r="L18" s="3"/>
      <c r="M18" s="3"/>
    </row>
    <row r="19" spans="1:13">
      <c r="A19" s="3"/>
      <c r="B19" s="2"/>
      <c r="C19" s="2"/>
      <c r="D19" s="2"/>
      <c r="E19" s="2"/>
      <c r="F19" s="2"/>
      <c r="G19" s="2"/>
      <c r="H19" s="2"/>
      <c r="I19" s="2"/>
      <c r="J19" s="2"/>
      <c r="K19" s="2"/>
      <c r="L19" s="3"/>
      <c r="M19" s="3"/>
    </row>
    <row r="20" spans="1:13">
      <c r="A20" s="3"/>
      <c r="B20" s="2"/>
      <c r="C20" s="2"/>
      <c r="D20" s="2"/>
      <c r="E20" s="2"/>
      <c r="F20" s="2"/>
      <c r="G20" s="2"/>
      <c r="H20" s="2"/>
      <c r="I20" s="2"/>
      <c r="J20" s="2"/>
      <c r="K20" s="2"/>
      <c r="L20" s="3"/>
      <c r="M20" s="3"/>
    </row>
    <row r="21" spans="1:13">
      <c r="A21" s="3"/>
      <c r="B21" s="2"/>
      <c r="C21" s="2"/>
      <c r="D21" s="2"/>
      <c r="E21" s="2"/>
      <c r="F21" s="2"/>
      <c r="G21" s="2"/>
      <c r="H21" s="2"/>
      <c r="I21" s="2"/>
      <c r="J21" s="2"/>
      <c r="K21" s="2"/>
      <c r="L21" s="3"/>
      <c r="M21" s="3"/>
    </row>
    <row r="22" spans="1:13">
      <c r="A22" s="3"/>
      <c r="B22" s="2"/>
      <c r="C22" s="2"/>
      <c r="D22" s="2"/>
      <c r="E22" s="2"/>
      <c r="F22" s="2"/>
      <c r="G22" s="2"/>
      <c r="H22" s="2"/>
      <c r="I22" s="2"/>
      <c r="J22" s="2"/>
      <c r="K22" s="2"/>
      <c r="L22" s="3"/>
      <c r="M22" s="3"/>
    </row>
    <row r="23" spans="1:13">
      <c r="A23" s="3"/>
      <c r="B23" s="2"/>
      <c r="C23" s="2"/>
      <c r="D23" s="2"/>
      <c r="E23" s="2"/>
      <c r="F23" s="2"/>
      <c r="G23" s="2"/>
      <c r="H23" s="2"/>
      <c r="I23" s="2"/>
      <c r="J23" s="2"/>
      <c r="K23" s="2"/>
      <c r="L23" s="3"/>
      <c r="M23" s="3"/>
    </row>
    <row r="24" spans="1:13">
      <c r="A24" s="3"/>
      <c r="B24" s="2"/>
      <c r="C24" s="2"/>
      <c r="D24" s="2"/>
      <c r="E24" s="2"/>
      <c r="F24" s="2"/>
      <c r="G24" s="2"/>
      <c r="H24" s="2"/>
      <c r="I24" s="2"/>
      <c r="J24" s="2"/>
      <c r="K24" s="2"/>
      <c r="L24" s="3"/>
      <c r="M24" s="3"/>
    </row>
    <row r="25" spans="1:13">
      <c r="A25" s="3"/>
      <c r="B25" s="2"/>
      <c r="C25" s="2"/>
      <c r="D25" s="2"/>
      <c r="E25" s="2"/>
      <c r="F25" s="2"/>
      <c r="G25" s="2"/>
      <c r="H25" s="2"/>
      <c r="I25" s="2"/>
      <c r="J25" s="2"/>
      <c r="K25" s="2"/>
      <c r="L25" s="3"/>
      <c r="M25" s="3"/>
    </row>
    <row r="26" spans="1:13">
      <c r="A26" s="3"/>
      <c r="B26" s="2"/>
      <c r="C26" s="2"/>
      <c r="D26" s="2"/>
      <c r="E26" s="2"/>
      <c r="F26" s="2"/>
      <c r="G26" s="2"/>
      <c r="H26" s="2"/>
      <c r="I26" s="2"/>
      <c r="J26" s="2"/>
      <c r="K26" s="2"/>
      <c r="L26" s="3"/>
      <c r="M26" s="3"/>
    </row>
    <row r="27" spans="1:13">
      <c r="A27" s="3"/>
      <c r="B27" s="2"/>
      <c r="C27" s="2"/>
      <c r="D27" s="2"/>
      <c r="E27" s="2"/>
      <c r="F27" s="2"/>
      <c r="G27" s="2"/>
      <c r="H27" s="2"/>
      <c r="I27" s="2"/>
      <c r="J27" s="2"/>
      <c r="K27" s="2"/>
      <c r="L27" s="3"/>
      <c r="M27" s="3"/>
    </row>
    <row r="28" spans="1:13">
      <c r="A28" s="3"/>
      <c r="B28" s="2"/>
      <c r="C28" s="2"/>
      <c r="D28" s="2"/>
      <c r="E28" s="2"/>
      <c r="F28" s="2"/>
      <c r="G28" s="2"/>
      <c r="H28" s="2"/>
      <c r="I28" s="2"/>
      <c r="J28" s="2"/>
      <c r="K28" s="2"/>
      <c r="L28" s="3"/>
      <c r="M28" s="3"/>
    </row>
    <row r="29" spans="1:13">
      <c r="A29" s="3"/>
      <c r="L29" s="3"/>
      <c r="M29" s="3"/>
    </row>
    <row r="30" spans="1:13">
      <c r="A30" s="3"/>
      <c r="L30" s="3"/>
      <c r="M30" s="3"/>
    </row>
    <row r="31" spans="1:13">
      <c r="A31" s="3"/>
      <c r="L31" s="3"/>
      <c r="M31" s="3"/>
    </row>
    <row r="32" spans="1:13">
      <c r="A32" s="3"/>
      <c r="L32" s="3"/>
      <c r="M32" s="3"/>
    </row>
    <row r="33" spans="1:13">
      <c r="A33" s="3"/>
      <c r="L33" s="3"/>
      <c r="M33" s="3"/>
    </row>
    <row r="34" spans="1:13">
      <c r="A34" s="3"/>
      <c r="L34" s="3"/>
      <c r="M34" s="3"/>
    </row>
    <row r="35" spans="1:13">
      <c r="A35" s="3"/>
      <c r="L35" s="3"/>
      <c r="M35" s="3"/>
    </row>
    <row r="36" spans="1:13">
      <c r="A36" s="3"/>
      <c r="L36" s="3"/>
      <c r="M36" s="3"/>
    </row>
  </sheetData>
  <mergeCells count="12">
    <mergeCell ref="B17:D17"/>
    <mergeCell ref="B14:D14"/>
    <mergeCell ref="I7:J7"/>
    <mergeCell ref="B2:K5"/>
    <mergeCell ref="B9:D9"/>
    <mergeCell ref="B15:D15"/>
    <mergeCell ref="B13:D13"/>
    <mergeCell ref="E9:F9"/>
    <mergeCell ref="E15:F15"/>
    <mergeCell ref="B8:D8"/>
    <mergeCell ref="B11:D11"/>
    <mergeCell ref="B12:D12"/>
  </mergeCells>
  <phoneticPr fontId="3" type="noConversion"/>
  <dataValidations count="3">
    <dataValidation errorStyle="information" allowBlank="1" promptTitle="CAPTURA" prompt="SOLO EN CASO DE QUE EL MONTO DEL CRÉDITO DESEADO NO _x000a_ESTE DENTRO DEL COMBO" sqref="E10:E12 E16"/>
    <dataValidation type="decimal" operator="greaterThanOrEqual" allowBlank="1" showErrorMessage="1" errorTitle="MONTO DE CRÉDITO" error="Capture un Importe válido." promptTitle="CAPTURA" prompt="SOLO EN CASO DE QUE EL MONTO DEL CRÉDITO DESEADO NO _x000a_ESTE DENTRO DEL COMBO" sqref="E9:F9">
      <formula1>0</formula1>
    </dataValidation>
    <dataValidation type="decimal" operator="greaterThanOrEqual" allowBlank="1" showErrorMessage="1" errorTitle="VALOR DE LA PROPIEDAD" error="Capture un Importe válido." sqref="E15:F15">
      <formula1>0</formula1>
    </dataValidation>
  </dataValidations>
  <pageMargins left="0.75" right="0.75" top="1" bottom="1" header="0" footer="0"/>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Fill="0" autoLine="0" autoPict="0">
                <anchor moveWithCells="1">
                  <from>
                    <xdr:col>4</xdr:col>
                    <xdr:colOff>0</xdr:colOff>
                    <xdr:row>7</xdr:row>
                    <xdr:rowOff>30480</xdr:rowOff>
                  </from>
                  <to>
                    <xdr:col>6</xdr:col>
                    <xdr:colOff>7620</xdr:colOff>
                    <xdr:row>7</xdr:row>
                    <xdr:rowOff>198120</xdr:rowOff>
                  </to>
                </anchor>
              </controlPr>
            </control>
          </mc:Choice>
        </mc:AlternateContent>
        <mc:AlternateContent xmlns:mc="http://schemas.openxmlformats.org/markup-compatibility/2006">
          <mc:Choice Requires="x14">
            <control shapeId="1029" r:id="rId5" name="Drop Down 5">
              <controlPr defaultSize="0" autoFill="0" autoLine="0" autoPict="0">
                <anchor moveWithCells="1">
                  <from>
                    <xdr:col>4</xdr:col>
                    <xdr:colOff>0</xdr:colOff>
                    <xdr:row>10</xdr:row>
                    <xdr:rowOff>22860</xdr:rowOff>
                  </from>
                  <to>
                    <xdr:col>6</xdr:col>
                    <xdr:colOff>7620</xdr:colOff>
                    <xdr:row>10</xdr:row>
                    <xdr:rowOff>190500</xdr:rowOff>
                  </to>
                </anchor>
              </controlPr>
            </control>
          </mc:Choice>
        </mc:AlternateContent>
        <mc:AlternateContent xmlns:mc="http://schemas.openxmlformats.org/markup-compatibility/2006">
          <mc:Choice Requires="x14">
            <control shapeId="1031" r:id="rId6" name="Drop Down 7">
              <controlPr defaultSize="0" autoFill="0" autoLine="0" autoPict="0" macro="[0]!Oculta_Fila">
                <anchor moveWithCells="1">
                  <from>
                    <xdr:col>4</xdr:col>
                    <xdr:colOff>0</xdr:colOff>
                    <xdr:row>16</xdr:row>
                    <xdr:rowOff>30480</xdr:rowOff>
                  </from>
                  <to>
                    <xdr:col>6</xdr:col>
                    <xdr:colOff>7620</xdr:colOff>
                    <xdr:row>16</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AP456"/>
  <sheetViews>
    <sheetView showGridLines="0" zoomScale="85" zoomScaleNormal="85" workbookViewId="0">
      <pane xSplit="1" ySplit="16" topLeftCell="C17" activePane="bottomRight" state="frozen"/>
      <selection pane="topRight" activeCell="B1" sqref="B1"/>
      <selection pane="bottomLeft" activeCell="A14" sqref="A14"/>
      <selection pane="bottomRight" activeCell="C2" sqref="C2"/>
    </sheetView>
  </sheetViews>
  <sheetFormatPr defaultColWidth="0" defaultRowHeight="10.199999999999999"/>
  <cols>
    <col min="1" max="1" width="3.33203125" style="70" bestFit="1" customWidth="1"/>
    <col min="2" max="2" width="14.5546875" style="62" bestFit="1" customWidth="1"/>
    <col min="3" max="3" width="13.88671875" style="62" bestFit="1" customWidth="1"/>
    <col min="4" max="7" width="11.6640625" style="62" customWidth="1"/>
    <col min="8" max="8" width="3" style="68" bestFit="1" customWidth="1"/>
    <col min="9" max="9" width="11.6640625" style="62" customWidth="1"/>
    <col min="10" max="10" width="11.88671875" style="62" customWidth="1"/>
    <col min="11" max="11" width="12.88671875" style="62" bestFit="1" customWidth="1"/>
    <col min="12" max="12" width="12.109375" style="62" customWidth="1"/>
    <col min="13" max="14" width="11.6640625" style="62" customWidth="1"/>
    <col min="15" max="15" width="11.44140625" style="62" customWidth="1"/>
    <col min="16" max="16" width="1.88671875" style="62" bestFit="1" customWidth="1"/>
    <col min="17" max="18" width="11.44140625" style="62" customWidth="1"/>
    <col min="19" max="22" width="12.88671875" style="62" customWidth="1"/>
    <col min="23" max="30" width="11.44140625" style="62" customWidth="1"/>
    <col min="31" max="32" width="12.88671875" style="62" customWidth="1"/>
    <col min="33" max="33" width="15.6640625" style="62" customWidth="1"/>
    <col min="34" max="16384" width="13.33203125" style="62" hidden="1"/>
  </cols>
  <sheetData>
    <row r="1" spans="1:41" ht="11.25" customHeight="1">
      <c r="A1" s="527" t="s">
        <v>8</v>
      </c>
      <c r="B1" s="528"/>
      <c r="C1" s="528"/>
      <c r="D1" s="528"/>
      <c r="E1" s="528"/>
      <c r="F1" s="528"/>
      <c r="G1" s="528"/>
      <c r="H1" s="528"/>
      <c r="I1" s="528"/>
      <c r="J1" s="528"/>
      <c r="K1" s="528"/>
      <c r="L1" s="528"/>
      <c r="M1" s="528"/>
      <c r="N1" s="528"/>
      <c r="O1" s="528"/>
    </row>
    <row r="2" spans="1:41">
      <c r="A2" s="63">
        <f>+'Menu Principal'!E12</f>
        <v>16</v>
      </c>
      <c r="B2" s="64"/>
      <c r="C2" s="65"/>
      <c r="D2" s="529" t="str">
        <f>""&amp;VLOOKUP(Parámetros!$B$1,Parámetros!$A$2:$B$3,2,FALSE)&amp;" "&amp;VLOOKUP(Garantía_Hipotecaria,Parámetros!$A$34:$B$35,2,FALSE)&amp;""</f>
        <v>Crediactivo Pesos Sin Garantía Hipotecaria</v>
      </c>
      <c r="E2" s="529"/>
      <c r="F2" s="529"/>
      <c r="G2" s="529"/>
      <c r="H2" s="529"/>
      <c r="I2" s="529"/>
      <c r="J2" s="529"/>
      <c r="K2" s="529"/>
      <c r="L2" s="529"/>
      <c r="M2" s="65"/>
      <c r="N2" s="65"/>
    </row>
    <row r="3" spans="1:41">
      <c r="A3" s="66"/>
      <c r="B3" s="67"/>
      <c r="C3" s="65"/>
      <c r="D3" s="65"/>
      <c r="E3" s="65"/>
      <c r="F3" s="65"/>
      <c r="G3" s="65"/>
      <c r="I3" s="69"/>
      <c r="J3" s="65"/>
      <c r="K3" s="65"/>
      <c r="L3" s="65"/>
      <c r="M3" s="65"/>
      <c r="N3" s="65"/>
    </row>
    <row r="4" spans="1:41">
      <c r="B4" s="71" t="s">
        <v>51</v>
      </c>
      <c r="C4" s="72">
        <f ca="1">+'Menu Principal'!I7</f>
        <v>42625</v>
      </c>
      <c r="I4" s="69"/>
      <c r="J4" s="71" t="s">
        <v>30</v>
      </c>
      <c r="K4" s="73">
        <f>+Monto_Crédito</f>
        <v>1000000</v>
      </c>
      <c r="L4" s="80" t="str">
        <f>IF(Simulación_crediactivo=1,"M.N.","USD")</f>
        <v>M.N.</v>
      </c>
      <c r="M4" s="69"/>
      <c r="N4" s="7"/>
    </row>
    <row r="5" spans="1:41">
      <c r="B5" s="71" t="s">
        <v>62</v>
      </c>
      <c r="C5" s="74" t="str">
        <f>+VLOOKUP(Frecuencia,Parámetros!$A$7:$E$10,2,FALSE)</f>
        <v>Mensual</v>
      </c>
      <c r="I5" s="69"/>
      <c r="J5" s="71" t="s">
        <v>67</v>
      </c>
      <c r="K5" s="75">
        <f>+Tasa_Anual</f>
        <v>0.15</v>
      </c>
      <c r="L5" s="69"/>
      <c r="M5" s="69"/>
      <c r="N5" s="7"/>
    </row>
    <row r="6" spans="1:41">
      <c r="B6" s="71" t="s">
        <v>44</v>
      </c>
      <c r="C6" s="76">
        <f>+No._de_Pagos</f>
        <v>60</v>
      </c>
      <c r="I6" s="77"/>
      <c r="J6" s="78" t="s">
        <v>68</v>
      </c>
      <c r="K6" s="75">
        <f>+TIIE</f>
        <v>3.8005999999999998E-2</v>
      </c>
      <c r="L6" s="135" t="str">
        <f>"Al "&amp;TEXT(Fecha_TIIE,"dd-mmm-aaaa")&amp;""</f>
        <v>Al 10-mar-2014</v>
      </c>
      <c r="M6" s="69"/>
      <c r="N6" s="7"/>
    </row>
    <row r="7" spans="1:41" s="77" customFormat="1">
      <c r="A7" s="79"/>
      <c r="B7" s="71" t="s">
        <v>31</v>
      </c>
      <c r="C7" s="80">
        <f>+Periodos_Gracia</f>
        <v>0</v>
      </c>
      <c r="H7" s="81"/>
      <c r="J7" s="78" t="str">
        <f>"Tasa "&amp;$C$5&amp;":"</f>
        <v>Tasa Mensual:</v>
      </c>
      <c r="K7" s="75">
        <f>+Tasa_Anual/Pagos_por_año</f>
        <v>1.2499999999999999E-2</v>
      </c>
      <c r="L7" s="69"/>
      <c r="N7" s="82"/>
    </row>
    <row r="8" spans="1:41" s="77" customFormat="1">
      <c r="A8" s="79"/>
      <c r="B8" s="71" t="s">
        <v>63</v>
      </c>
      <c r="C8" s="83">
        <f>IF(Garantía_Hipotecaria=1,0,Valor_Propiedad)</f>
        <v>0</v>
      </c>
      <c r="D8" s="80" t="str">
        <f>IF(Simulación_crediactivo=1,"M.N.","USD")</f>
        <v>M.N.</v>
      </c>
      <c r="H8" s="81"/>
      <c r="I8" s="69"/>
      <c r="J8" s="78" t="s">
        <v>95</v>
      </c>
      <c r="K8" s="73">
        <f>(Monto_Crédito*Com_por_apertura)*(1+I.V.A.)</f>
        <v>23200</v>
      </c>
      <c r="L8" s="80" t="str">
        <f>IF(Simulación_crediactivo=1,"M.N.","USD")</f>
        <v>M.N.</v>
      </c>
    </row>
    <row r="9" spans="1:41" s="77" customFormat="1">
      <c r="A9" s="79"/>
      <c r="B9" s="84" t="s">
        <v>64</v>
      </c>
      <c r="C9" s="83">
        <f>IF(Garantía_Hipotecaria=1,0,Valor_Propiedad*Com_por_avalúo)*(1+I.V.A.)</f>
        <v>0</v>
      </c>
      <c r="D9" s="80" t="str">
        <f>IF(Simulación_crediactivo=1,"M.N.","USD")</f>
        <v>M.N.</v>
      </c>
      <c r="H9" s="81"/>
      <c r="I9" s="69"/>
      <c r="J9" s="7" t="str">
        <f>IF(Simulación_crediactivo=1,"",Parámetros!$A$41)</f>
        <v/>
      </c>
      <c r="K9" s="159" t="str">
        <f>IF(J9="","",Tipo_de_cambio)</f>
        <v/>
      </c>
      <c r="L9" s="135" t="str">
        <f>IF(K9="","","Al "&amp;TEXT(Fecha_Tipo_de_Cambio,"dd-mmm-aaaa")&amp;"")</f>
        <v/>
      </c>
    </row>
    <row r="10" spans="1:41" s="77" customFormat="1">
      <c r="A10" s="79"/>
      <c r="B10" s="71" t="s">
        <v>65</v>
      </c>
      <c r="C10" s="160">
        <f>IF(Garantía_Hipotecaria=1,0,IF(Simulación_crediactivo=1,((No._de_Pagos/Pagos_por_año)*Seguro_Anual),(No._de_Pagos/Pagos_por_año)*Seguro_Anual_Dólares))</f>
        <v>0</v>
      </c>
      <c r="D10" s="80" t="str">
        <f>IF(Simulación_crediactivo=1,"M.N.","USD")</f>
        <v>M.N.</v>
      </c>
      <c r="H10" s="81"/>
      <c r="I10" s="69"/>
      <c r="J10" s="7"/>
    </row>
    <row r="11" spans="1:41" s="77" customFormat="1" ht="12.75" customHeight="1">
      <c r="A11" s="79"/>
      <c r="B11" s="84"/>
      <c r="C11" s="83"/>
      <c r="E11" s="74" t="str">
        <f>"Reducción de plazo en "&amp;VLOOKUP(Frecuencia,Parámetros!$A$7:$F$10,6,FALSE)&amp;":"</f>
        <v>Reducción de plazo en meses:</v>
      </c>
      <c r="F11" s="85">
        <f>No._de_Pagos-$H$258</f>
        <v>0</v>
      </c>
      <c r="H11" s="81"/>
      <c r="I11" s="69"/>
      <c r="J11" s="7"/>
      <c r="L11" s="74" t="str">
        <f>"Reducción de plazo en "&amp;VLOOKUP(Frecuencia,Parámetros!$A$7:$F$10,6,FALSE)&amp;":"</f>
        <v>Reducción de plazo en meses:</v>
      </c>
      <c r="M11" s="85">
        <f>No._de_Pagos-$P$258</f>
        <v>0</v>
      </c>
    </row>
    <row r="12" spans="1:41" s="77" customFormat="1">
      <c r="A12" s="79"/>
      <c r="B12" s="84"/>
      <c r="C12" s="83"/>
      <c r="E12" s="74" t="s">
        <v>87</v>
      </c>
      <c r="F12" s="86">
        <f>$H$258</f>
        <v>60</v>
      </c>
      <c r="G12" s="80" t="str">
        <f>VLOOKUP(Frecuencia,Parámetros!$A$7:$F$10,6,FALSE)</f>
        <v>meses</v>
      </c>
      <c r="H12" s="81"/>
      <c r="I12" s="69"/>
      <c r="J12" s="7"/>
      <c r="L12" s="74" t="s">
        <v>87</v>
      </c>
      <c r="M12" s="86">
        <f>+$P$258</f>
        <v>60</v>
      </c>
      <c r="N12" s="80" t="str">
        <f>VLOOKUP(Frecuencia,Parámetros!$A$7:$F$10,6,FALSE)</f>
        <v>meses</v>
      </c>
    </row>
    <row r="13" spans="1:41" s="77" customFormat="1">
      <c r="A13" s="66"/>
      <c r="B13" s="69"/>
      <c r="C13" s="9"/>
      <c r="E13" s="84" t="s">
        <v>61</v>
      </c>
      <c r="F13" s="87">
        <f>+CAT_AmortCrecientes</f>
        <v>0.17118843057667088</v>
      </c>
      <c r="G13" s="80" t="s">
        <v>96</v>
      </c>
      <c r="H13" s="81"/>
      <c r="I13" s="69"/>
      <c r="J13" s="9"/>
      <c r="L13" s="84" t="s">
        <v>61</v>
      </c>
      <c r="M13" s="87">
        <f>+CAT_AmortIguales</f>
        <v>0.17247098775006298</v>
      </c>
      <c r="N13" s="80" t="s">
        <v>96</v>
      </c>
      <c r="V13" s="88"/>
    </row>
    <row r="14" spans="1:41" s="77" customFormat="1" ht="11.25" customHeight="1">
      <c r="A14" s="79"/>
      <c r="B14" s="521" t="s">
        <v>9</v>
      </c>
      <c r="C14" s="522"/>
      <c r="D14" s="522"/>
      <c r="E14" s="522"/>
      <c r="F14" s="522"/>
      <c r="G14" s="523"/>
      <c r="H14" s="81"/>
      <c r="I14" s="524" t="s">
        <v>13</v>
      </c>
      <c r="J14" s="525"/>
      <c r="K14" s="525"/>
      <c r="L14" s="525"/>
      <c r="M14" s="525"/>
      <c r="N14" s="526"/>
    </row>
    <row r="15" spans="1:41" s="79" customFormat="1" ht="13.5" customHeight="1">
      <c r="A15" s="89"/>
      <c r="B15" s="89"/>
      <c r="C15" s="89"/>
      <c r="D15" s="89"/>
      <c r="E15" s="89"/>
      <c r="F15" s="89"/>
      <c r="G15" s="89"/>
      <c r="H15" s="90"/>
      <c r="I15" s="89"/>
      <c r="J15" s="89"/>
      <c r="K15" s="89"/>
      <c r="L15" s="89"/>
      <c r="M15" s="89"/>
      <c r="N15" s="89"/>
      <c r="AA15" s="91" t="s">
        <v>80</v>
      </c>
      <c r="AB15" s="77"/>
      <c r="AC15" s="77"/>
      <c r="AD15" s="77"/>
      <c r="AI15" s="92" t="s">
        <v>81</v>
      </c>
      <c r="AK15" s="93" t="s">
        <v>92</v>
      </c>
      <c r="AL15" s="93" t="s">
        <v>93</v>
      </c>
      <c r="AM15" s="93" t="s">
        <v>98</v>
      </c>
      <c r="AN15" s="93" t="s">
        <v>92</v>
      </c>
      <c r="AO15" s="93" t="s">
        <v>93</v>
      </c>
    </row>
    <row r="16" spans="1:41" ht="40.799999999999997">
      <c r="A16" s="94" t="s">
        <v>16</v>
      </c>
      <c r="B16" s="95" t="s">
        <v>17</v>
      </c>
      <c r="C16" s="95" t="s">
        <v>18</v>
      </c>
      <c r="D16" s="96" t="s">
        <v>19</v>
      </c>
      <c r="E16" s="97" t="s">
        <v>4</v>
      </c>
      <c r="F16" s="97" t="s">
        <v>20</v>
      </c>
      <c r="G16" s="98" t="s">
        <v>21</v>
      </c>
      <c r="I16" s="95" t="s">
        <v>17</v>
      </c>
      <c r="J16" s="95" t="s">
        <v>18</v>
      </c>
      <c r="K16" s="96" t="s">
        <v>19</v>
      </c>
      <c r="L16" s="97" t="s">
        <v>4</v>
      </c>
      <c r="M16" s="97" t="s">
        <v>20</v>
      </c>
      <c r="N16" s="98" t="s">
        <v>21</v>
      </c>
      <c r="O16" s="98" t="s">
        <v>66</v>
      </c>
      <c r="R16" s="99" t="s">
        <v>76</v>
      </c>
      <c r="S16" s="99" t="s">
        <v>77</v>
      </c>
      <c r="T16" s="99" t="s">
        <v>94</v>
      </c>
      <c r="U16" s="99" t="s">
        <v>71</v>
      </c>
      <c r="V16" s="100" t="s">
        <v>72</v>
      </c>
      <c r="W16" s="101" t="s">
        <v>73</v>
      </c>
      <c r="X16" s="102" t="s">
        <v>74</v>
      </c>
      <c r="Y16" s="103" t="s">
        <v>75</v>
      </c>
      <c r="Z16" s="104" t="s">
        <v>78</v>
      </c>
      <c r="AA16" s="105" t="s">
        <v>79</v>
      </c>
      <c r="AB16" s="99" t="s">
        <v>76</v>
      </c>
      <c r="AC16" s="99" t="s">
        <v>77</v>
      </c>
      <c r="AD16" s="99" t="s">
        <v>94</v>
      </c>
      <c r="AE16" s="99" t="s">
        <v>71</v>
      </c>
      <c r="AF16" s="100" t="s">
        <v>72</v>
      </c>
      <c r="AG16" s="101" t="s">
        <v>73</v>
      </c>
      <c r="AH16" s="102" t="s">
        <v>74</v>
      </c>
      <c r="AI16" s="106" t="s">
        <v>79</v>
      </c>
      <c r="AK16" s="107" t="s">
        <v>79</v>
      </c>
      <c r="AL16" s="107" t="s">
        <v>79</v>
      </c>
      <c r="AM16" s="107" t="s">
        <v>99</v>
      </c>
      <c r="AN16" s="107" t="s">
        <v>100</v>
      </c>
      <c r="AO16" s="107" t="s">
        <v>100</v>
      </c>
    </row>
    <row r="17" spans="1:42">
      <c r="A17" s="108">
        <v>0</v>
      </c>
      <c r="B17" s="109"/>
      <c r="C17" s="95"/>
      <c r="D17" s="95"/>
      <c r="E17" s="95"/>
      <c r="F17" s="82"/>
      <c r="G17" s="110"/>
      <c r="I17" s="109"/>
      <c r="J17" s="95"/>
      <c r="K17" s="95"/>
      <c r="L17" s="95"/>
      <c r="M17" s="82"/>
      <c r="N17" s="110"/>
      <c r="W17" s="111">
        <f>+Monto_Crédito*Tasa_Anual/360*Días</f>
        <v>12500</v>
      </c>
      <c r="AA17" s="112"/>
      <c r="AB17" s="70"/>
      <c r="AC17" s="70"/>
      <c r="AD17" s="70"/>
      <c r="AG17" s="111">
        <f>+Monto_Crédito*Tasa_Anual/360*Días</f>
        <v>12500</v>
      </c>
      <c r="AI17" s="113"/>
      <c r="AK17" s="114"/>
      <c r="AL17" s="114"/>
    </row>
    <row r="18" spans="1:42">
      <c r="A18" s="108">
        <v>1</v>
      </c>
      <c r="B18" s="109">
        <f>Monto_Crédito</f>
        <v>1000000</v>
      </c>
      <c r="C18" s="109">
        <f t="shared" ref="C18:C81" si="0">IF(A18="","",IF(A18&lt;=Periodos_Gracia,0,IF(V18&gt;B18,B18,V18)))</f>
        <v>10568.159832028912</v>
      </c>
      <c r="D18" s="109">
        <f t="shared" ref="D18:D81" si="1">IF(A18="","",B18*Tasa_Anual/Pagos_por_año)</f>
        <v>12500</v>
      </c>
      <c r="E18" s="109">
        <f t="shared" ref="E18:E81" si="2">IF(A18="","",D18*I.V.A.)</f>
        <v>2000</v>
      </c>
      <c r="F18" s="109">
        <f t="shared" ref="F18:F81" si="3">IF(A18="","",IF(B18=0,0,IF(A18&lt;=Periodos_Gracia,(D18+E18),C18+D18+E18)))</f>
        <v>25068.159832028912</v>
      </c>
      <c r="G18" s="115">
        <f>IF(A18="","",IF(+B18-C18-O18&lt;=0,0,+B18-C18-O18))</f>
        <v>989431.8401679711</v>
      </c>
      <c r="H18" s="116">
        <f>IF(OR(B18=0,B18=""),0,1)</f>
        <v>1</v>
      </c>
      <c r="I18" s="109">
        <f>+Monto_Crédito</f>
        <v>1000000</v>
      </c>
      <c r="J18" s="109">
        <f t="shared" ref="J18:J81" si="4">IF(A18="","",IF(I18=0,0,IF(A18&lt;=Periodos_Gracia,0,IF((Monto_Crédito/(No._de_Pagos-Periodos_Gracia))&gt;I18,I18,(Monto_Crédito/(No._de_Pagos-Periodos_Gracia))))))</f>
        <v>16666.666666666668</v>
      </c>
      <c r="K18" s="109">
        <f t="shared" ref="K18:K81" si="5">IF(A18="","",I18*Tasa_Anual/Pagos_por_año)</f>
        <v>12500</v>
      </c>
      <c r="L18" s="109">
        <f t="shared" ref="L18:L81" si="6">IF(A18="","",K18*I.V.A.)</f>
        <v>2000</v>
      </c>
      <c r="M18" s="109">
        <f>IF(A18="","",IF(I18=0,0,(J18+K18+L18)))</f>
        <v>31166.666666666668</v>
      </c>
      <c r="N18" s="115">
        <f>IF(A18="","",IF(+I18-J18-O18&lt;=0,0,+I18-J18-O18))</f>
        <v>983333.33333333337</v>
      </c>
      <c r="O18" s="61">
        <v>0</v>
      </c>
      <c r="P18" s="117">
        <f>IF(OR(I18=0,I18=""),0,1)</f>
        <v>1</v>
      </c>
      <c r="R18" s="118">
        <f>+$B$18</f>
        <v>1000000</v>
      </c>
      <c r="S18" s="119">
        <f t="shared" ref="S18:S81" si="7">+IF(A18="","",R18*$K$5/360*Días)</f>
        <v>12500</v>
      </c>
      <c r="T18" s="119">
        <f t="shared" ref="T18:T81" si="8">+IF(A18="","",S18*I.V.A.)</f>
        <v>2000</v>
      </c>
      <c r="U18" s="120">
        <f>+O18</f>
        <v>0</v>
      </c>
      <c r="V18" s="121">
        <f>IF(A18="","",IF(A18&lt;=Periodos_Gracia,0,PPMT(Tasa_Anual/360*Días*(1+I.V.A.),Tabla!A18,No._De_Pagos_con_periodo_de_gracia,-Monto_Crédito)))</f>
        <v>10568.159832028912</v>
      </c>
      <c r="W18" s="111">
        <f>IF($U$258&lt;=0,V18,IF(SUM($U$18:U18)&lt;=0,V18,PMT($K$5/360*Días,A18,-R18)))</f>
        <v>10568.159832028912</v>
      </c>
      <c r="X18" s="122">
        <f>IF($U$258&lt;=0,W18,IF(SUM($U$18:U18)&lt;=0,V18,PMT($K$5/360*Días,No._De_Pagos_con_periodo_de_gracia,-Monto_Crédito)-S18-T18))</f>
        <v>10568.159832028912</v>
      </c>
      <c r="Y18" s="118">
        <f>V18</f>
        <v>10568.159832028912</v>
      </c>
      <c r="Z18" s="62">
        <f>+IF(A18="","",IF(No._de_Pagos-Tabla!A18+1&lt;=0,"",No._de_Pagos-Tabla!A18+1))</f>
        <v>60</v>
      </c>
      <c r="AA18" s="123">
        <f>IF(A18="","",V18+S18+T18)</f>
        <v>25068.159832028912</v>
      </c>
      <c r="AB18" s="124">
        <f>+$I$18</f>
        <v>1000000</v>
      </c>
      <c r="AC18" s="125">
        <f t="shared" ref="AC18:AC81" si="9">IF(AB18="","",+AB18*($K$5/360*Días))</f>
        <v>12499.999999999998</v>
      </c>
      <c r="AD18" s="125">
        <f t="shared" ref="AD18:AD81" si="10">IF(AC18="","",+AC18*I.V.A.)</f>
        <v>1999.9999999999998</v>
      </c>
      <c r="AE18" s="120">
        <f>+O18</f>
        <v>0</v>
      </c>
      <c r="AF18" s="121">
        <f t="shared" ref="AF18:AF81" si="11">IF(A18="","",IF(A18&lt;=Periodos_Gracia,0,Monto_Crédito/(No._De_Pagos_con_periodo_de_gracia)))</f>
        <v>16666.666666666668</v>
      </c>
      <c r="AG18" s="111">
        <f>IF($U$258&lt;=0,AF18,IF(SUM($U$18:U18)&lt;=0,AF18,PMT($K$5/360*Días,A18,-AA18)))</f>
        <v>16666.666666666668</v>
      </c>
      <c r="AH18" s="122">
        <f>IF(A18&lt;=Periodos_Gracia,0,IF($U$258&lt;=0,AG18,IF(SUM($U$18:U18)&lt;=0,AF18,PMT($K$5/360*Días,No._de_Pagos,-Monto_Crédito)-AC18-AD18)))</f>
        <v>16666.666666666668</v>
      </c>
      <c r="AI18" s="126">
        <f>IF(A18="","",AF18+AC18+AD18)</f>
        <v>31166.666666666664</v>
      </c>
      <c r="AK18" s="127">
        <f>IF(A18="","",IF(Periodos_Gracia&gt;0,Tabla!AN18,V18+S18))</f>
        <v>23068.159832028912</v>
      </c>
      <c r="AL18" s="127">
        <f t="shared" ref="AL18:AL81" si="12">IF(A18="","",IF(Periodos_Gracia&gt;0,AO18,AF18+AC18))</f>
        <v>29166.666666666664</v>
      </c>
      <c r="AM18" s="62">
        <f>IF(V18=0,0,1)</f>
        <v>1</v>
      </c>
      <c r="AN18" s="128">
        <f>IF(A18="","",IF(A18&lt;=Periodos_Gracia,Tabla!S18,PPMT(Tasa_Anual/360*Días*(1+I.V.A.),Tabla!AM18,No._De_Pagos_con_periodo_de_gracia,-Monto_Crédito)+S18))</f>
        <v>23068.159832028912</v>
      </c>
      <c r="AO18" s="128">
        <f>IF(A18="","",IF(A18&lt;=Periodos_Gracia,Tabla!AC18,Monto_Crédito/(No._De_Pagos_con_periodo_de_gracia)+AC18))</f>
        <v>29166.666666666664</v>
      </c>
      <c r="AP18" s="118"/>
    </row>
    <row r="19" spans="1:42">
      <c r="A19" s="108">
        <f>IF(A18&lt;Parámetros!$E$6,A18+1,"")</f>
        <v>2</v>
      </c>
      <c r="B19" s="109">
        <f>IF(A19="","",IF(G18&lt;=0,0,+G18))</f>
        <v>989431.8401679711</v>
      </c>
      <c r="C19" s="109">
        <f t="shared" si="0"/>
        <v>10721.398149593331</v>
      </c>
      <c r="D19" s="109">
        <f t="shared" si="1"/>
        <v>12367.898002099639</v>
      </c>
      <c r="E19" s="109">
        <f t="shared" si="2"/>
        <v>1978.8636803359423</v>
      </c>
      <c r="F19" s="109">
        <f t="shared" si="3"/>
        <v>25068.159832028912</v>
      </c>
      <c r="G19" s="115">
        <f t="shared" ref="G19:G82" si="13">IF(A19="","",IF(+B19-C19-O19&lt;=0,0,+B19-C19-O19))</f>
        <v>978710.44201837771</v>
      </c>
      <c r="H19" s="116">
        <f t="shared" ref="H19:H82" si="14">IF(OR(B19=0,B19=""),0,1)</f>
        <v>1</v>
      </c>
      <c r="I19" s="109">
        <f>IF(A19="","",IF(+N18&lt;=0,0,N18))</f>
        <v>983333.33333333337</v>
      </c>
      <c r="J19" s="109">
        <f t="shared" si="4"/>
        <v>16666.666666666668</v>
      </c>
      <c r="K19" s="109">
        <f t="shared" si="5"/>
        <v>12291.666666666666</v>
      </c>
      <c r="L19" s="109">
        <f t="shared" si="6"/>
        <v>1966.6666666666665</v>
      </c>
      <c r="M19" s="109">
        <f t="shared" ref="M19:M82" si="15">IF(A19="","",IF(I19=0,0,(J19+K19+L19)))</f>
        <v>30925.000000000004</v>
      </c>
      <c r="N19" s="115">
        <f t="shared" ref="N19:N82" si="16">IF(A19="","",IF(+I19-J19-O19&lt;=0,0,+I19-J19-O19))</f>
        <v>966666.66666666674</v>
      </c>
      <c r="O19" s="61">
        <v>0</v>
      </c>
      <c r="P19" s="117">
        <f t="shared" ref="P19:P82" si="17">IF(OR(I19=0,I19=""),0,1)</f>
        <v>1</v>
      </c>
      <c r="R19" s="118">
        <f t="shared" ref="R19:R25" si="18">IF(A19="","",+R18-V18)</f>
        <v>989431.8401679711</v>
      </c>
      <c r="S19" s="119">
        <f t="shared" si="7"/>
        <v>12367.898002099639</v>
      </c>
      <c r="T19" s="119">
        <f t="shared" si="8"/>
        <v>1978.8636803359423</v>
      </c>
      <c r="U19" s="120">
        <f t="shared" ref="U19:U82" si="19">+O19</f>
        <v>0</v>
      </c>
      <c r="V19" s="121">
        <f>IF(A19="","",IF(A19&lt;=Periodos_Gracia,0,PPMT(Tasa_Anual/360*Días*(1+I.V.A.),Tabla!AM19,No._De_Pagos_con_periodo_de_gracia,-Monto_Crédito)))</f>
        <v>10721.398149593331</v>
      </c>
      <c r="W19" s="111">
        <f>IF($U$258&lt;=0,V19,IF(SUM($U$18:U19)&lt;=0,V19,PMT($K$5/360*Días,A19,-R19)))</f>
        <v>10721.398149593331</v>
      </c>
      <c r="X19" s="122">
        <f>IF($U$258&lt;=0,W19,IF(SUM($U$18:U19)&lt;=0,V19,PMT($K$5/360*Días,No._De_Pagos_con_periodo_de_gracia,-Monto_Crédito)-S19-T19))</f>
        <v>10721.398149593331</v>
      </c>
      <c r="Y19" s="118">
        <f t="shared" ref="Y19:Y82" si="20">V19</f>
        <v>10721.398149593331</v>
      </c>
      <c r="Z19" s="62">
        <f>+IF(A19="","",IF(No._de_Pagos-Tabla!A19+1&lt;=0,"",No._de_Pagos-Tabla!A19+1))</f>
        <v>59</v>
      </c>
      <c r="AA19" s="123">
        <f t="shared" ref="AA19:AA82" si="21">IF(A19="","",V19+S19+T19)</f>
        <v>25068.159832028912</v>
      </c>
      <c r="AB19" s="125">
        <f>IF(A19="","",AB18-AF18)</f>
        <v>983333.33333333337</v>
      </c>
      <c r="AC19" s="125">
        <f t="shared" si="9"/>
        <v>12291.666666666666</v>
      </c>
      <c r="AD19" s="125">
        <f t="shared" si="10"/>
        <v>1966.6666666666665</v>
      </c>
      <c r="AE19" s="120">
        <f t="shared" ref="AE19:AE82" si="22">+O19</f>
        <v>0</v>
      </c>
      <c r="AF19" s="121">
        <f t="shared" si="11"/>
        <v>16666.666666666668</v>
      </c>
      <c r="AG19" s="111">
        <f>IF($U$258&lt;=0,AF19,IF(SUM($U$18:U19)&lt;=0,AF19,PMT($K$5/360*Días,A19,-AA19)))</f>
        <v>16666.666666666668</v>
      </c>
      <c r="AH19" s="122">
        <f>IF(A19&lt;=Periodos_Gracia,0,IF($U$258&lt;=0,AG19,IF(SUM($U$18:U19)&lt;=0,AF19,PMT($K$5/360*Días,No._de_Pagos,-Monto_Crédito)-AC19-AD19)))</f>
        <v>16666.666666666668</v>
      </c>
      <c r="AI19" s="126">
        <f t="shared" ref="AI19:AI82" si="23">IF(A19="","",AF19+AC19+AD19)</f>
        <v>30925.000000000004</v>
      </c>
      <c r="AK19" s="127">
        <f>IF(A19="","",IF(Periodos_Gracia&gt;0,Tabla!AN19,V19+S19))</f>
        <v>23089.296151692972</v>
      </c>
      <c r="AL19" s="127">
        <f t="shared" si="12"/>
        <v>28958.333333333336</v>
      </c>
      <c r="AM19" s="62">
        <f t="shared" ref="AM19:AM82" si="24">IF(A19="","",IF(A19&lt;=Periodos_Gracia,0,IF(AM18=0,1,IF(AM18&gt;0,AM18+1,A18))))</f>
        <v>2</v>
      </c>
      <c r="AN19" s="128">
        <f>IF(A19="","",IF(A19&lt;=Periodos_Gracia,Tabla!S19,PPMT(Tasa_Anual/360*Días*(1+I.V.A.),Tabla!AM19,No._De_Pagos_con_periodo_de_gracia,-Monto_Crédito)+S19))</f>
        <v>23089.296151692972</v>
      </c>
      <c r="AO19" s="128">
        <f>IF(A19="","",IF(A19&lt;=Periodos_Gracia,Tabla!AC19,Monto_Crédito/(No._De_Pagos_con_periodo_de_gracia)+AC19))</f>
        <v>28958.333333333336</v>
      </c>
      <c r="AP19" s="118"/>
    </row>
    <row r="20" spans="1:42">
      <c r="A20" s="108">
        <f>IF(A19&lt;Parámetros!$E$6,A19+1,"")</f>
        <v>3</v>
      </c>
      <c r="B20" s="109">
        <f t="shared" ref="B20:B83" si="25">IF(A20="","",IF(G19&lt;=0,0,+G19))</f>
        <v>978710.44201837771</v>
      </c>
      <c r="C20" s="109">
        <f t="shared" si="0"/>
        <v>10876.858422762432</v>
      </c>
      <c r="D20" s="109">
        <f t="shared" si="1"/>
        <v>12233.880525229722</v>
      </c>
      <c r="E20" s="109">
        <f t="shared" si="2"/>
        <v>1957.4208840367555</v>
      </c>
      <c r="F20" s="109">
        <f t="shared" si="3"/>
        <v>25068.159832028912</v>
      </c>
      <c r="G20" s="115">
        <f t="shared" si="13"/>
        <v>967833.58359561523</v>
      </c>
      <c r="H20" s="116">
        <f t="shared" si="14"/>
        <v>1</v>
      </c>
      <c r="I20" s="109">
        <f t="shared" ref="I20:I83" si="26">IF(A20="","",IF(+N19&lt;=0,0,N19))</f>
        <v>966666.66666666674</v>
      </c>
      <c r="J20" s="109">
        <f t="shared" si="4"/>
        <v>16666.666666666668</v>
      </c>
      <c r="K20" s="109">
        <f t="shared" si="5"/>
        <v>12083.333333333334</v>
      </c>
      <c r="L20" s="109">
        <f t="shared" si="6"/>
        <v>1933.3333333333335</v>
      </c>
      <c r="M20" s="109">
        <f t="shared" si="15"/>
        <v>30683.333333333332</v>
      </c>
      <c r="N20" s="115">
        <f t="shared" si="16"/>
        <v>950000.00000000012</v>
      </c>
      <c r="O20" s="61">
        <v>0</v>
      </c>
      <c r="P20" s="117">
        <f t="shared" si="17"/>
        <v>1</v>
      </c>
      <c r="R20" s="118">
        <f t="shared" si="18"/>
        <v>978710.44201837771</v>
      </c>
      <c r="S20" s="119">
        <f t="shared" si="7"/>
        <v>12233.880525229721</v>
      </c>
      <c r="T20" s="119">
        <f t="shared" si="8"/>
        <v>1957.4208840367553</v>
      </c>
      <c r="U20" s="120">
        <f t="shared" si="19"/>
        <v>0</v>
      </c>
      <c r="V20" s="121">
        <f>IF(A20="","",IF(A20&lt;=Periodos_Gracia,0,PPMT(Tasa_Anual/360*Días*(1+I.V.A.),Tabla!AM20,No._De_Pagos_con_periodo_de_gracia,-Monto_Crédito)))</f>
        <v>10876.858422762432</v>
      </c>
      <c r="W20" s="111">
        <f>IF($U$258&lt;=0,V20,IF(SUM($U$18:U20)&lt;=0,V20,PMT($K$5/360*Días,A20,-R20)))</f>
        <v>10876.858422762432</v>
      </c>
      <c r="X20" s="122">
        <f>IF($U$258&lt;=0,W20,IF(SUM($U$18:U20)&lt;=0,V20,PMT($K$5/360*Días,No._De_Pagos_con_periodo_de_gracia,-Monto_Crédito)-S20-T20))</f>
        <v>10876.858422762432</v>
      </c>
      <c r="Y20" s="118">
        <f t="shared" si="20"/>
        <v>10876.858422762432</v>
      </c>
      <c r="Z20" s="62">
        <f>+IF(A20="","",IF(No._de_Pagos-Tabla!A20+1&lt;=0,"",No._de_Pagos-Tabla!A20+1))</f>
        <v>58</v>
      </c>
      <c r="AA20" s="123">
        <f t="shared" si="21"/>
        <v>25068.159832028909</v>
      </c>
      <c r="AB20" s="125">
        <f t="shared" ref="AB20:AB83" si="27">IF(A20="","",AB19-AF19)</f>
        <v>966666.66666666674</v>
      </c>
      <c r="AC20" s="125">
        <f t="shared" si="9"/>
        <v>12083.333333333334</v>
      </c>
      <c r="AD20" s="125">
        <f t="shared" si="10"/>
        <v>1933.3333333333335</v>
      </c>
      <c r="AE20" s="120">
        <f t="shared" si="22"/>
        <v>0</v>
      </c>
      <c r="AF20" s="121">
        <f t="shared" si="11"/>
        <v>16666.666666666668</v>
      </c>
      <c r="AG20" s="111">
        <f>IF($U$258&lt;=0,AF20,IF(SUM($U$18:U20)&lt;=0,AF20,PMT($K$5/360*Días,A20,-AA20)))</f>
        <v>16666.666666666668</v>
      </c>
      <c r="AH20" s="122">
        <f>IF(A20&lt;=Periodos_Gracia,0,IF($U$258&lt;=0,AG20,IF(SUM($U$18:U20)&lt;=0,AF20,PMT($K$5/360*Días,No._de_Pagos,-Monto_Crédito)-AC20-AD20)))</f>
        <v>16666.666666666668</v>
      </c>
      <c r="AI20" s="126">
        <f t="shared" si="23"/>
        <v>30683.333333333332</v>
      </c>
      <c r="AK20" s="127">
        <f>IF(A20="","",IF(Periodos_Gracia&gt;0,Tabla!AN20,V20+S20))</f>
        <v>23110.738947992155</v>
      </c>
      <c r="AL20" s="127">
        <f t="shared" si="12"/>
        <v>28750</v>
      </c>
      <c r="AM20" s="62">
        <f t="shared" si="24"/>
        <v>3</v>
      </c>
      <c r="AN20" s="128">
        <f>IF(A20="","",IF(A20&lt;=Periodos_Gracia,Tabla!S20,PPMT(Tasa_Anual/360*Días*(1+I.V.A.),Tabla!AM20,No._De_Pagos_con_periodo_de_gracia,-Monto_Crédito)+S20))</f>
        <v>23110.738947992155</v>
      </c>
      <c r="AO20" s="128">
        <f>IF(A20="","",IF(A20&lt;=Periodos_Gracia,Tabla!AC20,Monto_Crédito/(No._De_Pagos_con_periodo_de_gracia)+AC20))</f>
        <v>28750</v>
      </c>
      <c r="AP20" s="118"/>
    </row>
    <row r="21" spans="1:42">
      <c r="A21" s="108">
        <f>IF(A20&lt;Parámetros!$E$6,A20+1,"")</f>
        <v>4</v>
      </c>
      <c r="B21" s="109">
        <f t="shared" si="25"/>
        <v>967833.58359561523</v>
      </c>
      <c r="C21" s="109">
        <f t="shared" si="0"/>
        <v>11034.57286989249</v>
      </c>
      <c r="D21" s="109">
        <f t="shared" si="1"/>
        <v>12097.91979494519</v>
      </c>
      <c r="E21" s="109">
        <f t="shared" si="2"/>
        <v>1935.6671671912304</v>
      </c>
      <c r="F21" s="109">
        <f t="shared" si="3"/>
        <v>25068.159832028909</v>
      </c>
      <c r="G21" s="115">
        <f t="shared" si="13"/>
        <v>956799.01072572276</v>
      </c>
      <c r="H21" s="116">
        <f t="shared" si="14"/>
        <v>1</v>
      </c>
      <c r="I21" s="109">
        <f t="shared" si="26"/>
        <v>950000.00000000012</v>
      </c>
      <c r="J21" s="109">
        <f t="shared" si="4"/>
        <v>16666.666666666668</v>
      </c>
      <c r="K21" s="109">
        <f t="shared" si="5"/>
        <v>11875</v>
      </c>
      <c r="L21" s="109">
        <f t="shared" si="6"/>
        <v>1900</v>
      </c>
      <c r="M21" s="109">
        <f t="shared" si="15"/>
        <v>30441.666666666668</v>
      </c>
      <c r="N21" s="115">
        <f t="shared" si="16"/>
        <v>933333.33333333349</v>
      </c>
      <c r="O21" s="61">
        <v>0</v>
      </c>
      <c r="P21" s="117">
        <f t="shared" si="17"/>
        <v>1</v>
      </c>
      <c r="R21" s="118">
        <f t="shared" si="18"/>
        <v>967833.58359561523</v>
      </c>
      <c r="S21" s="119">
        <f t="shared" si="7"/>
        <v>12097.919794945188</v>
      </c>
      <c r="T21" s="119">
        <f t="shared" si="8"/>
        <v>1935.6671671912302</v>
      </c>
      <c r="U21" s="120">
        <f t="shared" si="19"/>
        <v>0</v>
      </c>
      <c r="V21" s="121">
        <f>IF(A21="","",IF(A21&lt;=Periodos_Gracia,0,PPMT(Tasa_Anual/360*Días*(1+I.V.A.),Tabla!AM21,No._De_Pagos_con_periodo_de_gracia,-Monto_Crédito)))</f>
        <v>11034.57286989249</v>
      </c>
      <c r="W21" s="111">
        <f>IF($U$258&lt;=0,V21,IF(SUM($U$18:U21)&lt;=0,V21,PMT($K$5/360*Días,A21,-R21)))</f>
        <v>11034.57286989249</v>
      </c>
      <c r="X21" s="122">
        <f>IF($U$258&lt;=0,W21,IF(SUM($U$18:U21)&lt;=0,V21,PMT($K$5/360*Días,No._De_Pagos_con_periodo_de_gracia,-Monto_Crédito)-S21-T21))</f>
        <v>11034.57286989249</v>
      </c>
      <c r="Y21" s="118">
        <f t="shared" si="20"/>
        <v>11034.57286989249</v>
      </c>
      <c r="Z21" s="62">
        <f>+IF(A21="","",IF(No._de_Pagos-Tabla!A21+1&lt;=0,"",No._de_Pagos-Tabla!A21+1))</f>
        <v>57</v>
      </c>
      <c r="AA21" s="123">
        <f t="shared" si="21"/>
        <v>25068.159832028909</v>
      </c>
      <c r="AB21" s="125">
        <f t="shared" si="27"/>
        <v>950000.00000000012</v>
      </c>
      <c r="AC21" s="125">
        <f t="shared" si="9"/>
        <v>11875</v>
      </c>
      <c r="AD21" s="125">
        <f t="shared" si="10"/>
        <v>1900</v>
      </c>
      <c r="AE21" s="120">
        <f t="shared" si="22"/>
        <v>0</v>
      </c>
      <c r="AF21" s="121">
        <f t="shared" si="11"/>
        <v>16666.666666666668</v>
      </c>
      <c r="AG21" s="111">
        <f>IF($U$258&lt;=0,AF21,IF(SUM($U$18:U21)&lt;=0,AF21,PMT($K$5/360*Días,A21,-AA21)))</f>
        <v>16666.666666666668</v>
      </c>
      <c r="AH21" s="122">
        <f>IF(A21&lt;=Periodos_Gracia,0,IF($U$258&lt;=0,AG21,IF(SUM($U$18:U21)&lt;=0,AF21,PMT($K$5/360*Días,No._de_Pagos,-Monto_Crédito)-AC21-AD21)))</f>
        <v>16666.666666666668</v>
      </c>
      <c r="AI21" s="126">
        <f t="shared" si="23"/>
        <v>30441.666666666668</v>
      </c>
      <c r="AK21" s="127">
        <f>IF(A21="","",IF(Periodos_Gracia&gt;0,Tabla!AN21,V21+S21))</f>
        <v>23132.492664837679</v>
      </c>
      <c r="AL21" s="127">
        <f t="shared" si="12"/>
        <v>28541.666666666668</v>
      </c>
      <c r="AM21" s="62">
        <f t="shared" si="24"/>
        <v>4</v>
      </c>
      <c r="AN21" s="128">
        <f>IF(A21="","",IF(A21&lt;=Periodos_Gracia,Tabla!S21,PPMT(Tasa_Anual/360*Días*(1+I.V.A.),Tabla!AM21,No._De_Pagos_con_periodo_de_gracia,-Monto_Crédito)+S21))</f>
        <v>23132.492664837679</v>
      </c>
      <c r="AO21" s="128">
        <f>IF(A21="","",IF(A21&lt;=Periodos_Gracia,Tabla!AC21,Monto_Crédito/(No._De_Pagos_con_periodo_de_gracia)+AC21))</f>
        <v>28541.666666666668</v>
      </c>
      <c r="AP21" s="118"/>
    </row>
    <row r="22" spans="1:42">
      <c r="A22" s="108">
        <f>IF(A21&lt;Parámetros!$E$6,A21+1,"")</f>
        <v>5</v>
      </c>
      <c r="B22" s="109">
        <f t="shared" si="25"/>
        <v>956799.01072572276</v>
      </c>
      <c r="C22" s="109">
        <f t="shared" si="0"/>
        <v>11194.57417650593</v>
      </c>
      <c r="D22" s="109">
        <f t="shared" si="1"/>
        <v>11959.987634071535</v>
      </c>
      <c r="E22" s="109">
        <f t="shared" si="2"/>
        <v>1913.5980214514457</v>
      </c>
      <c r="F22" s="109">
        <f t="shared" si="3"/>
        <v>25068.159832028909</v>
      </c>
      <c r="G22" s="115">
        <f t="shared" si="13"/>
        <v>945604.43654921686</v>
      </c>
      <c r="H22" s="116">
        <f t="shared" si="14"/>
        <v>1</v>
      </c>
      <c r="I22" s="109">
        <f t="shared" si="26"/>
        <v>933333.33333333349</v>
      </c>
      <c r="J22" s="109">
        <f t="shared" si="4"/>
        <v>16666.666666666668</v>
      </c>
      <c r="K22" s="109">
        <f t="shared" si="5"/>
        <v>11666.66666666667</v>
      </c>
      <c r="L22" s="109">
        <f t="shared" si="6"/>
        <v>1866.6666666666672</v>
      </c>
      <c r="M22" s="109">
        <f t="shared" si="15"/>
        <v>30200.000000000004</v>
      </c>
      <c r="N22" s="115">
        <f t="shared" si="16"/>
        <v>916666.66666666686</v>
      </c>
      <c r="O22" s="61">
        <v>0</v>
      </c>
      <c r="P22" s="117">
        <f t="shared" si="17"/>
        <v>1</v>
      </c>
      <c r="R22" s="118">
        <f t="shared" si="18"/>
        <v>956799.01072572276</v>
      </c>
      <c r="S22" s="119">
        <f t="shared" si="7"/>
        <v>11959.987634071535</v>
      </c>
      <c r="T22" s="119">
        <f t="shared" si="8"/>
        <v>1913.5980214514457</v>
      </c>
      <c r="U22" s="120">
        <f t="shared" si="19"/>
        <v>0</v>
      </c>
      <c r="V22" s="121">
        <f>IF(A22="","",IF(A22&lt;=Periodos_Gracia,0,PPMT(Tasa_Anual/360*Días*(1+I.V.A.),Tabla!AM22,No._De_Pagos_con_periodo_de_gracia,-Monto_Crédito)))</f>
        <v>11194.57417650593</v>
      </c>
      <c r="W22" s="111">
        <f>IF($U$258&lt;=0,V22,IF(SUM($U$18:U22)&lt;=0,V22,PMT($K$5/360*Días,A22,-R22)))</f>
        <v>11194.57417650593</v>
      </c>
      <c r="X22" s="122">
        <f>IF($U$258&lt;=0,W22,IF(SUM($U$18:U22)&lt;=0,V22,PMT($K$5/360*Días,No._De_Pagos_con_periodo_de_gracia,-Monto_Crédito)-S22-T22))</f>
        <v>11194.57417650593</v>
      </c>
      <c r="Y22" s="118">
        <f t="shared" si="20"/>
        <v>11194.57417650593</v>
      </c>
      <c r="Z22" s="62">
        <f>+IF(A22="","",IF(No._de_Pagos-Tabla!A22+1&lt;=0,"",No._de_Pagos-Tabla!A22+1))</f>
        <v>56</v>
      </c>
      <c r="AA22" s="123">
        <f t="shared" si="21"/>
        <v>25068.159832028909</v>
      </c>
      <c r="AB22" s="125">
        <f t="shared" si="27"/>
        <v>933333.33333333349</v>
      </c>
      <c r="AC22" s="125">
        <f t="shared" si="9"/>
        <v>11666.666666666668</v>
      </c>
      <c r="AD22" s="125">
        <f t="shared" si="10"/>
        <v>1866.666666666667</v>
      </c>
      <c r="AE22" s="120">
        <f t="shared" si="22"/>
        <v>0</v>
      </c>
      <c r="AF22" s="121">
        <f t="shared" si="11"/>
        <v>16666.666666666668</v>
      </c>
      <c r="AG22" s="111">
        <f>IF($U$258&lt;=0,AF22,IF(SUM($U$18:U22)&lt;=0,AF22,PMT($K$5/360*Días,A22,-AA22)))</f>
        <v>16666.666666666668</v>
      </c>
      <c r="AH22" s="122">
        <f>IF(A22&lt;=Periodos_Gracia,0,IF($U$258&lt;=0,AG22,IF(SUM($U$18:U22)&lt;=0,AF22,PMT($K$5/360*Días,No._de_Pagos,-Monto_Crédito)-AC22-AD22)))</f>
        <v>16666.666666666668</v>
      </c>
      <c r="AI22" s="126">
        <f t="shared" si="23"/>
        <v>30200.000000000004</v>
      </c>
      <c r="AK22" s="127">
        <f>IF(A22="","",IF(Periodos_Gracia&gt;0,Tabla!AN22,V22+S22))</f>
        <v>23154.561810577463</v>
      </c>
      <c r="AL22" s="127">
        <f t="shared" si="12"/>
        <v>28333.333333333336</v>
      </c>
      <c r="AM22" s="62">
        <f t="shared" si="24"/>
        <v>5</v>
      </c>
      <c r="AN22" s="128">
        <f>IF(A22="","",IF(A22&lt;=Periodos_Gracia,Tabla!S22,PPMT(Tasa_Anual/360*Días*(1+I.V.A.),Tabla!AM22,No._De_Pagos_con_periodo_de_gracia,-Monto_Crédito)+S22))</f>
        <v>23154.561810577463</v>
      </c>
      <c r="AO22" s="128">
        <f>IF(A22="","",IF(A22&lt;=Periodos_Gracia,Tabla!AC22,Monto_Crédito/(No._De_Pagos_con_periodo_de_gracia)+AC22))</f>
        <v>28333.333333333336</v>
      </c>
      <c r="AP22" s="118"/>
    </row>
    <row r="23" spans="1:42">
      <c r="A23" s="108">
        <f>IF(A22&lt;Parámetros!$E$6,A22+1,"")</f>
        <v>6</v>
      </c>
      <c r="B23" s="109">
        <f t="shared" si="25"/>
        <v>945604.43654921686</v>
      </c>
      <c r="C23" s="109">
        <f t="shared" si="0"/>
        <v>11356.895502065265</v>
      </c>
      <c r="D23" s="109">
        <f t="shared" si="1"/>
        <v>11820.05545686521</v>
      </c>
      <c r="E23" s="109">
        <f t="shared" si="2"/>
        <v>1891.2088730984335</v>
      </c>
      <c r="F23" s="109">
        <f t="shared" si="3"/>
        <v>25068.159832028905</v>
      </c>
      <c r="G23" s="115">
        <f t="shared" si="13"/>
        <v>934247.54104715155</v>
      </c>
      <c r="H23" s="116">
        <f t="shared" si="14"/>
        <v>1</v>
      </c>
      <c r="I23" s="109">
        <f t="shared" si="26"/>
        <v>916666.66666666686</v>
      </c>
      <c r="J23" s="109">
        <f t="shared" si="4"/>
        <v>16666.666666666668</v>
      </c>
      <c r="K23" s="109">
        <f t="shared" si="5"/>
        <v>11458.333333333336</v>
      </c>
      <c r="L23" s="109">
        <f t="shared" si="6"/>
        <v>1833.3333333333337</v>
      </c>
      <c r="M23" s="109">
        <f t="shared" si="15"/>
        <v>29958.333333333336</v>
      </c>
      <c r="N23" s="115">
        <f t="shared" si="16"/>
        <v>900000.00000000023</v>
      </c>
      <c r="O23" s="61">
        <v>0</v>
      </c>
      <c r="P23" s="117">
        <f t="shared" si="17"/>
        <v>1</v>
      </c>
      <c r="R23" s="118">
        <f t="shared" si="18"/>
        <v>945604.43654921686</v>
      </c>
      <c r="S23" s="119">
        <f t="shared" si="7"/>
        <v>11820.05545686521</v>
      </c>
      <c r="T23" s="119">
        <f t="shared" si="8"/>
        <v>1891.2088730984335</v>
      </c>
      <c r="U23" s="120">
        <f t="shared" si="19"/>
        <v>0</v>
      </c>
      <c r="V23" s="121">
        <f>IF(A23="","",IF(A23&lt;=Periodos_Gracia,0,PPMT(Tasa_Anual/360*Días*(1+I.V.A.),Tabla!AM23,No._De_Pagos_con_periodo_de_gracia,-Monto_Crédito)))</f>
        <v>11356.895502065265</v>
      </c>
      <c r="W23" s="111">
        <f>IF($U$258&lt;=0,V23,IF(SUM($U$18:U23)&lt;=0,V23,PMT($K$5/360*Días,A23,-R23)))</f>
        <v>11356.895502065265</v>
      </c>
      <c r="X23" s="122">
        <f>IF($U$258&lt;=0,W23,IF(SUM($U$18:U23)&lt;=0,V23,PMT($K$5/360*Días,No._De_Pagos_con_periodo_de_gracia,-Monto_Crédito)-S23-T23))</f>
        <v>11356.895502065265</v>
      </c>
      <c r="Y23" s="118">
        <f t="shared" si="20"/>
        <v>11356.895502065265</v>
      </c>
      <c r="Z23" s="62">
        <f>+IF(A23="","",IF(No._de_Pagos-Tabla!A23+1&lt;=0,"",No._de_Pagos-Tabla!A23+1))</f>
        <v>55</v>
      </c>
      <c r="AA23" s="123">
        <f t="shared" si="21"/>
        <v>25068.159832028905</v>
      </c>
      <c r="AB23" s="125">
        <f t="shared" si="27"/>
        <v>916666.66666666686</v>
      </c>
      <c r="AC23" s="125">
        <f t="shared" si="9"/>
        <v>11458.333333333334</v>
      </c>
      <c r="AD23" s="125">
        <f t="shared" si="10"/>
        <v>1833.3333333333335</v>
      </c>
      <c r="AE23" s="120">
        <f t="shared" si="22"/>
        <v>0</v>
      </c>
      <c r="AF23" s="121">
        <f t="shared" si="11"/>
        <v>16666.666666666668</v>
      </c>
      <c r="AG23" s="111">
        <f>IF($U$258&lt;=0,AF23,IF(SUM($U$18:U23)&lt;=0,AF23,PMT($K$5/360*Días,A23,-AA23)))</f>
        <v>16666.666666666668</v>
      </c>
      <c r="AH23" s="122">
        <f>IF(A23&lt;=Periodos_Gracia,0,IF($U$258&lt;=0,AG23,IF(SUM($U$18:U23)&lt;=0,AF23,PMT($K$5/360*Días,No._de_Pagos,-Monto_Crédito)-AC23-AD23)))</f>
        <v>16666.666666666668</v>
      </c>
      <c r="AI23" s="126">
        <f t="shared" si="23"/>
        <v>29958.333333333332</v>
      </c>
      <c r="AK23" s="127">
        <f>IF(A23="","",IF(Periodos_Gracia&gt;0,Tabla!AN23,V23+S23))</f>
        <v>23176.950958930473</v>
      </c>
      <c r="AL23" s="127">
        <f t="shared" si="12"/>
        <v>28125</v>
      </c>
      <c r="AM23" s="62">
        <f t="shared" si="24"/>
        <v>6</v>
      </c>
      <c r="AN23" s="128">
        <f>IF(A23="","",IF(A23&lt;=Periodos_Gracia,Tabla!S23,PPMT(Tasa_Anual/360*Días*(1+I.V.A.),Tabla!AM23,No._De_Pagos_con_periodo_de_gracia,-Monto_Crédito)+S23))</f>
        <v>23176.950958930473</v>
      </c>
      <c r="AO23" s="128">
        <f>IF(A23="","",IF(A23&lt;=Periodos_Gracia,Tabla!AC23,Monto_Crédito/(No._De_Pagos_con_periodo_de_gracia)+AC23))</f>
        <v>28125</v>
      </c>
      <c r="AP23" s="118"/>
    </row>
    <row r="24" spans="1:42">
      <c r="A24" s="108">
        <f>IF(A23&lt;Parámetros!$E$6,A23+1,"")</f>
        <v>7</v>
      </c>
      <c r="B24" s="109">
        <f t="shared" si="25"/>
        <v>934247.54104715155</v>
      </c>
      <c r="C24" s="109">
        <f t="shared" si="0"/>
        <v>11521.570486845212</v>
      </c>
      <c r="D24" s="109">
        <f t="shared" si="1"/>
        <v>11678.094263089393</v>
      </c>
      <c r="E24" s="109">
        <f t="shared" si="2"/>
        <v>1868.4950820943029</v>
      </c>
      <c r="F24" s="109">
        <f t="shared" si="3"/>
        <v>25068.159832028909</v>
      </c>
      <c r="G24" s="115">
        <f t="shared" si="13"/>
        <v>922725.97056030633</v>
      </c>
      <c r="H24" s="116">
        <f t="shared" si="14"/>
        <v>1</v>
      </c>
      <c r="I24" s="109">
        <f t="shared" si="26"/>
        <v>900000.00000000023</v>
      </c>
      <c r="J24" s="109">
        <f t="shared" si="4"/>
        <v>16666.666666666668</v>
      </c>
      <c r="K24" s="109">
        <f t="shared" si="5"/>
        <v>11250.000000000002</v>
      </c>
      <c r="L24" s="109">
        <f t="shared" si="6"/>
        <v>1800.0000000000002</v>
      </c>
      <c r="M24" s="109">
        <f t="shared" si="15"/>
        <v>29716.666666666672</v>
      </c>
      <c r="N24" s="115">
        <f t="shared" si="16"/>
        <v>883333.3333333336</v>
      </c>
      <c r="O24" s="61">
        <v>0</v>
      </c>
      <c r="P24" s="117">
        <f t="shared" si="17"/>
        <v>1</v>
      </c>
      <c r="Q24" s="118"/>
      <c r="R24" s="118">
        <f t="shared" si="18"/>
        <v>934247.54104715155</v>
      </c>
      <c r="S24" s="119">
        <f t="shared" si="7"/>
        <v>11678.094263089395</v>
      </c>
      <c r="T24" s="119">
        <f t="shared" si="8"/>
        <v>1868.4950820943031</v>
      </c>
      <c r="U24" s="120">
        <f t="shared" si="19"/>
        <v>0</v>
      </c>
      <c r="V24" s="121">
        <f>IF(A24="","",IF(A24&lt;=Periodos_Gracia,0,PPMT(Tasa_Anual/360*Días*(1+I.V.A.),Tabla!AM24,No._De_Pagos_con_periodo_de_gracia,-Monto_Crédito)))</f>
        <v>11521.570486845212</v>
      </c>
      <c r="W24" s="111">
        <f>IF($U$258&lt;=0,V24,IF(SUM($U$18:U24)&lt;=0,V24,PMT($K$5/360*Días,A24,-R24)))</f>
        <v>11521.570486845212</v>
      </c>
      <c r="X24" s="122">
        <f>IF($U$258&lt;=0,W24,IF(SUM($U$18:U24)&lt;=0,V24,PMT($K$5/360*Días,No._De_Pagos_con_periodo_de_gracia,-Monto_Crédito)-S24-T24))</f>
        <v>11521.570486845212</v>
      </c>
      <c r="Y24" s="118">
        <f t="shared" si="20"/>
        <v>11521.570486845212</v>
      </c>
      <c r="Z24" s="62">
        <f>+IF(A24="","",IF(No._de_Pagos-Tabla!A24+1&lt;=0,"",No._de_Pagos-Tabla!A24+1))</f>
        <v>54</v>
      </c>
      <c r="AA24" s="123">
        <f t="shared" si="21"/>
        <v>25068.159832028912</v>
      </c>
      <c r="AB24" s="125">
        <f t="shared" si="27"/>
        <v>900000.00000000023</v>
      </c>
      <c r="AC24" s="125">
        <f t="shared" si="9"/>
        <v>11250.000000000002</v>
      </c>
      <c r="AD24" s="125">
        <f t="shared" si="10"/>
        <v>1800.0000000000002</v>
      </c>
      <c r="AE24" s="120">
        <f t="shared" si="22"/>
        <v>0</v>
      </c>
      <c r="AF24" s="121">
        <f t="shared" si="11"/>
        <v>16666.666666666668</v>
      </c>
      <c r="AG24" s="111">
        <f>IF($U$258&lt;=0,AF24,IF(SUM($U$18:U24)&lt;=0,AF24,PMT($K$5/360*Días,A24,-AA24)))</f>
        <v>16666.666666666668</v>
      </c>
      <c r="AH24" s="122">
        <f>IF(A24&lt;=Periodos_Gracia,0,IF($U$258&lt;=0,AG24,IF(SUM($U$18:U24)&lt;=0,AF24,PMT($K$5/360*Días,No._de_Pagos,-Monto_Crédito)-AC24-AD24)))</f>
        <v>16666.666666666668</v>
      </c>
      <c r="AI24" s="126">
        <f t="shared" si="23"/>
        <v>29716.666666666672</v>
      </c>
      <c r="AK24" s="127">
        <f>IF(A24="","",IF(Periodos_Gracia&gt;0,Tabla!AN24,V24+S24))</f>
        <v>23199.664749934607</v>
      </c>
      <c r="AL24" s="127">
        <f t="shared" si="12"/>
        <v>27916.666666666672</v>
      </c>
      <c r="AM24" s="62">
        <f t="shared" si="24"/>
        <v>7</v>
      </c>
      <c r="AN24" s="128">
        <f>IF(A24="","",IF(A24&lt;=Periodos_Gracia,Tabla!S24,PPMT(Tasa_Anual/360*Días*(1+I.V.A.),Tabla!AM24,No._De_Pagos_con_periodo_de_gracia,-Monto_Crédito)+S24))</f>
        <v>23199.664749934607</v>
      </c>
      <c r="AO24" s="128">
        <f>IF(A24="","",IF(A24&lt;=Periodos_Gracia,Tabla!AC24,Monto_Crédito/(No._De_Pagos_con_periodo_de_gracia)+AC24))</f>
        <v>27916.666666666672</v>
      </c>
      <c r="AP24" s="118"/>
    </row>
    <row r="25" spans="1:42">
      <c r="A25" s="108">
        <f>IF(A24&lt;Parámetros!$E$6,A24+1,"")</f>
        <v>8</v>
      </c>
      <c r="B25" s="109">
        <f t="shared" si="25"/>
        <v>922725.97056030633</v>
      </c>
      <c r="C25" s="109">
        <f t="shared" si="0"/>
        <v>11688.633258904467</v>
      </c>
      <c r="D25" s="109">
        <f t="shared" si="1"/>
        <v>11534.074632003829</v>
      </c>
      <c r="E25" s="109">
        <f t="shared" si="2"/>
        <v>1845.4519411206127</v>
      </c>
      <c r="F25" s="109">
        <f t="shared" si="3"/>
        <v>25068.159832028909</v>
      </c>
      <c r="G25" s="115">
        <f t="shared" si="13"/>
        <v>911037.33730140189</v>
      </c>
      <c r="H25" s="116">
        <f t="shared" si="14"/>
        <v>1</v>
      </c>
      <c r="I25" s="109">
        <f t="shared" si="26"/>
        <v>883333.3333333336</v>
      </c>
      <c r="J25" s="109">
        <f t="shared" si="4"/>
        <v>16666.666666666668</v>
      </c>
      <c r="K25" s="109">
        <f t="shared" si="5"/>
        <v>11041.66666666667</v>
      </c>
      <c r="L25" s="109">
        <f t="shared" si="6"/>
        <v>1766.6666666666672</v>
      </c>
      <c r="M25" s="109">
        <f t="shared" si="15"/>
        <v>29475.000000000004</v>
      </c>
      <c r="N25" s="115">
        <f t="shared" si="16"/>
        <v>866666.66666666698</v>
      </c>
      <c r="O25" s="61">
        <v>0</v>
      </c>
      <c r="P25" s="117">
        <f t="shared" si="17"/>
        <v>1</v>
      </c>
      <c r="R25" s="118">
        <f t="shared" si="18"/>
        <v>922725.97056030633</v>
      </c>
      <c r="S25" s="119">
        <f t="shared" si="7"/>
        <v>11534.074632003827</v>
      </c>
      <c r="T25" s="119">
        <f t="shared" si="8"/>
        <v>1845.4519411206124</v>
      </c>
      <c r="U25" s="120">
        <f t="shared" si="19"/>
        <v>0</v>
      </c>
      <c r="V25" s="121">
        <f>IF(A25="","",IF(A25&lt;=Periodos_Gracia,0,PPMT(Tasa_Anual/360*Días*(1+I.V.A.),Tabla!AM25,No._De_Pagos_con_periodo_de_gracia,-Monto_Crédito)))</f>
        <v>11688.633258904467</v>
      </c>
      <c r="W25" s="111">
        <f>IF($U$258&lt;=0,V25,IF(SUM($U$18:U25)&lt;=0,V25,PMT($K$5/360*Días,A25,-R25)))</f>
        <v>11688.633258904467</v>
      </c>
      <c r="X25" s="122">
        <f>IF($U$258&lt;=0,W25,IF(SUM($U$18:U25)&lt;=0,V25,PMT($K$5/360*Días,No._De_Pagos_con_periodo_de_gracia,-Monto_Crédito)-S25-T25))</f>
        <v>11688.633258904467</v>
      </c>
      <c r="Y25" s="118">
        <f t="shared" si="20"/>
        <v>11688.633258904467</v>
      </c>
      <c r="Z25" s="62">
        <f>+IF(A25="","",IF(No._de_Pagos-Tabla!A25+1&lt;=0,"",No._de_Pagos-Tabla!A25+1))</f>
        <v>53</v>
      </c>
      <c r="AA25" s="123">
        <f t="shared" si="21"/>
        <v>25068.159832028905</v>
      </c>
      <c r="AB25" s="125">
        <f t="shared" si="27"/>
        <v>883333.3333333336</v>
      </c>
      <c r="AC25" s="125">
        <f t="shared" si="9"/>
        <v>11041.66666666667</v>
      </c>
      <c r="AD25" s="125">
        <f t="shared" si="10"/>
        <v>1766.6666666666672</v>
      </c>
      <c r="AE25" s="120">
        <f t="shared" si="22"/>
        <v>0</v>
      </c>
      <c r="AF25" s="121">
        <f t="shared" si="11"/>
        <v>16666.666666666668</v>
      </c>
      <c r="AG25" s="111">
        <f>IF($U$258&lt;=0,AF25,IF(SUM($U$18:U25)&lt;=0,AF25,PMT($K$5/360*Días,A25,-AA25)))</f>
        <v>16666.666666666668</v>
      </c>
      <c r="AH25" s="122">
        <f>IF(A25&lt;=Periodos_Gracia,0,IF($U$258&lt;=0,AG25,IF(SUM($U$18:U25)&lt;=0,AF25,PMT($K$5/360*Días,No._de_Pagos,-Monto_Crédito)-AC25-AD25)))</f>
        <v>16666.666666666668</v>
      </c>
      <c r="AI25" s="126">
        <f t="shared" si="23"/>
        <v>29475.000000000004</v>
      </c>
      <c r="AK25" s="127">
        <f>IF(A25="","",IF(Periodos_Gracia&gt;0,Tabla!AN25,V25+S25))</f>
        <v>23222.707890908292</v>
      </c>
      <c r="AL25" s="127">
        <f t="shared" si="12"/>
        <v>27708.333333333336</v>
      </c>
      <c r="AM25" s="62">
        <f t="shared" si="24"/>
        <v>8</v>
      </c>
      <c r="AN25" s="128">
        <f>IF(A25="","",IF(A25&lt;=Periodos_Gracia,Tabla!S25,PPMT(Tasa_Anual/360*Días*(1+I.V.A.),Tabla!AM25,No._De_Pagos_con_periodo_de_gracia,-Monto_Crédito)+S25))</f>
        <v>23222.707890908292</v>
      </c>
      <c r="AO25" s="128">
        <f>IF(A25="","",IF(A25&lt;=Periodos_Gracia,Tabla!AC25,Monto_Crédito/(No._De_Pagos_con_periodo_de_gracia)+AC25))</f>
        <v>27708.333333333336</v>
      </c>
      <c r="AP25" s="118"/>
    </row>
    <row r="26" spans="1:42">
      <c r="A26" s="108">
        <f>IF(A25&lt;Parámetros!$E$6,A25+1,"")</f>
        <v>9</v>
      </c>
      <c r="B26" s="109">
        <f t="shared" si="25"/>
        <v>911037.33730140189</v>
      </c>
      <c r="C26" s="109">
        <f t="shared" si="0"/>
        <v>11858.118441158584</v>
      </c>
      <c r="D26" s="109">
        <f t="shared" si="1"/>
        <v>11387.966716267523</v>
      </c>
      <c r="E26" s="109">
        <f t="shared" si="2"/>
        <v>1822.0746746028037</v>
      </c>
      <c r="F26" s="109">
        <f t="shared" si="3"/>
        <v>25068.159832028912</v>
      </c>
      <c r="G26" s="115">
        <f t="shared" si="13"/>
        <v>899179.21886024333</v>
      </c>
      <c r="H26" s="116">
        <f t="shared" si="14"/>
        <v>1</v>
      </c>
      <c r="I26" s="109">
        <f t="shared" si="26"/>
        <v>866666.66666666698</v>
      </c>
      <c r="J26" s="109">
        <f t="shared" si="4"/>
        <v>16666.666666666668</v>
      </c>
      <c r="K26" s="109">
        <f t="shared" si="5"/>
        <v>10833.333333333338</v>
      </c>
      <c r="L26" s="109">
        <f t="shared" si="6"/>
        <v>1733.3333333333339</v>
      </c>
      <c r="M26" s="109">
        <f t="shared" si="15"/>
        <v>29233.333333333343</v>
      </c>
      <c r="N26" s="115">
        <f t="shared" si="16"/>
        <v>850000.00000000035</v>
      </c>
      <c r="O26" s="61">
        <v>0</v>
      </c>
      <c r="P26" s="117">
        <f t="shared" si="17"/>
        <v>1</v>
      </c>
      <c r="R26" s="118">
        <f t="shared" ref="R26:R89" si="28">IF(A26="","",+R25-V25)</f>
        <v>911037.33730140189</v>
      </c>
      <c r="S26" s="119">
        <f t="shared" si="7"/>
        <v>11387.966716267521</v>
      </c>
      <c r="T26" s="119">
        <f t="shared" si="8"/>
        <v>1822.0746746028035</v>
      </c>
      <c r="U26" s="120">
        <f t="shared" si="19"/>
        <v>0</v>
      </c>
      <c r="V26" s="121">
        <f>IF(A26="","",IF(A26&lt;=Periodos_Gracia,0,PPMT(Tasa_Anual/360*Días*(1+I.V.A.),Tabla!AM26,No._De_Pagos_con_periodo_de_gracia,-Monto_Crédito)))</f>
        <v>11858.118441158584</v>
      </c>
      <c r="W26" s="111">
        <f>IF($U$258&lt;=0,V26,IF(SUM($U$18:U26)&lt;=0,V26,PMT($K$5/360*Días,A26,-R26)))</f>
        <v>11858.118441158584</v>
      </c>
      <c r="X26" s="122">
        <f>IF($U$258&lt;=0,W26,IF(SUM($U$18:U26)&lt;=0,V26,PMT($K$5/360*Días,No._De_Pagos_con_periodo_de_gracia,-Monto_Crédito)-S26-T26))</f>
        <v>11858.118441158584</v>
      </c>
      <c r="Y26" s="118">
        <f t="shared" si="20"/>
        <v>11858.118441158584</v>
      </c>
      <c r="Z26" s="62">
        <f>+IF(A26="","",IF(No._de_Pagos-Tabla!A26+1&lt;=0,"",No._de_Pagos-Tabla!A26+1))</f>
        <v>52</v>
      </c>
      <c r="AA26" s="123">
        <f t="shared" si="21"/>
        <v>25068.159832028905</v>
      </c>
      <c r="AB26" s="125">
        <f t="shared" si="27"/>
        <v>866666.66666666698</v>
      </c>
      <c r="AC26" s="125">
        <f t="shared" si="9"/>
        <v>10833.333333333336</v>
      </c>
      <c r="AD26" s="125">
        <f t="shared" si="10"/>
        <v>1733.3333333333337</v>
      </c>
      <c r="AE26" s="120">
        <f t="shared" si="22"/>
        <v>0</v>
      </c>
      <c r="AF26" s="121">
        <f t="shared" si="11"/>
        <v>16666.666666666668</v>
      </c>
      <c r="AG26" s="111">
        <f>IF($U$258&lt;=0,AF26,IF(SUM($U$18:U26)&lt;=0,AF26,PMT($K$5/360*Días,A26,-AA26)))</f>
        <v>16666.666666666668</v>
      </c>
      <c r="AH26" s="122">
        <f>IF(A26&lt;=Periodos_Gracia,0,IF($U$258&lt;=0,AG26,IF(SUM($U$18:U26)&lt;=0,AF26,PMT($K$5/360*Días,No._de_Pagos,-Monto_Crédito)-AC26-AD26)))</f>
        <v>16666.666666666668</v>
      </c>
      <c r="AI26" s="126">
        <f t="shared" si="23"/>
        <v>29233.333333333336</v>
      </c>
      <c r="AK26" s="127">
        <f>IF(A26="","",IF(Periodos_Gracia&gt;0,Tabla!AN26,V26+S26))</f>
        <v>23246.085157426103</v>
      </c>
      <c r="AL26" s="127">
        <f t="shared" si="12"/>
        <v>27500.000000000004</v>
      </c>
      <c r="AM26" s="62">
        <f t="shared" si="24"/>
        <v>9</v>
      </c>
      <c r="AN26" s="128">
        <f>IF(A26="","",IF(A26&lt;=Periodos_Gracia,Tabla!S26,PPMT(Tasa_Anual/360*Días*(1+I.V.A.),Tabla!AM26,No._De_Pagos_con_periodo_de_gracia,-Monto_Crédito)+S26))</f>
        <v>23246.085157426103</v>
      </c>
      <c r="AO26" s="128">
        <f>IF(A26="","",IF(A26&lt;=Periodos_Gracia,Tabla!AC26,Monto_Crédito/(No._De_Pagos_con_periodo_de_gracia)+AC26))</f>
        <v>27500.000000000004</v>
      </c>
      <c r="AP26" s="118"/>
    </row>
    <row r="27" spans="1:42">
      <c r="A27" s="108">
        <f>IF(A26&lt;Parámetros!$E$6,A26+1,"")</f>
        <v>10</v>
      </c>
      <c r="B27" s="109">
        <f t="shared" si="25"/>
        <v>899179.21886024333</v>
      </c>
      <c r="C27" s="109">
        <f t="shared" si="0"/>
        <v>12030.061158555383</v>
      </c>
      <c r="D27" s="109">
        <f t="shared" si="1"/>
        <v>11239.740235753043</v>
      </c>
      <c r="E27" s="109">
        <f t="shared" si="2"/>
        <v>1798.3584377204868</v>
      </c>
      <c r="F27" s="109">
        <f t="shared" si="3"/>
        <v>25068.159832028912</v>
      </c>
      <c r="G27" s="115">
        <f t="shared" si="13"/>
        <v>887149.157701688</v>
      </c>
      <c r="H27" s="116">
        <f t="shared" si="14"/>
        <v>1</v>
      </c>
      <c r="I27" s="109">
        <f t="shared" si="26"/>
        <v>850000.00000000035</v>
      </c>
      <c r="J27" s="109">
        <f t="shared" si="4"/>
        <v>16666.666666666668</v>
      </c>
      <c r="K27" s="109">
        <f t="shared" si="5"/>
        <v>10625.000000000004</v>
      </c>
      <c r="L27" s="109">
        <f t="shared" si="6"/>
        <v>1700.0000000000007</v>
      </c>
      <c r="M27" s="109">
        <f t="shared" si="15"/>
        <v>28991.666666666672</v>
      </c>
      <c r="N27" s="115">
        <f t="shared" si="16"/>
        <v>833333.33333333372</v>
      </c>
      <c r="O27" s="61">
        <v>0</v>
      </c>
      <c r="P27" s="117">
        <f t="shared" si="17"/>
        <v>1</v>
      </c>
      <c r="R27" s="118">
        <f t="shared" si="28"/>
        <v>899179.21886024333</v>
      </c>
      <c r="S27" s="119">
        <f t="shared" si="7"/>
        <v>11239.740235753043</v>
      </c>
      <c r="T27" s="119">
        <f t="shared" si="8"/>
        <v>1798.3584377204868</v>
      </c>
      <c r="U27" s="120">
        <f t="shared" si="19"/>
        <v>0</v>
      </c>
      <c r="V27" s="121">
        <f>IF(A27="","",IF(A27&lt;=Periodos_Gracia,0,PPMT(Tasa_Anual/360*Días*(1+I.V.A.),Tabla!AM27,No._De_Pagos_con_periodo_de_gracia,-Monto_Crédito)))</f>
        <v>12030.061158555383</v>
      </c>
      <c r="W27" s="111">
        <f>IF($U$258&lt;=0,V27,IF(SUM($U$18:U27)&lt;=0,V27,PMT($K$5/360*Días,A27,-R27)))</f>
        <v>12030.061158555383</v>
      </c>
      <c r="X27" s="122">
        <f>IF($U$258&lt;=0,W27,IF(SUM($U$18:U27)&lt;=0,V27,PMT($K$5/360*Días,No._De_Pagos_con_periodo_de_gracia,-Monto_Crédito)-S27-T27))</f>
        <v>12030.061158555383</v>
      </c>
      <c r="Y27" s="118">
        <f t="shared" si="20"/>
        <v>12030.061158555383</v>
      </c>
      <c r="Z27" s="62">
        <f>+IF(A27="","",IF(No._de_Pagos-Tabla!A27+1&lt;=0,"",No._de_Pagos-Tabla!A27+1))</f>
        <v>51</v>
      </c>
      <c r="AA27" s="123">
        <f t="shared" si="21"/>
        <v>25068.159832028912</v>
      </c>
      <c r="AB27" s="125">
        <f t="shared" si="27"/>
        <v>850000.00000000035</v>
      </c>
      <c r="AC27" s="125">
        <f t="shared" si="9"/>
        <v>10625.000000000004</v>
      </c>
      <c r="AD27" s="125">
        <f t="shared" si="10"/>
        <v>1700.0000000000007</v>
      </c>
      <c r="AE27" s="120">
        <f t="shared" si="22"/>
        <v>0</v>
      </c>
      <c r="AF27" s="121">
        <f t="shared" si="11"/>
        <v>16666.666666666668</v>
      </c>
      <c r="AG27" s="111">
        <f>IF($U$258&lt;=0,AF27,IF(SUM($U$18:U27)&lt;=0,AF27,PMT($K$5/360*Días,A27,-AA27)))</f>
        <v>16666.666666666668</v>
      </c>
      <c r="AH27" s="122">
        <f>IF(A27&lt;=Periodos_Gracia,0,IF($U$258&lt;=0,AG27,IF(SUM($U$18:U27)&lt;=0,AF27,PMT($K$5/360*Días,No._de_Pagos,-Monto_Crédito)-AC27-AD27)))</f>
        <v>16666.666666666668</v>
      </c>
      <c r="AI27" s="126">
        <f t="shared" si="23"/>
        <v>28991.666666666672</v>
      </c>
      <c r="AK27" s="127">
        <f>IF(A27="","",IF(Periodos_Gracia&gt;0,Tabla!AN27,V27+S27))</f>
        <v>23269.801394308426</v>
      </c>
      <c r="AL27" s="127">
        <f t="shared" si="12"/>
        <v>27291.666666666672</v>
      </c>
      <c r="AM27" s="62">
        <f t="shared" si="24"/>
        <v>10</v>
      </c>
      <c r="AN27" s="128">
        <f>IF(A27="","",IF(A27&lt;=Periodos_Gracia,Tabla!S27,PPMT(Tasa_Anual/360*Días*(1+I.V.A.),Tabla!AM27,No._De_Pagos_con_periodo_de_gracia,-Monto_Crédito)+S27))</f>
        <v>23269.801394308426</v>
      </c>
      <c r="AO27" s="128">
        <f>IF(A27="","",IF(A27&lt;=Periodos_Gracia,Tabla!AC27,Monto_Crédito/(No._De_Pagos_con_periodo_de_gracia)+AC27))</f>
        <v>27291.666666666672</v>
      </c>
      <c r="AP27" s="118"/>
    </row>
    <row r="28" spans="1:42">
      <c r="A28" s="108">
        <f>IF(A27&lt;Parámetros!$E$6,A27+1,"")</f>
        <v>11</v>
      </c>
      <c r="B28" s="109">
        <f t="shared" si="25"/>
        <v>887149.157701688</v>
      </c>
      <c r="C28" s="109">
        <f t="shared" si="0"/>
        <v>12204.497045354436</v>
      </c>
      <c r="D28" s="109">
        <f t="shared" si="1"/>
        <v>11089.364471271101</v>
      </c>
      <c r="E28" s="109">
        <f t="shared" si="2"/>
        <v>1774.2983154033761</v>
      </c>
      <c r="F28" s="109">
        <f t="shared" si="3"/>
        <v>25068.159832028912</v>
      </c>
      <c r="G28" s="115">
        <f t="shared" si="13"/>
        <v>874944.66065633355</v>
      </c>
      <c r="H28" s="116">
        <f t="shared" si="14"/>
        <v>1</v>
      </c>
      <c r="I28" s="109">
        <f t="shared" si="26"/>
        <v>833333.33333333372</v>
      </c>
      <c r="J28" s="109">
        <f t="shared" si="4"/>
        <v>16666.666666666668</v>
      </c>
      <c r="K28" s="109">
        <f t="shared" si="5"/>
        <v>10416.666666666672</v>
      </c>
      <c r="L28" s="109">
        <f t="shared" si="6"/>
        <v>1666.6666666666674</v>
      </c>
      <c r="M28" s="109">
        <f t="shared" si="15"/>
        <v>28750.000000000007</v>
      </c>
      <c r="N28" s="115">
        <f t="shared" si="16"/>
        <v>816666.66666666709</v>
      </c>
      <c r="O28" s="61">
        <v>0</v>
      </c>
      <c r="P28" s="117">
        <f t="shared" si="17"/>
        <v>1</v>
      </c>
      <c r="R28" s="118">
        <f t="shared" si="28"/>
        <v>887149.157701688</v>
      </c>
      <c r="S28" s="119">
        <f t="shared" si="7"/>
        <v>11089.364471271101</v>
      </c>
      <c r="T28" s="119">
        <f t="shared" si="8"/>
        <v>1774.2983154033761</v>
      </c>
      <c r="U28" s="120">
        <f t="shared" si="19"/>
        <v>0</v>
      </c>
      <c r="V28" s="121">
        <f>IF(A28="","",IF(A28&lt;=Periodos_Gracia,0,PPMT(Tasa_Anual/360*Días*(1+I.V.A.),Tabla!AM28,No._De_Pagos_con_periodo_de_gracia,-Monto_Crédito)))</f>
        <v>12204.497045354436</v>
      </c>
      <c r="W28" s="111">
        <f>IF($U$258&lt;=0,V28,IF(SUM($U$18:U28)&lt;=0,V28,PMT($K$5/360*Días,A28,-R28)))</f>
        <v>12204.497045354436</v>
      </c>
      <c r="X28" s="122">
        <f>IF($U$258&lt;=0,W28,IF(SUM($U$18:U28)&lt;=0,V28,PMT($K$5/360*Días,No._De_Pagos_con_periodo_de_gracia,-Monto_Crédito)-S28-T28))</f>
        <v>12204.497045354436</v>
      </c>
      <c r="Y28" s="118">
        <f t="shared" si="20"/>
        <v>12204.497045354436</v>
      </c>
      <c r="Z28" s="62">
        <f>+IF(A28="","",IF(No._de_Pagos-Tabla!A28+1&lt;=0,"",No._de_Pagos-Tabla!A28+1))</f>
        <v>50</v>
      </c>
      <c r="AA28" s="123">
        <f t="shared" si="21"/>
        <v>25068.159832028912</v>
      </c>
      <c r="AB28" s="125">
        <f t="shared" si="27"/>
        <v>833333.33333333372</v>
      </c>
      <c r="AC28" s="125">
        <f t="shared" si="9"/>
        <v>10416.666666666672</v>
      </c>
      <c r="AD28" s="125">
        <f t="shared" si="10"/>
        <v>1666.6666666666674</v>
      </c>
      <c r="AE28" s="120">
        <f t="shared" si="22"/>
        <v>0</v>
      </c>
      <c r="AF28" s="121">
        <f t="shared" si="11"/>
        <v>16666.666666666668</v>
      </c>
      <c r="AG28" s="111">
        <f>IF($U$258&lt;=0,AF28,IF(SUM($U$18:U28)&lt;=0,AF28,PMT($K$5/360*Días,A28,-AA28)))</f>
        <v>16666.666666666668</v>
      </c>
      <c r="AH28" s="122">
        <f>IF(A28&lt;=Periodos_Gracia,0,IF($U$258&lt;=0,AG28,IF(SUM($U$18:U28)&lt;=0,AF28,PMT($K$5/360*Días,No._de_Pagos,-Monto_Crédito)-AC28-AD28)))</f>
        <v>16666.666666666668</v>
      </c>
      <c r="AI28" s="126">
        <f t="shared" si="23"/>
        <v>28750.000000000007</v>
      </c>
      <c r="AK28" s="127">
        <f>IF(A28="","",IF(Periodos_Gracia&gt;0,Tabla!AN28,V28+S28))</f>
        <v>23293.861516625537</v>
      </c>
      <c r="AL28" s="127">
        <f t="shared" si="12"/>
        <v>27083.333333333339</v>
      </c>
      <c r="AM28" s="62">
        <f t="shared" si="24"/>
        <v>11</v>
      </c>
      <c r="AN28" s="128">
        <f>IF(A28="","",IF(A28&lt;=Periodos_Gracia,Tabla!S28,PPMT(Tasa_Anual/360*Días*(1+I.V.A.),Tabla!AM28,No._De_Pagos_con_periodo_de_gracia,-Monto_Crédito)+S28))</f>
        <v>23293.861516625537</v>
      </c>
      <c r="AO28" s="128">
        <f>IF(A28="","",IF(A28&lt;=Periodos_Gracia,Tabla!AC28,Monto_Crédito/(No._De_Pagos_con_periodo_de_gracia)+AC28))</f>
        <v>27083.333333333339</v>
      </c>
      <c r="AP28" s="118"/>
    </row>
    <row r="29" spans="1:42">
      <c r="A29" s="108">
        <f>IF(A28&lt;Parámetros!$E$6,A28+1,"")</f>
        <v>12</v>
      </c>
      <c r="B29" s="109">
        <f t="shared" si="25"/>
        <v>874944.66065633355</v>
      </c>
      <c r="C29" s="109">
        <f t="shared" si="0"/>
        <v>12381.462252512074</v>
      </c>
      <c r="D29" s="109">
        <f t="shared" si="1"/>
        <v>10936.808258204168</v>
      </c>
      <c r="E29" s="109">
        <f t="shared" si="2"/>
        <v>1749.8893213126669</v>
      </c>
      <c r="F29" s="109">
        <f t="shared" si="3"/>
        <v>25068.159832028909</v>
      </c>
      <c r="G29" s="115">
        <f t="shared" si="13"/>
        <v>862563.19840382144</v>
      </c>
      <c r="H29" s="116">
        <f t="shared" si="14"/>
        <v>1</v>
      </c>
      <c r="I29" s="109">
        <f t="shared" si="26"/>
        <v>816666.66666666709</v>
      </c>
      <c r="J29" s="109">
        <f t="shared" si="4"/>
        <v>16666.666666666668</v>
      </c>
      <c r="K29" s="109">
        <f t="shared" si="5"/>
        <v>10208.333333333338</v>
      </c>
      <c r="L29" s="109">
        <f t="shared" si="6"/>
        <v>1633.3333333333339</v>
      </c>
      <c r="M29" s="109">
        <f t="shared" si="15"/>
        <v>28508.333333333343</v>
      </c>
      <c r="N29" s="115">
        <f t="shared" si="16"/>
        <v>800000.00000000047</v>
      </c>
      <c r="O29" s="61">
        <v>0</v>
      </c>
      <c r="P29" s="117">
        <f t="shared" si="17"/>
        <v>1</v>
      </c>
      <c r="R29" s="118">
        <f t="shared" si="28"/>
        <v>874944.66065633355</v>
      </c>
      <c r="S29" s="119">
        <f t="shared" si="7"/>
        <v>10936.808258204168</v>
      </c>
      <c r="T29" s="119">
        <f t="shared" si="8"/>
        <v>1749.8893213126669</v>
      </c>
      <c r="U29" s="120">
        <f t="shared" si="19"/>
        <v>0</v>
      </c>
      <c r="V29" s="121">
        <f>IF(A29="","",IF(A29&lt;=Periodos_Gracia,0,PPMT(Tasa_Anual/360*Días*(1+I.V.A.),Tabla!AM29,No._De_Pagos_con_periodo_de_gracia,-Monto_Crédito)))</f>
        <v>12381.462252512074</v>
      </c>
      <c r="W29" s="111">
        <f>IF($U$258&lt;=0,V29,IF(SUM($U$18:U29)&lt;=0,V29,PMT($K$5/360*Días,A29,-R29)))</f>
        <v>12381.462252512074</v>
      </c>
      <c r="X29" s="122">
        <f>IF($U$258&lt;=0,W29,IF(SUM($U$18:U29)&lt;=0,V29,PMT($K$5/360*Días,No._De_Pagos_con_periodo_de_gracia,-Monto_Crédito)-S29-T29))</f>
        <v>12381.462252512074</v>
      </c>
      <c r="Y29" s="118">
        <f t="shared" si="20"/>
        <v>12381.462252512074</v>
      </c>
      <c r="Z29" s="62">
        <f>+IF(A29="","",IF(No._de_Pagos-Tabla!A29+1&lt;=0,"",No._de_Pagos-Tabla!A29+1))</f>
        <v>49</v>
      </c>
      <c r="AA29" s="123">
        <f t="shared" si="21"/>
        <v>25068.159832028909</v>
      </c>
      <c r="AB29" s="125">
        <f t="shared" si="27"/>
        <v>816666.66666666709</v>
      </c>
      <c r="AC29" s="125">
        <f t="shared" si="9"/>
        <v>10208.333333333338</v>
      </c>
      <c r="AD29" s="125">
        <f t="shared" si="10"/>
        <v>1633.3333333333339</v>
      </c>
      <c r="AE29" s="120">
        <f t="shared" si="22"/>
        <v>0</v>
      </c>
      <c r="AF29" s="121">
        <f t="shared" si="11"/>
        <v>16666.666666666668</v>
      </c>
      <c r="AG29" s="111">
        <f>IF($U$258&lt;=0,AF29,IF(SUM($U$18:U29)&lt;=0,AF29,PMT($K$5/360*Días,A29,-AA29)))</f>
        <v>16666.666666666668</v>
      </c>
      <c r="AH29" s="122">
        <f>IF(A29&lt;=Periodos_Gracia,0,IF($U$258&lt;=0,AG29,IF(SUM($U$18:U29)&lt;=0,AF29,PMT($K$5/360*Días,No._de_Pagos,-Monto_Crédito)-AC29-AD29)))</f>
        <v>16666.666666666668</v>
      </c>
      <c r="AI29" s="126">
        <f t="shared" si="23"/>
        <v>28508.333333333343</v>
      </c>
      <c r="AK29" s="127">
        <f>IF(A29="","",IF(Periodos_Gracia&gt;0,Tabla!AN29,V29+S29))</f>
        <v>23318.27051071624</v>
      </c>
      <c r="AL29" s="127">
        <f t="shared" si="12"/>
        <v>26875.000000000007</v>
      </c>
      <c r="AM29" s="62">
        <f t="shared" si="24"/>
        <v>12</v>
      </c>
      <c r="AN29" s="128">
        <f>IF(A29="","",IF(A29&lt;=Periodos_Gracia,Tabla!S29,PPMT(Tasa_Anual/360*Días*(1+I.V.A.),Tabla!AM29,No._De_Pagos_con_periodo_de_gracia,-Monto_Crédito)+S29))</f>
        <v>23318.27051071624</v>
      </c>
      <c r="AO29" s="128">
        <f>IF(A29="","",IF(A29&lt;=Periodos_Gracia,Tabla!AC29,Monto_Crédito/(No._De_Pagos_con_periodo_de_gracia)+AC29))</f>
        <v>26875.000000000007</v>
      </c>
      <c r="AP29" s="118"/>
    </row>
    <row r="30" spans="1:42">
      <c r="A30" s="108">
        <f>IF(A29&lt;Parámetros!$E$6,A29+1,"")</f>
        <v>13</v>
      </c>
      <c r="B30" s="109">
        <f t="shared" si="25"/>
        <v>862563.19840382144</v>
      </c>
      <c r="C30" s="109">
        <f t="shared" si="0"/>
        <v>12560.993455173499</v>
      </c>
      <c r="D30" s="109">
        <f t="shared" si="1"/>
        <v>10782.039980047768</v>
      </c>
      <c r="E30" s="109">
        <f t="shared" si="2"/>
        <v>1725.126396807643</v>
      </c>
      <c r="F30" s="109">
        <f t="shared" si="3"/>
        <v>25068.159832028909</v>
      </c>
      <c r="G30" s="115">
        <f t="shared" si="13"/>
        <v>850002.204948648</v>
      </c>
      <c r="H30" s="116">
        <f t="shared" si="14"/>
        <v>1</v>
      </c>
      <c r="I30" s="109">
        <f t="shared" si="26"/>
        <v>800000.00000000047</v>
      </c>
      <c r="J30" s="109">
        <f t="shared" si="4"/>
        <v>16666.666666666668</v>
      </c>
      <c r="K30" s="109">
        <f t="shared" si="5"/>
        <v>10000.000000000005</v>
      </c>
      <c r="L30" s="109">
        <f t="shared" si="6"/>
        <v>1600.0000000000009</v>
      </c>
      <c r="M30" s="109">
        <f t="shared" si="15"/>
        <v>28266.666666666672</v>
      </c>
      <c r="N30" s="115">
        <f t="shared" si="16"/>
        <v>783333.33333333384</v>
      </c>
      <c r="O30" s="61">
        <v>0</v>
      </c>
      <c r="P30" s="117">
        <f t="shared" si="17"/>
        <v>1</v>
      </c>
      <c r="R30" s="118">
        <f t="shared" si="28"/>
        <v>862563.19840382144</v>
      </c>
      <c r="S30" s="119">
        <f t="shared" si="7"/>
        <v>10782.039980047768</v>
      </c>
      <c r="T30" s="119">
        <f t="shared" si="8"/>
        <v>1725.126396807643</v>
      </c>
      <c r="U30" s="120">
        <f t="shared" si="19"/>
        <v>0</v>
      </c>
      <c r="V30" s="121">
        <f>IF(A30="","",IF(A30&lt;=Periodos_Gracia,0,PPMT(Tasa_Anual/360*Días*(1+I.V.A.),Tabla!AM30,No._De_Pagos_con_periodo_de_gracia,-Monto_Crédito)))</f>
        <v>12560.993455173499</v>
      </c>
      <c r="W30" s="111">
        <f>IF($U$258&lt;=0,V30,IF(SUM($U$18:U30)&lt;=0,V30,PMT($K$5/360*Días,A30,-R30)))</f>
        <v>12560.993455173499</v>
      </c>
      <c r="X30" s="122">
        <f>IF($U$258&lt;=0,W30,IF(SUM($U$18:U30)&lt;=0,V30,PMT($K$5/360*Días,No._De_Pagos_con_periodo_de_gracia,-Monto_Crédito)-S30-T30))</f>
        <v>12560.993455173499</v>
      </c>
      <c r="Y30" s="118">
        <f t="shared" si="20"/>
        <v>12560.993455173499</v>
      </c>
      <c r="Z30" s="62">
        <f>+IF(A30="","",IF(No._de_Pagos-Tabla!A30+1&lt;=0,"",No._de_Pagos-Tabla!A30+1))</f>
        <v>48</v>
      </c>
      <c r="AA30" s="123">
        <f t="shared" si="21"/>
        <v>25068.159832028909</v>
      </c>
      <c r="AB30" s="125">
        <f t="shared" si="27"/>
        <v>800000.00000000047</v>
      </c>
      <c r="AC30" s="125">
        <f t="shared" si="9"/>
        <v>10000.000000000005</v>
      </c>
      <c r="AD30" s="125">
        <f t="shared" si="10"/>
        <v>1600.0000000000009</v>
      </c>
      <c r="AE30" s="120">
        <f t="shared" si="22"/>
        <v>0</v>
      </c>
      <c r="AF30" s="121">
        <f t="shared" si="11"/>
        <v>16666.666666666668</v>
      </c>
      <c r="AG30" s="111">
        <f>IF($U$258&lt;=0,AF30,IF(SUM($U$18:U30)&lt;=0,AF30,PMT($K$5/360*Días,A30,-AA30)))</f>
        <v>16666.666666666668</v>
      </c>
      <c r="AH30" s="122">
        <f>IF(A30&lt;=Periodos_Gracia,0,IF($U$258&lt;=0,AG30,IF(SUM($U$18:U30)&lt;=0,AF30,PMT($K$5/360*Días,No._de_Pagos,-Monto_Crédito)-AC30-AD30)))</f>
        <v>16666.666666666668</v>
      </c>
      <c r="AI30" s="126">
        <f t="shared" si="23"/>
        <v>28266.666666666672</v>
      </c>
      <c r="AK30" s="127">
        <f>IF(A30="","",IF(Periodos_Gracia&gt;0,Tabla!AN30,V30+S30))</f>
        <v>23343.033435221267</v>
      </c>
      <c r="AL30" s="127">
        <f t="shared" si="12"/>
        <v>26666.666666666672</v>
      </c>
      <c r="AM30" s="62">
        <f t="shared" si="24"/>
        <v>13</v>
      </c>
      <c r="AN30" s="128">
        <f>IF(A30="","",IF(A30&lt;=Periodos_Gracia,Tabla!S30,PPMT(Tasa_Anual/360*Días*(1+I.V.A.),Tabla!AM30,No._De_Pagos_con_periodo_de_gracia,-Monto_Crédito)+S30))</f>
        <v>23343.033435221267</v>
      </c>
      <c r="AO30" s="128">
        <f>IF(A30="","",IF(A30&lt;=Periodos_Gracia,Tabla!AC30,Monto_Crédito/(No._De_Pagos_con_periodo_de_gracia)+AC30))</f>
        <v>26666.666666666672</v>
      </c>
      <c r="AP30" s="118"/>
    </row>
    <row r="31" spans="1:42">
      <c r="A31" s="108">
        <f>IF(A30&lt;Parámetros!$E$6,A30+1,"")</f>
        <v>14</v>
      </c>
      <c r="B31" s="109">
        <f t="shared" si="25"/>
        <v>850002.204948648</v>
      </c>
      <c r="C31" s="109">
        <f t="shared" si="0"/>
        <v>12743.127860273516</v>
      </c>
      <c r="D31" s="109">
        <f t="shared" si="1"/>
        <v>10625.0275618581</v>
      </c>
      <c r="E31" s="109">
        <f t="shared" si="2"/>
        <v>1700.004409897296</v>
      </c>
      <c r="F31" s="109">
        <f t="shared" si="3"/>
        <v>25068.159832028916</v>
      </c>
      <c r="G31" s="115">
        <f t="shared" si="13"/>
        <v>837259.07708837453</v>
      </c>
      <c r="H31" s="116">
        <f t="shared" si="14"/>
        <v>1</v>
      </c>
      <c r="I31" s="109">
        <f t="shared" si="26"/>
        <v>783333.33333333384</v>
      </c>
      <c r="J31" s="109">
        <f t="shared" si="4"/>
        <v>16666.666666666668</v>
      </c>
      <c r="K31" s="109">
        <f t="shared" si="5"/>
        <v>9791.6666666666733</v>
      </c>
      <c r="L31" s="109">
        <f t="shared" si="6"/>
        <v>1566.6666666666679</v>
      </c>
      <c r="M31" s="109">
        <f t="shared" si="15"/>
        <v>28025.000000000011</v>
      </c>
      <c r="N31" s="115">
        <f t="shared" si="16"/>
        <v>766666.66666666721</v>
      </c>
      <c r="O31" s="61">
        <v>0</v>
      </c>
      <c r="P31" s="117">
        <f t="shared" si="17"/>
        <v>1</v>
      </c>
      <c r="R31" s="118">
        <f t="shared" si="28"/>
        <v>850002.204948648</v>
      </c>
      <c r="S31" s="119">
        <f t="shared" si="7"/>
        <v>10625.0275618581</v>
      </c>
      <c r="T31" s="119">
        <f t="shared" si="8"/>
        <v>1700.004409897296</v>
      </c>
      <c r="U31" s="120">
        <f t="shared" si="19"/>
        <v>0</v>
      </c>
      <c r="V31" s="121">
        <f>IF(A31="","",IF(A31&lt;=Periodos_Gracia,0,PPMT(Tasa_Anual/360*Días*(1+I.V.A.),Tabla!AM31,No._De_Pagos_con_periodo_de_gracia,-Monto_Crédito)))</f>
        <v>12743.127860273516</v>
      </c>
      <c r="W31" s="111">
        <f>IF($U$258&lt;=0,V31,IF(SUM($U$18:U31)&lt;=0,V31,PMT($K$5/360*Días,A31,-R31)))</f>
        <v>12743.127860273516</v>
      </c>
      <c r="X31" s="122">
        <f>IF($U$258&lt;=0,W31,IF(SUM($U$18:U31)&lt;=0,V31,PMT($K$5/360*Días,No._De_Pagos_con_periodo_de_gracia,-Monto_Crédito)-S31-T31))</f>
        <v>12743.127860273516</v>
      </c>
      <c r="Y31" s="118">
        <f t="shared" si="20"/>
        <v>12743.127860273516</v>
      </c>
      <c r="Z31" s="62">
        <f>+IF(A31="","",IF(No._de_Pagos-Tabla!A31+1&lt;=0,"",No._de_Pagos-Tabla!A31+1))</f>
        <v>47</v>
      </c>
      <c r="AA31" s="123">
        <f t="shared" si="21"/>
        <v>25068.159832028916</v>
      </c>
      <c r="AB31" s="125">
        <f t="shared" si="27"/>
        <v>783333.33333333384</v>
      </c>
      <c r="AC31" s="125">
        <f t="shared" si="9"/>
        <v>9791.6666666666715</v>
      </c>
      <c r="AD31" s="125">
        <f t="shared" si="10"/>
        <v>1566.6666666666674</v>
      </c>
      <c r="AE31" s="120">
        <f t="shared" si="22"/>
        <v>0</v>
      </c>
      <c r="AF31" s="121">
        <f t="shared" si="11"/>
        <v>16666.666666666668</v>
      </c>
      <c r="AG31" s="111">
        <f>IF($U$258&lt;=0,AF31,IF(SUM($U$18:U31)&lt;=0,AF31,PMT($K$5/360*Días,A31,-AA31)))</f>
        <v>16666.666666666668</v>
      </c>
      <c r="AH31" s="122">
        <f>IF(A31&lt;=Periodos_Gracia,0,IF($U$258&lt;=0,AG31,IF(SUM($U$18:U31)&lt;=0,AF31,PMT($K$5/360*Días,No._de_Pagos,-Monto_Crédito)-AC31-AD31)))</f>
        <v>16666.666666666668</v>
      </c>
      <c r="AI31" s="126">
        <f t="shared" si="23"/>
        <v>28025.000000000007</v>
      </c>
      <c r="AK31" s="127">
        <f>IF(A31="","",IF(Periodos_Gracia&gt;0,Tabla!AN31,V31+S31))</f>
        <v>23368.155422131618</v>
      </c>
      <c r="AL31" s="127">
        <f t="shared" si="12"/>
        <v>26458.333333333339</v>
      </c>
      <c r="AM31" s="62">
        <f t="shared" si="24"/>
        <v>14</v>
      </c>
      <c r="AN31" s="128">
        <f>IF(A31="","",IF(A31&lt;=Periodos_Gracia,Tabla!S31,PPMT(Tasa_Anual/360*Días*(1+I.V.A.),Tabla!AM31,No._De_Pagos_con_periodo_de_gracia,-Monto_Crédito)+S31))</f>
        <v>23368.155422131618</v>
      </c>
      <c r="AO31" s="128">
        <f>IF(A31="","",IF(A31&lt;=Periodos_Gracia,Tabla!AC31,Monto_Crédito/(No._De_Pagos_con_periodo_de_gracia)+AC31))</f>
        <v>26458.333333333339</v>
      </c>
      <c r="AP31" s="118"/>
    </row>
    <row r="32" spans="1:42">
      <c r="A32" s="108">
        <f>IF(A31&lt;Parámetros!$E$6,A31+1,"")</f>
        <v>15</v>
      </c>
      <c r="B32" s="109">
        <f t="shared" si="25"/>
        <v>837259.07708837453</v>
      </c>
      <c r="C32" s="109">
        <f t="shared" si="0"/>
        <v>12927.903214247483</v>
      </c>
      <c r="D32" s="109">
        <f t="shared" si="1"/>
        <v>10465.738463604681</v>
      </c>
      <c r="E32" s="109">
        <f t="shared" si="2"/>
        <v>1674.518154176749</v>
      </c>
      <c r="F32" s="109">
        <f t="shared" si="3"/>
        <v>25068.159832028912</v>
      </c>
      <c r="G32" s="115">
        <f t="shared" si="13"/>
        <v>824331.1738741271</v>
      </c>
      <c r="H32" s="116">
        <f t="shared" si="14"/>
        <v>1</v>
      </c>
      <c r="I32" s="109">
        <f t="shared" si="26"/>
        <v>766666.66666666721</v>
      </c>
      <c r="J32" s="109">
        <f t="shared" si="4"/>
        <v>16666.666666666668</v>
      </c>
      <c r="K32" s="109">
        <f t="shared" si="5"/>
        <v>9583.3333333333394</v>
      </c>
      <c r="L32" s="109">
        <f t="shared" si="6"/>
        <v>1533.3333333333344</v>
      </c>
      <c r="M32" s="109">
        <f t="shared" si="15"/>
        <v>27783.333333333343</v>
      </c>
      <c r="N32" s="115">
        <f t="shared" si="16"/>
        <v>750000.00000000058</v>
      </c>
      <c r="O32" s="61">
        <v>0</v>
      </c>
      <c r="P32" s="117">
        <f t="shared" si="17"/>
        <v>1</v>
      </c>
      <c r="R32" s="118">
        <f t="shared" si="28"/>
        <v>837259.07708837453</v>
      </c>
      <c r="S32" s="119">
        <f t="shared" si="7"/>
        <v>10465.738463604681</v>
      </c>
      <c r="T32" s="119">
        <f t="shared" si="8"/>
        <v>1674.518154176749</v>
      </c>
      <c r="U32" s="120">
        <f t="shared" si="19"/>
        <v>0</v>
      </c>
      <c r="V32" s="121">
        <f>IF(A32="","",IF(A32&lt;=Periodos_Gracia,0,PPMT(Tasa_Anual/360*Días*(1+I.V.A.),Tabla!AM32,No._De_Pagos_con_periodo_de_gracia,-Monto_Crédito)))</f>
        <v>12927.903214247483</v>
      </c>
      <c r="W32" s="111">
        <f>IF($U$258&lt;=0,V32,IF(SUM($U$18:U32)&lt;=0,V32,PMT($K$5/360*Días,A32,-R32)))</f>
        <v>12927.903214247483</v>
      </c>
      <c r="X32" s="122">
        <f>IF($U$258&lt;=0,W32,IF(SUM($U$18:U32)&lt;=0,V32,PMT($K$5/360*Días,No._De_Pagos_con_periodo_de_gracia,-Monto_Crédito)-S32-T32))</f>
        <v>12927.903214247483</v>
      </c>
      <c r="Y32" s="118">
        <f t="shared" si="20"/>
        <v>12927.903214247483</v>
      </c>
      <c r="Z32" s="62">
        <f>+IF(A32="","",IF(No._de_Pagos-Tabla!A32+1&lt;=0,"",No._de_Pagos-Tabla!A32+1))</f>
        <v>46</v>
      </c>
      <c r="AA32" s="123">
        <f t="shared" si="21"/>
        <v>25068.159832028912</v>
      </c>
      <c r="AB32" s="125">
        <f t="shared" si="27"/>
        <v>766666.66666666721</v>
      </c>
      <c r="AC32" s="125">
        <f t="shared" si="9"/>
        <v>9583.3333333333394</v>
      </c>
      <c r="AD32" s="125">
        <f t="shared" si="10"/>
        <v>1533.3333333333344</v>
      </c>
      <c r="AE32" s="120">
        <f t="shared" si="22"/>
        <v>0</v>
      </c>
      <c r="AF32" s="121">
        <f t="shared" si="11"/>
        <v>16666.666666666668</v>
      </c>
      <c r="AG32" s="111">
        <f>IF($U$258&lt;=0,AF32,IF(SUM($U$18:U32)&lt;=0,AF32,PMT($K$5/360*Días,A32,-AA32)))</f>
        <v>16666.666666666668</v>
      </c>
      <c r="AH32" s="122">
        <f>IF(A32&lt;=Periodos_Gracia,0,IF($U$258&lt;=0,AG32,IF(SUM($U$18:U32)&lt;=0,AF32,PMT($K$5/360*Días,No._de_Pagos,-Monto_Crédito)-AC32-AD32)))</f>
        <v>16666.666666666668</v>
      </c>
      <c r="AI32" s="126">
        <f t="shared" si="23"/>
        <v>27783.333333333343</v>
      </c>
      <c r="AK32" s="127">
        <f>IF(A32="","",IF(Periodos_Gracia&gt;0,Tabla!AN32,V32+S32))</f>
        <v>23393.641677852163</v>
      </c>
      <c r="AL32" s="127">
        <f t="shared" si="12"/>
        <v>26250.000000000007</v>
      </c>
      <c r="AM32" s="62">
        <f t="shared" si="24"/>
        <v>15</v>
      </c>
      <c r="AN32" s="128">
        <f>IF(A32="","",IF(A32&lt;=Periodos_Gracia,Tabla!S32,PPMT(Tasa_Anual/360*Días*(1+I.V.A.),Tabla!AM32,No._De_Pagos_con_periodo_de_gracia,-Monto_Crédito)+S32))</f>
        <v>23393.641677852163</v>
      </c>
      <c r="AO32" s="128">
        <f>IF(A32="","",IF(A32&lt;=Periodos_Gracia,Tabla!AC32,Monto_Crédito/(No._De_Pagos_con_periodo_de_gracia)+AC32))</f>
        <v>26250.000000000007</v>
      </c>
      <c r="AP32" s="118"/>
    </row>
    <row r="33" spans="1:42">
      <c r="A33" s="108">
        <f>IF(A32&lt;Parámetros!$E$6,A32+1,"")</f>
        <v>16</v>
      </c>
      <c r="B33" s="109">
        <f t="shared" si="25"/>
        <v>824331.1738741271</v>
      </c>
      <c r="C33" s="109">
        <f t="shared" si="0"/>
        <v>13115.35781085407</v>
      </c>
      <c r="D33" s="109">
        <f t="shared" si="1"/>
        <v>10304.139673426589</v>
      </c>
      <c r="E33" s="109">
        <f t="shared" si="2"/>
        <v>1648.6623477482542</v>
      </c>
      <c r="F33" s="109">
        <f t="shared" si="3"/>
        <v>25068.159832028912</v>
      </c>
      <c r="G33" s="115">
        <f t="shared" si="13"/>
        <v>811215.816063273</v>
      </c>
      <c r="H33" s="116">
        <f t="shared" si="14"/>
        <v>1</v>
      </c>
      <c r="I33" s="109">
        <f t="shared" si="26"/>
        <v>750000.00000000058</v>
      </c>
      <c r="J33" s="109">
        <f t="shared" si="4"/>
        <v>16666.666666666668</v>
      </c>
      <c r="K33" s="109">
        <f t="shared" si="5"/>
        <v>9375.0000000000073</v>
      </c>
      <c r="L33" s="109">
        <f t="shared" si="6"/>
        <v>1500.0000000000011</v>
      </c>
      <c r="M33" s="109">
        <f t="shared" si="15"/>
        <v>27541.666666666675</v>
      </c>
      <c r="N33" s="115">
        <f t="shared" si="16"/>
        <v>733333.33333333395</v>
      </c>
      <c r="O33" s="61">
        <v>0</v>
      </c>
      <c r="P33" s="117">
        <f t="shared" si="17"/>
        <v>1</v>
      </c>
      <c r="R33" s="118">
        <f t="shared" si="28"/>
        <v>824331.1738741271</v>
      </c>
      <c r="S33" s="119">
        <f t="shared" si="7"/>
        <v>10304.139673426589</v>
      </c>
      <c r="T33" s="119">
        <f t="shared" si="8"/>
        <v>1648.6623477482542</v>
      </c>
      <c r="U33" s="120">
        <f t="shared" si="19"/>
        <v>0</v>
      </c>
      <c r="V33" s="121">
        <f>IF(A33="","",IF(A33&lt;=Periodos_Gracia,0,PPMT(Tasa_Anual/360*Días*(1+I.V.A.),Tabla!AM33,No._De_Pagos_con_periodo_de_gracia,-Monto_Crédito)))</f>
        <v>13115.35781085407</v>
      </c>
      <c r="W33" s="111">
        <f>IF($U$258&lt;=0,V33,IF(SUM($U$18:U33)&lt;=0,V33,PMT($K$5/360*Días,A33,-R33)))</f>
        <v>13115.35781085407</v>
      </c>
      <c r="X33" s="122">
        <f>IF($U$258&lt;=0,W33,IF(SUM($U$18:U33)&lt;=0,V33,PMT($K$5/360*Días,No._De_Pagos_con_periodo_de_gracia,-Monto_Crédito)-S33-T33))</f>
        <v>13115.35781085407</v>
      </c>
      <c r="Y33" s="118">
        <f t="shared" si="20"/>
        <v>13115.35781085407</v>
      </c>
      <c r="Z33" s="62">
        <f>+IF(A33="","",IF(No._de_Pagos-Tabla!A33+1&lt;=0,"",No._de_Pagos-Tabla!A33+1))</f>
        <v>45</v>
      </c>
      <c r="AA33" s="123">
        <f t="shared" si="21"/>
        <v>25068.159832028912</v>
      </c>
      <c r="AB33" s="125">
        <f t="shared" si="27"/>
        <v>750000.00000000058</v>
      </c>
      <c r="AC33" s="125">
        <f t="shared" si="9"/>
        <v>9375.0000000000073</v>
      </c>
      <c r="AD33" s="125">
        <f t="shared" si="10"/>
        <v>1500.0000000000011</v>
      </c>
      <c r="AE33" s="120">
        <f t="shared" si="22"/>
        <v>0</v>
      </c>
      <c r="AF33" s="121">
        <f t="shared" si="11"/>
        <v>16666.666666666668</v>
      </c>
      <c r="AG33" s="111">
        <f>IF($U$258&lt;=0,AF33,IF(SUM($U$18:U33)&lt;=0,AF33,PMT($K$5/360*Días,A33,-AA33)))</f>
        <v>16666.666666666668</v>
      </c>
      <c r="AH33" s="122">
        <f>IF(A33&lt;=Periodos_Gracia,0,IF($U$258&lt;=0,AG33,IF(SUM($U$18:U33)&lt;=0,AF33,PMT($K$5/360*Días,No._de_Pagos,-Monto_Crédito)-AC33-AD33)))</f>
        <v>16666.666666666668</v>
      </c>
      <c r="AI33" s="126">
        <f t="shared" si="23"/>
        <v>27541.666666666675</v>
      </c>
      <c r="AK33" s="127">
        <f>IF(A33="","",IF(Periodos_Gracia&gt;0,Tabla!AN33,V33+S33))</f>
        <v>23419.497484280659</v>
      </c>
      <c r="AL33" s="127">
        <f t="shared" si="12"/>
        <v>26041.666666666675</v>
      </c>
      <c r="AM33" s="62">
        <f t="shared" si="24"/>
        <v>16</v>
      </c>
      <c r="AN33" s="128">
        <f>IF(A33="","",IF(A33&lt;=Periodos_Gracia,Tabla!S33,PPMT(Tasa_Anual/360*Días*(1+I.V.A.),Tabla!AM33,No._De_Pagos_con_periodo_de_gracia,-Monto_Crédito)+S33))</f>
        <v>23419.497484280659</v>
      </c>
      <c r="AO33" s="128">
        <f>IF(A33="","",IF(A33&lt;=Periodos_Gracia,Tabla!AC33,Monto_Crédito/(No._De_Pagos_con_periodo_de_gracia)+AC33))</f>
        <v>26041.666666666675</v>
      </c>
      <c r="AP33" s="118"/>
    </row>
    <row r="34" spans="1:42">
      <c r="A34" s="108">
        <f>IF(A33&lt;Parámetros!$E$6,A33+1,"")</f>
        <v>17</v>
      </c>
      <c r="B34" s="109">
        <f t="shared" si="25"/>
        <v>811215.816063273</v>
      </c>
      <c r="C34" s="109">
        <f t="shared" si="0"/>
        <v>13305.530499111452</v>
      </c>
      <c r="D34" s="109">
        <f t="shared" si="1"/>
        <v>10140.197700790912</v>
      </c>
      <c r="E34" s="109">
        <f t="shared" si="2"/>
        <v>1622.431632126546</v>
      </c>
      <c r="F34" s="109">
        <f t="shared" si="3"/>
        <v>25068.159832028909</v>
      </c>
      <c r="G34" s="115">
        <f t="shared" si="13"/>
        <v>797910.2855641616</v>
      </c>
      <c r="H34" s="116">
        <f t="shared" si="14"/>
        <v>1</v>
      </c>
      <c r="I34" s="109">
        <f t="shared" si="26"/>
        <v>733333.33333333395</v>
      </c>
      <c r="J34" s="109">
        <f t="shared" si="4"/>
        <v>16666.666666666668</v>
      </c>
      <c r="K34" s="109">
        <f t="shared" si="5"/>
        <v>9166.6666666666733</v>
      </c>
      <c r="L34" s="109">
        <f t="shared" si="6"/>
        <v>1466.6666666666677</v>
      </c>
      <c r="M34" s="109">
        <f t="shared" si="15"/>
        <v>27300.000000000011</v>
      </c>
      <c r="N34" s="115">
        <f t="shared" si="16"/>
        <v>716666.66666666733</v>
      </c>
      <c r="O34" s="61">
        <v>0</v>
      </c>
      <c r="P34" s="117">
        <f t="shared" si="17"/>
        <v>1</v>
      </c>
      <c r="R34" s="118">
        <f t="shared" si="28"/>
        <v>811215.816063273</v>
      </c>
      <c r="S34" s="119">
        <f t="shared" si="7"/>
        <v>10140.197700790912</v>
      </c>
      <c r="T34" s="119">
        <f t="shared" si="8"/>
        <v>1622.431632126546</v>
      </c>
      <c r="U34" s="120">
        <f t="shared" si="19"/>
        <v>0</v>
      </c>
      <c r="V34" s="121">
        <f>IF(A34="","",IF(A34&lt;=Periodos_Gracia,0,PPMT(Tasa_Anual/360*Días*(1+I.V.A.),Tabla!AM34,No._De_Pagos_con_periodo_de_gracia,-Monto_Crédito)))</f>
        <v>13305.530499111452</v>
      </c>
      <c r="W34" s="111">
        <f>IF($U$258&lt;=0,V34,IF(SUM($U$18:U34)&lt;=0,V34,PMT($K$5/360*Días,A34,-R34)))</f>
        <v>13305.530499111452</v>
      </c>
      <c r="X34" s="122">
        <f>IF($U$258&lt;=0,W34,IF(SUM($U$18:U34)&lt;=0,V34,PMT($K$5/360*Días,No._De_Pagos_con_periodo_de_gracia,-Monto_Crédito)-S34-T34))</f>
        <v>13305.530499111452</v>
      </c>
      <c r="Y34" s="118">
        <f t="shared" si="20"/>
        <v>13305.530499111452</v>
      </c>
      <c r="Z34" s="62">
        <f>+IF(A34="","",IF(No._de_Pagos-Tabla!A34+1&lt;=0,"",No._de_Pagos-Tabla!A34+1))</f>
        <v>44</v>
      </c>
      <c r="AA34" s="123">
        <f t="shared" si="21"/>
        <v>25068.159832028909</v>
      </c>
      <c r="AB34" s="125">
        <f t="shared" si="27"/>
        <v>733333.33333333395</v>
      </c>
      <c r="AC34" s="125">
        <f t="shared" si="9"/>
        <v>9166.6666666666733</v>
      </c>
      <c r="AD34" s="125">
        <f t="shared" si="10"/>
        <v>1466.6666666666677</v>
      </c>
      <c r="AE34" s="120">
        <f t="shared" si="22"/>
        <v>0</v>
      </c>
      <c r="AF34" s="121">
        <f t="shared" si="11"/>
        <v>16666.666666666668</v>
      </c>
      <c r="AG34" s="111">
        <f>IF($U$258&lt;=0,AF34,IF(SUM($U$18:U34)&lt;=0,AF34,PMT($K$5/360*Días,A34,-AA34)))</f>
        <v>16666.666666666668</v>
      </c>
      <c r="AH34" s="122">
        <f>IF(A34&lt;=Periodos_Gracia,0,IF($U$258&lt;=0,AG34,IF(SUM($U$18:U34)&lt;=0,AF34,PMT($K$5/360*Días,No._de_Pagos,-Monto_Crédito)-AC34-AD34)))</f>
        <v>16666.666666666668</v>
      </c>
      <c r="AI34" s="126">
        <f t="shared" si="23"/>
        <v>27300.000000000011</v>
      </c>
      <c r="AK34" s="127">
        <f>IF(A34="","",IF(Periodos_Gracia&gt;0,Tabla!AN34,V34+S34))</f>
        <v>23445.728199902362</v>
      </c>
      <c r="AL34" s="127">
        <f t="shared" si="12"/>
        <v>25833.333333333343</v>
      </c>
      <c r="AM34" s="62">
        <f t="shared" si="24"/>
        <v>17</v>
      </c>
      <c r="AN34" s="128">
        <f>IF(A34="","",IF(A34&lt;=Periodos_Gracia,Tabla!S34,PPMT(Tasa_Anual/360*Días*(1+I.V.A.),Tabla!AM34,No._De_Pagos_con_periodo_de_gracia,-Monto_Crédito)+S34))</f>
        <v>23445.728199902362</v>
      </c>
      <c r="AO34" s="128">
        <f>IF(A34="","",IF(A34&lt;=Periodos_Gracia,Tabla!AC34,Monto_Crédito/(No._De_Pagos_con_periodo_de_gracia)+AC34))</f>
        <v>25833.333333333343</v>
      </c>
      <c r="AP34" s="118"/>
    </row>
    <row r="35" spans="1:42">
      <c r="A35" s="108">
        <f>IF(A34&lt;Parámetros!$E$6,A34+1,"")</f>
        <v>18</v>
      </c>
      <c r="B35" s="109">
        <f t="shared" si="25"/>
        <v>797910.2855641616</v>
      </c>
      <c r="C35" s="109">
        <f t="shared" si="0"/>
        <v>13498.460691348571</v>
      </c>
      <c r="D35" s="109">
        <f t="shared" si="1"/>
        <v>9973.8785695520201</v>
      </c>
      <c r="E35" s="109">
        <f t="shared" si="2"/>
        <v>1595.8205711283233</v>
      </c>
      <c r="F35" s="109">
        <f t="shared" si="3"/>
        <v>25068.159832028912</v>
      </c>
      <c r="G35" s="115">
        <f t="shared" si="13"/>
        <v>784411.82487281307</v>
      </c>
      <c r="H35" s="116">
        <f t="shared" si="14"/>
        <v>1</v>
      </c>
      <c r="I35" s="109">
        <f t="shared" si="26"/>
        <v>716666.66666666733</v>
      </c>
      <c r="J35" s="109">
        <f t="shared" si="4"/>
        <v>16666.666666666668</v>
      </c>
      <c r="K35" s="109">
        <f t="shared" si="5"/>
        <v>8958.3333333333412</v>
      </c>
      <c r="L35" s="109">
        <f t="shared" si="6"/>
        <v>1433.3333333333346</v>
      </c>
      <c r="M35" s="109">
        <f t="shared" si="15"/>
        <v>27058.333333333343</v>
      </c>
      <c r="N35" s="115">
        <f t="shared" si="16"/>
        <v>700000.0000000007</v>
      </c>
      <c r="O35" s="61">
        <v>0</v>
      </c>
      <c r="P35" s="117">
        <f t="shared" si="17"/>
        <v>1</v>
      </c>
      <c r="R35" s="118">
        <f t="shared" si="28"/>
        <v>797910.2855641616</v>
      </c>
      <c r="S35" s="119">
        <f t="shared" si="7"/>
        <v>9973.8785695520201</v>
      </c>
      <c r="T35" s="119">
        <f t="shared" si="8"/>
        <v>1595.8205711283233</v>
      </c>
      <c r="U35" s="120">
        <f t="shared" si="19"/>
        <v>0</v>
      </c>
      <c r="V35" s="121">
        <f>IF(A35="","",IF(A35&lt;=Periodos_Gracia,0,PPMT(Tasa_Anual/360*Días*(1+I.V.A.),Tabla!AM35,No._De_Pagos_con_periodo_de_gracia,-Monto_Crédito)))</f>
        <v>13498.460691348571</v>
      </c>
      <c r="W35" s="111">
        <f>IF($U$258&lt;=0,V35,IF(SUM($U$18:U35)&lt;=0,V35,PMT($K$5/360*Días,A35,-R35)))</f>
        <v>13498.460691348571</v>
      </c>
      <c r="X35" s="122">
        <f>IF($U$258&lt;=0,W35,IF(SUM($U$18:U35)&lt;=0,V35,PMT($K$5/360*Días,No._De_Pagos_con_periodo_de_gracia,-Monto_Crédito)-S35-T35))</f>
        <v>13498.460691348571</v>
      </c>
      <c r="Y35" s="118">
        <f t="shared" si="20"/>
        <v>13498.460691348571</v>
      </c>
      <c r="Z35" s="62">
        <f>+IF(A35="","",IF(No._de_Pagos-Tabla!A35+1&lt;=0,"",No._de_Pagos-Tabla!A35+1))</f>
        <v>43</v>
      </c>
      <c r="AA35" s="123">
        <f t="shared" si="21"/>
        <v>25068.159832028912</v>
      </c>
      <c r="AB35" s="125">
        <f t="shared" si="27"/>
        <v>716666.66666666733</v>
      </c>
      <c r="AC35" s="125">
        <f t="shared" si="9"/>
        <v>8958.3333333333412</v>
      </c>
      <c r="AD35" s="125">
        <f t="shared" si="10"/>
        <v>1433.3333333333346</v>
      </c>
      <c r="AE35" s="120">
        <f t="shared" si="22"/>
        <v>0</v>
      </c>
      <c r="AF35" s="121">
        <f t="shared" si="11"/>
        <v>16666.666666666668</v>
      </c>
      <c r="AG35" s="111">
        <f>IF($U$258&lt;=0,AF35,IF(SUM($U$18:U35)&lt;=0,AF35,PMT($K$5/360*Días,A35,-AA35)))</f>
        <v>16666.666666666668</v>
      </c>
      <c r="AH35" s="122">
        <f>IF(A35&lt;=Periodos_Gracia,0,IF($U$258&lt;=0,AG35,IF(SUM($U$18:U35)&lt;=0,AF35,PMT($K$5/360*Días,No._de_Pagos,-Monto_Crédito)-AC35-AD35)))</f>
        <v>16666.666666666668</v>
      </c>
      <c r="AI35" s="126">
        <f t="shared" si="23"/>
        <v>27058.333333333343</v>
      </c>
      <c r="AK35" s="127">
        <f>IF(A35="","",IF(Periodos_Gracia&gt;0,Tabla!AN35,V35+S35))</f>
        <v>23472.33926090059</v>
      </c>
      <c r="AL35" s="127">
        <f t="shared" si="12"/>
        <v>25625.000000000007</v>
      </c>
      <c r="AM35" s="62">
        <f t="shared" si="24"/>
        <v>18</v>
      </c>
      <c r="AN35" s="128">
        <f>IF(A35="","",IF(A35&lt;=Periodos_Gracia,Tabla!S35,PPMT(Tasa_Anual/360*Días*(1+I.V.A.),Tabla!AM35,No._De_Pagos_con_periodo_de_gracia,-Monto_Crédito)+S35))</f>
        <v>23472.33926090059</v>
      </c>
      <c r="AO35" s="128">
        <f>IF(A35="","",IF(A35&lt;=Periodos_Gracia,Tabla!AC35,Monto_Crédito/(No._De_Pagos_con_periodo_de_gracia)+AC35))</f>
        <v>25625.000000000007</v>
      </c>
      <c r="AP35" s="118"/>
    </row>
    <row r="36" spans="1:42">
      <c r="A36" s="108">
        <f>IF(A35&lt;Parámetros!$E$6,A35+1,"")</f>
        <v>19</v>
      </c>
      <c r="B36" s="109">
        <f t="shared" si="25"/>
        <v>784411.82487281307</v>
      </c>
      <c r="C36" s="109">
        <f t="shared" si="0"/>
        <v>13694.188371373124</v>
      </c>
      <c r="D36" s="109">
        <f t="shared" si="1"/>
        <v>9805.1478109101627</v>
      </c>
      <c r="E36" s="109">
        <f t="shared" si="2"/>
        <v>1568.823649745626</v>
      </c>
      <c r="F36" s="109">
        <f t="shared" si="3"/>
        <v>25068.159832028916</v>
      </c>
      <c r="G36" s="115">
        <f t="shared" si="13"/>
        <v>770717.63650143996</v>
      </c>
      <c r="H36" s="116">
        <f t="shared" si="14"/>
        <v>1</v>
      </c>
      <c r="I36" s="109">
        <f t="shared" si="26"/>
        <v>700000.0000000007</v>
      </c>
      <c r="J36" s="109">
        <f t="shared" si="4"/>
        <v>16666.666666666668</v>
      </c>
      <c r="K36" s="109">
        <f t="shared" si="5"/>
        <v>8750.0000000000091</v>
      </c>
      <c r="L36" s="109">
        <f t="shared" si="6"/>
        <v>1400.0000000000016</v>
      </c>
      <c r="M36" s="109">
        <f t="shared" si="15"/>
        <v>26816.666666666679</v>
      </c>
      <c r="N36" s="115">
        <f t="shared" si="16"/>
        <v>683333.33333333407</v>
      </c>
      <c r="O36" s="61">
        <v>0</v>
      </c>
      <c r="P36" s="117">
        <f t="shared" si="17"/>
        <v>1</v>
      </c>
      <c r="R36" s="118">
        <f t="shared" si="28"/>
        <v>784411.82487281307</v>
      </c>
      <c r="S36" s="119">
        <f t="shared" si="7"/>
        <v>9805.1478109101627</v>
      </c>
      <c r="T36" s="119">
        <f t="shared" si="8"/>
        <v>1568.823649745626</v>
      </c>
      <c r="U36" s="120">
        <f t="shared" si="19"/>
        <v>0</v>
      </c>
      <c r="V36" s="121">
        <f>IF(A36="","",IF(A36&lt;=Periodos_Gracia,0,PPMT(Tasa_Anual/360*Días*(1+I.V.A.),Tabla!AM36,No._De_Pagos_con_periodo_de_gracia,-Monto_Crédito)))</f>
        <v>13694.188371373124</v>
      </c>
      <c r="W36" s="111">
        <f>IF($U$258&lt;=0,V36,IF(SUM($U$18:U36)&lt;=0,V36,PMT($K$5/360*Días,A36,-R36)))</f>
        <v>13694.188371373124</v>
      </c>
      <c r="X36" s="122">
        <f>IF($U$258&lt;=0,W36,IF(SUM($U$18:U36)&lt;=0,V36,PMT($K$5/360*Días,No._De_Pagos_con_periodo_de_gracia,-Monto_Crédito)-S36-T36))</f>
        <v>13694.188371373124</v>
      </c>
      <c r="Y36" s="118">
        <f t="shared" si="20"/>
        <v>13694.188371373124</v>
      </c>
      <c r="Z36" s="62">
        <f>+IF(A36="","",IF(No._de_Pagos-Tabla!A36+1&lt;=0,"",No._de_Pagos-Tabla!A36+1))</f>
        <v>42</v>
      </c>
      <c r="AA36" s="123">
        <f t="shared" si="21"/>
        <v>25068.159832028916</v>
      </c>
      <c r="AB36" s="125">
        <f t="shared" si="27"/>
        <v>700000.0000000007</v>
      </c>
      <c r="AC36" s="125">
        <f t="shared" si="9"/>
        <v>8750.0000000000073</v>
      </c>
      <c r="AD36" s="125">
        <f t="shared" si="10"/>
        <v>1400.0000000000011</v>
      </c>
      <c r="AE36" s="120">
        <f t="shared" si="22"/>
        <v>0</v>
      </c>
      <c r="AF36" s="121">
        <f t="shared" si="11"/>
        <v>16666.666666666668</v>
      </c>
      <c r="AG36" s="111">
        <f>IF($U$258&lt;=0,AF36,IF(SUM($U$18:U36)&lt;=0,AF36,PMT($K$5/360*Días,A36,-AA36)))</f>
        <v>16666.666666666668</v>
      </c>
      <c r="AH36" s="122">
        <f>IF(A36&lt;=Periodos_Gracia,0,IF($U$258&lt;=0,AG36,IF(SUM($U$18:U36)&lt;=0,AF36,PMT($K$5/360*Días,No._de_Pagos,-Monto_Crédito)-AC36-AD36)))</f>
        <v>16666.666666666668</v>
      </c>
      <c r="AI36" s="126">
        <f t="shared" si="23"/>
        <v>26816.666666666675</v>
      </c>
      <c r="AK36" s="127">
        <f>IF(A36="","",IF(Periodos_Gracia&gt;0,Tabla!AN36,V36+S36))</f>
        <v>23499.336182283289</v>
      </c>
      <c r="AL36" s="127">
        <f t="shared" si="12"/>
        <v>25416.666666666675</v>
      </c>
      <c r="AM36" s="62">
        <f t="shared" si="24"/>
        <v>19</v>
      </c>
      <c r="AN36" s="128">
        <f>IF(A36="","",IF(A36&lt;=Periodos_Gracia,Tabla!S36,PPMT(Tasa_Anual/360*Días*(1+I.V.A.),Tabla!AM36,No._De_Pagos_con_periodo_de_gracia,-Monto_Crédito)+S36))</f>
        <v>23499.336182283289</v>
      </c>
      <c r="AO36" s="128">
        <f>IF(A36="","",IF(A36&lt;=Periodos_Gracia,Tabla!AC36,Monto_Crédito/(No._De_Pagos_con_periodo_de_gracia)+AC36))</f>
        <v>25416.666666666675</v>
      </c>
      <c r="AP36" s="118"/>
    </row>
    <row r="37" spans="1:42">
      <c r="A37" s="108">
        <f>IF(A36&lt;Parámetros!$E$6,A36+1,"")</f>
        <v>20</v>
      </c>
      <c r="B37" s="109">
        <f t="shared" si="25"/>
        <v>770717.63650143996</v>
      </c>
      <c r="C37" s="109">
        <f t="shared" si="0"/>
        <v>13892.754102758036</v>
      </c>
      <c r="D37" s="109">
        <f t="shared" si="1"/>
        <v>9633.9704562679999</v>
      </c>
      <c r="E37" s="109">
        <f t="shared" si="2"/>
        <v>1541.43527300288</v>
      </c>
      <c r="F37" s="109">
        <f t="shared" si="3"/>
        <v>25068.159832028916</v>
      </c>
      <c r="G37" s="115">
        <f t="shared" si="13"/>
        <v>756824.88239868195</v>
      </c>
      <c r="H37" s="116">
        <f t="shared" si="14"/>
        <v>1</v>
      </c>
      <c r="I37" s="109">
        <f t="shared" si="26"/>
        <v>683333.33333333407</v>
      </c>
      <c r="J37" s="109">
        <f t="shared" si="4"/>
        <v>16666.666666666668</v>
      </c>
      <c r="K37" s="109">
        <f t="shared" si="5"/>
        <v>8541.6666666666752</v>
      </c>
      <c r="L37" s="109">
        <f t="shared" si="6"/>
        <v>1366.6666666666681</v>
      </c>
      <c r="M37" s="109">
        <f t="shared" si="15"/>
        <v>26575.000000000011</v>
      </c>
      <c r="N37" s="115">
        <f t="shared" si="16"/>
        <v>666666.66666666744</v>
      </c>
      <c r="O37" s="61">
        <v>0</v>
      </c>
      <c r="P37" s="117">
        <f t="shared" si="17"/>
        <v>1</v>
      </c>
      <c r="R37" s="118">
        <f t="shared" si="28"/>
        <v>770717.63650143996</v>
      </c>
      <c r="S37" s="119">
        <f t="shared" si="7"/>
        <v>9633.9704562679999</v>
      </c>
      <c r="T37" s="119">
        <f t="shared" si="8"/>
        <v>1541.43527300288</v>
      </c>
      <c r="U37" s="120">
        <f t="shared" si="19"/>
        <v>0</v>
      </c>
      <c r="V37" s="121">
        <f>IF(A37="","",IF(A37&lt;=Periodos_Gracia,0,PPMT(Tasa_Anual/360*Días*(1+I.V.A.),Tabla!AM37,No._De_Pagos_con_periodo_de_gracia,-Monto_Crédito)))</f>
        <v>13892.754102758036</v>
      </c>
      <c r="W37" s="111">
        <f>IF($U$258&lt;=0,V37,IF(SUM($U$18:U37)&lt;=0,V37,PMT($K$5/360*Días,A37,-R37)))</f>
        <v>13892.754102758036</v>
      </c>
      <c r="X37" s="122">
        <f>IF($U$258&lt;=0,W37,IF(SUM($U$18:U37)&lt;=0,V37,PMT($K$5/360*Días,No._De_Pagos_con_periodo_de_gracia,-Monto_Crédito)-S37-T37))</f>
        <v>13892.754102758036</v>
      </c>
      <c r="Y37" s="118">
        <f t="shared" si="20"/>
        <v>13892.754102758036</v>
      </c>
      <c r="Z37" s="62">
        <f>+IF(A37="","",IF(No._de_Pagos-Tabla!A37+1&lt;=0,"",No._de_Pagos-Tabla!A37+1))</f>
        <v>41</v>
      </c>
      <c r="AA37" s="123">
        <f t="shared" si="21"/>
        <v>25068.159832028916</v>
      </c>
      <c r="AB37" s="125">
        <f t="shared" si="27"/>
        <v>683333.33333333407</v>
      </c>
      <c r="AC37" s="125">
        <f t="shared" si="9"/>
        <v>8541.6666666666752</v>
      </c>
      <c r="AD37" s="125">
        <f t="shared" si="10"/>
        <v>1366.6666666666681</v>
      </c>
      <c r="AE37" s="120">
        <f t="shared" si="22"/>
        <v>0</v>
      </c>
      <c r="AF37" s="121">
        <f t="shared" si="11"/>
        <v>16666.666666666668</v>
      </c>
      <c r="AG37" s="111">
        <f>IF($U$258&lt;=0,AF37,IF(SUM($U$18:U37)&lt;=0,AF37,PMT($K$5/360*Días,A37,-AA37)))</f>
        <v>16666.666666666668</v>
      </c>
      <c r="AH37" s="122">
        <f>IF(A37&lt;=Periodos_Gracia,0,IF($U$258&lt;=0,AG37,IF(SUM($U$18:U37)&lt;=0,AF37,PMT($K$5/360*Días,No._de_Pagos,-Monto_Crédito)-AC37-AD37)))</f>
        <v>16666.666666666668</v>
      </c>
      <c r="AI37" s="126">
        <f t="shared" si="23"/>
        <v>26575.000000000011</v>
      </c>
      <c r="AK37" s="127">
        <f>IF(A37="","",IF(Periodos_Gracia&gt;0,Tabla!AN37,V37+S37))</f>
        <v>23526.724559026035</v>
      </c>
      <c r="AL37" s="127">
        <f t="shared" si="12"/>
        <v>25208.333333333343</v>
      </c>
      <c r="AM37" s="62">
        <f t="shared" si="24"/>
        <v>20</v>
      </c>
      <c r="AN37" s="128">
        <f>IF(A37="","",IF(A37&lt;=Periodos_Gracia,Tabla!S37,PPMT(Tasa_Anual/360*Días*(1+I.V.A.),Tabla!AM37,No._De_Pagos_con_periodo_de_gracia,-Monto_Crédito)+S37))</f>
        <v>23526.724559026035</v>
      </c>
      <c r="AO37" s="128">
        <f>IF(A37="","",IF(A37&lt;=Periodos_Gracia,Tabla!AC37,Monto_Crédito/(No._De_Pagos_con_periodo_de_gracia)+AC37))</f>
        <v>25208.333333333343</v>
      </c>
      <c r="AP37" s="118"/>
    </row>
    <row r="38" spans="1:42">
      <c r="A38" s="108">
        <f>IF(A37&lt;Parámetros!$E$6,A37+1,"")</f>
        <v>21</v>
      </c>
      <c r="B38" s="109">
        <f t="shared" si="25"/>
        <v>756824.88239868195</v>
      </c>
      <c r="C38" s="109">
        <f t="shared" si="0"/>
        <v>14094.199037248025</v>
      </c>
      <c r="D38" s="109">
        <f t="shared" si="1"/>
        <v>9460.3110299835243</v>
      </c>
      <c r="E38" s="109">
        <f t="shared" si="2"/>
        <v>1513.649764797364</v>
      </c>
      <c r="F38" s="109">
        <f t="shared" si="3"/>
        <v>25068.159832028912</v>
      </c>
      <c r="G38" s="115">
        <f t="shared" si="13"/>
        <v>742730.68336143391</v>
      </c>
      <c r="H38" s="116">
        <f t="shared" si="14"/>
        <v>1</v>
      </c>
      <c r="I38" s="109">
        <f t="shared" si="26"/>
        <v>666666.66666666744</v>
      </c>
      <c r="J38" s="109">
        <f t="shared" si="4"/>
        <v>16666.666666666668</v>
      </c>
      <c r="K38" s="109">
        <f t="shared" si="5"/>
        <v>8333.333333333343</v>
      </c>
      <c r="L38" s="109">
        <f t="shared" si="6"/>
        <v>1333.3333333333348</v>
      </c>
      <c r="M38" s="109">
        <f t="shared" si="15"/>
        <v>26333.333333333347</v>
      </c>
      <c r="N38" s="115">
        <f t="shared" si="16"/>
        <v>650000.00000000081</v>
      </c>
      <c r="O38" s="61">
        <v>0</v>
      </c>
      <c r="P38" s="117">
        <f t="shared" si="17"/>
        <v>1</v>
      </c>
      <c r="R38" s="118">
        <f t="shared" si="28"/>
        <v>756824.88239868195</v>
      </c>
      <c r="S38" s="119">
        <f t="shared" si="7"/>
        <v>9460.3110299835243</v>
      </c>
      <c r="T38" s="119">
        <f t="shared" si="8"/>
        <v>1513.649764797364</v>
      </c>
      <c r="U38" s="120">
        <f t="shared" si="19"/>
        <v>0</v>
      </c>
      <c r="V38" s="121">
        <f>IF(A38="","",IF(A38&lt;=Periodos_Gracia,0,PPMT(Tasa_Anual/360*Días*(1+I.V.A.),Tabla!AM38,No._De_Pagos_con_periodo_de_gracia,-Monto_Crédito)))</f>
        <v>14094.199037248025</v>
      </c>
      <c r="W38" s="111">
        <f>IF($U$258&lt;=0,V38,IF(SUM($U$18:U38)&lt;=0,V38,PMT($K$5/360*Días,A38,-R38)))</f>
        <v>14094.199037248025</v>
      </c>
      <c r="X38" s="122">
        <f>IF($U$258&lt;=0,W38,IF(SUM($U$18:U38)&lt;=0,V38,PMT($K$5/360*Días,No._De_Pagos_con_periodo_de_gracia,-Monto_Crédito)-S38-T38))</f>
        <v>14094.199037248025</v>
      </c>
      <c r="Y38" s="118">
        <f t="shared" si="20"/>
        <v>14094.199037248025</v>
      </c>
      <c r="Z38" s="62">
        <f>+IF(A38="","",IF(No._de_Pagos-Tabla!A38+1&lt;=0,"",No._de_Pagos-Tabla!A38+1))</f>
        <v>40</v>
      </c>
      <c r="AA38" s="123">
        <f t="shared" si="21"/>
        <v>25068.159832028912</v>
      </c>
      <c r="AB38" s="125">
        <f t="shared" si="27"/>
        <v>666666.66666666744</v>
      </c>
      <c r="AC38" s="125">
        <f t="shared" si="9"/>
        <v>8333.333333333343</v>
      </c>
      <c r="AD38" s="125">
        <f t="shared" si="10"/>
        <v>1333.3333333333348</v>
      </c>
      <c r="AE38" s="120">
        <f t="shared" si="22"/>
        <v>0</v>
      </c>
      <c r="AF38" s="121">
        <f t="shared" si="11"/>
        <v>16666.666666666668</v>
      </c>
      <c r="AG38" s="111">
        <f>IF($U$258&lt;=0,AF38,IF(SUM($U$18:U38)&lt;=0,AF38,PMT($K$5/360*Días,A38,-AA38)))</f>
        <v>16666.666666666668</v>
      </c>
      <c r="AH38" s="122">
        <f>IF(A38&lt;=Periodos_Gracia,0,IF($U$258&lt;=0,AG38,IF(SUM($U$18:U38)&lt;=0,AF38,PMT($K$5/360*Días,No._de_Pagos,-Monto_Crédito)-AC38-AD38)))</f>
        <v>16666.666666666668</v>
      </c>
      <c r="AI38" s="126">
        <f t="shared" si="23"/>
        <v>26333.333333333347</v>
      </c>
      <c r="AK38" s="127">
        <f>IF(A38="","",IF(Periodos_Gracia&gt;0,Tabla!AN38,V38+S38))</f>
        <v>23554.510067231549</v>
      </c>
      <c r="AL38" s="127">
        <f t="shared" si="12"/>
        <v>25000.000000000011</v>
      </c>
      <c r="AM38" s="62">
        <f t="shared" si="24"/>
        <v>21</v>
      </c>
      <c r="AN38" s="128">
        <f>IF(A38="","",IF(A38&lt;=Periodos_Gracia,Tabla!S38,PPMT(Tasa_Anual/360*Días*(1+I.V.A.),Tabla!AM38,No._De_Pagos_con_periodo_de_gracia,-Monto_Crédito)+S38))</f>
        <v>23554.510067231549</v>
      </c>
      <c r="AO38" s="128">
        <f>IF(A38="","",IF(A38&lt;=Periodos_Gracia,Tabla!AC38,Monto_Crédito/(No._De_Pagos_con_periodo_de_gracia)+AC38))</f>
        <v>25000.000000000011</v>
      </c>
      <c r="AP38" s="118"/>
    </row>
    <row r="39" spans="1:42">
      <c r="A39" s="108">
        <f>IF(A38&lt;Parámetros!$E$6,A38+1,"")</f>
        <v>22</v>
      </c>
      <c r="B39" s="109">
        <f t="shared" si="25"/>
        <v>742730.68336143391</v>
      </c>
      <c r="C39" s="109">
        <f t="shared" si="0"/>
        <v>14298.564923288121</v>
      </c>
      <c r="D39" s="109">
        <f t="shared" si="1"/>
        <v>9284.1335420179239</v>
      </c>
      <c r="E39" s="109">
        <f t="shared" si="2"/>
        <v>1485.4613667228678</v>
      </c>
      <c r="F39" s="109">
        <f t="shared" si="3"/>
        <v>25068.159832028912</v>
      </c>
      <c r="G39" s="115">
        <f t="shared" si="13"/>
        <v>728432.11843814584</v>
      </c>
      <c r="H39" s="116">
        <f t="shared" si="14"/>
        <v>1</v>
      </c>
      <c r="I39" s="109">
        <f t="shared" si="26"/>
        <v>650000.00000000081</v>
      </c>
      <c r="J39" s="109">
        <f t="shared" si="4"/>
        <v>16666.666666666668</v>
      </c>
      <c r="K39" s="109">
        <f t="shared" si="5"/>
        <v>8125.00000000001</v>
      </c>
      <c r="L39" s="109">
        <f t="shared" si="6"/>
        <v>1300.0000000000016</v>
      </c>
      <c r="M39" s="109">
        <f t="shared" si="15"/>
        <v>26091.666666666679</v>
      </c>
      <c r="N39" s="115">
        <f t="shared" si="16"/>
        <v>633333.33333333419</v>
      </c>
      <c r="O39" s="61">
        <v>0</v>
      </c>
      <c r="P39" s="117">
        <f t="shared" si="17"/>
        <v>1</v>
      </c>
      <c r="R39" s="118">
        <f t="shared" si="28"/>
        <v>742730.68336143391</v>
      </c>
      <c r="S39" s="119">
        <f t="shared" si="7"/>
        <v>9284.1335420179239</v>
      </c>
      <c r="T39" s="119">
        <f t="shared" si="8"/>
        <v>1485.4613667228678</v>
      </c>
      <c r="U39" s="120">
        <f t="shared" si="19"/>
        <v>0</v>
      </c>
      <c r="V39" s="121">
        <f>IF(A39="","",IF(A39&lt;=Periodos_Gracia,0,PPMT(Tasa_Anual/360*Días*(1+I.V.A.),Tabla!AM39,No._De_Pagos_con_periodo_de_gracia,-Monto_Crédito)))</f>
        <v>14298.564923288121</v>
      </c>
      <c r="W39" s="111">
        <f>IF($U$258&lt;=0,V39,IF(SUM($U$18:U39)&lt;=0,V39,PMT($K$5/360*Días,A39,-R39)))</f>
        <v>14298.564923288121</v>
      </c>
      <c r="X39" s="122">
        <f>IF($U$258&lt;=0,W39,IF(SUM($U$18:U39)&lt;=0,V39,PMT($K$5/360*Días,No._De_Pagos_con_periodo_de_gracia,-Monto_Crédito)-S39-T39))</f>
        <v>14298.564923288121</v>
      </c>
      <c r="Y39" s="118">
        <f t="shared" si="20"/>
        <v>14298.564923288121</v>
      </c>
      <c r="Z39" s="62">
        <f>+IF(A39="","",IF(No._de_Pagos-Tabla!A39+1&lt;=0,"",No._de_Pagos-Tabla!A39+1))</f>
        <v>39</v>
      </c>
      <c r="AA39" s="123">
        <f t="shared" si="21"/>
        <v>25068.159832028912</v>
      </c>
      <c r="AB39" s="125">
        <f t="shared" si="27"/>
        <v>650000.00000000081</v>
      </c>
      <c r="AC39" s="125">
        <f t="shared" si="9"/>
        <v>8125.0000000000091</v>
      </c>
      <c r="AD39" s="125">
        <f t="shared" si="10"/>
        <v>1300.0000000000016</v>
      </c>
      <c r="AE39" s="120">
        <f t="shared" si="22"/>
        <v>0</v>
      </c>
      <c r="AF39" s="121">
        <f t="shared" si="11"/>
        <v>16666.666666666668</v>
      </c>
      <c r="AG39" s="111">
        <f>IF($U$258&lt;=0,AF39,IF(SUM($U$18:U39)&lt;=0,AF39,PMT($K$5/360*Días,A39,-AA39)))</f>
        <v>16666.666666666668</v>
      </c>
      <c r="AH39" s="122">
        <f>IF(A39&lt;=Periodos_Gracia,0,IF($U$258&lt;=0,AG39,IF(SUM($U$18:U39)&lt;=0,AF39,PMT($K$5/360*Días,No._de_Pagos,-Monto_Crédito)-AC39-AD39)))</f>
        <v>16666.666666666668</v>
      </c>
      <c r="AI39" s="126">
        <f t="shared" si="23"/>
        <v>26091.666666666679</v>
      </c>
      <c r="AK39" s="127">
        <f>IF(A39="","",IF(Periodos_Gracia&gt;0,Tabla!AN39,V39+S39))</f>
        <v>23582.698465306043</v>
      </c>
      <c r="AL39" s="127">
        <f t="shared" si="12"/>
        <v>24791.666666666679</v>
      </c>
      <c r="AM39" s="62">
        <f t="shared" si="24"/>
        <v>22</v>
      </c>
      <c r="AN39" s="128">
        <f>IF(A39="","",IF(A39&lt;=Periodos_Gracia,Tabla!S39,PPMT(Tasa_Anual/360*Días*(1+I.V.A.),Tabla!AM39,No._De_Pagos_con_periodo_de_gracia,-Monto_Crédito)+S39))</f>
        <v>23582.698465306043</v>
      </c>
      <c r="AO39" s="128">
        <f>IF(A39="","",IF(A39&lt;=Periodos_Gracia,Tabla!AC39,Monto_Crédito/(No._De_Pagos_con_periodo_de_gracia)+AC39))</f>
        <v>24791.666666666679</v>
      </c>
      <c r="AP39" s="118"/>
    </row>
    <row r="40" spans="1:42">
      <c r="A40" s="108">
        <f>IF(A39&lt;Parámetros!$E$6,A39+1,"")</f>
        <v>23</v>
      </c>
      <c r="B40" s="109">
        <f t="shared" si="25"/>
        <v>728432.11843814584</v>
      </c>
      <c r="C40" s="109">
        <f t="shared" si="0"/>
        <v>14505.894114675801</v>
      </c>
      <c r="D40" s="109">
        <f t="shared" si="1"/>
        <v>9105.4014804768231</v>
      </c>
      <c r="E40" s="109">
        <f t="shared" si="2"/>
        <v>1456.8642368762917</v>
      </c>
      <c r="F40" s="109">
        <f t="shared" si="3"/>
        <v>25068.159832028916</v>
      </c>
      <c r="G40" s="115">
        <f t="shared" si="13"/>
        <v>713926.22432347003</v>
      </c>
      <c r="H40" s="116">
        <f t="shared" si="14"/>
        <v>1</v>
      </c>
      <c r="I40" s="109">
        <f t="shared" si="26"/>
        <v>633333.33333333419</v>
      </c>
      <c r="J40" s="109">
        <f t="shared" si="4"/>
        <v>16666.666666666668</v>
      </c>
      <c r="K40" s="109">
        <f t="shared" si="5"/>
        <v>7916.6666666666779</v>
      </c>
      <c r="L40" s="109">
        <f t="shared" si="6"/>
        <v>1266.6666666666686</v>
      </c>
      <c r="M40" s="109">
        <f t="shared" si="15"/>
        <v>25850.000000000015</v>
      </c>
      <c r="N40" s="115">
        <f t="shared" si="16"/>
        <v>616666.66666666756</v>
      </c>
      <c r="O40" s="61">
        <v>0</v>
      </c>
      <c r="P40" s="117">
        <f t="shared" si="17"/>
        <v>1</v>
      </c>
      <c r="R40" s="118">
        <f t="shared" si="28"/>
        <v>728432.11843814584</v>
      </c>
      <c r="S40" s="119">
        <f t="shared" si="7"/>
        <v>9105.4014804768231</v>
      </c>
      <c r="T40" s="119">
        <f t="shared" si="8"/>
        <v>1456.8642368762917</v>
      </c>
      <c r="U40" s="120">
        <f t="shared" si="19"/>
        <v>0</v>
      </c>
      <c r="V40" s="121">
        <f>IF(A40="","",IF(A40&lt;=Periodos_Gracia,0,PPMT(Tasa_Anual/360*Días*(1+I.V.A.),Tabla!AM40,No._De_Pagos_con_periodo_de_gracia,-Monto_Crédito)))</f>
        <v>14505.894114675801</v>
      </c>
      <c r="W40" s="111">
        <f>IF($U$258&lt;=0,V40,IF(SUM($U$18:U40)&lt;=0,V40,PMT($K$5/360*Días,A40,-R40)))</f>
        <v>14505.894114675801</v>
      </c>
      <c r="X40" s="122">
        <f>IF($U$258&lt;=0,W40,IF(SUM($U$18:U40)&lt;=0,V40,PMT($K$5/360*Días,No._De_Pagos_con_periodo_de_gracia,-Monto_Crédito)-S40-T40))</f>
        <v>14505.894114675801</v>
      </c>
      <c r="Y40" s="118">
        <f t="shared" si="20"/>
        <v>14505.894114675801</v>
      </c>
      <c r="Z40" s="62">
        <f>+IF(A40="","",IF(No._de_Pagos-Tabla!A40+1&lt;=0,"",No._de_Pagos-Tabla!A40+1))</f>
        <v>38</v>
      </c>
      <c r="AA40" s="123">
        <f t="shared" si="21"/>
        <v>25068.159832028916</v>
      </c>
      <c r="AB40" s="125">
        <f t="shared" si="27"/>
        <v>633333.33333333419</v>
      </c>
      <c r="AC40" s="125">
        <f t="shared" si="9"/>
        <v>7916.666666666677</v>
      </c>
      <c r="AD40" s="125">
        <f t="shared" si="10"/>
        <v>1266.6666666666683</v>
      </c>
      <c r="AE40" s="120">
        <f t="shared" si="22"/>
        <v>0</v>
      </c>
      <c r="AF40" s="121">
        <f t="shared" si="11"/>
        <v>16666.666666666668</v>
      </c>
      <c r="AG40" s="111">
        <f>IF($U$258&lt;=0,AF40,IF(SUM($U$18:U40)&lt;=0,AF40,PMT($K$5/360*Días,A40,-AA40)))</f>
        <v>16666.666666666668</v>
      </c>
      <c r="AH40" s="122">
        <f>IF(A40&lt;=Periodos_Gracia,0,IF($U$258&lt;=0,AG40,IF(SUM($U$18:U40)&lt;=0,AF40,PMT($K$5/360*Días,No._de_Pagos,-Monto_Crédito)-AC40-AD40)))</f>
        <v>16666.666666666668</v>
      </c>
      <c r="AI40" s="126">
        <f t="shared" si="23"/>
        <v>25850.000000000011</v>
      </c>
      <c r="AK40" s="127">
        <f>IF(A40="","",IF(Periodos_Gracia&gt;0,Tabla!AN40,V40+S40))</f>
        <v>23611.295595152624</v>
      </c>
      <c r="AL40" s="127">
        <f t="shared" si="12"/>
        <v>24583.333333333343</v>
      </c>
      <c r="AM40" s="62">
        <f t="shared" si="24"/>
        <v>23</v>
      </c>
      <c r="AN40" s="128">
        <f>IF(A40="","",IF(A40&lt;=Periodos_Gracia,Tabla!S40,PPMT(Tasa_Anual/360*Días*(1+I.V.A.),Tabla!AM40,No._De_Pagos_con_periodo_de_gracia,-Monto_Crédito)+S40))</f>
        <v>23611.295595152624</v>
      </c>
      <c r="AO40" s="128">
        <f>IF(A40="","",IF(A40&lt;=Periodos_Gracia,Tabla!AC40,Monto_Crédito/(No._De_Pagos_con_periodo_de_gracia)+AC40))</f>
        <v>24583.333333333343</v>
      </c>
      <c r="AP40" s="118"/>
    </row>
    <row r="41" spans="1:42">
      <c r="A41" s="108">
        <f>IF(A40&lt;Parámetros!$E$6,A40+1,"")</f>
        <v>24</v>
      </c>
      <c r="B41" s="109">
        <f t="shared" si="25"/>
        <v>713926.22432347003</v>
      </c>
      <c r="C41" s="109">
        <f t="shared" si="0"/>
        <v>14716.229579338598</v>
      </c>
      <c r="D41" s="109">
        <f t="shared" si="1"/>
        <v>8924.0778040433743</v>
      </c>
      <c r="E41" s="109">
        <f t="shared" si="2"/>
        <v>1427.8524486469398</v>
      </c>
      <c r="F41" s="109">
        <f t="shared" si="3"/>
        <v>25068.159832028912</v>
      </c>
      <c r="G41" s="115">
        <f t="shared" si="13"/>
        <v>699209.99474413146</v>
      </c>
      <c r="H41" s="116">
        <f t="shared" si="14"/>
        <v>1</v>
      </c>
      <c r="I41" s="109">
        <f t="shared" si="26"/>
        <v>616666.66666666756</v>
      </c>
      <c r="J41" s="109">
        <f t="shared" si="4"/>
        <v>16666.666666666668</v>
      </c>
      <c r="K41" s="109">
        <f t="shared" si="5"/>
        <v>7708.3333333333439</v>
      </c>
      <c r="L41" s="109">
        <f t="shared" si="6"/>
        <v>1233.3333333333351</v>
      </c>
      <c r="M41" s="109">
        <f t="shared" si="15"/>
        <v>25608.333333333347</v>
      </c>
      <c r="N41" s="115">
        <f t="shared" si="16"/>
        <v>600000.00000000093</v>
      </c>
      <c r="O41" s="61">
        <v>0</v>
      </c>
      <c r="P41" s="117">
        <f t="shared" si="17"/>
        <v>1</v>
      </c>
      <c r="R41" s="118">
        <f t="shared" si="28"/>
        <v>713926.22432347003</v>
      </c>
      <c r="S41" s="119">
        <f t="shared" si="7"/>
        <v>8924.0778040433761</v>
      </c>
      <c r="T41" s="119">
        <f t="shared" si="8"/>
        <v>1427.8524486469403</v>
      </c>
      <c r="U41" s="120">
        <f t="shared" si="19"/>
        <v>0</v>
      </c>
      <c r="V41" s="121">
        <f>IF(A41="","",IF(A41&lt;=Periodos_Gracia,0,PPMT(Tasa_Anual/360*Días*(1+I.V.A.),Tabla!AM41,No._De_Pagos_con_periodo_de_gracia,-Monto_Crédito)))</f>
        <v>14716.229579338598</v>
      </c>
      <c r="W41" s="111">
        <f>IF($U$258&lt;=0,V41,IF(SUM($U$18:U41)&lt;=0,V41,PMT($K$5/360*Días,A41,-R41)))</f>
        <v>14716.229579338598</v>
      </c>
      <c r="X41" s="122">
        <f>IF($U$258&lt;=0,W41,IF(SUM($U$18:U41)&lt;=0,V41,PMT($K$5/360*Días,No._De_Pagos_con_periodo_de_gracia,-Monto_Crédito)-S41-T41))</f>
        <v>14716.229579338598</v>
      </c>
      <c r="Y41" s="118">
        <f t="shared" si="20"/>
        <v>14716.229579338598</v>
      </c>
      <c r="Z41" s="62">
        <f>+IF(A41="","",IF(No._de_Pagos-Tabla!A41+1&lt;=0,"",No._de_Pagos-Tabla!A41+1))</f>
        <v>37</v>
      </c>
      <c r="AA41" s="123">
        <f t="shared" si="21"/>
        <v>25068.159832028912</v>
      </c>
      <c r="AB41" s="125">
        <f t="shared" si="27"/>
        <v>616666.66666666756</v>
      </c>
      <c r="AC41" s="125">
        <f t="shared" si="9"/>
        <v>7708.3333333333439</v>
      </c>
      <c r="AD41" s="125">
        <f t="shared" si="10"/>
        <v>1233.3333333333351</v>
      </c>
      <c r="AE41" s="120">
        <f t="shared" si="22"/>
        <v>0</v>
      </c>
      <c r="AF41" s="121">
        <f t="shared" si="11"/>
        <v>16666.666666666668</v>
      </c>
      <c r="AG41" s="111">
        <f>IF($U$258&lt;=0,AF41,IF(SUM($U$18:U41)&lt;=0,AF41,PMT($K$5/360*Días,A41,-AA41)))</f>
        <v>16666.666666666668</v>
      </c>
      <c r="AH41" s="122">
        <f>IF(A41&lt;=Periodos_Gracia,0,IF($U$258&lt;=0,AG41,IF(SUM($U$18:U41)&lt;=0,AF41,PMT($K$5/360*Días,No._de_Pagos,-Monto_Crédito)-AC41-AD41)))</f>
        <v>16666.666666666668</v>
      </c>
      <c r="AI41" s="126">
        <f t="shared" si="23"/>
        <v>25608.333333333347</v>
      </c>
      <c r="AK41" s="127">
        <f>IF(A41="","",IF(Periodos_Gracia&gt;0,Tabla!AN41,V41+S41))</f>
        <v>23640.307383381973</v>
      </c>
      <c r="AL41" s="127">
        <f t="shared" si="12"/>
        <v>24375.000000000011</v>
      </c>
      <c r="AM41" s="62">
        <f t="shared" si="24"/>
        <v>24</v>
      </c>
      <c r="AN41" s="128">
        <f>IF(A41="","",IF(A41&lt;=Periodos_Gracia,Tabla!S41,PPMT(Tasa_Anual/360*Días*(1+I.V.A.),Tabla!AM41,No._De_Pagos_con_periodo_de_gracia,-Monto_Crédito)+S41))</f>
        <v>23640.307383381973</v>
      </c>
      <c r="AO41" s="128">
        <f>IF(A41="","",IF(A41&lt;=Periodos_Gracia,Tabla!AC41,Monto_Crédito/(No._De_Pagos_con_periodo_de_gracia)+AC41))</f>
        <v>24375.000000000011</v>
      </c>
      <c r="AP41" s="118"/>
    </row>
    <row r="42" spans="1:42">
      <c r="A42" s="108">
        <f>IF(A41&lt;Parámetros!$E$6,A41+1,"")</f>
        <v>25</v>
      </c>
      <c r="B42" s="109">
        <f t="shared" si="25"/>
        <v>699209.99474413146</v>
      </c>
      <c r="C42" s="109">
        <f t="shared" si="0"/>
        <v>14929.614908239009</v>
      </c>
      <c r="D42" s="109">
        <f t="shared" si="1"/>
        <v>8740.1249343016425</v>
      </c>
      <c r="E42" s="109">
        <f t="shared" si="2"/>
        <v>1398.4199894882629</v>
      </c>
      <c r="F42" s="109">
        <f t="shared" si="3"/>
        <v>25068.159832028912</v>
      </c>
      <c r="G42" s="115">
        <f t="shared" si="13"/>
        <v>684280.37983589247</v>
      </c>
      <c r="H42" s="116">
        <f t="shared" si="14"/>
        <v>1</v>
      </c>
      <c r="I42" s="109">
        <f t="shared" si="26"/>
        <v>600000.00000000093</v>
      </c>
      <c r="J42" s="109">
        <f t="shared" si="4"/>
        <v>16666.666666666668</v>
      </c>
      <c r="K42" s="109">
        <f t="shared" si="5"/>
        <v>7500.0000000000109</v>
      </c>
      <c r="L42" s="109">
        <f t="shared" si="6"/>
        <v>1200.0000000000018</v>
      </c>
      <c r="M42" s="109">
        <f t="shared" si="15"/>
        <v>25366.666666666679</v>
      </c>
      <c r="N42" s="115">
        <f t="shared" si="16"/>
        <v>583333.3333333343</v>
      </c>
      <c r="O42" s="61">
        <v>0</v>
      </c>
      <c r="P42" s="117">
        <f t="shared" si="17"/>
        <v>1</v>
      </c>
      <c r="R42" s="118">
        <f t="shared" si="28"/>
        <v>699209.99474413146</v>
      </c>
      <c r="S42" s="119">
        <f t="shared" si="7"/>
        <v>8740.1249343016425</v>
      </c>
      <c r="T42" s="119">
        <f t="shared" si="8"/>
        <v>1398.4199894882629</v>
      </c>
      <c r="U42" s="120">
        <f t="shared" si="19"/>
        <v>0</v>
      </c>
      <c r="V42" s="121">
        <f>IF(A42="","",IF(A42&lt;=Periodos_Gracia,0,PPMT(Tasa_Anual/360*Días*(1+I.V.A.),Tabla!AM42,No._De_Pagos_con_periodo_de_gracia,-Monto_Crédito)))</f>
        <v>14929.614908239009</v>
      </c>
      <c r="W42" s="111">
        <f>IF($U$258&lt;=0,V42,IF(SUM($U$18:U42)&lt;=0,V42,PMT($K$5/360*Días,A42,-R42)))</f>
        <v>14929.614908239009</v>
      </c>
      <c r="X42" s="122">
        <f>IF($U$258&lt;=0,W42,IF(SUM($U$18:U42)&lt;=0,V42,PMT($K$5/360*Días,No._De_Pagos_con_periodo_de_gracia,-Monto_Crédito)-S42-T42))</f>
        <v>14929.614908239009</v>
      </c>
      <c r="Y42" s="118">
        <f t="shared" si="20"/>
        <v>14929.614908239009</v>
      </c>
      <c r="Z42" s="62">
        <f>+IF(A42="","",IF(No._de_Pagos-Tabla!A42+1&lt;=0,"",No._de_Pagos-Tabla!A42+1))</f>
        <v>36</v>
      </c>
      <c r="AA42" s="123">
        <f t="shared" si="21"/>
        <v>25068.159832028912</v>
      </c>
      <c r="AB42" s="125">
        <f t="shared" si="27"/>
        <v>600000.00000000093</v>
      </c>
      <c r="AC42" s="125">
        <f t="shared" si="9"/>
        <v>7500.0000000000109</v>
      </c>
      <c r="AD42" s="125">
        <f t="shared" si="10"/>
        <v>1200.0000000000018</v>
      </c>
      <c r="AE42" s="120">
        <f t="shared" si="22"/>
        <v>0</v>
      </c>
      <c r="AF42" s="121">
        <f t="shared" si="11"/>
        <v>16666.666666666668</v>
      </c>
      <c r="AG42" s="111">
        <f>IF($U$258&lt;=0,AF42,IF(SUM($U$18:U42)&lt;=0,AF42,PMT($K$5/360*Días,A42,-AA42)))</f>
        <v>16666.666666666668</v>
      </c>
      <c r="AH42" s="122">
        <f>IF(A42&lt;=Periodos_Gracia,0,IF($U$258&lt;=0,AG42,IF(SUM($U$18:U42)&lt;=0,AF42,PMT($K$5/360*Días,No._de_Pagos,-Monto_Crédito)-AC42-AD42)))</f>
        <v>16666.666666666668</v>
      </c>
      <c r="AI42" s="126">
        <f t="shared" si="23"/>
        <v>25366.666666666679</v>
      </c>
      <c r="AK42" s="127">
        <f>IF(A42="","",IF(Periodos_Gracia&gt;0,Tabla!AN42,V42+S42))</f>
        <v>23669.73984254065</v>
      </c>
      <c r="AL42" s="127">
        <f t="shared" si="12"/>
        <v>24166.666666666679</v>
      </c>
      <c r="AM42" s="62">
        <f t="shared" si="24"/>
        <v>25</v>
      </c>
      <c r="AN42" s="128">
        <f>IF(A42="","",IF(A42&lt;=Periodos_Gracia,Tabla!S42,PPMT(Tasa_Anual/360*Días*(1+I.V.A.),Tabla!AM42,No._De_Pagos_con_periodo_de_gracia,-Monto_Crédito)+S42))</f>
        <v>23669.73984254065</v>
      </c>
      <c r="AO42" s="128">
        <f>IF(A42="","",IF(A42&lt;=Periodos_Gracia,Tabla!AC42,Monto_Crédito/(No._De_Pagos_con_periodo_de_gracia)+AC42))</f>
        <v>24166.666666666679</v>
      </c>
      <c r="AP42" s="118"/>
    </row>
    <row r="43" spans="1:42">
      <c r="A43" s="108">
        <f>IF(A42&lt;Parámetros!$E$6,A42+1,"")</f>
        <v>26</v>
      </c>
      <c r="B43" s="109">
        <f t="shared" si="25"/>
        <v>684280.37983589247</v>
      </c>
      <c r="C43" s="109">
        <f t="shared" si="0"/>
        <v>15146.094324408476</v>
      </c>
      <c r="D43" s="109">
        <f t="shared" si="1"/>
        <v>8553.5047479486548</v>
      </c>
      <c r="E43" s="109">
        <f t="shared" si="2"/>
        <v>1368.5607596717848</v>
      </c>
      <c r="F43" s="109">
        <f t="shared" si="3"/>
        <v>25068.159832028916</v>
      </c>
      <c r="G43" s="115">
        <f t="shared" si="13"/>
        <v>669134.28551148402</v>
      </c>
      <c r="H43" s="116">
        <f t="shared" si="14"/>
        <v>1</v>
      </c>
      <c r="I43" s="109">
        <f t="shared" si="26"/>
        <v>583333.3333333343</v>
      </c>
      <c r="J43" s="109">
        <f t="shared" si="4"/>
        <v>16666.666666666668</v>
      </c>
      <c r="K43" s="109">
        <f t="shared" si="5"/>
        <v>7291.6666666666788</v>
      </c>
      <c r="L43" s="109">
        <f t="shared" si="6"/>
        <v>1166.6666666666686</v>
      </c>
      <c r="M43" s="109">
        <f t="shared" si="15"/>
        <v>25125.000000000015</v>
      </c>
      <c r="N43" s="115">
        <f t="shared" si="16"/>
        <v>566666.66666666768</v>
      </c>
      <c r="O43" s="61">
        <v>0</v>
      </c>
      <c r="P43" s="117">
        <f t="shared" si="17"/>
        <v>1</v>
      </c>
      <c r="R43" s="118">
        <f t="shared" si="28"/>
        <v>684280.37983589247</v>
      </c>
      <c r="S43" s="119">
        <f t="shared" si="7"/>
        <v>8553.5047479486566</v>
      </c>
      <c r="T43" s="119">
        <f t="shared" si="8"/>
        <v>1368.560759671785</v>
      </c>
      <c r="U43" s="120">
        <f t="shared" si="19"/>
        <v>0</v>
      </c>
      <c r="V43" s="121">
        <f>IF(A43="","",IF(A43&lt;=Periodos_Gracia,0,PPMT(Tasa_Anual/360*Días*(1+I.V.A.),Tabla!AM43,No._De_Pagos_con_periodo_de_gracia,-Monto_Crédito)))</f>
        <v>15146.094324408476</v>
      </c>
      <c r="W43" s="111">
        <f>IF($U$258&lt;=0,V43,IF(SUM($U$18:U43)&lt;=0,V43,PMT($K$5/360*Días,A43,-R43)))</f>
        <v>15146.094324408476</v>
      </c>
      <c r="X43" s="122">
        <f>IF($U$258&lt;=0,W43,IF(SUM($U$18:U43)&lt;=0,V43,PMT($K$5/360*Días,No._De_Pagos_con_periodo_de_gracia,-Monto_Crédito)-S43-T43))</f>
        <v>15146.094324408476</v>
      </c>
      <c r="Y43" s="118">
        <f t="shared" si="20"/>
        <v>15146.094324408476</v>
      </c>
      <c r="Z43" s="62">
        <f>+IF(A43="","",IF(No._de_Pagos-Tabla!A43+1&lt;=0,"",No._de_Pagos-Tabla!A43+1))</f>
        <v>35</v>
      </c>
      <c r="AA43" s="123">
        <f t="shared" si="21"/>
        <v>25068.159832028916</v>
      </c>
      <c r="AB43" s="125">
        <f t="shared" si="27"/>
        <v>583333.3333333343</v>
      </c>
      <c r="AC43" s="125">
        <f t="shared" si="9"/>
        <v>7291.6666666666779</v>
      </c>
      <c r="AD43" s="125">
        <f t="shared" si="10"/>
        <v>1166.6666666666686</v>
      </c>
      <c r="AE43" s="120">
        <f t="shared" si="22"/>
        <v>0</v>
      </c>
      <c r="AF43" s="121">
        <f t="shared" si="11"/>
        <v>16666.666666666668</v>
      </c>
      <c r="AG43" s="111">
        <f>IF($U$258&lt;=0,AF43,IF(SUM($U$18:U43)&lt;=0,AF43,PMT($K$5/360*Días,A43,-AA43)))</f>
        <v>16666.666666666668</v>
      </c>
      <c r="AH43" s="122">
        <f>IF(A43&lt;=Periodos_Gracia,0,IF($U$258&lt;=0,AG43,IF(SUM($U$18:U43)&lt;=0,AF43,PMT($K$5/360*Días,No._de_Pagos,-Monto_Crédito)-AC43-AD43)))</f>
        <v>16666.666666666668</v>
      </c>
      <c r="AI43" s="126">
        <f t="shared" si="23"/>
        <v>25125.000000000015</v>
      </c>
      <c r="AK43" s="127">
        <f>IF(A43="","",IF(Periodos_Gracia&gt;0,Tabla!AN43,V43+S43))</f>
        <v>23699.59907235713</v>
      </c>
      <c r="AL43" s="127">
        <f t="shared" si="12"/>
        <v>23958.333333333347</v>
      </c>
      <c r="AM43" s="62">
        <f t="shared" si="24"/>
        <v>26</v>
      </c>
      <c r="AN43" s="128">
        <f>IF(A43="","",IF(A43&lt;=Periodos_Gracia,Tabla!S43,PPMT(Tasa_Anual/360*Días*(1+I.V.A.),Tabla!AM43,No._De_Pagos_con_periodo_de_gracia,-Monto_Crédito)+S43))</f>
        <v>23699.59907235713</v>
      </c>
      <c r="AO43" s="128">
        <f>IF(A43="","",IF(A43&lt;=Periodos_Gracia,Tabla!AC43,Monto_Crédito/(No._De_Pagos_con_periodo_de_gracia)+AC43))</f>
        <v>23958.333333333347</v>
      </c>
      <c r="AP43" s="118"/>
    </row>
    <row r="44" spans="1:42">
      <c r="A44" s="108">
        <f>IF(A43&lt;Parámetros!$E$6,A43+1,"")</f>
        <v>27</v>
      </c>
      <c r="B44" s="109">
        <f t="shared" si="25"/>
        <v>669134.28551148402</v>
      </c>
      <c r="C44" s="109">
        <f t="shared" si="0"/>
        <v>15365.712692112396</v>
      </c>
      <c r="D44" s="109">
        <f t="shared" si="1"/>
        <v>8364.1785688935506</v>
      </c>
      <c r="E44" s="109">
        <f t="shared" si="2"/>
        <v>1338.2685710229682</v>
      </c>
      <c r="F44" s="109">
        <f t="shared" si="3"/>
        <v>25068.159832028916</v>
      </c>
      <c r="G44" s="115">
        <f t="shared" si="13"/>
        <v>653768.57281937159</v>
      </c>
      <c r="H44" s="116">
        <f t="shared" si="14"/>
        <v>1</v>
      </c>
      <c r="I44" s="109">
        <f t="shared" si="26"/>
        <v>566666.66666666768</v>
      </c>
      <c r="J44" s="109">
        <f t="shared" si="4"/>
        <v>16666.666666666668</v>
      </c>
      <c r="K44" s="109">
        <f t="shared" si="5"/>
        <v>7083.3333333333458</v>
      </c>
      <c r="L44" s="109">
        <f t="shared" si="6"/>
        <v>1133.3333333333353</v>
      </c>
      <c r="M44" s="109">
        <f t="shared" si="15"/>
        <v>24883.33333333335</v>
      </c>
      <c r="N44" s="115">
        <f t="shared" si="16"/>
        <v>550000.00000000105</v>
      </c>
      <c r="O44" s="61">
        <v>0</v>
      </c>
      <c r="P44" s="117">
        <f t="shared" si="17"/>
        <v>1</v>
      </c>
      <c r="R44" s="118">
        <f t="shared" si="28"/>
        <v>669134.28551148402</v>
      </c>
      <c r="S44" s="119">
        <f t="shared" si="7"/>
        <v>8364.1785688935506</v>
      </c>
      <c r="T44" s="119">
        <f t="shared" si="8"/>
        <v>1338.2685710229682</v>
      </c>
      <c r="U44" s="120">
        <f t="shared" si="19"/>
        <v>0</v>
      </c>
      <c r="V44" s="121">
        <f>IF(A44="","",IF(A44&lt;=Periodos_Gracia,0,PPMT(Tasa_Anual/360*Días*(1+I.V.A.),Tabla!AM44,No._De_Pagos_con_periodo_de_gracia,-Monto_Crédito)))</f>
        <v>15365.712692112396</v>
      </c>
      <c r="W44" s="111">
        <f>IF($U$258&lt;=0,V44,IF(SUM($U$18:U44)&lt;=0,V44,PMT($K$5/360*Días,A44,-R44)))</f>
        <v>15365.712692112396</v>
      </c>
      <c r="X44" s="122">
        <f>IF($U$258&lt;=0,W44,IF(SUM($U$18:U44)&lt;=0,V44,PMT($K$5/360*Días,No._De_Pagos_con_periodo_de_gracia,-Monto_Crédito)-S44-T44))</f>
        <v>15365.712692112396</v>
      </c>
      <c r="Y44" s="118">
        <f t="shared" si="20"/>
        <v>15365.712692112396</v>
      </c>
      <c r="Z44" s="62">
        <f>+IF(A44="","",IF(No._de_Pagos-Tabla!A44+1&lt;=0,"",No._de_Pagos-Tabla!A44+1))</f>
        <v>34</v>
      </c>
      <c r="AA44" s="123">
        <f t="shared" si="21"/>
        <v>25068.159832028916</v>
      </c>
      <c r="AB44" s="125">
        <f t="shared" si="27"/>
        <v>566666.66666666768</v>
      </c>
      <c r="AC44" s="125">
        <f t="shared" si="9"/>
        <v>7083.3333333333458</v>
      </c>
      <c r="AD44" s="125">
        <f t="shared" si="10"/>
        <v>1133.3333333333353</v>
      </c>
      <c r="AE44" s="120">
        <f t="shared" si="22"/>
        <v>0</v>
      </c>
      <c r="AF44" s="121">
        <f t="shared" si="11"/>
        <v>16666.666666666668</v>
      </c>
      <c r="AG44" s="111">
        <f>IF($U$258&lt;=0,AF44,IF(SUM($U$18:U44)&lt;=0,AF44,PMT($K$5/360*Días,A44,-AA44)))</f>
        <v>16666.666666666668</v>
      </c>
      <c r="AH44" s="122">
        <f>IF(A44&lt;=Periodos_Gracia,0,IF($U$258&lt;=0,AG44,IF(SUM($U$18:U44)&lt;=0,AF44,PMT($K$5/360*Días,No._de_Pagos,-Monto_Crédito)-AC44-AD44)))</f>
        <v>16666.666666666668</v>
      </c>
      <c r="AI44" s="126">
        <f t="shared" si="23"/>
        <v>24883.33333333335</v>
      </c>
      <c r="AK44" s="127">
        <f>IF(A44="","",IF(Periodos_Gracia&gt;0,Tabla!AN44,V44+S44))</f>
        <v>23729.891261005949</v>
      </c>
      <c r="AL44" s="127">
        <f t="shared" si="12"/>
        <v>23750.000000000015</v>
      </c>
      <c r="AM44" s="62">
        <f t="shared" si="24"/>
        <v>27</v>
      </c>
      <c r="AN44" s="128">
        <f>IF(A44="","",IF(A44&lt;=Periodos_Gracia,Tabla!S44,PPMT(Tasa_Anual/360*Días*(1+I.V.A.),Tabla!AM44,No._De_Pagos_con_periodo_de_gracia,-Monto_Crédito)+S44))</f>
        <v>23729.891261005949</v>
      </c>
      <c r="AO44" s="128">
        <f>IF(A44="","",IF(A44&lt;=Periodos_Gracia,Tabla!AC44,Monto_Crédito/(No._De_Pagos_con_periodo_de_gracia)+AC44))</f>
        <v>23750.000000000015</v>
      </c>
      <c r="AP44" s="118"/>
    </row>
    <row r="45" spans="1:42">
      <c r="A45" s="108">
        <f>IF(A44&lt;Parámetros!$E$6,A44+1,"")</f>
        <v>28</v>
      </c>
      <c r="B45" s="109">
        <f t="shared" si="25"/>
        <v>653768.57281937159</v>
      </c>
      <c r="C45" s="109">
        <f t="shared" si="0"/>
        <v>15588.515526148025</v>
      </c>
      <c r="D45" s="109">
        <f t="shared" si="1"/>
        <v>8172.1071602421443</v>
      </c>
      <c r="E45" s="109">
        <f t="shared" si="2"/>
        <v>1307.5371456387431</v>
      </c>
      <c r="F45" s="109">
        <f t="shared" si="3"/>
        <v>25068.159832028912</v>
      </c>
      <c r="G45" s="115">
        <f t="shared" si="13"/>
        <v>638180.05729322357</v>
      </c>
      <c r="H45" s="116">
        <f t="shared" si="14"/>
        <v>1</v>
      </c>
      <c r="I45" s="109">
        <f t="shared" si="26"/>
        <v>550000.00000000105</v>
      </c>
      <c r="J45" s="109">
        <f t="shared" si="4"/>
        <v>16666.666666666668</v>
      </c>
      <c r="K45" s="109">
        <f t="shared" si="5"/>
        <v>6875.0000000000136</v>
      </c>
      <c r="L45" s="109">
        <f t="shared" si="6"/>
        <v>1100.0000000000023</v>
      </c>
      <c r="M45" s="109">
        <f t="shared" si="15"/>
        <v>24641.666666666686</v>
      </c>
      <c r="N45" s="115">
        <f t="shared" si="16"/>
        <v>533333.33333333442</v>
      </c>
      <c r="O45" s="61">
        <v>0</v>
      </c>
      <c r="P45" s="117">
        <f t="shared" si="17"/>
        <v>1</v>
      </c>
      <c r="R45" s="118">
        <f t="shared" si="28"/>
        <v>653768.57281937159</v>
      </c>
      <c r="S45" s="119">
        <f t="shared" si="7"/>
        <v>8172.1071602421443</v>
      </c>
      <c r="T45" s="119">
        <f t="shared" si="8"/>
        <v>1307.5371456387431</v>
      </c>
      <c r="U45" s="120">
        <f t="shared" si="19"/>
        <v>0</v>
      </c>
      <c r="V45" s="121">
        <f>IF(A45="","",IF(A45&lt;=Periodos_Gracia,0,PPMT(Tasa_Anual/360*Días*(1+I.V.A.),Tabla!AM45,No._De_Pagos_con_periodo_de_gracia,-Monto_Crédito)))</f>
        <v>15588.515526148025</v>
      </c>
      <c r="W45" s="111">
        <f>IF($U$258&lt;=0,V45,IF(SUM($U$18:U45)&lt;=0,V45,PMT($K$5/360*Días,A45,-R45)))</f>
        <v>15588.515526148025</v>
      </c>
      <c r="X45" s="122">
        <f>IF($U$258&lt;=0,W45,IF(SUM($U$18:U45)&lt;=0,V45,PMT($K$5/360*Días,No._De_Pagos_con_periodo_de_gracia,-Monto_Crédito)-S45-T45))</f>
        <v>15588.515526148025</v>
      </c>
      <c r="Y45" s="118">
        <f t="shared" si="20"/>
        <v>15588.515526148025</v>
      </c>
      <c r="Z45" s="62">
        <f>+IF(A45="","",IF(No._de_Pagos-Tabla!A45+1&lt;=0,"",No._de_Pagos-Tabla!A45+1))</f>
        <v>33</v>
      </c>
      <c r="AA45" s="123">
        <f t="shared" si="21"/>
        <v>25068.159832028912</v>
      </c>
      <c r="AB45" s="125">
        <f t="shared" si="27"/>
        <v>550000.00000000105</v>
      </c>
      <c r="AC45" s="125">
        <f t="shared" si="9"/>
        <v>6875.0000000000127</v>
      </c>
      <c r="AD45" s="125">
        <f t="shared" si="10"/>
        <v>1100.000000000002</v>
      </c>
      <c r="AE45" s="120">
        <f t="shared" si="22"/>
        <v>0</v>
      </c>
      <c r="AF45" s="121">
        <f t="shared" si="11"/>
        <v>16666.666666666668</v>
      </c>
      <c r="AG45" s="111">
        <f>IF($U$258&lt;=0,AF45,IF(SUM($U$18:U45)&lt;=0,AF45,PMT($K$5/360*Días,A45,-AA45)))</f>
        <v>16666.666666666668</v>
      </c>
      <c r="AH45" s="122">
        <f>IF(A45&lt;=Periodos_Gracia,0,IF($U$258&lt;=0,AG45,IF(SUM($U$18:U45)&lt;=0,AF45,PMT($K$5/360*Días,No._de_Pagos,-Monto_Crédito)-AC45-AD45)))</f>
        <v>16666.666666666668</v>
      </c>
      <c r="AI45" s="126">
        <f t="shared" si="23"/>
        <v>24641.666666666682</v>
      </c>
      <c r="AK45" s="127">
        <f>IF(A45="","",IF(Periodos_Gracia&gt;0,Tabla!AN45,V45+S45))</f>
        <v>23760.622686390168</v>
      </c>
      <c r="AL45" s="127">
        <f t="shared" si="12"/>
        <v>23541.666666666679</v>
      </c>
      <c r="AM45" s="62">
        <f t="shared" si="24"/>
        <v>28</v>
      </c>
      <c r="AN45" s="128">
        <f>IF(A45="","",IF(A45&lt;=Periodos_Gracia,Tabla!S45,PPMT(Tasa_Anual/360*Días*(1+I.V.A.),Tabla!AM45,No._De_Pagos_con_periodo_de_gracia,-Monto_Crédito)+S45))</f>
        <v>23760.622686390168</v>
      </c>
      <c r="AO45" s="128">
        <f>IF(A45="","",IF(A45&lt;=Periodos_Gracia,Tabla!AC45,Monto_Crédito/(No._De_Pagos_con_periodo_de_gracia)+AC45))</f>
        <v>23541.666666666679</v>
      </c>
      <c r="AP45" s="118"/>
    </row>
    <row r="46" spans="1:42">
      <c r="A46" s="108">
        <f>IF(A45&lt;Parámetros!$E$6,A45+1,"")</f>
        <v>29</v>
      </c>
      <c r="B46" s="109">
        <f t="shared" si="25"/>
        <v>638180.05729322357</v>
      </c>
      <c r="C46" s="109">
        <f t="shared" si="0"/>
        <v>15814.549001277172</v>
      </c>
      <c r="D46" s="109">
        <f t="shared" si="1"/>
        <v>7977.2507161652939</v>
      </c>
      <c r="E46" s="109">
        <f t="shared" si="2"/>
        <v>1276.360114586447</v>
      </c>
      <c r="F46" s="109">
        <f t="shared" si="3"/>
        <v>25068.159832028916</v>
      </c>
      <c r="G46" s="115">
        <f t="shared" si="13"/>
        <v>622365.50829194637</v>
      </c>
      <c r="H46" s="116">
        <f t="shared" si="14"/>
        <v>1</v>
      </c>
      <c r="I46" s="109">
        <f t="shared" si="26"/>
        <v>533333.33333333442</v>
      </c>
      <c r="J46" s="109">
        <f t="shared" si="4"/>
        <v>16666.666666666668</v>
      </c>
      <c r="K46" s="109">
        <f t="shared" si="5"/>
        <v>6666.6666666666797</v>
      </c>
      <c r="L46" s="109">
        <f t="shared" si="6"/>
        <v>1066.6666666666688</v>
      </c>
      <c r="M46" s="109">
        <f t="shared" si="15"/>
        <v>24400.000000000015</v>
      </c>
      <c r="N46" s="115">
        <f t="shared" si="16"/>
        <v>516666.66666666773</v>
      </c>
      <c r="O46" s="61">
        <v>0</v>
      </c>
      <c r="P46" s="117">
        <f t="shared" si="17"/>
        <v>1</v>
      </c>
      <c r="R46" s="118">
        <f t="shared" si="28"/>
        <v>638180.05729322357</v>
      </c>
      <c r="S46" s="119">
        <f t="shared" si="7"/>
        <v>7977.2507161652939</v>
      </c>
      <c r="T46" s="119">
        <f t="shared" si="8"/>
        <v>1276.360114586447</v>
      </c>
      <c r="U46" s="120">
        <f t="shared" si="19"/>
        <v>0</v>
      </c>
      <c r="V46" s="121">
        <f>IF(A46="","",IF(A46&lt;=Periodos_Gracia,0,PPMT(Tasa_Anual/360*Días*(1+I.V.A.),Tabla!AM46,No._De_Pagos_con_periodo_de_gracia,-Monto_Crédito)))</f>
        <v>15814.549001277172</v>
      </c>
      <c r="W46" s="111">
        <f>IF($U$258&lt;=0,V46,IF(SUM($U$18:U46)&lt;=0,V46,PMT($K$5/360*Días,A46,-R46)))</f>
        <v>15814.549001277172</v>
      </c>
      <c r="X46" s="122">
        <f>IF($U$258&lt;=0,W46,IF(SUM($U$18:U46)&lt;=0,V46,PMT($K$5/360*Días,No._De_Pagos_con_periodo_de_gracia,-Monto_Crédito)-S46-T46))</f>
        <v>15814.549001277172</v>
      </c>
      <c r="Y46" s="118">
        <f t="shared" si="20"/>
        <v>15814.549001277172</v>
      </c>
      <c r="Z46" s="62">
        <f>+IF(A46="","",IF(No._de_Pagos-Tabla!A46+1&lt;=0,"",No._de_Pagos-Tabla!A46+1))</f>
        <v>32</v>
      </c>
      <c r="AA46" s="123">
        <f t="shared" si="21"/>
        <v>25068.159832028916</v>
      </c>
      <c r="AB46" s="125">
        <f t="shared" si="27"/>
        <v>533333.33333333442</v>
      </c>
      <c r="AC46" s="125">
        <f t="shared" si="9"/>
        <v>6666.6666666666797</v>
      </c>
      <c r="AD46" s="125">
        <f t="shared" si="10"/>
        <v>1066.6666666666688</v>
      </c>
      <c r="AE46" s="120">
        <f t="shared" si="22"/>
        <v>0</v>
      </c>
      <c r="AF46" s="121">
        <f t="shared" si="11"/>
        <v>16666.666666666668</v>
      </c>
      <c r="AG46" s="111">
        <f>IF($U$258&lt;=0,AF46,IF(SUM($U$18:U46)&lt;=0,AF46,PMT($K$5/360*Días,A46,-AA46)))</f>
        <v>16666.666666666668</v>
      </c>
      <c r="AH46" s="122">
        <f>IF(A46&lt;=Periodos_Gracia,0,IF($U$258&lt;=0,AG46,IF(SUM($U$18:U46)&lt;=0,AF46,PMT($K$5/360*Días,No._de_Pagos,-Monto_Crédito)-AC46-AD46)))</f>
        <v>16666.666666666668</v>
      </c>
      <c r="AI46" s="126">
        <f t="shared" si="23"/>
        <v>24400.000000000015</v>
      </c>
      <c r="AK46" s="127">
        <f>IF(A46="","",IF(Periodos_Gracia&gt;0,Tabla!AN46,V46+S46))</f>
        <v>23791.799717442467</v>
      </c>
      <c r="AL46" s="127">
        <f t="shared" si="12"/>
        <v>23333.333333333347</v>
      </c>
      <c r="AM46" s="62">
        <f t="shared" si="24"/>
        <v>29</v>
      </c>
      <c r="AN46" s="128">
        <f>IF(A46="","",IF(A46&lt;=Periodos_Gracia,Tabla!S46,PPMT(Tasa_Anual/360*Días*(1+I.V.A.),Tabla!AM46,No._De_Pagos_con_periodo_de_gracia,-Monto_Crédito)+S46))</f>
        <v>23791.799717442467</v>
      </c>
      <c r="AO46" s="128">
        <f>IF(A46="","",IF(A46&lt;=Periodos_Gracia,Tabla!AC46,Monto_Crédito/(No._De_Pagos_con_periodo_de_gracia)+AC46))</f>
        <v>23333.333333333347</v>
      </c>
      <c r="AP46" s="118"/>
    </row>
    <row r="47" spans="1:42">
      <c r="A47" s="108">
        <f>IF(A46&lt;Parámetros!$E$6,A46+1,"")</f>
        <v>30</v>
      </c>
      <c r="B47" s="109">
        <f t="shared" si="25"/>
        <v>622365.50829194637</v>
      </c>
      <c r="C47" s="109">
        <f t="shared" si="0"/>
        <v>16043.859961795692</v>
      </c>
      <c r="D47" s="109">
        <f t="shared" si="1"/>
        <v>7779.568853649329</v>
      </c>
      <c r="E47" s="109">
        <f t="shared" si="2"/>
        <v>1244.7310165838926</v>
      </c>
      <c r="F47" s="109">
        <f t="shared" si="3"/>
        <v>25068.159832028912</v>
      </c>
      <c r="G47" s="115">
        <f t="shared" si="13"/>
        <v>606321.64833015064</v>
      </c>
      <c r="H47" s="116">
        <f t="shared" si="14"/>
        <v>1</v>
      </c>
      <c r="I47" s="109">
        <f t="shared" si="26"/>
        <v>516666.66666666773</v>
      </c>
      <c r="J47" s="109">
        <f t="shared" si="4"/>
        <v>16666.666666666668</v>
      </c>
      <c r="K47" s="109">
        <f t="shared" si="5"/>
        <v>6458.3333333333467</v>
      </c>
      <c r="L47" s="109">
        <f t="shared" si="6"/>
        <v>1033.3333333333355</v>
      </c>
      <c r="M47" s="109">
        <f t="shared" si="15"/>
        <v>24158.33333333335</v>
      </c>
      <c r="N47" s="115">
        <f t="shared" si="16"/>
        <v>500000.00000000105</v>
      </c>
      <c r="O47" s="61">
        <v>0</v>
      </c>
      <c r="P47" s="117">
        <f t="shared" si="17"/>
        <v>1</v>
      </c>
      <c r="R47" s="118">
        <f t="shared" si="28"/>
        <v>622365.50829194637</v>
      </c>
      <c r="S47" s="119">
        <f t="shared" si="7"/>
        <v>7779.568853649329</v>
      </c>
      <c r="T47" s="119">
        <f t="shared" si="8"/>
        <v>1244.7310165838926</v>
      </c>
      <c r="U47" s="120">
        <f t="shared" si="19"/>
        <v>0</v>
      </c>
      <c r="V47" s="121">
        <f>IF(A47="","",IF(A47&lt;=Periodos_Gracia,0,PPMT(Tasa_Anual/360*Días*(1+I.V.A.),Tabla!AM47,No._De_Pagos_con_periodo_de_gracia,-Monto_Crédito)))</f>
        <v>16043.859961795692</v>
      </c>
      <c r="W47" s="111">
        <f>IF($U$258&lt;=0,V47,IF(SUM($U$18:U47)&lt;=0,V47,PMT($K$5/360*Días,A47,-R47)))</f>
        <v>16043.859961795692</v>
      </c>
      <c r="X47" s="122">
        <f>IF($U$258&lt;=0,W47,IF(SUM($U$18:U47)&lt;=0,V47,PMT($K$5/360*Días,No._De_Pagos_con_periodo_de_gracia,-Monto_Crédito)-S47-T47))</f>
        <v>16043.859961795692</v>
      </c>
      <c r="Y47" s="118">
        <f t="shared" si="20"/>
        <v>16043.859961795692</v>
      </c>
      <c r="Z47" s="62">
        <f>+IF(A47="","",IF(No._de_Pagos-Tabla!A47+1&lt;=0,"",No._de_Pagos-Tabla!A47+1))</f>
        <v>31</v>
      </c>
      <c r="AA47" s="123">
        <f t="shared" si="21"/>
        <v>25068.159832028912</v>
      </c>
      <c r="AB47" s="125">
        <f t="shared" si="27"/>
        <v>516666.66666666773</v>
      </c>
      <c r="AC47" s="125">
        <f t="shared" si="9"/>
        <v>6458.3333333333458</v>
      </c>
      <c r="AD47" s="125">
        <f t="shared" si="10"/>
        <v>1033.3333333333353</v>
      </c>
      <c r="AE47" s="120">
        <f t="shared" si="22"/>
        <v>0</v>
      </c>
      <c r="AF47" s="121">
        <f t="shared" si="11"/>
        <v>16666.666666666668</v>
      </c>
      <c r="AG47" s="111">
        <f>IF($U$258&lt;=0,AF47,IF(SUM($U$18:U47)&lt;=0,AF47,PMT($K$5/360*Días,A47,-AA47)))</f>
        <v>16666.666666666668</v>
      </c>
      <c r="AH47" s="122">
        <f>IF(A47&lt;=Periodos_Gracia,0,IF($U$258&lt;=0,AG47,IF(SUM($U$18:U47)&lt;=0,AF47,PMT($K$5/360*Días,No._de_Pagos,-Monto_Crédito)-AC47-AD47)))</f>
        <v>16666.666666666668</v>
      </c>
      <c r="AI47" s="126">
        <f t="shared" si="23"/>
        <v>24158.33333333335</v>
      </c>
      <c r="AK47" s="127">
        <f>IF(A47="","",IF(Periodos_Gracia&gt;0,Tabla!AN47,V47+S47))</f>
        <v>23823.428815445019</v>
      </c>
      <c r="AL47" s="127">
        <f t="shared" si="12"/>
        <v>23125.000000000015</v>
      </c>
      <c r="AM47" s="62">
        <f t="shared" si="24"/>
        <v>30</v>
      </c>
      <c r="AN47" s="128">
        <f>IF(A47="","",IF(A47&lt;=Periodos_Gracia,Tabla!S47,PPMT(Tasa_Anual/360*Días*(1+I.V.A.),Tabla!AM47,No._De_Pagos_con_periodo_de_gracia,-Monto_Crédito)+S47))</f>
        <v>23823.428815445019</v>
      </c>
      <c r="AO47" s="128">
        <f>IF(A47="","",IF(A47&lt;=Periodos_Gracia,Tabla!AC47,Monto_Crédito/(No._De_Pagos_con_periodo_de_gracia)+AC47))</f>
        <v>23125.000000000015</v>
      </c>
      <c r="AP47" s="118"/>
    </row>
    <row r="48" spans="1:42">
      <c r="A48" s="108">
        <f>IF(A47&lt;Parámetros!$E$6,A47+1,"")</f>
        <v>31</v>
      </c>
      <c r="B48" s="109">
        <f t="shared" si="25"/>
        <v>606321.64833015064</v>
      </c>
      <c r="C48" s="109">
        <f t="shared" si="0"/>
        <v>16276.495931241729</v>
      </c>
      <c r="D48" s="109">
        <f t="shared" si="1"/>
        <v>7579.020604126883</v>
      </c>
      <c r="E48" s="109">
        <f t="shared" si="2"/>
        <v>1212.6432966603013</v>
      </c>
      <c r="F48" s="109">
        <f t="shared" si="3"/>
        <v>25068.159832028912</v>
      </c>
      <c r="G48" s="115">
        <f t="shared" si="13"/>
        <v>590045.15239890886</v>
      </c>
      <c r="H48" s="116">
        <f t="shared" si="14"/>
        <v>1</v>
      </c>
      <c r="I48" s="109">
        <f t="shared" si="26"/>
        <v>500000.00000000105</v>
      </c>
      <c r="J48" s="109">
        <f t="shared" si="4"/>
        <v>16666.666666666668</v>
      </c>
      <c r="K48" s="109">
        <f t="shared" si="5"/>
        <v>6250.0000000000136</v>
      </c>
      <c r="L48" s="109">
        <f t="shared" si="6"/>
        <v>1000.0000000000022</v>
      </c>
      <c r="M48" s="109">
        <f t="shared" si="15"/>
        <v>23916.666666666686</v>
      </c>
      <c r="N48" s="115">
        <f t="shared" si="16"/>
        <v>483333.33333333436</v>
      </c>
      <c r="O48" s="61">
        <v>0</v>
      </c>
      <c r="P48" s="117">
        <f t="shared" si="17"/>
        <v>1</v>
      </c>
      <c r="R48" s="118">
        <f t="shared" si="28"/>
        <v>606321.64833015064</v>
      </c>
      <c r="S48" s="119">
        <f t="shared" si="7"/>
        <v>7579.020604126883</v>
      </c>
      <c r="T48" s="119">
        <f t="shared" si="8"/>
        <v>1212.6432966603013</v>
      </c>
      <c r="U48" s="120">
        <f t="shared" si="19"/>
        <v>0</v>
      </c>
      <c r="V48" s="121">
        <f>IF(A48="","",IF(A48&lt;=Periodos_Gracia,0,PPMT(Tasa_Anual/360*Días*(1+I.V.A.),Tabla!AM48,No._De_Pagos_con_periodo_de_gracia,-Monto_Crédito)))</f>
        <v>16276.495931241729</v>
      </c>
      <c r="W48" s="111">
        <f>IF($U$258&lt;=0,V48,IF(SUM($U$18:U48)&lt;=0,V48,PMT($K$5/360*Días,A48,-R48)))</f>
        <v>16276.495931241729</v>
      </c>
      <c r="X48" s="122">
        <f>IF($U$258&lt;=0,W48,IF(SUM($U$18:U48)&lt;=0,V48,PMT($K$5/360*Días,No._De_Pagos_con_periodo_de_gracia,-Monto_Crédito)-S48-T48))</f>
        <v>16276.495931241729</v>
      </c>
      <c r="Y48" s="118">
        <f t="shared" si="20"/>
        <v>16276.495931241729</v>
      </c>
      <c r="Z48" s="62">
        <f>+IF(A48="","",IF(No._de_Pagos-Tabla!A48+1&lt;=0,"",No._de_Pagos-Tabla!A48+1))</f>
        <v>30</v>
      </c>
      <c r="AA48" s="123">
        <f t="shared" si="21"/>
        <v>25068.159832028912</v>
      </c>
      <c r="AB48" s="125">
        <f t="shared" si="27"/>
        <v>500000.00000000105</v>
      </c>
      <c r="AC48" s="125">
        <f t="shared" si="9"/>
        <v>6250.0000000000127</v>
      </c>
      <c r="AD48" s="125">
        <f t="shared" si="10"/>
        <v>1000.000000000002</v>
      </c>
      <c r="AE48" s="120">
        <f t="shared" si="22"/>
        <v>0</v>
      </c>
      <c r="AF48" s="121">
        <f t="shared" si="11"/>
        <v>16666.666666666668</v>
      </c>
      <c r="AG48" s="111">
        <f>IF($U$258&lt;=0,AF48,IF(SUM($U$18:U48)&lt;=0,AF48,PMT($K$5/360*Días,A48,-AA48)))</f>
        <v>16666.666666666668</v>
      </c>
      <c r="AH48" s="122">
        <f>IF(A48&lt;=Periodos_Gracia,0,IF($U$258&lt;=0,AG48,IF(SUM($U$18:U48)&lt;=0,AF48,PMT($K$5/360*Días,No._de_Pagos,-Monto_Crédito)-AC48-AD48)))</f>
        <v>16666.666666666668</v>
      </c>
      <c r="AI48" s="126">
        <f t="shared" si="23"/>
        <v>23916.666666666682</v>
      </c>
      <c r="AK48" s="127">
        <f>IF(A48="","",IF(Periodos_Gracia&gt;0,Tabla!AN48,V48+S48))</f>
        <v>23855.51653536861</v>
      </c>
      <c r="AL48" s="127">
        <f t="shared" si="12"/>
        <v>22916.666666666679</v>
      </c>
      <c r="AM48" s="62">
        <f t="shared" si="24"/>
        <v>31</v>
      </c>
      <c r="AN48" s="128">
        <f>IF(A48="","",IF(A48&lt;=Periodos_Gracia,Tabla!S48,PPMT(Tasa_Anual/360*Días*(1+I.V.A.),Tabla!AM48,No._De_Pagos_con_periodo_de_gracia,-Monto_Crédito)+S48))</f>
        <v>23855.51653536861</v>
      </c>
      <c r="AO48" s="128">
        <f>IF(A48="","",IF(A48&lt;=Periodos_Gracia,Tabla!AC48,Monto_Crédito/(No._De_Pagos_con_periodo_de_gracia)+AC48))</f>
        <v>22916.666666666679</v>
      </c>
      <c r="AP48" s="118"/>
    </row>
    <row r="49" spans="1:42">
      <c r="A49" s="108">
        <f>IF(A48&lt;Parámetros!$E$6,A48+1,"")</f>
        <v>32</v>
      </c>
      <c r="B49" s="109">
        <f t="shared" si="25"/>
        <v>590045.15239890886</v>
      </c>
      <c r="C49" s="109">
        <f t="shared" si="0"/>
        <v>16512.505122244736</v>
      </c>
      <c r="D49" s="109">
        <f t="shared" si="1"/>
        <v>7375.5644049863613</v>
      </c>
      <c r="E49" s="109">
        <f t="shared" si="2"/>
        <v>1180.0903047978179</v>
      </c>
      <c r="F49" s="109">
        <f t="shared" si="3"/>
        <v>25068.159832028916</v>
      </c>
      <c r="G49" s="115">
        <f t="shared" si="13"/>
        <v>573532.64727666415</v>
      </c>
      <c r="H49" s="116">
        <f t="shared" si="14"/>
        <v>1</v>
      </c>
      <c r="I49" s="109">
        <f t="shared" si="26"/>
        <v>483333.33333333436</v>
      </c>
      <c r="J49" s="109">
        <f t="shared" si="4"/>
        <v>16666.666666666668</v>
      </c>
      <c r="K49" s="109">
        <f t="shared" si="5"/>
        <v>6041.6666666666788</v>
      </c>
      <c r="L49" s="109">
        <f t="shared" si="6"/>
        <v>966.66666666666868</v>
      </c>
      <c r="M49" s="109">
        <f t="shared" si="15"/>
        <v>23675.000000000015</v>
      </c>
      <c r="N49" s="115">
        <f t="shared" si="16"/>
        <v>466666.66666666768</v>
      </c>
      <c r="O49" s="61">
        <v>0</v>
      </c>
      <c r="P49" s="117">
        <f t="shared" si="17"/>
        <v>1</v>
      </c>
      <c r="R49" s="118">
        <f t="shared" si="28"/>
        <v>590045.15239890886</v>
      </c>
      <c r="S49" s="119">
        <f t="shared" si="7"/>
        <v>7375.5644049863613</v>
      </c>
      <c r="T49" s="119">
        <f t="shared" si="8"/>
        <v>1180.0903047978179</v>
      </c>
      <c r="U49" s="120">
        <f t="shared" si="19"/>
        <v>0</v>
      </c>
      <c r="V49" s="121">
        <f>IF(A49="","",IF(A49&lt;=Periodos_Gracia,0,PPMT(Tasa_Anual/360*Días*(1+I.V.A.),Tabla!AM49,No._De_Pagos_con_periodo_de_gracia,-Monto_Crédito)))</f>
        <v>16512.505122244736</v>
      </c>
      <c r="W49" s="111">
        <f>IF($U$258&lt;=0,V49,IF(SUM($U$18:U49)&lt;=0,V49,PMT($K$5/360*Días,A49,-R49)))</f>
        <v>16512.505122244736</v>
      </c>
      <c r="X49" s="122">
        <f>IF($U$258&lt;=0,W49,IF(SUM($U$18:U49)&lt;=0,V49,PMT($K$5/360*Días,No._De_Pagos_con_periodo_de_gracia,-Monto_Crédito)-S49-T49))</f>
        <v>16512.505122244736</v>
      </c>
      <c r="Y49" s="118">
        <f t="shared" si="20"/>
        <v>16512.505122244736</v>
      </c>
      <c r="Z49" s="62">
        <f>+IF(A49="","",IF(No._de_Pagos-Tabla!A49+1&lt;=0,"",No._de_Pagos-Tabla!A49+1))</f>
        <v>29</v>
      </c>
      <c r="AA49" s="123">
        <f t="shared" si="21"/>
        <v>25068.159832028916</v>
      </c>
      <c r="AB49" s="125">
        <f t="shared" si="27"/>
        <v>483333.33333333436</v>
      </c>
      <c r="AC49" s="125">
        <f t="shared" si="9"/>
        <v>6041.6666666666788</v>
      </c>
      <c r="AD49" s="125">
        <f t="shared" si="10"/>
        <v>966.66666666666868</v>
      </c>
      <c r="AE49" s="120">
        <f t="shared" si="22"/>
        <v>0</v>
      </c>
      <c r="AF49" s="121">
        <f t="shared" si="11"/>
        <v>16666.666666666668</v>
      </c>
      <c r="AG49" s="111">
        <f>IF($U$258&lt;=0,AF49,IF(SUM($U$18:U49)&lt;=0,AF49,PMT($K$5/360*Días,A49,-AA49)))</f>
        <v>16666.666666666668</v>
      </c>
      <c r="AH49" s="122">
        <f>IF(A49&lt;=Periodos_Gracia,0,IF($U$258&lt;=0,AG49,IF(SUM($U$18:U49)&lt;=0,AF49,PMT($K$5/360*Días,No._de_Pagos,-Monto_Crédito)-AC49-AD49)))</f>
        <v>16666.666666666668</v>
      </c>
      <c r="AI49" s="126">
        <f t="shared" si="23"/>
        <v>23675.000000000015</v>
      </c>
      <c r="AK49" s="127">
        <f>IF(A49="","",IF(Periodos_Gracia&gt;0,Tabla!AN49,V49+S49))</f>
        <v>23888.069527231099</v>
      </c>
      <c r="AL49" s="127">
        <f t="shared" si="12"/>
        <v>22708.333333333347</v>
      </c>
      <c r="AM49" s="62">
        <f t="shared" si="24"/>
        <v>32</v>
      </c>
      <c r="AN49" s="128">
        <f>IF(A49="","",IF(A49&lt;=Periodos_Gracia,Tabla!S49,PPMT(Tasa_Anual/360*Días*(1+I.V.A.),Tabla!AM49,No._De_Pagos_con_periodo_de_gracia,-Monto_Crédito)+S49))</f>
        <v>23888.069527231099</v>
      </c>
      <c r="AO49" s="128">
        <f>IF(A49="","",IF(A49&lt;=Periodos_Gracia,Tabla!AC49,Monto_Crédito/(No._De_Pagos_con_periodo_de_gracia)+AC49))</f>
        <v>22708.333333333347</v>
      </c>
      <c r="AP49" s="118"/>
    </row>
    <row r="50" spans="1:42">
      <c r="A50" s="108">
        <f>IF(A49&lt;Parámetros!$E$6,A49+1,"")</f>
        <v>33</v>
      </c>
      <c r="B50" s="109">
        <f t="shared" si="25"/>
        <v>573532.64727666415</v>
      </c>
      <c r="C50" s="109">
        <f t="shared" si="0"/>
        <v>16751.93644651728</v>
      </c>
      <c r="D50" s="109">
        <f t="shared" si="1"/>
        <v>7169.1580909583017</v>
      </c>
      <c r="E50" s="109">
        <f t="shared" si="2"/>
        <v>1147.0652945533284</v>
      </c>
      <c r="F50" s="109">
        <f t="shared" si="3"/>
        <v>25068.159832028912</v>
      </c>
      <c r="G50" s="115">
        <f t="shared" si="13"/>
        <v>556780.71083014691</v>
      </c>
      <c r="H50" s="116">
        <f t="shared" si="14"/>
        <v>1</v>
      </c>
      <c r="I50" s="109">
        <f t="shared" si="26"/>
        <v>466666.66666666768</v>
      </c>
      <c r="J50" s="109">
        <f t="shared" si="4"/>
        <v>16666.666666666668</v>
      </c>
      <c r="K50" s="109">
        <f t="shared" si="5"/>
        <v>5833.3333333333458</v>
      </c>
      <c r="L50" s="109">
        <f t="shared" si="6"/>
        <v>933.3333333333353</v>
      </c>
      <c r="M50" s="109">
        <f t="shared" si="15"/>
        <v>23433.33333333335</v>
      </c>
      <c r="N50" s="115">
        <f t="shared" si="16"/>
        <v>450000.00000000099</v>
      </c>
      <c r="O50" s="61">
        <v>0</v>
      </c>
      <c r="P50" s="117">
        <f t="shared" si="17"/>
        <v>1</v>
      </c>
      <c r="R50" s="118">
        <f t="shared" si="28"/>
        <v>573532.64727666415</v>
      </c>
      <c r="S50" s="119">
        <f t="shared" si="7"/>
        <v>7169.1580909583017</v>
      </c>
      <c r="T50" s="119">
        <f t="shared" si="8"/>
        <v>1147.0652945533284</v>
      </c>
      <c r="U50" s="120">
        <f t="shared" si="19"/>
        <v>0</v>
      </c>
      <c r="V50" s="121">
        <f>IF(A50="","",IF(A50&lt;=Periodos_Gracia,0,PPMT(Tasa_Anual/360*Días*(1+I.V.A.),Tabla!AM50,No._De_Pagos_con_periodo_de_gracia,-Monto_Crédito)))</f>
        <v>16751.93644651728</v>
      </c>
      <c r="W50" s="111">
        <f>IF($U$258&lt;=0,V50,IF(SUM($U$18:U50)&lt;=0,V50,PMT($K$5/360*Días,A50,-R50)))</f>
        <v>16751.93644651728</v>
      </c>
      <c r="X50" s="122">
        <f>IF($U$258&lt;=0,W50,IF(SUM($U$18:U50)&lt;=0,V50,PMT($K$5/360*Días,No._De_Pagos_con_periodo_de_gracia,-Monto_Crédito)-S50-T50))</f>
        <v>16751.93644651728</v>
      </c>
      <c r="Y50" s="118">
        <f t="shared" si="20"/>
        <v>16751.93644651728</v>
      </c>
      <c r="Z50" s="62">
        <f>+IF(A50="","",IF(No._de_Pagos-Tabla!A50+1&lt;=0,"",No._de_Pagos-Tabla!A50+1))</f>
        <v>28</v>
      </c>
      <c r="AA50" s="123">
        <f t="shared" si="21"/>
        <v>25068.159832028912</v>
      </c>
      <c r="AB50" s="125">
        <f t="shared" si="27"/>
        <v>466666.66666666768</v>
      </c>
      <c r="AC50" s="125">
        <f t="shared" si="9"/>
        <v>5833.3333333333458</v>
      </c>
      <c r="AD50" s="125">
        <f t="shared" si="10"/>
        <v>933.3333333333353</v>
      </c>
      <c r="AE50" s="120">
        <f t="shared" si="22"/>
        <v>0</v>
      </c>
      <c r="AF50" s="121">
        <f t="shared" si="11"/>
        <v>16666.666666666668</v>
      </c>
      <c r="AG50" s="111">
        <f>IF($U$258&lt;=0,AF50,IF(SUM($U$18:U50)&lt;=0,AF50,PMT($K$5/360*Días,A50,-AA50)))</f>
        <v>16666.666666666668</v>
      </c>
      <c r="AH50" s="122">
        <f>IF(A50&lt;=Periodos_Gracia,0,IF($U$258&lt;=0,AG50,IF(SUM($U$18:U50)&lt;=0,AF50,PMT($K$5/360*Días,No._de_Pagos,-Monto_Crédito)-AC50-AD50)))</f>
        <v>16666.666666666668</v>
      </c>
      <c r="AI50" s="126">
        <f t="shared" si="23"/>
        <v>23433.33333333335</v>
      </c>
      <c r="AK50" s="127">
        <f>IF(A50="","",IF(Periodos_Gracia&gt;0,Tabla!AN50,V50+S50))</f>
        <v>23921.094537475583</v>
      </c>
      <c r="AL50" s="127">
        <f t="shared" si="12"/>
        <v>22500.000000000015</v>
      </c>
      <c r="AM50" s="62">
        <f t="shared" si="24"/>
        <v>33</v>
      </c>
      <c r="AN50" s="128">
        <f>IF(A50="","",IF(A50&lt;=Periodos_Gracia,Tabla!S50,PPMT(Tasa_Anual/360*Días*(1+I.V.A.),Tabla!AM50,No._De_Pagos_con_periodo_de_gracia,-Monto_Crédito)+S50))</f>
        <v>23921.094537475583</v>
      </c>
      <c r="AO50" s="128">
        <f>IF(A50="","",IF(A50&lt;=Periodos_Gracia,Tabla!AC50,Monto_Crédito/(No._De_Pagos_con_periodo_de_gracia)+AC50))</f>
        <v>22500.000000000015</v>
      </c>
      <c r="AP50" s="118"/>
    </row>
    <row r="51" spans="1:42">
      <c r="A51" s="108">
        <f>IF(A50&lt;Parámetros!$E$6,A50+1,"")</f>
        <v>34</v>
      </c>
      <c r="B51" s="109">
        <f t="shared" si="25"/>
        <v>556780.71083014691</v>
      </c>
      <c r="C51" s="109">
        <f t="shared" si="0"/>
        <v>16994.839524991781</v>
      </c>
      <c r="D51" s="109">
        <f t="shared" si="1"/>
        <v>6959.7588853768357</v>
      </c>
      <c r="E51" s="109">
        <f t="shared" si="2"/>
        <v>1113.5614216602937</v>
      </c>
      <c r="F51" s="109">
        <f t="shared" si="3"/>
        <v>25068.159832028912</v>
      </c>
      <c r="G51" s="115">
        <f t="shared" si="13"/>
        <v>539785.8713051551</v>
      </c>
      <c r="H51" s="116">
        <f t="shared" si="14"/>
        <v>1</v>
      </c>
      <c r="I51" s="109">
        <f t="shared" si="26"/>
        <v>450000.00000000099</v>
      </c>
      <c r="J51" s="109">
        <f t="shared" si="4"/>
        <v>16666.666666666668</v>
      </c>
      <c r="K51" s="109">
        <f t="shared" si="5"/>
        <v>5625.0000000000118</v>
      </c>
      <c r="L51" s="109">
        <f t="shared" si="6"/>
        <v>900.00000000000193</v>
      </c>
      <c r="M51" s="109">
        <f t="shared" si="15"/>
        <v>23191.666666666682</v>
      </c>
      <c r="N51" s="115">
        <f t="shared" si="16"/>
        <v>433333.3333333343</v>
      </c>
      <c r="O51" s="61">
        <v>0</v>
      </c>
      <c r="P51" s="117">
        <f t="shared" si="17"/>
        <v>1</v>
      </c>
      <c r="R51" s="118">
        <f t="shared" si="28"/>
        <v>556780.71083014691</v>
      </c>
      <c r="S51" s="119">
        <f t="shared" si="7"/>
        <v>6959.7588853768357</v>
      </c>
      <c r="T51" s="119">
        <f t="shared" si="8"/>
        <v>1113.5614216602937</v>
      </c>
      <c r="U51" s="120">
        <f t="shared" si="19"/>
        <v>0</v>
      </c>
      <c r="V51" s="121">
        <f>IF(A51="","",IF(A51&lt;=Periodos_Gracia,0,PPMT(Tasa_Anual/360*Días*(1+I.V.A.),Tabla!AM51,No._De_Pagos_con_periodo_de_gracia,-Monto_Crédito)))</f>
        <v>16994.839524991781</v>
      </c>
      <c r="W51" s="111">
        <f>IF($U$258&lt;=0,V51,IF(SUM($U$18:U51)&lt;=0,V51,PMT($K$5/360*Días,A51,-R51)))</f>
        <v>16994.839524991781</v>
      </c>
      <c r="X51" s="122">
        <f>IF($U$258&lt;=0,W51,IF(SUM($U$18:U51)&lt;=0,V51,PMT($K$5/360*Días,No._De_Pagos_con_periodo_de_gracia,-Monto_Crédito)-S51-T51))</f>
        <v>16994.839524991781</v>
      </c>
      <c r="Y51" s="118">
        <f t="shared" si="20"/>
        <v>16994.839524991781</v>
      </c>
      <c r="Z51" s="62">
        <f>+IF(A51="","",IF(No._de_Pagos-Tabla!A51+1&lt;=0,"",No._de_Pagos-Tabla!A51+1))</f>
        <v>27</v>
      </c>
      <c r="AA51" s="123">
        <f t="shared" si="21"/>
        <v>25068.159832028912</v>
      </c>
      <c r="AB51" s="125">
        <f t="shared" si="27"/>
        <v>450000.00000000099</v>
      </c>
      <c r="AC51" s="125">
        <f t="shared" si="9"/>
        <v>5625.0000000000118</v>
      </c>
      <c r="AD51" s="125">
        <f t="shared" si="10"/>
        <v>900.00000000000193</v>
      </c>
      <c r="AE51" s="120">
        <f t="shared" si="22"/>
        <v>0</v>
      </c>
      <c r="AF51" s="121">
        <f t="shared" si="11"/>
        <v>16666.666666666668</v>
      </c>
      <c r="AG51" s="111">
        <f>IF($U$258&lt;=0,AF51,IF(SUM($U$18:U51)&lt;=0,AF51,PMT($K$5/360*Días,A51,-AA51)))</f>
        <v>16666.666666666668</v>
      </c>
      <c r="AH51" s="122">
        <f>IF(A51&lt;=Periodos_Gracia,0,IF($U$258&lt;=0,AG51,IF(SUM($U$18:U51)&lt;=0,AF51,PMT($K$5/360*Días,No._de_Pagos,-Monto_Crédito)-AC51-AD51)))</f>
        <v>16666.666666666668</v>
      </c>
      <c r="AI51" s="126">
        <f t="shared" si="23"/>
        <v>23191.666666666682</v>
      </c>
      <c r="AK51" s="127">
        <f>IF(A51="","",IF(Periodos_Gracia&gt;0,Tabla!AN51,V51+S51))</f>
        <v>23954.598410368617</v>
      </c>
      <c r="AL51" s="127">
        <f t="shared" si="12"/>
        <v>22291.666666666679</v>
      </c>
      <c r="AM51" s="62">
        <f t="shared" si="24"/>
        <v>34</v>
      </c>
      <c r="AN51" s="128">
        <f>IF(A51="","",IF(A51&lt;=Periodos_Gracia,Tabla!S51,PPMT(Tasa_Anual/360*Días*(1+I.V.A.),Tabla!AM51,No._De_Pagos_con_periodo_de_gracia,-Monto_Crédito)+S51))</f>
        <v>23954.598410368617</v>
      </c>
      <c r="AO51" s="128">
        <f>IF(A51="","",IF(A51&lt;=Periodos_Gracia,Tabla!AC51,Monto_Crédito/(No._De_Pagos_con_periodo_de_gracia)+AC51))</f>
        <v>22291.666666666679</v>
      </c>
      <c r="AP51" s="118"/>
    </row>
    <row r="52" spans="1:42">
      <c r="A52" s="108">
        <f>IF(A51&lt;Parámetros!$E$6,A51+1,"")</f>
        <v>35</v>
      </c>
      <c r="B52" s="109">
        <f t="shared" si="25"/>
        <v>539785.8713051551</v>
      </c>
      <c r="C52" s="109">
        <f t="shared" si="0"/>
        <v>17241.264698104162</v>
      </c>
      <c r="D52" s="109">
        <f t="shared" si="1"/>
        <v>6747.3233913144386</v>
      </c>
      <c r="E52" s="109">
        <f t="shared" si="2"/>
        <v>1079.5717426103101</v>
      </c>
      <c r="F52" s="109">
        <f t="shared" si="3"/>
        <v>25068.159832028912</v>
      </c>
      <c r="G52" s="115">
        <f t="shared" si="13"/>
        <v>522544.60660705093</v>
      </c>
      <c r="H52" s="116">
        <f t="shared" si="14"/>
        <v>1</v>
      </c>
      <c r="I52" s="109">
        <f t="shared" si="26"/>
        <v>433333.3333333343</v>
      </c>
      <c r="J52" s="109">
        <f t="shared" si="4"/>
        <v>16666.666666666668</v>
      </c>
      <c r="K52" s="109">
        <f t="shared" si="5"/>
        <v>5416.6666666666788</v>
      </c>
      <c r="L52" s="109">
        <f t="shared" si="6"/>
        <v>866.66666666666868</v>
      </c>
      <c r="M52" s="109">
        <f t="shared" si="15"/>
        <v>22950.000000000015</v>
      </c>
      <c r="N52" s="115">
        <f t="shared" si="16"/>
        <v>416666.66666666762</v>
      </c>
      <c r="O52" s="61">
        <v>0</v>
      </c>
      <c r="P52" s="117">
        <f t="shared" si="17"/>
        <v>1</v>
      </c>
      <c r="R52" s="118">
        <f t="shared" si="28"/>
        <v>539785.8713051551</v>
      </c>
      <c r="S52" s="119">
        <f t="shared" si="7"/>
        <v>6747.3233913144386</v>
      </c>
      <c r="T52" s="119">
        <f t="shared" si="8"/>
        <v>1079.5717426103101</v>
      </c>
      <c r="U52" s="120">
        <f t="shared" si="19"/>
        <v>0</v>
      </c>
      <c r="V52" s="121">
        <f>IF(A52="","",IF(A52&lt;=Periodos_Gracia,0,PPMT(Tasa_Anual/360*Días*(1+I.V.A.),Tabla!AM52,No._De_Pagos_con_periodo_de_gracia,-Monto_Crédito)))</f>
        <v>17241.264698104162</v>
      </c>
      <c r="W52" s="111">
        <f>IF($U$258&lt;=0,V52,IF(SUM($U$18:U52)&lt;=0,V52,PMT($K$5/360*Días,A52,-R52)))</f>
        <v>17241.264698104162</v>
      </c>
      <c r="X52" s="122">
        <f>IF($U$258&lt;=0,W52,IF(SUM($U$18:U52)&lt;=0,V52,PMT($K$5/360*Días,No._De_Pagos_con_periodo_de_gracia,-Monto_Crédito)-S52-T52))</f>
        <v>17241.264698104162</v>
      </c>
      <c r="Y52" s="118">
        <f t="shared" si="20"/>
        <v>17241.264698104162</v>
      </c>
      <c r="Z52" s="62">
        <f>+IF(A52="","",IF(No._de_Pagos-Tabla!A52+1&lt;=0,"",No._de_Pagos-Tabla!A52+1))</f>
        <v>26</v>
      </c>
      <c r="AA52" s="123">
        <f t="shared" si="21"/>
        <v>25068.159832028912</v>
      </c>
      <c r="AB52" s="125">
        <f t="shared" si="27"/>
        <v>433333.3333333343</v>
      </c>
      <c r="AC52" s="125">
        <f t="shared" si="9"/>
        <v>5416.6666666666788</v>
      </c>
      <c r="AD52" s="125">
        <f t="shared" si="10"/>
        <v>866.66666666666868</v>
      </c>
      <c r="AE52" s="120">
        <f t="shared" si="22"/>
        <v>0</v>
      </c>
      <c r="AF52" s="121">
        <f t="shared" si="11"/>
        <v>16666.666666666668</v>
      </c>
      <c r="AG52" s="111">
        <f>IF($U$258&lt;=0,AF52,IF(SUM($U$18:U52)&lt;=0,AF52,PMT($K$5/360*Días,A52,-AA52)))</f>
        <v>16666.666666666668</v>
      </c>
      <c r="AH52" s="122">
        <f>IF(A52&lt;=Periodos_Gracia,0,IF($U$258&lt;=0,AG52,IF(SUM($U$18:U52)&lt;=0,AF52,PMT($K$5/360*Días,No._de_Pagos,-Monto_Crédito)-AC52-AD52)))</f>
        <v>16666.666666666668</v>
      </c>
      <c r="AI52" s="126">
        <f t="shared" si="23"/>
        <v>22950.000000000015</v>
      </c>
      <c r="AK52" s="127">
        <f>IF(A52="","",IF(Periodos_Gracia&gt;0,Tabla!AN52,V52+S52))</f>
        <v>23988.588089418601</v>
      </c>
      <c r="AL52" s="127">
        <f t="shared" si="12"/>
        <v>22083.333333333347</v>
      </c>
      <c r="AM52" s="62">
        <f t="shared" si="24"/>
        <v>35</v>
      </c>
      <c r="AN52" s="128">
        <f>IF(A52="","",IF(A52&lt;=Periodos_Gracia,Tabla!S52,PPMT(Tasa_Anual/360*Días*(1+I.V.A.),Tabla!AM52,No._De_Pagos_con_periodo_de_gracia,-Monto_Crédito)+S52))</f>
        <v>23988.588089418601</v>
      </c>
      <c r="AO52" s="128">
        <f>IF(A52="","",IF(A52&lt;=Periodos_Gracia,Tabla!AC52,Monto_Crédito/(No._De_Pagos_con_periodo_de_gracia)+AC52))</f>
        <v>22083.333333333347</v>
      </c>
      <c r="AP52" s="118"/>
    </row>
    <row r="53" spans="1:42">
      <c r="A53" s="108">
        <f>IF(A52&lt;Parámetros!$E$6,A52+1,"")</f>
        <v>36</v>
      </c>
      <c r="B53" s="109">
        <f t="shared" si="25"/>
        <v>522544.60660705093</v>
      </c>
      <c r="C53" s="109">
        <f t="shared" si="0"/>
        <v>17491.263036226675</v>
      </c>
      <c r="D53" s="109">
        <f t="shared" si="1"/>
        <v>6531.807582588136</v>
      </c>
      <c r="E53" s="109">
        <f t="shared" si="2"/>
        <v>1045.0892132141018</v>
      </c>
      <c r="F53" s="109">
        <f t="shared" si="3"/>
        <v>25068.159832028912</v>
      </c>
      <c r="G53" s="115">
        <f t="shared" si="13"/>
        <v>505053.34357082425</v>
      </c>
      <c r="H53" s="116">
        <f t="shared" si="14"/>
        <v>1</v>
      </c>
      <c r="I53" s="109">
        <f t="shared" si="26"/>
        <v>416666.66666666762</v>
      </c>
      <c r="J53" s="109">
        <f t="shared" si="4"/>
        <v>16666.666666666668</v>
      </c>
      <c r="K53" s="109">
        <f t="shared" si="5"/>
        <v>5208.3333333333449</v>
      </c>
      <c r="L53" s="109">
        <f t="shared" si="6"/>
        <v>833.33333333333519</v>
      </c>
      <c r="M53" s="109">
        <f t="shared" si="15"/>
        <v>22708.33333333335</v>
      </c>
      <c r="N53" s="115">
        <f t="shared" si="16"/>
        <v>400000.00000000093</v>
      </c>
      <c r="O53" s="61">
        <v>0</v>
      </c>
      <c r="P53" s="117">
        <f t="shared" si="17"/>
        <v>1</v>
      </c>
      <c r="R53" s="118">
        <f t="shared" si="28"/>
        <v>522544.60660705093</v>
      </c>
      <c r="S53" s="119">
        <f t="shared" si="7"/>
        <v>6531.807582588136</v>
      </c>
      <c r="T53" s="119">
        <f t="shared" si="8"/>
        <v>1045.0892132141018</v>
      </c>
      <c r="U53" s="120">
        <f t="shared" si="19"/>
        <v>0</v>
      </c>
      <c r="V53" s="121">
        <f>IF(A53="","",IF(A53&lt;=Periodos_Gracia,0,PPMT(Tasa_Anual/360*Días*(1+I.V.A.),Tabla!AM53,No._De_Pagos_con_periodo_de_gracia,-Monto_Crédito)))</f>
        <v>17491.263036226675</v>
      </c>
      <c r="W53" s="111">
        <f>IF($U$258&lt;=0,V53,IF(SUM($U$18:U53)&lt;=0,V53,PMT($K$5/360*Días,A53,-R53)))</f>
        <v>17491.263036226675</v>
      </c>
      <c r="X53" s="122">
        <f>IF($U$258&lt;=0,W53,IF(SUM($U$18:U53)&lt;=0,V53,PMT($K$5/360*Días,No._De_Pagos_con_periodo_de_gracia,-Monto_Crédito)-S53-T53))</f>
        <v>17491.263036226675</v>
      </c>
      <c r="Y53" s="118">
        <f t="shared" si="20"/>
        <v>17491.263036226675</v>
      </c>
      <c r="Z53" s="62">
        <f>+IF(A53="","",IF(No._de_Pagos-Tabla!A53+1&lt;=0,"",No._de_Pagos-Tabla!A53+1))</f>
        <v>25</v>
      </c>
      <c r="AA53" s="123">
        <f t="shared" si="21"/>
        <v>25068.159832028912</v>
      </c>
      <c r="AB53" s="125">
        <f t="shared" si="27"/>
        <v>416666.66666666762</v>
      </c>
      <c r="AC53" s="125">
        <f t="shared" si="9"/>
        <v>5208.3333333333449</v>
      </c>
      <c r="AD53" s="125">
        <f t="shared" si="10"/>
        <v>833.33333333333519</v>
      </c>
      <c r="AE53" s="120">
        <f t="shared" si="22"/>
        <v>0</v>
      </c>
      <c r="AF53" s="121">
        <f t="shared" si="11"/>
        <v>16666.666666666668</v>
      </c>
      <c r="AG53" s="111">
        <f>IF($U$258&lt;=0,AF53,IF(SUM($U$18:U53)&lt;=0,AF53,PMT($K$5/360*Días,A53,-AA53)))</f>
        <v>16666.666666666668</v>
      </c>
      <c r="AH53" s="122">
        <f>IF(A53&lt;=Periodos_Gracia,0,IF($U$258&lt;=0,AG53,IF(SUM($U$18:U53)&lt;=0,AF53,PMT($K$5/360*Días,No._de_Pagos,-Monto_Crédito)-AC53-AD53)))</f>
        <v>16666.666666666668</v>
      </c>
      <c r="AI53" s="126">
        <f t="shared" si="23"/>
        <v>22708.33333333335</v>
      </c>
      <c r="AK53" s="127">
        <f>IF(A53="","",IF(Periodos_Gracia&gt;0,Tabla!AN53,V53+S53))</f>
        <v>24023.070618814811</v>
      </c>
      <c r="AL53" s="127">
        <f t="shared" si="12"/>
        <v>21875.000000000015</v>
      </c>
      <c r="AM53" s="62">
        <f t="shared" si="24"/>
        <v>36</v>
      </c>
      <c r="AN53" s="128">
        <f>IF(A53="","",IF(A53&lt;=Periodos_Gracia,Tabla!S53,PPMT(Tasa_Anual/360*Días*(1+I.V.A.),Tabla!AM53,No._De_Pagos_con_periodo_de_gracia,-Monto_Crédito)+S53))</f>
        <v>24023.070618814811</v>
      </c>
      <c r="AO53" s="128">
        <f>IF(A53="","",IF(A53&lt;=Periodos_Gracia,Tabla!AC53,Monto_Crédito/(No._De_Pagos_con_periodo_de_gracia)+AC53))</f>
        <v>21875.000000000015</v>
      </c>
      <c r="AP53" s="118"/>
    </row>
    <row r="54" spans="1:42">
      <c r="A54" s="108">
        <f>IF(A53&lt;Parámetros!$E$6,A53+1,"")</f>
        <v>37</v>
      </c>
      <c r="B54" s="109">
        <f t="shared" si="25"/>
        <v>505053.34357082425</v>
      </c>
      <c r="C54" s="109">
        <f t="shared" si="0"/>
        <v>17744.886350251963</v>
      </c>
      <c r="D54" s="109">
        <f t="shared" si="1"/>
        <v>6313.1667946353036</v>
      </c>
      <c r="E54" s="109">
        <f t="shared" si="2"/>
        <v>1010.1066871416486</v>
      </c>
      <c r="F54" s="109">
        <f t="shared" si="3"/>
        <v>25068.159832028916</v>
      </c>
      <c r="G54" s="115">
        <f t="shared" si="13"/>
        <v>487308.45722057228</v>
      </c>
      <c r="H54" s="116">
        <f t="shared" si="14"/>
        <v>1</v>
      </c>
      <c r="I54" s="109">
        <f t="shared" si="26"/>
        <v>400000.00000000093</v>
      </c>
      <c r="J54" s="109">
        <f t="shared" si="4"/>
        <v>16666.666666666668</v>
      </c>
      <c r="K54" s="109">
        <f t="shared" si="5"/>
        <v>5000.0000000000118</v>
      </c>
      <c r="L54" s="109">
        <f t="shared" si="6"/>
        <v>800.00000000000193</v>
      </c>
      <c r="M54" s="109">
        <f t="shared" si="15"/>
        <v>22466.666666666682</v>
      </c>
      <c r="N54" s="115">
        <f t="shared" si="16"/>
        <v>383333.33333333425</v>
      </c>
      <c r="O54" s="61">
        <v>0</v>
      </c>
      <c r="P54" s="117">
        <f t="shared" si="17"/>
        <v>1</v>
      </c>
      <c r="R54" s="118">
        <f t="shared" si="28"/>
        <v>505053.34357082425</v>
      </c>
      <c r="S54" s="119">
        <f t="shared" si="7"/>
        <v>6313.1667946353036</v>
      </c>
      <c r="T54" s="119">
        <f t="shared" si="8"/>
        <v>1010.1066871416486</v>
      </c>
      <c r="U54" s="120">
        <f t="shared" si="19"/>
        <v>0</v>
      </c>
      <c r="V54" s="121">
        <f>IF(A54="","",IF(A54&lt;=Periodos_Gracia,0,PPMT(Tasa_Anual/360*Días*(1+I.V.A.),Tabla!AM54,No._De_Pagos_con_periodo_de_gracia,-Monto_Crédito)))</f>
        <v>17744.886350251963</v>
      </c>
      <c r="W54" s="111">
        <f>IF($U$258&lt;=0,V54,IF(SUM($U$18:U54)&lt;=0,V54,PMT($K$5/360*Días,A54,-R54)))</f>
        <v>17744.886350251963</v>
      </c>
      <c r="X54" s="122">
        <f>IF($U$258&lt;=0,W54,IF(SUM($U$18:U54)&lt;=0,V54,PMT($K$5/360*Días,No._De_Pagos_con_periodo_de_gracia,-Monto_Crédito)-S54-T54))</f>
        <v>17744.886350251963</v>
      </c>
      <c r="Y54" s="118">
        <f t="shared" si="20"/>
        <v>17744.886350251963</v>
      </c>
      <c r="Z54" s="62">
        <f>+IF(A54="","",IF(No._de_Pagos-Tabla!A54+1&lt;=0,"",No._de_Pagos-Tabla!A54+1))</f>
        <v>24</v>
      </c>
      <c r="AA54" s="123">
        <f t="shared" si="21"/>
        <v>25068.159832028916</v>
      </c>
      <c r="AB54" s="125">
        <f t="shared" si="27"/>
        <v>400000.00000000093</v>
      </c>
      <c r="AC54" s="125">
        <f t="shared" si="9"/>
        <v>5000.0000000000109</v>
      </c>
      <c r="AD54" s="125">
        <f t="shared" si="10"/>
        <v>800.00000000000182</v>
      </c>
      <c r="AE54" s="120">
        <f t="shared" si="22"/>
        <v>0</v>
      </c>
      <c r="AF54" s="121">
        <f t="shared" si="11"/>
        <v>16666.666666666668</v>
      </c>
      <c r="AG54" s="111">
        <f>IF($U$258&lt;=0,AF54,IF(SUM($U$18:U54)&lt;=0,AF54,PMT($K$5/360*Días,A54,-AA54)))</f>
        <v>16666.666666666668</v>
      </c>
      <c r="AH54" s="122">
        <f>IF(A54&lt;=Periodos_Gracia,0,IF($U$258&lt;=0,AG54,IF(SUM($U$18:U54)&lt;=0,AF54,PMT($K$5/360*Días,No._de_Pagos,-Monto_Crédito)-AC54-AD54)))</f>
        <v>16666.666666666668</v>
      </c>
      <c r="AI54" s="126">
        <f t="shared" si="23"/>
        <v>22466.666666666679</v>
      </c>
      <c r="AK54" s="127">
        <f>IF(A54="","",IF(Periodos_Gracia&gt;0,Tabla!AN54,V54+S54))</f>
        <v>24058.053144887268</v>
      </c>
      <c r="AL54" s="127">
        <f t="shared" si="12"/>
        <v>21666.666666666679</v>
      </c>
      <c r="AM54" s="62">
        <f t="shared" si="24"/>
        <v>37</v>
      </c>
      <c r="AN54" s="128">
        <f>IF(A54="","",IF(A54&lt;=Periodos_Gracia,Tabla!S54,PPMT(Tasa_Anual/360*Días*(1+I.V.A.),Tabla!AM54,No._De_Pagos_con_periodo_de_gracia,-Monto_Crédito)+S54))</f>
        <v>24058.053144887268</v>
      </c>
      <c r="AO54" s="128">
        <f>IF(A54="","",IF(A54&lt;=Periodos_Gracia,Tabla!AC54,Monto_Crédito/(No._De_Pagos_con_periodo_de_gracia)+AC54))</f>
        <v>21666.666666666679</v>
      </c>
      <c r="AP54" s="118"/>
    </row>
    <row r="55" spans="1:42">
      <c r="A55" s="108">
        <f>IF(A54&lt;Parámetros!$E$6,A54+1,"")</f>
        <v>38</v>
      </c>
      <c r="B55" s="109">
        <f t="shared" si="25"/>
        <v>487308.45722057228</v>
      </c>
      <c r="C55" s="109">
        <f t="shared" si="0"/>
        <v>18002.187202330613</v>
      </c>
      <c r="D55" s="109">
        <f t="shared" si="1"/>
        <v>6091.355715257153</v>
      </c>
      <c r="E55" s="109">
        <f t="shared" si="2"/>
        <v>974.61691444114444</v>
      </c>
      <c r="F55" s="109">
        <f t="shared" si="3"/>
        <v>25068.159832028909</v>
      </c>
      <c r="G55" s="115">
        <f t="shared" si="13"/>
        <v>469306.27001824166</v>
      </c>
      <c r="H55" s="116">
        <f t="shared" si="14"/>
        <v>1</v>
      </c>
      <c r="I55" s="109">
        <f t="shared" si="26"/>
        <v>383333.33333333425</v>
      </c>
      <c r="J55" s="109">
        <f t="shared" si="4"/>
        <v>16666.666666666668</v>
      </c>
      <c r="K55" s="109">
        <f t="shared" si="5"/>
        <v>4791.6666666666779</v>
      </c>
      <c r="L55" s="109">
        <f t="shared" si="6"/>
        <v>766.66666666666845</v>
      </c>
      <c r="M55" s="109">
        <f t="shared" si="15"/>
        <v>22225.000000000015</v>
      </c>
      <c r="N55" s="115">
        <f t="shared" si="16"/>
        <v>366666.66666666756</v>
      </c>
      <c r="O55" s="61">
        <v>0</v>
      </c>
      <c r="P55" s="117">
        <f t="shared" si="17"/>
        <v>1</v>
      </c>
      <c r="R55" s="118">
        <f t="shared" si="28"/>
        <v>487308.45722057228</v>
      </c>
      <c r="S55" s="119">
        <f t="shared" si="7"/>
        <v>6091.355715257153</v>
      </c>
      <c r="T55" s="119">
        <f t="shared" si="8"/>
        <v>974.61691444114444</v>
      </c>
      <c r="U55" s="120">
        <f t="shared" si="19"/>
        <v>0</v>
      </c>
      <c r="V55" s="121">
        <f>IF(A55="","",IF(A55&lt;=Periodos_Gracia,0,PPMT(Tasa_Anual/360*Días*(1+I.V.A.),Tabla!AM55,No._De_Pagos_con_periodo_de_gracia,-Monto_Crédito)))</f>
        <v>18002.187202330613</v>
      </c>
      <c r="W55" s="111">
        <f>IF($U$258&lt;=0,V55,IF(SUM($U$18:U55)&lt;=0,V55,PMT($K$5/360*Días,A55,-R55)))</f>
        <v>18002.187202330613</v>
      </c>
      <c r="X55" s="122">
        <f>IF($U$258&lt;=0,W55,IF(SUM($U$18:U55)&lt;=0,V55,PMT($K$5/360*Días,No._De_Pagos_con_periodo_de_gracia,-Monto_Crédito)-S55-T55))</f>
        <v>18002.187202330613</v>
      </c>
      <c r="Y55" s="118">
        <f t="shared" si="20"/>
        <v>18002.187202330613</v>
      </c>
      <c r="Z55" s="62">
        <f>+IF(A55="","",IF(No._de_Pagos-Tabla!A55+1&lt;=0,"",No._de_Pagos-Tabla!A55+1))</f>
        <v>23</v>
      </c>
      <c r="AA55" s="123">
        <f t="shared" si="21"/>
        <v>25068.159832028909</v>
      </c>
      <c r="AB55" s="125">
        <f t="shared" si="27"/>
        <v>383333.33333333425</v>
      </c>
      <c r="AC55" s="125">
        <f t="shared" si="9"/>
        <v>4791.6666666666779</v>
      </c>
      <c r="AD55" s="125">
        <f t="shared" si="10"/>
        <v>766.66666666666845</v>
      </c>
      <c r="AE55" s="120">
        <f t="shared" si="22"/>
        <v>0</v>
      </c>
      <c r="AF55" s="121">
        <f t="shared" si="11"/>
        <v>16666.666666666668</v>
      </c>
      <c r="AG55" s="111">
        <f>IF($U$258&lt;=0,AF55,IF(SUM($U$18:U55)&lt;=0,AF55,PMT($K$5/360*Días,A55,-AA55)))</f>
        <v>16666.666666666668</v>
      </c>
      <c r="AH55" s="122">
        <f>IF(A55&lt;=Periodos_Gracia,0,IF($U$258&lt;=0,AG55,IF(SUM($U$18:U55)&lt;=0,AF55,PMT($K$5/360*Días,No._de_Pagos,-Monto_Crédito)-AC55-AD55)))</f>
        <v>16666.666666666668</v>
      </c>
      <c r="AI55" s="126">
        <f t="shared" si="23"/>
        <v>22225.000000000015</v>
      </c>
      <c r="AK55" s="127">
        <f>IF(A55="","",IF(Periodos_Gracia&gt;0,Tabla!AN55,V55+S55))</f>
        <v>24093.542917587765</v>
      </c>
      <c r="AL55" s="127">
        <f t="shared" si="12"/>
        <v>21458.333333333347</v>
      </c>
      <c r="AM55" s="62">
        <f t="shared" si="24"/>
        <v>38</v>
      </c>
      <c r="AN55" s="128">
        <f>IF(A55="","",IF(A55&lt;=Periodos_Gracia,Tabla!S55,PPMT(Tasa_Anual/360*Días*(1+I.V.A.),Tabla!AM55,No._De_Pagos_con_periodo_de_gracia,-Monto_Crédito)+S55))</f>
        <v>24093.542917587765</v>
      </c>
      <c r="AO55" s="128">
        <f>IF(A55="","",IF(A55&lt;=Periodos_Gracia,Tabla!AC55,Monto_Crédito/(No._De_Pagos_con_periodo_de_gracia)+AC55))</f>
        <v>21458.333333333347</v>
      </c>
      <c r="AP55" s="118"/>
    </row>
    <row r="56" spans="1:42">
      <c r="A56" s="108">
        <f>IF(A55&lt;Parámetros!$E$6,A55+1,"")</f>
        <v>39</v>
      </c>
      <c r="B56" s="109">
        <f t="shared" si="25"/>
        <v>469306.27001824166</v>
      </c>
      <c r="C56" s="109">
        <f t="shared" si="0"/>
        <v>18263.21891676441</v>
      </c>
      <c r="D56" s="109">
        <f t="shared" si="1"/>
        <v>5866.3283752280213</v>
      </c>
      <c r="E56" s="109">
        <f t="shared" si="2"/>
        <v>938.61254003648344</v>
      </c>
      <c r="F56" s="109">
        <f t="shared" si="3"/>
        <v>25068.159832028916</v>
      </c>
      <c r="G56" s="115">
        <f t="shared" si="13"/>
        <v>451043.05110147723</v>
      </c>
      <c r="H56" s="116">
        <f t="shared" si="14"/>
        <v>1</v>
      </c>
      <c r="I56" s="109">
        <f t="shared" si="26"/>
        <v>366666.66666666756</v>
      </c>
      <c r="J56" s="109">
        <f t="shared" si="4"/>
        <v>16666.666666666668</v>
      </c>
      <c r="K56" s="109">
        <f t="shared" si="5"/>
        <v>4583.3333333333439</v>
      </c>
      <c r="L56" s="109">
        <f t="shared" si="6"/>
        <v>733.33333333333508</v>
      </c>
      <c r="M56" s="109">
        <f t="shared" si="15"/>
        <v>21983.333333333347</v>
      </c>
      <c r="N56" s="115">
        <f t="shared" si="16"/>
        <v>350000.00000000087</v>
      </c>
      <c r="O56" s="61">
        <v>0</v>
      </c>
      <c r="P56" s="117">
        <f t="shared" si="17"/>
        <v>1</v>
      </c>
      <c r="R56" s="118">
        <f t="shared" si="28"/>
        <v>469306.27001824166</v>
      </c>
      <c r="S56" s="119">
        <f t="shared" si="7"/>
        <v>5866.3283752280204</v>
      </c>
      <c r="T56" s="119">
        <f t="shared" si="8"/>
        <v>938.61254003648332</v>
      </c>
      <c r="U56" s="120">
        <f t="shared" si="19"/>
        <v>0</v>
      </c>
      <c r="V56" s="121">
        <f>IF(A56="","",IF(A56&lt;=Periodos_Gracia,0,PPMT(Tasa_Anual/360*Días*(1+I.V.A.),Tabla!AM56,No._De_Pagos_con_periodo_de_gracia,-Monto_Crédito)))</f>
        <v>18263.21891676441</v>
      </c>
      <c r="W56" s="111">
        <f>IF($U$258&lt;=0,V56,IF(SUM($U$18:U56)&lt;=0,V56,PMT($K$5/360*Días,A56,-R56)))</f>
        <v>18263.21891676441</v>
      </c>
      <c r="X56" s="122">
        <f>IF($U$258&lt;=0,W56,IF(SUM($U$18:U56)&lt;=0,V56,PMT($K$5/360*Días,No._De_Pagos_con_periodo_de_gracia,-Monto_Crédito)-S56-T56))</f>
        <v>18263.21891676441</v>
      </c>
      <c r="Y56" s="118">
        <f t="shared" si="20"/>
        <v>18263.21891676441</v>
      </c>
      <c r="Z56" s="62">
        <f>+IF(A56="","",IF(No._de_Pagos-Tabla!A56+1&lt;=0,"",No._de_Pagos-Tabla!A56+1))</f>
        <v>22</v>
      </c>
      <c r="AA56" s="123">
        <f t="shared" si="21"/>
        <v>25068.159832028912</v>
      </c>
      <c r="AB56" s="125">
        <f t="shared" si="27"/>
        <v>366666.66666666756</v>
      </c>
      <c r="AC56" s="125">
        <f t="shared" si="9"/>
        <v>4583.3333333333439</v>
      </c>
      <c r="AD56" s="125">
        <f t="shared" si="10"/>
        <v>733.33333333333508</v>
      </c>
      <c r="AE56" s="120">
        <f t="shared" si="22"/>
        <v>0</v>
      </c>
      <c r="AF56" s="121">
        <f t="shared" si="11"/>
        <v>16666.666666666668</v>
      </c>
      <c r="AG56" s="111">
        <f>IF($U$258&lt;=0,AF56,IF(SUM($U$18:U56)&lt;=0,AF56,PMT($K$5/360*Días,A56,-AA56)))</f>
        <v>16666.666666666668</v>
      </c>
      <c r="AH56" s="122">
        <f>IF(A56&lt;=Periodos_Gracia,0,IF($U$258&lt;=0,AG56,IF(SUM($U$18:U56)&lt;=0,AF56,PMT($K$5/360*Días,No._de_Pagos,-Monto_Crédito)-AC56-AD56)))</f>
        <v>16666.666666666668</v>
      </c>
      <c r="AI56" s="126">
        <f t="shared" si="23"/>
        <v>21983.333333333347</v>
      </c>
      <c r="AK56" s="127">
        <f>IF(A56="","",IF(Periodos_Gracia&gt;0,Tabla!AN56,V56+S56))</f>
        <v>24129.547291992429</v>
      </c>
      <c r="AL56" s="127">
        <f t="shared" si="12"/>
        <v>21250.000000000011</v>
      </c>
      <c r="AM56" s="62">
        <f t="shared" si="24"/>
        <v>39</v>
      </c>
      <c r="AN56" s="128">
        <f>IF(A56="","",IF(A56&lt;=Periodos_Gracia,Tabla!S56,PPMT(Tasa_Anual/360*Días*(1+I.V.A.),Tabla!AM56,No._De_Pagos_con_periodo_de_gracia,-Monto_Crédito)+S56))</f>
        <v>24129.547291992429</v>
      </c>
      <c r="AO56" s="128">
        <f>IF(A56="","",IF(A56&lt;=Periodos_Gracia,Tabla!AC56,Monto_Crédito/(No._De_Pagos_con_periodo_de_gracia)+AC56))</f>
        <v>21250.000000000011</v>
      </c>
      <c r="AP56" s="118"/>
    </row>
    <row r="57" spans="1:42">
      <c r="A57" s="108">
        <f>IF(A56&lt;Parámetros!$E$6,A56+1,"")</f>
        <v>40</v>
      </c>
      <c r="B57" s="109">
        <f t="shared" si="25"/>
        <v>451043.05110147723</v>
      </c>
      <c r="C57" s="109">
        <f t="shared" si="0"/>
        <v>18528.035591057491</v>
      </c>
      <c r="D57" s="109">
        <f t="shared" si="1"/>
        <v>5638.0381387684647</v>
      </c>
      <c r="E57" s="109">
        <f t="shared" si="2"/>
        <v>902.08610220295441</v>
      </c>
      <c r="F57" s="109">
        <f t="shared" si="3"/>
        <v>25068.159832028909</v>
      </c>
      <c r="G57" s="115">
        <f t="shared" si="13"/>
        <v>432515.01551041973</v>
      </c>
      <c r="H57" s="116">
        <f t="shared" si="14"/>
        <v>1</v>
      </c>
      <c r="I57" s="109">
        <f t="shared" si="26"/>
        <v>350000.00000000087</v>
      </c>
      <c r="J57" s="109">
        <f t="shared" si="4"/>
        <v>16666.666666666668</v>
      </c>
      <c r="K57" s="109">
        <f t="shared" si="5"/>
        <v>4375.0000000000109</v>
      </c>
      <c r="L57" s="109">
        <f t="shared" si="6"/>
        <v>700.00000000000171</v>
      </c>
      <c r="M57" s="109">
        <f t="shared" si="15"/>
        <v>21741.666666666679</v>
      </c>
      <c r="N57" s="115">
        <f t="shared" si="16"/>
        <v>333333.33333333419</v>
      </c>
      <c r="O57" s="61">
        <v>0</v>
      </c>
      <c r="P57" s="117">
        <f t="shared" si="17"/>
        <v>1</v>
      </c>
      <c r="R57" s="118">
        <f t="shared" si="28"/>
        <v>451043.05110147723</v>
      </c>
      <c r="S57" s="119">
        <f t="shared" si="7"/>
        <v>5638.0381387684647</v>
      </c>
      <c r="T57" s="119">
        <f t="shared" si="8"/>
        <v>902.08610220295441</v>
      </c>
      <c r="U57" s="120">
        <f t="shared" si="19"/>
        <v>0</v>
      </c>
      <c r="V57" s="121">
        <f>IF(A57="","",IF(A57&lt;=Periodos_Gracia,0,PPMT(Tasa_Anual/360*Días*(1+I.V.A.),Tabla!AM57,No._De_Pagos_con_periodo_de_gracia,-Monto_Crédito)))</f>
        <v>18528.035591057491</v>
      </c>
      <c r="W57" s="111">
        <f>IF($U$258&lt;=0,V57,IF(SUM($U$18:U57)&lt;=0,V57,PMT($K$5/360*Días,A57,-R57)))</f>
        <v>18528.035591057491</v>
      </c>
      <c r="X57" s="122">
        <f>IF($U$258&lt;=0,W57,IF(SUM($U$18:U57)&lt;=0,V57,PMT($K$5/360*Días,No._De_Pagos_con_periodo_de_gracia,-Monto_Crédito)-S57-T57))</f>
        <v>18528.035591057491</v>
      </c>
      <c r="Y57" s="118">
        <f t="shared" si="20"/>
        <v>18528.035591057491</v>
      </c>
      <c r="Z57" s="62">
        <f>+IF(A57="","",IF(No._de_Pagos-Tabla!A57+1&lt;=0,"",No._de_Pagos-Tabla!A57+1))</f>
        <v>21</v>
      </c>
      <c r="AA57" s="123">
        <f t="shared" si="21"/>
        <v>25068.159832028909</v>
      </c>
      <c r="AB57" s="125">
        <f t="shared" si="27"/>
        <v>350000.00000000087</v>
      </c>
      <c r="AC57" s="125">
        <f t="shared" si="9"/>
        <v>4375.0000000000109</v>
      </c>
      <c r="AD57" s="125">
        <f t="shared" si="10"/>
        <v>700.00000000000171</v>
      </c>
      <c r="AE57" s="120">
        <f t="shared" si="22"/>
        <v>0</v>
      </c>
      <c r="AF57" s="121">
        <f t="shared" si="11"/>
        <v>16666.666666666668</v>
      </c>
      <c r="AG57" s="111">
        <f>IF($U$258&lt;=0,AF57,IF(SUM($U$18:U57)&lt;=0,AF57,PMT($K$5/360*Días,A57,-AA57)))</f>
        <v>16666.666666666668</v>
      </c>
      <c r="AH57" s="122">
        <f>IF(A57&lt;=Periodos_Gracia,0,IF($U$258&lt;=0,AG57,IF(SUM($U$18:U57)&lt;=0,AF57,PMT($K$5/360*Días,No._de_Pagos,-Monto_Crédito)-AC57-AD57)))</f>
        <v>16666.666666666668</v>
      </c>
      <c r="AI57" s="126">
        <f t="shared" si="23"/>
        <v>21741.666666666679</v>
      </c>
      <c r="AK57" s="127">
        <f>IF(A57="","",IF(Periodos_Gracia&gt;0,Tabla!AN57,V57+S57))</f>
        <v>24166.073729825956</v>
      </c>
      <c r="AL57" s="127">
        <f t="shared" si="12"/>
        <v>21041.666666666679</v>
      </c>
      <c r="AM57" s="62">
        <f t="shared" si="24"/>
        <v>40</v>
      </c>
      <c r="AN57" s="128">
        <f>IF(A57="","",IF(A57&lt;=Periodos_Gracia,Tabla!S57,PPMT(Tasa_Anual/360*Días*(1+I.V.A.),Tabla!AM57,No._De_Pagos_con_periodo_de_gracia,-Monto_Crédito)+S57))</f>
        <v>24166.073729825956</v>
      </c>
      <c r="AO57" s="128">
        <f>IF(A57="","",IF(A57&lt;=Periodos_Gracia,Tabla!AC57,Monto_Crédito/(No._De_Pagos_con_periodo_de_gracia)+AC57))</f>
        <v>21041.666666666679</v>
      </c>
      <c r="AP57" s="118"/>
    </row>
    <row r="58" spans="1:42">
      <c r="A58" s="108">
        <f>IF(A57&lt;Parámetros!$E$6,A57+1,"")</f>
        <v>41</v>
      </c>
      <c r="B58" s="109">
        <f t="shared" si="25"/>
        <v>432515.01551041973</v>
      </c>
      <c r="C58" s="109">
        <f t="shared" si="0"/>
        <v>18796.692107127827</v>
      </c>
      <c r="D58" s="109">
        <f t="shared" si="1"/>
        <v>5406.4376938802461</v>
      </c>
      <c r="E58" s="109">
        <f t="shared" si="2"/>
        <v>865.03003102083937</v>
      </c>
      <c r="F58" s="109">
        <f t="shared" si="3"/>
        <v>25068.159832028912</v>
      </c>
      <c r="G58" s="115">
        <f t="shared" si="13"/>
        <v>413718.32340329193</v>
      </c>
      <c r="H58" s="116">
        <f t="shared" si="14"/>
        <v>1</v>
      </c>
      <c r="I58" s="109">
        <f t="shared" si="26"/>
        <v>333333.33333333419</v>
      </c>
      <c r="J58" s="109">
        <f t="shared" si="4"/>
        <v>16666.666666666668</v>
      </c>
      <c r="K58" s="109">
        <f t="shared" si="5"/>
        <v>4166.666666666677</v>
      </c>
      <c r="L58" s="109">
        <f t="shared" si="6"/>
        <v>666.66666666666833</v>
      </c>
      <c r="M58" s="109">
        <f t="shared" si="15"/>
        <v>21500.000000000011</v>
      </c>
      <c r="N58" s="115">
        <f t="shared" si="16"/>
        <v>316666.6666666675</v>
      </c>
      <c r="O58" s="61">
        <v>0</v>
      </c>
      <c r="P58" s="117">
        <f t="shared" si="17"/>
        <v>1</v>
      </c>
      <c r="R58" s="118">
        <f t="shared" si="28"/>
        <v>432515.01551041973</v>
      </c>
      <c r="S58" s="119">
        <f t="shared" si="7"/>
        <v>5406.437693880247</v>
      </c>
      <c r="T58" s="119">
        <f t="shared" si="8"/>
        <v>865.03003102083949</v>
      </c>
      <c r="U58" s="120">
        <f t="shared" si="19"/>
        <v>0</v>
      </c>
      <c r="V58" s="121">
        <f>IF(A58="","",IF(A58&lt;=Periodos_Gracia,0,PPMT(Tasa_Anual/360*Días*(1+I.V.A.),Tabla!AM58,No._De_Pagos_con_periodo_de_gracia,-Monto_Crédito)))</f>
        <v>18796.692107127827</v>
      </c>
      <c r="W58" s="111">
        <f>IF($U$258&lt;=0,V58,IF(SUM($U$18:U58)&lt;=0,V58,PMT($K$5/360*Días,A58,-R58)))</f>
        <v>18796.692107127827</v>
      </c>
      <c r="X58" s="122">
        <f>IF($U$258&lt;=0,W58,IF(SUM($U$18:U58)&lt;=0,V58,PMT($K$5/360*Días,No._De_Pagos_con_periodo_de_gracia,-Monto_Crédito)-S58-T58))</f>
        <v>18796.692107127827</v>
      </c>
      <c r="Y58" s="118">
        <f t="shared" si="20"/>
        <v>18796.692107127827</v>
      </c>
      <c r="Z58" s="62">
        <f>+IF(A58="","",IF(No._de_Pagos-Tabla!A58+1&lt;=0,"",No._de_Pagos-Tabla!A58+1))</f>
        <v>20</v>
      </c>
      <c r="AA58" s="123">
        <f t="shared" si="21"/>
        <v>25068.159832028912</v>
      </c>
      <c r="AB58" s="125">
        <f t="shared" si="27"/>
        <v>333333.33333333419</v>
      </c>
      <c r="AC58" s="125">
        <f t="shared" si="9"/>
        <v>4166.666666666677</v>
      </c>
      <c r="AD58" s="125">
        <f t="shared" si="10"/>
        <v>666.66666666666833</v>
      </c>
      <c r="AE58" s="120">
        <f t="shared" si="22"/>
        <v>0</v>
      </c>
      <c r="AF58" s="121">
        <f t="shared" si="11"/>
        <v>16666.666666666668</v>
      </c>
      <c r="AG58" s="111">
        <f>IF($U$258&lt;=0,AF58,IF(SUM($U$18:U58)&lt;=0,AF58,PMT($K$5/360*Días,A58,-AA58)))</f>
        <v>16666.666666666668</v>
      </c>
      <c r="AH58" s="122">
        <f>IF(A58&lt;=Periodos_Gracia,0,IF($U$258&lt;=0,AG58,IF(SUM($U$18:U58)&lt;=0,AF58,PMT($K$5/360*Días,No._de_Pagos,-Monto_Crédito)-AC58-AD58)))</f>
        <v>16666.666666666668</v>
      </c>
      <c r="AI58" s="126">
        <f t="shared" si="23"/>
        <v>21500.000000000011</v>
      </c>
      <c r="AK58" s="127">
        <f>IF(A58="","",IF(Periodos_Gracia&gt;0,Tabla!AN58,V58+S58))</f>
        <v>24203.129801008072</v>
      </c>
      <c r="AL58" s="127">
        <f t="shared" si="12"/>
        <v>20833.333333333343</v>
      </c>
      <c r="AM58" s="62">
        <f t="shared" si="24"/>
        <v>41</v>
      </c>
      <c r="AN58" s="128">
        <f>IF(A58="","",IF(A58&lt;=Periodos_Gracia,Tabla!S58,PPMT(Tasa_Anual/360*Días*(1+I.V.A.),Tabla!AM58,No._De_Pagos_con_periodo_de_gracia,-Monto_Crédito)+S58))</f>
        <v>24203.129801008072</v>
      </c>
      <c r="AO58" s="128">
        <f>IF(A58="","",IF(A58&lt;=Periodos_Gracia,Tabla!AC58,Monto_Crédito/(No._De_Pagos_con_periodo_de_gracia)+AC58))</f>
        <v>20833.333333333343</v>
      </c>
      <c r="AP58" s="118"/>
    </row>
    <row r="59" spans="1:42">
      <c r="A59" s="108">
        <f>IF(A58&lt;Parámetros!$E$6,A58+1,"")</f>
        <v>42</v>
      </c>
      <c r="B59" s="109">
        <f t="shared" si="25"/>
        <v>413718.32340329193</v>
      </c>
      <c r="C59" s="109">
        <f t="shared" si="0"/>
        <v>19069.244142681178</v>
      </c>
      <c r="D59" s="109">
        <f t="shared" si="1"/>
        <v>5171.4790425411493</v>
      </c>
      <c r="E59" s="109">
        <f t="shared" si="2"/>
        <v>827.43664680658389</v>
      </c>
      <c r="F59" s="109">
        <f t="shared" si="3"/>
        <v>25068.159832028912</v>
      </c>
      <c r="G59" s="115">
        <f t="shared" si="13"/>
        <v>394649.07926061074</v>
      </c>
      <c r="H59" s="116">
        <f t="shared" si="14"/>
        <v>1</v>
      </c>
      <c r="I59" s="109">
        <f t="shared" si="26"/>
        <v>316666.6666666675</v>
      </c>
      <c r="J59" s="109">
        <f t="shared" si="4"/>
        <v>16666.666666666668</v>
      </c>
      <c r="K59" s="109">
        <f t="shared" si="5"/>
        <v>3958.3333333333435</v>
      </c>
      <c r="L59" s="109">
        <f t="shared" si="6"/>
        <v>633.33333333333496</v>
      </c>
      <c r="M59" s="109">
        <f t="shared" si="15"/>
        <v>21258.333333333347</v>
      </c>
      <c r="N59" s="115">
        <f t="shared" si="16"/>
        <v>300000.00000000081</v>
      </c>
      <c r="O59" s="61">
        <v>0</v>
      </c>
      <c r="P59" s="117">
        <f t="shared" si="17"/>
        <v>1</v>
      </c>
      <c r="R59" s="118">
        <f t="shared" si="28"/>
        <v>413718.32340329193</v>
      </c>
      <c r="S59" s="119">
        <f t="shared" si="7"/>
        <v>5171.4790425411484</v>
      </c>
      <c r="T59" s="119">
        <f t="shared" si="8"/>
        <v>827.43664680658378</v>
      </c>
      <c r="U59" s="120">
        <f t="shared" si="19"/>
        <v>0</v>
      </c>
      <c r="V59" s="121">
        <f>IF(A59="","",IF(A59&lt;=Periodos_Gracia,0,PPMT(Tasa_Anual/360*Días*(1+I.V.A.),Tabla!AM59,No._De_Pagos_con_periodo_de_gracia,-Monto_Crédito)))</f>
        <v>19069.244142681178</v>
      </c>
      <c r="W59" s="111">
        <f>IF($U$258&lt;=0,V59,IF(SUM($U$18:U59)&lt;=0,V59,PMT($K$5/360*Días,A59,-R59)))</f>
        <v>19069.244142681178</v>
      </c>
      <c r="X59" s="122">
        <f>IF($U$258&lt;=0,W59,IF(SUM($U$18:U59)&lt;=0,V59,PMT($K$5/360*Días,No._De_Pagos_con_periodo_de_gracia,-Monto_Crédito)-S59-T59))</f>
        <v>19069.244142681178</v>
      </c>
      <c r="Y59" s="118">
        <f t="shared" si="20"/>
        <v>19069.244142681178</v>
      </c>
      <c r="Z59" s="62">
        <f>+IF(A59="","",IF(No._de_Pagos-Tabla!A59+1&lt;=0,"",No._de_Pagos-Tabla!A59+1))</f>
        <v>19</v>
      </c>
      <c r="AA59" s="123">
        <f t="shared" si="21"/>
        <v>25068.159832028912</v>
      </c>
      <c r="AB59" s="125">
        <f t="shared" si="27"/>
        <v>316666.6666666675</v>
      </c>
      <c r="AC59" s="125">
        <f t="shared" si="9"/>
        <v>3958.3333333333435</v>
      </c>
      <c r="AD59" s="125">
        <f t="shared" si="10"/>
        <v>633.33333333333496</v>
      </c>
      <c r="AE59" s="120">
        <f t="shared" si="22"/>
        <v>0</v>
      </c>
      <c r="AF59" s="121">
        <f t="shared" si="11"/>
        <v>16666.666666666668</v>
      </c>
      <c r="AG59" s="111">
        <f>IF($U$258&lt;=0,AF59,IF(SUM($U$18:U59)&lt;=0,AF59,PMT($K$5/360*Días,A59,-AA59)))</f>
        <v>16666.666666666668</v>
      </c>
      <c r="AH59" s="122">
        <f>IF(A59&lt;=Periodos_Gracia,0,IF($U$258&lt;=0,AG59,IF(SUM($U$18:U59)&lt;=0,AF59,PMT($K$5/360*Días,No._de_Pagos,-Monto_Crédito)-AC59-AD59)))</f>
        <v>16666.666666666668</v>
      </c>
      <c r="AI59" s="126">
        <f t="shared" si="23"/>
        <v>21258.333333333347</v>
      </c>
      <c r="AK59" s="127">
        <f>IF(A59="","",IF(Periodos_Gracia&gt;0,Tabla!AN59,V59+S59))</f>
        <v>24240.723185222327</v>
      </c>
      <c r="AL59" s="127">
        <f t="shared" si="12"/>
        <v>20625.000000000011</v>
      </c>
      <c r="AM59" s="62">
        <f t="shared" si="24"/>
        <v>42</v>
      </c>
      <c r="AN59" s="128">
        <f>IF(A59="","",IF(A59&lt;=Periodos_Gracia,Tabla!S59,PPMT(Tasa_Anual/360*Días*(1+I.V.A.),Tabla!AM59,No._De_Pagos_con_periodo_de_gracia,-Monto_Crédito)+S59))</f>
        <v>24240.723185222327</v>
      </c>
      <c r="AO59" s="128">
        <f>IF(A59="","",IF(A59&lt;=Periodos_Gracia,Tabla!AC59,Monto_Crédito/(No._De_Pagos_con_periodo_de_gracia)+AC59))</f>
        <v>20625.000000000011</v>
      </c>
      <c r="AP59" s="118"/>
    </row>
    <row r="60" spans="1:42">
      <c r="A60" s="108">
        <f>IF(A59&lt;Parámetros!$E$6,A59+1,"")</f>
        <v>43</v>
      </c>
      <c r="B60" s="109">
        <f t="shared" si="25"/>
        <v>394649.07926061074</v>
      </c>
      <c r="C60" s="109">
        <f t="shared" si="0"/>
        <v>19345.748182750056</v>
      </c>
      <c r="D60" s="109">
        <f t="shared" si="1"/>
        <v>4933.1134907576343</v>
      </c>
      <c r="E60" s="109">
        <f t="shared" si="2"/>
        <v>789.29815852122147</v>
      </c>
      <c r="F60" s="109">
        <f t="shared" si="3"/>
        <v>25068.159832028912</v>
      </c>
      <c r="G60" s="115">
        <f t="shared" si="13"/>
        <v>375303.33107786067</v>
      </c>
      <c r="H60" s="116">
        <f t="shared" si="14"/>
        <v>1</v>
      </c>
      <c r="I60" s="109">
        <f t="shared" si="26"/>
        <v>300000.00000000081</v>
      </c>
      <c r="J60" s="109">
        <f t="shared" si="4"/>
        <v>16666.666666666668</v>
      </c>
      <c r="K60" s="109">
        <f t="shared" si="5"/>
        <v>3750.0000000000105</v>
      </c>
      <c r="L60" s="109">
        <f t="shared" si="6"/>
        <v>600.00000000000171</v>
      </c>
      <c r="M60" s="109">
        <f t="shared" si="15"/>
        <v>21016.666666666679</v>
      </c>
      <c r="N60" s="115">
        <f t="shared" si="16"/>
        <v>283333.33333333413</v>
      </c>
      <c r="O60" s="61">
        <v>0</v>
      </c>
      <c r="P60" s="117">
        <f t="shared" si="17"/>
        <v>1</v>
      </c>
      <c r="R60" s="118">
        <f t="shared" si="28"/>
        <v>394649.07926061074</v>
      </c>
      <c r="S60" s="119">
        <f t="shared" si="7"/>
        <v>4933.1134907576343</v>
      </c>
      <c r="T60" s="119">
        <f t="shared" si="8"/>
        <v>789.29815852122147</v>
      </c>
      <c r="U60" s="120">
        <f t="shared" si="19"/>
        <v>0</v>
      </c>
      <c r="V60" s="121">
        <f>IF(A60="","",IF(A60&lt;=Periodos_Gracia,0,PPMT(Tasa_Anual/360*Días*(1+I.V.A.),Tabla!AM60,No._De_Pagos_con_periodo_de_gracia,-Monto_Crédito)))</f>
        <v>19345.748182750056</v>
      </c>
      <c r="W60" s="111">
        <f>IF($U$258&lt;=0,V60,IF(SUM($U$18:U60)&lt;=0,V60,PMT($K$5/360*Días,A60,-R60)))</f>
        <v>19345.748182750056</v>
      </c>
      <c r="X60" s="122">
        <f>IF($U$258&lt;=0,W60,IF(SUM($U$18:U60)&lt;=0,V60,PMT($K$5/360*Días,No._De_Pagos_con_periodo_de_gracia,-Monto_Crédito)-S60-T60))</f>
        <v>19345.748182750056</v>
      </c>
      <c r="Y60" s="118">
        <f t="shared" si="20"/>
        <v>19345.748182750056</v>
      </c>
      <c r="Z60" s="62">
        <f>+IF(A60="","",IF(No._de_Pagos-Tabla!A60+1&lt;=0,"",No._de_Pagos-Tabla!A60+1))</f>
        <v>18</v>
      </c>
      <c r="AA60" s="123">
        <f t="shared" si="21"/>
        <v>25068.159832028912</v>
      </c>
      <c r="AB60" s="125">
        <f t="shared" si="27"/>
        <v>300000.00000000081</v>
      </c>
      <c r="AC60" s="125">
        <f t="shared" si="9"/>
        <v>3750.00000000001</v>
      </c>
      <c r="AD60" s="125">
        <f t="shared" si="10"/>
        <v>600.00000000000159</v>
      </c>
      <c r="AE60" s="120">
        <f t="shared" si="22"/>
        <v>0</v>
      </c>
      <c r="AF60" s="121">
        <f t="shared" si="11"/>
        <v>16666.666666666668</v>
      </c>
      <c r="AG60" s="111">
        <f>IF($U$258&lt;=0,AF60,IF(SUM($U$18:U60)&lt;=0,AF60,PMT($K$5/360*Días,A60,-AA60)))</f>
        <v>16666.666666666668</v>
      </c>
      <c r="AH60" s="122">
        <f>IF(A60&lt;=Periodos_Gracia,0,IF($U$258&lt;=0,AG60,IF(SUM($U$18:U60)&lt;=0,AF60,PMT($K$5/360*Días,No._de_Pagos,-Monto_Crédito)-AC60-AD60)))</f>
        <v>16666.666666666668</v>
      </c>
      <c r="AI60" s="126">
        <f t="shared" si="23"/>
        <v>21016.666666666679</v>
      </c>
      <c r="AK60" s="127">
        <f>IF(A60="","",IF(Periodos_Gracia&gt;0,Tabla!AN60,V60+S60))</f>
        <v>24278.86167350769</v>
      </c>
      <c r="AL60" s="127">
        <f t="shared" si="12"/>
        <v>20416.666666666679</v>
      </c>
      <c r="AM60" s="62">
        <f t="shared" si="24"/>
        <v>43</v>
      </c>
      <c r="AN60" s="128">
        <f>IF(A60="","",IF(A60&lt;=Periodos_Gracia,Tabla!S60,PPMT(Tasa_Anual/360*Días*(1+I.V.A.),Tabla!AM60,No._De_Pagos_con_periodo_de_gracia,-Monto_Crédito)+S60))</f>
        <v>24278.86167350769</v>
      </c>
      <c r="AO60" s="128">
        <f>IF(A60="","",IF(A60&lt;=Periodos_Gracia,Tabla!AC60,Monto_Crédito/(No._De_Pagos_con_periodo_de_gracia)+AC60))</f>
        <v>20416.666666666679</v>
      </c>
      <c r="AP60" s="118"/>
    </row>
    <row r="61" spans="1:42">
      <c r="A61" s="108">
        <f>IF(A60&lt;Parámetros!$E$6,A60+1,"")</f>
        <v>44</v>
      </c>
      <c r="B61" s="109">
        <f t="shared" si="25"/>
        <v>375303.33107786067</v>
      </c>
      <c r="C61" s="109">
        <f t="shared" si="0"/>
        <v>19626.26153139993</v>
      </c>
      <c r="D61" s="109">
        <f t="shared" si="1"/>
        <v>4691.291638473258</v>
      </c>
      <c r="E61" s="109">
        <f t="shared" si="2"/>
        <v>750.60666215572132</v>
      </c>
      <c r="F61" s="109">
        <f t="shared" si="3"/>
        <v>25068.159832028909</v>
      </c>
      <c r="G61" s="115">
        <f t="shared" si="13"/>
        <v>355677.06954646076</v>
      </c>
      <c r="H61" s="116">
        <f t="shared" si="14"/>
        <v>1</v>
      </c>
      <c r="I61" s="109">
        <f t="shared" si="26"/>
        <v>283333.33333333413</v>
      </c>
      <c r="J61" s="109">
        <f t="shared" si="4"/>
        <v>16666.666666666668</v>
      </c>
      <c r="K61" s="109">
        <f t="shared" si="5"/>
        <v>3541.6666666666765</v>
      </c>
      <c r="L61" s="109">
        <f t="shared" si="6"/>
        <v>566.66666666666822</v>
      </c>
      <c r="M61" s="109">
        <f t="shared" si="15"/>
        <v>20775.000000000011</v>
      </c>
      <c r="N61" s="115">
        <f t="shared" si="16"/>
        <v>266666.66666666744</v>
      </c>
      <c r="O61" s="61">
        <v>0</v>
      </c>
      <c r="P61" s="117">
        <f t="shared" si="17"/>
        <v>1</v>
      </c>
      <c r="R61" s="118">
        <f t="shared" si="28"/>
        <v>375303.33107786067</v>
      </c>
      <c r="S61" s="119">
        <f t="shared" si="7"/>
        <v>4691.291638473258</v>
      </c>
      <c r="T61" s="119">
        <f t="shared" si="8"/>
        <v>750.60666215572132</v>
      </c>
      <c r="U61" s="120">
        <f t="shared" si="19"/>
        <v>0</v>
      </c>
      <c r="V61" s="121">
        <f>IF(A61="","",IF(A61&lt;=Periodos_Gracia,0,PPMT(Tasa_Anual/360*Días*(1+I.V.A.),Tabla!AM61,No._De_Pagos_con_periodo_de_gracia,-Monto_Crédito)))</f>
        <v>19626.26153139993</v>
      </c>
      <c r="W61" s="111">
        <f>IF($U$258&lt;=0,V61,IF(SUM($U$18:U61)&lt;=0,V61,PMT($K$5/360*Días,A61,-R61)))</f>
        <v>19626.26153139993</v>
      </c>
      <c r="X61" s="122">
        <f>IF($U$258&lt;=0,W61,IF(SUM($U$18:U61)&lt;=0,V61,PMT($K$5/360*Días,No._De_Pagos_con_periodo_de_gracia,-Monto_Crédito)-S61-T61))</f>
        <v>19626.26153139993</v>
      </c>
      <c r="Y61" s="118">
        <f t="shared" si="20"/>
        <v>19626.26153139993</v>
      </c>
      <c r="Z61" s="62">
        <f>+IF(A61="","",IF(No._de_Pagos-Tabla!A61+1&lt;=0,"",No._de_Pagos-Tabla!A61+1))</f>
        <v>17</v>
      </c>
      <c r="AA61" s="123">
        <f t="shared" si="21"/>
        <v>25068.159832028909</v>
      </c>
      <c r="AB61" s="125">
        <f t="shared" si="27"/>
        <v>283333.33333333413</v>
      </c>
      <c r="AC61" s="125">
        <f t="shared" si="9"/>
        <v>3541.6666666666765</v>
      </c>
      <c r="AD61" s="125">
        <f t="shared" si="10"/>
        <v>566.66666666666822</v>
      </c>
      <c r="AE61" s="120">
        <f t="shared" si="22"/>
        <v>0</v>
      </c>
      <c r="AF61" s="121">
        <f t="shared" si="11"/>
        <v>16666.666666666668</v>
      </c>
      <c r="AG61" s="111">
        <f>IF($U$258&lt;=0,AF61,IF(SUM($U$18:U61)&lt;=0,AF61,PMT($K$5/360*Días,A61,-AA61)))</f>
        <v>16666.666666666668</v>
      </c>
      <c r="AH61" s="122">
        <f>IF(A61&lt;=Periodos_Gracia,0,IF($U$258&lt;=0,AG61,IF(SUM($U$18:U61)&lt;=0,AF61,PMT($K$5/360*Días,No._de_Pagos,-Monto_Crédito)-AC61-AD61)))</f>
        <v>16666.666666666668</v>
      </c>
      <c r="AI61" s="126">
        <f t="shared" si="23"/>
        <v>20775.000000000011</v>
      </c>
      <c r="AK61" s="127">
        <f>IF(A61="","",IF(Periodos_Gracia&gt;0,Tabla!AN61,V61+S61))</f>
        <v>24317.553169873187</v>
      </c>
      <c r="AL61" s="127">
        <f t="shared" si="12"/>
        <v>20208.333333333343</v>
      </c>
      <c r="AM61" s="62">
        <f t="shared" si="24"/>
        <v>44</v>
      </c>
      <c r="AN61" s="128">
        <f>IF(A61="","",IF(A61&lt;=Periodos_Gracia,Tabla!S61,PPMT(Tasa_Anual/360*Días*(1+I.V.A.),Tabla!AM61,No._De_Pagos_con_periodo_de_gracia,-Monto_Crédito)+S61))</f>
        <v>24317.553169873187</v>
      </c>
      <c r="AO61" s="128">
        <f>IF(A61="","",IF(A61&lt;=Periodos_Gracia,Tabla!AC61,Monto_Crédito/(No._De_Pagos_con_periodo_de_gracia)+AC61))</f>
        <v>20208.333333333343</v>
      </c>
      <c r="AP61" s="118"/>
    </row>
    <row r="62" spans="1:42">
      <c r="A62" s="108">
        <f>IF(A61&lt;Parámetros!$E$6,A61+1,"")</f>
        <v>45</v>
      </c>
      <c r="B62" s="109">
        <f t="shared" si="25"/>
        <v>355677.06954646076</v>
      </c>
      <c r="C62" s="109">
        <f t="shared" si="0"/>
        <v>19910.842323605233</v>
      </c>
      <c r="D62" s="109">
        <f t="shared" si="1"/>
        <v>4445.9633693307596</v>
      </c>
      <c r="E62" s="109">
        <f t="shared" si="2"/>
        <v>711.35413909292151</v>
      </c>
      <c r="F62" s="109">
        <f t="shared" si="3"/>
        <v>25068.159832028912</v>
      </c>
      <c r="G62" s="115">
        <f t="shared" si="13"/>
        <v>335766.22722285555</v>
      </c>
      <c r="H62" s="116">
        <f t="shared" si="14"/>
        <v>1</v>
      </c>
      <c r="I62" s="109">
        <f t="shared" si="26"/>
        <v>266666.66666666744</v>
      </c>
      <c r="J62" s="109">
        <f t="shared" si="4"/>
        <v>16666.666666666668</v>
      </c>
      <c r="K62" s="109">
        <f t="shared" si="5"/>
        <v>3333.333333333343</v>
      </c>
      <c r="L62" s="109">
        <f t="shared" si="6"/>
        <v>533.33333333333485</v>
      </c>
      <c r="M62" s="109">
        <f t="shared" si="15"/>
        <v>20533.333333333347</v>
      </c>
      <c r="N62" s="115">
        <f t="shared" si="16"/>
        <v>250000.00000000079</v>
      </c>
      <c r="O62" s="61">
        <v>0</v>
      </c>
      <c r="P62" s="117">
        <f t="shared" si="17"/>
        <v>1</v>
      </c>
      <c r="R62" s="118">
        <f t="shared" si="28"/>
        <v>355677.06954646076</v>
      </c>
      <c r="S62" s="119">
        <f t="shared" si="7"/>
        <v>4445.9633693307587</v>
      </c>
      <c r="T62" s="119">
        <f t="shared" si="8"/>
        <v>711.3541390929214</v>
      </c>
      <c r="U62" s="120">
        <f t="shared" si="19"/>
        <v>0</v>
      </c>
      <c r="V62" s="121">
        <f>IF(A62="","",IF(A62&lt;=Periodos_Gracia,0,PPMT(Tasa_Anual/360*Días*(1+I.V.A.),Tabla!AM62,No._De_Pagos_con_periodo_de_gracia,-Monto_Crédito)))</f>
        <v>19910.842323605233</v>
      </c>
      <c r="W62" s="111">
        <f>IF($U$258&lt;=0,V62,IF(SUM($U$18:U62)&lt;=0,V62,PMT($K$5/360*Días,A62,-R62)))</f>
        <v>19910.842323605233</v>
      </c>
      <c r="X62" s="122">
        <f>IF($U$258&lt;=0,W62,IF(SUM($U$18:U62)&lt;=0,V62,PMT($K$5/360*Días,No._De_Pagos_con_periodo_de_gracia,-Monto_Crédito)-S62-T62))</f>
        <v>19910.842323605233</v>
      </c>
      <c r="Y62" s="118">
        <f t="shared" si="20"/>
        <v>19910.842323605233</v>
      </c>
      <c r="Z62" s="62">
        <f>+IF(A62="","",IF(No._de_Pagos-Tabla!A62+1&lt;=0,"",No._de_Pagos-Tabla!A62+1))</f>
        <v>16</v>
      </c>
      <c r="AA62" s="123">
        <f t="shared" si="21"/>
        <v>25068.159832028912</v>
      </c>
      <c r="AB62" s="125">
        <f t="shared" si="27"/>
        <v>266666.66666666744</v>
      </c>
      <c r="AC62" s="125">
        <f t="shared" si="9"/>
        <v>3333.3333333333426</v>
      </c>
      <c r="AD62" s="125">
        <f t="shared" si="10"/>
        <v>533.33333333333485</v>
      </c>
      <c r="AE62" s="120">
        <f t="shared" si="22"/>
        <v>0</v>
      </c>
      <c r="AF62" s="121">
        <f t="shared" si="11"/>
        <v>16666.666666666668</v>
      </c>
      <c r="AG62" s="111">
        <f>IF($U$258&lt;=0,AF62,IF(SUM($U$18:U62)&lt;=0,AF62,PMT($K$5/360*Días,A62,-AA62)))</f>
        <v>16666.666666666668</v>
      </c>
      <c r="AH62" s="122">
        <f>IF(A62&lt;=Periodos_Gracia,0,IF($U$258&lt;=0,AG62,IF(SUM($U$18:U62)&lt;=0,AF62,PMT($K$5/360*Días,No._de_Pagos,-Monto_Crédito)-AC62-AD62)))</f>
        <v>16666.666666666668</v>
      </c>
      <c r="AI62" s="126">
        <f t="shared" si="23"/>
        <v>20533.333333333347</v>
      </c>
      <c r="AK62" s="127">
        <f>IF(A62="","",IF(Periodos_Gracia&gt;0,Tabla!AN62,V62+S62))</f>
        <v>24356.805692935992</v>
      </c>
      <c r="AL62" s="127">
        <f t="shared" si="12"/>
        <v>20000.000000000011</v>
      </c>
      <c r="AM62" s="62">
        <f t="shared" si="24"/>
        <v>45</v>
      </c>
      <c r="AN62" s="128">
        <f>IF(A62="","",IF(A62&lt;=Periodos_Gracia,Tabla!S62,PPMT(Tasa_Anual/360*Días*(1+I.V.A.),Tabla!AM62,No._De_Pagos_con_periodo_de_gracia,-Monto_Crédito)+S62))</f>
        <v>24356.805692935992</v>
      </c>
      <c r="AO62" s="128">
        <f>IF(A62="","",IF(A62&lt;=Periodos_Gracia,Tabla!AC62,Monto_Crédito/(No._De_Pagos_con_periodo_de_gracia)+AC62))</f>
        <v>20000.000000000011</v>
      </c>
      <c r="AP62" s="118"/>
    </row>
    <row r="63" spans="1:42">
      <c r="A63" s="108">
        <f>IF(A62&lt;Parámetros!$E$6,A62+1,"")</f>
        <v>46</v>
      </c>
      <c r="B63" s="109">
        <f t="shared" si="25"/>
        <v>335766.22722285555</v>
      </c>
      <c r="C63" s="109">
        <f t="shared" si="0"/>
        <v>20199.549537297509</v>
      </c>
      <c r="D63" s="109">
        <f t="shared" si="1"/>
        <v>4197.077840285694</v>
      </c>
      <c r="E63" s="109">
        <f t="shared" si="2"/>
        <v>671.5324544457111</v>
      </c>
      <c r="F63" s="109">
        <f t="shared" si="3"/>
        <v>25068.159832028912</v>
      </c>
      <c r="G63" s="115">
        <f t="shared" si="13"/>
        <v>315566.67768555804</v>
      </c>
      <c r="H63" s="116">
        <f t="shared" si="14"/>
        <v>1</v>
      </c>
      <c r="I63" s="109">
        <f t="shared" si="26"/>
        <v>250000.00000000079</v>
      </c>
      <c r="J63" s="109">
        <f t="shared" si="4"/>
        <v>16666.666666666668</v>
      </c>
      <c r="K63" s="109">
        <f t="shared" si="5"/>
        <v>3125.0000000000095</v>
      </c>
      <c r="L63" s="109">
        <f t="shared" si="6"/>
        <v>500.00000000000153</v>
      </c>
      <c r="M63" s="109">
        <f t="shared" si="15"/>
        <v>20291.666666666679</v>
      </c>
      <c r="N63" s="115">
        <f t="shared" si="16"/>
        <v>233333.33333333413</v>
      </c>
      <c r="O63" s="61">
        <v>0</v>
      </c>
      <c r="P63" s="117">
        <f t="shared" si="17"/>
        <v>1</v>
      </c>
      <c r="R63" s="118">
        <f t="shared" si="28"/>
        <v>335766.22722285555</v>
      </c>
      <c r="S63" s="119">
        <f t="shared" si="7"/>
        <v>4197.077840285694</v>
      </c>
      <c r="T63" s="119">
        <f t="shared" si="8"/>
        <v>671.5324544457111</v>
      </c>
      <c r="U63" s="120">
        <f t="shared" si="19"/>
        <v>0</v>
      </c>
      <c r="V63" s="121">
        <f>IF(A63="","",IF(A63&lt;=Periodos_Gracia,0,PPMT(Tasa_Anual/360*Días*(1+I.V.A.),Tabla!AM63,No._De_Pagos_con_periodo_de_gracia,-Monto_Crédito)))</f>
        <v>20199.549537297509</v>
      </c>
      <c r="W63" s="111">
        <f>IF($U$258&lt;=0,V63,IF(SUM($U$18:U63)&lt;=0,V63,PMT($K$5/360*Días,A63,-R63)))</f>
        <v>20199.549537297509</v>
      </c>
      <c r="X63" s="122">
        <f>IF($U$258&lt;=0,W63,IF(SUM($U$18:U63)&lt;=0,V63,PMT($K$5/360*Días,No._De_Pagos_con_periodo_de_gracia,-Monto_Crédito)-S63-T63))</f>
        <v>20199.549537297509</v>
      </c>
      <c r="Y63" s="118">
        <f t="shared" si="20"/>
        <v>20199.549537297509</v>
      </c>
      <c r="Z63" s="62">
        <f>+IF(A63="","",IF(No._de_Pagos-Tabla!A63+1&lt;=0,"",No._de_Pagos-Tabla!A63+1))</f>
        <v>15</v>
      </c>
      <c r="AA63" s="123">
        <f t="shared" si="21"/>
        <v>25068.159832028912</v>
      </c>
      <c r="AB63" s="125">
        <f t="shared" si="27"/>
        <v>250000.00000000079</v>
      </c>
      <c r="AC63" s="125">
        <f t="shared" si="9"/>
        <v>3125.0000000000095</v>
      </c>
      <c r="AD63" s="125">
        <f t="shared" si="10"/>
        <v>500.00000000000153</v>
      </c>
      <c r="AE63" s="120">
        <f t="shared" si="22"/>
        <v>0</v>
      </c>
      <c r="AF63" s="121">
        <f t="shared" si="11"/>
        <v>16666.666666666668</v>
      </c>
      <c r="AG63" s="111">
        <f>IF($U$258&lt;=0,AF63,IF(SUM($U$18:U63)&lt;=0,AF63,PMT($K$5/360*Días,A63,-AA63)))</f>
        <v>16666.666666666668</v>
      </c>
      <c r="AH63" s="122">
        <f>IF(A63&lt;=Periodos_Gracia,0,IF($U$258&lt;=0,AG63,IF(SUM($U$18:U63)&lt;=0,AF63,PMT($K$5/360*Días,No._de_Pagos,-Monto_Crédito)-AC63-AD63)))</f>
        <v>16666.666666666668</v>
      </c>
      <c r="AI63" s="126">
        <f t="shared" si="23"/>
        <v>20291.666666666679</v>
      </c>
      <c r="AK63" s="127">
        <f>IF(A63="","",IF(Periodos_Gracia&gt;0,Tabla!AN63,V63+S63))</f>
        <v>24396.627377583201</v>
      </c>
      <c r="AL63" s="127">
        <f t="shared" si="12"/>
        <v>19791.666666666679</v>
      </c>
      <c r="AM63" s="62">
        <f t="shared" si="24"/>
        <v>46</v>
      </c>
      <c r="AN63" s="128">
        <f>IF(A63="","",IF(A63&lt;=Periodos_Gracia,Tabla!S63,PPMT(Tasa_Anual/360*Días*(1+I.V.A.),Tabla!AM63,No._De_Pagos_con_periodo_de_gracia,-Monto_Crédito)+S63))</f>
        <v>24396.627377583201</v>
      </c>
      <c r="AO63" s="128">
        <f>IF(A63="","",IF(A63&lt;=Periodos_Gracia,Tabla!AC63,Monto_Crédito/(No._De_Pagos_con_periodo_de_gracia)+AC63))</f>
        <v>19791.666666666679</v>
      </c>
      <c r="AP63" s="118"/>
    </row>
    <row r="64" spans="1:42">
      <c r="A64" s="108">
        <f>IF(A63&lt;Parámetros!$E$6,A63+1,"")</f>
        <v>47</v>
      </c>
      <c r="B64" s="109">
        <f t="shared" si="25"/>
        <v>315566.67768555804</v>
      </c>
      <c r="C64" s="109">
        <f t="shared" si="0"/>
        <v>20492.44300558832</v>
      </c>
      <c r="D64" s="109">
        <f t="shared" si="1"/>
        <v>3944.5834710694758</v>
      </c>
      <c r="E64" s="109">
        <f t="shared" si="2"/>
        <v>631.13335537111618</v>
      </c>
      <c r="F64" s="109">
        <f t="shared" si="3"/>
        <v>25068.159832028912</v>
      </c>
      <c r="G64" s="115">
        <f t="shared" si="13"/>
        <v>295074.23467996973</v>
      </c>
      <c r="H64" s="116">
        <f t="shared" si="14"/>
        <v>1</v>
      </c>
      <c r="I64" s="109">
        <f t="shared" si="26"/>
        <v>233333.33333333413</v>
      </c>
      <c r="J64" s="109">
        <f t="shared" si="4"/>
        <v>16666.666666666668</v>
      </c>
      <c r="K64" s="109">
        <f t="shared" si="5"/>
        <v>2916.6666666666765</v>
      </c>
      <c r="L64" s="109">
        <f t="shared" si="6"/>
        <v>466.66666666666828</v>
      </c>
      <c r="M64" s="109">
        <f t="shared" si="15"/>
        <v>20050.000000000011</v>
      </c>
      <c r="N64" s="115">
        <f t="shared" si="16"/>
        <v>216666.66666666747</v>
      </c>
      <c r="O64" s="61">
        <v>0</v>
      </c>
      <c r="P64" s="117">
        <f t="shared" si="17"/>
        <v>1</v>
      </c>
      <c r="R64" s="118">
        <f t="shared" si="28"/>
        <v>315566.67768555804</v>
      </c>
      <c r="S64" s="119">
        <f t="shared" si="7"/>
        <v>3944.5834710694758</v>
      </c>
      <c r="T64" s="119">
        <f t="shared" si="8"/>
        <v>631.13335537111618</v>
      </c>
      <c r="U64" s="120">
        <f t="shared" si="19"/>
        <v>0</v>
      </c>
      <c r="V64" s="121">
        <f>IF(A64="","",IF(A64&lt;=Periodos_Gracia,0,PPMT(Tasa_Anual/360*Días*(1+I.V.A.),Tabla!AM64,No._De_Pagos_con_periodo_de_gracia,-Monto_Crédito)))</f>
        <v>20492.44300558832</v>
      </c>
      <c r="W64" s="111">
        <f>IF($U$258&lt;=0,V64,IF(SUM($U$18:U64)&lt;=0,V64,PMT($K$5/360*Días,A64,-R64)))</f>
        <v>20492.44300558832</v>
      </c>
      <c r="X64" s="122">
        <f>IF($U$258&lt;=0,W64,IF(SUM($U$18:U64)&lt;=0,V64,PMT($K$5/360*Días,No._De_Pagos_con_periodo_de_gracia,-Monto_Crédito)-S64-T64))</f>
        <v>20492.44300558832</v>
      </c>
      <c r="Y64" s="118">
        <f t="shared" si="20"/>
        <v>20492.44300558832</v>
      </c>
      <c r="Z64" s="62">
        <f>+IF(A64="","",IF(No._de_Pagos-Tabla!A64+1&lt;=0,"",No._de_Pagos-Tabla!A64+1))</f>
        <v>14</v>
      </c>
      <c r="AA64" s="123">
        <f t="shared" si="21"/>
        <v>25068.159832028912</v>
      </c>
      <c r="AB64" s="125">
        <f t="shared" si="27"/>
        <v>233333.33333333413</v>
      </c>
      <c r="AC64" s="125">
        <f t="shared" si="9"/>
        <v>2916.6666666666765</v>
      </c>
      <c r="AD64" s="125">
        <f t="shared" si="10"/>
        <v>466.66666666666828</v>
      </c>
      <c r="AE64" s="120">
        <f t="shared" si="22"/>
        <v>0</v>
      </c>
      <c r="AF64" s="121">
        <f t="shared" si="11"/>
        <v>16666.666666666668</v>
      </c>
      <c r="AG64" s="111">
        <f>IF($U$258&lt;=0,AF64,IF(SUM($U$18:U64)&lt;=0,AF64,PMT($K$5/360*Días,A64,-AA64)))</f>
        <v>16666.666666666668</v>
      </c>
      <c r="AH64" s="122">
        <f>IF(A64&lt;=Periodos_Gracia,0,IF($U$258&lt;=0,AG64,IF(SUM($U$18:U64)&lt;=0,AF64,PMT($K$5/360*Días,No._de_Pagos,-Monto_Crédito)-AC64-AD64)))</f>
        <v>16666.666666666668</v>
      </c>
      <c r="AI64" s="126">
        <f t="shared" si="23"/>
        <v>20050.000000000011</v>
      </c>
      <c r="AK64" s="127">
        <f>IF(A64="","",IF(Periodos_Gracia&gt;0,Tabla!AN64,V64+S64))</f>
        <v>24437.026476657797</v>
      </c>
      <c r="AL64" s="127">
        <f t="shared" si="12"/>
        <v>19583.333333333343</v>
      </c>
      <c r="AM64" s="62">
        <f t="shared" si="24"/>
        <v>47</v>
      </c>
      <c r="AN64" s="128">
        <f>IF(A64="","",IF(A64&lt;=Periodos_Gracia,Tabla!S64,PPMT(Tasa_Anual/360*Días*(1+I.V.A.),Tabla!AM64,No._De_Pagos_con_periodo_de_gracia,-Monto_Crédito)+S64))</f>
        <v>24437.026476657797</v>
      </c>
      <c r="AO64" s="128">
        <f>IF(A64="","",IF(A64&lt;=Periodos_Gracia,Tabla!AC64,Monto_Crédito/(No._De_Pagos_con_periodo_de_gracia)+AC64))</f>
        <v>19583.333333333343</v>
      </c>
      <c r="AP64" s="118"/>
    </row>
    <row r="65" spans="1:42">
      <c r="A65" s="108">
        <f>IF(A64&lt;Parámetros!$E$6,A64+1,"")</f>
        <v>48</v>
      </c>
      <c r="B65" s="109">
        <f t="shared" si="25"/>
        <v>295074.23467996973</v>
      </c>
      <c r="C65" s="109">
        <f t="shared" si="0"/>
        <v>20789.58342916935</v>
      </c>
      <c r="D65" s="109">
        <f t="shared" si="1"/>
        <v>3688.4279334996213</v>
      </c>
      <c r="E65" s="109">
        <f t="shared" si="2"/>
        <v>590.14846935993944</v>
      </c>
      <c r="F65" s="109">
        <f t="shared" si="3"/>
        <v>25068.159832028909</v>
      </c>
      <c r="G65" s="115">
        <f t="shared" si="13"/>
        <v>274284.65125080035</v>
      </c>
      <c r="H65" s="116">
        <f t="shared" si="14"/>
        <v>1</v>
      </c>
      <c r="I65" s="109">
        <f t="shared" si="26"/>
        <v>216666.66666666747</v>
      </c>
      <c r="J65" s="109">
        <f t="shared" si="4"/>
        <v>16666.666666666668</v>
      </c>
      <c r="K65" s="109">
        <f t="shared" si="5"/>
        <v>2708.3333333333435</v>
      </c>
      <c r="L65" s="109">
        <f t="shared" si="6"/>
        <v>433.33333333333496</v>
      </c>
      <c r="M65" s="109">
        <f t="shared" si="15"/>
        <v>19808.333333333347</v>
      </c>
      <c r="N65" s="115">
        <f t="shared" si="16"/>
        <v>200000.00000000081</v>
      </c>
      <c r="O65" s="61">
        <v>0</v>
      </c>
      <c r="P65" s="117">
        <f t="shared" si="17"/>
        <v>1</v>
      </c>
      <c r="R65" s="118">
        <f t="shared" si="28"/>
        <v>295074.23467996973</v>
      </c>
      <c r="S65" s="119">
        <f t="shared" si="7"/>
        <v>3688.4279334996213</v>
      </c>
      <c r="T65" s="119">
        <f t="shared" si="8"/>
        <v>590.14846935993944</v>
      </c>
      <c r="U65" s="120">
        <f t="shared" si="19"/>
        <v>0</v>
      </c>
      <c r="V65" s="121">
        <f>IF(A65="","",IF(A65&lt;=Periodos_Gracia,0,PPMT(Tasa_Anual/360*Días*(1+I.V.A.),Tabla!AM65,No._De_Pagos_con_periodo_de_gracia,-Monto_Crédito)))</f>
        <v>20789.58342916935</v>
      </c>
      <c r="W65" s="111">
        <f>IF($U$258&lt;=0,V65,IF(SUM($U$18:U65)&lt;=0,V65,PMT($K$5/360*Días,A65,-R65)))</f>
        <v>20789.58342916935</v>
      </c>
      <c r="X65" s="122">
        <f>IF($U$258&lt;=0,W65,IF(SUM($U$18:U65)&lt;=0,V65,PMT($K$5/360*Días,No._De_Pagos_con_periodo_de_gracia,-Monto_Crédito)-S65-T65))</f>
        <v>20789.58342916935</v>
      </c>
      <c r="Y65" s="118">
        <f t="shared" si="20"/>
        <v>20789.58342916935</v>
      </c>
      <c r="Z65" s="62">
        <f>+IF(A65="","",IF(No._de_Pagos-Tabla!A65+1&lt;=0,"",No._de_Pagos-Tabla!A65+1))</f>
        <v>13</v>
      </c>
      <c r="AA65" s="123">
        <f t="shared" si="21"/>
        <v>25068.159832028909</v>
      </c>
      <c r="AB65" s="125">
        <f t="shared" si="27"/>
        <v>216666.66666666747</v>
      </c>
      <c r="AC65" s="125">
        <f t="shared" si="9"/>
        <v>2708.333333333343</v>
      </c>
      <c r="AD65" s="125">
        <f t="shared" si="10"/>
        <v>433.33333333333491</v>
      </c>
      <c r="AE65" s="120">
        <f t="shared" si="22"/>
        <v>0</v>
      </c>
      <c r="AF65" s="121">
        <f t="shared" si="11"/>
        <v>16666.666666666668</v>
      </c>
      <c r="AG65" s="111">
        <f>IF($U$258&lt;=0,AF65,IF(SUM($U$18:U65)&lt;=0,AF65,PMT($K$5/360*Días,A65,-AA65)))</f>
        <v>16666.666666666668</v>
      </c>
      <c r="AH65" s="122">
        <f>IF(A65&lt;=Periodos_Gracia,0,IF($U$258&lt;=0,AG65,IF(SUM($U$18:U65)&lt;=0,AF65,PMT($K$5/360*Días,No._de_Pagos,-Monto_Crédito)-AC65-AD65)))</f>
        <v>16666.666666666668</v>
      </c>
      <c r="AI65" s="126">
        <f t="shared" si="23"/>
        <v>19808.333333333347</v>
      </c>
      <c r="AK65" s="127">
        <f>IF(A65="","",IF(Periodos_Gracia&gt;0,Tabla!AN65,V65+S65))</f>
        <v>24478.011362668971</v>
      </c>
      <c r="AL65" s="127">
        <f t="shared" si="12"/>
        <v>19375.000000000011</v>
      </c>
      <c r="AM65" s="62">
        <f t="shared" si="24"/>
        <v>48</v>
      </c>
      <c r="AN65" s="128">
        <f>IF(A65="","",IF(A65&lt;=Periodos_Gracia,Tabla!S65,PPMT(Tasa_Anual/360*Días*(1+I.V.A.),Tabla!AM65,No._De_Pagos_con_periodo_de_gracia,-Monto_Crédito)+S65))</f>
        <v>24478.011362668971</v>
      </c>
      <c r="AO65" s="128">
        <f>IF(A65="","",IF(A65&lt;=Periodos_Gracia,Tabla!AC65,Monto_Crédito/(No._De_Pagos_con_periodo_de_gracia)+AC65))</f>
        <v>19375.000000000011</v>
      </c>
      <c r="AP65" s="118"/>
    </row>
    <row r="66" spans="1:42">
      <c r="A66" s="108">
        <f>IF(A65&lt;Parámetros!$E$6,A65+1,"")</f>
        <v>49</v>
      </c>
      <c r="B66" s="109">
        <f t="shared" si="25"/>
        <v>274284.65125080035</v>
      </c>
      <c r="C66" s="109">
        <f t="shared" si="0"/>
        <v>21091.032388892305</v>
      </c>
      <c r="D66" s="109">
        <f t="shared" si="1"/>
        <v>3428.5581406350043</v>
      </c>
      <c r="E66" s="109">
        <f t="shared" si="2"/>
        <v>548.56930250160065</v>
      </c>
      <c r="F66" s="109">
        <f t="shared" si="3"/>
        <v>25068.159832028909</v>
      </c>
      <c r="G66" s="115">
        <f t="shared" si="13"/>
        <v>253193.61886190803</v>
      </c>
      <c r="H66" s="116">
        <f t="shared" si="14"/>
        <v>1</v>
      </c>
      <c r="I66" s="109">
        <f t="shared" si="26"/>
        <v>200000.00000000081</v>
      </c>
      <c r="J66" s="109">
        <f t="shared" si="4"/>
        <v>16666.666666666668</v>
      </c>
      <c r="K66" s="109">
        <f t="shared" si="5"/>
        <v>2500.00000000001</v>
      </c>
      <c r="L66" s="109">
        <f t="shared" si="6"/>
        <v>400.00000000000159</v>
      </c>
      <c r="M66" s="109">
        <f t="shared" si="15"/>
        <v>19566.666666666679</v>
      </c>
      <c r="N66" s="115">
        <f t="shared" si="16"/>
        <v>183333.33333333416</v>
      </c>
      <c r="O66" s="61">
        <v>0</v>
      </c>
      <c r="P66" s="117">
        <f t="shared" si="17"/>
        <v>1</v>
      </c>
      <c r="R66" s="118">
        <f t="shared" si="28"/>
        <v>274284.65125080035</v>
      </c>
      <c r="S66" s="119">
        <f t="shared" si="7"/>
        <v>3428.5581406350043</v>
      </c>
      <c r="T66" s="119">
        <f t="shared" si="8"/>
        <v>548.56930250160065</v>
      </c>
      <c r="U66" s="120">
        <f t="shared" si="19"/>
        <v>0</v>
      </c>
      <c r="V66" s="121">
        <f>IF(A66="","",IF(A66&lt;=Periodos_Gracia,0,PPMT(Tasa_Anual/360*Días*(1+I.V.A.),Tabla!AM66,No._De_Pagos_con_periodo_de_gracia,-Monto_Crédito)))</f>
        <v>21091.032388892305</v>
      </c>
      <c r="W66" s="111">
        <f>IF($U$258&lt;=0,V66,IF(SUM($U$18:U66)&lt;=0,V66,PMT($K$5/360*Días,A66,-R66)))</f>
        <v>21091.032388892305</v>
      </c>
      <c r="X66" s="122">
        <f>IF($U$258&lt;=0,W66,IF(SUM($U$18:U66)&lt;=0,V66,PMT($K$5/360*Días,No._De_Pagos_con_periodo_de_gracia,-Monto_Crédito)-S66-T66))</f>
        <v>21091.032388892305</v>
      </c>
      <c r="Y66" s="118">
        <f t="shared" si="20"/>
        <v>21091.032388892305</v>
      </c>
      <c r="Z66" s="62">
        <f>+IF(A66="","",IF(No._de_Pagos-Tabla!A66+1&lt;=0,"",No._de_Pagos-Tabla!A66+1))</f>
        <v>12</v>
      </c>
      <c r="AA66" s="123">
        <f t="shared" si="21"/>
        <v>25068.159832028909</v>
      </c>
      <c r="AB66" s="125">
        <f t="shared" si="27"/>
        <v>200000.00000000081</v>
      </c>
      <c r="AC66" s="125">
        <f t="shared" si="9"/>
        <v>2500.00000000001</v>
      </c>
      <c r="AD66" s="125">
        <f t="shared" si="10"/>
        <v>400.00000000000159</v>
      </c>
      <c r="AE66" s="120">
        <f t="shared" si="22"/>
        <v>0</v>
      </c>
      <c r="AF66" s="121">
        <f t="shared" si="11"/>
        <v>16666.666666666668</v>
      </c>
      <c r="AG66" s="111">
        <f>IF($U$258&lt;=0,AF66,IF(SUM($U$18:U66)&lt;=0,AF66,PMT($K$5/360*Días,A66,-AA66)))</f>
        <v>16666.666666666668</v>
      </c>
      <c r="AH66" s="122">
        <f>IF(A66&lt;=Periodos_Gracia,0,IF($U$258&lt;=0,AG66,IF(SUM($U$18:U66)&lt;=0,AF66,PMT($K$5/360*Días,No._de_Pagos,-Monto_Crédito)-AC66-AD66)))</f>
        <v>16666.666666666668</v>
      </c>
      <c r="AI66" s="126">
        <f t="shared" si="23"/>
        <v>19566.666666666679</v>
      </c>
      <c r="AK66" s="127">
        <f>IF(A66="","",IF(Periodos_Gracia&gt;0,Tabla!AN66,V66+S66))</f>
        <v>24519.590529527308</v>
      </c>
      <c r="AL66" s="127">
        <f t="shared" si="12"/>
        <v>19166.666666666679</v>
      </c>
      <c r="AM66" s="62">
        <f t="shared" si="24"/>
        <v>49</v>
      </c>
      <c r="AN66" s="128">
        <f>IF(A66="","",IF(A66&lt;=Periodos_Gracia,Tabla!S66,PPMT(Tasa_Anual/360*Días*(1+I.V.A.),Tabla!AM66,No._De_Pagos_con_periodo_de_gracia,-Monto_Crédito)+S66))</f>
        <v>24519.590529527308</v>
      </c>
      <c r="AO66" s="128">
        <f>IF(A66="","",IF(A66&lt;=Periodos_Gracia,Tabla!AC66,Monto_Crédito/(No._De_Pagos_con_periodo_de_gracia)+AC66))</f>
        <v>19166.666666666679</v>
      </c>
      <c r="AP66" s="118"/>
    </row>
    <row r="67" spans="1:42">
      <c r="A67" s="108">
        <f>IF(A66&lt;Parámetros!$E$6,A66+1,"")</f>
        <v>50</v>
      </c>
      <c r="B67" s="109">
        <f t="shared" si="25"/>
        <v>253193.61886190803</v>
      </c>
      <c r="C67" s="109">
        <f t="shared" si="0"/>
        <v>21396.852358531243</v>
      </c>
      <c r="D67" s="109">
        <f t="shared" si="1"/>
        <v>3164.9202357738504</v>
      </c>
      <c r="E67" s="109">
        <f t="shared" si="2"/>
        <v>506.3872377238161</v>
      </c>
      <c r="F67" s="109">
        <f t="shared" si="3"/>
        <v>25068.159832028909</v>
      </c>
      <c r="G67" s="115">
        <f t="shared" si="13"/>
        <v>231796.7665033768</v>
      </c>
      <c r="H67" s="116">
        <f t="shared" si="14"/>
        <v>1</v>
      </c>
      <c r="I67" s="109">
        <f t="shared" si="26"/>
        <v>183333.33333333416</v>
      </c>
      <c r="J67" s="109">
        <f t="shared" si="4"/>
        <v>16666.666666666668</v>
      </c>
      <c r="K67" s="109">
        <f t="shared" si="5"/>
        <v>2291.666666666677</v>
      </c>
      <c r="L67" s="109">
        <f t="shared" si="6"/>
        <v>366.66666666666833</v>
      </c>
      <c r="M67" s="109">
        <f t="shared" si="15"/>
        <v>19325.000000000011</v>
      </c>
      <c r="N67" s="115">
        <f t="shared" si="16"/>
        <v>166666.6666666675</v>
      </c>
      <c r="O67" s="61">
        <v>0</v>
      </c>
      <c r="P67" s="117">
        <f t="shared" si="17"/>
        <v>1</v>
      </c>
      <c r="R67" s="118">
        <f t="shared" si="28"/>
        <v>253193.61886190803</v>
      </c>
      <c r="S67" s="119">
        <f t="shared" si="7"/>
        <v>3164.9202357738504</v>
      </c>
      <c r="T67" s="119">
        <f t="shared" si="8"/>
        <v>506.3872377238161</v>
      </c>
      <c r="U67" s="120">
        <f t="shared" si="19"/>
        <v>0</v>
      </c>
      <c r="V67" s="121">
        <f>IF(A67="","",IF(A67&lt;=Periodos_Gracia,0,PPMT(Tasa_Anual/360*Días*(1+I.V.A.),Tabla!AM67,No._De_Pagos_con_periodo_de_gracia,-Monto_Crédito)))</f>
        <v>21396.852358531243</v>
      </c>
      <c r="W67" s="111">
        <f>IF($U$258&lt;=0,V67,IF(SUM($U$18:U67)&lt;=0,V67,PMT($K$5/360*Días,A67,-R67)))</f>
        <v>21396.852358531243</v>
      </c>
      <c r="X67" s="122">
        <f>IF($U$258&lt;=0,W67,IF(SUM($U$18:U67)&lt;=0,V67,PMT($K$5/360*Días,No._De_Pagos_con_periodo_de_gracia,-Monto_Crédito)-S67-T67))</f>
        <v>21396.852358531243</v>
      </c>
      <c r="Y67" s="118">
        <f t="shared" si="20"/>
        <v>21396.852358531243</v>
      </c>
      <c r="Z67" s="62">
        <f>+IF(A67="","",IF(No._de_Pagos-Tabla!A67+1&lt;=0,"",No._de_Pagos-Tabla!A67+1))</f>
        <v>11</v>
      </c>
      <c r="AA67" s="123">
        <f t="shared" si="21"/>
        <v>25068.159832028909</v>
      </c>
      <c r="AB67" s="125">
        <f t="shared" si="27"/>
        <v>183333.33333333416</v>
      </c>
      <c r="AC67" s="125">
        <f t="shared" si="9"/>
        <v>2291.666666666677</v>
      </c>
      <c r="AD67" s="125">
        <f t="shared" si="10"/>
        <v>366.66666666666833</v>
      </c>
      <c r="AE67" s="120">
        <f t="shared" si="22"/>
        <v>0</v>
      </c>
      <c r="AF67" s="121">
        <f t="shared" si="11"/>
        <v>16666.666666666668</v>
      </c>
      <c r="AG67" s="111">
        <f>IF($U$258&lt;=0,AF67,IF(SUM($U$18:U67)&lt;=0,AF67,PMT($K$5/360*Días,A67,-AA67)))</f>
        <v>16666.666666666668</v>
      </c>
      <c r="AH67" s="122">
        <f>IF(A67&lt;=Periodos_Gracia,0,IF($U$258&lt;=0,AG67,IF(SUM($U$18:U67)&lt;=0,AF67,PMT($K$5/360*Días,No._de_Pagos,-Monto_Crédito)-AC67-AD67)))</f>
        <v>16666.666666666668</v>
      </c>
      <c r="AI67" s="126">
        <f t="shared" si="23"/>
        <v>19325.000000000011</v>
      </c>
      <c r="AK67" s="127">
        <f>IF(A67="","",IF(Periodos_Gracia&gt;0,Tabla!AN67,V67+S67))</f>
        <v>24561.772594305094</v>
      </c>
      <c r="AL67" s="127">
        <f t="shared" si="12"/>
        <v>18958.333333333343</v>
      </c>
      <c r="AM67" s="62">
        <f t="shared" si="24"/>
        <v>50</v>
      </c>
      <c r="AN67" s="128">
        <f>IF(A67="","",IF(A67&lt;=Periodos_Gracia,Tabla!S67,PPMT(Tasa_Anual/360*Días*(1+I.V.A.),Tabla!AM67,No._De_Pagos_con_periodo_de_gracia,-Monto_Crédito)+S67))</f>
        <v>24561.772594305094</v>
      </c>
      <c r="AO67" s="128">
        <f>IF(A67="","",IF(A67&lt;=Periodos_Gracia,Tabla!AC67,Monto_Crédito/(No._De_Pagos_con_periodo_de_gracia)+AC67))</f>
        <v>18958.333333333343</v>
      </c>
      <c r="AP67" s="118"/>
    </row>
    <row r="68" spans="1:42">
      <c r="A68" s="108">
        <f>IF(A67&lt;Parámetros!$E$6,A67+1,"")</f>
        <v>51</v>
      </c>
      <c r="B68" s="109">
        <f t="shared" si="25"/>
        <v>231796.7665033768</v>
      </c>
      <c r="C68" s="109">
        <f t="shared" si="0"/>
        <v>21707.106717729945</v>
      </c>
      <c r="D68" s="109">
        <f t="shared" si="1"/>
        <v>2897.4595812922103</v>
      </c>
      <c r="E68" s="109">
        <f t="shared" si="2"/>
        <v>463.59353300675366</v>
      </c>
      <c r="F68" s="109">
        <f t="shared" si="3"/>
        <v>25068.159832028909</v>
      </c>
      <c r="G68" s="115">
        <f t="shared" si="13"/>
        <v>210089.65978564686</v>
      </c>
      <c r="H68" s="116">
        <f t="shared" si="14"/>
        <v>1</v>
      </c>
      <c r="I68" s="109">
        <f t="shared" si="26"/>
        <v>166666.6666666675</v>
      </c>
      <c r="J68" s="109">
        <f t="shared" si="4"/>
        <v>16666.666666666668</v>
      </c>
      <c r="K68" s="109">
        <f t="shared" si="5"/>
        <v>2083.3333333333435</v>
      </c>
      <c r="L68" s="109">
        <f t="shared" si="6"/>
        <v>333.33333333333496</v>
      </c>
      <c r="M68" s="109">
        <f t="shared" si="15"/>
        <v>19083.333333333347</v>
      </c>
      <c r="N68" s="115">
        <f t="shared" si="16"/>
        <v>150000.00000000084</v>
      </c>
      <c r="O68" s="61">
        <v>0</v>
      </c>
      <c r="P68" s="117">
        <f t="shared" si="17"/>
        <v>1</v>
      </c>
      <c r="R68" s="118">
        <f t="shared" si="28"/>
        <v>231796.7665033768</v>
      </c>
      <c r="S68" s="119">
        <f t="shared" si="7"/>
        <v>2897.4595812922103</v>
      </c>
      <c r="T68" s="119">
        <f t="shared" si="8"/>
        <v>463.59353300675366</v>
      </c>
      <c r="U68" s="120">
        <f t="shared" si="19"/>
        <v>0</v>
      </c>
      <c r="V68" s="121">
        <f>IF(A68="","",IF(A68&lt;=Periodos_Gracia,0,PPMT(Tasa_Anual/360*Días*(1+I.V.A.),Tabla!AM68,No._De_Pagos_con_periodo_de_gracia,-Monto_Crédito)))</f>
        <v>21707.106717729945</v>
      </c>
      <c r="W68" s="111">
        <f>IF($U$258&lt;=0,V68,IF(SUM($U$18:U68)&lt;=0,V68,PMT($K$5/360*Días,A68,-R68)))</f>
        <v>21707.106717729945</v>
      </c>
      <c r="X68" s="122">
        <f>IF($U$258&lt;=0,W68,IF(SUM($U$18:U68)&lt;=0,V68,PMT($K$5/360*Días,No._De_Pagos_con_periodo_de_gracia,-Monto_Crédito)-S68-T68))</f>
        <v>21707.106717729945</v>
      </c>
      <c r="Y68" s="118">
        <f t="shared" si="20"/>
        <v>21707.106717729945</v>
      </c>
      <c r="Z68" s="62">
        <f>+IF(A68="","",IF(No._de_Pagos-Tabla!A68+1&lt;=0,"",No._de_Pagos-Tabla!A68+1))</f>
        <v>10</v>
      </c>
      <c r="AA68" s="123">
        <f t="shared" si="21"/>
        <v>25068.159832028909</v>
      </c>
      <c r="AB68" s="125">
        <f t="shared" si="27"/>
        <v>166666.6666666675</v>
      </c>
      <c r="AC68" s="125">
        <f t="shared" si="9"/>
        <v>2083.3333333333435</v>
      </c>
      <c r="AD68" s="125">
        <f t="shared" si="10"/>
        <v>333.33333333333496</v>
      </c>
      <c r="AE68" s="120">
        <f t="shared" si="22"/>
        <v>0</v>
      </c>
      <c r="AF68" s="121">
        <f t="shared" si="11"/>
        <v>16666.666666666668</v>
      </c>
      <c r="AG68" s="111">
        <f>IF($U$258&lt;=0,AF68,IF(SUM($U$18:U68)&lt;=0,AF68,PMT($K$5/360*Días,A68,-AA68)))</f>
        <v>16666.666666666668</v>
      </c>
      <c r="AH68" s="122">
        <f>IF(A68&lt;=Periodos_Gracia,0,IF($U$258&lt;=0,AG68,IF(SUM($U$18:U68)&lt;=0,AF68,PMT($K$5/360*Días,No._de_Pagos,-Monto_Crédito)-AC68-AD68)))</f>
        <v>16666.666666666668</v>
      </c>
      <c r="AI68" s="126">
        <f t="shared" si="23"/>
        <v>19083.333333333347</v>
      </c>
      <c r="AK68" s="127">
        <f>IF(A68="","",IF(Periodos_Gracia&gt;0,Tabla!AN68,V68+S68))</f>
        <v>24604.566299022154</v>
      </c>
      <c r="AL68" s="127">
        <f t="shared" si="12"/>
        <v>18750.000000000011</v>
      </c>
      <c r="AM68" s="62">
        <f t="shared" si="24"/>
        <v>51</v>
      </c>
      <c r="AN68" s="128">
        <f>IF(A68="","",IF(A68&lt;=Periodos_Gracia,Tabla!S68,PPMT(Tasa_Anual/360*Días*(1+I.V.A.),Tabla!AM68,No._De_Pagos_con_periodo_de_gracia,-Monto_Crédito)+S68))</f>
        <v>24604.566299022154</v>
      </c>
      <c r="AO68" s="128">
        <f>IF(A68="","",IF(A68&lt;=Periodos_Gracia,Tabla!AC68,Monto_Crédito/(No._De_Pagos_con_periodo_de_gracia)+AC68))</f>
        <v>18750.000000000011</v>
      </c>
      <c r="AP68" s="118"/>
    </row>
    <row r="69" spans="1:42">
      <c r="A69" s="108">
        <f>IF(A68&lt;Parámetros!$E$6,A68+1,"")</f>
        <v>52</v>
      </c>
      <c r="B69" s="109">
        <f t="shared" si="25"/>
        <v>210089.65978564686</v>
      </c>
      <c r="C69" s="109">
        <f t="shared" si="0"/>
        <v>22021.859765137029</v>
      </c>
      <c r="D69" s="109">
        <f t="shared" si="1"/>
        <v>2626.1207473205855</v>
      </c>
      <c r="E69" s="109">
        <f t="shared" si="2"/>
        <v>420.17931957129366</v>
      </c>
      <c r="F69" s="109">
        <f t="shared" si="3"/>
        <v>25068.159832028909</v>
      </c>
      <c r="G69" s="115">
        <f t="shared" si="13"/>
        <v>188067.80002050984</v>
      </c>
      <c r="H69" s="116">
        <f t="shared" si="14"/>
        <v>1</v>
      </c>
      <c r="I69" s="109">
        <f t="shared" si="26"/>
        <v>150000.00000000084</v>
      </c>
      <c r="J69" s="109">
        <f t="shared" si="4"/>
        <v>16666.666666666668</v>
      </c>
      <c r="K69" s="109">
        <f t="shared" si="5"/>
        <v>1875.0000000000107</v>
      </c>
      <c r="L69" s="109">
        <f t="shared" si="6"/>
        <v>300.00000000000171</v>
      </c>
      <c r="M69" s="109">
        <f t="shared" si="15"/>
        <v>18841.666666666679</v>
      </c>
      <c r="N69" s="115">
        <f t="shared" si="16"/>
        <v>133333.33333333419</v>
      </c>
      <c r="O69" s="61">
        <v>0</v>
      </c>
      <c r="P69" s="117">
        <f t="shared" si="17"/>
        <v>1</v>
      </c>
      <c r="R69" s="118">
        <f t="shared" si="28"/>
        <v>210089.65978564686</v>
      </c>
      <c r="S69" s="119">
        <f t="shared" si="7"/>
        <v>2626.1207473205855</v>
      </c>
      <c r="T69" s="119">
        <f t="shared" si="8"/>
        <v>420.17931957129366</v>
      </c>
      <c r="U69" s="120">
        <f t="shared" si="19"/>
        <v>0</v>
      </c>
      <c r="V69" s="121">
        <f>IF(A69="","",IF(A69&lt;=Periodos_Gracia,0,PPMT(Tasa_Anual/360*Días*(1+I.V.A.),Tabla!AM69,No._De_Pagos_con_periodo_de_gracia,-Monto_Crédito)))</f>
        <v>22021.859765137029</v>
      </c>
      <c r="W69" s="111">
        <f>IF($U$258&lt;=0,V69,IF(SUM($U$18:U69)&lt;=0,V69,PMT($K$5/360*Días,A69,-R69)))</f>
        <v>22021.859765137029</v>
      </c>
      <c r="X69" s="122">
        <f>IF($U$258&lt;=0,W69,IF(SUM($U$18:U69)&lt;=0,V69,PMT($K$5/360*Días,No._De_Pagos_con_periodo_de_gracia,-Monto_Crédito)-S69-T69))</f>
        <v>22021.859765137029</v>
      </c>
      <c r="Y69" s="118">
        <f t="shared" si="20"/>
        <v>22021.859765137029</v>
      </c>
      <c r="Z69" s="62">
        <f>+IF(A69="","",IF(No._de_Pagos-Tabla!A69+1&lt;=0,"",No._de_Pagos-Tabla!A69+1))</f>
        <v>9</v>
      </c>
      <c r="AA69" s="123">
        <f t="shared" si="21"/>
        <v>25068.159832028909</v>
      </c>
      <c r="AB69" s="125">
        <f t="shared" si="27"/>
        <v>150000.00000000084</v>
      </c>
      <c r="AC69" s="125">
        <f t="shared" si="9"/>
        <v>1875.0000000000105</v>
      </c>
      <c r="AD69" s="125">
        <f t="shared" si="10"/>
        <v>300.00000000000171</v>
      </c>
      <c r="AE69" s="120">
        <f t="shared" si="22"/>
        <v>0</v>
      </c>
      <c r="AF69" s="121">
        <f t="shared" si="11"/>
        <v>16666.666666666668</v>
      </c>
      <c r="AG69" s="111">
        <f>IF($U$258&lt;=0,AF69,IF(SUM($U$18:U69)&lt;=0,AF69,PMT($K$5/360*Días,A69,-AA69)))</f>
        <v>16666.666666666668</v>
      </c>
      <c r="AH69" s="122">
        <f>IF(A69&lt;=Periodos_Gracia,0,IF($U$258&lt;=0,AG69,IF(SUM($U$18:U69)&lt;=0,AF69,PMT($K$5/360*Días,No._de_Pagos,-Monto_Crédito)-AC69-AD69)))</f>
        <v>16666.666666666668</v>
      </c>
      <c r="AI69" s="126">
        <f t="shared" si="23"/>
        <v>18841.666666666679</v>
      </c>
      <c r="AK69" s="127">
        <f>IF(A69="","",IF(Periodos_Gracia&gt;0,Tabla!AN69,V69+S69))</f>
        <v>24647.980512457616</v>
      </c>
      <c r="AL69" s="127">
        <f t="shared" si="12"/>
        <v>18541.666666666679</v>
      </c>
      <c r="AM69" s="62">
        <f t="shared" si="24"/>
        <v>52</v>
      </c>
      <c r="AN69" s="128">
        <f>IF(A69="","",IF(A69&lt;=Periodos_Gracia,Tabla!S69,PPMT(Tasa_Anual/360*Días*(1+I.V.A.),Tabla!AM69,No._De_Pagos_con_periodo_de_gracia,-Monto_Crédito)+S69))</f>
        <v>24647.980512457616</v>
      </c>
      <c r="AO69" s="128">
        <f>IF(A69="","",IF(A69&lt;=Periodos_Gracia,Tabla!AC69,Monto_Crédito/(No._De_Pagos_con_periodo_de_gracia)+AC69))</f>
        <v>18541.666666666679</v>
      </c>
      <c r="AP69" s="118"/>
    </row>
    <row r="70" spans="1:42">
      <c r="A70" s="108">
        <f>IF(A69&lt;Parámetros!$E$6,A69+1,"")</f>
        <v>53</v>
      </c>
      <c r="B70" s="109">
        <f t="shared" si="25"/>
        <v>188067.80002050984</v>
      </c>
      <c r="C70" s="109">
        <f t="shared" si="0"/>
        <v>22341.176731731517</v>
      </c>
      <c r="D70" s="109">
        <f t="shared" si="1"/>
        <v>2350.8475002563728</v>
      </c>
      <c r="E70" s="109">
        <f t="shared" si="2"/>
        <v>376.13560004101964</v>
      </c>
      <c r="F70" s="109">
        <f t="shared" si="3"/>
        <v>25068.159832028909</v>
      </c>
      <c r="G70" s="115">
        <f t="shared" si="13"/>
        <v>165726.62328877833</v>
      </c>
      <c r="H70" s="116">
        <f t="shared" si="14"/>
        <v>1</v>
      </c>
      <c r="I70" s="109">
        <f t="shared" si="26"/>
        <v>133333.33333333419</v>
      </c>
      <c r="J70" s="109">
        <f t="shared" si="4"/>
        <v>16666.666666666668</v>
      </c>
      <c r="K70" s="109">
        <f t="shared" si="5"/>
        <v>1666.6666666666772</v>
      </c>
      <c r="L70" s="109">
        <f t="shared" si="6"/>
        <v>266.66666666666833</v>
      </c>
      <c r="M70" s="109">
        <f t="shared" si="15"/>
        <v>18600.000000000015</v>
      </c>
      <c r="N70" s="115">
        <f t="shared" si="16"/>
        <v>116666.66666666752</v>
      </c>
      <c r="O70" s="61">
        <v>0</v>
      </c>
      <c r="P70" s="117">
        <f t="shared" si="17"/>
        <v>1</v>
      </c>
      <c r="R70" s="118">
        <f t="shared" si="28"/>
        <v>188067.80002050984</v>
      </c>
      <c r="S70" s="119">
        <f t="shared" si="7"/>
        <v>2350.8475002563728</v>
      </c>
      <c r="T70" s="119">
        <f t="shared" si="8"/>
        <v>376.13560004101964</v>
      </c>
      <c r="U70" s="120">
        <f t="shared" si="19"/>
        <v>0</v>
      </c>
      <c r="V70" s="121">
        <f>IF(A70="","",IF(A70&lt;=Periodos_Gracia,0,PPMT(Tasa_Anual/360*Días*(1+I.V.A.),Tabla!AM70,No._De_Pagos_con_periodo_de_gracia,-Monto_Crédito)))</f>
        <v>22341.176731731517</v>
      </c>
      <c r="W70" s="111">
        <f>IF($U$258&lt;=0,V70,IF(SUM($U$18:U70)&lt;=0,V70,PMT($K$5/360*Días,A70,-R70)))</f>
        <v>22341.176731731517</v>
      </c>
      <c r="X70" s="122">
        <f>IF($U$258&lt;=0,W70,IF(SUM($U$18:U70)&lt;=0,V70,PMT($K$5/360*Días,No._De_Pagos_con_periodo_de_gracia,-Monto_Crédito)-S70-T70))</f>
        <v>22341.176731731517</v>
      </c>
      <c r="Y70" s="118">
        <f t="shared" si="20"/>
        <v>22341.176731731517</v>
      </c>
      <c r="Z70" s="62">
        <f>+IF(A70="","",IF(No._de_Pagos-Tabla!A70+1&lt;=0,"",No._de_Pagos-Tabla!A70+1))</f>
        <v>8</v>
      </c>
      <c r="AA70" s="123">
        <f t="shared" si="21"/>
        <v>25068.159832028909</v>
      </c>
      <c r="AB70" s="125">
        <f t="shared" si="27"/>
        <v>133333.33333333419</v>
      </c>
      <c r="AC70" s="125">
        <f t="shared" si="9"/>
        <v>1666.6666666666772</v>
      </c>
      <c r="AD70" s="125">
        <f t="shared" si="10"/>
        <v>266.66666666666833</v>
      </c>
      <c r="AE70" s="120">
        <f t="shared" si="22"/>
        <v>0</v>
      </c>
      <c r="AF70" s="121">
        <f t="shared" si="11"/>
        <v>16666.666666666668</v>
      </c>
      <c r="AG70" s="111">
        <f>IF($U$258&lt;=0,AF70,IF(SUM($U$18:U70)&lt;=0,AF70,PMT($K$5/360*Días,A70,-AA70)))</f>
        <v>16666.666666666668</v>
      </c>
      <c r="AH70" s="122">
        <f>IF(A70&lt;=Periodos_Gracia,0,IF($U$258&lt;=0,AG70,IF(SUM($U$18:U70)&lt;=0,AF70,PMT($K$5/360*Días,No._de_Pagos,-Monto_Crédito)-AC70-AD70)))</f>
        <v>16666.666666666668</v>
      </c>
      <c r="AI70" s="126">
        <f t="shared" si="23"/>
        <v>18600.000000000015</v>
      </c>
      <c r="AK70" s="127">
        <f>IF(A70="","",IF(Periodos_Gracia&gt;0,Tabla!AN70,V70+S70))</f>
        <v>24692.024231987889</v>
      </c>
      <c r="AL70" s="127">
        <f t="shared" si="12"/>
        <v>18333.333333333347</v>
      </c>
      <c r="AM70" s="62">
        <f t="shared" si="24"/>
        <v>53</v>
      </c>
      <c r="AN70" s="128">
        <f>IF(A70="","",IF(A70&lt;=Periodos_Gracia,Tabla!S70,PPMT(Tasa_Anual/360*Días*(1+I.V.A.),Tabla!AM70,No._De_Pagos_con_periodo_de_gracia,-Monto_Crédito)+S70))</f>
        <v>24692.024231987889</v>
      </c>
      <c r="AO70" s="128">
        <f>IF(A70="","",IF(A70&lt;=Periodos_Gracia,Tabla!AC70,Monto_Crédito/(No._De_Pagos_con_periodo_de_gracia)+AC70))</f>
        <v>18333.333333333347</v>
      </c>
      <c r="AP70" s="118"/>
    </row>
    <row r="71" spans="1:42">
      <c r="A71" s="108">
        <f>IF(A70&lt;Parámetros!$E$6,A70+1,"")</f>
        <v>54</v>
      </c>
      <c r="B71" s="109">
        <f t="shared" si="25"/>
        <v>165726.62328877833</v>
      </c>
      <c r="C71" s="109">
        <f t="shared" si="0"/>
        <v>22665.123794341624</v>
      </c>
      <c r="D71" s="109">
        <f t="shared" si="1"/>
        <v>2071.582791109729</v>
      </c>
      <c r="E71" s="109">
        <f t="shared" si="2"/>
        <v>331.45324657755663</v>
      </c>
      <c r="F71" s="109">
        <f t="shared" si="3"/>
        <v>25068.159832028909</v>
      </c>
      <c r="G71" s="115">
        <f t="shared" si="13"/>
        <v>143061.49949443669</v>
      </c>
      <c r="H71" s="116">
        <f t="shared" si="14"/>
        <v>1</v>
      </c>
      <c r="I71" s="109">
        <f t="shared" si="26"/>
        <v>116666.66666666752</v>
      </c>
      <c r="J71" s="109">
        <f t="shared" si="4"/>
        <v>16666.666666666668</v>
      </c>
      <c r="K71" s="109">
        <f t="shared" si="5"/>
        <v>1458.3333333333439</v>
      </c>
      <c r="L71" s="109">
        <f t="shared" si="6"/>
        <v>233.33333333333505</v>
      </c>
      <c r="M71" s="109">
        <f t="shared" si="15"/>
        <v>18358.333333333347</v>
      </c>
      <c r="N71" s="115">
        <f t="shared" si="16"/>
        <v>100000.00000000084</v>
      </c>
      <c r="O71" s="61">
        <v>0</v>
      </c>
      <c r="P71" s="117">
        <f t="shared" si="17"/>
        <v>1</v>
      </c>
      <c r="R71" s="118">
        <f t="shared" si="28"/>
        <v>165726.62328877833</v>
      </c>
      <c r="S71" s="119">
        <f t="shared" si="7"/>
        <v>2071.5827911097294</v>
      </c>
      <c r="T71" s="119">
        <f t="shared" si="8"/>
        <v>331.45324657755674</v>
      </c>
      <c r="U71" s="120">
        <f t="shared" si="19"/>
        <v>0</v>
      </c>
      <c r="V71" s="121">
        <f>IF(A71="","",IF(A71&lt;=Periodos_Gracia,0,PPMT(Tasa_Anual/360*Días*(1+I.V.A.),Tabla!AM71,No._De_Pagos_con_periodo_de_gracia,-Monto_Crédito)))</f>
        <v>22665.123794341624</v>
      </c>
      <c r="W71" s="111">
        <f>IF($U$258&lt;=0,V71,IF(SUM($U$18:U71)&lt;=0,V71,PMT($K$5/360*Días,A71,-R71)))</f>
        <v>22665.123794341624</v>
      </c>
      <c r="X71" s="122">
        <f>IF($U$258&lt;=0,W71,IF(SUM($U$18:U71)&lt;=0,V71,PMT($K$5/360*Días,No._De_Pagos_con_periodo_de_gracia,-Monto_Crédito)-S71-T71))</f>
        <v>22665.123794341624</v>
      </c>
      <c r="Y71" s="118">
        <f t="shared" si="20"/>
        <v>22665.123794341624</v>
      </c>
      <c r="Z71" s="62">
        <f>+IF(A71="","",IF(No._de_Pagos-Tabla!A71+1&lt;=0,"",No._de_Pagos-Tabla!A71+1))</f>
        <v>7</v>
      </c>
      <c r="AA71" s="123">
        <f t="shared" si="21"/>
        <v>25068.159832028909</v>
      </c>
      <c r="AB71" s="125">
        <f t="shared" si="27"/>
        <v>116666.66666666752</v>
      </c>
      <c r="AC71" s="125">
        <f t="shared" si="9"/>
        <v>1458.3333333333437</v>
      </c>
      <c r="AD71" s="125">
        <f t="shared" si="10"/>
        <v>233.33333333333499</v>
      </c>
      <c r="AE71" s="120">
        <f t="shared" si="22"/>
        <v>0</v>
      </c>
      <c r="AF71" s="121">
        <f t="shared" si="11"/>
        <v>16666.666666666668</v>
      </c>
      <c r="AG71" s="111">
        <f>IF($U$258&lt;=0,AF71,IF(SUM($U$18:U71)&lt;=0,AF71,PMT($K$5/360*Días,A71,-AA71)))</f>
        <v>16666.666666666668</v>
      </c>
      <c r="AH71" s="122">
        <f>IF(A71&lt;=Periodos_Gracia,0,IF($U$258&lt;=0,AG71,IF(SUM($U$18:U71)&lt;=0,AF71,PMT($K$5/360*Días,No._de_Pagos,-Monto_Crédito)-AC71-AD71)))</f>
        <v>16666.666666666668</v>
      </c>
      <c r="AI71" s="126">
        <f t="shared" si="23"/>
        <v>18358.333333333347</v>
      </c>
      <c r="AK71" s="127">
        <f>IF(A71="","",IF(Periodos_Gracia&gt;0,Tabla!AN71,V71+S71))</f>
        <v>24736.706585451353</v>
      </c>
      <c r="AL71" s="127">
        <f t="shared" si="12"/>
        <v>18125.000000000011</v>
      </c>
      <c r="AM71" s="62">
        <f t="shared" si="24"/>
        <v>54</v>
      </c>
      <c r="AN71" s="128">
        <f>IF(A71="","",IF(A71&lt;=Periodos_Gracia,Tabla!S71,PPMT(Tasa_Anual/360*Días*(1+I.V.A.),Tabla!AM71,No._De_Pagos_con_periodo_de_gracia,-Monto_Crédito)+S71))</f>
        <v>24736.706585451353</v>
      </c>
      <c r="AO71" s="128">
        <f>IF(A71="","",IF(A71&lt;=Periodos_Gracia,Tabla!AC71,Monto_Crédito/(No._De_Pagos_con_periodo_de_gracia)+AC71))</f>
        <v>18125.000000000011</v>
      </c>
      <c r="AP71" s="118"/>
    </row>
    <row r="72" spans="1:42">
      <c r="A72" s="108">
        <f>IF(A71&lt;Parámetros!$E$6,A71+1,"")</f>
        <v>55</v>
      </c>
      <c r="B72" s="109">
        <f t="shared" si="25"/>
        <v>143061.49949443669</v>
      </c>
      <c r="C72" s="109">
        <f t="shared" si="0"/>
        <v>22993.768089359579</v>
      </c>
      <c r="D72" s="109">
        <f t="shared" si="1"/>
        <v>1788.2687436804588</v>
      </c>
      <c r="E72" s="109">
        <f t="shared" si="2"/>
        <v>286.12299898887341</v>
      </c>
      <c r="F72" s="109">
        <f t="shared" si="3"/>
        <v>25068.159832028912</v>
      </c>
      <c r="G72" s="115">
        <f t="shared" si="13"/>
        <v>120067.73140507711</v>
      </c>
      <c r="H72" s="116">
        <f t="shared" si="14"/>
        <v>1</v>
      </c>
      <c r="I72" s="109">
        <f t="shared" si="26"/>
        <v>100000.00000000084</v>
      </c>
      <c r="J72" s="109">
        <f t="shared" si="4"/>
        <v>16666.666666666668</v>
      </c>
      <c r="K72" s="109">
        <f t="shared" si="5"/>
        <v>1250.0000000000105</v>
      </c>
      <c r="L72" s="109">
        <f t="shared" si="6"/>
        <v>200.00000000000168</v>
      </c>
      <c r="M72" s="109">
        <f t="shared" si="15"/>
        <v>18116.666666666679</v>
      </c>
      <c r="N72" s="115">
        <f t="shared" si="16"/>
        <v>83333.333333334172</v>
      </c>
      <c r="O72" s="61">
        <v>0</v>
      </c>
      <c r="P72" s="117">
        <f t="shared" si="17"/>
        <v>1</v>
      </c>
      <c r="R72" s="118">
        <f t="shared" si="28"/>
        <v>143061.49949443669</v>
      </c>
      <c r="S72" s="119">
        <f t="shared" si="7"/>
        <v>1788.2687436804586</v>
      </c>
      <c r="T72" s="119">
        <f t="shared" si="8"/>
        <v>286.12299898887335</v>
      </c>
      <c r="U72" s="120">
        <f t="shared" si="19"/>
        <v>0</v>
      </c>
      <c r="V72" s="121">
        <f>IF(A72="","",IF(A72&lt;=Periodos_Gracia,0,PPMT(Tasa_Anual/360*Días*(1+I.V.A.),Tabla!AM72,No._De_Pagos_con_periodo_de_gracia,-Monto_Crédito)))</f>
        <v>22993.768089359579</v>
      </c>
      <c r="W72" s="111">
        <f>IF($U$258&lt;=0,V72,IF(SUM($U$18:U72)&lt;=0,V72,PMT($K$5/360*Días,A72,-R72)))</f>
        <v>22993.768089359579</v>
      </c>
      <c r="X72" s="122">
        <f>IF($U$258&lt;=0,W72,IF(SUM($U$18:U72)&lt;=0,V72,PMT($K$5/360*Días,No._De_Pagos_con_periodo_de_gracia,-Monto_Crédito)-S72-T72))</f>
        <v>22993.768089359579</v>
      </c>
      <c r="Y72" s="118">
        <f t="shared" si="20"/>
        <v>22993.768089359579</v>
      </c>
      <c r="Z72" s="62">
        <f>+IF(A72="","",IF(No._de_Pagos-Tabla!A72+1&lt;=0,"",No._de_Pagos-Tabla!A72+1))</f>
        <v>6</v>
      </c>
      <c r="AA72" s="123">
        <f t="shared" si="21"/>
        <v>25068.159832028912</v>
      </c>
      <c r="AB72" s="125">
        <f t="shared" si="27"/>
        <v>100000.00000000084</v>
      </c>
      <c r="AC72" s="125">
        <f t="shared" si="9"/>
        <v>1250.0000000000105</v>
      </c>
      <c r="AD72" s="125">
        <f t="shared" si="10"/>
        <v>200.00000000000168</v>
      </c>
      <c r="AE72" s="120">
        <f t="shared" si="22"/>
        <v>0</v>
      </c>
      <c r="AF72" s="121">
        <f t="shared" si="11"/>
        <v>16666.666666666668</v>
      </c>
      <c r="AG72" s="111">
        <f>IF($U$258&lt;=0,AF72,IF(SUM($U$18:U72)&lt;=0,AF72,PMT($K$5/360*Días,A72,-AA72)))</f>
        <v>16666.666666666668</v>
      </c>
      <c r="AH72" s="122">
        <f>IF(A72&lt;=Periodos_Gracia,0,IF($U$258&lt;=0,AG72,IF(SUM($U$18:U72)&lt;=0,AF72,PMT($K$5/360*Días,No._de_Pagos,-Monto_Crédito)-AC72-AD72)))</f>
        <v>16666.666666666668</v>
      </c>
      <c r="AI72" s="126">
        <f t="shared" si="23"/>
        <v>18116.666666666679</v>
      </c>
      <c r="AK72" s="127">
        <f>IF(A72="","",IF(Periodos_Gracia&gt;0,Tabla!AN72,V72+S72))</f>
        <v>24782.036833040038</v>
      </c>
      <c r="AL72" s="127">
        <f t="shared" si="12"/>
        <v>17916.666666666679</v>
      </c>
      <c r="AM72" s="62">
        <f t="shared" si="24"/>
        <v>55</v>
      </c>
      <c r="AN72" s="128">
        <f>IF(A72="","",IF(A72&lt;=Periodos_Gracia,Tabla!S72,PPMT(Tasa_Anual/360*Días*(1+I.V.A.),Tabla!AM72,No._De_Pagos_con_periodo_de_gracia,-Monto_Crédito)+S72))</f>
        <v>24782.036833040038</v>
      </c>
      <c r="AO72" s="128">
        <f>IF(A72="","",IF(A72&lt;=Periodos_Gracia,Tabla!AC72,Monto_Crédito/(No._De_Pagos_con_periodo_de_gracia)+AC72))</f>
        <v>17916.666666666679</v>
      </c>
      <c r="AP72" s="118"/>
    </row>
    <row r="73" spans="1:42">
      <c r="A73" s="108">
        <f>IF(A72&lt;Parámetros!$E$6,A72+1,"")</f>
        <v>56</v>
      </c>
      <c r="B73" s="109">
        <f t="shared" si="25"/>
        <v>120067.73140507711</v>
      </c>
      <c r="C73" s="109">
        <f t="shared" si="0"/>
        <v>23327.177726655293</v>
      </c>
      <c r="D73" s="109">
        <f t="shared" si="1"/>
        <v>1500.846642563464</v>
      </c>
      <c r="E73" s="109">
        <f t="shared" si="2"/>
        <v>240.13546281015425</v>
      </c>
      <c r="F73" s="109">
        <f t="shared" si="3"/>
        <v>25068.159832028912</v>
      </c>
      <c r="G73" s="115">
        <f t="shared" si="13"/>
        <v>96740.553678421813</v>
      </c>
      <c r="H73" s="116">
        <f t="shared" si="14"/>
        <v>1</v>
      </c>
      <c r="I73" s="109">
        <f t="shared" si="26"/>
        <v>83333.333333334172</v>
      </c>
      <c r="J73" s="109">
        <f t="shared" si="4"/>
        <v>16666.666666666668</v>
      </c>
      <c r="K73" s="109">
        <f t="shared" si="5"/>
        <v>1041.6666666666772</v>
      </c>
      <c r="L73" s="109">
        <f t="shared" si="6"/>
        <v>166.66666666666836</v>
      </c>
      <c r="M73" s="109">
        <f t="shared" si="15"/>
        <v>17875.000000000015</v>
      </c>
      <c r="N73" s="115">
        <f t="shared" si="16"/>
        <v>66666.666666667501</v>
      </c>
      <c r="O73" s="61">
        <v>0</v>
      </c>
      <c r="P73" s="117">
        <f t="shared" si="17"/>
        <v>1</v>
      </c>
      <c r="R73" s="118">
        <f t="shared" si="28"/>
        <v>120067.73140507711</v>
      </c>
      <c r="S73" s="119">
        <f t="shared" si="7"/>
        <v>1500.846642563464</v>
      </c>
      <c r="T73" s="119">
        <f t="shared" si="8"/>
        <v>240.13546281015425</v>
      </c>
      <c r="U73" s="120">
        <f t="shared" si="19"/>
        <v>0</v>
      </c>
      <c r="V73" s="121">
        <f>IF(A73="","",IF(A73&lt;=Periodos_Gracia,0,PPMT(Tasa_Anual/360*Días*(1+I.V.A.),Tabla!AM73,No._De_Pagos_con_periodo_de_gracia,-Monto_Crédito)))</f>
        <v>23327.177726655293</v>
      </c>
      <c r="W73" s="111">
        <f>IF($U$258&lt;=0,V73,IF(SUM($U$18:U73)&lt;=0,V73,PMT($K$5/360*Días,A73,-R73)))</f>
        <v>23327.177726655293</v>
      </c>
      <c r="X73" s="122">
        <f>IF($U$258&lt;=0,W73,IF(SUM($U$18:U73)&lt;=0,V73,PMT($K$5/360*Días,No._De_Pagos_con_periodo_de_gracia,-Monto_Crédito)-S73-T73))</f>
        <v>23327.177726655293</v>
      </c>
      <c r="Y73" s="118">
        <f t="shared" si="20"/>
        <v>23327.177726655293</v>
      </c>
      <c r="Z73" s="62">
        <f>+IF(A73="","",IF(No._de_Pagos-Tabla!A73+1&lt;=0,"",No._de_Pagos-Tabla!A73+1))</f>
        <v>5</v>
      </c>
      <c r="AA73" s="123">
        <f t="shared" si="21"/>
        <v>25068.159832028912</v>
      </c>
      <c r="AB73" s="125">
        <f t="shared" si="27"/>
        <v>83333.333333334172</v>
      </c>
      <c r="AC73" s="125">
        <f t="shared" si="9"/>
        <v>1041.666666666677</v>
      </c>
      <c r="AD73" s="125">
        <f t="shared" si="10"/>
        <v>166.66666666666831</v>
      </c>
      <c r="AE73" s="120">
        <f t="shared" si="22"/>
        <v>0</v>
      </c>
      <c r="AF73" s="121">
        <f t="shared" si="11"/>
        <v>16666.666666666668</v>
      </c>
      <c r="AG73" s="111">
        <f>IF($U$258&lt;=0,AF73,IF(SUM($U$18:U73)&lt;=0,AF73,PMT($K$5/360*Días,A73,-AA73)))</f>
        <v>16666.666666666668</v>
      </c>
      <c r="AH73" s="122">
        <f>IF(A73&lt;=Periodos_Gracia,0,IF($U$258&lt;=0,AG73,IF(SUM($U$18:U73)&lt;=0,AF73,PMT($K$5/360*Días,No._de_Pagos,-Monto_Crédito)-AC73-AD73)))</f>
        <v>16666.666666666668</v>
      </c>
      <c r="AI73" s="126">
        <f t="shared" si="23"/>
        <v>17875.000000000011</v>
      </c>
      <c r="AK73" s="127">
        <f>IF(A73="","",IF(Periodos_Gracia&gt;0,Tabla!AN73,V73+S73))</f>
        <v>24828.024369218758</v>
      </c>
      <c r="AL73" s="127">
        <f t="shared" si="12"/>
        <v>17708.333333333343</v>
      </c>
      <c r="AM73" s="62">
        <f t="shared" si="24"/>
        <v>56</v>
      </c>
      <c r="AN73" s="128">
        <f>IF(A73="","",IF(A73&lt;=Periodos_Gracia,Tabla!S73,PPMT(Tasa_Anual/360*Días*(1+I.V.A.),Tabla!AM73,No._De_Pagos_con_periodo_de_gracia,-Monto_Crédito)+S73))</f>
        <v>24828.024369218758</v>
      </c>
      <c r="AO73" s="128">
        <f>IF(A73="","",IF(A73&lt;=Periodos_Gracia,Tabla!AC73,Monto_Crédito/(No._De_Pagos_con_periodo_de_gracia)+AC73))</f>
        <v>17708.333333333343</v>
      </c>
      <c r="AP73" s="118"/>
    </row>
    <row r="74" spans="1:42">
      <c r="A74" s="108">
        <f>IF(A73&lt;Parámetros!$E$6,A73+1,"")</f>
        <v>57</v>
      </c>
      <c r="B74" s="109">
        <f t="shared" si="25"/>
        <v>96740.553678421813</v>
      </c>
      <c r="C74" s="109">
        <f t="shared" si="0"/>
        <v>23665.421803691796</v>
      </c>
      <c r="D74" s="109">
        <f t="shared" si="1"/>
        <v>1209.2569209802725</v>
      </c>
      <c r="E74" s="109">
        <f t="shared" si="2"/>
        <v>193.48110735684361</v>
      </c>
      <c r="F74" s="109">
        <f t="shared" si="3"/>
        <v>25068.159832028912</v>
      </c>
      <c r="G74" s="115">
        <f t="shared" si="13"/>
        <v>73075.131874730025</v>
      </c>
      <c r="H74" s="116">
        <f t="shared" si="14"/>
        <v>1</v>
      </c>
      <c r="I74" s="109">
        <f t="shared" si="26"/>
        <v>66666.666666667501</v>
      </c>
      <c r="J74" s="109">
        <f t="shared" si="4"/>
        <v>16666.666666666668</v>
      </c>
      <c r="K74" s="109">
        <f t="shared" si="5"/>
        <v>833.33333333334383</v>
      </c>
      <c r="L74" s="109">
        <f t="shared" si="6"/>
        <v>133.33333333333502</v>
      </c>
      <c r="M74" s="109">
        <f t="shared" si="15"/>
        <v>17633.333333333347</v>
      </c>
      <c r="N74" s="115">
        <f t="shared" si="16"/>
        <v>50000.000000000829</v>
      </c>
      <c r="O74" s="61">
        <v>0</v>
      </c>
      <c r="P74" s="117">
        <f t="shared" si="17"/>
        <v>1</v>
      </c>
      <c r="R74" s="118">
        <f t="shared" si="28"/>
        <v>96740.553678421813</v>
      </c>
      <c r="S74" s="119">
        <f t="shared" si="7"/>
        <v>1209.2569209802725</v>
      </c>
      <c r="T74" s="119">
        <f t="shared" si="8"/>
        <v>193.48110735684361</v>
      </c>
      <c r="U74" s="120">
        <f t="shared" si="19"/>
        <v>0</v>
      </c>
      <c r="V74" s="121">
        <f>IF(A74="","",IF(A74&lt;=Periodos_Gracia,0,PPMT(Tasa_Anual/360*Días*(1+I.V.A.),Tabla!AM74,No._De_Pagos_con_periodo_de_gracia,-Monto_Crédito)))</f>
        <v>23665.421803691796</v>
      </c>
      <c r="W74" s="111">
        <f>IF($U$258&lt;=0,V74,IF(SUM($U$18:U74)&lt;=0,V74,PMT($K$5/360*Días,A74,-R74)))</f>
        <v>23665.421803691796</v>
      </c>
      <c r="X74" s="122">
        <f>IF($U$258&lt;=0,W74,IF(SUM($U$18:U74)&lt;=0,V74,PMT($K$5/360*Días,No._De_Pagos_con_periodo_de_gracia,-Monto_Crédito)-S74-T74))</f>
        <v>23665.421803691796</v>
      </c>
      <c r="Y74" s="118">
        <f t="shared" si="20"/>
        <v>23665.421803691796</v>
      </c>
      <c r="Z74" s="62">
        <f>+IF(A74="","",IF(No._de_Pagos-Tabla!A74+1&lt;=0,"",No._de_Pagos-Tabla!A74+1))</f>
        <v>4</v>
      </c>
      <c r="AA74" s="123">
        <f t="shared" si="21"/>
        <v>25068.159832028912</v>
      </c>
      <c r="AB74" s="125">
        <f t="shared" si="27"/>
        <v>66666.666666667501</v>
      </c>
      <c r="AC74" s="125">
        <f t="shared" si="9"/>
        <v>833.33333333334372</v>
      </c>
      <c r="AD74" s="125">
        <f t="shared" si="10"/>
        <v>133.33333333333499</v>
      </c>
      <c r="AE74" s="120">
        <f t="shared" si="22"/>
        <v>0</v>
      </c>
      <c r="AF74" s="121">
        <f t="shared" si="11"/>
        <v>16666.666666666668</v>
      </c>
      <c r="AG74" s="111">
        <f>IF($U$258&lt;=0,AF74,IF(SUM($U$18:U74)&lt;=0,AF74,PMT($K$5/360*Días,A74,-AA74)))</f>
        <v>16666.666666666668</v>
      </c>
      <c r="AH74" s="122">
        <f>IF(A74&lt;=Periodos_Gracia,0,IF($U$258&lt;=0,AG74,IF(SUM($U$18:U74)&lt;=0,AF74,PMT($K$5/360*Días,No._de_Pagos,-Monto_Crédito)-AC74-AD74)))</f>
        <v>16666.666666666668</v>
      </c>
      <c r="AI74" s="126">
        <f t="shared" si="23"/>
        <v>17633.333333333347</v>
      </c>
      <c r="AK74" s="127">
        <f>IF(A74="","",IF(Periodos_Gracia&gt;0,Tabla!AN74,V74+S74))</f>
        <v>24874.678724672067</v>
      </c>
      <c r="AL74" s="127">
        <f t="shared" si="12"/>
        <v>17500.000000000011</v>
      </c>
      <c r="AM74" s="62">
        <f t="shared" si="24"/>
        <v>57</v>
      </c>
      <c r="AN74" s="128">
        <f>IF(A74="","",IF(A74&lt;=Periodos_Gracia,Tabla!S74,PPMT(Tasa_Anual/360*Días*(1+I.V.A.),Tabla!AM74,No._De_Pagos_con_periodo_de_gracia,-Monto_Crédito)+S74))</f>
        <v>24874.678724672067</v>
      </c>
      <c r="AO74" s="128">
        <f>IF(A74="","",IF(A74&lt;=Periodos_Gracia,Tabla!AC74,Monto_Crédito/(No._De_Pagos_con_periodo_de_gracia)+AC74))</f>
        <v>17500.000000000011</v>
      </c>
      <c r="AP74" s="118"/>
    </row>
    <row r="75" spans="1:42">
      <c r="A75" s="108">
        <f>IF(A74&lt;Parámetros!$E$6,A74+1,"")</f>
        <v>58</v>
      </c>
      <c r="B75" s="109">
        <f t="shared" si="25"/>
        <v>73075.131874730025</v>
      </c>
      <c r="C75" s="109">
        <f t="shared" si="0"/>
        <v>24008.570419845324</v>
      </c>
      <c r="D75" s="109">
        <f t="shared" si="1"/>
        <v>913.43914843412529</v>
      </c>
      <c r="E75" s="109">
        <f t="shared" si="2"/>
        <v>146.15026374946004</v>
      </c>
      <c r="F75" s="109">
        <f t="shared" si="3"/>
        <v>25068.159832028909</v>
      </c>
      <c r="G75" s="115">
        <f t="shared" si="13"/>
        <v>49066.561454884701</v>
      </c>
      <c r="H75" s="116">
        <f t="shared" si="14"/>
        <v>1</v>
      </c>
      <c r="I75" s="109">
        <f t="shared" si="26"/>
        <v>50000.000000000829</v>
      </c>
      <c r="J75" s="109">
        <f t="shared" si="4"/>
        <v>16666.666666666668</v>
      </c>
      <c r="K75" s="109">
        <f t="shared" si="5"/>
        <v>625.00000000001035</v>
      </c>
      <c r="L75" s="109">
        <f t="shared" si="6"/>
        <v>100.00000000000166</v>
      </c>
      <c r="M75" s="109">
        <f t="shared" si="15"/>
        <v>17391.666666666679</v>
      </c>
      <c r="N75" s="115">
        <f t="shared" si="16"/>
        <v>33333.333333334158</v>
      </c>
      <c r="O75" s="61">
        <v>0</v>
      </c>
      <c r="P75" s="117">
        <f t="shared" si="17"/>
        <v>1</v>
      </c>
      <c r="R75" s="118">
        <f t="shared" si="28"/>
        <v>73075.131874730025</v>
      </c>
      <c r="S75" s="119">
        <f t="shared" si="7"/>
        <v>913.43914843412529</v>
      </c>
      <c r="T75" s="119">
        <f t="shared" si="8"/>
        <v>146.15026374946004</v>
      </c>
      <c r="U75" s="120">
        <f t="shared" si="19"/>
        <v>0</v>
      </c>
      <c r="V75" s="121">
        <f>IF(A75="","",IF(A75&lt;=Periodos_Gracia,0,PPMT(Tasa_Anual/360*Días*(1+I.V.A.),Tabla!AM75,No._De_Pagos_con_periodo_de_gracia,-Monto_Crédito)))</f>
        <v>24008.570419845324</v>
      </c>
      <c r="W75" s="111">
        <f>IF($U$258&lt;=0,V75,IF(SUM($U$18:U75)&lt;=0,V75,PMT($K$5/360*Días,A75,-R75)))</f>
        <v>24008.570419845324</v>
      </c>
      <c r="X75" s="122">
        <f>IF($U$258&lt;=0,W75,IF(SUM($U$18:U75)&lt;=0,V75,PMT($K$5/360*Días,No._De_Pagos_con_periodo_de_gracia,-Monto_Crédito)-S75-T75))</f>
        <v>24008.570419845324</v>
      </c>
      <c r="Y75" s="118">
        <f t="shared" si="20"/>
        <v>24008.570419845324</v>
      </c>
      <c r="Z75" s="62">
        <f>+IF(A75="","",IF(No._de_Pagos-Tabla!A75+1&lt;=0,"",No._de_Pagos-Tabla!A75+1))</f>
        <v>3</v>
      </c>
      <c r="AA75" s="123">
        <f t="shared" si="21"/>
        <v>25068.159832028909</v>
      </c>
      <c r="AB75" s="125">
        <f t="shared" si="27"/>
        <v>50000.000000000829</v>
      </c>
      <c r="AC75" s="125">
        <f t="shared" si="9"/>
        <v>625.00000000001035</v>
      </c>
      <c r="AD75" s="125">
        <f t="shared" si="10"/>
        <v>100.00000000000166</v>
      </c>
      <c r="AE75" s="120">
        <f t="shared" si="22"/>
        <v>0</v>
      </c>
      <c r="AF75" s="121">
        <f t="shared" si="11"/>
        <v>16666.666666666668</v>
      </c>
      <c r="AG75" s="111">
        <f>IF($U$258&lt;=0,AF75,IF(SUM($U$18:U75)&lt;=0,AF75,PMT($K$5/360*Días,A75,-AA75)))</f>
        <v>16666.666666666668</v>
      </c>
      <c r="AH75" s="122">
        <f>IF(A75&lt;=Periodos_Gracia,0,IF($U$258&lt;=0,AG75,IF(SUM($U$18:U75)&lt;=0,AF75,PMT($K$5/360*Días,No._de_Pagos,-Monto_Crédito)-AC75-AD75)))</f>
        <v>16666.666666666668</v>
      </c>
      <c r="AI75" s="126">
        <f t="shared" si="23"/>
        <v>17391.666666666679</v>
      </c>
      <c r="AK75" s="127">
        <f>IF(A75="","",IF(Periodos_Gracia&gt;0,Tabla!AN75,V75+S75))</f>
        <v>24922.009568279449</v>
      </c>
      <c r="AL75" s="127">
        <f t="shared" si="12"/>
        <v>17291.666666666679</v>
      </c>
      <c r="AM75" s="62">
        <f t="shared" si="24"/>
        <v>58</v>
      </c>
      <c r="AN75" s="128">
        <f>IF(A75="","",IF(A75&lt;=Periodos_Gracia,Tabla!S75,PPMT(Tasa_Anual/360*Días*(1+I.V.A.),Tabla!AM75,No._De_Pagos_con_periodo_de_gracia,-Monto_Crédito)+S75))</f>
        <v>24922.009568279449</v>
      </c>
      <c r="AO75" s="128">
        <f>IF(A75="","",IF(A75&lt;=Periodos_Gracia,Tabla!AC75,Monto_Crédito/(No._De_Pagos_con_periodo_de_gracia)+AC75))</f>
        <v>17291.666666666679</v>
      </c>
      <c r="AP75" s="118"/>
    </row>
    <row r="76" spans="1:42">
      <c r="A76" s="108">
        <f>IF(A75&lt;Parámetros!$E$6,A75+1,"")</f>
        <v>59</v>
      </c>
      <c r="B76" s="109">
        <f t="shared" si="25"/>
        <v>49066.561454884701</v>
      </c>
      <c r="C76" s="109">
        <f t="shared" si="0"/>
        <v>24356.694690933084</v>
      </c>
      <c r="D76" s="109">
        <f t="shared" si="1"/>
        <v>613.33201818605869</v>
      </c>
      <c r="E76" s="109">
        <f t="shared" si="2"/>
        <v>98.133122909769398</v>
      </c>
      <c r="F76" s="109">
        <f t="shared" si="3"/>
        <v>25068.159832028912</v>
      </c>
      <c r="G76" s="115">
        <f t="shared" si="13"/>
        <v>24709.866763951617</v>
      </c>
      <c r="H76" s="116">
        <f t="shared" si="14"/>
        <v>1</v>
      </c>
      <c r="I76" s="109">
        <f t="shared" si="26"/>
        <v>33333.333333334158</v>
      </c>
      <c r="J76" s="109">
        <f t="shared" si="4"/>
        <v>16666.666666666668</v>
      </c>
      <c r="K76" s="109">
        <f t="shared" si="5"/>
        <v>416.66666666667697</v>
      </c>
      <c r="L76" s="109">
        <f t="shared" si="6"/>
        <v>66.66666666666832</v>
      </c>
      <c r="M76" s="109">
        <f t="shared" si="15"/>
        <v>17150.000000000011</v>
      </c>
      <c r="N76" s="115">
        <f t="shared" si="16"/>
        <v>16666.66666666749</v>
      </c>
      <c r="O76" s="61">
        <v>0</v>
      </c>
      <c r="P76" s="117">
        <f t="shared" si="17"/>
        <v>1</v>
      </c>
      <c r="R76" s="118">
        <f t="shared" si="28"/>
        <v>49066.561454884701</v>
      </c>
      <c r="S76" s="119">
        <f t="shared" si="7"/>
        <v>613.33201818605869</v>
      </c>
      <c r="T76" s="119">
        <f t="shared" si="8"/>
        <v>98.133122909769398</v>
      </c>
      <c r="U76" s="120">
        <f t="shared" si="19"/>
        <v>0</v>
      </c>
      <c r="V76" s="121">
        <f>IF(A76="","",IF(A76&lt;=Periodos_Gracia,0,PPMT(Tasa_Anual/360*Días*(1+I.V.A.),Tabla!AM76,No._De_Pagos_con_periodo_de_gracia,-Monto_Crédito)))</f>
        <v>24356.694690933084</v>
      </c>
      <c r="W76" s="111">
        <f>IF($U$258&lt;=0,V76,IF(SUM($U$18:U76)&lt;=0,V76,PMT($K$5/360*Días,A76,-R76)))</f>
        <v>24356.694690933084</v>
      </c>
      <c r="X76" s="122">
        <f>IF($U$258&lt;=0,W76,IF(SUM($U$18:U76)&lt;=0,V76,PMT($K$5/360*Días,No._De_Pagos_con_periodo_de_gracia,-Monto_Crédito)-S76-T76))</f>
        <v>24356.694690933084</v>
      </c>
      <c r="Y76" s="118">
        <f t="shared" si="20"/>
        <v>24356.694690933084</v>
      </c>
      <c r="Z76" s="62">
        <f>+IF(A76="","",IF(No._de_Pagos-Tabla!A76+1&lt;=0,"",No._de_Pagos-Tabla!A76+1))</f>
        <v>2</v>
      </c>
      <c r="AA76" s="123">
        <f t="shared" si="21"/>
        <v>25068.159832028912</v>
      </c>
      <c r="AB76" s="125">
        <f t="shared" si="27"/>
        <v>33333.333333334158</v>
      </c>
      <c r="AC76" s="125">
        <f t="shared" si="9"/>
        <v>416.66666666667692</v>
      </c>
      <c r="AD76" s="125">
        <f t="shared" si="10"/>
        <v>66.666666666668306</v>
      </c>
      <c r="AE76" s="120">
        <f t="shared" si="22"/>
        <v>0</v>
      </c>
      <c r="AF76" s="121">
        <f t="shared" si="11"/>
        <v>16666.666666666668</v>
      </c>
      <c r="AG76" s="111">
        <f>IF($U$258&lt;=0,AF76,IF(SUM($U$18:U76)&lt;=0,AF76,PMT($K$5/360*Días,A76,-AA76)))</f>
        <v>16666.666666666668</v>
      </c>
      <c r="AH76" s="122">
        <f>IF(A76&lt;=Periodos_Gracia,0,IF($U$258&lt;=0,AG76,IF(SUM($U$18:U76)&lt;=0,AF76,PMT($K$5/360*Días,No._de_Pagos,-Monto_Crédito)-AC76-AD76)))</f>
        <v>16666.666666666668</v>
      </c>
      <c r="AI76" s="126">
        <f t="shared" si="23"/>
        <v>17150.000000000011</v>
      </c>
      <c r="AK76" s="127">
        <f>IF(A76="","",IF(Periodos_Gracia&gt;0,Tabla!AN76,V76+S76))</f>
        <v>24970.026709119142</v>
      </c>
      <c r="AL76" s="127">
        <f t="shared" si="12"/>
        <v>17083.333333333343</v>
      </c>
      <c r="AM76" s="62">
        <f t="shared" si="24"/>
        <v>59</v>
      </c>
      <c r="AN76" s="128">
        <f>IF(A76="","",IF(A76&lt;=Periodos_Gracia,Tabla!S76,PPMT(Tasa_Anual/360*Días*(1+I.V.A.),Tabla!AM76,No._De_Pagos_con_periodo_de_gracia,-Monto_Crédito)+S76))</f>
        <v>24970.026709119142</v>
      </c>
      <c r="AO76" s="128">
        <f>IF(A76="","",IF(A76&lt;=Periodos_Gracia,Tabla!AC76,Monto_Crédito/(No._De_Pagos_con_periodo_de_gracia)+AC76))</f>
        <v>17083.333333333343</v>
      </c>
      <c r="AP76" s="118"/>
    </row>
    <row r="77" spans="1:42">
      <c r="A77" s="108">
        <f>IF(A76&lt;Parámetros!$E$6,A76+1,"")</f>
        <v>60</v>
      </c>
      <c r="B77" s="109">
        <f t="shared" si="25"/>
        <v>24709.866763951617</v>
      </c>
      <c r="C77" s="109">
        <f t="shared" si="0"/>
        <v>24709.86676395161</v>
      </c>
      <c r="D77" s="109">
        <f t="shared" si="1"/>
        <v>308.87333454939522</v>
      </c>
      <c r="E77" s="109">
        <f t="shared" si="2"/>
        <v>49.41973352790324</v>
      </c>
      <c r="F77" s="109">
        <f t="shared" si="3"/>
        <v>25068.159832028909</v>
      </c>
      <c r="G77" s="115">
        <f t="shared" si="13"/>
        <v>7.2759576141834259E-12</v>
      </c>
      <c r="H77" s="116">
        <f t="shared" si="14"/>
        <v>1</v>
      </c>
      <c r="I77" s="109">
        <f t="shared" si="26"/>
        <v>16666.66666666749</v>
      </c>
      <c r="J77" s="109">
        <f t="shared" si="4"/>
        <v>16666.666666666668</v>
      </c>
      <c r="K77" s="109">
        <f t="shared" si="5"/>
        <v>208.3333333333436</v>
      </c>
      <c r="L77" s="109">
        <f t="shared" si="6"/>
        <v>33.333333333334977</v>
      </c>
      <c r="M77" s="109">
        <f t="shared" si="15"/>
        <v>16908.333333333347</v>
      </c>
      <c r="N77" s="115">
        <f t="shared" si="16"/>
        <v>8.2218321040272713E-10</v>
      </c>
      <c r="O77" s="61">
        <v>0</v>
      </c>
      <c r="P77" s="117">
        <f t="shared" si="17"/>
        <v>1</v>
      </c>
      <c r="R77" s="118">
        <f t="shared" si="28"/>
        <v>24709.866763951617</v>
      </c>
      <c r="S77" s="119">
        <f t="shared" si="7"/>
        <v>308.87333454939517</v>
      </c>
      <c r="T77" s="119">
        <f t="shared" si="8"/>
        <v>49.419733527903226</v>
      </c>
      <c r="U77" s="120">
        <f t="shared" si="19"/>
        <v>0</v>
      </c>
      <c r="V77" s="121">
        <f>IF(A77="","",IF(A77&lt;=Periodos_Gracia,0,PPMT(Tasa_Anual/360*Días*(1+I.V.A.),Tabla!AM77,No._De_Pagos_con_periodo_de_gracia,-Monto_Crédito)))</f>
        <v>24709.86676395161</v>
      </c>
      <c r="W77" s="111">
        <f>IF($U$258&lt;=0,V77,IF(SUM($U$18:U77)&lt;=0,V77,PMT($K$5/360*Días,A77,-R77)))</f>
        <v>24709.86676395161</v>
      </c>
      <c r="X77" s="122">
        <f>IF($U$258&lt;=0,W77,IF(SUM($U$18:U77)&lt;=0,V77,PMT($K$5/360*Días,No._De_Pagos_con_periodo_de_gracia,-Monto_Crédito)-S77-T77))</f>
        <v>24709.86676395161</v>
      </c>
      <c r="Y77" s="118">
        <f t="shared" si="20"/>
        <v>24709.86676395161</v>
      </c>
      <c r="Z77" s="62">
        <f>+IF(A77="","",IF(No._de_Pagos-Tabla!A77+1&lt;=0,"",No._de_Pagos-Tabla!A77+1))</f>
        <v>1</v>
      </c>
      <c r="AA77" s="123">
        <f t="shared" si="21"/>
        <v>25068.159832028909</v>
      </c>
      <c r="AB77" s="125">
        <f t="shared" si="27"/>
        <v>16666.66666666749</v>
      </c>
      <c r="AC77" s="125">
        <f t="shared" si="9"/>
        <v>208.3333333333436</v>
      </c>
      <c r="AD77" s="125">
        <f t="shared" si="10"/>
        <v>33.333333333334977</v>
      </c>
      <c r="AE77" s="120">
        <f t="shared" si="22"/>
        <v>0</v>
      </c>
      <c r="AF77" s="121">
        <f t="shared" si="11"/>
        <v>16666.666666666668</v>
      </c>
      <c r="AG77" s="111">
        <f>IF($U$258&lt;=0,AF77,IF(SUM($U$18:U77)&lt;=0,AF77,PMT($K$5/360*Días,A77,-AA77)))</f>
        <v>16666.666666666668</v>
      </c>
      <c r="AH77" s="122">
        <f>IF(A77&lt;=Periodos_Gracia,0,IF($U$258&lt;=0,AG77,IF(SUM($U$18:U77)&lt;=0,AF77,PMT($K$5/360*Días,No._de_Pagos,-Monto_Crédito)-AC77-AD77)))</f>
        <v>16666.666666666668</v>
      </c>
      <c r="AI77" s="126">
        <f t="shared" si="23"/>
        <v>16908.333333333347</v>
      </c>
      <c r="AK77" s="127">
        <f>IF(A77="","",IF(Periodos_Gracia&gt;0,Tabla!AN77,V77+S77))</f>
        <v>25018.740098501006</v>
      </c>
      <c r="AL77" s="127">
        <f t="shared" si="12"/>
        <v>16875.000000000011</v>
      </c>
      <c r="AM77" s="62">
        <f t="shared" si="24"/>
        <v>60</v>
      </c>
      <c r="AN77" s="128">
        <f>IF(A77="","",IF(A77&lt;=Periodos_Gracia,Tabla!S77,PPMT(Tasa_Anual/360*Días*(1+I.V.A.),Tabla!AM77,No._De_Pagos_con_periodo_de_gracia,-Monto_Crédito)+S77))</f>
        <v>25018.740098501006</v>
      </c>
      <c r="AO77" s="128">
        <f>IF(A77="","",IF(A77&lt;=Periodos_Gracia,Tabla!AC77,Monto_Crédito/(No._De_Pagos_con_periodo_de_gracia)+AC77))</f>
        <v>16875.000000000011</v>
      </c>
      <c r="AP77" s="118"/>
    </row>
    <row r="78" spans="1:42">
      <c r="A78" s="108" t="str">
        <f>IF(A77&lt;Parámetros!$E$6,A77+1,"")</f>
        <v/>
      </c>
      <c r="B78" s="109" t="str">
        <f t="shared" si="25"/>
        <v/>
      </c>
      <c r="C78" s="109" t="str">
        <f t="shared" si="0"/>
        <v/>
      </c>
      <c r="D78" s="109" t="str">
        <f t="shared" si="1"/>
        <v/>
      </c>
      <c r="E78" s="109" t="str">
        <f t="shared" si="2"/>
        <v/>
      </c>
      <c r="F78" s="109" t="str">
        <f t="shared" si="3"/>
        <v/>
      </c>
      <c r="G78" s="115" t="str">
        <f t="shared" si="13"/>
        <v/>
      </c>
      <c r="H78" s="116">
        <f t="shared" si="14"/>
        <v>0</v>
      </c>
      <c r="I78" s="109" t="str">
        <f t="shared" si="26"/>
        <v/>
      </c>
      <c r="J78" s="109" t="str">
        <f t="shared" si="4"/>
        <v/>
      </c>
      <c r="K78" s="109" t="str">
        <f t="shared" si="5"/>
        <v/>
      </c>
      <c r="L78" s="109" t="str">
        <f t="shared" si="6"/>
        <v/>
      </c>
      <c r="M78" s="109" t="str">
        <f t="shared" si="15"/>
        <v/>
      </c>
      <c r="N78" s="115" t="str">
        <f t="shared" si="16"/>
        <v/>
      </c>
      <c r="O78" s="61">
        <v>0</v>
      </c>
      <c r="P78" s="117">
        <f t="shared" si="17"/>
        <v>0</v>
      </c>
      <c r="R78" s="118" t="str">
        <f t="shared" si="28"/>
        <v/>
      </c>
      <c r="S78" s="119" t="str">
        <f t="shared" si="7"/>
        <v/>
      </c>
      <c r="T78" s="119" t="str">
        <f t="shared" si="8"/>
        <v/>
      </c>
      <c r="U78" s="120">
        <f t="shared" si="19"/>
        <v>0</v>
      </c>
      <c r="V78" s="121" t="str">
        <f>IF(A78="","",IF(A78&lt;=Periodos_Gracia,0,PPMT(Tasa_Anual/360*Días*(1+I.V.A.),Tabla!AM78,No._De_Pagos_con_periodo_de_gracia,-Monto_Crédito)))</f>
        <v/>
      </c>
      <c r="W78" s="111" t="str">
        <f>IF($U$258&lt;=0,V78,IF(SUM($U$18:U78)&lt;=0,V78,PMT($K$5/360*Días,A78,-R78)))</f>
        <v/>
      </c>
      <c r="X78" s="122" t="str">
        <f>IF($U$258&lt;=0,W78,IF(SUM($U$18:U78)&lt;=0,V78,PMT($K$5/360*Días,No._De_Pagos_con_periodo_de_gracia,-Monto_Crédito)-S78-T78))</f>
        <v/>
      </c>
      <c r="Y78" s="118" t="str">
        <f t="shared" si="20"/>
        <v/>
      </c>
      <c r="Z78" s="62" t="str">
        <f>+IF(A78="","",IF(No._de_Pagos-Tabla!A78+1&lt;=0,"",No._de_Pagos-Tabla!A78+1))</f>
        <v/>
      </c>
      <c r="AA78" s="123" t="str">
        <f t="shared" si="21"/>
        <v/>
      </c>
      <c r="AB78" s="125" t="str">
        <f t="shared" si="27"/>
        <v/>
      </c>
      <c r="AC78" s="125" t="str">
        <f t="shared" si="9"/>
        <v/>
      </c>
      <c r="AD78" s="125" t="str">
        <f t="shared" si="10"/>
        <v/>
      </c>
      <c r="AE78" s="120">
        <f t="shared" si="22"/>
        <v>0</v>
      </c>
      <c r="AF78" s="121" t="str">
        <f t="shared" si="11"/>
        <v/>
      </c>
      <c r="AG78" s="111" t="str">
        <f>IF($U$258&lt;=0,AF78,IF(SUM($U$18:U78)&lt;=0,AF78,PMT($K$5/360*Días,A78,-AA78)))</f>
        <v/>
      </c>
      <c r="AH78" s="122" t="str">
        <f>IF(A78&lt;=Periodos_Gracia,0,IF($U$258&lt;=0,AG78,IF(SUM($U$18:U78)&lt;=0,AF78,PMT($K$5/360*Días,No._de_Pagos,-Monto_Crédito)-AC78-AD78)))</f>
        <v/>
      </c>
      <c r="AI78" s="126" t="str">
        <f t="shared" si="23"/>
        <v/>
      </c>
      <c r="AK78" s="127" t="str">
        <f>IF(A78="","",IF(Periodos_Gracia&gt;0,Tabla!AN78,V78+S78))</f>
        <v/>
      </c>
      <c r="AL78" s="127" t="str">
        <f t="shared" si="12"/>
        <v/>
      </c>
      <c r="AM78" s="62" t="str">
        <f t="shared" si="24"/>
        <v/>
      </c>
      <c r="AN78" s="128" t="str">
        <f>IF(A78="","",IF(A78&lt;=Periodos_Gracia,Tabla!S78,PPMT(Tasa_Anual/360*Días*(1+I.V.A.),Tabla!AM78,No._De_Pagos_con_periodo_de_gracia,-Monto_Crédito)+S78))</f>
        <v/>
      </c>
      <c r="AO78" s="128" t="str">
        <f>IF(A78="","",IF(A78&lt;=Periodos_Gracia,Tabla!AC78,Monto_Crédito/(No._De_Pagos_con_periodo_de_gracia)+AC78))</f>
        <v/>
      </c>
      <c r="AP78" s="118"/>
    </row>
    <row r="79" spans="1:42">
      <c r="A79" s="108" t="str">
        <f>IF(A78&lt;Parámetros!$E$6,A78+1,"")</f>
        <v/>
      </c>
      <c r="B79" s="109" t="str">
        <f t="shared" si="25"/>
        <v/>
      </c>
      <c r="C79" s="109" t="str">
        <f t="shared" si="0"/>
        <v/>
      </c>
      <c r="D79" s="109" t="str">
        <f t="shared" si="1"/>
        <v/>
      </c>
      <c r="E79" s="109" t="str">
        <f t="shared" si="2"/>
        <v/>
      </c>
      <c r="F79" s="109" t="str">
        <f t="shared" si="3"/>
        <v/>
      </c>
      <c r="G79" s="115" t="str">
        <f t="shared" si="13"/>
        <v/>
      </c>
      <c r="H79" s="116">
        <f t="shared" si="14"/>
        <v>0</v>
      </c>
      <c r="I79" s="109" t="str">
        <f t="shared" si="26"/>
        <v/>
      </c>
      <c r="J79" s="109" t="str">
        <f t="shared" si="4"/>
        <v/>
      </c>
      <c r="K79" s="109" t="str">
        <f t="shared" si="5"/>
        <v/>
      </c>
      <c r="L79" s="109" t="str">
        <f t="shared" si="6"/>
        <v/>
      </c>
      <c r="M79" s="109" t="str">
        <f t="shared" si="15"/>
        <v/>
      </c>
      <c r="N79" s="115" t="str">
        <f t="shared" si="16"/>
        <v/>
      </c>
      <c r="O79" s="61">
        <v>0</v>
      </c>
      <c r="P79" s="117">
        <f t="shared" si="17"/>
        <v>0</v>
      </c>
      <c r="R79" s="118" t="str">
        <f t="shared" si="28"/>
        <v/>
      </c>
      <c r="S79" s="119" t="str">
        <f t="shared" si="7"/>
        <v/>
      </c>
      <c r="T79" s="119" t="str">
        <f t="shared" si="8"/>
        <v/>
      </c>
      <c r="U79" s="120">
        <f t="shared" si="19"/>
        <v>0</v>
      </c>
      <c r="V79" s="121" t="str">
        <f>IF(A79="","",IF(A79&lt;=Periodos_Gracia,0,PPMT(Tasa_Anual/360*Días*(1+I.V.A.),Tabla!AM79,No._De_Pagos_con_periodo_de_gracia,-Monto_Crédito)))</f>
        <v/>
      </c>
      <c r="W79" s="111" t="str">
        <f>IF($U$258&lt;=0,V79,IF(SUM($U$18:U79)&lt;=0,V79,PMT($K$5/360*Días,A79,-R79)))</f>
        <v/>
      </c>
      <c r="X79" s="122" t="str">
        <f>IF($U$258&lt;=0,W79,IF(SUM($U$18:U79)&lt;=0,V79,PMT($K$5/360*Días,No._De_Pagos_con_periodo_de_gracia,-Monto_Crédito)-S79-T79))</f>
        <v/>
      </c>
      <c r="Y79" s="118" t="str">
        <f t="shared" si="20"/>
        <v/>
      </c>
      <c r="Z79" s="62" t="str">
        <f>+IF(A79="","",IF(No._de_Pagos-Tabla!A79+1&lt;=0,"",No._de_Pagos-Tabla!A79+1))</f>
        <v/>
      </c>
      <c r="AA79" s="123" t="str">
        <f t="shared" si="21"/>
        <v/>
      </c>
      <c r="AB79" s="125" t="str">
        <f t="shared" si="27"/>
        <v/>
      </c>
      <c r="AC79" s="125" t="str">
        <f t="shared" si="9"/>
        <v/>
      </c>
      <c r="AD79" s="125" t="str">
        <f t="shared" si="10"/>
        <v/>
      </c>
      <c r="AE79" s="120">
        <f t="shared" si="22"/>
        <v>0</v>
      </c>
      <c r="AF79" s="121" t="str">
        <f t="shared" si="11"/>
        <v/>
      </c>
      <c r="AG79" s="111" t="str">
        <f>IF($U$258&lt;=0,AF79,IF(SUM($U$18:U79)&lt;=0,AF79,PMT($K$5/360*Días,A79,-AA79)))</f>
        <v/>
      </c>
      <c r="AH79" s="122" t="str">
        <f>IF(A79&lt;=Periodos_Gracia,0,IF($U$258&lt;=0,AG79,IF(SUM($U$18:U79)&lt;=0,AF79,PMT($K$5/360*Días,No._de_Pagos,-Monto_Crédito)-AC79-AD79)))</f>
        <v/>
      </c>
      <c r="AI79" s="126" t="str">
        <f t="shared" si="23"/>
        <v/>
      </c>
      <c r="AK79" s="127" t="str">
        <f>IF(A79="","",IF(Periodos_Gracia&gt;0,Tabla!AN79,V79+S79))</f>
        <v/>
      </c>
      <c r="AL79" s="127" t="str">
        <f t="shared" si="12"/>
        <v/>
      </c>
      <c r="AM79" s="62" t="str">
        <f t="shared" si="24"/>
        <v/>
      </c>
      <c r="AN79" s="128" t="str">
        <f>IF(A79="","",IF(A79&lt;=Periodos_Gracia,Tabla!S79,PPMT(Tasa_Anual/360*Días*(1+I.V.A.),Tabla!AM79,No._De_Pagos_con_periodo_de_gracia,-Monto_Crédito)+S79))</f>
        <v/>
      </c>
      <c r="AO79" s="128" t="str">
        <f>IF(A79="","",IF(A79&lt;=Periodos_Gracia,Tabla!AC79,Monto_Crédito/(No._De_Pagos_con_periodo_de_gracia)+AC79))</f>
        <v/>
      </c>
      <c r="AP79" s="118"/>
    </row>
    <row r="80" spans="1:42">
      <c r="A80" s="108" t="str">
        <f>IF(A79&lt;Parámetros!$E$6,A79+1,"")</f>
        <v/>
      </c>
      <c r="B80" s="109" t="str">
        <f t="shared" si="25"/>
        <v/>
      </c>
      <c r="C80" s="109" t="str">
        <f t="shared" si="0"/>
        <v/>
      </c>
      <c r="D80" s="109" t="str">
        <f t="shared" si="1"/>
        <v/>
      </c>
      <c r="E80" s="109" t="str">
        <f t="shared" si="2"/>
        <v/>
      </c>
      <c r="F80" s="109" t="str">
        <f t="shared" si="3"/>
        <v/>
      </c>
      <c r="G80" s="115" t="str">
        <f t="shared" si="13"/>
        <v/>
      </c>
      <c r="H80" s="116">
        <f t="shared" si="14"/>
        <v>0</v>
      </c>
      <c r="I80" s="109" t="str">
        <f t="shared" si="26"/>
        <v/>
      </c>
      <c r="J80" s="109" t="str">
        <f t="shared" si="4"/>
        <v/>
      </c>
      <c r="K80" s="109" t="str">
        <f t="shared" si="5"/>
        <v/>
      </c>
      <c r="L80" s="109" t="str">
        <f t="shared" si="6"/>
        <v/>
      </c>
      <c r="M80" s="109" t="str">
        <f t="shared" si="15"/>
        <v/>
      </c>
      <c r="N80" s="115" t="str">
        <f t="shared" si="16"/>
        <v/>
      </c>
      <c r="O80" s="61">
        <v>0</v>
      </c>
      <c r="P80" s="117">
        <f t="shared" si="17"/>
        <v>0</v>
      </c>
      <c r="R80" s="118" t="str">
        <f t="shared" si="28"/>
        <v/>
      </c>
      <c r="S80" s="119" t="str">
        <f t="shared" si="7"/>
        <v/>
      </c>
      <c r="T80" s="119" t="str">
        <f t="shared" si="8"/>
        <v/>
      </c>
      <c r="U80" s="120">
        <f t="shared" si="19"/>
        <v>0</v>
      </c>
      <c r="V80" s="121" t="str">
        <f>IF(A80="","",IF(A80&lt;=Periodos_Gracia,0,PPMT(Tasa_Anual/360*Días*(1+I.V.A.),Tabla!AM80,No._De_Pagos_con_periodo_de_gracia,-Monto_Crédito)))</f>
        <v/>
      </c>
      <c r="W80" s="111" t="str">
        <f>IF($U$258&lt;=0,V80,IF(SUM($U$18:U80)&lt;=0,V80,PMT($K$5/360*Días,A80,-R80)))</f>
        <v/>
      </c>
      <c r="X80" s="122" t="str">
        <f>IF($U$258&lt;=0,W80,IF(SUM($U$18:U80)&lt;=0,V80,PMT($K$5/360*Días,No._De_Pagos_con_periodo_de_gracia,-Monto_Crédito)-S80-T80))</f>
        <v/>
      </c>
      <c r="Y80" s="118" t="str">
        <f t="shared" si="20"/>
        <v/>
      </c>
      <c r="Z80" s="62" t="str">
        <f>+IF(A80="","",IF(No._de_Pagos-Tabla!A80+1&lt;=0,"",No._de_Pagos-Tabla!A80+1))</f>
        <v/>
      </c>
      <c r="AA80" s="123" t="str">
        <f t="shared" si="21"/>
        <v/>
      </c>
      <c r="AB80" s="125" t="str">
        <f t="shared" si="27"/>
        <v/>
      </c>
      <c r="AC80" s="125" t="str">
        <f t="shared" si="9"/>
        <v/>
      </c>
      <c r="AD80" s="125" t="str">
        <f t="shared" si="10"/>
        <v/>
      </c>
      <c r="AE80" s="120">
        <f t="shared" si="22"/>
        <v>0</v>
      </c>
      <c r="AF80" s="121" t="str">
        <f t="shared" si="11"/>
        <v/>
      </c>
      <c r="AG80" s="111" t="str">
        <f>IF($U$258&lt;=0,AF80,IF(SUM($U$18:U80)&lt;=0,AF80,PMT($K$5/360*Días,A80,-AA80)))</f>
        <v/>
      </c>
      <c r="AH80" s="122" t="str">
        <f>IF(A80&lt;=Periodos_Gracia,0,IF($U$258&lt;=0,AG80,IF(SUM($U$18:U80)&lt;=0,AF80,PMT($K$5/360*Días,No._de_Pagos,-Monto_Crédito)-AC80-AD80)))</f>
        <v/>
      </c>
      <c r="AI80" s="126" t="str">
        <f t="shared" si="23"/>
        <v/>
      </c>
      <c r="AK80" s="127" t="str">
        <f>IF(A80="","",IF(Periodos_Gracia&gt;0,Tabla!AN80,V80+S80))</f>
        <v/>
      </c>
      <c r="AL80" s="127" t="str">
        <f t="shared" si="12"/>
        <v/>
      </c>
      <c r="AM80" s="62" t="str">
        <f t="shared" si="24"/>
        <v/>
      </c>
      <c r="AN80" s="128" t="str">
        <f>IF(A80="","",IF(A80&lt;=Periodos_Gracia,Tabla!S80,PPMT(Tasa_Anual/360*Días*(1+I.V.A.),Tabla!AM80,No._De_Pagos_con_periodo_de_gracia,-Monto_Crédito)+S80))</f>
        <v/>
      </c>
      <c r="AO80" s="128" t="str">
        <f>IF(A80="","",IF(A80&lt;=Periodos_Gracia,Tabla!AC80,Monto_Crédito/(No._De_Pagos_con_periodo_de_gracia)+AC80))</f>
        <v/>
      </c>
      <c r="AP80" s="118"/>
    </row>
    <row r="81" spans="1:42">
      <c r="A81" s="108" t="str">
        <f>IF(A80&lt;Parámetros!$E$6,A80+1,"")</f>
        <v/>
      </c>
      <c r="B81" s="109" t="str">
        <f t="shared" si="25"/>
        <v/>
      </c>
      <c r="C81" s="109" t="str">
        <f t="shared" si="0"/>
        <v/>
      </c>
      <c r="D81" s="109" t="str">
        <f t="shared" si="1"/>
        <v/>
      </c>
      <c r="E81" s="109" t="str">
        <f t="shared" si="2"/>
        <v/>
      </c>
      <c r="F81" s="109" t="str">
        <f t="shared" si="3"/>
        <v/>
      </c>
      <c r="G81" s="115" t="str">
        <f t="shared" si="13"/>
        <v/>
      </c>
      <c r="H81" s="116">
        <f t="shared" si="14"/>
        <v>0</v>
      </c>
      <c r="I81" s="109" t="str">
        <f t="shared" si="26"/>
        <v/>
      </c>
      <c r="J81" s="109" t="str">
        <f t="shared" si="4"/>
        <v/>
      </c>
      <c r="K81" s="109" t="str">
        <f t="shared" si="5"/>
        <v/>
      </c>
      <c r="L81" s="109" t="str">
        <f t="shared" si="6"/>
        <v/>
      </c>
      <c r="M81" s="109" t="str">
        <f t="shared" si="15"/>
        <v/>
      </c>
      <c r="N81" s="115" t="str">
        <f t="shared" si="16"/>
        <v/>
      </c>
      <c r="O81" s="61">
        <v>0</v>
      </c>
      <c r="P81" s="117">
        <f t="shared" si="17"/>
        <v>0</v>
      </c>
      <c r="R81" s="118" t="str">
        <f t="shared" si="28"/>
        <v/>
      </c>
      <c r="S81" s="119" t="str">
        <f t="shared" si="7"/>
        <v/>
      </c>
      <c r="T81" s="119" t="str">
        <f t="shared" si="8"/>
        <v/>
      </c>
      <c r="U81" s="120">
        <f t="shared" si="19"/>
        <v>0</v>
      </c>
      <c r="V81" s="121" t="str">
        <f>IF(A81="","",IF(A81&lt;=Periodos_Gracia,0,PPMT(Tasa_Anual/360*Días*(1+I.V.A.),Tabla!AM81,No._De_Pagos_con_periodo_de_gracia,-Monto_Crédito)))</f>
        <v/>
      </c>
      <c r="W81" s="111" t="str">
        <f>IF($U$258&lt;=0,V81,IF(SUM($U$18:U81)&lt;=0,V81,PMT($K$5/360*Días,A81,-R81)))</f>
        <v/>
      </c>
      <c r="X81" s="122" t="str">
        <f>IF($U$258&lt;=0,W81,IF(SUM($U$18:U81)&lt;=0,V81,PMT($K$5/360*Días,No._De_Pagos_con_periodo_de_gracia,-Monto_Crédito)-S81-T81))</f>
        <v/>
      </c>
      <c r="Y81" s="118" t="str">
        <f t="shared" si="20"/>
        <v/>
      </c>
      <c r="Z81" s="62" t="str">
        <f>+IF(A81="","",IF(No._de_Pagos-Tabla!A81+1&lt;=0,"",No._de_Pagos-Tabla!A81+1))</f>
        <v/>
      </c>
      <c r="AA81" s="123" t="str">
        <f t="shared" si="21"/>
        <v/>
      </c>
      <c r="AB81" s="125" t="str">
        <f t="shared" si="27"/>
        <v/>
      </c>
      <c r="AC81" s="125" t="str">
        <f t="shared" si="9"/>
        <v/>
      </c>
      <c r="AD81" s="125" t="str">
        <f t="shared" si="10"/>
        <v/>
      </c>
      <c r="AE81" s="120">
        <f t="shared" si="22"/>
        <v>0</v>
      </c>
      <c r="AF81" s="121" t="str">
        <f t="shared" si="11"/>
        <v/>
      </c>
      <c r="AG81" s="111" t="str">
        <f>IF($U$258&lt;=0,AF81,IF(SUM($U$18:U81)&lt;=0,AF81,PMT($K$5/360*Días,A81,-AA81)))</f>
        <v/>
      </c>
      <c r="AH81" s="122" t="str">
        <f>IF(A81&lt;=Periodos_Gracia,0,IF($U$258&lt;=0,AG81,IF(SUM($U$18:U81)&lt;=0,AF81,PMT($K$5/360*Días,No._de_Pagos,-Monto_Crédito)-AC81-AD81)))</f>
        <v/>
      </c>
      <c r="AI81" s="126" t="str">
        <f t="shared" si="23"/>
        <v/>
      </c>
      <c r="AK81" s="127" t="str">
        <f>IF(A81="","",IF(Periodos_Gracia&gt;0,Tabla!AN81,V81+S81))</f>
        <v/>
      </c>
      <c r="AL81" s="127" t="str">
        <f t="shared" si="12"/>
        <v/>
      </c>
      <c r="AM81" s="62" t="str">
        <f t="shared" si="24"/>
        <v/>
      </c>
      <c r="AN81" s="128" t="str">
        <f>IF(A81="","",IF(A81&lt;=Periodos_Gracia,Tabla!S81,PPMT(Tasa_Anual/360*Días*(1+I.V.A.),Tabla!AM81,No._De_Pagos_con_periodo_de_gracia,-Monto_Crédito)+S81))</f>
        <v/>
      </c>
      <c r="AO81" s="128" t="str">
        <f>IF(A81="","",IF(A81&lt;=Periodos_Gracia,Tabla!AC81,Monto_Crédito/(No._De_Pagos_con_periodo_de_gracia)+AC81))</f>
        <v/>
      </c>
      <c r="AP81" s="118"/>
    </row>
    <row r="82" spans="1:42">
      <c r="A82" s="108" t="str">
        <f>IF(A81&lt;Parámetros!$E$6,A81+1,"")</f>
        <v/>
      </c>
      <c r="B82" s="109" t="str">
        <f t="shared" si="25"/>
        <v/>
      </c>
      <c r="C82" s="109" t="str">
        <f t="shared" ref="C82:C145" si="29">IF(A82="","",IF(A82&lt;=Periodos_Gracia,0,IF(V82&gt;B82,B82,V82)))</f>
        <v/>
      </c>
      <c r="D82" s="109" t="str">
        <f t="shared" ref="D82:D145" si="30">IF(A82="","",B82*Tasa_Anual/Pagos_por_año)</f>
        <v/>
      </c>
      <c r="E82" s="109" t="str">
        <f t="shared" ref="E82:E145" si="31">IF(A82="","",D82*I.V.A.)</f>
        <v/>
      </c>
      <c r="F82" s="109" t="str">
        <f t="shared" ref="F82:F145" si="32">IF(A82="","",IF(B82=0,0,IF(A82&lt;=Periodos_Gracia,(D82+E82),C82+D82+E82)))</f>
        <v/>
      </c>
      <c r="G82" s="115" t="str">
        <f t="shared" si="13"/>
        <v/>
      </c>
      <c r="H82" s="116">
        <f t="shared" si="14"/>
        <v>0</v>
      </c>
      <c r="I82" s="109" t="str">
        <f t="shared" si="26"/>
        <v/>
      </c>
      <c r="J82" s="109" t="str">
        <f t="shared" ref="J82:J145" si="33">IF(A82="","",IF(I82=0,0,IF(A82&lt;=Periodos_Gracia,0,IF((Monto_Crédito/(No._de_Pagos-Periodos_Gracia))&gt;I82,I82,(Monto_Crédito/(No._de_Pagos-Periodos_Gracia))))))</f>
        <v/>
      </c>
      <c r="K82" s="109" t="str">
        <f t="shared" ref="K82:K145" si="34">IF(A82="","",I82*Tasa_Anual/Pagos_por_año)</f>
        <v/>
      </c>
      <c r="L82" s="109" t="str">
        <f t="shared" ref="L82:L145" si="35">IF(A82="","",K82*I.V.A.)</f>
        <v/>
      </c>
      <c r="M82" s="109" t="str">
        <f t="shared" si="15"/>
        <v/>
      </c>
      <c r="N82" s="115" t="str">
        <f t="shared" si="16"/>
        <v/>
      </c>
      <c r="O82" s="61">
        <v>0</v>
      </c>
      <c r="P82" s="117">
        <f t="shared" si="17"/>
        <v>0</v>
      </c>
      <c r="R82" s="118" t="str">
        <f t="shared" si="28"/>
        <v/>
      </c>
      <c r="S82" s="119" t="str">
        <f t="shared" ref="S82:S145" si="36">+IF(A82="","",R82*$K$5/360*Días)</f>
        <v/>
      </c>
      <c r="T82" s="119" t="str">
        <f t="shared" ref="T82:T145" si="37">+IF(A82="","",S82*I.V.A.)</f>
        <v/>
      </c>
      <c r="U82" s="120">
        <f t="shared" si="19"/>
        <v>0</v>
      </c>
      <c r="V82" s="121" t="str">
        <f>IF(A82="","",IF(A82&lt;=Periodos_Gracia,0,PPMT(Tasa_Anual/360*Días*(1+I.V.A.),Tabla!AM82,No._De_Pagos_con_periodo_de_gracia,-Monto_Crédito)))</f>
        <v/>
      </c>
      <c r="W82" s="111" t="str">
        <f>IF($U$258&lt;=0,V82,IF(SUM($U$18:U82)&lt;=0,V82,PMT($K$5/360*Días,A82,-R82)))</f>
        <v/>
      </c>
      <c r="X82" s="122" t="str">
        <f>IF($U$258&lt;=0,W82,IF(SUM($U$18:U82)&lt;=0,V82,PMT($K$5/360*Días,No._De_Pagos_con_periodo_de_gracia,-Monto_Crédito)-S82-T82))</f>
        <v/>
      </c>
      <c r="Y82" s="118" t="str">
        <f t="shared" si="20"/>
        <v/>
      </c>
      <c r="Z82" s="62" t="str">
        <f>+IF(A82="","",IF(No._de_Pagos-Tabla!A82+1&lt;=0,"",No._de_Pagos-Tabla!A82+1))</f>
        <v/>
      </c>
      <c r="AA82" s="123" t="str">
        <f t="shared" si="21"/>
        <v/>
      </c>
      <c r="AB82" s="125" t="str">
        <f t="shared" si="27"/>
        <v/>
      </c>
      <c r="AC82" s="125" t="str">
        <f t="shared" ref="AC82:AC145" si="38">IF(AB82="","",+AB82*($K$5/360*Días))</f>
        <v/>
      </c>
      <c r="AD82" s="125" t="str">
        <f t="shared" ref="AD82:AD145" si="39">IF(AC82="","",+AC82*I.V.A.)</f>
        <v/>
      </c>
      <c r="AE82" s="120">
        <f t="shared" si="22"/>
        <v>0</v>
      </c>
      <c r="AF82" s="121" t="str">
        <f t="shared" ref="AF82:AF145" si="40">IF(A82="","",IF(A82&lt;=Periodos_Gracia,0,Monto_Crédito/(No._De_Pagos_con_periodo_de_gracia)))</f>
        <v/>
      </c>
      <c r="AG82" s="111" t="str">
        <f>IF($U$258&lt;=0,AF82,IF(SUM($U$18:U82)&lt;=0,AF82,PMT($K$5/360*Días,A82,-AA82)))</f>
        <v/>
      </c>
      <c r="AH82" s="122" t="str">
        <f>IF(A82&lt;=Periodos_Gracia,0,IF($U$258&lt;=0,AG82,IF(SUM($U$18:U82)&lt;=0,AF82,PMT($K$5/360*Días,No._de_Pagos,-Monto_Crédito)-AC82-AD82)))</f>
        <v/>
      </c>
      <c r="AI82" s="126" t="str">
        <f t="shared" si="23"/>
        <v/>
      </c>
      <c r="AK82" s="127" t="str">
        <f>IF(A82="","",IF(Periodos_Gracia&gt;0,Tabla!AN82,V82+S82))</f>
        <v/>
      </c>
      <c r="AL82" s="127" t="str">
        <f t="shared" ref="AL82:AL145" si="41">IF(A82="","",IF(Periodos_Gracia&gt;0,AO82,AF82+AC82))</f>
        <v/>
      </c>
      <c r="AM82" s="62" t="str">
        <f t="shared" si="24"/>
        <v/>
      </c>
      <c r="AN82" s="128" t="str">
        <f>IF(A82="","",IF(A82&lt;=Periodos_Gracia,Tabla!S82,PPMT(Tasa_Anual/360*Días*(1+I.V.A.),Tabla!AM82,No._De_Pagos_con_periodo_de_gracia,-Monto_Crédito)+S82))</f>
        <v/>
      </c>
      <c r="AO82" s="128" t="str">
        <f>IF(A82="","",IF(A82&lt;=Periodos_Gracia,Tabla!AC82,Monto_Crédito/(No._De_Pagos_con_periodo_de_gracia)+AC82))</f>
        <v/>
      </c>
      <c r="AP82" s="118"/>
    </row>
    <row r="83" spans="1:42">
      <c r="A83" s="108" t="str">
        <f>IF(A82&lt;Parámetros!$E$6,A82+1,"")</f>
        <v/>
      </c>
      <c r="B83" s="109" t="str">
        <f t="shared" si="25"/>
        <v/>
      </c>
      <c r="C83" s="109" t="str">
        <f t="shared" si="29"/>
        <v/>
      </c>
      <c r="D83" s="109" t="str">
        <f t="shared" si="30"/>
        <v/>
      </c>
      <c r="E83" s="109" t="str">
        <f t="shared" si="31"/>
        <v/>
      </c>
      <c r="F83" s="109" t="str">
        <f t="shared" si="32"/>
        <v/>
      </c>
      <c r="G83" s="115" t="str">
        <f t="shared" ref="G83:G146" si="42">IF(A83="","",IF(+B83-C83-O83&lt;=0,0,+B83-C83-O83))</f>
        <v/>
      </c>
      <c r="H83" s="116">
        <f t="shared" ref="H83:H146" si="43">IF(OR(B83=0,B83=""),0,1)</f>
        <v>0</v>
      </c>
      <c r="I83" s="109" t="str">
        <f t="shared" si="26"/>
        <v/>
      </c>
      <c r="J83" s="109" t="str">
        <f t="shared" si="33"/>
        <v/>
      </c>
      <c r="K83" s="109" t="str">
        <f t="shared" si="34"/>
        <v/>
      </c>
      <c r="L83" s="109" t="str">
        <f t="shared" si="35"/>
        <v/>
      </c>
      <c r="M83" s="109" t="str">
        <f t="shared" ref="M83:M146" si="44">IF(A83="","",IF(I83=0,0,(J83+K83+L83)))</f>
        <v/>
      </c>
      <c r="N83" s="115" t="str">
        <f t="shared" ref="N83:N146" si="45">IF(A83="","",IF(+I83-J83-O83&lt;=0,0,+I83-J83-O83))</f>
        <v/>
      </c>
      <c r="O83" s="61">
        <v>0</v>
      </c>
      <c r="P83" s="117">
        <f t="shared" ref="P83:P146" si="46">IF(OR(I83=0,I83=""),0,1)</f>
        <v>0</v>
      </c>
      <c r="R83" s="118" t="str">
        <f t="shared" si="28"/>
        <v/>
      </c>
      <c r="S83" s="119" t="str">
        <f t="shared" si="36"/>
        <v/>
      </c>
      <c r="T83" s="119" t="str">
        <f t="shared" si="37"/>
        <v/>
      </c>
      <c r="U83" s="120">
        <f t="shared" ref="U83:U146" si="47">+O83</f>
        <v>0</v>
      </c>
      <c r="V83" s="121" t="str">
        <f>IF(A83="","",IF(A83&lt;=Periodos_Gracia,0,PPMT(Tasa_Anual/360*Días*(1+I.V.A.),Tabla!AM83,No._De_Pagos_con_periodo_de_gracia,-Monto_Crédito)))</f>
        <v/>
      </c>
      <c r="W83" s="111" t="str">
        <f>IF($U$258&lt;=0,V83,IF(SUM($U$18:U83)&lt;=0,V83,PMT($K$5/360*Días,A83,-R83)))</f>
        <v/>
      </c>
      <c r="X83" s="122" t="str">
        <f>IF($U$258&lt;=0,W83,IF(SUM($U$18:U83)&lt;=0,V83,PMT($K$5/360*Días,No._De_Pagos_con_periodo_de_gracia,-Monto_Crédito)-S83-T83))</f>
        <v/>
      </c>
      <c r="Y83" s="118" t="str">
        <f t="shared" ref="Y83:Y146" si="48">V83</f>
        <v/>
      </c>
      <c r="Z83" s="62" t="str">
        <f>+IF(A83="","",IF(No._de_Pagos-Tabla!A83+1&lt;=0,"",No._de_Pagos-Tabla!A83+1))</f>
        <v/>
      </c>
      <c r="AA83" s="123" t="str">
        <f t="shared" ref="AA83:AA146" si="49">IF(A83="","",V83+S83+T83)</f>
        <v/>
      </c>
      <c r="AB83" s="125" t="str">
        <f t="shared" si="27"/>
        <v/>
      </c>
      <c r="AC83" s="125" t="str">
        <f t="shared" si="38"/>
        <v/>
      </c>
      <c r="AD83" s="125" t="str">
        <f t="shared" si="39"/>
        <v/>
      </c>
      <c r="AE83" s="120">
        <f t="shared" ref="AE83:AE146" si="50">+O83</f>
        <v>0</v>
      </c>
      <c r="AF83" s="121" t="str">
        <f t="shared" si="40"/>
        <v/>
      </c>
      <c r="AG83" s="111" t="str">
        <f>IF($U$258&lt;=0,AF83,IF(SUM($U$18:U83)&lt;=0,AF83,PMT($K$5/360*Días,A83,-AA83)))</f>
        <v/>
      </c>
      <c r="AH83" s="122" t="str">
        <f>IF(A83&lt;=Periodos_Gracia,0,IF($U$258&lt;=0,AG83,IF(SUM($U$18:U83)&lt;=0,AF83,PMT($K$5/360*Días,No._de_Pagos,-Monto_Crédito)-AC83-AD83)))</f>
        <v/>
      </c>
      <c r="AI83" s="126" t="str">
        <f t="shared" ref="AI83:AI146" si="51">IF(A83="","",AF83+AC83+AD83)</f>
        <v/>
      </c>
      <c r="AK83" s="127" t="str">
        <f>IF(A83="","",IF(Periodos_Gracia&gt;0,Tabla!AN83,V83+S83))</f>
        <v/>
      </c>
      <c r="AL83" s="127" t="str">
        <f t="shared" si="41"/>
        <v/>
      </c>
      <c r="AM83" s="62" t="str">
        <f t="shared" ref="AM83:AM146" si="52">IF(A83="","",IF(A83&lt;=Periodos_Gracia,0,IF(AM82=0,1,IF(AM82&gt;0,AM82+1,A82))))</f>
        <v/>
      </c>
      <c r="AN83" s="128" t="str">
        <f>IF(A83="","",IF(A83&lt;=Periodos_Gracia,Tabla!S83,PPMT(Tasa_Anual/360*Días*(1+I.V.A.),Tabla!AM83,No._De_Pagos_con_periodo_de_gracia,-Monto_Crédito)+S83))</f>
        <v/>
      </c>
      <c r="AO83" s="128" t="str">
        <f>IF(A83="","",IF(A83&lt;=Periodos_Gracia,Tabla!AC83,Monto_Crédito/(No._De_Pagos_con_periodo_de_gracia)+AC83))</f>
        <v/>
      </c>
      <c r="AP83" s="118"/>
    </row>
    <row r="84" spans="1:42">
      <c r="A84" s="108" t="str">
        <f>IF(A83&lt;Parámetros!$E$6,A83+1,"")</f>
        <v/>
      </c>
      <c r="B84" s="109" t="str">
        <f t="shared" ref="B84:B147" si="53">IF(A84="","",IF(G83&lt;=0,0,+G83))</f>
        <v/>
      </c>
      <c r="C84" s="109" t="str">
        <f t="shared" si="29"/>
        <v/>
      </c>
      <c r="D84" s="109" t="str">
        <f t="shared" si="30"/>
        <v/>
      </c>
      <c r="E84" s="109" t="str">
        <f t="shared" si="31"/>
        <v/>
      </c>
      <c r="F84" s="109" t="str">
        <f t="shared" si="32"/>
        <v/>
      </c>
      <c r="G84" s="115" t="str">
        <f t="shared" si="42"/>
        <v/>
      </c>
      <c r="H84" s="116">
        <f t="shared" si="43"/>
        <v>0</v>
      </c>
      <c r="I84" s="109" t="str">
        <f t="shared" ref="I84:I147" si="54">IF(A84="","",IF(+N83&lt;=0,0,N83))</f>
        <v/>
      </c>
      <c r="J84" s="109" t="str">
        <f t="shared" si="33"/>
        <v/>
      </c>
      <c r="K84" s="109" t="str">
        <f t="shared" si="34"/>
        <v/>
      </c>
      <c r="L84" s="109" t="str">
        <f t="shared" si="35"/>
        <v/>
      </c>
      <c r="M84" s="109" t="str">
        <f t="shared" si="44"/>
        <v/>
      </c>
      <c r="N84" s="115" t="str">
        <f t="shared" si="45"/>
        <v/>
      </c>
      <c r="O84" s="61">
        <v>0</v>
      </c>
      <c r="P84" s="117">
        <f t="shared" si="46"/>
        <v>0</v>
      </c>
      <c r="R84" s="118" t="str">
        <f t="shared" si="28"/>
        <v/>
      </c>
      <c r="S84" s="119" t="str">
        <f t="shared" si="36"/>
        <v/>
      </c>
      <c r="T84" s="119" t="str">
        <f t="shared" si="37"/>
        <v/>
      </c>
      <c r="U84" s="120">
        <f t="shared" si="47"/>
        <v>0</v>
      </c>
      <c r="V84" s="121" t="str">
        <f>IF(A84="","",IF(A84&lt;=Periodos_Gracia,0,PPMT(Tasa_Anual/360*Días*(1+I.V.A.),Tabla!AM84,No._De_Pagos_con_periodo_de_gracia,-Monto_Crédito)))</f>
        <v/>
      </c>
      <c r="W84" s="111" t="str">
        <f>IF($U$258&lt;=0,V84,IF(SUM($U$18:U84)&lt;=0,V84,PMT($K$5/360*Días,A84,-R84)))</f>
        <v/>
      </c>
      <c r="X84" s="122" t="str">
        <f>IF($U$258&lt;=0,W84,IF(SUM($U$18:U84)&lt;=0,V84,PMT($K$5/360*Días,No._De_Pagos_con_periodo_de_gracia,-Monto_Crédito)-S84-T84))</f>
        <v/>
      </c>
      <c r="Y84" s="118" t="str">
        <f t="shared" si="48"/>
        <v/>
      </c>
      <c r="Z84" s="62" t="str">
        <f>+IF(A84="","",IF(No._de_Pagos-Tabla!A84+1&lt;=0,"",No._de_Pagos-Tabla!A84+1))</f>
        <v/>
      </c>
      <c r="AA84" s="123" t="str">
        <f t="shared" si="49"/>
        <v/>
      </c>
      <c r="AB84" s="125" t="str">
        <f t="shared" ref="AB84:AB147" si="55">IF(A84="","",AB83-AF83)</f>
        <v/>
      </c>
      <c r="AC84" s="125" t="str">
        <f t="shared" si="38"/>
        <v/>
      </c>
      <c r="AD84" s="125" t="str">
        <f t="shared" si="39"/>
        <v/>
      </c>
      <c r="AE84" s="120">
        <f t="shared" si="50"/>
        <v>0</v>
      </c>
      <c r="AF84" s="121" t="str">
        <f t="shared" si="40"/>
        <v/>
      </c>
      <c r="AG84" s="111" t="str">
        <f>IF($U$258&lt;=0,AF84,IF(SUM($U$18:U84)&lt;=0,AF84,PMT($K$5/360*Días,A84,-AA84)))</f>
        <v/>
      </c>
      <c r="AH84" s="122" t="str">
        <f>IF(A84&lt;=Periodos_Gracia,0,IF($U$258&lt;=0,AG84,IF(SUM($U$18:U84)&lt;=0,AF84,PMT($K$5/360*Días,No._de_Pagos,-Monto_Crédito)-AC84-AD84)))</f>
        <v/>
      </c>
      <c r="AI84" s="126" t="str">
        <f t="shared" si="51"/>
        <v/>
      </c>
      <c r="AK84" s="127" t="str">
        <f>IF(A84="","",IF(Periodos_Gracia&gt;0,Tabla!AN84,V84+S84))</f>
        <v/>
      </c>
      <c r="AL84" s="127" t="str">
        <f t="shared" si="41"/>
        <v/>
      </c>
      <c r="AM84" s="62" t="str">
        <f t="shared" si="52"/>
        <v/>
      </c>
      <c r="AN84" s="128" t="str">
        <f>IF(A84="","",IF(A84&lt;=Periodos_Gracia,Tabla!S84,PPMT(Tasa_Anual/360*Días*(1+I.V.A.),Tabla!AM84,No._De_Pagos_con_periodo_de_gracia,-Monto_Crédito)+S84))</f>
        <v/>
      </c>
      <c r="AO84" s="128" t="str">
        <f>IF(A84="","",IF(A84&lt;=Periodos_Gracia,Tabla!AC84,Monto_Crédito/(No._De_Pagos_con_periodo_de_gracia)+AC84))</f>
        <v/>
      </c>
      <c r="AP84" s="118"/>
    </row>
    <row r="85" spans="1:42">
      <c r="A85" s="108" t="str">
        <f>IF(A84&lt;Parámetros!$E$6,A84+1,"")</f>
        <v/>
      </c>
      <c r="B85" s="109" t="str">
        <f t="shared" si="53"/>
        <v/>
      </c>
      <c r="C85" s="109" t="str">
        <f t="shared" si="29"/>
        <v/>
      </c>
      <c r="D85" s="109" t="str">
        <f t="shared" si="30"/>
        <v/>
      </c>
      <c r="E85" s="109" t="str">
        <f t="shared" si="31"/>
        <v/>
      </c>
      <c r="F85" s="109" t="str">
        <f t="shared" si="32"/>
        <v/>
      </c>
      <c r="G85" s="115" t="str">
        <f t="shared" si="42"/>
        <v/>
      </c>
      <c r="H85" s="116">
        <f t="shared" si="43"/>
        <v>0</v>
      </c>
      <c r="I85" s="109" t="str">
        <f t="shared" si="54"/>
        <v/>
      </c>
      <c r="J85" s="109" t="str">
        <f t="shared" si="33"/>
        <v/>
      </c>
      <c r="K85" s="109" t="str">
        <f t="shared" si="34"/>
        <v/>
      </c>
      <c r="L85" s="109" t="str">
        <f t="shared" si="35"/>
        <v/>
      </c>
      <c r="M85" s="109" t="str">
        <f t="shared" si="44"/>
        <v/>
      </c>
      <c r="N85" s="115" t="str">
        <f t="shared" si="45"/>
        <v/>
      </c>
      <c r="O85" s="61">
        <v>0</v>
      </c>
      <c r="P85" s="117">
        <f t="shared" si="46"/>
        <v>0</v>
      </c>
      <c r="R85" s="118" t="str">
        <f t="shared" si="28"/>
        <v/>
      </c>
      <c r="S85" s="119" t="str">
        <f t="shared" si="36"/>
        <v/>
      </c>
      <c r="T85" s="119" t="str">
        <f t="shared" si="37"/>
        <v/>
      </c>
      <c r="U85" s="120">
        <f t="shared" si="47"/>
        <v>0</v>
      </c>
      <c r="V85" s="121" t="str">
        <f>IF(A85="","",IF(A85&lt;=Periodos_Gracia,0,PPMT(Tasa_Anual/360*Días*(1+I.V.A.),Tabla!AM85,No._De_Pagos_con_periodo_de_gracia,-Monto_Crédito)))</f>
        <v/>
      </c>
      <c r="W85" s="111" t="str">
        <f>IF($U$258&lt;=0,V85,IF(SUM($U$18:U85)&lt;=0,V85,PMT($K$5/360*Días,A85,-R85)))</f>
        <v/>
      </c>
      <c r="X85" s="122" t="str">
        <f>IF($U$258&lt;=0,W85,IF(SUM($U$18:U85)&lt;=0,V85,PMT($K$5/360*Días,No._De_Pagos_con_periodo_de_gracia,-Monto_Crédito)-S85-T85))</f>
        <v/>
      </c>
      <c r="Y85" s="118" t="str">
        <f t="shared" si="48"/>
        <v/>
      </c>
      <c r="Z85" s="62" t="str">
        <f>+IF(A85="","",IF(No._de_Pagos-Tabla!A85+1&lt;=0,"",No._de_Pagos-Tabla!A85+1))</f>
        <v/>
      </c>
      <c r="AA85" s="123" t="str">
        <f t="shared" si="49"/>
        <v/>
      </c>
      <c r="AB85" s="125" t="str">
        <f t="shared" si="55"/>
        <v/>
      </c>
      <c r="AC85" s="125" t="str">
        <f t="shared" si="38"/>
        <v/>
      </c>
      <c r="AD85" s="125" t="str">
        <f t="shared" si="39"/>
        <v/>
      </c>
      <c r="AE85" s="120">
        <f t="shared" si="50"/>
        <v>0</v>
      </c>
      <c r="AF85" s="121" t="str">
        <f t="shared" si="40"/>
        <v/>
      </c>
      <c r="AG85" s="111" t="str">
        <f>IF($U$258&lt;=0,AF85,IF(SUM($U$18:U85)&lt;=0,AF85,PMT($K$5/360*Días,A85,-AA85)))</f>
        <v/>
      </c>
      <c r="AH85" s="122" t="str">
        <f>IF(A85&lt;=Periodos_Gracia,0,IF($U$258&lt;=0,AG85,IF(SUM($U$18:U85)&lt;=0,AF85,PMT($K$5/360*Días,No._de_Pagos,-Monto_Crédito)-AC85-AD85)))</f>
        <v/>
      </c>
      <c r="AI85" s="126" t="str">
        <f t="shared" si="51"/>
        <v/>
      </c>
      <c r="AK85" s="127" t="str">
        <f>IF(A85="","",IF(Periodos_Gracia&gt;0,Tabla!AN85,V85+S85))</f>
        <v/>
      </c>
      <c r="AL85" s="127" t="str">
        <f t="shared" si="41"/>
        <v/>
      </c>
      <c r="AM85" s="62" t="str">
        <f t="shared" si="52"/>
        <v/>
      </c>
      <c r="AN85" s="128" t="str">
        <f>IF(A85="","",IF(A85&lt;=Periodos_Gracia,Tabla!S85,PPMT(Tasa_Anual/360*Días*(1+I.V.A.),Tabla!AM85,No._De_Pagos_con_periodo_de_gracia,-Monto_Crédito)+S85))</f>
        <v/>
      </c>
      <c r="AO85" s="128" t="str">
        <f>IF(A85="","",IF(A85&lt;=Periodos_Gracia,Tabla!AC85,Monto_Crédito/(No._De_Pagos_con_periodo_de_gracia)+AC85))</f>
        <v/>
      </c>
      <c r="AP85" s="118"/>
    </row>
    <row r="86" spans="1:42">
      <c r="A86" s="108" t="str">
        <f>IF(A85&lt;Parámetros!$E$6,A85+1,"")</f>
        <v/>
      </c>
      <c r="B86" s="109" t="str">
        <f t="shared" si="53"/>
        <v/>
      </c>
      <c r="C86" s="109" t="str">
        <f t="shared" si="29"/>
        <v/>
      </c>
      <c r="D86" s="109" t="str">
        <f t="shared" si="30"/>
        <v/>
      </c>
      <c r="E86" s="109" t="str">
        <f t="shared" si="31"/>
        <v/>
      </c>
      <c r="F86" s="109" t="str">
        <f t="shared" si="32"/>
        <v/>
      </c>
      <c r="G86" s="115" t="str">
        <f t="shared" si="42"/>
        <v/>
      </c>
      <c r="H86" s="116">
        <f t="shared" si="43"/>
        <v>0</v>
      </c>
      <c r="I86" s="109" t="str">
        <f t="shared" si="54"/>
        <v/>
      </c>
      <c r="J86" s="109" t="str">
        <f t="shared" si="33"/>
        <v/>
      </c>
      <c r="K86" s="109" t="str">
        <f t="shared" si="34"/>
        <v/>
      </c>
      <c r="L86" s="109" t="str">
        <f t="shared" si="35"/>
        <v/>
      </c>
      <c r="M86" s="109" t="str">
        <f t="shared" si="44"/>
        <v/>
      </c>
      <c r="N86" s="115" t="str">
        <f t="shared" si="45"/>
        <v/>
      </c>
      <c r="O86" s="61">
        <v>0</v>
      </c>
      <c r="P86" s="117">
        <f t="shared" si="46"/>
        <v>0</v>
      </c>
      <c r="R86" s="118" t="str">
        <f t="shared" si="28"/>
        <v/>
      </c>
      <c r="S86" s="119" t="str">
        <f t="shared" si="36"/>
        <v/>
      </c>
      <c r="T86" s="119" t="str">
        <f t="shared" si="37"/>
        <v/>
      </c>
      <c r="U86" s="120">
        <f t="shared" si="47"/>
        <v>0</v>
      </c>
      <c r="V86" s="121" t="str">
        <f>IF(A86="","",IF(A86&lt;=Periodos_Gracia,0,PPMT(Tasa_Anual/360*Días*(1+I.V.A.),Tabla!AM86,No._De_Pagos_con_periodo_de_gracia,-Monto_Crédito)))</f>
        <v/>
      </c>
      <c r="W86" s="111" t="str">
        <f>IF($U$258&lt;=0,V86,IF(SUM($U$18:U86)&lt;=0,V86,PMT($K$5/360*Días,A86,-R86)))</f>
        <v/>
      </c>
      <c r="X86" s="122" t="str">
        <f>IF($U$258&lt;=0,W86,IF(SUM($U$18:U86)&lt;=0,V86,PMT($K$5/360*Días,No._De_Pagos_con_periodo_de_gracia,-Monto_Crédito)-S86-T86))</f>
        <v/>
      </c>
      <c r="Y86" s="118" t="str">
        <f t="shared" si="48"/>
        <v/>
      </c>
      <c r="Z86" s="62" t="str">
        <f>+IF(A86="","",IF(No._de_Pagos-Tabla!A86+1&lt;=0,"",No._de_Pagos-Tabla!A86+1))</f>
        <v/>
      </c>
      <c r="AA86" s="123" t="str">
        <f t="shared" si="49"/>
        <v/>
      </c>
      <c r="AB86" s="125" t="str">
        <f t="shared" si="55"/>
        <v/>
      </c>
      <c r="AC86" s="125" t="str">
        <f t="shared" si="38"/>
        <v/>
      </c>
      <c r="AD86" s="125" t="str">
        <f t="shared" si="39"/>
        <v/>
      </c>
      <c r="AE86" s="120">
        <f t="shared" si="50"/>
        <v>0</v>
      </c>
      <c r="AF86" s="121" t="str">
        <f t="shared" si="40"/>
        <v/>
      </c>
      <c r="AG86" s="111" t="str">
        <f>IF($U$258&lt;=0,AF86,IF(SUM($U$18:U86)&lt;=0,AF86,PMT($K$5/360*Días,A86,-AA86)))</f>
        <v/>
      </c>
      <c r="AH86" s="122" t="str">
        <f>IF(A86&lt;=Periodos_Gracia,0,IF($U$258&lt;=0,AG86,IF(SUM($U$18:U86)&lt;=0,AF86,PMT($K$5/360*Días,No._de_Pagos,-Monto_Crédito)-AC86-AD86)))</f>
        <v/>
      </c>
      <c r="AI86" s="126" t="str">
        <f t="shared" si="51"/>
        <v/>
      </c>
      <c r="AK86" s="127" t="str">
        <f>IF(A86="","",IF(Periodos_Gracia&gt;0,Tabla!AN86,V86+S86))</f>
        <v/>
      </c>
      <c r="AL86" s="127" t="str">
        <f t="shared" si="41"/>
        <v/>
      </c>
      <c r="AM86" s="62" t="str">
        <f t="shared" si="52"/>
        <v/>
      </c>
      <c r="AN86" s="128" t="str">
        <f>IF(A86="","",IF(A86&lt;=Periodos_Gracia,Tabla!S86,PPMT(Tasa_Anual/360*Días*(1+I.V.A.),Tabla!AM86,No._De_Pagos_con_periodo_de_gracia,-Monto_Crédito)+S86))</f>
        <v/>
      </c>
      <c r="AO86" s="128" t="str">
        <f>IF(A86="","",IF(A86&lt;=Periodos_Gracia,Tabla!AC86,Monto_Crédito/(No._De_Pagos_con_periodo_de_gracia)+AC86))</f>
        <v/>
      </c>
      <c r="AP86" s="118"/>
    </row>
    <row r="87" spans="1:42">
      <c r="A87" s="108" t="str">
        <f>IF(A86&lt;Parámetros!$E$6,A86+1,"")</f>
        <v/>
      </c>
      <c r="B87" s="109" t="str">
        <f t="shared" si="53"/>
        <v/>
      </c>
      <c r="C87" s="109" t="str">
        <f t="shared" si="29"/>
        <v/>
      </c>
      <c r="D87" s="109" t="str">
        <f t="shared" si="30"/>
        <v/>
      </c>
      <c r="E87" s="109" t="str">
        <f t="shared" si="31"/>
        <v/>
      </c>
      <c r="F87" s="109" t="str">
        <f t="shared" si="32"/>
        <v/>
      </c>
      <c r="G87" s="115" t="str">
        <f t="shared" si="42"/>
        <v/>
      </c>
      <c r="H87" s="116">
        <f t="shared" si="43"/>
        <v>0</v>
      </c>
      <c r="I87" s="109" t="str">
        <f t="shared" si="54"/>
        <v/>
      </c>
      <c r="J87" s="109" t="str">
        <f t="shared" si="33"/>
        <v/>
      </c>
      <c r="K87" s="109" t="str">
        <f t="shared" si="34"/>
        <v/>
      </c>
      <c r="L87" s="109" t="str">
        <f t="shared" si="35"/>
        <v/>
      </c>
      <c r="M87" s="109" t="str">
        <f t="shared" si="44"/>
        <v/>
      </c>
      <c r="N87" s="115" t="str">
        <f t="shared" si="45"/>
        <v/>
      </c>
      <c r="O87" s="61">
        <v>0</v>
      </c>
      <c r="P87" s="117">
        <f t="shared" si="46"/>
        <v>0</v>
      </c>
      <c r="R87" s="118" t="str">
        <f t="shared" si="28"/>
        <v/>
      </c>
      <c r="S87" s="119" t="str">
        <f t="shared" si="36"/>
        <v/>
      </c>
      <c r="T87" s="119" t="str">
        <f t="shared" si="37"/>
        <v/>
      </c>
      <c r="U87" s="120">
        <f t="shared" si="47"/>
        <v>0</v>
      </c>
      <c r="V87" s="121" t="str">
        <f>IF(A87="","",IF(A87&lt;=Periodos_Gracia,0,PPMT(Tasa_Anual/360*Días*(1+I.V.A.),Tabla!AM87,No._De_Pagos_con_periodo_de_gracia,-Monto_Crédito)))</f>
        <v/>
      </c>
      <c r="W87" s="111" t="str">
        <f>IF($U$258&lt;=0,V87,IF(SUM($U$18:U87)&lt;=0,V87,PMT($K$5/360*Días,A87,-R87)))</f>
        <v/>
      </c>
      <c r="X87" s="122" t="str">
        <f>IF($U$258&lt;=0,W87,IF(SUM($U$18:U87)&lt;=0,V87,PMT($K$5/360*Días,No._De_Pagos_con_periodo_de_gracia,-Monto_Crédito)-S87-T87))</f>
        <v/>
      </c>
      <c r="Y87" s="118" t="str">
        <f t="shared" si="48"/>
        <v/>
      </c>
      <c r="Z87" s="62" t="str">
        <f>+IF(A87="","",IF(No._de_Pagos-Tabla!A87+1&lt;=0,"",No._de_Pagos-Tabla!A87+1))</f>
        <v/>
      </c>
      <c r="AA87" s="123" t="str">
        <f t="shared" si="49"/>
        <v/>
      </c>
      <c r="AB87" s="125" t="str">
        <f t="shared" si="55"/>
        <v/>
      </c>
      <c r="AC87" s="125" t="str">
        <f t="shared" si="38"/>
        <v/>
      </c>
      <c r="AD87" s="125" t="str">
        <f t="shared" si="39"/>
        <v/>
      </c>
      <c r="AE87" s="120">
        <f t="shared" si="50"/>
        <v>0</v>
      </c>
      <c r="AF87" s="121" t="str">
        <f t="shared" si="40"/>
        <v/>
      </c>
      <c r="AG87" s="111" t="str">
        <f>IF($U$258&lt;=0,AF87,IF(SUM($U$18:U87)&lt;=0,AF87,PMT($K$5/360*Días,A87,-AA87)))</f>
        <v/>
      </c>
      <c r="AH87" s="122" t="str">
        <f>IF(A87&lt;=Periodos_Gracia,0,IF($U$258&lt;=0,AG87,IF(SUM($U$18:U87)&lt;=0,AF87,PMT($K$5/360*Días,No._de_Pagos,-Monto_Crédito)-AC87-AD87)))</f>
        <v/>
      </c>
      <c r="AI87" s="126" t="str">
        <f t="shared" si="51"/>
        <v/>
      </c>
      <c r="AK87" s="127" t="str">
        <f>IF(A87="","",IF(Periodos_Gracia&gt;0,Tabla!AN87,V87+S87))</f>
        <v/>
      </c>
      <c r="AL87" s="127" t="str">
        <f t="shared" si="41"/>
        <v/>
      </c>
      <c r="AM87" s="62" t="str">
        <f t="shared" si="52"/>
        <v/>
      </c>
      <c r="AN87" s="128" t="str">
        <f>IF(A87="","",IF(A87&lt;=Periodos_Gracia,Tabla!S87,PPMT(Tasa_Anual/360*Días*(1+I.V.A.),Tabla!AM87,No._De_Pagos_con_periodo_de_gracia,-Monto_Crédito)+S87))</f>
        <v/>
      </c>
      <c r="AO87" s="128" t="str">
        <f>IF(A87="","",IF(A87&lt;=Periodos_Gracia,Tabla!AC87,Monto_Crédito/(No._De_Pagos_con_periodo_de_gracia)+AC87))</f>
        <v/>
      </c>
      <c r="AP87" s="118"/>
    </row>
    <row r="88" spans="1:42">
      <c r="A88" s="108" t="str">
        <f>IF(A87&lt;Parámetros!$E$6,A87+1,"")</f>
        <v/>
      </c>
      <c r="B88" s="109" t="str">
        <f t="shared" si="53"/>
        <v/>
      </c>
      <c r="C88" s="109" t="str">
        <f t="shared" si="29"/>
        <v/>
      </c>
      <c r="D88" s="109" t="str">
        <f t="shared" si="30"/>
        <v/>
      </c>
      <c r="E88" s="109" t="str">
        <f t="shared" si="31"/>
        <v/>
      </c>
      <c r="F88" s="109" t="str">
        <f t="shared" si="32"/>
        <v/>
      </c>
      <c r="G88" s="115" t="str">
        <f t="shared" si="42"/>
        <v/>
      </c>
      <c r="H88" s="116">
        <f t="shared" si="43"/>
        <v>0</v>
      </c>
      <c r="I88" s="109" t="str">
        <f t="shared" si="54"/>
        <v/>
      </c>
      <c r="J88" s="109" t="str">
        <f t="shared" si="33"/>
        <v/>
      </c>
      <c r="K88" s="109" t="str">
        <f t="shared" si="34"/>
        <v/>
      </c>
      <c r="L88" s="109" t="str">
        <f t="shared" si="35"/>
        <v/>
      </c>
      <c r="M88" s="109" t="str">
        <f t="shared" si="44"/>
        <v/>
      </c>
      <c r="N88" s="115" t="str">
        <f t="shared" si="45"/>
        <v/>
      </c>
      <c r="O88" s="61">
        <v>0</v>
      </c>
      <c r="P88" s="117">
        <f t="shared" si="46"/>
        <v>0</v>
      </c>
      <c r="R88" s="118" t="str">
        <f t="shared" si="28"/>
        <v/>
      </c>
      <c r="S88" s="119" t="str">
        <f t="shared" si="36"/>
        <v/>
      </c>
      <c r="T88" s="119" t="str">
        <f t="shared" si="37"/>
        <v/>
      </c>
      <c r="U88" s="120">
        <f t="shared" si="47"/>
        <v>0</v>
      </c>
      <c r="V88" s="121" t="str">
        <f>IF(A88="","",IF(A88&lt;=Periodos_Gracia,0,PPMT(Tasa_Anual/360*Días*(1+I.V.A.),Tabla!AM88,No._De_Pagos_con_periodo_de_gracia,-Monto_Crédito)))</f>
        <v/>
      </c>
      <c r="W88" s="111" t="str">
        <f>IF($U$258&lt;=0,V88,IF(SUM($U$18:U88)&lt;=0,V88,PMT($K$5/360*Días,A88,-R88)))</f>
        <v/>
      </c>
      <c r="X88" s="122" t="str">
        <f>IF($U$258&lt;=0,W88,IF(SUM($U$18:U88)&lt;=0,V88,PMT($K$5/360*Días,No._De_Pagos_con_periodo_de_gracia,-Monto_Crédito)-S88-T88))</f>
        <v/>
      </c>
      <c r="Y88" s="118" t="str">
        <f t="shared" si="48"/>
        <v/>
      </c>
      <c r="Z88" s="62" t="str">
        <f>+IF(A88="","",IF(No._de_Pagos-Tabla!A88+1&lt;=0,"",No._de_Pagos-Tabla!A88+1))</f>
        <v/>
      </c>
      <c r="AA88" s="123" t="str">
        <f t="shared" si="49"/>
        <v/>
      </c>
      <c r="AB88" s="125" t="str">
        <f t="shared" si="55"/>
        <v/>
      </c>
      <c r="AC88" s="125" t="str">
        <f t="shared" si="38"/>
        <v/>
      </c>
      <c r="AD88" s="125" t="str">
        <f t="shared" si="39"/>
        <v/>
      </c>
      <c r="AE88" s="120">
        <f t="shared" si="50"/>
        <v>0</v>
      </c>
      <c r="AF88" s="121" t="str">
        <f t="shared" si="40"/>
        <v/>
      </c>
      <c r="AG88" s="111" t="str">
        <f>IF($U$258&lt;=0,AF88,IF(SUM($U$18:U88)&lt;=0,AF88,PMT($K$5/360*Días,A88,-AA88)))</f>
        <v/>
      </c>
      <c r="AH88" s="122" t="str">
        <f>IF(A88&lt;=Periodos_Gracia,0,IF($U$258&lt;=0,AG88,IF(SUM($U$18:U88)&lt;=0,AF88,PMT($K$5/360*Días,No._de_Pagos,-Monto_Crédito)-AC88-AD88)))</f>
        <v/>
      </c>
      <c r="AI88" s="126" t="str">
        <f t="shared" si="51"/>
        <v/>
      </c>
      <c r="AK88" s="127" t="str">
        <f>IF(A88="","",IF(Periodos_Gracia&gt;0,Tabla!AN88,V88+S88))</f>
        <v/>
      </c>
      <c r="AL88" s="127" t="str">
        <f t="shared" si="41"/>
        <v/>
      </c>
      <c r="AM88" s="62" t="str">
        <f t="shared" si="52"/>
        <v/>
      </c>
      <c r="AN88" s="128" t="str">
        <f>IF(A88="","",IF(A88&lt;=Periodos_Gracia,Tabla!S88,PPMT(Tasa_Anual/360*Días*(1+I.V.A.),Tabla!AM88,No._De_Pagos_con_periodo_de_gracia,-Monto_Crédito)+S88))</f>
        <v/>
      </c>
      <c r="AO88" s="128" t="str">
        <f>IF(A88="","",IF(A88&lt;=Periodos_Gracia,Tabla!AC88,Monto_Crédito/(No._De_Pagos_con_periodo_de_gracia)+AC88))</f>
        <v/>
      </c>
      <c r="AP88" s="118"/>
    </row>
    <row r="89" spans="1:42">
      <c r="A89" s="108" t="str">
        <f>IF(A88&lt;Parámetros!$E$6,A88+1,"")</f>
        <v/>
      </c>
      <c r="B89" s="109" t="str">
        <f t="shared" si="53"/>
        <v/>
      </c>
      <c r="C89" s="109" t="str">
        <f t="shared" si="29"/>
        <v/>
      </c>
      <c r="D89" s="109" t="str">
        <f t="shared" si="30"/>
        <v/>
      </c>
      <c r="E89" s="109" t="str">
        <f t="shared" si="31"/>
        <v/>
      </c>
      <c r="F89" s="109" t="str">
        <f t="shared" si="32"/>
        <v/>
      </c>
      <c r="G89" s="115" t="str">
        <f t="shared" si="42"/>
        <v/>
      </c>
      <c r="H89" s="116">
        <f t="shared" si="43"/>
        <v>0</v>
      </c>
      <c r="I89" s="109" t="str">
        <f t="shared" si="54"/>
        <v/>
      </c>
      <c r="J89" s="109" t="str">
        <f t="shared" si="33"/>
        <v/>
      </c>
      <c r="K89" s="109" t="str">
        <f t="shared" si="34"/>
        <v/>
      </c>
      <c r="L89" s="109" t="str">
        <f t="shared" si="35"/>
        <v/>
      </c>
      <c r="M89" s="109" t="str">
        <f t="shared" si="44"/>
        <v/>
      </c>
      <c r="N89" s="115" t="str">
        <f t="shared" si="45"/>
        <v/>
      </c>
      <c r="O89" s="61">
        <v>0</v>
      </c>
      <c r="P89" s="117">
        <f t="shared" si="46"/>
        <v>0</v>
      </c>
      <c r="R89" s="118" t="str">
        <f t="shared" si="28"/>
        <v/>
      </c>
      <c r="S89" s="119" t="str">
        <f t="shared" si="36"/>
        <v/>
      </c>
      <c r="T89" s="119" t="str">
        <f t="shared" si="37"/>
        <v/>
      </c>
      <c r="U89" s="120">
        <f t="shared" si="47"/>
        <v>0</v>
      </c>
      <c r="V89" s="121" t="str">
        <f>IF(A89="","",IF(A89&lt;=Periodos_Gracia,0,PPMT(Tasa_Anual/360*Días*(1+I.V.A.),Tabla!AM89,No._De_Pagos_con_periodo_de_gracia,-Monto_Crédito)))</f>
        <v/>
      </c>
      <c r="W89" s="111" t="str">
        <f>IF($U$258&lt;=0,V89,IF(SUM($U$18:U89)&lt;=0,V89,PMT($K$5/360*Días,A89,-R89)))</f>
        <v/>
      </c>
      <c r="X89" s="122" t="str">
        <f>IF($U$258&lt;=0,W89,IF(SUM($U$18:U89)&lt;=0,V89,PMT($K$5/360*Días,No._De_Pagos_con_periodo_de_gracia,-Monto_Crédito)-S89-T89))</f>
        <v/>
      </c>
      <c r="Y89" s="118" t="str">
        <f t="shared" si="48"/>
        <v/>
      </c>
      <c r="Z89" s="62" t="str">
        <f>+IF(A89="","",IF(No._de_Pagos-Tabla!A89+1&lt;=0,"",No._de_Pagos-Tabla!A89+1))</f>
        <v/>
      </c>
      <c r="AA89" s="123" t="str">
        <f t="shared" si="49"/>
        <v/>
      </c>
      <c r="AB89" s="125" t="str">
        <f t="shared" si="55"/>
        <v/>
      </c>
      <c r="AC89" s="125" t="str">
        <f t="shared" si="38"/>
        <v/>
      </c>
      <c r="AD89" s="125" t="str">
        <f t="shared" si="39"/>
        <v/>
      </c>
      <c r="AE89" s="120">
        <f t="shared" si="50"/>
        <v>0</v>
      </c>
      <c r="AF89" s="121" t="str">
        <f t="shared" si="40"/>
        <v/>
      </c>
      <c r="AG89" s="111" t="str">
        <f>IF($U$258&lt;=0,AF89,IF(SUM($U$18:U89)&lt;=0,AF89,PMT($K$5/360*Días,A89,-AA89)))</f>
        <v/>
      </c>
      <c r="AH89" s="122" t="str">
        <f>IF(A89&lt;=Periodos_Gracia,0,IF($U$258&lt;=0,AG89,IF(SUM($U$18:U89)&lt;=0,AF89,PMT($K$5/360*Días,No._de_Pagos,-Monto_Crédito)-AC89-AD89)))</f>
        <v/>
      </c>
      <c r="AI89" s="126" t="str">
        <f t="shared" si="51"/>
        <v/>
      </c>
      <c r="AK89" s="127" t="str">
        <f>IF(A89="","",IF(Periodos_Gracia&gt;0,Tabla!AN89,V89+S89))</f>
        <v/>
      </c>
      <c r="AL89" s="127" t="str">
        <f t="shared" si="41"/>
        <v/>
      </c>
      <c r="AM89" s="62" t="str">
        <f t="shared" si="52"/>
        <v/>
      </c>
      <c r="AN89" s="128" t="str">
        <f>IF(A89="","",IF(A89&lt;=Periodos_Gracia,Tabla!S89,PPMT(Tasa_Anual/360*Días*(1+I.V.A.),Tabla!AM89,No._De_Pagos_con_periodo_de_gracia,-Monto_Crédito)+S89))</f>
        <v/>
      </c>
      <c r="AO89" s="128" t="str">
        <f>IF(A89="","",IF(A89&lt;=Periodos_Gracia,Tabla!AC89,Monto_Crédito/(No._De_Pagos_con_periodo_de_gracia)+AC89))</f>
        <v/>
      </c>
      <c r="AP89" s="118"/>
    </row>
    <row r="90" spans="1:42">
      <c r="A90" s="108" t="str">
        <f>IF(A89&lt;Parámetros!$E$6,A89+1,"")</f>
        <v/>
      </c>
      <c r="B90" s="109" t="str">
        <f t="shared" si="53"/>
        <v/>
      </c>
      <c r="C90" s="109" t="str">
        <f t="shared" si="29"/>
        <v/>
      </c>
      <c r="D90" s="109" t="str">
        <f t="shared" si="30"/>
        <v/>
      </c>
      <c r="E90" s="109" t="str">
        <f t="shared" si="31"/>
        <v/>
      </c>
      <c r="F90" s="109" t="str">
        <f t="shared" si="32"/>
        <v/>
      </c>
      <c r="G90" s="115" t="str">
        <f t="shared" si="42"/>
        <v/>
      </c>
      <c r="H90" s="116">
        <f t="shared" si="43"/>
        <v>0</v>
      </c>
      <c r="I90" s="109" t="str">
        <f t="shared" si="54"/>
        <v/>
      </c>
      <c r="J90" s="109" t="str">
        <f t="shared" si="33"/>
        <v/>
      </c>
      <c r="K90" s="109" t="str">
        <f t="shared" si="34"/>
        <v/>
      </c>
      <c r="L90" s="109" t="str">
        <f t="shared" si="35"/>
        <v/>
      </c>
      <c r="M90" s="109" t="str">
        <f t="shared" si="44"/>
        <v/>
      </c>
      <c r="N90" s="115" t="str">
        <f t="shared" si="45"/>
        <v/>
      </c>
      <c r="O90" s="61">
        <v>0</v>
      </c>
      <c r="P90" s="117">
        <f t="shared" si="46"/>
        <v>0</v>
      </c>
      <c r="R90" s="118" t="str">
        <f t="shared" ref="R90:R153" si="56">IF(A90="","",+R89-V89)</f>
        <v/>
      </c>
      <c r="S90" s="119" t="str">
        <f t="shared" si="36"/>
        <v/>
      </c>
      <c r="T90" s="119" t="str">
        <f t="shared" si="37"/>
        <v/>
      </c>
      <c r="U90" s="120">
        <f t="shared" si="47"/>
        <v>0</v>
      </c>
      <c r="V90" s="121" t="str">
        <f>IF(A90="","",IF(A90&lt;=Periodos_Gracia,0,PPMT(Tasa_Anual/360*Días*(1+I.V.A.),Tabla!AM90,No._De_Pagos_con_periodo_de_gracia,-Monto_Crédito)))</f>
        <v/>
      </c>
      <c r="W90" s="111" t="str">
        <f>IF($U$258&lt;=0,V90,IF(SUM($U$18:U90)&lt;=0,V90,PMT($K$5/360*Días,A90,-R90)))</f>
        <v/>
      </c>
      <c r="X90" s="122" t="str">
        <f>IF($U$258&lt;=0,W90,IF(SUM($U$18:U90)&lt;=0,V90,PMT($K$5/360*Días,No._De_Pagos_con_periodo_de_gracia,-Monto_Crédito)-S90-T90))</f>
        <v/>
      </c>
      <c r="Y90" s="118" t="str">
        <f t="shared" si="48"/>
        <v/>
      </c>
      <c r="Z90" s="62" t="str">
        <f>+IF(A90="","",IF(No._de_Pagos-Tabla!A90+1&lt;=0,"",No._de_Pagos-Tabla!A90+1))</f>
        <v/>
      </c>
      <c r="AA90" s="123" t="str">
        <f t="shared" si="49"/>
        <v/>
      </c>
      <c r="AB90" s="125" t="str">
        <f t="shared" si="55"/>
        <v/>
      </c>
      <c r="AC90" s="125" t="str">
        <f t="shared" si="38"/>
        <v/>
      </c>
      <c r="AD90" s="125" t="str">
        <f t="shared" si="39"/>
        <v/>
      </c>
      <c r="AE90" s="120">
        <f t="shared" si="50"/>
        <v>0</v>
      </c>
      <c r="AF90" s="121" t="str">
        <f t="shared" si="40"/>
        <v/>
      </c>
      <c r="AG90" s="111" t="str">
        <f>IF($U$258&lt;=0,AF90,IF(SUM($U$18:U90)&lt;=0,AF90,PMT($K$5/360*Días,A90,-AA90)))</f>
        <v/>
      </c>
      <c r="AH90" s="122" t="str">
        <f>IF(A90&lt;=Periodos_Gracia,0,IF($U$258&lt;=0,AG90,IF(SUM($U$18:U90)&lt;=0,AF90,PMT($K$5/360*Días,No._de_Pagos,-Monto_Crédito)-AC90-AD90)))</f>
        <v/>
      </c>
      <c r="AI90" s="126" t="str">
        <f t="shared" si="51"/>
        <v/>
      </c>
      <c r="AK90" s="127" t="str">
        <f>IF(A90="","",IF(Periodos_Gracia&gt;0,Tabla!AN90,V90+S90))</f>
        <v/>
      </c>
      <c r="AL90" s="127" t="str">
        <f t="shared" si="41"/>
        <v/>
      </c>
      <c r="AM90" s="62" t="str">
        <f t="shared" si="52"/>
        <v/>
      </c>
      <c r="AN90" s="128" t="str">
        <f>IF(A90="","",IF(A90&lt;=Periodos_Gracia,Tabla!S90,PPMT(Tasa_Anual/360*Días*(1+I.V.A.),Tabla!AM90,No._De_Pagos_con_periodo_de_gracia,-Monto_Crédito)+S90))</f>
        <v/>
      </c>
      <c r="AO90" s="128" t="str">
        <f>IF(A90="","",IF(A90&lt;=Periodos_Gracia,Tabla!AC90,Monto_Crédito/(No._De_Pagos_con_periodo_de_gracia)+AC90))</f>
        <v/>
      </c>
      <c r="AP90" s="118"/>
    </row>
    <row r="91" spans="1:42">
      <c r="A91" s="108" t="str">
        <f>IF(A90&lt;Parámetros!$E$6,A90+1,"")</f>
        <v/>
      </c>
      <c r="B91" s="109" t="str">
        <f t="shared" si="53"/>
        <v/>
      </c>
      <c r="C91" s="109" t="str">
        <f t="shared" si="29"/>
        <v/>
      </c>
      <c r="D91" s="109" t="str">
        <f t="shared" si="30"/>
        <v/>
      </c>
      <c r="E91" s="109" t="str">
        <f t="shared" si="31"/>
        <v/>
      </c>
      <c r="F91" s="109" t="str">
        <f t="shared" si="32"/>
        <v/>
      </c>
      <c r="G91" s="115" t="str">
        <f t="shared" si="42"/>
        <v/>
      </c>
      <c r="H91" s="116">
        <f t="shared" si="43"/>
        <v>0</v>
      </c>
      <c r="I91" s="109" t="str">
        <f t="shared" si="54"/>
        <v/>
      </c>
      <c r="J91" s="109" t="str">
        <f t="shared" si="33"/>
        <v/>
      </c>
      <c r="K91" s="109" t="str">
        <f t="shared" si="34"/>
        <v/>
      </c>
      <c r="L91" s="109" t="str">
        <f t="shared" si="35"/>
        <v/>
      </c>
      <c r="M91" s="109" t="str">
        <f t="shared" si="44"/>
        <v/>
      </c>
      <c r="N91" s="115" t="str">
        <f t="shared" si="45"/>
        <v/>
      </c>
      <c r="O91" s="61">
        <v>0</v>
      </c>
      <c r="P91" s="117">
        <f t="shared" si="46"/>
        <v>0</v>
      </c>
      <c r="R91" s="118" t="str">
        <f t="shared" si="56"/>
        <v/>
      </c>
      <c r="S91" s="119" t="str">
        <f t="shared" si="36"/>
        <v/>
      </c>
      <c r="T91" s="119" t="str">
        <f t="shared" si="37"/>
        <v/>
      </c>
      <c r="U91" s="120">
        <f t="shared" si="47"/>
        <v>0</v>
      </c>
      <c r="V91" s="121" t="str">
        <f>IF(A91="","",IF(A91&lt;=Periodos_Gracia,0,PPMT(Tasa_Anual/360*Días*(1+I.V.A.),Tabla!AM91,No._De_Pagos_con_periodo_de_gracia,-Monto_Crédito)))</f>
        <v/>
      </c>
      <c r="W91" s="111" t="str">
        <f>IF($U$258&lt;=0,V91,IF(SUM($U$18:U91)&lt;=0,V91,PMT($K$5/360*Días,A91,-R91)))</f>
        <v/>
      </c>
      <c r="X91" s="122" t="str">
        <f>IF($U$258&lt;=0,W91,IF(SUM($U$18:U91)&lt;=0,V91,PMT($K$5/360*Días,No._De_Pagos_con_periodo_de_gracia,-Monto_Crédito)-S91-T91))</f>
        <v/>
      </c>
      <c r="Y91" s="118" t="str">
        <f t="shared" si="48"/>
        <v/>
      </c>
      <c r="Z91" s="62" t="str">
        <f>+IF(A91="","",IF(No._de_Pagos-Tabla!A91+1&lt;=0,"",No._de_Pagos-Tabla!A91+1))</f>
        <v/>
      </c>
      <c r="AA91" s="123" t="str">
        <f t="shared" si="49"/>
        <v/>
      </c>
      <c r="AB91" s="125" t="str">
        <f t="shared" si="55"/>
        <v/>
      </c>
      <c r="AC91" s="125" t="str">
        <f t="shared" si="38"/>
        <v/>
      </c>
      <c r="AD91" s="125" t="str">
        <f t="shared" si="39"/>
        <v/>
      </c>
      <c r="AE91" s="120">
        <f t="shared" si="50"/>
        <v>0</v>
      </c>
      <c r="AF91" s="121" t="str">
        <f t="shared" si="40"/>
        <v/>
      </c>
      <c r="AG91" s="111" t="str">
        <f>IF($U$258&lt;=0,AF91,IF(SUM($U$18:U91)&lt;=0,AF91,PMT($K$5/360*Días,A91,-AA91)))</f>
        <v/>
      </c>
      <c r="AH91" s="122" t="str">
        <f>IF(A91&lt;=Periodos_Gracia,0,IF($U$258&lt;=0,AG91,IF(SUM($U$18:U91)&lt;=0,AF91,PMT($K$5/360*Días,No._de_Pagos,-Monto_Crédito)-AC91-AD91)))</f>
        <v/>
      </c>
      <c r="AI91" s="126" t="str">
        <f t="shared" si="51"/>
        <v/>
      </c>
      <c r="AK91" s="127" t="str">
        <f>IF(A91="","",IF(Periodos_Gracia&gt;0,Tabla!AN91,V91+S91))</f>
        <v/>
      </c>
      <c r="AL91" s="127" t="str">
        <f t="shared" si="41"/>
        <v/>
      </c>
      <c r="AM91" s="62" t="str">
        <f t="shared" si="52"/>
        <v/>
      </c>
      <c r="AN91" s="128" t="str">
        <f>IF(A91="","",IF(A91&lt;=Periodos_Gracia,Tabla!S91,PPMT(Tasa_Anual/360*Días*(1+I.V.A.),Tabla!AM91,No._De_Pagos_con_periodo_de_gracia,-Monto_Crédito)+S91))</f>
        <v/>
      </c>
      <c r="AO91" s="128" t="str">
        <f>IF(A91="","",IF(A91&lt;=Periodos_Gracia,Tabla!AC91,Monto_Crédito/(No._De_Pagos_con_periodo_de_gracia)+AC91))</f>
        <v/>
      </c>
      <c r="AP91" s="118"/>
    </row>
    <row r="92" spans="1:42">
      <c r="A92" s="108" t="str">
        <f>IF(A91&lt;Parámetros!$E$6,A91+1,"")</f>
        <v/>
      </c>
      <c r="B92" s="109" t="str">
        <f t="shared" si="53"/>
        <v/>
      </c>
      <c r="C92" s="109" t="str">
        <f t="shared" si="29"/>
        <v/>
      </c>
      <c r="D92" s="109" t="str">
        <f t="shared" si="30"/>
        <v/>
      </c>
      <c r="E92" s="109" t="str">
        <f t="shared" si="31"/>
        <v/>
      </c>
      <c r="F92" s="109" t="str">
        <f t="shared" si="32"/>
        <v/>
      </c>
      <c r="G92" s="115" t="str">
        <f t="shared" si="42"/>
        <v/>
      </c>
      <c r="H92" s="116">
        <f t="shared" si="43"/>
        <v>0</v>
      </c>
      <c r="I92" s="109" t="str">
        <f t="shared" si="54"/>
        <v/>
      </c>
      <c r="J92" s="109" t="str">
        <f t="shared" si="33"/>
        <v/>
      </c>
      <c r="K92" s="109" t="str">
        <f t="shared" si="34"/>
        <v/>
      </c>
      <c r="L92" s="109" t="str">
        <f t="shared" si="35"/>
        <v/>
      </c>
      <c r="M92" s="109" t="str">
        <f t="shared" si="44"/>
        <v/>
      </c>
      <c r="N92" s="115" t="str">
        <f t="shared" si="45"/>
        <v/>
      </c>
      <c r="O92" s="61">
        <v>0</v>
      </c>
      <c r="P92" s="117">
        <f t="shared" si="46"/>
        <v>0</v>
      </c>
      <c r="R92" s="118" t="str">
        <f t="shared" si="56"/>
        <v/>
      </c>
      <c r="S92" s="119" t="str">
        <f t="shared" si="36"/>
        <v/>
      </c>
      <c r="T92" s="119" t="str">
        <f t="shared" si="37"/>
        <v/>
      </c>
      <c r="U92" s="120">
        <f t="shared" si="47"/>
        <v>0</v>
      </c>
      <c r="V92" s="121" t="str">
        <f>IF(A92="","",IF(A92&lt;=Periodos_Gracia,0,PPMT(Tasa_Anual/360*Días*(1+I.V.A.),Tabla!AM92,No._De_Pagos_con_periodo_de_gracia,-Monto_Crédito)))</f>
        <v/>
      </c>
      <c r="W92" s="111" t="str">
        <f>IF($U$258&lt;=0,V92,IF(SUM($U$18:U92)&lt;=0,V92,PMT($K$5/360*Días,A92,-R92)))</f>
        <v/>
      </c>
      <c r="X92" s="122" t="str">
        <f>IF($U$258&lt;=0,W92,IF(SUM($U$18:U92)&lt;=0,V92,PMT($K$5/360*Días,No._De_Pagos_con_periodo_de_gracia,-Monto_Crédito)-S92-T92))</f>
        <v/>
      </c>
      <c r="Y92" s="118" t="str">
        <f t="shared" si="48"/>
        <v/>
      </c>
      <c r="Z92" s="62" t="str">
        <f>+IF(A92="","",IF(No._de_Pagos-Tabla!A92+1&lt;=0,"",No._de_Pagos-Tabla!A92+1))</f>
        <v/>
      </c>
      <c r="AA92" s="123" t="str">
        <f t="shared" si="49"/>
        <v/>
      </c>
      <c r="AB92" s="125" t="str">
        <f t="shared" si="55"/>
        <v/>
      </c>
      <c r="AC92" s="125" t="str">
        <f t="shared" si="38"/>
        <v/>
      </c>
      <c r="AD92" s="125" t="str">
        <f t="shared" si="39"/>
        <v/>
      </c>
      <c r="AE92" s="120">
        <f t="shared" si="50"/>
        <v>0</v>
      </c>
      <c r="AF92" s="121" t="str">
        <f t="shared" si="40"/>
        <v/>
      </c>
      <c r="AG92" s="111" t="str">
        <f>IF($U$258&lt;=0,AF92,IF(SUM($U$18:U92)&lt;=0,AF92,PMT($K$5/360*Días,A92,-AA92)))</f>
        <v/>
      </c>
      <c r="AH92" s="122" t="str">
        <f>IF(A92&lt;=Periodos_Gracia,0,IF($U$258&lt;=0,AG92,IF(SUM($U$18:U92)&lt;=0,AF92,PMT($K$5/360*Días,No._de_Pagos,-Monto_Crédito)-AC92-AD92)))</f>
        <v/>
      </c>
      <c r="AI92" s="126" t="str">
        <f t="shared" si="51"/>
        <v/>
      </c>
      <c r="AK92" s="127" t="str">
        <f>IF(A92="","",IF(Periodos_Gracia&gt;0,Tabla!AN92,V92+S92))</f>
        <v/>
      </c>
      <c r="AL92" s="127" t="str">
        <f t="shared" si="41"/>
        <v/>
      </c>
      <c r="AM92" s="62" t="str">
        <f t="shared" si="52"/>
        <v/>
      </c>
      <c r="AN92" s="128" t="str">
        <f>IF(A92="","",IF(A92&lt;=Periodos_Gracia,Tabla!S92,PPMT(Tasa_Anual/360*Días*(1+I.V.A.),Tabla!AM92,No._De_Pagos_con_periodo_de_gracia,-Monto_Crédito)+S92))</f>
        <v/>
      </c>
      <c r="AO92" s="128" t="str">
        <f>IF(A92="","",IF(A92&lt;=Periodos_Gracia,Tabla!AC92,Monto_Crédito/(No._De_Pagos_con_periodo_de_gracia)+AC92))</f>
        <v/>
      </c>
      <c r="AP92" s="118"/>
    </row>
    <row r="93" spans="1:42">
      <c r="A93" s="108" t="str">
        <f>IF(A92&lt;Parámetros!$E$6,A92+1,"")</f>
        <v/>
      </c>
      <c r="B93" s="109" t="str">
        <f t="shared" si="53"/>
        <v/>
      </c>
      <c r="C93" s="109" t="str">
        <f t="shared" si="29"/>
        <v/>
      </c>
      <c r="D93" s="109" t="str">
        <f t="shared" si="30"/>
        <v/>
      </c>
      <c r="E93" s="109" t="str">
        <f t="shared" si="31"/>
        <v/>
      </c>
      <c r="F93" s="109" t="str">
        <f t="shared" si="32"/>
        <v/>
      </c>
      <c r="G93" s="115" t="str">
        <f t="shared" si="42"/>
        <v/>
      </c>
      <c r="H93" s="116">
        <f t="shared" si="43"/>
        <v>0</v>
      </c>
      <c r="I93" s="109" t="str">
        <f t="shared" si="54"/>
        <v/>
      </c>
      <c r="J93" s="109" t="str">
        <f t="shared" si="33"/>
        <v/>
      </c>
      <c r="K93" s="109" t="str">
        <f t="shared" si="34"/>
        <v/>
      </c>
      <c r="L93" s="109" t="str">
        <f t="shared" si="35"/>
        <v/>
      </c>
      <c r="M93" s="109" t="str">
        <f t="shared" si="44"/>
        <v/>
      </c>
      <c r="N93" s="115" t="str">
        <f t="shared" si="45"/>
        <v/>
      </c>
      <c r="O93" s="61">
        <v>0</v>
      </c>
      <c r="P93" s="117">
        <f t="shared" si="46"/>
        <v>0</v>
      </c>
      <c r="R93" s="118" t="str">
        <f t="shared" si="56"/>
        <v/>
      </c>
      <c r="S93" s="119" t="str">
        <f t="shared" si="36"/>
        <v/>
      </c>
      <c r="T93" s="119" t="str">
        <f t="shared" si="37"/>
        <v/>
      </c>
      <c r="U93" s="120">
        <f t="shared" si="47"/>
        <v>0</v>
      </c>
      <c r="V93" s="121" t="str">
        <f>IF(A93="","",IF(A93&lt;=Periodos_Gracia,0,PPMT(Tasa_Anual/360*Días*(1+I.V.A.),Tabla!AM93,No._De_Pagos_con_periodo_de_gracia,-Monto_Crédito)))</f>
        <v/>
      </c>
      <c r="W93" s="111" t="str">
        <f>IF($U$258&lt;=0,V93,IF(SUM($U$18:U93)&lt;=0,V93,PMT($K$5/360*Días,A93,-R93)))</f>
        <v/>
      </c>
      <c r="X93" s="122" t="str">
        <f>IF($U$258&lt;=0,W93,IF(SUM($U$18:U93)&lt;=0,V93,PMT($K$5/360*Días,No._De_Pagos_con_periodo_de_gracia,-Monto_Crédito)-S93-T93))</f>
        <v/>
      </c>
      <c r="Y93" s="118" t="str">
        <f t="shared" si="48"/>
        <v/>
      </c>
      <c r="Z93" s="62" t="str">
        <f>+IF(A93="","",IF(No._de_Pagos-Tabla!A93+1&lt;=0,"",No._de_Pagos-Tabla!A93+1))</f>
        <v/>
      </c>
      <c r="AA93" s="123" t="str">
        <f t="shared" si="49"/>
        <v/>
      </c>
      <c r="AB93" s="125" t="str">
        <f t="shared" si="55"/>
        <v/>
      </c>
      <c r="AC93" s="125" t="str">
        <f t="shared" si="38"/>
        <v/>
      </c>
      <c r="AD93" s="125" t="str">
        <f t="shared" si="39"/>
        <v/>
      </c>
      <c r="AE93" s="120">
        <f t="shared" si="50"/>
        <v>0</v>
      </c>
      <c r="AF93" s="121" t="str">
        <f t="shared" si="40"/>
        <v/>
      </c>
      <c r="AG93" s="111" t="str">
        <f>IF($U$258&lt;=0,AF93,IF(SUM($U$18:U93)&lt;=0,AF93,PMT($K$5/360*Días,A93,-AA93)))</f>
        <v/>
      </c>
      <c r="AH93" s="122" t="str">
        <f>IF(A93&lt;=Periodos_Gracia,0,IF($U$258&lt;=0,AG93,IF(SUM($U$18:U93)&lt;=0,AF93,PMT($K$5/360*Días,No._de_Pagos,-Monto_Crédito)-AC93-AD93)))</f>
        <v/>
      </c>
      <c r="AI93" s="126" t="str">
        <f t="shared" si="51"/>
        <v/>
      </c>
      <c r="AK93" s="127" t="str">
        <f>IF(A93="","",IF(Periodos_Gracia&gt;0,Tabla!AN93,V93+S93))</f>
        <v/>
      </c>
      <c r="AL93" s="127" t="str">
        <f t="shared" si="41"/>
        <v/>
      </c>
      <c r="AM93" s="62" t="str">
        <f t="shared" si="52"/>
        <v/>
      </c>
      <c r="AN93" s="128" t="str">
        <f>IF(A93="","",IF(A93&lt;=Periodos_Gracia,Tabla!S93,PPMT(Tasa_Anual/360*Días*(1+I.V.A.),Tabla!AM93,No._De_Pagos_con_periodo_de_gracia,-Monto_Crédito)+S93))</f>
        <v/>
      </c>
      <c r="AO93" s="128" t="str">
        <f>IF(A93="","",IF(A93&lt;=Periodos_Gracia,Tabla!AC93,Monto_Crédito/(No._De_Pagos_con_periodo_de_gracia)+AC93))</f>
        <v/>
      </c>
      <c r="AP93" s="118"/>
    </row>
    <row r="94" spans="1:42">
      <c r="A94" s="108" t="str">
        <f>IF(A93&lt;Parámetros!$E$6,A93+1,"")</f>
        <v/>
      </c>
      <c r="B94" s="109" t="str">
        <f t="shared" si="53"/>
        <v/>
      </c>
      <c r="C94" s="109" t="str">
        <f t="shared" si="29"/>
        <v/>
      </c>
      <c r="D94" s="109" t="str">
        <f t="shared" si="30"/>
        <v/>
      </c>
      <c r="E94" s="109" t="str">
        <f t="shared" si="31"/>
        <v/>
      </c>
      <c r="F94" s="109" t="str">
        <f t="shared" si="32"/>
        <v/>
      </c>
      <c r="G94" s="115" t="str">
        <f t="shared" si="42"/>
        <v/>
      </c>
      <c r="H94" s="116">
        <f t="shared" si="43"/>
        <v>0</v>
      </c>
      <c r="I94" s="109" t="str">
        <f t="shared" si="54"/>
        <v/>
      </c>
      <c r="J94" s="109" t="str">
        <f t="shared" si="33"/>
        <v/>
      </c>
      <c r="K94" s="109" t="str">
        <f t="shared" si="34"/>
        <v/>
      </c>
      <c r="L94" s="109" t="str">
        <f t="shared" si="35"/>
        <v/>
      </c>
      <c r="M94" s="109" t="str">
        <f t="shared" si="44"/>
        <v/>
      </c>
      <c r="N94" s="115" t="str">
        <f t="shared" si="45"/>
        <v/>
      </c>
      <c r="O94" s="61">
        <v>0</v>
      </c>
      <c r="P94" s="117">
        <f t="shared" si="46"/>
        <v>0</v>
      </c>
      <c r="R94" s="118" t="str">
        <f t="shared" si="56"/>
        <v/>
      </c>
      <c r="S94" s="119" t="str">
        <f t="shared" si="36"/>
        <v/>
      </c>
      <c r="T94" s="119" t="str">
        <f t="shared" si="37"/>
        <v/>
      </c>
      <c r="U94" s="120">
        <f t="shared" si="47"/>
        <v>0</v>
      </c>
      <c r="V94" s="121" t="str">
        <f>IF(A94="","",IF(A94&lt;=Periodos_Gracia,0,PPMT(Tasa_Anual/360*Días*(1+I.V.A.),Tabla!AM94,No._De_Pagos_con_periodo_de_gracia,-Monto_Crédito)))</f>
        <v/>
      </c>
      <c r="W94" s="111" t="str">
        <f>IF($U$258&lt;=0,V94,IF(SUM($U$18:U94)&lt;=0,V94,PMT($K$5/360*Días,A94,-R94)))</f>
        <v/>
      </c>
      <c r="X94" s="122" t="str">
        <f>IF($U$258&lt;=0,W94,IF(SUM($U$18:U94)&lt;=0,V94,PMT($K$5/360*Días,No._De_Pagos_con_periodo_de_gracia,-Monto_Crédito)-S94-T94))</f>
        <v/>
      </c>
      <c r="Y94" s="118" t="str">
        <f t="shared" si="48"/>
        <v/>
      </c>
      <c r="Z94" s="62" t="str">
        <f>+IF(A94="","",IF(No._de_Pagos-Tabla!A94+1&lt;=0,"",No._de_Pagos-Tabla!A94+1))</f>
        <v/>
      </c>
      <c r="AA94" s="123" t="str">
        <f t="shared" si="49"/>
        <v/>
      </c>
      <c r="AB94" s="125" t="str">
        <f t="shared" si="55"/>
        <v/>
      </c>
      <c r="AC94" s="125" t="str">
        <f t="shared" si="38"/>
        <v/>
      </c>
      <c r="AD94" s="125" t="str">
        <f t="shared" si="39"/>
        <v/>
      </c>
      <c r="AE94" s="120">
        <f t="shared" si="50"/>
        <v>0</v>
      </c>
      <c r="AF94" s="121" t="str">
        <f t="shared" si="40"/>
        <v/>
      </c>
      <c r="AG94" s="111" t="str">
        <f>IF($U$258&lt;=0,AF94,IF(SUM($U$18:U94)&lt;=0,AF94,PMT($K$5/360*Días,A94,-AA94)))</f>
        <v/>
      </c>
      <c r="AH94" s="122" t="str">
        <f>IF(A94&lt;=Periodos_Gracia,0,IF($U$258&lt;=0,AG94,IF(SUM($U$18:U94)&lt;=0,AF94,PMT($K$5/360*Días,No._de_Pagos,-Monto_Crédito)-AC94-AD94)))</f>
        <v/>
      </c>
      <c r="AI94" s="126" t="str">
        <f t="shared" si="51"/>
        <v/>
      </c>
      <c r="AK94" s="127" t="str">
        <f>IF(A94="","",IF(Periodos_Gracia&gt;0,Tabla!AN94,V94+S94))</f>
        <v/>
      </c>
      <c r="AL94" s="127" t="str">
        <f t="shared" si="41"/>
        <v/>
      </c>
      <c r="AM94" s="62" t="str">
        <f t="shared" si="52"/>
        <v/>
      </c>
      <c r="AN94" s="128" t="str">
        <f>IF(A94="","",IF(A94&lt;=Periodos_Gracia,Tabla!S94,PPMT(Tasa_Anual/360*Días*(1+I.V.A.),Tabla!AM94,No._De_Pagos_con_periodo_de_gracia,-Monto_Crédito)+S94))</f>
        <v/>
      </c>
      <c r="AO94" s="128" t="str">
        <f>IF(A94="","",IF(A94&lt;=Periodos_Gracia,Tabla!AC94,Monto_Crédito/(No._De_Pagos_con_periodo_de_gracia)+AC94))</f>
        <v/>
      </c>
      <c r="AP94" s="118"/>
    </row>
    <row r="95" spans="1:42">
      <c r="A95" s="108" t="str">
        <f>IF(A94&lt;Parámetros!$E$6,A94+1,"")</f>
        <v/>
      </c>
      <c r="B95" s="109" t="str">
        <f t="shared" si="53"/>
        <v/>
      </c>
      <c r="C95" s="109" t="str">
        <f t="shared" si="29"/>
        <v/>
      </c>
      <c r="D95" s="109" t="str">
        <f t="shared" si="30"/>
        <v/>
      </c>
      <c r="E95" s="109" t="str">
        <f t="shared" si="31"/>
        <v/>
      </c>
      <c r="F95" s="109" t="str">
        <f t="shared" si="32"/>
        <v/>
      </c>
      <c r="G95" s="115" t="str">
        <f t="shared" si="42"/>
        <v/>
      </c>
      <c r="H95" s="116">
        <f t="shared" si="43"/>
        <v>0</v>
      </c>
      <c r="I95" s="109" t="str">
        <f t="shared" si="54"/>
        <v/>
      </c>
      <c r="J95" s="109" t="str">
        <f t="shared" si="33"/>
        <v/>
      </c>
      <c r="K95" s="109" t="str">
        <f t="shared" si="34"/>
        <v/>
      </c>
      <c r="L95" s="109" t="str">
        <f t="shared" si="35"/>
        <v/>
      </c>
      <c r="M95" s="109" t="str">
        <f t="shared" si="44"/>
        <v/>
      </c>
      <c r="N95" s="115" t="str">
        <f t="shared" si="45"/>
        <v/>
      </c>
      <c r="O95" s="61">
        <v>0</v>
      </c>
      <c r="P95" s="117">
        <f t="shared" si="46"/>
        <v>0</v>
      </c>
      <c r="R95" s="118" t="str">
        <f t="shared" si="56"/>
        <v/>
      </c>
      <c r="S95" s="119" t="str">
        <f t="shared" si="36"/>
        <v/>
      </c>
      <c r="T95" s="119" t="str">
        <f t="shared" si="37"/>
        <v/>
      </c>
      <c r="U95" s="120">
        <f t="shared" si="47"/>
        <v>0</v>
      </c>
      <c r="V95" s="121" t="str">
        <f>IF(A95="","",IF(A95&lt;=Periodos_Gracia,0,PPMT(Tasa_Anual/360*Días*(1+I.V.A.),Tabla!AM95,No._De_Pagos_con_periodo_de_gracia,-Monto_Crédito)))</f>
        <v/>
      </c>
      <c r="W95" s="111" t="str">
        <f>IF($U$258&lt;=0,V95,IF(SUM($U$18:U95)&lt;=0,V95,PMT($K$5/360*Días,A95,-R95)))</f>
        <v/>
      </c>
      <c r="X95" s="122" t="str">
        <f>IF($U$258&lt;=0,W95,IF(SUM($U$18:U95)&lt;=0,V95,PMT($K$5/360*Días,No._De_Pagos_con_periodo_de_gracia,-Monto_Crédito)-S95-T95))</f>
        <v/>
      </c>
      <c r="Y95" s="118" t="str">
        <f t="shared" si="48"/>
        <v/>
      </c>
      <c r="Z95" s="62" t="str">
        <f>+IF(A95="","",IF(No._de_Pagos-Tabla!A95+1&lt;=0,"",No._de_Pagos-Tabla!A95+1))</f>
        <v/>
      </c>
      <c r="AA95" s="123" t="str">
        <f t="shared" si="49"/>
        <v/>
      </c>
      <c r="AB95" s="125" t="str">
        <f t="shared" si="55"/>
        <v/>
      </c>
      <c r="AC95" s="125" t="str">
        <f t="shared" si="38"/>
        <v/>
      </c>
      <c r="AD95" s="125" t="str">
        <f t="shared" si="39"/>
        <v/>
      </c>
      <c r="AE95" s="120">
        <f t="shared" si="50"/>
        <v>0</v>
      </c>
      <c r="AF95" s="121" t="str">
        <f t="shared" si="40"/>
        <v/>
      </c>
      <c r="AG95" s="111" t="str">
        <f>IF($U$258&lt;=0,AF95,IF(SUM($U$18:U95)&lt;=0,AF95,PMT($K$5/360*Días,A95,-AA95)))</f>
        <v/>
      </c>
      <c r="AH95" s="122" t="str">
        <f>IF(A95&lt;=Periodos_Gracia,0,IF($U$258&lt;=0,AG95,IF(SUM($U$18:U95)&lt;=0,AF95,PMT($K$5/360*Días,No._de_Pagos,-Monto_Crédito)-AC95-AD95)))</f>
        <v/>
      </c>
      <c r="AI95" s="126" t="str">
        <f t="shared" si="51"/>
        <v/>
      </c>
      <c r="AK95" s="127" t="str">
        <f>IF(A95="","",IF(Periodos_Gracia&gt;0,Tabla!AN95,V95+S95))</f>
        <v/>
      </c>
      <c r="AL95" s="127" t="str">
        <f t="shared" si="41"/>
        <v/>
      </c>
      <c r="AM95" s="62" t="str">
        <f t="shared" si="52"/>
        <v/>
      </c>
      <c r="AN95" s="128" t="str">
        <f>IF(A95="","",IF(A95&lt;=Periodos_Gracia,Tabla!S95,PPMT(Tasa_Anual/360*Días*(1+I.V.A.),Tabla!AM95,No._De_Pagos_con_periodo_de_gracia,-Monto_Crédito)+S95))</f>
        <v/>
      </c>
      <c r="AO95" s="128" t="str">
        <f>IF(A95="","",IF(A95&lt;=Periodos_Gracia,Tabla!AC95,Monto_Crédito/(No._De_Pagos_con_periodo_de_gracia)+AC95))</f>
        <v/>
      </c>
      <c r="AP95" s="118"/>
    </row>
    <row r="96" spans="1:42">
      <c r="A96" s="108" t="str">
        <f>IF(A95&lt;Parámetros!$E$6,A95+1,"")</f>
        <v/>
      </c>
      <c r="B96" s="109" t="str">
        <f t="shared" si="53"/>
        <v/>
      </c>
      <c r="C96" s="109" t="str">
        <f t="shared" si="29"/>
        <v/>
      </c>
      <c r="D96" s="109" t="str">
        <f t="shared" si="30"/>
        <v/>
      </c>
      <c r="E96" s="109" t="str">
        <f t="shared" si="31"/>
        <v/>
      </c>
      <c r="F96" s="109" t="str">
        <f t="shared" si="32"/>
        <v/>
      </c>
      <c r="G96" s="115" t="str">
        <f t="shared" si="42"/>
        <v/>
      </c>
      <c r="H96" s="116">
        <f t="shared" si="43"/>
        <v>0</v>
      </c>
      <c r="I96" s="109" t="str">
        <f t="shared" si="54"/>
        <v/>
      </c>
      <c r="J96" s="109" t="str">
        <f t="shared" si="33"/>
        <v/>
      </c>
      <c r="K96" s="109" t="str">
        <f t="shared" si="34"/>
        <v/>
      </c>
      <c r="L96" s="109" t="str">
        <f t="shared" si="35"/>
        <v/>
      </c>
      <c r="M96" s="109" t="str">
        <f t="shared" si="44"/>
        <v/>
      </c>
      <c r="N96" s="115" t="str">
        <f t="shared" si="45"/>
        <v/>
      </c>
      <c r="O96" s="61">
        <v>0</v>
      </c>
      <c r="P96" s="117">
        <f t="shared" si="46"/>
        <v>0</v>
      </c>
      <c r="R96" s="118" t="str">
        <f t="shared" si="56"/>
        <v/>
      </c>
      <c r="S96" s="119" t="str">
        <f t="shared" si="36"/>
        <v/>
      </c>
      <c r="T96" s="119" t="str">
        <f t="shared" si="37"/>
        <v/>
      </c>
      <c r="U96" s="120">
        <f t="shared" si="47"/>
        <v>0</v>
      </c>
      <c r="V96" s="121" t="str">
        <f>IF(A96="","",IF(A96&lt;=Periodos_Gracia,0,PPMT(Tasa_Anual/360*Días*(1+I.V.A.),Tabla!AM96,No._De_Pagos_con_periodo_de_gracia,-Monto_Crédito)))</f>
        <v/>
      </c>
      <c r="W96" s="111" t="str">
        <f>IF($U$258&lt;=0,V96,IF(SUM($U$18:U96)&lt;=0,V96,PMT($K$5/360*Días,A96,-R96)))</f>
        <v/>
      </c>
      <c r="X96" s="122" t="str">
        <f>IF($U$258&lt;=0,W96,IF(SUM($U$18:U96)&lt;=0,V96,PMT($K$5/360*Días,No._De_Pagos_con_periodo_de_gracia,-Monto_Crédito)-S96-T96))</f>
        <v/>
      </c>
      <c r="Y96" s="118" t="str">
        <f t="shared" si="48"/>
        <v/>
      </c>
      <c r="Z96" s="62" t="str">
        <f>+IF(A96="","",IF(No._de_Pagos-Tabla!A96+1&lt;=0,"",No._de_Pagos-Tabla!A96+1))</f>
        <v/>
      </c>
      <c r="AA96" s="123" t="str">
        <f t="shared" si="49"/>
        <v/>
      </c>
      <c r="AB96" s="125" t="str">
        <f t="shared" si="55"/>
        <v/>
      </c>
      <c r="AC96" s="125" t="str">
        <f t="shared" si="38"/>
        <v/>
      </c>
      <c r="AD96" s="125" t="str">
        <f t="shared" si="39"/>
        <v/>
      </c>
      <c r="AE96" s="120">
        <f t="shared" si="50"/>
        <v>0</v>
      </c>
      <c r="AF96" s="121" t="str">
        <f t="shared" si="40"/>
        <v/>
      </c>
      <c r="AG96" s="111" t="str">
        <f>IF($U$258&lt;=0,AF96,IF(SUM($U$18:U96)&lt;=0,AF96,PMT($K$5/360*Días,A96,-AA96)))</f>
        <v/>
      </c>
      <c r="AH96" s="122" t="str">
        <f>IF(A96&lt;=Periodos_Gracia,0,IF($U$258&lt;=0,AG96,IF(SUM($U$18:U96)&lt;=0,AF96,PMT($K$5/360*Días,No._de_Pagos,-Monto_Crédito)-AC96-AD96)))</f>
        <v/>
      </c>
      <c r="AI96" s="126" t="str">
        <f t="shared" si="51"/>
        <v/>
      </c>
      <c r="AK96" s="127" t="str">
        <f>IF(A96="","",IF(Periodos_Gracia&gt;0,Tabla!AN96,V96+S96))</f>
        <v/>
      </c>
      <c r="AL96" s="127" t="str">
        <f t="shared" si="41"/>
        <v/>
      </c>
      <c r="AM96" s="62" t="str">
        <f t="shared" si="52"/>
        <v/>
      </c>
      <c r="AN96" s="128" t="str">
        <f>IF(A96="","",IF(A96&lt;=Periodos_Gracia,Tabla!S96,PPMT(Tasa_Anual/360*Días*(1+I.V.A.),Tabla!AM96,No._De_Pagos_con_periodo_de_gracia,-Monto_Crédito)+S96))</f>
        <v/>
      </c>
      <c r="AO96" s="128" t="str">
        <f>IF(A96="","",IF(A96&lt;=Periodos_Gracia,Tabla!AC96,Monto_Crédito/(No._De_Pagos_con_periodo_de_gracia)+AC96))</f>
        <v/>
      </c>
      <c r="AP96" s="118"/>
    </row>
    <row r="97" spans="1:42">
      <c r="A97" s="108" t="str">
        <f>IF(A96&lt;Parámetros!$E$6,A96+1,"")</f>
        <v/>
      </c>
      <c r="B97" s="109" t="str">
        <f t="shared" si="53"/>
        <v/>
      </c>
      <c r="C97" s="109" t="str">
        <f t="shared" si="29"/>
        <v/>
      </c>
      <c r="D97" s="109" t="str">
        <f t="shared" si="30"/>
        <v/>
      </c>
      <c r="E97" s="109" t="str">
        <f t="shared" si="31"/>
        <v/>
      </c>
      <c r="F97" s="109" t="str">
        <f t="shared" si="32"/>
        <v/>
      </c>
      <c r="G97" s="115" t="str">
        <f t="shared" si="42"/>
        <v/>
      </c>
      <c r="H97" s="116">
        <f t="shared" si="43"/>
        <v>0</v>
      </c>
      <c r="I97" s="109" t="str">
        <f t="shared" si="54"/>
        <v/>
      </c>
      <c r="J97" s="109" t="str">
        <f t="shared" si="33"/>
        <v/>
      </c>
      <c r="K97" s="109" t="str">
        <f t="shared" si="34"/>
        <v/>
      </c>
      <c r="L97" s="109" t="str">
        <f t="shared" si="35"/>
        <v/>
      </c>
      <c r="M97" s="109" t="str">
        <f t="shared" si="44"/>
        <v/>
      </c>
      <c r="N97" s="115" t="str">
        <f t="shared" si="45"/>
        <v/>
      </c>
      <c r="O97" s="61">
        <v>0</v>
      </c>
      <c r="P97" s="117">
        <f t="shared" si="46"/>
        <v>0</v>
      </c>
      <c r="R97" s="118" t="str">
        <f t="shared" si="56"/>
        <v/>
      </c>
      <c r="S97" s="119" t="str">
        <f t="shared" si="36"/>
        <v/>
      </c>
      <c r="T97" s="119" t="str">
        <f t="shared" si="37"/>
        <v/>
      </c>
      <c r="U97" s="120">
        <f t="shared" si="47"/>
        <v>0</v>
      </c>
      <c r="V97" s="121" t="str">
        <f>IF(A97="","",IF(A97&lt;=Periodos_Gracia,0,PPMT(Tasa_Anual/360*Días*(1+I.V.A.),Tabla!AM97,No._De_Pagos_con_periodo_de_gracia,-Monto_Crédito)))</f>
        <v/>
      </c>
      <c r="W97" s="111" t="str">
        <f>IF($U$258&lt;=0,V97,IF(SUM($U$18:U97)&lt;=0,V97,PMT($K$5/360*Días,A97,-R97)))</f>
        <v/>
      </c>
      <c r="X97" s="122" t="str">
        <f>IF($U$258&lt;=0,W97,IF(SUM($U$18:U97)&lt;=0,V97,PMT($K$5/360*Días,No._De_Pagos_con_periodo_de_gracia,-Monto_Crédito)-S97-T97))</f>
        <v/>
      </c>
      <c r="Y97" s="118" t="str">
        <f t="shared" si="48"/>
        <v/>
      </c>
      <c r="Z97" s="62" t="str">
        <f>+IF(A97="","",IF(No._de_Pagos-Tabla!A97+1&lt;=0,"",No._de_Pagos-Tabla!A97+1))</f>
        <v/>
      </c>
      <c r="AA97" s="123" t="str">
        <f t="shared" si="49"/>
        <v/>
      </c>
      <c r="AB97" s="125" t="str">
        <f t="shared" si="55"/>
        <v/>
      </c>
      <c r="AC97" s="125" t="str">
        <f t="shared" si="38"/>
        <v/>
      </c>
      <c r="AD97" s="125" t="str">
        <f t="shared" si="39"/>
        <v/>
      </c>
      <c r="AE97" s="120">
        <f t="shared" si="50"/>
        <v>0</v>
      </c>
      <c r="AF97" s="121" t="str">
        <f t="shared" si="40"/>
        <v/>
      </c>
      <c r="AG97" s="111" t="str">
        <f>IF($U$258&lt;=0,AF97,IF(SUM($U$18:U97)&lt;=0,AF97,PMT($K$5/360*Días,A97,-AA97)))</f>
        <v/>
      </c>
      <c r="AH97" s="122" t="str">
        <f>IF(A97&lt;=Periodos_Gracia,0,IF($U$258&lt;=0,AG97,IF(SUM($U$18:U97)&lt;=0,AF97,PMT($K$5/360*Días,No._de_Pagos,-Monto_Crédito)-AC97-AD97)))</f>
        <v/>
      </c>
      <c r="AI97" s="126" t="str">
        <f t="shared" si="51"/>
        <v/>
      </c>
      <c r="AK97" s="127" t="str">
        <f>IF(A97="","",IF(Periodos_Gracia&gt;0,Tabla!AN97,V97+S97))</f>
        <v/>
      </c>
      <c r="AL97" s="127" t="str">
        <f t="shared" si="41"/>
        <v/>
      </c>
      <c r="AM97" s="62" t="str">
        <f t="shared" si="52"/>
        <v/>
      </c>
      <c r="AN97" s="128" t="str">
        <f>IF(A97="","",IF(A97&lt;=Periodos_Gracia,Tabla!S97,PPMT(Tasa_Anual/360*Días*(1+I.V.A.),Tabla!AM97,No._De_Pagos_con_periodo_de_gracia,-Monto_Crédito)+S97))</f>
        <v/>
      </c>
      <c r="AO97" s="128" t="str">
        <f>IF(A97="","",IF(A97&lt;=Periodos_Gracia,Tabla!AC97,Monto_Crédito/(No._De_Pagos_con_periodo_de_gracia)+AC97))</f>
        <v/>
      </c>
      <c r="AP97" s="118"/>
    </row>
    <row r="98" spans="1:42">
      <c r="A98" s="108" t="str">
        <f>IF(A97&lt;Parámetros!$E$6,A97+1,"")</f>
        <v/>
      </c>
      <c r="B98" s="109" t="str">
        <f t="shared" si="53"/>
        <v/>
      </c>
      <c r="C98" s="109" t="str">
        <f t="shared" si="29"/>
        <v/>
      </c>
      <c r="D98" s="109" t="str">
        <f t="shared" si="30"/>
        <v/>
      </c>
      <c r="E98" s="109" t="str">
        <f t="shared" si="31"/>
        <v/>
      </c>
      <c r="F98" s="109" t="str">
        <f t="shared" si="32"/>
        <v/>
      </c>
      <c r="G98" s="115" t="str">
        <f t="shared" si="42"/>
        <v/>
      </c>
      <c r="H98" s="116">
        <f t="shared" si="43"/>
        <v>0</v>
      </c>
      <c r="I98" s="109" t="str">
        <f t="shared" si="54"/>
        <v/>
      </c>
      <c r="J98" s="109" t="str">
        <f t="shared" si="33"/>
        <v/>
      </c>
      <c r="K98" s="109" t="str">
        <f t="shared" si="34"/>
        <v/>
      </c>
      <c r="L98" s="109" t="str">
        <f t="shared" si="35"/>
        <v/>
      </c>
      <c r="M98" s="109" t="str">
        <f t="shared" si="44"/>
        <v/>
      </c>
      <c r="N98" s="115" t="str">
        <f t="shared" si="45"/>
        <v/>
      </c>
      <c r="O98" s="61">
        <v>0</v>
      </c>
      <c r="P98" s="117">
        <f t="shared" si="46"/>
        <v>0</v>
      </c>
      <c r="R98" s="118" t="str">
        <f t="shared" si="56"/>
        <v/>
      </c>
      <c r="S98" s="119" t="str">
        <f t="shared" si="36"/>
        <v/>
      </c>
      <c r="T98" s="119" t="str">
        <f t="shared" si="37"/>
        <v/>
      </c>
      <c r="U98" s="120">
        <f t="shared" si="47"/>
        <v>0</v>
      </c>
      <c r="V98" s="121" t="str">
        <f>IF(A98="","",IF(A98&lt;=Periodos_Gracia,0,PPMT(Tasa_Anual/360*Días*(1+I.V.A.),Tabla!AM98,No._De_Pagos_con_periodo_de_gracia,-Monto_Crédito)))</f>
        <v/>
      </c>
      <c r="W98" s="111" t="str">
        <f>IF($U$258&lt;=0,V98,IF(SUM($U$18:U98)&lt;=0,V98,PMT($K$5/360*Días,A98,-R98)))</f>
        <v/>
      </c>
      <c r="X98" s="122" t="str">
        <f>IF($U$258&lt;=0,W98,IF(SUM($U$18:U98)&lt;=0,V98,PMT($K$5/360*Días,No._De_Pagos_con_periodo_de_gracia,-Monto_Crédito)-S98-T98))</f>
        <v/>
      </c>
      <c r="Y98" s="118" t="str">
        <f t="shared" si="48"/>
        <v/>
      </c>
      <c r="Z98" s="62" t="str">
        <f>+IF(A98="","",IF(No._de_Pagos-Tabla!A98+1&lt;=0,"",No._de_Pagos-Tabla!A98+1))</f>
        <v/>
      </c>
      <c r="AA98" s="123" t="str">
        <f t="shared" si="49"/>
        <v/>
      </c>
      <c r="AB98" s="125" t="str">
        <f t="shared" si="55"/>
        <v/>
      </c>
      <c r="AC98" s="125" t="str">
        <f t="shared" si="38"/>
        <v/>
      </c>
      <c r="AD98" s="125" t="str">
        <f t="shared" si="39"/>
        <v/>
      </c>
      <c r="AE98" s="120">
        <f t="shared" si="50"/>
        <v>0</v>
      </c>
      <c r="AF98" s="121" t="str">
        <f t="shared" si="40"/>
        <v/>
      </c>
      <c r="AG98" s="111" t="str">
        <f>IF($U$258&lt;=0,AF98,IF(SUM($U$18:U98)&lt;=0,AF98,PMT($K$5/360*Días,A98,-AA98)))</f>
        <v/>
      </c>
      <c r="AH98" s="122" t="str">
        <f>IF(A98&lt;=Periodos_Gracia,0,IF($U$258&lt;=0,AG98,IF(SUM($U$18:U98)&lt;=0,AF98,PMT($K$5/360*Días,No._de_Pagos,-Monto_Crédito)-AC98-AD98)))</f>
        <v/>
      </c>
      <c r="AI98" s="126" t="str">
        <f t="shared" si="51"/>
        <v/>
      </c>
      <c r="AK98" s="127" t="str">
        <f>IF(A98="","",IF(Periodos_Gracia&gt;0,Tabla!AN98,V98+S98))</f>
        <v/>
      </c>
      <c r="AL98" s="127" t="str">
        <f t="shared" si="41"/>
        <v/>
      </c>
      <c r="AM98" s="62" t="str">
        <f t="shared" si="52"/>
        <v/>
      </c>
      <c r="AN98" s="128" t="str">
        <f>IF(A98="","",IF(A98&lt;=Periodos_Gracia,Tabla!S98,PPMT(Tasa_Anual/360*Días*(1+I.V.A.),Tabla!AM98,No._De_Pagos_con_periodo_de_gracia,-Monto_Crédito)+S98))</f>
        <v/>
      </c>
      <c r="AO98" s="128" t="str">
        <f>IF(A98="","",IF(A98&lt;=Periodos_Gracia,Tabla!AC98,Monto_Crédito/(No._De_Pagos_con_periodo_de_gracia)+AC98))</f>
        <v/>
      </c>
      <c r="AP98" s="118"/>
    </row>
    <row r="99" spans="1:42">
      <c r="A99" s="108" t="str">
        <f>IF(A98&lt;Parámetros!$E$6,A98+1,"")</f>
        <v/>
      </c>
      <c r="B99" s="109" t="str">
        <f t="shared" si="53"/>
        <v/>
      </c>
      <c r="C99" s="109" t="str">
        <f t="shared" si="29"/>
        <v/>
      </c>
      <c r="D99" s="109" t="str">
        <f t="shared" si="30"/>
        <v/>
      </c>
      <c r="E99" s="109" t="str">
        <f t="shared" si="31"/>
        <v/>
      </c>
      <c r="F99" s="109" t="str">
        <f t="shared" si="32"/>
        <v/>
      </c>
      <c r="G99" s="115" t="str">
        <f t="shared" si="42"/>
        <v/>
      </c>
      <c r="H99" s="116">
        <f t="shared" si="43"/>
        <v>0</v>
      </c>
      <c r="I99" s="109" t="str">
        <f t="shared" si="54"/>
        <v/>
      </c>
      <c r="J99" s="109" t="str">
        <f t="shared" si="33"/>
        <v/>
      </c>
      <c r="K99" s="109" t="str">
        <f t="shared" si="34"/>
        <v/>
      </c>
      <c r="L99" s="109" t="str">
        <f t="shared" si="35"/>
        <v/>
      </c>
      <c r="M99" s="109" t="str">
        <f t="shared" si="44"/>
        <v/>
      </c>
      <c r="N99" s="115" t="str">
        <f t="shared" si="45"/>
        <v/>
      </c>
      <c r="O99" s="61">
        <v>0</v>
      </c>
      <c r="P99" s="117">
        <f t="shared" si="46"/>
        <v>0</v>
      </c>
      <c r="R99" s="118" t="str">
        <f t="shared" si="56"/>
        <v/>
      </c>
      <c r="S99" s="119" t="str">
        <f t="shared" si="36"/>
        <v/>
      </c>
      <c r="T99" s="119" t="str">
        <f t="shared" si="37"/>
        <v/>
      </c>
      <c r="U99" s="120">
        <f t="shared" si="47"/>
        <v>0</v>
      </c>
      <c r="V99" s="121" t="str">
        <f>IF(A99="","",IF(A99&lt;=Periodos_Gracia,0,PPMT(Tasa_Anual/360*Días*(1+I.V.A.),Tabla!AM99,No._De_Pagos_con_periodo_de_gracia,-Monto_Crédito)))</f>
        <v/>
      </c>
      <c r="W99" s="111" t="str">
        <f>IF($U$258&lt;=0,V99,IF(SUM($U$18:U99)&lt;=0,V99,PMT($K$5/360*Días,A99,-R99)))</f>
        <v/>
      </c>
      <c r="X99" s="122" t="str">
        <f>IF($U$258&lt;=0,W99,IF(SUM($U$18:U99)&lt;=0,V99,PMT($K$5/360*Días,No._De_Pagos_con_periodo_de_gracia,-Monto_Crédito)-S99-T99))</f>
        <v/>
      </c>
      <c r="Y99" s="118" t="str">
        <f t="shared" si="48"/>
        <v/>
      </c>
      <c r="Z99" s="62" t="str">
        <f>+IF(A99="","",IF(No._de_Pagos-Tabla!A99+1&lt;=0,"",No._de_Pagos-Tabla!A99+1))</f>
        <v/>
      </c>
      <c r="AA99" s="123" t="str">
        <f t="shared" si="49"/>
        <v/>
      </c>
      <c r="AB99" s="125" t="str">
        <f t="shared" si="55"/>
        <v/>
      </c>
      <c r="AC99" s="125" t="str">
        <f t="shared" si="38"/>
        <v/>
      </c>
      <c r="AD99" s="125" t="str">
        <f t="shared" si="39"/>
        <v/>
      </c>
      <c r="AE99" s="120">
        <f t="shared" si="50"/>
        <v>0</v>
      </c>
      <c r="AF99" s="121" t="str">
        <f t="shared" si="40"/>
        <v/>
      </c>
      <c r="AG99" s="111" t="str">
        <f>IF($U$258&lt;=0,AF99,IF(SUM($U$18:U99)&lt;=0,AF99,PMT($K$5/360*Días,A99,-AA99)))</f>
        <v/>
      </c>
      <c r="AH99" s="122" t="str">
        <f>IF(A99&lt;=Periodos_Gracia,0,IF($U$258&lt;=0,AG99,IF(SUM($U$18:U99)&lt;=0,AF99,PMT($K$5/360*Días,No._de_Pagos,-Monto_Crédito)-AC99-AD99)))</f>
        <v/>
      </c>
      <c r="AI99" s="126" t="str">
        <f t="shared" si="51"/>
        <v/>
      </c>
      <c r="AK99" s="127" t="str">
        <f>IF(A99="","",IF(Periodos_Gracia&gt;0,Tabla!AN99,V99+S99))</f>
        <v/>
      </c>
      <c r="AL99" s="127" t="str">
        <f t="shared" si="41"/>
        <v/>
      </c>
      <c r="AM99" s="62" t="str">
        <f t="shared" si="52"/>
        <v/>
      </c>
      <c r="AN99" s="128" t="str">
        <f>IF(A99="","",IF(A99&lt;=Periodos_Gracia,Tabla!S99,PPMT(Tasa_Anual/360*Días*(1+I.V.A.),Tabla!AM99,No._De_Pagos_con_periodo_de_gracia,-Monto_Crédito)+S99))</f>
        <v/>
      </c>
      <c r="AO99" s="128" t="str">
        <f>IF(A99="","",IF(A99&lt;=Periodos_Gracia,Tabla!AC99,Monto_Crédito/(No._De_Pagos_con_periodo_de_gracia)+AC99))</f>
        <v/>
      </c>
      <c r="AP99" s="118"/>
    </row>
    <row r="100" spans="1:42">
      <c r="A100" s="108" t="str">
        <f>IF(A99&lt;Parámetros!$E$6,A99+1,"")</f>
        <v/>
      </c>
      <c r="B100" s="109" t="str">
        <f t="shared" si="53"/>
        <v/>
      </c>
      <c r="C100" s="109" t="str">
        <f t="shared" si="29"/>
        <v/>
      </c>
      <c r="D100" s="109" t="str">
        <f t="shared" si="30"/>
        <v/>
      </c>
      <c r="E100" s="109" t="str">
        <f t="shared" si="31"/>
        <v/>
      </c>
      <c r="F100" s="109" t="str">
        <f t="shared" si="32"/>
        <v/>
      </c>
      <c r="G100" s="115" t="str">
        <f t="shared" si="42"/>
        <v/>
      </c>
      <c r="H100" s="116">
        <f t="shared" si="43"/>
        <v>0</v>
      </c>
      <c r="I100" s="109" t="str">
        <f t="shared" si="54"/>
        <v/>
      </c>
      <c r="J100" s="109" t="str">
        <f t="shared" si="33"/>
        <v/>
      </c>
      <c r="K100" s="109" t="str">
        <f t="shared" si="34"/>
        <v/>
      </c>
      <c r="L100" s="109" t="str">
        <f t="shared" si="35"/>
        <v/>
      </c>
      <c r="M100" s="109" t="str">
        <f t="shared" si="44"/>
        <v/>
      </c>
      <c r="N100" s="115" t="str">
        <f t="shared" si="45"/>
        <v/>
      </c>
      <c r="O100" s="61">
        <v>0</v>
      </c>
      <c r="P100" s="117">
        <f t="shared" si="46"/>
        <v>0</v>
      </c>
      <c r="R100" s="118" t="str">
        <f t="shared" si="56"/>
        <v/>
      </c>
      <c r="S100" s="119" t="str">
        <f t="shared" si="36"/>
        <v/>
      </c>
      <c r="T100" s="119" t="str">
        <f t="shared" si="37"/>
        <v/>
      </c>
      <c r="U100" s="120">
        <f t="shared" si="47"/>
        <v>0</v>
      </c>
      <c r="V100" s="121" t="str">
        <f>IF(A100="","",IF(A100&lt;=Periodos_Gracia,0,PPMT(Tasa_Anual/360*Días*(1+I.V.A.),Tabla!AM100,No._De_Pagos_con_periodo_de_gracia,-Monto_Crédito)))</f>
        <v/>
      </c>
      <c r="W100" s="111" t="str">
        <f>IF($U$258&lt;=0,V100,IF(SUM($U$18:U100)&lt;=0,V100,PMT($K$5/360*Días,A100,-R100)))</f>
        <v/>
      </c>
      <c r="X100" s="122" t="str">
        <f>IF($U$258&lt;=0,W100,IF(SUM($U$18:U100)&lt;=0,V100,PMT($K$5/360*Días,No._De_Pagos_con_periodo_de_gracia,-Monto_Crédito)-S100-T100))</f>
        <v/>
      </c>
      <c r="Y100" s="118" t="str">
        <f t="shared" si="48"/>
        <v/>
      </c>
      <c r="Z100" s="62" t="str">
        <f>+IF(A100="","",IF(No._de_Pagos-Tabla!A100+1&lt;=0,"",No._de_Pagos-Tabla!A100+1))</f>
        <v/>
      </c>
      <c r="AA100" s="123" t="str">
        <f t="shared" si="49"/>
        <v/>
      </c>
      <c r="AB100" s="125" t="str">
        <f t="shared" si="55"/>
        <v/>
      </c>
      <c r="AC100" s="125" t="str">
        <f t="shared" si="38"/>
        <v/>
      </c>
      <c r="AD100" s="125" t="str">
        <f t="shared" si="39"/>
        <v/>
      </c>
      <c r="AE100" s="120">
        <f t="shared" si="50"/>
        <v>0</v>
      </c>
      <c r="AF100" s="121" t="str">
        <f t="shared" si="40"/>
        <v/>
      </c>
      <c r="AG100" s="111" t="str">
        <f>IF($U$258&lt;=0,AF100,IF(SUM($U$18:U100)&lt;=0,AF100,PMT($K$5/360*Días,A100,-AA100)))</f>
        <v/>
      </c>
      <c r="AH100" s="122" t="str">
        <f>IF(A100&lt;=Periodos_Gracia,0,IF($U$258&lt;=0,AG100,IF(SUM($U$18:U100)&lt;=0,AF100,PMT($K$5/360*Días,No._de_Pagos,-Monto_Crédito)-AC100-AD100)))</f>
        <v/>
      </c>
      <c r="AI100" s="126" t="str">
        <f t="shared" si="51"/>
        <v/>
      </c>
      <c r="AK100" s="127" t="str">
        <f>IF(A100="","",IF(Periodos_Gracia&gt;0,Tabla!AN100,V100+S100))</f>
        <v/>
      </c>
      <c r="AL100" s="127" t="str">
        <f t="shared" si="41"/>
        <v/>
      </c>
      <c r="AM100" s="62" t="str">
        <f t="shared" si="52"/>
        <v/>
      </c>
      <c r="AN100" s="128" t="str">
        <f>IF(A100="","",IF(A100&lt;=Periodos_Gracia,Tabla!S100,PPMT(Tasa_Anual/360*Días*(1+I.V.A.),Tabla!AM100,No._De_Pagos_con_periodo_de_gracia,-Monto_Crédito)+S100))</f>
        <v/>
      </c>
      <c r="AO100" s="128" t="str">
        <f>IF(A100="","",IF(A100&lt;=Periodos_Gracia,Tabla!AC100,Monto_Crédito/(No._De_Pagos_con_periodo_de_gracia)+AC100))</f>
        <v/>
      </c>
      <c r="AP100" s="118"/>
    </row>
    <row r="101" spans="1:42">
      <c r="A101" s="108" t="str">
        <f>IF(A100&lt;Parámetros!$E$6,A100+1,"")</f>
        <v/>
      </c>
      <c r="B101" s="109" t="str">
        <f t="shared" si="53"/>
        <v/>
      </c>
      <c r="C101" s="109" t="str">
        <f t="shared" si="29"/>
        <v/>
      </c>
      <c r="D101" s="109" t="str">
        <f t="shared" si="30"/>
        <v/>
      </c>
      <c r="E101" s="109" t="str">
        <f t="shared" si="31"/>
        <v/>
      </c>
      <c r="F101" s="109" t="str">
        <f t="shared" si="32"/>
        <v/>
      </c>
      <c r="G101" s="115" t="str">
        <f t="shared" si="42"/>
        <v/>
      </c>
      <c r="H101" s="116">
        <f t="shared" si="43"/>
        <v>0</v>
      </c>
      <c r="I101" s="109" t="str">
        <f t="shared" si="54"/>
        <v/>
      </c>
      <c r="J101" s="109" t="str">
        <f t="shared" si="33"/>
        <v/>
      </c>
      <c r="K101" s="109" t="str">
        <f t="shared" si="34"/>
        <v/>
      </c>
      <c r="L101" s="109" t="str">
        <f t="shared" si="35"/>
        <v/>
      </c>
      <c r="M101" s="109" t="str">
        <f t="shared" si="44"/>
        <v/>
      </c>
      <c r="N101" s="115" t="str">
        <f t="shared" si="45"/>
        <v/>
      </c>
      <c r="O101" s="61">
        <v>0</v>
      </c>
      <c r="P101" s="117">
        <f t="shared" si="46"/>
        <v>0</v>
      </c>
      <c r="R101" s="118" t="str">
        <f t="shared" si="56"/>
        <v/>
      </c>
      <c r="S101" s="119" t="str">
        <f t="shared" si="36"/>
        <v/>
      </c>
      <c r="T101" s="119" t="str">
        <f t="shared" si="37"/>
        <v/>
      </c>
      <c r="U101" s="120">
        <f t="shared" si="47"/>
        <v>0</v>
      </c>
      <c r="V101" s="121" t="str">
        <f>IF(A101="","",IF(A101&lt;=Periodos_Gracia,0,PPMT(Tasa_Anual/360*Días*(1+I.V.A.),Tabla!AM101,No._De_Pagos_con_periodo_de_gracia,-Monto_Crédito)))</f>
        <v/>
      </c>
      <c r="W101" s="111" t="str">
        <f>IF($U$258&lt;=0,V101,IF(SUM($U$18:U101)&lt;=0,V101,PMT($K$5/360*Días,A101,-R101)))</f>
        <v/>
      </c>
      <c r="X101" s="122" t="str">
        <f>IF($U$258&lt;=0,W101,IF(SUM($U$18:U101)&lt;=0,V101,PMT($K$5/360*Días,No._De_Pagos_con_periodo_de_gracia,-Monto_Crédito)-S101-T101))</f>
        <v/>
      </c>
      <c r="Y101" s="118" t="str">
        <f t="shared" si="48"/>
        <v/>
      </c>
      <c r="Z101" s="62" t="str">
        <f>+IF(A101="","",IF(No._de_Pagos-Tabla!A101+1&lt;=0,"",No._de_Pagos-Tabla!A101+1))</f>
        <v/>
      </c>
      <c r="AA101" s="123" t="str">
        <f t="shared" si="49"/>
        <v/>
      </c>
      <c r="AB101" s="125" t="str">
        <f t="shared" si="55"/>
        <v/>
      </c>
      <c r="AC101" s="125" t="str">
        <f t="shared" si="38"/>
        <v/>
      </c>
      <c r="AD101" s="125" t="str">
        <f t="shared" si="39"/>
        <v/>
      </c>
      <c r="AE101" s="120">
        <f t="shared" si="50"/>
        <v>0</v>
      </c>
      <c r="AF101" s="121" t="str">
        <f t="shared" si="40"/>
        <v/>
      </c>
      <c r="AG101" s="111" t="str">
        <f>IF($U$258&lt;=0,AF101,IF(SUM($U$18:U101)&lt;=0,AF101,PMT($K$5/360*Días,A101,-AA101)))</f>
        <v/>
      </c>
      <c r="AH101" s="122" t="str">
        <f>IF(A101&lt;=Periodos_Gracia,0,IF($U$258&lt;=0,AG101,IF(SUM($U$18:U101)&lt;=0,AF101,PMT($K$5/360*Días,No._de_Pagos,-Monto_Crédito)-AC101-AD101)))</f>
        <v/>
      </c>
      <c r="AI101" s="126" t="str">
        <f t="shared" si="51"/>
        <v/>
      </c>
      <c r="AK101" s="127" t="str">
        <f>IF(A101="","",IF(Periodos_Gracia&gt;0,Tabla!AN101,V101+S101))</f>
        <v/>
      </c>
      <c r="AL101" s="127" t="str">
        <f t="shared" si="41"/>
        <v/>
      </c>
      <c r="AM101" s="62" t="str">
        <f t="shared" si="52"/>
        <v/>
      </c>
      <c r="AN101" s="128" t="str">
        <f>IF(A101="","",IF(A101&lt;=Periodos_Gracia,Tabla!S101,PPMT(Tasa_Anual/360*Días*(1+I.V.A.),Tabla!AM101,No._De_Pagos_con_periodo_de_gracia,-Monto_Crédito)+S101))</f>
        <v/>
      </c>
      <c r="AO101" s="128" t="str">
        <f>IF(A101="","",IF(A101&lt;=Periodos_Gracia,Tabla!AC101,Monto_Crédito/(No._De_Pagos_con_periodo_de_gracia)+AC101))</f>
        <v/>
      </c>
      <c r="AP101" s="118"/>
    </row>
    <row r="102" spans="1:42">
      <c r="A102" s="108" t="str">
        <f>IF(A101&lt;Parámetros!$E$6,A101+1,"")</f>
        <v/>
      </c>
      <c r="B102" s="109" t="str">
        <f t="shared" si="53"/>
        <v/>
      </c>
      <c r="C102" s="109" t="str">
        <f t="shared" si="29"/>
        <v/>
      </c>
      <c r="D102" s="109" t="str">
        <f t="shared" si="30"/>
        <v/>
      </c>
      <c r="E102" s="109" t="str">
        <f t="shared" si="31"/>
        <v/>
      </c>
      <c r="F102" s="109" t="str">
        <f t="shared" si="32"/>
        <v/>
      </c>
      <c r="G102" s="115" t="str">
        <f t="shared" si="42"/>
        <v/>
      </c>
      <c r="H102" s="116">
        <f t="shared" si="43"/>
        <v>0</v>
      </c>
      <c r="I102" s="109" t="str">
        <f t="shared" si="54"/>
        <v/>
      </c>
      <c r="J102" s="109" t="str">
        <f t="shared" si="33"/>
        <v/>
      </c>
      <c r="K102" s="109" t="str">
        <f t="shared" si="34"/>
        <v/>
      </c>
      <c r="L102" s="109" t="str">
        <f t="shared" si="35"/>
        <v/>
      </c>
      <c r="M102" s="109" t="str">
        <f t="shared" si="44"/>
        <v/>
      </c>
      <c r="N102" s="115" t="str">
        <f t="shared" si="45"/>
        <v/>
      </c>
      <c r="O102" s="61">
        <v>0</v>
      </c>
      <c r="P102" s="117">
        <f t="shared" si="46"/>
        <v>0</v>
      </c>
      <c r="R102" s="118" t="str">
        <f t="shared" si="56"/>
        <v/>
      </c>
      <c r="S102" s="119" t="str">
        <f t="shared" si="36"/>
        <v/>
      </c>
      <c r="T102" s="119" t="str">
        <f t="shared" si="37"/>
        <v/>
      </c>
      <c r="U102" s="120">
        <f t="shared" si="47"/>
        <v>0</v>
      </c>
      <c r="V102" s="121" t="str">
        <f>IF(A102="","",IF(A102&lt;=Periodos_Gracia,0,PPMT(Tasa_Anual/360*Días*(1+I.V.A.),Tabla!AM102,No._De_Pagos_con_periodo_de_gracia,-Monto_Crédito)))</f>
        <v/>
      </c>
      <c r="W102" s="111" t="str">
        <f>IF($U$258&lt;=0,V102,IF(SUM($U$18:U102)&lt;=0,V102,PMT($K$5/360*Días,A102,-R102)))</f>
        <v/>
      </c>
      <c r="X102" s="122" t="str">
        <f>IF($U$258&lt;=0,W102,IF(SUM($U$18:U102)&lt;=0,V102,PMT($K$5/360*Días,No._De_Pagos_con_periodo_de_gracia,-Monto_Crédito)-S102-T102))</f>
        <v/>
      </c>
      <c r="Y102" s="118" t="str">
        <f t="shared" si="48"/>
        <v/>
      </c>
      <c r="Z102" s="62" t="str">
        <f>+IF(A102="","",IF(No._de_Pagos-Tabla!A102+1&lt;=0,"",No._de_Pagos-Tabla!A102+1))</f>
        <v/>
      </c>
      <c r="AA102" s="123" t="str">
        <f t="shared" si="49"/>
        <v/>
      </c>
      <c r="AB102" s="125" t="str">
        <f t="shared" si="55"/>
        <v/>
      </c>
      <c r="AC102" s="125" t="str">
        <f t="shared" si="38"/>
        <v/>
      </c>
      <c r="AD102" s="125" t="str">
        <f t="shared" si="39"/>
        <v/>
      </c>
      <c r="AE102" s="120">
        <f t="shared" si="50"/>
        <v>0</v>
      </c>
      <c r="AF102" s="121" t="str">
        <f t="shared" si="40"/>
        <v/>
      </c>
      <c r="AG102" s="111" t="str">
        <f>IF($U$258&lt;=0,AF102,IF(SUM($U$18:U102)&lt;=0,AF102,PMT($K$5/360*Días,A102,-AA102)))</f>
        <v/>
      </c>
      <c r="AH102" s="122" t="str">
        <f>IF(A102&lt;=Periodos_Gracia,0,IF($U$258&lt;=0,AG102,IF(SUM($U$18:U102)&lt;=0,AF102,PMT($K$5/360*Días,No._de_Pagos,-Monto_Crédito)-AC102-AD102)))</f>
        <v/>
      </c>
      <c r="AI102" s="126" t="str">
        <f t="shared" si="51"/>
        <v/>
      </c>
      <c r="AK102" s="127" t="str">
        <f>IF(A102="","",IF(Periodos_Gracia&gt;0,Tabla!AN102,V102+S102))</f>
        <v/>
      </c>
      <c r="AL102" s="127" t="str">
        <f t="shared" si="41"/>
        <v/>
      </c>
      <c r="AM102" s="62" t="str">
        <f t="shared" si="52"/>
        <v/>
      </c>
      <c r="AN102" s="128" t="str">
        <f>IF(A102="","",IF(A102&lt;=Periodos_Gracia,Tabla!S102,PPMT(Tasa_Anual/360*Días*(1+I.V.A.),Tabla!AM102,No._De_Pagos_con_periodo_de_gracia,-Monto_Crédito)+S102))</f>
        <v/>
      </c>
      <c r="AO102" s="128" t="str">
        <f>IF(A102="","",IF(A102&lt;=Periodos_Gracia,Tabla!AC102,Monto_Crédito/(No._De_Pagos_con_periodo_de_gracia)+AC102))</f>
        <v/>
      </c>
      <c r="AP102" s="118"/>
    </row>
    <row r="103" spans="1:42">
      <c r="A103" s="108" t="str">
        <f>IF(A102&lt;Parámetros!$E$6,A102+1,"")</f>
        <v/>
      </c>
      <c r="B103" s="109" t="str">
        <f t="shared" si="53"/>
        <v/>
      </c>
      <c r="C103" s="109" t="str">
        <f t="shared" si="29"/>
        <v/>
      </c>
      <c r="D103" s="109" t="str">
        <f t="shared" si="30"/>
        <v/>
      </c>
      <c r="E103" s="109" t="str">
        <f t="shared" si="31"/>
        <v/>
      </c>
      <c r="F103" s="109" t="str">
        <f t="shared" si="32"/>
        <v/>
      </c>
      <c r="G103" s="115" t="str">
        <f t="shared" si="42"/>
        <v/>
      </c>
      <c r="H103" s="116">
        <f t="shared" si="43"/>
        <v>0</v>
      </c>
      <c r="I103" s="109" t="str">
        <f t="shared" si="54"/>
        <v/>
      </c>
      <c r="J103" s="109" t="str">
        <f t="shared" si="33"/>
        <v/>
      </c>
      <c r="K103" s="109" t="str">
        <f t="shared" si="34"/>
        <v/>
      </c>
      <c r="L103" s="109" t="str">
        <f t="shared" si="35"/>
        <v/>
      </c>
      <c r="M103" s="109" t="str">
        <f t="shared" si="44"/>
        <v/>
      </c>
      <c r="N103" s="115" t="str">
        <f t="shared" si="45"/>
        <v/>
      </c>
      <c r="O103" s="61">
        <v>0</v>
      </c>
      <c r="P103" s="117">
        <f t="shared" si="46"/>
        <v>0</v>
      </c>
      <c r="R103" s="118" t="str">
        <f t="shared" si="56"/>
        <v/>
      </c>
      <c r="S103" s="119" t="str">
        <f t="shared" si="36"/>
        <v/>
      </c>
      <c r="T103" s="119" t="str">
        <f t="shared" si="37"/>
        <v/>
      </c>
      <c r="U103" s="120">
        <f t="shared" si="47"/>
        <v>0</v>
      </c>
      <c r="V103" s="121" t="str">
        <f>IF(A103="","",IF(A103&lt;=Periodos_Gracia,0,PPMT(Tasa_Anual/360*Días*(1+I.V.A.),Tabla!AM103,No._De_Pagos_con_periodo_de_gracia,-Monto_Crédito)))</f>
        <v/>
      </c>
      <c r="W103" s="111" t="str">
        <f>IF($U$258&lt;=0,V103,IF(SUM($U$18:U103)&lt;=0,V103,PMT($K$5/360*Días,A103,-R103)))</f>
        <v/>
      </c>
      <c r="X103" s="122" t="str">
        <f>IF($U$258&lt;=0,W103,IF(SUM($U$18:U103)&lt;=0,V103,PMT($K$5/360*Días,No._De_Pagos_con_periodo_de_gracia,-Monto_Crédito)-S103-T103))</f>
        <v/>
      </c>
      <c r="Y103" s="118" t="str">
        <f t="shared" si="48"/>
        <v/>
      </c>
      <c r="Z103" s="62" t="str">
        <f>+IF(A103="","",IF(No._de_Pagos-Tabla!A103+1&lt;=0,"",No._de_Pagos-Tabla!A103+1))</f>
        <v/>
      </c>
      <c r="AA103" s="123" t="str">
        <f t="shared" si="49"/>
        <v/>
      </c>
      <c r="AB103" s="125" t="str">
        <f t="shared" si="55"/>
        <v/>
      </c>
      <c r="AC103" s="125" t="str">
        <f t="shared" si="38"/>
        <v/>
      </c>
      <c r="AD103" s="125" t="str">
        <f t="shared" si="39"/>
        <v/>
      </c>
      <c r="AE103" s="120">
        <f t="shared" si="50"/>
        <v>0</v>
      </c>
      <c r="AF103" s="121" t="str">
        <f t="shared" si="40"/>
        <v/>
      </c>
      <c r="AG103" s="111" t="str">
        <f>IF($U$258&lt;=0,AF103,IF(SUM($U$18:U103)&lt;=0,AF103,PMT($K$5/360*Días,A103,-AA103)))</f>
        <v/>
      </c>
      <c r="AH103" s="122" t="str">
        <f>IF(A103&lt;=Periodos_Gracia,0,IF($U$258&lt;=0,AG103,IF(SUM($U$18:U103)&lt;=0,AF103,PMT($K$5/360*Días,No._de_Pagos,-Monto_Crédito)-AC103-AD103)))</f>
        <v/>
      </c>
      <c r="AI103" s="126" t="str">
        <f t="shared" si="51"/>
        <v/>
      </c>
      <c r="AK103" s="127" t="str">
        <f>IF(A103="","",IF(Periodos_Gracia&gt;0,Tabla!AN103,V103+S103))</f>
        <v/>
      </c>
      <c r="AL103" s="127" t="str">
        <f t="shared" si="41"/>
        <v/>
      </c>
      <c r="AM103" s="62" t="str">
        <f t="shared" si="52"/>
        <v/>
      </c>
      <c r="AN103" s="128" t="str">
        <f>IF(A103="","",IF(A103&lt;=Periodos_Gracia,Tabla!S103,PPMT(Tasa_Anual/360*Días*(1+I.V.A.),Tabla!AM103,No._De_Pagos_con_periodo_de_gracia,-Monto_Crédito)+S103))</f>
        <v/>
      </c>
      <c r="AO103" s="128" t="str">
        <f>IF(A103="","",IF(A103&lt;=Periodos_Gracia,Tabla!AC103,Monto_Crédito/(No._De_Pagos_con_periodo_de_gracia)+AC103))</f>
        <v/>
      </c>
      <c r="AP103" s="118"/>
    </row>
    <row r="104" spans="1:42">
      <c r="A104" s="108" t="str">
        <f>IF(A103&lt;Parámetros!$E$6,A103+1,"")</f>
        <v/>
      </c>
      <c r="B104" s="109" t="str">
        <f t="shared" si="53"/>
        <v/>
      </c>
      <c r="C104" s="109" t="str">
        <f t="shared" si="29"/>
        <v/>
      </c>
      <c r="D104" s="109" t="str">
        <f t="shared" si="30"/>
        <v/>
      </c>
      <c r="E104" s="109" t="str">
        <f t="shared" si="31"/>
        <v/>
      </c>
      <c r="F104" s="109" t="str">
        <f t="shared" si="32"/>
        <v/>
      </c>
      <c r="G104" s="115" t="str">
        <f t="shared" si="42"/>
        <v/>
      </c>
      <c r="H104" s="116">
        <f t="shared" si="43"/>
        <v>0</v>
      </c>
      <c r="I104" s="109" t="str">
        <f t="shared" si="54"/>
        <v/>
      </c>
      <c r="J104" s="109" t="str">
        <f t="shared" si="33"/>
        <v/>
      </c>
      <c r="K104" s="109" t="str">
        <f t="shared" si="34"/>
        <v/>
      </c>
      <c r="L104" s="109" t="str">
        <f t="shared" si="35"/>
        <v/>
      </c>
      <c r="M104" s="109" t="str">
        <f t="shared" si="44"/>
        <v/>
      </c>
      <c r="N104" s="115" t="str">
        <f t="shared" si="45"/>
        <v/>
      </c>
      <c r="O104" s="61">
        <v>0</v>
      </c>
      <c r="P104" s="117">
        <f t="shared" si="46"/>
        <v>0</v>
      </c>
      <c r="R104" s="118" t="str">
        <f t="shared" si="56"/>
        <v/>
      </c>
      <c r="S104" s="119" t="str">
        <f t="shared" si="36"/>
        <v/>
      </c>
      <c r="T104" s="119" t="str">
        <f t="shared" si="37"/>
        <v/>
      </c>
      <c r="U104" s="120">
        <f t="shared" si="47"/>
        <v>0</v>
      </c>
      <c r="V104" s="121" t="str">
        <f>IF(A104="","",IF(A104&lt;=Periodos_Gracia,0,PPMT(Tasa_Anual/360*Días*(1+I.V.A.),Tabla!AM104,No._De_Pagos_con_periodo_de_gracia,-Monto_Crédito)))</f>
        <v/>
      </c>
      <c r="W104" s="111" t="str">
        <f>IF($U$258&lt;=0,V104,IF(SUM($U$18:U104)&lt;=0,V104,PMT($K$5/360*Días,A104,-R104)))</f>
        <v/>
      </c>
      <c r="X104" s="122" t="str">
        <f>IF($U$258&lt;=0,W104,IF(SUM($U$18:U104)&lt;=0,V104,PMT($K$5/360*Días,No._De_Pagos_con_periodo_de_gracia,-Monto_Crédito)-S104-T104))</f>
        <v/>
      </c>
      <c r="Y104" s="118" t="str">
        <f t="shared" si="48"/>
        <v/>
      </c>
      <c r="Z104" s="62" t="str">
        <f>+IF(A104="","",IF(No._de_Pagos-Tabla!A104+1&lt;=0,"",No._de_Pagos-Tabla!A104+1))</f>
        <v/>
      </c>
      <c r="AA104" s="123" t="str">
        <f t="shared" si="49"/>
        <v/>
      </c>
      <c r="AB104" s="125" t="str">
        <f t="shared" si="55"/>
        <v/>
      </c>
      <c r="AC104" s="125" t="str">
        <f t="shared" si="38"/>
        <v/>
      </c>
      <c r="AD104" s="125" t="str">
        <f t="shared" si="39"/>
        <v/>
      </c>
      <c r="AE104" s="120">
        <f t="shared" si="50"/>
        <v>0</v>
      </c>
      <c r="AF104" s="121" t="str">
        <f t="shared" si="40"/>
        <v/>
      </c>
      <c r="AG104" s="111" t="str">
        <f>IF($U$258&lt;=0,AF104,IF(SUM($U$18:U104)&lt;=0,AF104,PMT($K$5/360*Días,A104,-AA104)))</f>
        <v/>
      </c>
      <c r="AH104" s="122" t="str">
        <f>IF(A104&lt;=Periodos_Gracia,0,IF($U$258&lt;=0,AG104,IF(SUM($U$18:U104)&lt;=0,AF104,PMT($K$5/360*Días,No._de_Pagos,-Monto_Crédito)-AC104-AD104)))</f>
        <v/>
      </c>
      <c r="AI104" s="126" t="str">
        <f t="shared" si="51"/>
        <v/>
      </c>
      <c r="AK104" s="127" t="str">
        <f>IF(A104="","",IF(Periodos_Gracia&gt;0,Tabla!AN104,V104+S104))</f>
        <v/>
      </c>
      <c r="AL104" s="127" t="str">
        <f t="shared" si="41"/>
        <v/>
      </c>
      <c r="AM104" s="62" t="str">
        <f t="shared" si="52"/>
        <v/>
      </c>
      <c r="AN104" s="128" t="str">
        <f>IF(A104="","",IF(A104&lt;=Periodos_Gracia,Tabla!S104,PPMT(Tasa_Anual/360*Días*(1+I.V.A.),Tabla!AM104,No._De_Pagos_con_periodo_de_gracia,-Monto_Crédito)+S104))</f>
        <v/>
      </c>
      <c r="AO104" s="128" t="str">
        <f>IF(A104="","",IF(A104&lt;=Periodos_Gracia,Tabla!AC104,Monto_Crédito/(No._De_Pagos_con_periodo_de_gracia)+AC104))</f>
        <v/>
      </c>
      <c r="AP104" s="118"/>
    </row>
    <row r="105" spans="1:42">
      <c r="A105" s="108" t="str">
        <f>IF(A104&lt;Parámetros!$E$6,A104+1,"")</f>
        <v/>
      </c>
      <c r="B105" s="109" t="str">
        <f t="shared" si="53"/>
        <v/>
      </c>
      <c r="C105" s="109" t="str">
        <f t="shared" si="29"/>
        <v/>
      </c>
      <c r="D105" s="109" t="str">
        <f t="shared" si="30"/>
        <v/>
      </c>
      <c r="E105" s="109" t="str">
        <f t="shared" si="31"/>
        <v/>
      </c>
      <c r="F105" s="109" t="str">
        <f t="shared" si="32"/>
        <v/>
      </c>
      <c r="G105" s="115" t="str">
        <f t="shared" si="42"/>
        <v/>
      </c>
      <c r="H105" s="116">
        <f t="shared" si="43"/>
        <v>0</v>
      </c>
      <c r="I105" s="109" t="str">
        <f t="shared" si="54"/>
        <v/>
      </c>
      <c r="J105" s="109" t="str">
        <f t="shared" si="33"/>
        <v/>
      </c>
      <c r="K105" s="109" t="str">
        <f t="shared" si="34"/>
        <v/>
      </c>
      <c r="L105" s="109" t="str">
        <f t="shared" si="35"/>
        <v/>
      </c>
      <c r="M105" s="109" t="str">
        <f t="shared" si="44"/>
        <v/>
      </c>
      <c r="N105" s="115" t="str">
        <f t="shared" si="45"/>
        <v/>
      </c>
      <c r="O105" s="61">
        <v>0</v>
      </c>
      <c r="P105" s="117">
        <f t="shared" si="46"/>
        <v>0</v>
      </c>
      <c r="R105" s="118" t="str">
        <f t="shared" si="56"/>
        <v/>
      </c>
      <c r="S105" s="119" t="str">
        <f t="shared" si="36"/>
        <v/>
      </c>
      <c r="T105" s="119" t="str">
        <f t="shared" si="37"/>
        <v/>
      </c>
      <c r="U105" s="120">
        <f t="shared" si="47"/>
        <v>0</v>
      </c>
      <c r="V105" s="121" t="str">
        <f>IF(A105="","",IF(A105&lt;=Periodos_Gracia,0,PPMT(Tasa_Anual/360*Días*(1+I.V.A.),Tabla!AM105,No._De_Pagos_con_periodo_de_gracia,-Monto_Crédito)))</f>
        <v/>
      </c>
      <c r="W105" s="111" t="str">
        <f>IF($U$258&lt;=0,V105,IF(SUM($U$18:U105)&lt;=0,V105,PMT($K$5/360*Días,A105,-R105)))</f>
        <v/>
      </c>
      <c r="X105" s="122" t="str">
        <f>IF($U$258&lt;=0,W105,IF(SUM($U$18:U105)&lt;=0,V105,PMT($K$5/360*Días,No._De_Pagos_con_periodo_de_gracia,-Monto_Crédito)-S105-T105))</f>
        <v/>
      </c>
      <c r="Y105" s="118" t="str">
        <f t="shared" si="48"/>
        <v/>
      </c>
      <c r="Z105" s="62" t="str">
        <f>+IF(A105="","",IF(No._de_Pagos-Tabla!A105+1&lt;=0,"",No._de_Pagos-Tabla!A105+1))</f>
        <v/>
      </c>
      <c r="AA105" s="123" t="str">
        <f t="shared" si="49"/>
        <v/>
      </c>
      <c r="AB105" s="125" t="str">
        <f t="shared" si="55"/>
        <v/>
      </c>
      <c r="AC105" s="125" t="str">
        <f t="shared" si="38"/>
        <v/>
      </c>
      <c r="AD105" s="125" t="str">
        <f t="shared" si="39"/>
        <v/>
      </c>
      <c r="AE105" s="120">
        <f t="shared" si="50"/>
        <v>0</v>
      </c>
      <c r="AF105" s="121" t="str">
        <f t="shared" si="40"/>
        <v/>
      </c>
      <c r="AG105" s="111" t="str">
        <f>IF($U$258&lt;=0,AF105,IF(SUM($U$18:U105)&lt;=0,AF105,PMT($K$5/360*Días,A105,-AA105)))</f>
        <v/>
      </c>
      <c r="AH105" s="122" t="str">
        <f>IF(A105&lt;=Periodos_Gracia,0,IF($U$258&lt;=0,AG105,IF(SUM($U$18:U105)&lt;=0,AF105,PMT($K$5/360*Días,No._de_Pagos,-Monto_Crédito)-AC105-AD105)))</f>
        <v/>
      </c>
      <c r="AI105" s="126" t="str">
        <f t="shared" si="51"/>
        <v/>
      </c>
      <c r="AK105" s="127" t="str">
        <f>IF(A105="","",IF(Periodos_Gracia&gt;0,Tabla!AN105,V105+S105))</f>
        <v/>
      </c>
      <c r="AL105" s="127" t="str">
        <f t="shared" si="41"/>
        <v/>
      </c>
      <c r="AM105" s="62" t="str">
        <f t="shared" si="52"/>
        <v/>
      </c>
      <c r="AN105" s="128" t="str">
        <f>IF(A105="","",IF(A105&lt;=Periodos_Gracia,Tabla!S105,PPMT(Tasa_Anual/360*Días*(1+I.V.A.),Tabla!AM105,No._De_Pagos_con_periodo_de_gracia,-Monto_Crédito)+S105))</f>
        <v/>
      </c>
      <c r="AO105" s="128" t="str">
        <f>IF(A105="","",IF(A105&lt;=Periodos_Gracia,Tabla!AC105,Monto_Crédito/(No._De_Pagos_con_periodo_de_gracia)+AC105))</f>
        <v/>
      </c>
      <c r="AP105" s="118"/>
    </row>
    <row r="106" spans="1:42">
      <c r="A106" s="108" t="str">
        <f>IF(A105&lt;Parámetros!$E$6,A105+1,"")</f>
        <v/>
      </c>
      <c r="B106" s="109" t="str">
        <f t="shared" si="53"/>
        <v/>
      </c>
      <c r="C106" s="109" t="str">
        <f t="shared" si="29"/>
        <v/>
      </c>
      <c r="D106" s="109" t="str">
        <f t="shared" si="30"/>
        <v/>
      </c>
      <c r="E106" s="109" t="str">
        <f t="shared" si="31"/>
        <v/>
      </c>
      <c r="F106" s="109" t="str">
        <f t="shared" si="32"/>
        <v/>
      </c>
      <c r="G106" s="115" t="str">
        <f t="shared" si="42"/>
        <v/>
      </c>
      <c r="H106" s="116">
        <f t="shared" si="43"/>
        <v>0</v>
      </c>
      <c r="I106" s="109" t="str">
        <f t="shared" si="54"/>
        <v/>
      </c>
      <c r="J106" s="109" t="str">
        <f t="shared" si="33"/>
        <v/>
      </c>
      <c r="K106" s="109" t="str">
        <f t="shared" si="34"/>
        <v/>
      </c>
      <c r="L106" s="109" t="str">
        <f t="shared" si="35"/>
        <v/>
      </c>
      <c r="M106" s="109" t="str">
        <f t="shared" si="44"/>
        <v/>
      </c>
      <c r="N106" s="115" t="str">
        <f t="shared" si="45"/>
        <v/>
      </c>
      <c r="O106" s="61">
        <v>0</v>
      </c>
      <c r="P106" s="117">
        <f t="shared" si="46"/>
        <v>0</v>
      </c>
      <c r="R106" s="118" t="str">
        <f t="shared" si="56"/>
        <v/>
      </c>
      <c r="S106" s="119" t="str">
        <f t="shared" si="36"/>
        <v/>
      </c>
      <c r="T106" s="119" t="str">
        <f t="shared" si="37"/>
        <v/>
      </c>
      <c r="U106" s="120">
        <f t="shared" si="47"/>
        <v>0</v>
      </c>
      <c r="V106" s="121" t="str">
        <f>IF(A106="","",IF(A106&lt;=Periodos_Gracia,0,PPMT(Tasa_Anual/360*Días*(1+I.V.A.),Tabla!AM106,No._De_Pagos_con_periodo_de_gracia,-Monto_Crédito)))</f>
        <v/>
      </c>
      <c r="W106" s="111" t="str">
        <f>IF($U$258&lt;=0,V106,IF(SUM($U$18:U106)&lt;=0,V106,PMT($K$5/360*Días,A106,-R106)))</f>
        <v/>
      </c>
      <c r="X106" s="122" t="str">
        <f>IF($U$258&lt;=0,W106,IF(SUM($U$18:U106)&lt;=0,V106,PMT($K$5/360*Días,No._De_Pagos_con_periodo_de_gracia,-Monto_Crédito)-S106-T106))</f>
        <v/>
      </c>
      <c r="Y106" s="118" t="str">
        <f t="shared" si="48"/>
        <v/>
      </c>
      <c r="Z106" s="62" t="str">
        <f>+IF(A106="","",IF(No._de_Pagos-Tabla!A106+1&lt;=0,"",No._de_Pagos-Tabla!A106+1))</f>
        <v/>
      </c>
      <c r="AA106" s="123" t="str">
        <f t="shared" si="49"/>
        <v/>
      </c>
      <c r="AB106" s="125" t="str">
        <f t="shared" si="55"/>
        <v/>
      </c>
      <c r="AC106" s="125" t="str">
        <f t="shared" si="38"/>
        <v/>
      </c>
      <c r="AD106" s="125" t="str">
        <f t="shared" si="39"/>
        <v/>
      </c>
      <c r="AE106" s="120">
        <f t="shared" si="50"/>
        <v>0</v>
      </c>
      <c r="AF106" s="121" t="str">
        <f t="shared" si="40"/>
        <v/>
      </c>
      <c r="AG106" s="111" t="str">
        <f>IF($U$258&lt;=0,AF106,IF(SUM($U$18:U106)&lt;=0,AF106,PMT($K$5/360*Días,A106,-AA106)))</f>
        <v/>
      </c>
      <c r="AH106" s="122" t="str">
        <f>IF(A106&lt;=Periodos_Gracia,0,IF($U$258&lt;=0,AG106,IF(SUM($U$18:U106)&lt;=0,AF106,PMT($K$5/360*Días,No._de_Pagos,-Monto_Crédito)-AC106-AD106)))</f>
        <v/>
      </c>
      <c r="AI106" s="126" t="str">
        <f t="shared" si="51"/>
        <v/>
      </c>
      <c r="AK106" s="127" t="str">
        <f>IF(A106="","",IF(Periodos_Gracia&gt;0,Tabla!AN106,V106+S106))</f>
        <v/>
      </c>
      <c r="AL106" s="127" t="str">
        <f t="shared" si="41"/>
        <v/>
      </c>
      <c r="AM106" s="62" t="str">
        <f t="shared" si="52"/>
        <v/>
      </c>
      <c r="AN106" s="128" t="str">
        <f>IF(A106="","",IF(A106&lt;=Periodos_Gracia,Tabla!S106,PPMT(Tasa_Anual/360*Días*(1+I.V.A.),Tabla!AM106,No._De_Pagos_con_periodo_de_gracia,-Monto_Crédito)+S106))</f>
        <v/>
      </c>
      <c r="AO106" s="128" t="str">
        <f>IF(A106="","",IF(A106&lt;=Periodos_Gracia,Tabla!AC106,Monto_Crédito/(No._De_Pagos_con_periodo_de_gracia)+AC106))</f>
        <v/>
      </c>
      <c r="AP106" s="118"/>
    </row>
    <row r="107" spans="1:42">
      <c r="A107" s="108" t="str">
        <f>IF(A106&lt;Parámetros!$E$6,A106+1,"")</f>
        <v/>
      </c>
      <c r="B107" s="109" t="str">
        <f t="shared" si="53"/>
        <v/>
      </c>
      <c r="C107" s="109" t="str">
        <f t="shared" si="29"/>
        <v/>
      </c>
      <c r="D107" s="109" t="str">
        <f t="shared" si="30"/>
        <v/>
      </c>
      <c r="E107" s="109" t="str">
        <f t="shared" si="31"/>
        <v/>
      </c>
      <c r="F107" s="109" t="str">
        <f t="shared" si="32"/>
        <v/>
      </c>
      <c r="G107" s="115" t="str">
        <f t="shared" si="42"/>
        <v/>
      </c>
      <c r="H107" s="116">
        <f t="shared" si="43"/>
        <v>0</v>
      </c>
      <c r="I107" s="109" t="str">
        <f t="shared" si="54"/>
        <v/>
      </c>
      <c r="J107" s="109" t="str">
        <f t="shared" si="33"/>
        <v/>
      </c>
      <c r="K107" s="109" t="str">
        <f t="shared" si="34"/>
        <v/>
      </c>
      <c r="L107" s="109" t="str">
        <f t="shared" si="35"/>
        <v/>
      </c>
      <c r="M107" s="109" t="str">
        <f t="shared" si="44"/>
        <v/>
      </c>
      <c r="N107" s="115" t="str">
        <f t="shared" si="45"/>
        <v/>
      </c>
      <c r="O107" s="61">
        <v>0</v>
      </c>
      <c r="P107" s="117">
        <f t="shared" si="46"/>
        <v>0</v>
      </c>
      <c r="R107" s="118" t="str">
        <f t="shared" si="56"/>
        <v/>
      </c>
      <c r="S107" s="119" t="str">
        <f t="shared" si="36"/>
        <v/>
      </c>
      <c r="T107" s="119" t="str">
        <f t="shared" si="37"/>
        <v/>
      </c>
      <c r="U107" s="120">
        <f t="shared" si="47"/>
        <v>0</v>
      </c>
      <c r="V107" s="121" t="str">
        <f>IF(A107="","",IF(A107&lt;=Periodos_Gracia,0,PPMT(Tasa_Anual/360*Días*(1+I.V.A.),Tabla!AM107,No._De_Pagos_con_periodo_de_gracia,-Monto_Crédito)))</f>
        <v/>
      </c>
      <c r="W107" s="111" t="str">
        <f>IF($U$258&lt;=0,V107,IF(SUM($U$18:U107)&lt;=0,V107,PMT($K$5/360*Días,A107,-R107)))</f>
        <v/>
      </c>
      <c r="X107" s="122" t="str">
        <f>IF($U$258&lt;=0,W107,IF(SUM($U$18:U107)&lt;=0,V107,PMT($K$5/360*Días,No._De_Pagos_con_periodo_de_gracia,-Monto_Crédito)-S107-T107))</f>
        <v/>
      </c>
      <c r="Y107" s="118" t="str">
        <f t="shared" si="48"/>
        <v/>
      </c>
      <c r="Z107" s="62" t="str">
        <f>+IF(A107="","",IF(No._de_Pagos-Tabla!A107+1&lt;=0,"",No._de_Pagos-Tabla!A107+1))</f>
        <v/>
      </c>
      <c r="AA107" s="123" t="str">
        <f t="shared" si="49"/>
        <v/>
      </c>
      <c r="AB107" s="125" t="str">
        <f t="shared" si="55"/>
        <v/>
      </c>
      <c r="AC107" s="125" t="str">
        <f t="shared" si="38"/>
        <v/>
      </c>
      <c r="AD107" s="125" t="str">
        <f t="shared" si="39"/>
        <v/>
      </c>
      <c r="AE107" s="120">
        <f t="shared" si="50"/>
        <v>0</v>
      </c>
      <c r="AF107" s="121" t="str">
        <f t="shared" si="40"/>
        <v/>
      </c>
      <c r="AG107" s="111" t="str">
        <f>IF($U$258&lt;=0,AF107,IF(SUM($U$18:U107)&lt;=0,AF107,PMT($K$5/360*Días,A107,-AA107)))</f>
        <v/>
      </c>
      <c r="AH107" s="122" t="str">
        <f>IF(A107&lt;=Periodos_Gracia,0,IF($U$258&lt;=0,AG107,IF(SUM($U$18:U107)&lt;=0,AF107,PMT($K$5/360*Días,No._de_Pagos,-Monto_Crédito)-AC107-AD107)))</f>
        <v/>
      </c>
      <c r="AI107" s="126" t="str">
        <f t="shared" si="51"/>
        <v/>
      </c>
      <c r="AK107" s="127" t="str">
        <f>IF(A107="","",IF(Periodos_Gracia&gt;0,Tabla!AN107,V107+S107))</f>
        <v/>
      </c>
      <c r="AL107" s="127" t="str">
        <f t="shared" si="41"/>
        <v/>
      </c>
      <c r="AM107" s="62" t="str">
        <f t="shared" si="52"/>
        <v/>
      </c>
      <c r="AN107" s="128" t="str">
        <f>IF(A107="","",IF(A107&lt;=Periodos_Gracia,Tabla!S107,PPMT(Tasa_Anual/360*Días*(1+I.V.A.),Tabla!AM107,No._De_Pagos_con_periodo_de_gracia,-Monto_Crédito)+S107))</f>
        <v/>
      </c>
      <c r="AO107" s="128" t="str">
        <f>IF(A107="","",IF(A107&lt;=Periodos_Gracia,Tabla!AC107,Monto_Crédito/(No._De_Pagos_con_periodo_de_gracia)+AC107))</f>
        <v/>
      </c>
      <c r="AP107" s="118"/>
    </row>
    <row r="108" spans="1:42">
      <c r="A108" s="108" t="str">
        <f>IF(A107&lt;Parámetros!$E$6,A107+1,"")</f>
        <v/>
      </c>
      <c r="B108" s="109" t="str">
        <f t="shared" si="53"/>
        <v/>
      </c>
      <c r="C108" s="109" t="str">
        <f t="shared" si="29"/>
        <v/>
      </c>
      <c r="D108" s="109" t="str">
        <f t="shared" si="30"/>
        <v/>
      </c>
      <c r="E108" s="109" t="str">
        <f t="shared" si="31"/>
        <v/>
      </c>
      <c r="F108" s="109" t="str">
        <f t="shared" si="32"/>
        <v/>
      </c>
      <c r="G108" s="115" t="str">
        <f t="shared" si="42"/>
        <v/>
      </c>
      <c r="H108" s="116">
        <f t="shared" si="43"/>
        <v>0</v>
      </c>
      <c r="I108" s="109" t="str">
        <f t="shared" si="54"/>
        <v/>
      </c>
      <c r="J108" s="109" t="str">
        <f t="shared" si="33"/>
        <v/>
      </c>
      <c r="K108" s="109" t="str">
        <f t="shared" si="34"/>
        <v/>
      </c>
      <c r="L108" s="109" t="str">
        <f t="shared" si="35"/>
        <v/>
      </c>
      <c r="M108" s="109" t="str">
        <f t="shared" si="44"/>
        <v/>
      </c>
      <c r="N108" s="115" t="str">
        <f t="shared" si="45"/>
        <v/>
      </c>
      <c r="O108" s="61">
        <v>0</v>
      </c>
      <c r="P108" s="117">
        <f t="shared" si="46"/>
        <v>0</v>
      </c>
      <c r="R108" s="118" t="str">
        <f t="shared" si="56"/>
        <v/>
      </c>
      <c r="S108" s="119" t="str">
        <f t="shared" si="36"/>
        <v/>
      </c>
      <c r="T108" s="119" t="str">
        <f t="shared" si="37"/>
        <v/>
      </c>
      <c r="U108" s="120">
        <f t="shared" si="47"/>
        <v>0</v>
      </c>
      <c r="V108" s="121" t="str">
        <f>IF(A108="","",IF(A108&lt;=Periodos_Gracia,0,PPMT(Tasa_Anual/360*Días*(1+I.V.A.),Tabla!AM108,No._De_Pagos_con_periodo_de_gracia,-Monto_Crédito)))</f>
        <v/>
      </c>
      <c r="W108" s="111" t="str">
        <f>IF($U$258&lt;=0,V108,IF(SUM($U$18:U108)&lt;=0,V108,PMT($K$5/360*Días,A108,-R108)))</f>
        <v/>
      </c>
      <c r="X108" s="122" t="str">
        <f>IF($U$258&lt;=0,W108,IF(SUM($U$18:U108)&lt;=0,V108,PMT($K$5/360*Días,No._De_Pagos_con_periodo_de_gracia,-Monto_Crédito)-S108-T108))</f>
        <v/>
      </c>
      <c r="Y108" s="118" t="str">
        <f t="shared" si="48"/>
        <v/>
      </c>
      <c r="Z108" s="62" t="str">
        <f>+IF(A108="","",IF(No._de_Pagos-Tabla!A108+1&lt;=0,"",No._de_Pagos-Tabla!A108+1))</f>
        <v/>
      </c>
      <c r="AA108" s="123" t="str">
        <f t="shared" si="49"/>
        <v/>
      </c>
      <c r="AB108" s="125" t="str">
        <f t="shared" si="55"/>
        <v/>
      </c>
      <c r="AC108" s="125" t="str">
        <f t="shared" si="38"/>
        <v/>
      </c>
      <c r="AD108" s="125" t="str">
        <f t="shared" si="39"/>
        <v/>
      </c>
      <c r="AE108" s="120">
        <f t="shared" si="50"/>
        <v>0</v>
      </c>
      <c r="AF108" s="121" t="str">
        <f t="shared" si="40"/>
        <v/>
      </c>
      <c r="AG108" s="111" t="str">
        <f>IF($U$258&lt;=0,AF108,IF(SUM($U$18:U108)&lt;=0,AF108,PMT($K$5/360*Días,A108,-AA108)))</f>
        <v/>
      </c>
      <c r="AH108" s="122" t="str">
        <f>IF(A108&lt;=Periodos_Gracia,0,IF($U$258&lt;=0,AG108,IF(SUM($U$18:U108)&lt;=0,AF108,PMT($K$5/360*Días,No._de_Pagos,-Monto_Crédito)-AC108-AD108)))</f>
        <v/>
      </c>
      <c r="AI108" s="126" t="str">
        <f t="shared" si="51"/>
        <v/>
      </c>
      <c r="AK108" s="127" t="str">
        <f>IF(A108="","",IF(Periodos_Gracia&gt;0,Tabla!AN108,V108+S108))</f>
        <v/>
      </c>
      <c r="AL108" s="127" t="str">
        <f t="shared" si="41"/>
        <v/>
      </c>
      <c r="AM108" s="62" t="str">
        <f t="shared" si="52"/>
        <v/>
      </c>
      <c r="AN108" s="128" t="str">
        <f>IF(A108="","",IF(A108&lt;=Periodos_Gracia,Tabla!S108,PPMT(Tasa_Anual/360*Días*(1+I.V.A.),Tabla!AM108,No._De_Pagos_con_periodo_de_gracia,-Monto_Crédito)+S108))</f>
        <v/>
      </c>
      <c r="AO108" s="128" t="str">
        <f>IF(A108="","",IF(A108&lt;=Periodos_Gracia,Tabla!AC108,Monto_Crédito/(No._De_Pagos_con_periodo_de_gracia)+AC108))</f>
        <v/>
      </c>
      <c r="AP108" s="118"/>
    </row>
    <row r="109" spans="1:42">
      <c r="A109" s="108" t="str">
        <f>IF(A108&lt;Parámetros!$E$6,A108+1,"")</f>
        <v/>
      </c>
      <c r="B109" s="109" t="str">
        <f t="shared" si="53"/>
        <v/>
      </c>
      <c r="C109" s="109" t="str">
        <f t="shared" si="29"/>
        <v/>
      </c>
      <c r="D109" s="109" t="str">
        <f t="shared" si="30"/>
        <v/>
      </c>
      <c r="E109" s="109" t="str">
        <f t="shared" si="31"/>
        <v/>
      </c>
      <c r="F109" s="109" t="str">
        <f t="shared" si="32"/>
        <v/>
      </c>
      <c r="G109" s="115" t="str">
        <f t="shared" si="42"/>
        <v/>
      </c>
      <c r="H109" s="116">
        <f t="shared" si="43"/>
        <v>0</v>
      </c>
      <c r="I109" s="109" t="str">
        <f t="shared" si="54"/>
        <v/>
      </c>
      <c r="J109" s="109" t="str">
        <f t="shared" si="33"/>
        <v/>
      </c>
      <c r="K109" s="109" t="str">
        <f t="shared" si="34"/>
        <v/>
      </c>
      <c r="L109" s="109" t="str">
        <f t="shared" si="35"/>
        <v/>
      </c>
      <c r="M109" s="109" t="str">
        <f t="shared" si="44"/>
        <v/>
      </c>
      <c r="N109" s="115" t="str">
        <f t="shared" si="45"/>
        <v/>
      </c>
      <c r="O109" s="61">
        <v>0</v>
      </c>
      <c r="P109" s="117">
        <f t="shared" si="46"/>
        <v>0</v>
      </c>
      <c r="R109" s="118" t="str">
        <f t="shared" si="56"/>
        <v/>
      </c>
      <c r="S109" s="119" t="str">
        <f t="shared" si="36"/>
        <v/>
      </c>
      <c r="T109" s="119" t="str">
        <f t="shared" si="37"/>
        <v/>
      </c>
      <c r="U109" s="120">
        <f t="shared" si="47"/>
        <v>0</v>
      </c>
      <c r="V109" s="121" t="str">
        <f>IF(A109="","",IF(A109&lt;=Periodos_Gracia,0,PPMT(Tasa_Anual/360*Días*(1+I.V.A.),Tabla!AM109,No._De_Pagos_con_periodo_de_gracia,-Monto_Crédito)))</f>
        <v/>
      </c>
      <c r="W109" s="111" t="str">
        <f>IF($U$258&lt;=0,V109,IF(SUM($U$18:U109)&lt;=0,V109,PMT($K$5/360*Días,A109,-R109)))</f>
        <v/>
      </c>
      <c r="X109" s="122" t="str">
        <f>IF($U$258&lt;=0,W109,IF(SUM($U$18:U109)&lt;=0,V109,PMT($K$5/360*Días,No._De_Pagos_con_periodo_de_gracia,-Monto_Crédito)-S109-T109))</f>
        <v/>
      </c>
      <c r="Y109" s="118" t="str">
        <f t="shared" si="48"/>
        <v/>
      </c>
      <c r="Z109" s="62" t="str">
        <f>+IF(A109="","",IF(No._de_Pagos-Tabla!A109+1&lt;=0,"",No._de_Pagos-Tabla!A109+1))</f>
        <v/>
      </c>
      <c r="AA109" s="123" t="str">
        <f t="shared" si="49"/>
        <v/>
      </c>
      <c r="AB109" s="125" t="str">
        <f t="shared" si="55"/>
        <v/>
      </c>
      <c r="AC109" s="125" t="str">
        <f t="shared" si="38"/>
        <v/>
      </c>
      <c r="AD109" s="125" t="str">
        <f t="shared" si="39"/>
        <v/>
      </c>
      <c r="AE109" s="120">
        <f t="shared" si="50"/>
        <v>0</v>
      </c>
      <c r="AF109" s="121" t="str">
        <f t="shared" si="40"/>
        <v/>
      </c>
      <c r="AG109" s="111" t="str">
        <f>IF($U$258&lt;=0,AF109,IF(SUM($U$18:U109)&lt;=0,AF109,PMT($K$5/360*Días,A109,-AA109)))</f>
        <v/>
      </c>
      <c r="AH109" s="122" t="str">
        <f>IF(A109&lt;=Periodos_Gracia,0,IF($U$258&lt;=0,AG109,IF(SUM($U$18:U109)&lt;=0,AF109,PMT($K$5/360*Días,No._de_Pagos,-Monto_Crédito)-AC109-AD109)))</f>
        <v/>
      </c>
      <c r="AI109" s="126" t="str">
        <f t="shared" si="51"/>
        <v/>
      </c>
      <c r="AK109" s="127" t="str">
        <f>IF(A109="","",IF(Periodos_Gracia&gt;0,Tabla!AN109,V109+S109))</f>
        <v/>
      </c>
      <c r="AL109" s="127" t="str">
        <f t="shared" si="41"/>
        <v/>
      </c>
      <c r="AM109" s="62" t="str">
        <f t="shared" si="52"/>
        <v/>
      </c>
      <c r="AN109" s="128" t="str">
        <f>IF(A109="","",IF(A109&lt;=Periodos_Gracia,Tabla!S109,PPMT(Tasa_Anual/360*Días*(1+I.V.A.),Tabla!AM109,No._De_Pagos_con_periodo_de_gracia,-Monto_Crédito)+S109))</f>
        <v/>
      </c>
      <c r="AO109" s="128" t="str">
        <f>IF(A109="","",IF(A109&lt;=Periodos_Gracia,Tabla!AC109,Monto_Crédito/(No._De_Pagos_con_periodo_de_gracia)+AC109))</f>
        <v/>
      </c>
      <c r="AP109" s="118"/>
    </row>
    <row r="110" spans="1:42">
      <c r="A110" s="108" t="str">
        <f>IF(A109&lt;Parámetros!$E$6,A109+1,"")</f>
        <v/>
      </c>
      <c r="B110" s="109" t="str">
        <f t="shared" si="53"/>
        <v/>
      </c>
      <c r="C110" s="109" t="str">
        <f t="shared" si="29"/>
        <v/>
      </c>
      <c r="D110" s="109" t="str">
        <f t="shared" si="30"/>
        <v/>
      </c>
      <c r="E110" s="109" t="str">
        <f t="shared" si="31"/>
        <v/>
      </c>
      <c r="F110" s="109" t="str">
        <f t="shared" si="32"/>
        <v/>
      </c>
      <c r="G110" s="115" t="str">
        <f t="shared" si="42"/>
        <v/>
      </c>
      <c r="H110" s="116">
        <f t="shared" si="43"/>
        <v>0</v>
      </c>
      <c r="I110" s="109" t="str">
        <f t="shared" si="54"/>
        <v/>
      </c>
      <c r="J110" s="109" t="str">
        <f t="shared" si="33"/>
        <v/>
      </c>
      <c r="K110" s="109" t="str">
        <f t="shared" si="34"/>
        <v/>
      </c>
      <c r="L110" s="109" t="str">
        <f t="shared" si="35"/>
        <v/>
      </c>
      <c r="M110" s="109" t="str">
        <f t="shared" si="44"/>
        <v/>
      </c>
      <c r="N110" s="115" t="str">
        <f t="shared" si="45"/>
        <v/>
      </c>
      <c r="O110" s="61">
        <v>0</v>
      </c>
      <c r="P110" s="117">
        <f t="shared" si="46"/>
        <v>0</v>
      </c>
      <c r="R110" s="118" t="str">
        <f t="shared" si="56"/>
        <v/>
      </c>
      <c r="S110" s="119" t="str">
        <f t="shared" si="36"/>
        <v/>
      </c>
      <c r="T110" s="119" t="str">
        <f t="shared" si="37"/>
        <v/>
      </c>
      <c r="U110" s="120">
        <f t="shared" si="47"/>
        <v>0</v>
      </c>
      <c r="V110" s="121" t="str">
        <f>IF(A110="","",IF(A110&lt;=Periodos_Gracia,0,PPMT(Tasa_Anual/360*Días*(1+I.V.A.),Tabla!AM110,No._De_Pagos_con_periodo_de_gracia,-Monto_Crédito)))</f>
        <v/>
      </c>
      <c r="W110" s="111" t="str">
        <f>IF($U$258&lt;=0,V110,IF(SUM($U$18:U110)&lt;=0,V110,PMT($K$5/360*Días,A110,-R110)))</f>
        <v/>
      </c>
      <c r="X110" s="122" t="str">
        <f>IF($U$258&lt;=0,W110,IF(SUM($U$18:U110)&lt;=0,V110,PMT($K$5/360*Días,No._De_Pagos_con_periodo_de_gracia,-Monto_Crédito)-S110-T110))</f>
        <v/>
      </c>
      <c r="Y110" s="118" t="str">
        <f t="shared" si="48"/>
        <v/>
      </c>
      <c r="Z110" s="62" t="str">
        <f>+IF(A110="","",IF(No._de_Pagos-Tabla!A110+1&lt;=0,"",No._de_Pagos-Tabla!A110+1))</f>
        <v/>
      </c>
      <c r="AA110" s="123" t="str">
        <f t="shared" si="49"/>
        <v/>
      </c>
      <c r="AB110" s="125" t="str">
        <f t="shared" si="55"/>
        <v/>
      </c>
      <c r="AC110" s="125" t="str">
        <f t="shared" si="38"/>
        <v/>
      </c>
      <c r="AD110" s="125" t="str">
        <f t="shared" si="39"/>
        <v/>
      </c>
      <c r="AE110" s="120">
        <f t="shared" si="50"/>
        <v>0</v>
      </c>
      <c r="AF110" s="121" t="str">
        <f t="shared" si="40"/>
        <v/>
      </c>
      <c r="AG110" s="111" t="str">
        <f>IF($U$258&lt;=0,AF110,IF(SUM($U$18:U110)&lt;=0,AF110,PMT($K$5/360*Días,A110,-AA110)))</f>
        <v/>
      </c>
      <c r="AH110" s="122" t="str">
        <f>IF(A110&lt;=Periodos_Gracia,0,IF($U$258&lt;=0,AG110,IF(SUM($U$18:U110)&lt;=0,AF110,PMT($K$5/360*Días,No._de_Pagos,-Monto_Crédito)-AC110-AD110)))</f>
        <v/>
      </c>
      <c r="AI110" s="126" t="str">
        <f t="shared" si="51"/>
        <v/>
      </c>
      <c r="AK110" s="127" t="str">
        <f>IF(A110="","",IF(Periodos_Gracia&gt;0,Tabla!AN110,V110+S110))</f>
        <v/>
      </c>
      <c r="AL110" s="127" t="str">
        <f t="shared" si="41"/>
        <v/>
      </c>
      <c r="AM110" s="62" t="str">
        <f t="shared" si="52"/>
        <v/>
      </c>
      <c r="AN110" s="128" t="str">
        <f>IF(A110="","",IF(A110&lt;=Periodos_Gracia,Tabla!S110,PPMT(Tasa_Anual/360*Días*(1+I.V.A.),Tabla!AM110,No._De_Pagos_con_periodo_de_gracia,-Monto_Crédito)+S110))</f>
        <v/>
      </c>
      <c r="AO110" s="128" t="str">
        <f>IF(A110="","",IF(A110&lt;=Periodos_Gracia,Tabla!AC110,Monto_Crédito/(No._De_Pagos_con_periodo_de_gracia)+AC110))</f>
        <v/>
      </c>
      <c r="AP110" s="118"/>
    </row>
    <row r="111" spans="1:42">
      <c r="A111" s="108" t="str">
        <f>IF(A110&lt;Parámetros!$E$6,A110+1,"")</f>
        <v/>
      </c>
      <c r="B111" s="109" t="str">
        <f t="shared" si="53"/>
        <v/>
      </c>
      <c r="C111" s="109" t="str">
        <f t="shared" si="29"/>
        <v/>
      </c>
      <c r="D111" s="109" t="str">
        <f t="shared" si="30"/>
        <v/>
      </c>
      <c r="E111" s="109" t="str">
        <f t="shared" si="31"/>
        <v/>
      </c>
      <c r="F111" s="109" t="str">
        <f t="shared" si="32"/>
        <v/>
      </c>
      <c r="G111" s="115" t="str">
        <f t="shared" si="42"/>
        <v/>
      </c>
      <c r="H111" s="116">
        <f t="shared" si="43"/>
        <v>0</v>
      </c>
      <c r="I111" s="109" t="str">
        <f t="shared" si="54"/>
        <v/>
      </c>
      <c r="J111" s="109" t="str">
        <f t="shared" si="33"/>
        <v/>
      </c>
      <c r="K111" s="109" t="str">
        <f t="shared" si="34"/>
        <v/>
      </c>
      <c r="L111" s="109" t="str">
        <f t="shared" si="35"/>
        <v/>
      </c>
      <c r="M111" s="109" t="str">
        <f t="shared" si="44"/>
        <v/>
      </c>
      <c r="N111" s="115" t="str">
        <f t="shared" si="45"/>
        <v/>
      </c>
      <c r="O111" s="61">
        <v>0</v>
      </c>
      <c r="P111" s="117">
        <f t="shared" si="46"/>
        <v>0</v>
      </c>
      <c r="R111" s="118" t="str">
        <f t="shared" si="56"/>
        <v/>
      </c>
      <c r="S111" s="119" t="str">
        <f t="shared" si="36"/>
        <v/>
      </c>
      <c r="T111" s="119" t="str">
        <f t="shared" si="37"/>
        <v/>
      </c>
      <c r="U111" s="120">
        <f t="shared" si="47"/>
        <v>0</v>
      </c>
      <c r="V111" s="121" t="str">
        <f>IF(A111="","",IF(A111&lt;=Periodos_Gracia,0,PPMT(Tasa_Anual/360*Días*(1+I.V.A.),Tabla!AM111,No._De_Pagos_con_periodo_de_gracia,-Monto_Crédito)))</f>
        <v/>
      </c>
      <c r="W111" s="111" t="str">
        <f>IF($U$258&lt;=0,V111,IF(SUM($U$18:U111)&lt;=0,V111,PMT($K$5/360*Días,A111,-R111)))</f>
        <v/>
      </c>
      <c r="X111" s="122" t="str">
        <f>IF($U$258&lt;=0,W111,IF(SUM($U$18:U111)&lt;=0,V111,PMT($K$5/360*Días,No._De_Pagos_con_periodo_de_gracia,-Monto_Crédito)-S111-T111))</f>
        <v/>
      </c>
      <c r="Y111" s="118" t="str">
        <f t="shared" si="48"/>
        <v/>
      </c>
      <c r="Z111" s="62" t="str">
        <f>+IF(A111="","",IF(No._de_Pagos-Tabla!A111+1&lt;=0,"",No._de_Pagos-Tabla!A111+1))</f>
        <v/>
      </c>
      <c r="AA111" s="123" t="str">
        <f t="shared" si="49"/>
        <v/>
      </c>
      <c r="AB111" s="125" t="str">
        <f t="shared" si="55"/>
        <v/>
      </c>
      <c r="AC111" s="125" t="str">
        <f t="shared" si="38"/>
        <v/>
      </c>
      <c r="AD111" s="125" t="str">
        <f t="shared" si="39"/>
        <v/>
      </c>
      <c r="AE111" s="120">
        <f t="shared" si="50"/>
        <v>0</v>
      </c>
      <c r="AF111" s="121" t="str">
        <f t="shared" si="40"/>
        <v/>
      </c>
      <c r="AG111" s="111" t="str">
        <f>IF($U$258&lt;=0,AF111,IF(SUM($U$18:U111)&lt;=0,AF111,PMT($K$5/360*Días,A111,-AA111)))</f>
        <v/>
      </c>
      <c r="AH111" s="122" t="str">
        <f>IF(A111&lt;=Periodos_Gracia,0,IF($U$258&lt;=0,AG111,IF(SUM($U$18:U111)&lt;=0,AF111,PMT($K$5/360*Días,No._de_Pagos,-Monto_Crédito)-AC111-AD111)))</f>
        <v/>
      </c>
      <c r="AI111" s="126" t="str">
        <f t="shared" si="51"/>
        <v/>
      </c>
      <c r="AK111" s="127" t="str">
        <f>IF(A111="","",IF(Periodos_Gracia&gt;0,Tabla!AN111,V111+S111))</f>
        <v/>
      </c>
      <c r="AL111" s="127" t="str">
        <f t="shared" si="41"/>
        <v/>
      </c>
      <c r="AM111" s="62" t="str">
        <f t="shared" si="52"/>
        <v/>
      </c>
      <c r="AN111" s="128" t="str">
        <f>IF(A111="","",IF(A111&lt;=Periodos_Gracia,Tabla!S111,PPMT(Tasa_Anual/360*Días*(1+I.V.A.),Tabla!AM111,No._De_Pagos_con_periodo_de_gracia,-Monto_Crédito)+S111))</f>
        <v/>
      </c>
      <c r="AO111" s="128" t="str">
        <f>IF(A111="","",IF(A111&lt;=Periodos_Gracia,Tabla!AC111,Monto_Crédito/(No._De_Pagos_con_periodo_de_gracia)+AC111))</f>
        <v/>
      </c>
      <c r="AP111" s="118"/>
    </row>
    <row r="112" spans="1:42">
      <c r="A112" s="108" t="str">
        <f>IF(A111&lt;Parámetros!$E$6,A111+1,"")</f>
        <v/>
      </c>
      <c r="B112" s="109" t="str">
        <f t="shared" si="53"/>
        <v/>
      </c>
      <c r="C112" s="109" t="str">
        <f t="shared" si="29"/>
        <v/>
      </c>
      <c r="D112" s="109" t="str">
        <f t="shared" si="30"/>
        <v/>
      </c>
      <c r="E112" s="109" t="str">
        <f t="shared" si="31"/>
        <v/>
      </c>
      <c r="F112" s="109" t="str">
        <f t="shared" si="32"/>
        <v/>
      </c>
      <c r="G112" s="115" t="str">
        <f t="shared" si="42"/>
        <v/>
      </c>
      <c r="H112" s="116">
        <f t="shared" si="43"/>
        <v>0</v>
      </c>
      <c r="I112" s="109" t="str">
        <f t="shared" si="54"/>
        <v/>
      </c>
      <c r="J112" s="109" t="str">
        <f t="shared" si="33"/>
        <v/>
      </c>
      <c r="K112" s="109" t="str">
        <f t="shared" si="34"/>
        <v/>
      </c>
      <c r="L112" s="109" t="str">
        <f t="shared" si="35"/>
        <v/>
      </c>
      <c r="M112" s="109" t="str">
        <f t="shared" si="44"/>
        <v/>
      </c>
      <c r="N112" s="115" t="str">
        <f t="shared" si="45"/>
        <v/>
      </c>
      <c r="O112" s="61">
        <v>0</v>
      </c>
      <c r="P112" s="117">
        <f t="shared" si="46"/>
        <v>0</v>
      </c>
      <c r="R112" s="118" t="str">
        <f t="shared" si="56"/>
        <v/>
      </c>
      <c r="S112" s="119" t="str">
        <f t="shared" si="36"/>
        <v/>
      </c>
      <c r="T112" s="119" t="str">
        <f t="shared" si="37"/>
        <v/>
      </c>
      <c r="U112" s="120">
        <f t="shared" si="47"/>
        <v>0</v>
      </c>
      <c r="V112" s="121" t="str">
        <f>IF(A112="","",IF(A112&lt;=Periodos_Gracia,0,PPMT(Tasa_Anual/360*Días*(1+I.V.A.),Tabla!AM112,No._De_Pagos_con_periodo_de_gracia,-Monto_Crédito)))</f>
        <v/>
      </c>
      <c r="W112" s="111" t="str">
        <f>IF($U$258&lt;=0,V112,IF(SUM($U$18:U112)&lt;=0,V112,PMT($K$5/360*Días,A112,-R112)))</f>
        <v/>
      </c>
      <c r="X112" s="122" t="str">
        <f>IF($U$258&lt;=0,W112,IF(SUM($U$18:U112)&lt;=0,V112,PMT($K$5/360*Días,No._De_Pagos_con_periodo_de_gracia,-Monto_Crédito)-S112-T112))</f>
        <v/>
      </c>
      <c r="Y112" s="118" t="str">
        <f t="shared" si="48"/>
        <v/>
      </c>
      <c r="Z112" s="62" t="str">
        <f>+IF(A112="","",IF(No._de_Pagos-Tabla!A112+1&lt;=0,"",No._de_Pagos-Tabla!A112+1))</f>
        <v/>
      </c>
      <c r="AA112" s="123" t="str">
        <f t="shared" si="49"/>
        <v/>
      </c>
      <c r="AB112" s="125" t="str">
        <f t="shared" si="55"/>
        <v/>
      </c>
      <c r="AC112" s="125" t="str">
        <f t="shared" si="38"/>
        <v/>
      </c>
      <c r="AD112" s="125" t="str">
        <f t="shared" si="39"/>
        <v/>
      </c>
      <c r="AE112" s="120">
        <f t="shared" si="50"/>
        <v>0</v>
      </c>
      <c r="AF112" s="121" t="str">
        <f t="shared" si="40"/>
        <v/>
      </c>
      <c r="AG112" s="111" t="str">
        <f>IF($U$258&lt;=0,AF112,IF(SUM($U$18:U112)&lt;=0,AF112,PMT($K$5/360*Días,A112,-AA112)))</f>
        <v/>
      </c>
      <c r="AH112" s="122" t="str">
        <f>IF(A112&lt;=Periodos_Gracia,0,IF($U$258&lt;=0,AG112,IF(SUM($U$18:U112)&lt;=0,AF112,PMT($K$5/360*Días,No._de_Pagos,-Monto_Crédito)-AC112-AD112)))</f>
        <v/>
      </c>
      <c r="AI112" s="126" t="str">
        <f t="shared" si="51"/>
        <v/>
      </c>
      <c r="AK112" s="127" t="str">
        <f>IF(A112="","",IF(Periodos_Gracia&gt;0,Tabla!AN112,V112+S112))</f>
        <v/>
      </c>
      <c r="AL112" s="127" t="str">
        <f t="shared" si="41"/>
        <v/>
      </c>
      <c r="AM112" s="62" t="str">
        <f t="shared" si="52"/>
        <v/>
      </c>
      <c r="AN112" s="128" t="str">
        <f>IF(A112="","",IF(A112&lt;=Periodos_Gracia,Tabla!S112,PPMT(Tasa_Anual/360*Días*(1+I.V.A.),Tabla!AM112,No._De_Pagos_con_periodo_de_gracia,-Monto_Crédito)+S112))</f>
        <v/>
      </c>
      <c r="AO112" s="128" t="str">
        <f>IF(A112="","",IF(A112&lt;=Periodos_Gracia,Tabla!AC112,Monto_Crédito/(No._De_Pagos_con_periodo_de_gracia)+AC112))</f>
        <v/>
      </c>
      <c r="AP112" s="118"/>
    </row>
    <row r="113" spans="1:42">
      <c r="A113" s="108" t="str">
        <f>IF(A112&lt;Parámetros!$E$6,A112+1,"")</f>
        <v/>
      </c>
      <c r="B113" s="109" t="str">
        <f t="shared" si="53"/>
        <v/>
      </c>
      <c r="C113" s="109" t="str">
        <f t="shared" si="29"/>
        <v/>
      </c>
      <c r="D113" s="109" t="str">
        <f t="shared" si="30"/>
        <v/>
      </c>
      <c r="E113" s="109" t="str">
        <f t="shared" si="31"/>
        <v/>
      </c>
      <c r="F113" s="109" t="str">
        <f t="shared" si="32"/>
        <v/>
      </c>
      <c r="G113" s="115" t="str">
        <f t="shared" si="42"/>
        <v/>
      </c>
      <c r="H113" s="116">
        <f t="shared" si="43"/>
        <v>0</v>
      </c>
      <c r="I113" s="109" t="str">
        <f t="shared" si="54"/>
        <v/>
      </c>
      <c r="J113" s="109" t="str">
        <f t="shared" si="33"/>
        <v/>
      </c>
      <c r="K113" s="109" t="str">
        <f t="shared" si="34"/>
        <v/>
      </c>
      <c r="L113" s="109" t="str">
        <f t="shared" si="35"/>
        <v/>
      </c>
      <c r="M113" s="109" t="str">
        <f t="shared" si="44"/>
        <v/>
      </c>
      <c r="N113" s="115" t="str">
        <f t="shared" si="45"/>
        <v/>
      </c>
      <c r="O113" s="61">
        <v>0</v>
      </c>
      <c r="P113" s="117">
        <f t="shared" si="46"/>
        <v>0</v>
      </c>
      <c r="R113" s="118" t="str">
        <f t="shared" si="56"/>
        <v/>
      </c>
      <c r="S113" s="119" t="str">
        <f t="shared" si="36"/>
        <v/>
      </c>
      <c r="T113" s="119" t="str">
        <f t="shared" si="37"/>
        <v/>
      </c>
      <c r="U113" s="120">
        <f t="shared" si="47"/>
        <v>0</v>
      </c>
      <c r="V113" s="121" t="str">
        <f>IF(A113="","",IF(A113&lt;=Periodos_Gracia,0,PPMT(Tasa_Anual/360*Días*(1+I.V.A.),Tabla!AM113,No._De_Pagos_con_periodo_de_gracia,-Monto_Crédito)))</f>
        <v/>
      </c>
      <c r="W113" s="111" t="str">
        <f>IF($U$258&lt;=0,V113,IF(SUM($U$18:U113)&lt;=0,V113,PMT($K$5/360*Días,A113,-R113)))</f>
        <v/>
      </c>
      <c r="X113" s="122" t="str">
        <f>IF($U$258&lt;=0,W113,IF(SUM($U$18:U113)&lt;=0,V113,PMT($K$5/360*Días,No._De_Pagos_con_periodo_de_gracia,-Monto_Crédito)-S113-T113))</f>
        <v/>
      </c>
      <c r="Y113" s="118" t="str">
        <f t="shared" si="48"/>
        <v/>
      </c>
      <c r="Z113" s="62" t="str">
        <f>+IF(A113="","",IF(No._de_Pagos-Tabla!A113+1&lt;=0,"",No._de_Pagos-Tabla!A113+1))</f>
        <v/>
      </c>
      <c r="AA113" s="123" t="str">
        <f t="shared" si="49"/>
        <v/>
      </c>
      <c r="AB113" s="125" t="str">
        <f t="shared" si="55"/>
        <v/>
      </c>
      <c r="AC113" s="125" t="str">
        <f t="shared" si="38"/>
        <v/>
      </c>
      <c r="AD113" s="125" t="str">
        <f t="shared" si="39"/>
        <v/>
      </c>
      <c r="AE113" s="120">
        <f t="shared" si="50"/>
        <v>0</v>
      </c>
      <c r="AF113" s="121" t="str">
        <f t="shared" si="40"/>
        <v/>
      </c>
      <c r="AG113" s="111" t="str">
        <f>IF($U$258&lt;=0,AF113,IF(SUM($U$18:U113)&lt;=0,AF113,PMT($K$5/360*Días,A113,-AA113)))</f>
        <v/>
      </c>
      <c r="AH113" s="122" t="str">
        <f>IF(A113&lt;=Periodos_Gracia,0,IF($U$258&lt;=0,AG113,IF(SUM($U$18:U113)&lt;=0,AF113,PMT($K$5/360*Días,No._de_Pagos,-Monto_Crédito)-AC113-AD113)))</f>
        <v/>
      </c>
      <c r="AI113" s="126" t="str">
        <f t="shared" si="51"/>
        <v/>
      </c>
      <c r="AK113" s="127" t="str">
        <f>IF(A113="","",IF(Periodos_Gracia&gt;0,Tabla!AN113,V113+S113))</f>
        <v/>
      </c>
      <c r="AL113" s="127" t="str">
        <f t="shared" si="41"/>
        <v/>
      </c>
      <c r="AM113" s="62" t="str">
        <f t="shared" si="52"/>
        <v/>
      </c>
      <c r="AN113" s="128" t="str">
        <f>IF(A113="","",IF(A113&lt;=Periodos_Gracia,Tabla!S113,PPMT(Tasa_Anual/360*Días*(1+I.V.A.),Tabla!AM113,No._De_Pagos_con_periodo_de_gracia,-Monto_Crédito)+S113))</f>
        <v/>
      </c>
      <c r="AO113" s="128" t="str">
        <f>IF(A113="","",IF(A113&lt;=Periodos_Gracia,Tabla!AC113,Monto_Crédito/(No._De_Pagos_con_periodo_de_gracia)+AC113))</f>
        <v/>
      </c>
      <c r="AP113" s="118"/>
    </row>
    <row r="114" spans="1:42">
      <c r="A114" s="108" t="str">
        <f>IF(A113&lt;Parámetros!$E$6,A113+1,"")</f>
        <v/>
      </c>
      <c r="B114" s="109" t="str">
        <f t="shared" si="53"/>
        <v/>
      </c>
      <c r="C114" s="109" t="str">
        <f t="shared" si="29"/>
        <v/>
      </c>
      <c r="D114" s="109" t="str">
        <f t="shared" si="30"/>
        <v/>
      </c>
      <c r="E114" s="109" t="str">
        <f t="shared" si="31"/>
        <v/>
      </c>
      <c r="F114" s="109" t="str">
        <f t="shared" si="32"/>
        <v/>
      </c>
      <c r="G114" s="115" t="str">
        <f t="shared" si="42"/>
        <v/>
      </c>
      <c r="H114" s="116">
        <f t="shared" si="43"/>
        <v>0</v>
      </c>
      <c r="I114" s="109" t="str">
        <f t="shared" si="54"/>
        <v/>
      </c>
      <c r="J114" s="109" t="str">
        <f t="shared" si="33"/>
        <v/>
      </c>
      <c r="K114" s="109" t="str">
        <f t="shared" si="34"/>
        <v/>
      </c>
      <c r="L114" s="109" t="str">
        <f t="shared" si="35"/>
        <v/>
      </c>
      <c r="M114" s="109" t="str">
        <f t="shared" si="44"/>
        <v/>
      </c>
      <c r="N114" s="115" t="str">
        <f t="shared" si="45"/>
        <v/>
      </c>
      <c r="O114" s="61">
        <v>0</v>
      </c>
      <c r="P114" s="117">
        <f t="shared" si="46"/>
        <v>0</v>
      </c>
      <c r="R114" s="118" t="str">
        <f t="shared" si="56"/>
        <v/>
      </c>
      <c r="S114" s="119" t="str">
        <f t="shared" si="36"/>
        <v/>
      </c>
      <c r="T114" s="119" t="str">
        <f t="shared" si="37"/>
        <v/>
      </c>
      <c r="U114" s="120">
        <f t="shared" si="47"/>
        <v>0</v>
      </c>
      <c r="V114" s="121" t="str">
        <f>IF(A114="","",IF(A114&lt;=Periodos_Gracia,0,PPMT(Tasa_Anual/360*Días*(1+I.V.A.),Tabla!AM114,No._De_Pagos_con_periodo_de_gracia,-Monto_Crédito)))</f>
        <v/>
      </c>
      <c r="W114" s="111" t="str">
        <f>IF($U$258&lt;=0,V114,IF(SUM($U$18:U114)&lt;=0,V114,PMT($K$5/360*Días,A114,-R114)))</f>
        <v/>
      </c>
      <c r="X114" s="122" t="str">
        <f>IF($U$258&lt;=0,W114,IF(SUM($U$18:U114)&lt;=0,V114,PMT($K$5/360*Días,No._De_Pagos_con_periodo_de_gracia,-Monto_Crédito)-S114-T114))</f>
        <v/>
      </c>
      <c r="Y114" s="118" t="str">
        <f t="shared" si="48"/>
        <v/>
      </c>
      <c r="Z114" s="62" t="str">
        <f>+IF(A114="","",IF(No._de_Pagos-Tabla!A114+1&lt;=0,"",No._de_Pagos-Tabla!A114+1))</f>
        <v/>
      </c>
      <c r="AA114" s="123" t="str">
        <f t="shared" si="49"/>
        <v/>
      </c>
      <c r="AB114" s="125" t="str">
        <f t="shared" si="55"/>
        <v/>
      </c>
      <c r="AC114" s="125" t="str">
        <f t="shared" si="38"/>
        <v/>
      </c>
      <c r="AD114" s="125" t="str">
        <f t="shared" si="39"/>
        <v/>
      </c>
      <c r="AE114" s="120">
        <f t="shared" si="50"/>
        <v>0</v>
      </c>
      <c r="AF114" s="121" t="str">
        <f t="shared" si="40"/>
        <v/>
      </c>
      <c r="AG114" s="111" t="str">
        <f>IF($U$258&lt;=0,AF114,IF(SUM($U$18:U114)&lt;=0,AF114,PMT($K$5/360*Días,A114,-AA114)))</f>
        <v/>
      </c>
      <c r="AH114" s="122" t="str">
        <f>IF(A114&lt;=Periodos_Gracia,0,IF($U$258&lt;=0,AG114,IF(SUM($U$18:U114)&lt;=0,AF114,PMT($K$5/360*Días,No._de_Pagos,-Monto_Crédito)-AC114-AD114)))</f>
        <v/>
      </c>
      <c r="AI114" s="126" t="str">
        <f t="shared" si="51"/>
        <v/>
      </c>
      <c r="AK114" s="127" t="str">
        <f>IF(A114="","",IF(Periodos_Gracia&gt;0,Tabla!AN114,V114+S114))</f>
        <v/>
      </c>
      <c r="AL114" s="127" t="str">
        <f t="shared" si="41"/>
        <v/>
      </c>
      <c r="AM114" s="62" t="str">
        <f t="shared" si="52"/>
        <v/>
      </c>
      <c r="AN114" s="128" t="str">
        <f>IF(A114="","",IF(A114&lt;=Periodos_Gracia,Tabla!S114,PPMT(Tasa_Anual/360*Días*(1+I.V.A.),Tabla!AM114,No._De_Pagos_con_periodo_de_gracia,-Monto_Crédito)+S114))</f>
        <v/>
      </c>
      <c r="AO114" s="128" t="str">
        <f>IF(A114="","",IF(A114&lt;=Periodos_Gracia,Tabla!AC114,Monto_Crédito/(No._De_Pagos_con_periodo_de_gracia)+AC114))</f>
        <v/>
      </c>
      <c r="AP114" s="118"/>
    </row>
    <row r="115" spans="1:42">
      <c r="A115" s="108" t="str">
        <f>IF(A114&lt;Parámetros!$E$6,A114+1,"")</f>
        <v/>
      </c>
      <c r="B115" s="109" t="str">
        <f t="shared" si="53"/>
        <v/>
      </c>
      <c r="C115" s="109" t="str">
        <f t="shared" si="29"/>
        <v/>
      </c>
      <c r="D115" s="109" t="str">
        <f t="shared" si="30"/>
        <v/>
      </c>
      <c r="E115" s="109" t="str">
        <f t="shared" si="31"/>
        <v/>
      </c>
      <c r="F115" s="109" t="str">
        <f t="shared" si="32"/>
        <v/>
      </c>
      <c r="G115" s="115" t="str">
        <f t="shared" si="42"/>
        <v/>
      </c>
      <c r="H115" s="116">
        <f t="shared" si="43"/>
        <v>0</v>
      </c>
      <c r="I115" s="109" t="str">
        <f t="shared" si="54"/>
        <v/>
      </c>
      <c r="J115" s="109" t="str">
        <f t="shared" si="33"/>
        <v/>
      </c>
      <c r="K115" s="109" t="str">
        <f t="shared" si="34"/>
        <v/>
      </c>
      <c r="L115" s="109" t="str">
        <f t="shared" si="35"/>
        <v/>
      </c>
      <c r="M115" s="109" t="str">
        <f t="shared" si="44"/>
        <v/>
      </c>
      <c r="N115" s="115" t="str">
        <f t="shared" si="45"/>
        <v/>
      </c>
      <c r="O115" s="61">
        <v>0</v>
      </c>
      <c r="P115" s="117">
        <f t="shared" si="46"/>
        <v>0</v>
      </c>
      <c r="R115" s="118" t="str">
        <f t="shared" si="56"/>
        <v/>
      </c>
      <c r="S115" s="119" t="str">
        <f t="shared" si="36"/>
        <v/>
      </c>
      <c r="T115" s="119" t="str">
        <f t="shared" si="37"/>
        <v/>
      </c>
      <c r="U115" s="120">
        <f t="shared" si="47"/>
        <v>0</v>
      </c>
      <c r="V115" s="121" t="str">
        <f>IF(A115="","",IF(A115&lt;=Periodos_Gracia,0,PPMT(Tasa_Anual/360*Días*(1+I.V.A.),Tabla!AM115,No._De_Pagos_con_periodo_de_gracia,-Monto_Crédito)))</f>
        <v/>
      </c>
      <c r="W115" s="111" t="str">
        <f>IF($U$258&lt;=0,V115,IF(SUM($U$18:U115)&lt;=0,V115,PMT($K$5/360*Días,A115,-R115)))</f>
        <v/>
      </c>
      <c r="X115" s="122" t="str">
        <f>IF($U$258&lt;=0,W115,IF(SUM($U$18:U115)&lt;=0,V115,PMT($K$5/360*Días,No._De_Pagos_con_periodo_de_gracia,-Monto_Crédito)-S115-T115))</f>
        <v/>
      </c>
      <c r="Y115" s="118" t="str">
        <f t="shared" si="48"/>
        <v/>
      </c>
      <c r="Z115" s="62" t="str">
        <f>+IF(A115="","",IF(No._de_Pagos-Tabla!A115+1&lt;=0,"",No._de_Pagos-Tabla!A115+1))</f>
        <v/>
      </c>
      <c r="AA115" s="123" t="str">
        <f t="shared" si="49"/>
        <v/>
      </c>
      <c r="AB115" s="125" t="str">
        <f t="shared" si="55"/>
        <v/>
      </c>
      <c r="AC115" s="125" t="str">
        <f t="shared" si="38"/>
        <v/>
      </c>
      <c r="AD115" s="125" t="str">
        <f t="shared" si="39"/>
        <v/>
      </c>
      <c r="AE115" s="120">
        <f t="shared" si="50"/>
        <v>0</v>
      </c>
      <c r="AF115" s="121" t="str">
        <f t="shared" si="40"/>
        <v/>
      </c>
      <c r="AG115" s="111" t="str">
        <f>IF($U$258&lt;=0,AF115,IF(SUM($U$18:U115)&lt;=0,AF115,PMT($K$5/360*Días,A115,-AA115)))</f>
        <v/>
      </c>
      <c r="AH115" s="122" t="str">
        <f>IF(A115&lt;=Periodos_Gracia,0,IF($U$258&lt;=0,AG115,IF(SUM($U$18:U115)&lt;=0,AF115,PMT($K$5/360*Días,No._de_Pagos,-Monto_Crédito)-AC115-AD115)))</f>
        <v/>
      </c>
      <c r="AI115" s="126" t="str">
        <f t="shared" si="51"/>
        <v/>
      </c>
      <c r="AK115" s="127" t="str">
        <f>IF(A115="","",IF(Periodos_Gracia&gt;0,Tabla!AN115,V115+S115))</f>
        <v/>
      </c>
      <c r="AL115" s="127" t="str">
        <f t="shared" si="41"/>
        <v/>
      </c>
      <c r="AM115" s="62" t="str">
        <f t="shared" si="52"/>
        <v/>
      </c>
      <c r="AN115" s="128" t="str">
        <f>IF(A115="","",IF(A115&lt;=Periodos_Gracia,Tabla!S115,PPMT(Tasa_Anual/360*Días*(1+I.V.A.),Tabla!AM115,No._De_Pagos_con_periodo_de_gracia,-Monto_Crédito)+S115))</f>
        <v/>
      </c>
      <c r="AO115" s="128" t="str">
        <f>IF(A115="","",IF(A115&lt;=Periodos_Gracia,Tabla!AC115,Monto_Crédito/(No._De_Pagos_con_periodo_de_gracia)+AC115))</f>
        <v/>
      </c>
      <c r="AP115" s="118"/>
    </row>
    <row r="116" spans="1:42">
      <c r="A116" s="108" t="str">
        <f>IF(A115&lt;Parámetros!$E$6,A115+1,"")</f>
        <v/>
      </c>
      <c r="B116" s="109" t="str">
        <f t="shared" si="53"/>
        <v/>
      </c>
      <c r="C116" s="109" t="str">
        <f t="shared" si="29"/>
        <v/>
      </c>
      <c r="D116" s="109" t="str">
        <f t="shared" si="30"/>
        <v/>
      </c>
      <c r="E116" s="109" t="str">
        <f t="shared" si="31"/>
        <v/>
      </c>
      <c r="F116" s="109" t="str">
        <f t="shared" si="32"/>
        <v/>
      </c>
      <c r="G116" s="115" t="str">
        <f t="shared" si="42"/>
        <v/>
      </c>
      <c r="H116" s="116">
        <f t="shared" si="43"/>
        <v>0</v>
      </c>
      <c r="I116" s="109" t="str">
        <f t="shared" si="54"/>
        <v/>
      </c>
      <c r="J116" s="109" t="str">
        <f t="shared" si="33"/>
        <v/>
      </c>
      <c r="K116" s="109" t="str">
        <f t="shared" si="34"/>
        <v/>
      </c>
      <c r="L116" s="109" t="str">
        <f t="shared" si="35"/>
        <v/>
      </c>
      <c r="M116" s="109" t="str">
        <f t="shared" si="44"/>
        <v/>
      </c>
      <c r="N116" s="115" t="str">
        <f t="shared" si="45"/>
        <v/>
      </c>
      <c r="O116" s="61">
        <v>0</v>
      </c>
      <c r="P116" s="117">
        <f t="shared" si="46"/>
        <v>0</v>
      </c>
      <c r="R116" s="118" t="str">
        <f t="shared" si="56"/>
        <v/>
      </c>
      <c r="S116" s="119" t="str">
        <f t="shared" si="36"/>
        <v/>
      </c>
      <c r="T116" s="119" t="str">
        <f t="shared" si="37"/>
        <v/>
      </c>
      <c r="U116" s="120">
        <f t="shared" si="47"/>
        <v>0</v>
      </c>
      <c r="V116" s="121" t="str">
        <f>IF(A116="","",IF(A116&lt;=Periodos_Gracia,0,PPMT(Tasa_Anual/360*Días*(1+I.V.A.),Tabla!AM116,No._De_Pagos_con_periodo_de_gracia,-Monto_Crédito)))</f>
        <v/>
      </c>
      <c r="W116" s="111" t="str">
        <f>IF($U$258&lt;=0,V116,IF(SUM($U$18:U116)&lt;=0,V116,PMT($K$5/360*Días,A116,-R116)))</f>
        <v/>
      </c>
      <c r="X116" s="122" t="str">
        <f>IF($U$258&lt;=0,W116,IF(SUM($U$18:U116)&lt;=0,V116,PMT($K$5/360*Días,No._De_Pagos_con_periodo_de_gracia,-Monto_Crédito)-S116-T116))</f>
        <v/>
      </c>
      <c r="Y116" s="118" t="str">
        <f t="shared" si="48"/>
        <v/>
      </c>
      <c r="Z116" s="62" t="str">
        <f>+IF(A116="","",IF(No._de_Pagos-Tabla!A116+1&lt;=0,"",No._de_Pagos-Tabla!A116+1))</f>
        <v/>
      </c>
      <c r="AA116" s="123" t="str">
        <f t="shared" si="49"/>
        <v/>
      </c>
      <c r="AB116" s="125" t="str">
        <f t="shared" si="55"/>
        <v/>
      </c>
      <c r="AC116" s="125" t="str">
        <f t="shared" si="38"/>
        <v/>
      </c>
      <c r="AD116" s="125" t="str">
        <f t="shared" si="39"/>
        <v/>
      </c>
      <c r="AE116" s="120">
        <f t="shared" si="50"/>
        <v>0</v>
      </c>
      <c r="AF116" s="121" t="str">
        <f t="shared" si="40"/>
        <v/>
      </c>
      <c r="AG116" s="111" t="str">
        <f>IF($U$258&lt;=0,AF116,IF(SUM($U$18:U116)&lt;=0,AF116,PMT($K$5/360*Días,A116,-AA116)))</f>
        <v/>
      </c>
      <c r="AH116" s="122" t="str">
        <f>IF(A116&lt;=Periodos_Gracia,0,IF($U$258&lt;=0,AG116,IF(SUM($U$18:U116)&lt;=0,AF116,PMT($K$5/360*Días,No._de_Pagos,-Monto_Crédito)-AC116-AD116)))</f>
        <v/>
      </c>
      <c r="AI116" s="126" t="str">
        <f t="shared" si="51"/>
        <v/>
      </c>
      <c r="AK116" s="127" t="str">
        <f>IF(A116="","",IF(Periodos_Gracia&gt;0,Tabla!AN116,V116+S116))</f>
        <v/>
      </c>
      <c r="AL116" s="127" t="str">
        <f t="shared" si="41"/>
        <v/>
      </c>
      <c r="AM116" s="62" t="str">
        <f t="shared" si="52"/>
        <v/>
      </c>
      <c r="AN116" s="128" t="str">
        <f>IF(A116="","",IF(A116&lt;=Periodos_Gracia,Tabla!S116,PPMT(Tasa_Anual/360*Días*(1+I.V.A.),Tabla!AM116,No._De_Pagos_con_periodo_de_gracia,-Monto_Crédito)+S116))</f>
        <v/>
      </c>
      <c r="AO116" s="128" t="str">
        <f>IF(A116="","",IF(A116&lt;=Periodos_Gracia,Tabla!AC116,Monto_Crédito/(No._De_Pagos_con_periodo_de_gracia)+AC116))</f>
        <v/>
      </c>
      <c r="AP116" s="118"/>
    </row>
    <row r="117" spans="1:42">
      <c r="A117" s="108" t="str">
        <f>IF(A116&lt;Parámetros!$E$6,A116+1,"")</f>
        <v/>
      </c>
      <c r="B117" s="109" t="str">
        <f t="shared" si="53"/>
        <v/>
      </c>
      <c r="C117" s="109" t="str">
        <f t="shared" si="29"/>
        <v/>
      </c>
      <c r="D117" s="109" t="str">
        <f t="shared" si="30"/>
        <v/>
      </c>
      <c r="E117" s="109" t="str">
        <f t="shared" si="31"/>
        <v/>
      </c>
      <c r="F117" s="109" t="str">
        <f t="shared" si="32"/>
        <v/>
      </c>
      <c r="G117" s="115" t="str">
        <f t="shared" si="42"/>
        <v/>
      </c>
      <c r="H117" s="116">
        <f t="shared" si="43"/>
        <v>0</v>
      </c>
      <c r="I117" s="109" t="str">
        <f t="shared" si="54"/>
        <v/>
      </c>
      <c r="J117" s="109" t="str">
        <f t="shared" si="33"/>
        <v/>
      </c>
      <c r="K117" s="109" t="str">
        <f t="shared" si="34"/>
        <v/>
      </c>
      <c r="L117" s="109" t="str">
        <f t="shared" si="35"/>
        <v/>
      </c>
      <c r="M117" s="109" t="str">
        <f t="shared" si="44"/>
        <v/>
      </c>
      <c r="N117" s="115" t="str">
        <f t="shared" si="45"/>
        <v/>
      </c>
      <c r="O117" s="61">
        <v>0</v>
      </c>
      <c r="P117" s="117">
        <f t="shared" si="46"/>
        <v>0</v>
      </c>
      <c r="R117" s="118" t="str">
        <f t="shared" si="56"/>
        <v/>
      </c>
      <c r="S117" s="119" t="str">
        <f t="shared" si="36"/>
        <v/>
      </c>
      <c r="T117" s="119" t="str">
        <f t="shared" si="37"/>
        <v/>
      </c>
      <c r="U117" s="120">
        <f t="shared" si="47"/>
        <v>0</v>
      </c>
      <c r="V117" s="121" t="str">
        <f>IF(A117="","",IF(A117&lt;=Periodos_Gracia,0,PPMT(Tasa_Anual/360*Días*(1+I.V.A.),Tabla!AM117,No._De_Pagos_con_periodo_de_gracia,-Monto_Crédito)))</f>
        <v/>
      </c>
      <c r="W117" s="111" t="str">
        <f>IF($U$258&lt;=0,V117,IF(SUM($U$18:U117)&lt;=0,V117,PMT($K$5/360*Días,A117,-R117)))</f>
        <v/>
      </c>
      <c r="X117" s="122" t="str">
        <f>IF($U$258&lt;=0,W117,IF(SUM($U$18:U117)&lt;=0,V117,PMT($K$5/360*Días,No._De_Pagos_con_periodo_de_gracia,-Monto_Crédito)-S117-T117))</f>
        <v/>
      </c>
      <c r="Y117" s="118" t="str">
        <f t="shared" si="48"/>
        <v/>
      </c>
      <c r="Z117" s="62" t="str">
        <f>+IF(A117="","",IF(No._de_Pagos-Tabla!A117+1&lt;=0,"",No._de_Pagos-Tabla!A117+1))</f>
        <v/>
      </c>
      <c r="AA117" s="123" t="str">
        <f t="shared" si="49"/>
        <v/>
      </c>
      <c r="AB117" s="125" t="str">
        <f t="shared" si="55"/>
        <v/>
      </c>
      <c r="AC117" s="125" t="str">
        <f t="shared" si="38"/>
        <v/>
      </c>
      <c r="AD117" s="125" t="str">
        <f t="shared" si="39"/>
        <v/>
      </c>
      <c r="AE117" s="120">
        <f t="shared" si="50"/>
        <v>0</v>
      </c>
      <c r="AF117" s="121" t="str">
        <f t="shared" si="40"/>
        <v/>
      </c>
      <c r="AG117" s="111" t="str">
        <f>IF($U$258&lt;=0,AF117,IF(SUM($U$18:U117)&lt;=0,AF117,PMT($K$5/360*Días,A117,-AA117)))</f>
        <v/>
      </c>
      <c r="AH117" s="122" t="str">
        <f>IF(A117&lt;=Periodos_Gracia,0,IF($U$258&lt;=0,AG117,IF(SUM($U$18:U117)&lt;=0,AF117,PMT($K$5/360*Días,No._de_Pagos,-Monto_Crédito)-AC117-AD117)))</f>
        <v/>
      </c>
      <c r="AI117" s="126" t="str">
        <f t="shared" si="51"/>
        <v/>
      </c>
      <c r="AK117" s="127" t="str">
        <f>IF(A117="","",IF(Periodos_Gracia&gt;0,Tabla!AN117,V117+S117))</f>
        <v/>
      </c>
      <c r="AL117" s="127" t="str">
        <f t="shared" si="41"/>
        <v/>
      </c>
      <c r="AM117" s="62" t="str">
        <f t="shared" si="52"/>
        <v/>
      </c>
      <c r="AN117" s="128" t="str">
        <f>IF(A117="","",IF(A117&lt;=Periodos_Gracia,Tabla!S117,PPMT(Tasa_Anual/360*Días*(1+I.V.A.),Tabla!AM117,No._De_Pagos_con_periodo_de_gracia,-Monto_Crédito)+S117))</f>
        <v/>
      </c>
      <c r="AO117" s="128" t="str">
        <f>IF(A117="","",IF(A117&lt;=Periodos_Gracia,Tabla!AC117,Monto_Crédito/(No._De_Pagos_con_periodo_de_gracia)+AC117))</f>
        <v/>
      </c>
      <c r="AP117" s="118"/>
    </row>
    <row r="118" spans="1:42">
      <c r="A118" s="108" t="str">
        <f>IF(A117&lt;Parámetros!$E$6,A117+1,"")</f>
        <v/>
      </c>
      <c r="B118" s="109" t="str">
        <f t="shared" si="53"/>
        <v/>
      </c>
      <c r="C118" s="109" t="str">
        <f t="shared" si="29"/>
        <v/>
      </c>
      <c r="D118" s="109" t="str">
        <f t="shared" si="30"/>
        <v/>
      </c>
      <c r="E118" s="109" t="str">
        <f t="shared" si="31"/>
        <v/>
      </c>
      <c r="F118" s="109" t="str">
        <f t="shared" si="32"/>
        <v/>
      </c>
      <c r="G118" s="115" t="str">
        <f t="shared" si="42"/>
        <v/>
      </c>
      <c r="H118" s="116">
        <f t="shared" si="43"/>
        <v>0</v>
      </c>
      <c r="I118" s="109" t="str">
        <f t="shared" si="54"/>
        <v/>
      </c>
      <c r="J118" s="109" t="str">
        <f t="shared" si="33"/>
        <v/>
      </c>
      <c r="K118" s="109" t="str">
        <f t="shared" si="34"/>
        <v/>
      </c>
      <c r="L118" s="109" t="str">
        <f t="shared" si="35"/>
        <v/>
      </c>
      <c r="M118" s="109" t="str">
        <f t="shared" si="44"/>
        <v/>
      </c>
      <c r="N118" s="115" t="str">
        <f t="shared" si="45"/>
        <v/>
      </c>
      <c r="O118" s="61">
        <v>0</v>
      </c>
      <c r="P118" s="117">
        <f t="shared" si="46"/>
        <v>0</v>
      </c>
      <c r="R118" s="118" t="str">
        <f t="shared" si="56"/>
        <v/>
      </c>
      <c r="S118" s="119" t="str">
        <f t="shared" si="36"/>
        <v/>
      </c>
      <c r="T118" s="119" t="str">
        <f t="shared" si="37"/>
        <v/>
      </c>
      <c r="U118" s="120">
        <f t="shared" si="47"/>
        <v>0</v>
      </c>
      <c r="V118" s="121" t="str">
        <f>IF(A118="","",IF(A118&lt;=Periodos_Gracia,0,PPMT(Tasa_Anual/360*Días*(1+I.V.A.),Tabla!AM118,No._De_Pagos_con_periodo_de_gracia,-Monto_Crédito)))</f>
        <v/>
      </c>
      <c r="W118" s="111" t="str">
        <f>IF($U$258&lt;=0,V118,IF(SUM($U$18:U118)&lt;=0,V118,PMT($K$5/360*Días,A118,-R118)))</f>
        <v/>
      </c>
      <c r="X118" s="122" t="str">
        <f>IF($U$258&lt;=0,W118,IF(SUM($U$18:U118)&lt;=0,V118,PMT($K$5/360*Días,No._De_Pagos_con_periodo_de_gracia,-Monto_Crédito)-S118-T118))</f>
        <v/>
      </c>
      <c r="Y118" s="118" t="str">
        <f t="shared" si="48"/>
        <v/>
      </c>
      <c r="Z118" s="62" t="str">
        <f>+IF(A118="","",IF(No._de_Pagos-Tabla!A118+1&lt;=0,"",No._de_Pagos-Tabla!A118+1))</f>
        <v/>
      </c>
      <c r="AA118" s="123" t="str">
        <f t="shared" si="49"/>
        <v/>
      </c>
      <c r="AB118" s="125" t="str">
        <f t="shared" si="55"/>
        <v/>
      </c>
      <c r="AC118" s="125" t="str">
        <f t="shared" si="38"/>
        <v/>
      </c>
      <c r="AD118" s="125" t="str">
        <f t="shared" si="39"/>
        <v/>
      </c>
      <c r="AE118" s="120">
        <f t="shared" si="50"/>
        <v>0</v>
      </c>
      <c r="AF118" s="121" t="str">
        <f t="shared" si="40"/>
        <v/>
      </c>
      <c r="AG118" s="111" t="str">
        <f>IF($U$258&lt;=0,AF118,IF(SUM($U$18:U118)&lt;=0,AF118,PMT($K$5/360*Días,A118,-AA118)))</f>
        <v/>
      </c>
      <c r="AH118" s="122" t="str">
        <f>IF(A118&lt;=Periodos_Gracia,0,IF($U$258&lt;=0,AG118,IF(SUM($U$18:U118)&lt;=0,AF118,PMT($K$5/360*Días,No._de_Pagos,-Monto_Crédito)-AC118-AD118)))</f>
        <v/>
      </c>
      <c r="AI118" s="126" t="str">
        <f t="shared" si="51"/>
        <v/>
      </c>
      <c r="AK118" s="127" t="str">
        <f>IF(A118="","",IF(Periodos_Gracia&gt;0,Tabla!AN118,V118+S118))</f>
        <v/>
      </c>
      <c r="AL118" s="127" t="str">
        <f t="shared" si="41"/>
        <v/>
      </c>
      <c r="AM118" s="62" t="str">
        <f t="shared" si="52"/>
        <v/>
      </c>
      <c r="AN118" s="128" t="str">
        <f>IF(A118="","",IF(A118&lt;=Periodos_Gracia,Tabla!S118,PPMT(Tasa_Anual/360*Días*(1+I.V.A.),Tabla!AM118,No._De_Pagos_con_periodo_de_gracia,-Monto_Crédito)+S118))</f>
        <v/>
      </c>
      <c r="AO118" s="128" t="str">
        <f>IF(A118="","",IF(A118&lt;=Periodos_Gracia,Tabla!AC118,Monto_Crédito/(No._De_Pagos_con_periodo_de_gracia)+AC118))</f>
        <v/>
      </c>
      <c r="AP118" s="118"/>
    </row>
    <row r="119" spans="1:42">
      <c r="A119" s="108" t="str">
        <f>IF(A118&lt;Parámetros!$E$6,A118+1,"")</f>
        <v/>
      </c>
      <c r="B119" s="109" t="str">
        <f t="shared" si="53"/>
        <v/>
      </c>
      <c r="C119" s="109" t="str">
        <f t="shared" si="29"/>
        <v/>
      </c>
      <c r="D119" s="109" t="str">
        <f t="shared" si="30"/>
        <v/>
      </c>
      <c r="E119" s="109" t="str">
        <f t="shared" si="31"/>
        <v/>
      </c>
      <c r="F119" s="109" t="str">
        <f t="shared" si="32"/>
        <v/>
      </c>
      <c r="G119" s="115" t="str">
        <f t="shared" si="42"/>
        <v/>
      </c>
      <c r="H119" s="116">
        <f t="shared" si="43"/>
        <v>0</v>
      </c>
      <c r="I119" s="109" t="str">
        <f t="shared" si="54"/>
        <v/>
      </c>
      <c r="J119" s="109" t="str">
        <f t="shared" si="33"/>
        <v/>
      </c>
      <c r="K119" s="109" t="str">
        <f t="shared" si="34"/>
        <v/>
      </c>
      <c r="L119" s="109" t="str">
        <f t="shared" si="35"/>
        <v/>
      </c>
      <c r="M119" s="109" t="str">
        <f t="shared" si="44"/>
        <v/>
      </c>
      <c r="N119" s="115" t="str">
        <f t="shared" si="45"/>
        <v/>
      </c>
      <c r="O119" s="61">
        <v>0</v>
      </c>
      <c r="P119" s="117">
        <f t="shared" si="46"/>
        <v>0</v>
      </c>
      <c r="R119" s="118" t="str">
        <f t="shared" si="56"/>
        <v/>
      </c>
      <c r="S119" s="119" t="str">
        <f t="shared" si="36"/>
        <v/>
      </c>
      <c r="T119" s="119" t="str">
        <f t="shared" si="37"/>
        <v/>
      </c>
      <c r="U119" s="120">
        <f t="shared" si="47"/>
        <v>0</v>
      </c>
      <c r="V119" s="121" t="str">
        <f>IF(A119="","",IF(A119&lt;=Periodos_Gracia,0,PPMT(Tasa_Anual/360*Días*(1+I.V.A.),Tabla!AM119,No._De_Pagos_con_periodo_de_gracia,-Monto_Crédito)))</f>
        <v/>
      </c>
      <c r="W119" s="111" t="str">
        <f>IF($U$258&lt;=0,V119,IF(SUM($U$18:U119)&lt;=0,V119,PMT($K$5/360*Días,A119,-R119)))</f>
        <v/>
      </c>
      <c r="X119" s="122" t="str">
        <f>IF($U$258&lt;=0,W119,IF(SUM($U$18:U119)&lt;=0,V119,PMT($K$5/360*Días,No._De_Pagos_con_periodo_de_gracia,-Monto_Crédito)-S119-T119))</f>
        <v/>
      </c>
      <c r="Y119" s="118" t="str">
        <f t="shared" si="48"/>
        <v/>
      </c>
      <c r="Z119" s="62" t="str">
        <f>+IF(A119="","",IF(No._de_Pagos-Tabla!A119+1&lt;=0,"",No._de_Pagos-Tabla!A119+1))</f>
        <v/>
      </c>
      <c r="AA119" s="123" t="str">
        <f t="shared" si="49"/>
        <v/>
      </c>
      <c r="AB119" s="125" t="str">
        <f t="shared" si="55"/>
        <v/>
      </c>
      <c r="AC119" s="125" t="str">
        <f t="shared" si="38"/>
        <v/>
      </c>
      <c r="AD119" s="125" t="str">
        <f t="shared" si="39"/>
        <v/>
      </c>
      <c r="AE119" s="120">
        <f t="shared" si="50"/>
        <v>0</v>
      </c>
      <c r="AF119" s="121" t="str">
        <f t="shared" si="40"/>
        <v/>
      </c>
      <c r="AG119" s="111" t="str">
        <f>IF($U$258&lt;=0,AF119,IF(SUM($U$18:U119)&lt;=0,AF119,PMT($K$5/360*Días,A119,-AA119)))</f>
        <v/>
      </c>
      <c r="AH119" s="122" t="str">
        <f>IF(A119&lt;=Periodos_Gracia,0,IF($U$258&lt;=0,AG119,IF(SUM($U$18:U119)&lt;=0,AF119,PMT($K$5/360*Días,No._de_Pagos,-Monto_Crédito)-AC119-AD119)))</f>
        <v/>
      </c>
      <c r="AI119" s="126" t="str">
        <f t="shared" si="51"/>
        <v/>
      </c>
      <c r="AK119" s="127" t="str">
        <f>IF(A119="","",IF(Periodos_Gracia&gt;0,Tabla!AN119,V119+S119))</f>
        <v/>
      </c>
      <c r="AL119" s="127" t="str">
        <f t="shared" si="41"/>
        <v/>
      </c>
      <c r="AM119" s="62" t="str">
        <f t="shared" si="52"/>
        <v/>
      </c>
      <c r="AN119" s="128" t="str">
        <f>IF(A119="","",IF(A119&lt;=Periodos_Gracia,Tabla!S119,PPMT(Tasa_Anual/360*Días*(1+I.V.A.),Tabla!AM119,No._De_Pagos_con_periodo_de_gracia,-Monto_Crédito)+S119))</f>
        <v/>
      </c>
      <c r="AO119" s="128" t="str">
        <f>IF(A119="","",IF(A119&lt;=Periodos_Gracia,Tabla!AC119,Monto_Crédito/(No._De_Pagos_con_periodo_de_gracia)+AC119))</f>
        <v/>
      </c>
      <c r="AP119" s="118"/>
    </row>
    <row r="120" spans="1:42">
      <c r="A120" s="108" t="str">
        <f>IF(A119&lt;Parámetros!$E$6,A119+1,"")</f>
        <v/>
      </c>
      <c r="B120" s="109" t="str">
        <f t="shared" si="53"/>
        <v/>
      </c>
      <c r="C120" s="109" t="str">
        <f t="shared" si="29"/>
        <v/>
      </c>
      <c r="D120" s="109" t="str">
        <f t="shared" si="30"/>
        <v/>
      </c>
      <c r="E120" s="109" t="str">
        <f t="shared" si="31"/>
        <v/>
      </c>
      <c r="F120" s="109" t="str">
        <f t="shared" si="32"/>
        <v/>
      </c>
      <c r="G120" s="115" t="str">
        <f t="shared" si="42"/>
        <v/>
      </c>
      <c r="H120" s="116">
        <f t="shared" si="43"/>
        <v>0</v>
      </c>
      <c r="I120" s="109" t="str">
        <f t="shared" si="54"/>
        <v/>
      </c>
      <c r="J120" s="109" t="str">
        <f t="shared" si="33"/>
        <v/>
      </c>
      <c r="K120" s="109" t="str">
        <f t="shared" si="34"/>
        <v/>
      </c>
      <c r="L120" s="109" t="str">
        <f t="shared" si="35"/>
        <v/>
      </c>
      <c r="M120" s="109" t="str">
        <f t="shared" si="44"/>
        <v/>
      </c>
      <c r="N120" s="115" t="str">
        <f t="shared" si="45"/>
        <v/>
      </c>
      <c r="O120" s="61">
        <v>0</v>
      </c>
      <c r="P120" s="117">
        <f t="shared" si="46"/>
        <v>0</v>
      </c>
      <c r="R120" s="118" t="str">
        <f t="shared" si="56"/>
        <v/>
      </c>
      <c r="S120" s="119" t="str">
        <f t="shared" si="36"/>
        <v/>
      </c>
      <c r="T120" s="119" t="str">
        <f t="shared" si="37"/>
        <v/>
      </c>
      <c r="U120" s="120">
        <f t="shared" si="47"/>
        <v>0</v>
      </c>
      <c r="V120" s="121" t="str">
        <f>IF(A120="","",IF(A120&lt;=Periodos_Gracia,0,PPMT(Tasa_Anual/360*Días*(1+I.V.A.),Tabla!AM120,No._De_Pagos_con_periodo_de_gracia,-Monto_Crédito)))</f>
        <v/>
      </c>
      <c r="W120" s="111" t="str">
        <f>IF($U$258&lt;=0,V120,IF(SUM($U$18:U120)&lt;=0,V120,PMT($K$5/360*Días,A120,-R120)))</f>
        <v/>
      </c>
      <c r="X120" s="122" t="str">
        <f>IF($U$258&lt;=0,W120,IF(SUM($U$18:U120)&lt;=0,V120,PMT($K$5/360*Días,No._De_Pagos_con_periodo_de_gracia,-Monto_Crédito)-S120-T120))</f>
        <v/>
      </c>
      <c r="Y120" s="118" t="str">
        <f t="shared" si="48"/>
        <v/>
      </c>
      <c r="Z120" s="62" t="str">
        <f>+IF(A120="","",IF(No._de_Pagos-Tabla!A120+1&lt;=0,"",No._de_Pagos-Tabla!A120+1))</f>
        <v/>
      </c>
      <c r="AA120" s="123" t="str">
        <f t="shared" si="49"/>
        <v/>
      </c>
      <c r="AB120" s="125" t="str">
        <f t="shared" si="55"/>
        <v/>
      </c>
      <c r="AC120" s="125" t="str">
        <f t="shared" si="38"/>
        <v/>
      </c>
      <c r="AD120" s="125" t="str">
        <f t="shared" si="39"/>
        <v/>
      </c>
      <c r="AE120" s="120">
        <f t="shared" si="50"/>
        <v>0</v>
      </c>
      <c r="AF120" s="121" t="str">
        <f t="shared" si="40"/>
        <v/>
      </c>
      <c r="AG120" s="111" t="str">
        <f>IF($U$258&lt;=0,AF120,IF(SUM($U$18:U120)&lt;=0,AF120,PMT($K$5/360*Días,A120,-AA120)))</f>
        <v/>
      </c>
      <c r="AH120" s="122" t="str">
        <f>IF(A120&lt;=Periodos_Gracia,0,IF($U$258&lt;=0,AG120,IF(SUM($U$18:U120)&lt;=0,AF120,PMT($K$5/360*Días,No._de_Pagos,-Monto_Crédito)-AC120-AD120)))</f>
        <v/>
      </c>
      <c r="AI120" s="126" t="str">
        <f t="shared" si="51"/>
        <v/>
      </c>
      <c r="AK120" s="127" t="str">
        <f>IF(A120="","",IF(Periodos_Gracia&gt;0,Tabla!AN120,V120+S120))</f>
        <v/>
      </c>
      <c r="AL120" s="127" t="str">
        <f t="shared" si="41"/>
        <v/>
      </c>
      <c r="AM120" s="62" t="str">
        <f t="shared" si="52"/>
        <v/>
      </c>
      <c r="AN120" s="128" t="str">
        <f>IF(A120="","",IF(A120&lt;=Periodos_Gracia,Tabla!S120,PPMT(Tasa_Anual/360*Días*(1+I.V.A.),Tabla!AM120,No._De_Pagos_con_periodo_de_gracia,-Monto_Crédito)+S120))</f>
        <v/>
      </c>
      <c r="AO120" s="128" t="str">
        <f>IF(A120="","",IF(A120&lt;=Periodos_Gracia,Tabla!AC120,Monto_Crédito/(No._De_Pagos_con_periodo_de_gracia)+AC120))</f>
        <v/>
      </c>
      <c r="AP120" s="118"/>
    </row>
    <row r="121" spans="1:42">
      <c r="A121" s="108" t="str">
        <f>IF(A120&lt;Parámetros!$E$6,A120+1,"")</f>
        <v/>
      </c>
      <c r="B121" s="109" t="str">
        <f t="shared" si="53"/>
        <v/>
      </c>
      <c r="C121" s="109" t="str">
        <f t="shared" si="29"/>
        <v/>
      </c>
      <c r="D121" s="109" t="str">
        <f t="shared" si="30"/>
        <v/>
      </c>
      <c r="E121" s="109" t="str">
        <f t="shared" si="31"/>
        <v/>
      </c>
      <c r="F121" s="109" t="str">
        <f t="shared" si="32"/>
        <v/>
      </c>
      <c r="G121" s="115" t="str">
        <f t="shared" si="42"/>
        <v/>
      </c>
      <c r="H121" s="116">
        <f t="shared" si="43"/>
        <v>0</v>
      </c>
      <c r="I121" s="109" t="str">
        <f t="shared" si="54"/>
        <v/>
      </c>
      <c r="J121" s="109" t="str">
        <f t="shared" si="33"/>
        <v/>
      </c>
      <c r="K121" s="109" t="str">
        <f t="shared" si="34"/>
        <v/>
      </c>
      <c r="L121" s="109" t="str">
        <f t="shared" si="35"/>
        <v/>
      </c>
      <c r="M121" s="109" t="str">
        <f t="shared" si="44"/>
        <v/>
      </c>
      <c r="N121" s="115" t="str">
        <f t="shared" si="45"/>
        <v/>
      </c>
      <c r="O121" s="61">
        <v>0</v>
      </c>
      <c r="P121" s="117">
        <f t="shared" si="46"/>
        <v>0</v>
      </c>
      <c r="R121" s="118" t="str">
        <f t="shared" si="56"/>
        <v/>
      </c>
      <c r="S121" s="119" t="str">
        <f t="shared" si="36"/>
        <v/>
      </c>
      <c r="T121" s="119" t="str">
        <f t="shared" si="37"/>
        <v/>
      </c>
      <c r="U121" s="120">
        <f t="shared" si="47"/>
        <v>0</v>
      </c>
      <c r="V121" s="121" t="str">
        <f>IF(A121="","",IF(A121&lt;=Periodos_Gracia,0,PPMT(Tasa_Anual/360*Días*(1+I.V.A.),Tabla!AM121,No._De_Pagos_con_periodo_de_gracia,-Monto_Crédito)))</f>
        <v/>
      </c>
      <c r="W121" s="111" t="str">
        <f>IF($U$258&lt;=0,V121,IF(SUM($U$18:U121)&lt;=0,V121,PMT($K$5/360*Días,A121,-R121)))</f>
        <v/>
      </c>
      <c r="X121" s="122" t="str">
        <f>IF($U$258&lt;=0,W121,IF(SUM($U$18:U121)&lt;=0,V121,PMT($K$5/360*Días,No._De_Pagos_con_periodo_de_gracia,-Monto_Crédito)-S121-T121))</f>
        <v/>
      </c>
      <c r="Y121" s="118" t="str">
        <f t="shared" si="48"/>
        <v/>
      </c>
      <c r="Z121" s="62" t="str">
        <f>+IF(A121="","",IF(No._de_Pagos-Tabla!A121+1&lt;=0,"",No._de_Pagos-Tabla!A121+1))</f>
        <v/>
      </c>
      <c r="AA121" s="123" t="str">
        <f t="shared" si="49"/>
        <v/>
      </c>
      <c r="AB121" s="125" t="str">
        <f t="shared" si="55"/>
        <v/>
      </c>
      <c r="AC121" s="125" t="str">
        <f t="shared" si="38"/>
        <v/>
      </c>
      <c r="AD121" s="125" t="str">
        <f t="shared" si="39"/>
        <v/>
      </c>
      <c r="AE121" s="120">
        <f t="shared" si="50"/>
        <v>0</v>
      </c>
      <c r="AF121" s="121" t="str">
        <f t="shared" si="40"/>
        <v/>
      </c>
      <c r="AG121" s="111" t="str">
        <f>IF($U$258&lt;=0,AF121,IF(SUM($U$18:U121)&lt;=0,AF121,PMT($K$5/360*Días,A121,-AA121)))</f>
        <v/>
      </c>
      <c r="AH121" s="122" t="str">
        <f>IF(A121&lt;=Periodos_Gracia,0,IF($U$258&lt;=0,AG121,IF(SUM($U$18:U121)&lt;=0,AF121,PMT($K$5/360*Días,No._de_Pagos,-Monto_Crédito)-AC121-AD121)))</f>
        <v/>
      </c>
      <c r="AI121" s="126" t="str">
        <f t="shared" si="51"/>
        <v/>
      </c>
      <c r="AK121" s="127" t="str">
        <f>IF(A121="","",IF(Periodos_Gracia&gt;0,Tabla!AN121,V121+S121))</f>
        <v/>
      </c>
      <c r="AL121" s="127" t="str">
        <f t="shared" si="41"/>
        <v/>
      </c>
      <c r="AM121" s="62" t="str">
        <f t="shared" si="52"/>
        <v/>
      </c>
      <c r="AN121" s="128" t="str">
        <f>IF(A121="","",IF(A121&lt;=Periodos_Gracia,Tabla!S121,PPMT(Tasa_Anual/360*Días*(1+I.V.A.),Tabla!AM121,No._De_Pagos_con_periodo_de_gracia,-Monto_Crédito)+S121))</f>
        <v/>
      </c>
      <c r="AO121" s="128" t="str">
        <f>IF(A121="","",IF(A121&lt;=Periodos_Gracia,Tabla!AC121,Monto_Crédito/(No._De_Pagos_con_periodo_de_gracia)+AC121))</f>
        <v/>
      </c>
      <c r="AP121" s="118"/>
    </row>
    <row r="122" spans="1:42">
      <c r="A122" s="108" t="str">
        <f>IF(A121&lt;Parámetros!$E$6,A121+1,"")</f>
        <v/>
      </c>
      <c r="B122" s="109" t="str">
        <f t="shared" si="53"/>
        <v/>
      </c>
      <c r="C122" s="109" t="str">
        <f t="shared" si="29"/>
        <v/>
      </c>
      <c r="D122" s="109" t="str">
        <f t="shared" si="30"/>
        <v/>
      </c>
      <c r="E122" s="109" t="str">
        <f t="shared" si="31"/>
        <v/>
      </c>
      <c r="F122" s="109" t="str">
        <f t="shared" si="32"/>
        <v/>
      </c>
      <c r="G122" s="115" t="str">
        <f t="shared" si="42"/>
        <v/>
      </c>
      <c r="H122" s="116">
        <f t="shared" si="43"/>
        <v>0</v>
      </c>
      <c r="I122" s="109" t="str">
        <f t="shared" si="54"/>
        <v/>
      </c>
      <c r="J122" s="109" t="str">
        <f t="shared" si="33"/>
        <v/>
      </c>
      <c r="K122" s="109" t="str">
        <f t="shared" si="34"/>
        <v/>
      </c>
      <c r="L122" s="109" t="str">
        <f t="shared" si="35"/>
        <v/>
      </c>
      <c r="M122" s="109" t="str">
        <f t="shared" si="44"/>
        <v/>
      </c>
      <c r="N122" s="115" t="str">
        <f t="shared" si="45"/>
        <v/>
      </c>
      <c r="O122" s="61">
        <v>0</v>
      </c>
      <c r="P122" s="117">
        <f t="shared" si="46"/>
        <v>0</v>
      </c>
      <c r="R122" s="118" t="str">
        <f t="shared" si="56"/>
        <v/>
      </c>
      <c r="S122" s="119" t="str">
        <f t="shared" si="36"/>
        <v/>
      </c>
      <c r="T122" s="119" t="str">
        <f t="shared" si="37"/>
        <v/>
      </c>
      <c r="U122" s="120">
        <f t="shared" si="47"/>
        <v>0</v>
      </c>
      <c r="V122" s="121" t="str">
        <f>IF(A122="","",IF(A122&lt;=Periodos_Gracia,0,PPMT(Tasa_Anual/360*Días*(1+I.V.A.),Tabla!AM122,No._De_Pagos_con_periodo_de_gracia,-Monto_Crédito)))</f>
        <v/>
      </c>
      <c r="W122" s="111" t="str">
        <f>IF($U$258&lt;=0,V122,IF(SUM($U$18:U122)&lt;=0,V122,PMT($K$5/360*Días,A122,-R122)))</f>
        <v/>
      </c>
      <c r="X122" s="122" t="str">
        <f>IF($U$258&lt;=0,W122,IF(SUM($U$18:U122)&lt;=0,V122,PMT($K$5/360*Días,No._De_Pagos_con_periodo_de_gracia,-Monto_Crédito)-S122-T122))</f>
        <v/>
      </c>
      <c r="Y122" s="118" t="str">
        <f t="shared" si="48"/>
        <v/>
      </c>
      <c r="Z122" s="62" t="str">
        <f>+IF(A122="","",IF(No._de_Pagos-Tabla!A122+1&lt;=0,"",No._de_Pagos-Tabla!A122+1))</f>
        <v/>
      </c>
      <c r="AA122" s="123" t="str">
        <f t="shared" si="49"/>
        <v/>
      </c>
      <c r="AB122" s="125" t="str">
        <f t="shared" si="55"/>
        <v/>
      </c>
      <c r="AC122" s="125" t="str">
        <f t="shared" si="38"/>
        <v/>
      </c>
      <c r="AD122" s="125" t="str">
        <f t="shared" si="39"/>
        <v/>
      </c>
      <c r="AE122" s="120">
        <f t="shared" si="50"/>
        <v>0</v>
      </c>
      <c r="AF122" s="121" t="str">
        <f t="shared" si="40"/>
        <v/>
      </c>
      <c r="AG122" s="111" t="str">
        <f>IF($U$258&lt;=0,AF122,IF(SUM($U$18:U122)&lt;=0,AF122,PMT($K$5/360*Días,A122,-AA122)))</f>
        <v/>
      </c>
      <c r="AH122" s="122" t="str">
        <f>IF(A122&lt;=Periodos_Gracia,0,IF($U$258&lt;=0,AG122,IF(SUM($U$18:U122)&lt;=0,AF122,PMT($K$5/360*Días,No._de_Pagos,-Monto_Crédito)-AC122-AD122)))</f>
        <v/>
      </c>
      <c r="AI122" s="126" t="str">
        <f t="shared" si="51"/>
        <v/>
      </c>
      <c r="AK122" s="127" t="str">
        <f>IF(A122="","",IF(Periodos_Gracia&gt;0,Tabla!AN122,V122+S122))</f>
        <v/>
      </c>
      <c r="AL122" s="127" t="str">
        <f t="shared" si="41"/>
        <v/>
      </c>
      <c r="AM122" s="62" t="str">
        <f t="shared" si="52"/>
        <v/>
      </c>
      <c r="AN122" s="128" t="str">
        <f>IF(A122="","",IF(A122&lt;=Periodos_Gracia,Tabla!S122,PPMT(Tasa_Anual/360*Días*(1+I.V.A.),Tabla!AM122,No._De_Pagos_con_periodo_de_gracia,-Monto_Crédito)+S122))</f>
        <v/>
      </c>
      <c r="AO122" s="128" t="str">
        <f>IF(A122="","",IF(A122&lt;=Periodos_Gracia,Tabla!AC122,Monto_Crédito/(No._De_Pagos_con_periodo_de_gracia)+AC122))</f>
        <v/>
      </c>
      <c r="AP122" s="118"/>
    </row>
    <row r="123" spans="1:42">
      <c r="A123" s="108" t="str">
        <f>IF(A122&lt;Parámetros!$E$6,A122+1,"")</f>
        <v/>
      </c>
      <c r="B123" s="109" t="str">
        <f t="shared" si="53"/>
        <v/>
      </c>
      <c r="C123" s="109" t="str">
        <f t="shared" si="29"/>
        <v/>
      </c>
      <c r="D123" s="109" t="str">
        <f t="shared" si="30"/>
        <v/>
      </c>
      <c r="E123" s="109" t="str">
        <f t="shared" si="31"/>
        <v/>
      </c>
      <c r="F123" s="109" t="str">
        <f t="shared" si="32"/>
        <v/>
      </c>
      <c r="G123" s="115" t="str">
        <f t="shared" si="42"/>
        <v/>
      </c>
      <c r="H123" s="116">
        <f t="shared" si="43"/>
        <v>0</v>
      </c>
      <c r="I123" s="109" t="str">
        <f t="shared" si="54"/>
        <v/>
      </c>
      <c r="J123" s="109" t="str">
        <f t="shared" si="33"/>
        <v/>
      </c>
      <c r="K123" s="109" t="str">
        <f t="shared" si="34"/>
        <v/>
      </c>
      <c r="L123" s="109" t="str">
        <f t="shared" si="35"/>
        <v/>
      </c>
      <c r="M123" s="109" t="str">
        <f t="shared" si="44"/>
        <v/>
      </c>
      <c r="N123" s="115" t="str">
        <f t="shared" si="45"/>
        <v/>
      </c>
      <c r="O123" s="61">
        <v>0</v>
      </c>
      <c r="P123" s="117">
        <f t="shared" si="46"/>
        <v>0</v>
      </c>
      <c r="R123" s="118" t="str">
        <f t="shared" si="56"/>
        <v/>
      </c>
      <c r="S123" s="119" t="str">
        <f t="shared" si="36"/>
        <v/>
      </c>
      <c r="T123" s="119" t="str">
        <f t="shared" si="37"/>
        <v/>
      </c>
      <c r="U123" s="120">
        <f t="shared" si="47"/>
        <v>0</v>
      </c>
      <c r="V123" s="121" t="str">
        <f>IF(A123="","",IF(A123&lt;=Periodos_Gracia,0,PPMT(Tasa_Anual/360*Días*(1+I.V.A.),Tabla!AM123,No._De_Pagos_con_periodo_de_gracia,-Monto_Crédito)))</f>
        <v/>
      </c>
      <c r="W123" s="111" t="str">
        <f>IF($U$258&lt;=0,V123,IF(SUM($U$18:U123)&lt;=0,V123,PMT($K$5/360*Días,A123,-R123)))</f>
        <v/>
      </c>
      <c r="X123" s="122" t="str">
        <f>IF($U$258&lt;=0,W123,IF(SUM($U$18:U123)&lt;=0,V123,PMT($K$5/360*Días,No._De_Pagos_con_periodo_de_gracia,-Monto_Crédito)-S123-T123))</f>
        <v/>
      </c>
      <c r="Y123" s="118" t="str">
        <f t="shared" si="48"/>
        <v/>
      </c>
      <c r="Z123" s="62" t="str">
        <f>+IF(A123="","",IF(No._de_Pagos-Tabla!A123+1&lt;=0,"",No._de_Pagos-Tabla!A123+1))</f>
        <v/>
      </c>
      <c r="AA123" s="123" t="str">
        <f t="shared" si="49"/>
        <v/>
      </c>
      <c r="AB123" s="125" t="str">
        <f t="shared" si="55"/>
        <v/>
      </c>
      <c r="AC123" s="125" t="str">
        <f t="shared" si="38"/>
        <v/>
      </c>
      <c r="AD123" s="125" t="str">
        <f t="shared" si="39"/>
        <v/>
      </c>
      <c r="AE123" s="120">
        <f t="shared" si="50"/>
        <v>0</v>
      </c>
      <c r="AF123" s="121" t="str">
        <f t="shared" si="40"/>
        <v/>
      </c>
      <c r="AG123" s="111" t="str">
        <f>IF($U$258&lt;=0,AF123,IF(SUM($U$18:U123)&lt;=0,AF123,PMT($K$5/360*Días,A123,-AA123)))</f>
        <v/>
      </c>
      <c r="AH123" s="122" t="str">
        <f>IF(A123&lt;=Periodos_Gracia,0,IF($U$258&lt;=0,AG123,IF(SUM($U$18:U123)&lt;=0,AF123,PMT($K$5/360*Días,No._de_Pagos,-Monto_Crédito)-AC123-AD123)))</f>
        <v/>
      </c>
      <c r="AI123" s="126" t="str">
        <f t="shared" si="51"/>
        <v/>
      </c>
      <c r="AK123" s="127" t="str">
        <f>IF(A123="","",IF(Periodos_Gracia&gt;0,Tabla!AN123,V123+S123))</f>
        <v/>
      </c>
      <c r="AL123" s="127" t="str">
        <f t="shared" si="41"/>
        <v/>
      </c>
      <c r="AM123" s="62" t="str">
        <f t="shared" si="52"/>
        <v/>
      </c>
      <c r="AN123" s="128" t="str">
        <f>IF(A123="","",IF(A123&lt;=Periodos_Gracia,Tabla!S123,PPMT(Tasa_Anual/360*Días*(1+I.V.A.),Tabla!AM123,No._De_Pagos_con_periodo_de_gracia,-Monto_Crédito)+S123))</f>
        <v/>
      </c>
      <c r="AO123" s="128" t="str">
        <f>IF(A123="","",IF(A123&lt;=Periodos_Gracia,Tabla!AC123,Monto_Crédito/(No._De_Pagos_con_periodo_de_gracia)+AC123))</f>
        <v/>
      </c>
      <c r="AP123" s="118"/>
    </row>
    <row r="124" spans="1:42">
      <c r="A124" s="108" t="str">
        <f>IF(A123&lt;Parámetros!$E$6,A123+1,"")</f>
        <v/>
      </c>
      <c r="B124" s="109" t="str">
        <f t="shared" si="53"/>
        <v/>
      </c>
      <c r="C124" s="109" t="str">
        <f t="shared" si="29"/>
        <v/>
      </c>
      <c r="D124" s="109" t="str">
        <f t="shared" si="30"/>
        <v/>
      </c>
      <c r="E124" s="109" t="str">
        <f t="shared" si="31"/>
        <v/>
      </c>
      <c r="F124" s="109" t="str">
        <f t="shared" si="32"/>
        <v/>
      </c>
      <c r="G124" s="115" t="str">
        <f t="shared" si="42"/>
        <v/>
      </c>
      <c r="H124" s="116">
        <f t="shared" si="43"/>
        <v>0</v>
      </c>
      <c r="I124" s="109" t="str">
        <f t="shared" si="54"/>
        <v/>
      </c>
      <c r="J124" s="109" t="str">
        <f t="shared" si="33"/>
        <v/>
      </c>
      <c r="K124" s="109" t="str">
        <f t="shared" si="34"/>
        <v/>
      </c>
      <c r="L124" s="109" t="str">
        <f t="shared" si="35"/>
        <v/>
      </c>
      <c r="M124" s="109" t="str">
        <f t="shared" si="44"/>
        <v/>
      </c>
      <c r="N124" s="115" t="str">
        <f t="shared" si="45"/>
        <v/>
      </c>
      <c r="O124" s="61">
        <v>0</v>
      </c>
      <c r="P124" s="117">
        <f t="shared" si="46"/>
        <v>0</v>
      </c>
      <c r="R124" s="118" t="str">
        <f t="shared" si="56"/>
        <v/>
      </c>
      <c r="S124" s="119" t="str">
        <f t="shared" si="36"/>
        <v/>
      </c>
      <c r="T124" s="119" t="str">
        <f t="shared" si="37"/>
        <v/>
      </c>
      <c r="U124" s="120">
        <f t="shared" si="47"/>
        <v>0</v>
      </c>
      <c r="V124" s="121" t="str">
        <f>IF(A124="","",IF(A124&lt;=Periodos_Gracia,0,PPMT(Tasa_Anual/360*Días*(1+I.V.A.),Tabla!AM124,No._De_Pagos_con_periodo_de_gracia,-Monto_Crédito)))</f>
        <v/>
      </c>
      <c r="W124" s="111" t="str">
        <f>IF($U$258&lt;=0,V124,IF(SUM($U$18:U124)&lt;=0,V124,PMT($K$5/360*Días,A124,-R124)))</f>
        <v/>
      </c>
      <c r="X124" s="122" t="str">
        <f>IF($U$258&lt;=0,W124,IF(SUM($U$18:U124)&lt;=0,V124,PMT($K$5/360*Días,No._De_Pagos_con_periodo_de_gracia,-Monto_Crédito)-S124-T124))</f>
        <v/>
      </c>
      <c r="Y124" s="118" t="str">
        <f t="shared" si="48"/>
        <v/>
      </c>
      <c r="Z124" s="62" t="str">
        <f>+IF(A124="","",IF(No._de_Pagos-Tabla!A124+1&lt;=0,"",No._de_Pagos-Tabla!A124+1))</f>
        <v/>
      </c>
      <c r="AA124" s="123" t="str">
        <f t="shared" si="49"/>
        <v/>
      </c>
      <c r="AB124" s="125" t="str">
        <f t="shared" si="55"/>
        <v/>
      </c>
      <c r="AC124" s="125" t="str">
        <f t="shared" si="38"/>
        <v/>
      </c>
      <c r="AD124" s="125" t="str">
        <f t="shared" si="39"/>
        <v/>
      </c>
      <c r="AE124" s="120">
        <f t="shared" si="50"/>
        <v>0</v>
      </c>
      <c r="AF124" s="121" t="str">
        <f t="shared" si="40"/>
        <v/>
      </c>
      <c r="AG124" s="111" t="str">
        <f>IF($U$258&lt;=0,AF124,IF(SUM($U$18:U124)&lt;=0,AF124,PMT($K$5/360*Días,A124,-AA124)))</f>
        <v/>
      </c>
      <c r="AH124" s="122" t="str">
        <f>IF(A124&lt;=Periodos_Gracia,0,IF($U$258&lt;=0,AG124,IF(SUM($U$18:U124)&lt;=0,AF124,PMT($K$5/360*Días,No._de_Pagos,-Monto_Crédito)-AC124-AD124)))</f>
        <v/>
      </c>
      <c r="AI124" s="126" t="str">
        <f t="shared" si="51"/>
        <v/>
      </c>
      <c r="AK124" s="127" t="str">
        <f>IF(A124="","",IF(Periodos_Gracia&gt;0,Tabla!AN124,V124+S124))</f>
        <v/>
      </c>
      <c r="AL124" s="127" t="str">
        <f t="shared" si="41"/>
        <v/>
      </c>
      <c r="AM124" s="62" t="str">
        <f t="shared" si="52"/>
        <v/>
      </c>
      <c r="AN124" s="128" t="str">
        <f>IF(A124="","",IF(A124&lt;=Periodos_Gracia,Tabla!S124,PPMT(Tasa_Anual/360*Días*(1+I.V.A.),Tabla!AM124,No._De_Pagos_con_periodo_de_gracia,-Monto_Crédito)+S124))</f>
        <v/>
      </c>
      <c r="AO124" s="128" t="str">
        <f>IF(A124="","",IF(A124&lt;=Periodos_Gracia,Tabla!AC124,Monto_Crédito/(No._De_Pagos_con_periodo_de_gracia)+AC124))</f>
        <v/>
      </c>
      <c r="AP124" s="118"/>
    </row>
    <row r="125" spans="1:42">
      <c r="A125" s="108" t="str">
        <f>IF(A124&lt;Parámetros!$E$6,A124+1,"")</f>
        <v/>
      </c>
      <c r="B125" s="109" t="str">
        <f t="shared" si="53"/>
        <v/>
      </c>
      <c r="C125" s="109" t="str">
        <f t="shared" si="29"/>
        <v/>
      </c>
      <c r="D125" s="109" t="str">
        <f t="shared" si="30"/>
        <v/>
      </c>
      <c r="E125" s="109" t="str">
        <f t="shared" si="31"/>
        <v/>
      </c>
      <c r="F125" s="109" t="str">
        <f t="shared" si="32"/>
        <v/>
      </c>
      <c r="G125" s="115" t="str">
        <f t="shared" si="42"/>
        <v/>
      </c>
      <c r="H125" s="116">
        <f t="shared" si="43"/>
        <v>0</v>
      </c>
      <c r="I125" s="109" t="str">
        <f t="shared" si="54"/>
        <v/>
      </c>
      <c r="J125" s="109" t="str">
        <f t="shared" si="33"/>
        <v/>
      </c>
      <c r="K125" s="109" t="str">
        <f t="shared" si="34"/>
        <v/>
      </c>
      <c r="L125" s="109" t="str">
        <f t="shared" si="35"/>
        <v/>
      </c>
      <c r="M125" s="109" t="str">
        <f t="shared" si="44"/>
        <v/>
      </c>
      <c r="N125" s="115" t="str">
        <f t="shared" si="45"/>
        <v/>
      </c>
      <c r="O125" s="61">
        <v>0</v>
      </c>
      <c r="P125" s="117">
        <f t="shared" si="46"/>
        <v>0</v>
      </c>
      <c r="R125" s="118" t="str">
        <f t="shared" si="56"/>
        <v/>
      </c>
      <c r="S125" s="119" t="str">
        <f t="shared" si="36"/>
        <v/>
      </c>
      <c r="T125" s="119" t="str">
        <f t="shared" si="37"/>
        <v/>
      </c>
      <c r="U125" s="120">
        <f t="shared" si="47"/>
        <v>0</v>
      </c>
      <c r="V125" s="121" t="str">
        <f>IF(A125="","",IF(A125&lt;=Periodos_Gracia,0,PPMT(Tasa_Anual/360*Días*(1+I.V.A.),Tabla!AM125,No._De_Pagos_con_periodo_de_gracia,-Monto_Crédito)))</f>
        <v/>
      </c>
      <c r="W125" s="111" t="str">
        <f>IF($U$258&lt;=0,V125,IF(SUM($U$18:U125)&lt;=0,V125,PMT($K$5/360*Días,A125,-R125)))</f>
        <v/>
      </c>
      <c r="X125" s="122" t="str">
        <f>IF($U$258&lt;=0,W125,IF(SUM($U$18:U125)&lt;=0,V125,PMT($K$5/360*Días,No._De_Pagos_con_periodo_de_gracia,-Monto_Crédito)-S125-T125))</f>
        <v/>
      </c>
      <c r="Y125" s="118" t="str">
        <f t="shared" si="48"/>
        <v/>
      </c>
      <c r="Z125" s="62" t="str">
        <f>+IF(A125="","",IF(No._de_Pagos-Tabla!A125+1&lt;=0,"",No._de_Pagos-Tabla!A125+1))</f>
        <v/>
      </c>
      <c r="AA125" s="123" t="str">
        <f t="shared" si="49"/>
        <v/>
      </c>
      <c r="AB125" s="125" t="str">
        <f t="shared" si="55"/>
        <v/>
      </c>
      <c r="AC125" s="125" t="str">
        <f t="shared" si="38"/>
        <v/>
      </c>
      <c r="AD125" s="125" t="str">
        <f t="shared" si="39"/>
        <v/>
      </c>
      <c r="AE125" s="120">
        <f t="shared" si="50"/>
        <v>0</v>
      </c>
      <c r="AF125" s="121" t="str">
        <f t="shared" si="40"/>
        <v/>
      </c>
      <c r="AG125" s="111" t="str">
        <f>IF($U$258&lt;=0,AF125,IF(SUM($U$18:U125)&lt;=0,AF125,PMT($K$5/360*Días,A125,-AA125)))</f>
        <v/>
      </c>
      <c r="AH125" s="122" t="str">
        <f>IF(A125&lt;=Periodos_Gracia,0,IF($U$258&lt;=0,AG125,IF(SUM($U$18:U125)&lt;=0,AF125,PMT($K$5/360*Días,No._de_Pagos,-Monto_Crédito)-AC125-AD125)))</f>
        <v/>
      </c>
      <c r="AI125" s="126" t="str">
        <f t="shared" si="51"/>
        <v/>
      </c>
      <c r="AK125" s="127" t="str">
        <f>IF(A125="","",IF(Periodos_Gracia&gt;0,Tabla!AN125,V125+S125))</f>
        <v/>
      </c>
      <c r="AL125" s="127" t="str">
        <f t="shared" si="41"/>
        <v/>
      </c>
      <c r="AM125" s="62" t="str">
        <f t="shared" si="52"/>
        <v/>
      </c>
      <c r="AN125" s="128" t="str">
        <f>IF(A125="","",IF(A125&lt;=Periodos_Gracia,Tabla!S125,PPMT(Tasa_Anual/360*Días*(1+I.V.A.),Tabla!AM125,No._De_Pagos_con_periodo_de_gracia,-Monto_Crédito)+S125))</f>
        <v/>
      </c>
      <c r="AO125" s="128" t="str">
        <f>IF(A125="","",IF(A125&lt;=Periodos_Gracia,Tabla!AC125,Monto_Crédito/(No._De_Pagos_con_periodo_de_gracia)+AC125))</f>
        <v/>
      </c>
      <c r="AP125" s="118"/>
    </row>
    <row r="126" spans="1:42">
      <c r="A126" s="108" t="str">
        <f>IF(A125&lt;Parámetros!$E$6,A125+1,"")</f>
        <v/>
      </c>
      <c r="B126" s="109" t="str">
        <f t="shared" si="53"/>
        <v/>
      </c>
      <c r="C126" s="109" t="str">
        <f t="shared" si="29"/>
        <v/>
      </c>
      <c r="D126" s="109" t="str">
        <f t="shared" si="30"/>
        <v/>
      </c>
      <c r="E126" s="109" t="str">
        <f t="shared" si="31"/>
        <v/>
      </c>
      <c r="F126" s="109" t="str">
        <f t="shared" si="32"/>
        <v/>
      </c>
      <c r="G126" s="115" t="str">
        <f t="shared" si="42"/>
        <v/>
      </c>
      <c r="H126" s="116">
        <f t="shared" si="43"/>
        <v>0</v>
      </c>
      <c r="I126" s="109" t="str">
        <f t="shared" si="54"/>
        <v/>
      </c>
      <c r="J126" s="109" t="str">
        <f t="shared" si="33"/>
        <v/>
      </c>
      <c r="K126" s="109" t="str">
        <f t="shared" si="34"/>
        <v/>
      </c>
      <c r="L126" s="109" t="str">
        <f t="shared" si="35"/>
        <v/>
      </c>
      <c r="M126" s="109" t="str">
        <f t="shared" si="44"/>
        <v/>
      </c>
      <c r="N126" s="115" t="str">
        <f t="shared" si="45"/>
        <v/>
      </c>
      <c r="O126" s="61">
        <v>0</v>
      </c>
      <c r="P126" s="117">
        <f t="shared" si="46"/>
        <v>0</v>
      </c>
      <c r="R126" s="118" t="str">
        <f t="shared" si="56"/>
        <v/>
      </c>
      <c r="S126" s="119" t="str">
        <f t="shared" si="36"/>
        <v/>
      </c>
      <c r="T126" s="119" t="str">
        <f t="shared" si="37"/>
        <v/>
      </c>
      <c r="U126" s="120">
        <f t="shared" si="47"/>
        <v>0</v>
      </c>
      <c r="V126" s="121" t="str">
        <f>IF(A126="","",IF(A126&lt;=Periodos_Gracia,0,PPMT(Tasa_Anual/360*Días*(1+I.V.A.),Tabla!AM126,No._De_Pagos_con_periodo_de_gracia,-Monto_Crédito)))</f>
        <v/>
      </c>
      <c r="W126" s="111" t="str">
        <f>IF($U$258&lt;=0,V126,IF(SUM($U$18:U126)&lt;=0,V126,PMT($K$5/360*Días,A126,-R126)))</f>
        <v/>
      </c>
      <c r="X126" s="122" t="str">
        <f>IF($U$258&lt;=0,W126,IF(SUM($U$18:U126)&lt;=0,V126,PMT($K$5/360*Días,No._De_Pagos_con_periodo_de_gracia,-Monto_Crédito)-S126-T126))</f>
        <v/>
      </c>
      <c r="Y126" s="118" t="str">
        <f t="shared" si="48"/>
        <v/>
      </c>
      <c r="Z126" s="62" t="str">
        <f>+IF(A126="","",IF(No._de_Pagos-Tabla!A126+1&lt;=0,"",No._de_Pagos-Tabla!A126+1))</f>
        <v/>
      </c>
      <c r="AA126" s="123" t="str">
        <f t="shared" si="49"/>
        <v/>
      </c>
      <c r="AB126" s="125" t="str">
        <f t="shared" si="55"/>
        <v/>
      </c>
      <c r="AC126" s="125" t="str">
        <f t="shared" si="38"/>
        <v/>
      </c>
      <c r="AD126" s="125" t="str">
        <f t="shared" si="39"/>
        <v/>
      </c>
      <c r="AE126" s="120">
        <f t="shared" si="50"/>
        <v>0</v>
      </c>
      <c r="AF126" s="121" t="str">
        <f t="shared" si="40"/>
        <v/>
      </c>
      <c r="AG126" s="111" t="str">
        <f>IF($U$258&lt;=0,AF126,IF(SUM($U$18:U126)&lt;=0,AF126,PMT($K$5/360*Días,A126,-AA126)))</f>
        <v/>
      </c>
      <c r="AH126" s="122" t="str">
        <f>IF(A126&lt;=Periodos_Gracia,0,IF($U$258&lt;=0,AG126,IF(SUM($U$18:U126)&lt;=0,AF126,PMT($K$5/360*Días,No._de_Pagos,-Monto_Crédito)-AC126-AD126)))</f>
        <v/>
      </c>
      <c r="AI126" s="126" t="str">
        <f t="shared" si="51"/>
        <v/>
      </c>
      <c r="AK126" s="127" t="str">
        <f>IF(A126="","",IF(Periodos_Gracia&gt;0,Tabla!AN126,V126+S126))</f>
        <v/>
      </c>
      <c r="AL126" s="127" t="str">
        <f t="shared" si="41"/>
        <v/>
      </c>
      <c r="AM126" s="62" t="str">
        <f t="shared" si="52"/>
        <v/>
      </c>
      <c r="AN126" s="128" t="str">
        <f>IF(A126="","",IF(A126&lt;=Periodos_Gracia,Tabla!S126,PPMT(Tasa_Anual/360*Días*(1+I.V.A.),Tabla!AM126,No._De_Pagos_con_periodo_de_gracia,-Monto_Crédito)+S126))</f>
        <v/>
      </c>
      <c r="AO126" s="128" t="str">
        <f>IF(A126="","",IF(A126&lt;=Periodos_Gracia,Tabla!AC126,Monto_Crédito/(No._De_Pagos_con_periodo_de_gracia)+AC126))</f>
        <v/>
      </c>
      <c r="AP126" s="118"/>
    </row>
    <row r="127" spans="1:42">
      <c r="A127" s="108" t="str">
        <f>IF(A126&lt;Parámetros!$E$6,A126+1,"")</f>
        <v/>
      </c>
      <c r="B127" s="109" t="str">
        <f t="shared" si="53"/>
        <v/>
      </c>
      <c r="C127" s="109" t="str">
        <f t="shared" si="29"/>
        <v/>
      </c>
      <c r="D127" s="109" t="str">
        <f t="shared" si="30"/>
        <v/>
      </c>
      <c r="E127" s="109" t="str">
        <f t="shared" si="31"/>
        <v/>
      </c>
      <c r="F127" s="109" t="str">
        <f t="shared" si="32"/>
        <v/>
      </c>
      <c r="G127" s="115" t="str">
        <f t="shared" si="42"/>
        <v/>
      </c>
      <c r="H127" s="116">
        <f t="shared" si="43"/>
        <v>0</v>
      </c>
      <c r="I127" s="109" t="str">
        <f t="shared" si="54"/>
        <v/>
      </c>
      <c r="J127" s="109" t="str">
        <f t="shared" si="33"/>
        <v/>
      </c>
      <c r="K127" s="109" t="str">
        <f t="shared" si="34"/>
        <v/>
      </c>
      <c r="L127" s="109" t="str">
        <f t="shared" si="35"/>
        <v/>
      </c>
      <c r="M127" s="109" t="str">
        <f t="shared" si="44"/>
        <v/>
      </c>
      <c r="N127" s="115" t="str">
        <f t="shared" si="45"/>
        <v/>
      </c>
      <c r="O127" s="61">
        <v>0</v>
      </c>
      <c r="P127" s="117">
        <f t="shared" si="46"/>
        <v>0</v>
      </c>
      <c r="R127" s="118" t="str">
        <f t="shared" si="56"/>
        <v/>
      </c>
      <c r="S127" s="119" t="str">
        <f t="shared" si="36"/>
        <v/>
      </c>
      <c r="T127" s="119" t="str">
        <f t="shared" si="37"/>
        <v/>
      </c>
      <c r="U127" s="120">
        <f t="shared" si="47"/>
        <v>0</v>
      </c>
      <c r="V127" s="121" t="str">
        <f>IF(A127="","",IF(A127&lt;=Periodos_Gracia,0,PPMT(Tasa_Anual/360*Días*(1+I.V.A.),Tabla!AM127,No._De_Pagos_con_periodo_de_gracia,-Monto_Crédito)))</f>
        <v/>
      </c>
      <c r="W127" s="111" t="str">
        <f>IF($U$258&lt;=0,V127,IF(SUM($U$18:U127)&lt;=0,V127,PMT($K$5/360*Días,A127,-R127)))</f>
        <v/>
      </c>
      <c r="X127" s="122" t="str">
        <f>IF($U$258&lt;=0,W127,IF(SUM($U$18:U127)&lt;=0,V127,PMT($K$5/360*Días,No._De_Pagos_con_periodo_de_gracia,-Monto_Crédito)-S127-T127))</f>
        <v/>
      </c>
      <c r="Y127" s="118" t="str">
        <f t="shared" si="48"/>
        <v/>
      </c>
      <c r="Z127" s="62" t="str">
        <f>+IF(A127="","",IF(No._de_Pagos-Tabla!A127+1&lt;=0,"",No._de_Pagos-Tabla!A127+1))</f>
        <v/>
      </c>
      <c r="AA127" s="123" t="str">
        <f t="shared" si="49"/>
        <v/>
      </c>
      <c r="AB127" s="125" t="str">
        <f t="shared" si="55"/>
        <v/>
      </c>
      <c r="AC127" s="125" t="str">
        <f t="shared" si="38"/>
        <v/>
      </c>
      <c r="AD127" s="125" t="str">
        <f t="shared" si="39"/>
        <v/>
      </c>
      <c r="AE127" s="120">
        <f t="shared" si="50"/>
        <v>0</v>
      </c>
      <c r="AF127" s="121" t="str">
        <f t="shared" si="40"/>
        <v/>
      </c>
      <c r="AG127" s="111" t="str">
        <f>IF($U$258&lt;=0,AF127,IF(SUM($U$18:U127)&lt;=0,AF127,PMT($K$5/360*Días,A127,-AA127)))</f>
        <v/>
      </c>
      <c r="AH127" s="122" t="str">
        <f>IF(A127&lt;=Periodos_Gracia,0,IF($U$258&lt;=0,AG127,IF(SUM($U$18:U127)&lt;=0,AF127,PMT($K$5/360*Días,No._de_Pagos,-Monto_Crédito)-AC127-AD127)))</f>
        <v/>
      </c>
      <c r="AI127" s="126" t="str">
        <f t="shared" si="51"/>
        <v/>
      </c>
      <c r="AK127" s="127" t="str">
        <f>IF(A127="","",IF(Periodos_Gracia&gt;0,Tabla!AN127,V127+S127))</f>
        <v/>
      </c>
      <c r="AL127" s="127" t="str">
        <f t="shared" si="41"/>
        <v/>
      </c>
      <c r="AM127" s="62" t="str">
        <f t="shared" si="52"/>
        <v/>
      </c>
      <c r="AN127" s="128" t="str">
        <f>IF(A127="","",IF(A127&lt;=Periodos_Gracia,Tabla!S127,PPMT(Tasa_Anual/360*Días*(1+I.V.A.),Tabla!AM127,No._De_Pagos_con_periodo_de_gracia,-Monto_Crédito)+S127))</f>
        <v/>
      </c>
      <c r="AO127" s="128" t="str">
        <f>IF(A127="","",IF(A127&lt;=Periodos_Gracia,Tabla!AC127,Monto_Crédito/(No._De_Pagos_con_periodo_de_gracia)+AC127))</f>
        <v/>
      </c>
      <c r="AP127" s="118"/>
    </row>
    <row r="128" spans="1:42">
      <c r="A128" s="108" t="str">
        <f>IF(A127&lt;Parámetros!$E$6,A127+1,"")</f>
        <v/>
      </c>
      <c r="B128" s="109" t="str">
        <f t="shared" si="53"/>
        <v/>
      </c>
      <c r="C128" s="109" t="str">
        <f t="shared" si="29"/>
        <v/>
      </c>
      <c r="D128" s="109" t="str">
        <f t="shared" si="30"/>
        <v/>
      </c>
      <c r="E128" s="109" t="str">
        <f t="shared" si="31"/>
        <v/>
      </c>
      <c r="F128" s="109" t="str">
        <f t="shared" si="32"/>
        <v/>
      </c>
      <c r="G128" s="115" t="str">
        <f t="shared" si="42"/>
        <v/>
      </c>
      <c r="H128" s="116">
        <f t="shared" si="43"/>
        <v>0</v>
      </c>
      <c r="I128" s="109" t="str">
        <f t="shared" si="54"/>
        <v/>
      </c>
      <c r="J128" s="109" t="str">
        <f t="shared" si="33"/>
        <v/>
      </c>
      <c r="K128" s="109" t="str">
        <f t="shared" si="34"/>
        <v/>
      </c>
      <c r="L128" s="109" t="str">
        <f t="shared" si="35"/>
        <v/>
      </c>
      <c r="M128" s="109" t="str">
        <f t="shared" si="44"/>
        <v/>
      </c>
      <c r="N128" s="115" t="str">
        <f t="shared" si="45"/>
        <v/>
      </c>
      <c r="O128" s="61">
        <v>0</v>
      </c>
      <c r="P128" s="117">
        <f t="shared" si="46"/>
        <v>0</v>
      </c>
      <c r="R128" s="118" t="str">
        <f t="shared" si="56"/>
        <v/>
      </c>
      <c r="S128" s="119" t="str">
        <f t="shared" si="36"/>
        <v/>
      </c>
      <c r="T128" s="119" t="str">
        <f t="shared" si="37"/>
        <v/>
      </c>
      <c r="U128" s="120">
        <f t="shared" si="47"/>
        <v>0</v>
      </c>
      <c r="V128" s="121" t="str">
        <f>IF(A128="","",IF(A128&lt;=Periodos_Gracia,0,PPMT(Tasa_Anual/360*Días*(1+I.V.A.),Tabla!AM128,No._De_Pagos_con_periodo_de_gracia,-Monto_Crédito)))</f>
        <v/>
      </c>
      <c r="W128" s="111" t="str">
        <f>IF($U$258&lt;=0,V128,IF(SUM($U$18:U128)&lt;=0,V128,PMT($K$5/360*Días,A128,-R128)))</f>
        <v/>
      </c>
      <c r="X128" s="122" t="str">
        <f>IF($U$258&lt;=0,W128,IF(SUM($U$18:U128)&lt;=0,V128,PMT($K$5/360*Días,No._De_Pagos_con_periodo_de_gracia,-Monto_Crédito)-S128-T128))</f>
        <v/>
      </c>
      <c r="Y128" s="118" t="str">
        <f t="shared" si="48"/>
        <v/>
      </c>
      <c r="Z128" s="62" t="str">
        <f>+IF(A128="","",IF(No._de_Pagos-Tabla!A128+1&lt;=0,"",No._de_Pagos-Tabla!A128+1))</f>
        <v/>
      </c>
      <c r="AA128" s="123" t="str">
        <f t="shared" si="49"/>
        <v/>
      </c>
      <c r="AB128" s="125" t="str">
        <f t="shared" si="55"/>
        <v/>
      </c>
      <c r="AC128" s="125" t="str">
        <f t="shared" si="38"/>
        <v/>
      </c>
      <c r="AD128" s="125" t="str">
        <f t="shared" si="39"/>
        <v/>
      </c>
      <c r="AE128" s="120">
        <f t="shared" si="50"/>
        <v>0</v>
      </c>
      <c r="AF128" s="121" t="str">
        <f t="shared" si="40"/>
        <v/>
      </c>
      <c r="AG128" s="111" t="str">
        <f>IF($U$258&lt;=0,AF128,IF(SUM($U$18:U128)&lt;=0,AF128,PMT($K$5/360*Días,A128,-AA128)))</f>
        <v/>
      </c>
      <c r="AH128" s="122" t="str">
        <f>IF(A128&lt;=Periodos_Gracia,0,IF($U$258&lt;=0,AG128,IF(SUM($U$18:U128)&lt;=0,AF128,PMT($K$5/360*Días,No._de_Pagos,-Monto_Crédito)-AC128-AD128)))</f>
        <v/>
      </c>
      <c r="AI128" s="126" t="str">
        <f t="shared" si="51"/>
        <v/>
      </c>
      <c r="AK128" s="127" t="str">
        <f>IF(A128="","",IF(Periodos_Gracia&gt;0,Tabla!AN128,V128+S128))</f>
        <v/>
      </c>
      <c r="AL128" s="127" t="str">
        <f t="shared" si="41"/>
        <v/>
      </c>
      <c r="AM128" s="62" t="str">
        <f t="shared" si="52"/>
        <v/>
      </c>
      <c r="AN128" s="128" t="str">
        <f>IF(A128="","",IF(A128&lt;=Periodos_Gracia,Tabla!S128,PPMT(Tasa_Anual/360*Días*(1+I.V.A.),Tabla!AM128,No._De_Pagos_con_periodo_de_gracia,-Monto_Crédito)+S128))</f>
        <v/>
      </c>
      <c r="AO128" s="128" t="str">
        <f>IF(A128="","",IF(A128&lt;=Periodos_Gracia,Tabla!AC128,Monto_Crédito/(No._De_Pagos_con_periodo_de_gracia)+AC128))</f>
        <v/>
      </c>
      <c r="AP128" s="118"/>
    </row>
    <row r="129" spans="1:42">
      <c r="A129" s="108" t="str">
        <f>IF(A128&lt;Parámetros!$E$6,A128+1,"")</f>
        <v/>
      </c>
      <c r="B129" s="109" t="str">
        <f t="shared" si="53"/>
        <v/>
      </c>
      <c r="C129" s="109" t="str">
        <f t="shared" si="29"/>
        <v/>
      </c>
      <c r="D129" s="109" t="str">
        <f t="shared" si="30"/>
        <v/>
      </c>
      <c r="E129" s="109" t="str">
        <f t="shared" si="31"/>
        <v/>
      </c>
      <c r="F129" s="109" t="str">
        <f t="shared" si="32"/>
        <v/>
      </c>
      <c r="G129" s="115" t="str">
        <f t="shared" si="42"/>
        <v/>
      </c>
      <c r="H129" s="116">
        <f t="shared" si="43"/>
        <v>0</v>
      </c>
      <c r="I129" s="109" t="str">
        <f t="shared" si="54"/>
        <v/>
      </c>
      <c r="J129" s="109" t="str">
        <f t="shared" si="33"/>
        <v/>
      </c>
      <c r="K129" s="109" t="str">
        <f t="shared" si="34"/>
        <v/>
      </c>
      <c r="L129" s="109" t="str">
        <f t="shared" si="35"/>
        <v/>
      </c>
      <c r="M129" s="109" t="str">
        <f t="shared" si="44"/>
        <v/>
      </c>
      <c r="N129" s="115" t="str">
        <f t="shared" si="45"/>
        <v/>
      </c>
      <c r="O129" s="61">
        <v>0</v>
      </c>
      <c r="P129" s="117">
        <f t="shared" si="46"/>
        <v>0</v>
      </c>
      <c r="R129" s="118" t="str">
        <f t="shared" si="56"/>
        <v/>
      </c>
      <c r="S129" s="119" t="str">
        <f t="shared" si="36"/>
        <v/>
      </c>
      <c r="T129" s="119" t="str">
        <f t="shared" si="37"/>
        <v/>
      </c>
      <c r="U129" s="120">
        <f t="shared" si="47"/>
        <v>0</v>
      </c>
      <c r="V129" s="121" t="str">
        <f>IF(A129="","",IF(A129&lt;=Periodos_Gracia,0,PPMT(Tasa_Anual/360*Días*(1+I.V.A.),Tabla!AM129,No._De_Pagos_con_periodo_de_gracia,-Monto_Crédito)))</f>
        <v/>
      </c>
      <c r="W129" s="111" t="str">
        <f>IF($U$258&lt;=0,V129,IF(SUM($U$18:U129)&lt;=0,V129,PMT($K$5/360*Días,A129,-R129)))</f>
        <v/>
      </c>
      <c r="X129" s="122" t="str">
        <f>IF($U$258&lt;=0,W129,IF(SUM($U$18:U129)&lt;=0,V129,PMT($K$5/360*Días,No._De_Pagos_con_periodo_de_gracia,-Monto_Crédito)-S129-T129))</f>
        <v/>
      </c>
      <c r="Y129" s="118" t="str">
        <f t="shared" si="48"/>
        <v/>
      </c>
      <c r="Z129" s="62" t="str">
        <f>+IF(A129="","",IF(No._de_Pagos-Tabla!A129+1&lt;=0,"",No._de_Pagos-Tabla!A129+1))</f>
        <v/>
      </c>
      <c r="AA129" s="123" t="str">
        <f t="shared" si="49"/>
        <v/>
      </c>
      <c r="AB129" s="125" t="str">
        <f t="shared" si="55"/>
        <v/>
      </c>
      <c r="AC129" s="125" t="str">
        <f t="shared" si="38"/>
        <v/>
      </c>
      <c r="AD129" s="125" t="str">
        <f t="shared" si="39"/>
        <v/>
      </c>
      <c r="AE129" s="120">
        <f t="shared" si="50"/>
        <v>0</v>
      </c>
      <c r="AF129" s="121" t="str">
        <f t="shared" si="40"/>
        <v/>
      </c>
      <c r="AG129" s="111" t="str">
        <f>IF($U$258&lt;=0,AF129,IF(SUM($U$18:U129)&lt;=0,AF129,PMT($K$5/360*Días,A129,-AA129)))</f>
        <v/>
      </c>
      <c r="AH129" s="122" t="str">
        <f>IF(A129&lt;=Periodos_Gracia,0,IF($U$258&lt;=0,AG129,IF(SUM($U$18:U129)&lt;=0,AF129,PMT($K$5/360*Días,No._de_Pagos,-Monto_Crédito)-AC129-AD129)))</f>
        <v/>
      </c>
      <c r="AI129" s="126" t="str">
        <f t="shared" si="51"/>
        <v/>
      </c>
      <c r="AK129" s="127" t="str">
        <f>IF(A129="","",IF(Periodos_Gracia&gt;0,Tabla!AN129,V129+S129))</f>
        <v/>
      </c>
      <c r="AL129" s="127" t="str">
        <f t="shared" si="41"/>
        <v/>
      </c>
      <c r="AM129" s="62" t="str">
        <f t="shared" si="52"/>
        <v/>
      </c>
      <c r="AN129" s="128" t="str">
        <f>IF(A129="","",IF(A129&lt;=Periodos_Gracia,Tabla!S129,PPMT(Tasa_Anual/360*Días*(1+I.V.A.),Tabla!AM129,No._De_Pagos_con_periodo_de_gracia,-Monto_Crédito)+S129))</f>
        <v/>
      </c>
      <c r="AO129" s="128" t="str">
        <f>IF(A129="","",IF(A129&lt;=Periodos_Gracia,Tabla!AC129,Monto_Crédito/(No._De_Pagos_con_periodo_de_gracia)+AC129))</f>
        <v/>
      </c>
      <c r="AP129" s="118"/>
    </row>
    <row r="130" spans="1:42">
      <c r="A130" s="108" t="str">
        <f>IF(A129&lt;Parámetros!$E$6,A129+1,"")</f>
        <v/>
      </c>
      <c r="B130" s="109" t="str">
        <f t="shared" si="53"/>
        <v/>
      </c>
      <c r="C130" s="109" t="str">
        <f t="shared" si="29"/>
        <v/>
      </c>
      <c r="D130" s="109" t="str">
        <f t="shared" si="30"/>
        <v/>
      </c>
      <c r="E130" s="109" t="str">
        <f t="shared" si="31"/>
        <v/>
      </c>
      <c r="F130" s="109" t="str">
        <f t="shared" si="32"/>
        <v/>
      </c>
      <c r="G130" s="115" t="str">
        <f t="shared" si="42"/>
        <v/>
      </c>
      <c r="H130" s="116">
        <f t="shared" si="43"/>
        <v>0</v>
      </c>
      <c r="I130" s="109" t="str">
        <f t="shared" si="54"/>
        <v/>
      </c>
      <c r="J130" s="109" t="str">
        <f t="shared" si="33"/>
        <v/>
      </c>
      <c r="K130" s="109" t="str">
        <f t="shared" si="34"/>
        <v/>
      </c>
      <c r="L130" s="109" t="str">
        <f t="shared" si="35"/>
        <v/>
      </c>
      <c r="M130" s="109" t="str">
        <f t="shared" si="44"/>
        <v/>
      </c>
      <c r="N130" s="115" t="str">
        <f t="shared" si="45"/>
        <v/>
      </c>
      <c r="O130" s="61">
        <v>0</v>
      </c>
      <c r="P130" s="117">
        <f t="shared" si="46"/>
        <v>0</v>
      </c>
      <c r="R130" s="118" t="str">
        <f t="shared" si="56"/>
        <v/>
      </c>
      <c r="S130" s="119" t="str">
        <f t="shared" si="36"/>
        <v/>
      </c>
      <c r="T130" s="119" t="str">
        <f t="shared" si="37"/>
        <v/>
      </c>
      <c r="U130" s="120">
        <f t="shared" si="47"/>
        <v>0</v>
      </c>
      <c r="V130" s="121" t="str">
        <f>IF(A130="","",IF(A130&lt;=Periodos_Gracia,0,PPMT(Tasa_Anual/360*Días*(1+I.V.A.),Tabla!AM130,No._De_Pagos_con_periodo_de_gracia,-Monto_Crédito)))</f>
        <v/>
      </c>
      <c r="W130" s="111" t="str">
        <f>IF($U$258&lt;=0,V130,IF(SUM($U$18:U130)&lt;=0,V130,PMT($K$5/360*Días,A130,-R130)))</f>
        <v/>
      </c>
      <c r="X130" s="122" t="str">
        <f>IF($U$258&lt;=0,W130,IF(SUM($U$18:U130)&lt;=0,V130,PMT($K$5/360*Días,No._De_Pagos_con_periodo_de_gracia,-Monto_Crédito)-S130-T130))</f>
        <v/>
      </c>
      <c r="Y130" s="118" t="str">
        <f t="shared" si="48"/>
        <v/>
      </c>
      <c r="Z130" s="62" t="str">
        <f>+IF(A130="","",IF(No._de_Pagos-Tabla!A130+1&lt;=0,"",No._de_Pagos-Tabla!A130+1))</f>
        <v/>
      </c>
      <c r="AA130" s="123" t="str">
        <f t="shared" si="49"/>
        <v/>
      </c>
      <c r="AB130" s="125" t="str">
        <f t="shared" si="55"/>
        <v/>
      </c>
      <c r="AC130" s="125" t="str">
        <f t="shared" si="38"/>
        <v/>
      </c>
      <c r="AD130" s="125" t="str">
        <f t="shared" si="39"/>
        <v/>
      </c>
      <c r="AE130" s="120">
        <f t="shared" si="50"/>
        <v>0</v>
      </c>
      <c r="AF130" s="121" t="str">
        <f t="shared" si="40"/>
        <v/>
      </c>
      <c r="AG130" s="111" t="str">
        <f>IF($U$258&lt;=0,AF130,IF(SUM($U$18:U130)&lt;=0,AF130,PMT($K$5/360*Días,A130,-AA130)))</f>
        <v/>
      </c>
      <c r="AH130" s="122" t="str">
        <f>IF(A130&lt;=Periodos_Gracia,0,IF($U$258&lt;=0,AG130,IF(SUM($U$18:U130)&lt;=0,AF130,PMT($K$5/360*Días,No._de_Pagos,-Monto_Crédito)-AC130-AD130)))</f>
        <v/>
      </c>
      <c r="AI130" s="126" t="str">
        <f t="shared" si="51"/>
        <v/>
      </c>
      <c r="AK130" s="127" t="str">
        <f>IF(A130="","",IF(Periodos_Gracia&gt;0,Tabla!AN130,V130+S130))</f>
        <v/>
      </c>
      <c r="AL130" s="127" t="str">
        <f t="shared" si="41"/>
        <v/>
      </c>
      <c r="AM130" s="62" t="str">
        <f t="shared" si="52"/>
        <v/>
      </c>
      <c r="AN130" s="128" t="str">
        <f>IF(A130="","",IF(A130&lt;=Periodos_Gracia,Tabla!S130,PPMT(Tasa_Anual/360*Días*(1+I.V.A.),Tabla!AM130,No._De_Pagos_con_periodo_de_gracia,-Monto_Crédito)+S130))</f>
        <v/>
      </c>
      <c r="AO130" s="128" t="str">
        <f>IF(A130="","",IF(A130&lt;=Periodos_Gracia,Tabla!AC130,Monto_Crédito/(No._De_Pagos_con_periodo_de_gracia)+AC130))</f>
        <v/>
      </c>
      <c r="AP130" s="118"/>
    </row>
    <row r="131" spans="1:42">
      <c r="A131" s="108" t="str">
        <f>IF(A130&lt;Parámetros!$E$6,A130+1,"")</f>
        <v/>
      </c>
      <c r="B131" s="109" t="str">
        <f t="shared" si="53"/>
        <v/>
      </c>
      <c r="C131" s="109" t="str">
        <f t="shared" si="29"/>
        <v/>
      </c>
      <c r="D131" s="109" t="str">
        <f t="shared" si="30"/>
        <v/>
      </c>
      <c r="E131" s="109" t="str">
        <f t="shared" si="31"/>
        <v/>
      </c>
      <c r="F131" s="109" t="str">
        <f t="shared" si="32"/>
        <v/>
      </c>
      <c r="G131" s="115" t="str">
        <f t="shared" si="42"/>
        <v/>
      </c>
      <c r="H131" s="116">
        <f t="shared" si="43"/>
        <v>0</v>
      </c>
      <c r="I131" s="109" t="str">
        <f t="shared" si="54"/>
        <v/>
      </c>
      <c r="J131" s="109" t="str">
        <f t="shared" si="33"/>
        <v/>
      </c>
      <c r="K131" s="109" t="str">
        <f t="shared" si="34"/>
        <v/>
      </c>
      <c r="L131" s="109" t="str">
        <f t="shared" si="35"/>
        <v/>
      </c>
      <c r="M131" s="109" t="str">
        <f t="shared" si="44"/>
        <v/>
      </c>
      <c r="N131" s="115" t="str">
        <f t="shared" si="45"/>
        <v/>
      </c>
      <c r="O131" s="61">
        <v>0</v>
      </c>
      <c r="P131" s="117">
        <f t="shared" si="46"/>
        <v>0</v>
      </c>
      <c r="R131" s="118" t="str">
        <f t="shared" si="56"/>
        <v/>
      </c>
      <c r="S131" s="119" t="str">
        <f t="shared" si="36"/>
        <v/>
      </c>
      <c r="T131" s="119" t="str">
        <f t="shared" si="37"/>
        <v/>
      </c>
      <c r="U131" s="120">
        <f t="shared" si="47"/>
        <v>0</v>
      </c>
      <c r="V131" s="121" t="str">
        <f>IF(A131="","",IF(A131&lt;=Periodos_Gracia,0,PPMT(Tasa_Anual/360*Días*(1+I.V.A.),Tabla!AM131,No._De_Pagos_con_periodo_de_gracia,-Monto_Crédito)))</f>
        <v/>
      </c>
      <c r="W131" s="111" t="str">
        <f>IF($U$258&lt;=0,V131,IF(SUM($U$18:U131)&lt;=0,V131,PMT($K$5/360*Días,A131,-R131)))</f>
        <v/>
      </c>
      <c r="X131" s="122" t="str">
        <f>IF($U$258&lt;=0,W131,IF(SUM($U$18:U131)&lt;=0,V131,PMT($K$5/360*Días,No._De_Pagos_con_periodo_de_gracia,-Monto_Crédito)-S131-T131))</f>
        <v/>
      </c>
      <c r="Y131" s="118" t="str">
        <f t="shared" si="48"/>
        <v/>
      </c>
      <c r="Z131" s="62" t="str">
        <f>+IF(A131="","",IF(No._de_Pagos-Tabla!A131+1&lt;=0,"",No._de_Pagos-Tabla!A131+1))</f>
        <v/>
      </c>
      <c r="AA131" s="123" t="str">
        <f t="shared" si="49"/>
        <v/>
      </c>
      <c r="AB131" s="125" t="str">
        <f t="shared" si="55"/>
        <v/>
      </c>
      <c r="AC131" s="125" t="str">
        <f t="shared" si="38"/>
        <v/>
      </c>
      <c r="AD131" s="125" t="str">
        <f t="shared" si="39"/>
        <v/>
      </c>
      <c r="AE131" s="120">
        <f t="shared" si="50"/>
        <v>0</v>
      </c>
      <c r="AF131" s="121" t="str">
        <f t="shared" si="40"/>
        <v/>
      </c>
      <c r="AG131" s="111" t="str">
        <f>IF($U$258&lt;=0,AF131,IF(SUM($U$18:U131)&lt;=0,AF131,PMT($K$5/360*Días,A131,-AA131)))</f>
        <v/>
      </c>
      <c r="AH131" s="122" t="str">
        <f>IF(A131&lt;=Periodos_Gracia,0,IF($U$258&lt;=0,AG131,IF(SUM($U$18:U131)&lt;=0,AF131,PMT($K$5/360*Días,No._de_Pagos,-Monto_Crédito)-AC131-AD131)))</f>
        <v/>
      </c>
      <c r="AI131" s="126" t="str">
        <f t="shared" si="51"/>
        <v/>
      </c>
      <c r="AK131" s="127" t="str">
        <f>IF(A131="","",IF(Periodos_Gracia&gt;0,Tabla!AN131,V131+S131))</f>
        <v/>
      </c>
      <c r="AL131" s="127" t="str">
        <f t="shared" si="41"/>
        <v/>
      </c>
      <c r="AM131" s="62" t="str">
        <f t="shared" si="52"/>
        <v/>
      </c>
      <c r="AN131" s="128" t="str">
        <f>IF(A131="","",IF(A131&lt;=Periodos_Gracia,Tabla!S131,PPMT(Tasa_Anual/360*Días*(1+I.V.A.),Tabla!AM131,No._De_Pagos_con_periodo_de_gracia,-Monto_Crédito)+S131))</f>
        <v/>
      </c>
      <c r="AO131" s="128" t="str">
        <f>IF(A131="","",IF(A131&lt;=Periodos_Gracia,Tabla!AC131,Monto_Crédito/(No._De_Pagos_con_periodo_de_gracia)+AC131))</f>
        <v/>
      </c>
      <c r="AP131" s="118"/>
    </row>
    <row r="132" spans="1:42">
      <c r="A132" s="108" t="str">
        <f>IF(A131&lt;Parámetros!$E$6,A131+1,"")</f>
        <v/>
      </c>
      <c r="B132" s="109" t="str">
        <f t="shared" si="53"/>
        <v/>
      </c>
      <c r="C132" s="109" t="str">
        <f t="shared" si="29"/>
        <v/>
      </c>
      <c r="D132" s="109" t="str">
        <f t="shared" si="30"/>
        <v/>
      </c>
      <c r="E132" s="109" t="str">
        <f t="shared" si="31"/>
        <v/>
      </c>
      <c r="F132" s="109" t="str">
        <f t="shared" si="32"/>
        <v/>
      </c>
      <c r="G132" s="115" t="str">
        <f t="shared" si="42"/>
        <v/>
      </c>
      <c r="H132" s="116">
        <f t="shared" si="43"/>
        <v>0</v>
      </c>
      <c r="I132" s="109" t="str">
        <f t="shared" si="54"/>
        <v/>
      </c>
      <c r="J132" s="109" t="str">
        <f t="shared" si="33"/>
        <v/>
      </c>
      <c r="K132" s="109" t="str">
        <f t="shared" si="34"/>
        <v/>
      </c>
      <c r="L132" s="109" t="str">
        <f t="shared" si="35"/>
        <v/>
      </c>
      <c r="M132" s="109" t="str">
        <f t="shared" si="44"/>
        <v/>
      </c>
      <c r="N132" s="115" t="str">
        <f t="shared" si="45"/>
        <v/>
      </c>
      <c r="O132" s="61">
        <v>0</v>
      </c>
      <c r="P132" s="117">
        <f t="shared" si="46"/>
        <v>0</v>
      </c>
      <c r="R132" s="118" t="str">
        <f t="shared" si="56"/>
        <v/>
      </c>
      <c r="S132" s="119" t="str">
        <f t="shared" si="36"/>
        <v/>
      </c>
      <c r="T132" s="119" t="str">
        <f t="shared" si="37"/>
        <v/>
      </c>
      <c r="U132" s="120">
        <f t="shared" si="47"/>
        <v>0</v>
      </c>
      <c r="V132" s="121" t="str">
        <f>IF(A132="","",IF(A132&lt;=Periodos_Gracia,0,PPMT(Tasa_Anual/360*Días*(1+I.V.A.),Tabla!AM132,No._De_Pagos_con_periodo_de_gracia,-Monto_Crédito)))</f>
        <v/>
      </c>
      <c r="W132" s="111" t="str">
        <f>IF($U$258&lt;=0,V132,IF(SUM($U$18:U132)&lt;=0,V132,PMT($K$5/360*Días,A132,-R132)))</f>
        <v/>
      </c>
      <c r="X132" s="122" t="str">
        <f>IF($U$258&lt;=0,W132,IF(SUM($U$18:U132)&lt;=0,V132,PMT($K$5/360*Días,No._De_Pagos_con_periodo_de_gracia,-Monto_Crédito)-S132-T132))</f>
        <v/>
      </c>
      <c r="Y132" s="118" t="str">
        <f t="shared" si="48"/>
        <v/>
      </c>
      <c r="Z132" s="62" t="str">
        <f>+IF(A132="","",IF(No._de_Pagos-Tabla!A132+1&lt;=0,"",No._de_Pagos-Tabla!A132+1))</f>
        <v/>
      </c>
      <c r="AA132" s="123" t="str">
        <f t="shared" si="49"/>
        <v/>
      </c>
      <c r="AB132" s="125" t="str">
        <f t="shared" si="55"/>
        <v/>
      </c>
      <c r="AC132" s="125" t="str">
        <f t="shared" si="38"/>
        <v/>
      </c>
      <c r="AD132" s="125" t="str">
        <f t="shared" si="39"/>
        <v/>
      </c>
      <c r="AE132" s="120">
        <f t="shared" si="50"/>
        <v>0</v>
      </c>
      <c r="AF132" s="121" t="str">
        <f t="shared" si="40"/>
        <v/>
      </c>
      <c r="AG132" s="111" t="str">
        <f>IF($U$258&lt;=0,AF132,IF(SUM($U$18:U132)&lt;=0,AF132,PMT($K$5/360*Días,A132,-AA132)))</f>
        <v/>
      </c>
      <c r="AH132" s="122" t="str">
        <f>IF(A132&lt;=Periodos_Gracia,0,IF($U$258&lt;=0,AG132,IF(SUM($U$18:U132)&lt;=0,AF132,PMT($K$5/360*Días,No._de_Pagos,-Monto_Crédito)-AC132-AD132)))</f>
        <v/>
      </c>
      <c r="AI132" s="126" t="str">
        <f t="shared" si="51"/>
        <v/>
      </c>
      <c r="AK132" s="127" t="str">
        <f>IF(A132="","",IF(Periodos_Gracia&gt;0,Tabla!AN132,V132+S132))</f>
        <v/>
      </c>
      <c r="AL132" s="127" t="str">
        <f t="shared" si="41"/>
        <v/>
      </c>
      <c r="AM132" s="62" t="str">
        <f t="shared" si="52"/>
        <v/>
      </c>
      <c r="AN132" s="128" t="str">
        <f>IF(A132="","",IF(A132&lt;=Periodos_Gracia,Tabla!S132,PPMT(Tasa_Anual/360*Días*(1+I.V.A.),Tabla!AM132,No._De_Pagos_con_periodo_de_gracia,-Monto_Crédito)+S132))</f>
        <v/>
      </c>
      <c r="AO132" s="128" t="str">
        <f>IF(A132="","",IF(A132&lt;=Periodos_Gracia,Tabla!AC132,Monto_Crédito/(No._De_Pagos_con_periodo_de_gracia)+AC132))</f>
        <v/>
      </c>
      <c r="AP132" s="118"/>
    </row>
    <row r="133" spans="1:42">
      <c r="A133" s="108" t="str">
        <f>IF(A132&lt;Parámetros!$E$6,A132+1,"")</f>
        <v/>
      </c>
      <c r="B133" s="109" t="str">
        <f t="shared" si="53"/>
        <v/>
      </c>
      <c r="C133" s="109" t="str">
        <f t="shared" si="29"/>
        <v/>
      </c>
      <c r="D133" s="109" t="str">
        <f t="shared" si="30"/>
        <v/>
      </c>
      <c r="E133" s="109" t="str">
        <f t="shared" si="31"/>
        <v/>
      </c>
      <c r="F133" s="109" t="str">
        <f t="shared" si="32"/>
        <v/>
      </c>
      <c r="G133" s="115" t="str">
        <f t="shared" si="42"/>
        <v/>
      </c>
      <c r="H133" s="116">
        <f t="shared" si="43"/>
        <v>0</v>
      </c>
      <c r="I133" s="109" t="str">
        <f t="shared" si="54"/>
        <v/>
      </c>
      <c r="J133" s="109" t="str">
        <f t="shared" si="33"/>
        <v/>
      </c>
      <c r="K133" s="109" t="str">
        <f t="shared" si="34"/>
        <v/>
      </c>
      <c r="L133" s="109" t="str">
        <f t="shared" si="35"/>
        <v/>
      </c>
      <c r="M133" s="109" t="str">
        <f t="shared" si="44"/>
        <v/>
      </c>
      <c r="N133" s="115" t="str">
        <f t="shared" si="45"/>
        <v/>
      </c>
      <c r="O133" s="61">
        <v>0</v>
      </c>
      <c r="P133" s="117">
        <f t="shared" si="46"/>
        <v>0</v>
      </c>
      <c r="R133" s="118" t="str">
        <f t="shared" si="56"/>
        <v/>
      </c>
      <c r="S133" s="119" t="str">
        <f t="shared" si="36"/>
        <v/>
      </c>
      <c r="T133" s="119" t="str">
        <f t="shared" si="37"/>
        <v/>
      </c>
      <c r="U133" s="120">
        <f t="shared" si="47"/>
        <v>0</v>
      </c>
      <c r="V133" s="121" t="str">
        <f>IF(A133="","",IF(A133&lt;=Periodos_Gracia,0,PPMT(Tasa_Anual/360*Días*(1+I.V.A.),Tabla!AM133,No._De_Pagos_con_periodo_de_gracia,-Monto_Crédito)))</f>
        <v/>
      </c>
      <c r="W133" s="111" t="str">
        <f>IF($U$258&lt;=0,V133,IF(SUM($U$18:U133)&lt;=0,V133,PMT($K$5/360*Días,A133,-R133)))</f>
        <v/>
      </c>
      <c r="X133" s="122" t="str">
        <f>IF($U$258&lt;=0,W133,IF(SUM($U$18:U133)&lt;=0,V133,PMT($K$5/360*Días,No._De_Pagos_con_periodo_de_gracia,-Monto_Crédito)-S133-T133))</f>
        <v/>
      </c>
      <c r="Y133" s="118" t="str">
        <f t="shared" si="48"/>
        <v/>
      </c>
      <c r="Z133" s="62" t="str">
        <f>+IF(A133="","",IF(No._de_Pagos-Tabla!A133+1&lt;=0,"",No._de_Pagos-Tabla!A133+1))</f>
        <v/>
      </c>
      <c r="AA133" s="123" t="str">
        <f t="shared" si="49"/>
        <v/>
      </c>
      <c r="AB133" s="125" t="str">
        <f t="shared" si="55"/>
        <v/>
      </c>
      <c r="AC133" s="125" t="str">
        <f t="shared" si="38"/>
        <v/>
      </c>
      <c r="AD133" s="125" t="str">
        <f t="shared" si="39"/>
        <v/>
      </c>
      <c r="AE133" s="120">
        <f t="shared" si="50"/>
        <v>0</v>
      </c>
      <c r="AF133" s="121" t="str">
        <f t="shared" si="40"/>
        <v/>
      </c>
      <c r="AG133" s="111" t="str">
        <f>IF($U$258&lt;=0,AF133,IF(SUM($U$18:U133)&lt;=0,AF133,PMT($K$5/360*Días,A133,-AA133)))</f>
        <v/>
      </c>
      <c r="AH133" s="122" t="str">
        <f>IF(A133&lt;=Periodos_Gracia,0,IF($U$258&lt;=0,AG133,IF(SUM($U$18:U133)&lt;=0,AF133,PMT($K$5/360*Días,No._de_Pagos,-Monto_Crédito)-AC133-AD133)))</f>
        <v/>
      </c>
      <c r="AI133" s="126" t="str">
        <f t="shared" si="51"/>
        <v/>
      </c>
      <c r="AK133" s="127" t="str">
        <f>IF(A133="","",IF(Periodos_Gracia&gt;0,Tabla!AN133,V133+S133))</f>
        <v/>
      </c>
      <c r="AL133" s="127" t="str">
        <f t="shared" si="41"/>
        <v/>
      </c>
      <c r="AM133" s="62" t="str">
        <f t="shared" si="52"/>
        <v/>
      </c>
      <c r="AN133" s="128" t="str">
        <f>IF(A133="","",IF(A133&lt;=Periodos_Gracia,Tabla!S133,PPMT(Tasa_Anual/360*Días*(1+I.V.A.),Tabla!AM133,No._De_Pagos_con_periodo_de_gracia,-Monto_Crédito)+S133))</f>
        <v/>
      </c>
      <c r="AO133" s="128" t="str">
        <f>IF(A133="","",IF(A133&lt;=Periodos_Gracia,Tabla!AC133,Monto_Crédito/(No._De_Pagos_con_periodo_de_gracia)+AC133))</f>
        <v/>
      </c>
      <c r="AP133" s="118"/>
    </row>
    <row r="134" spans="1:42">
      <c r="A134" s="108" t="str">
        <f>IF(A133&lt;Parámetros!$E$6,A133+1,"")</f>
        <v/>
      </c>
      <c r="B134" s="109" t="str">
        <f t="shared" si="53"/>
        <v/>
      </c>
      <c r="C134" s="109" t="str">
        <f t="shared" si="29"/>
        <v/>
      </c>
      <c r="D134" s="109" t="str">
        <f t="shared" si="30"/>
        <v/>
      </c>
      <c r="E134" s="109" t="str">
        <f t="shared" si="31"/>
        <v/>
      </c>
      <c r="F134" s="109" t="str">
        <f t="shared" si="32"/>
        <v/>
      </c>
      <c r="G134" s="115" t="str">
        <f t="shared" si="42"/>
        <v/>
      </c>
      <c r="H134" s="116">
        <f t="shared" si="43"/>
        <v>0</v>
      </c>
      <c r="I134" s="109" t="str">
        <f t="shared" si="54"/>
        <v/>
      </c>
      <c r="J134" s="109" t="str">
        <f t="shared" si="33"/>
        <v/>
      </c>
      <c r="K134" s="109" t="str">
        <f t="shared" si="34"/>
        <v/>
      </c>
      <c r="L134" s="109" t="str">
        <f t="shared" si="35"/>
        <v/>
      </c>
      <c r="M134" s="109" t="str">
        <f t="shared" si="44"/>
        <v/>
      </c>
      <c r="N134" s="115" t="str">
        <f t="shared" si="45"/>
        <v/>
      </c>
      <c r="O134" s="61">
        <v>0</v>
      </c>
      <c r="P134" s="117">
        <f t="shared" si="46"/>
        <v>0</v>
      </c>
      <c r="R134" s="118" t="str">
        <f t="shared" si="56"/>
        <v/>
      </c>
      <c r="S134" s="119" t="str">
        <f t="shared" si="36"/>
        <v/>
      </c>
      <c r="T134" s="119" t="str">
        <f t="shared" si="37"/>
        <v/>
      </c>
      <c r="U134" s="120">
        <f t="shared" si="47"/>
        <v>0</v>
      </c>
      <c r="V134" s="121" t="str">
        <f>IF(A134="","",IF(A134&lt;=Periodos_Gracia,0,PPMT(Tasa_Anual/360*Días*(1+I.V.A.),Tabla!AM134,No._De_Pagos_con_periodo_de_gracia,-Monto_Crédito)))</f>
        <v/>
      </c>
      <c r="W134" s="111" t="str">
        <f>IF($U$258&lt;=0,V134,IF(SUM($U$18:U134)&lt;=0,V134,PMT($K$5/360*Días,A134,-R134)))</f>
        <v/>
      </c>
      <c r="X134" s="122" t="str">
        <f>IF($U$258&lt;=0,W134,IF(SUM($U$18:U134)&lt;=0,V134,PMT($K$5/360*Días,No._De_Pagos_con_periodo_de_gracia,-Monto_Crédito)-S134-T134))</f>
        <v/>
      </c>
      <c r="Y134" s="118" t="str">
        <f t="shared" si="48"/>
        <v/>
      </c>
      <c r="Z134" s="62" t="str">
        <f>+IF(A134="","",IF(No._de_Pagos-Tabla!A134+1&lt;=0,"",No._de_Pagos-Tabla!A134+1))</f>
        <v/>
      </c>
      <c r="AA134" s="123" t="str">
        <f t="shared" si="49"/>
        <v/>
      </c>
      <c r="AB134" s="125" t="str">
        <f t="shared" si="55"/>
        <v/>
      </c>
      <c r="AC134" s="125" t="str">
        <f t="shared" si="38"/>
        <v/>
      </c>
      <c r="AD134" s="125" t="str">
        <f t="shared" si="39"/>
        <v/>
      </c>
      <c r="AE134" s="120">
        <f t="shared" si="50"/>
        <v>0</v>
      </c>
      <c r="AF134" s="121" t="str">
        <f t="shared" si="40"/>
        <v/>
      </c>
      <c r="AG134" s="111" t="str">
        <f>IF($U$258&lt;=0,AF134,IF(SUM($U$18:U134)&lt;=0,AF134,PMT($K$5/360*Días,A134,-AA134)))</f>
        <v/>
      </c>
      <c r="AH134" s="122" t="str">
        <f>IF(A134&lt;=Periodos_Gracia,0,IF($U$258&lt;=0,AG134,IF(SUM($U$18:U134)&lt;=0,AF134,PMT($K$5/360*Días,No._de_Pagos,-Monto_Crédito)-AC134-AD134)))</f>
        <v/>
      </c>
      <c r="AI134" s="126" t="str">
        <f t="shared" si="51"/>
        <v/>
      </c>
      <c r="AK134" s="127" t="str">
        <f>IF(A134="","",IF(Periodos_Gracia&gt;0,Tabla!AN134,V134+S134))</f>
        <v/>
      </c>
      <c r="AL134" s="127" t="str">
        <f t="shared" si="41"/>
        <v/>
      </c>
      <c r="AM134" s="62" t="str">
        <f t="shared" si="52"/>
        <v/>
      </c>
      <c r="AN134" s="128" t="str">
        <f>IF(A134="","",IF(A134&lt;=Periodos_Gracia,Tabla!S134,PPMT(Tasa_Anual/360*Días*(1+I.V.A.),Tabla!AM134,No._De_Pagos_con_periodo_de_gracia,-Monto_Crédito)+S134))</f>
        <v/>
      </c>
      <c r="AO134" s="128" t="str">
        <f>IF(A134="","",IF(A134&lt;=Periodos_Gracia,Tabla!AC134,Monto_Crédito/(No._De_Pagos_con_periodo_de_gracia)+AC134))</f>
        <v/>
      </c>
      <c r="AP134" s="118"/>
    </row>
    <row r="135" spans="1:42">
      <c r="A135" s="108" t="str">
        <f>IF(A134&lt;Parámetros!$E$6,A134+1,"")</f>
        <v/>
      </c>
      <c r="B135" s="109" t="str">
        <f t="shared" si="53"/>
        <v/>
      </c>
      <c r="C135" s="109" t="str">
        <f t="shared" si="29"/>
        <v/>
      </c>
      <c r="D135" s="109" t="str">
        <f t="shared" si="30"/>
        <v/>
      </c>
      <c r="E135" s="109" t="str">
        <f t="shared" si="31"/>
        <v/>
      </c>
      <c r="F135" s="109" t="str">
        <f t="shared" si="32"/>
        <v/>
      </c>
      <c r="G135" s="115" t="str">
        <f t="shared" si="42"/>
        <v/>
      </c>
      <c r="H135" s="116">
        <f t="shared" si="43"/>
        <v>0</v>
      </c>
      <c r="I135" s="109" t="str">
        <f t="shared" si="54"/>
        <v/>
      </c>
      <c r="J135" s="109" t="str">
        <f t="shared" si="33"/>
        <v/>
      </c>
      <c r="K135" s="109" t="str">
        <f t="shared" si="34"/>
        <v/>
      </c>
      <c r="L135" s="109" t="str">
        <f t="shared" si="35"/>
        <v/>
      </c>
      <c r="M135" s="109" t="str">
        <f t="shared" si="44"/>
        <v/>
      </c>
      <c r="N135" s="115" t="str">
        <f t="shared" si="45"/>
        <v/>
      </c>
      <c r="O135" s="61">
        <v>0</v>
      </c>
      <c r="P135" s="117">
        <f t="shared" si="46"/>
        <v>0</v>
      </c>
      <c r="R135" s="118" t="str">
        <f t="shared" si="56"/>
        <v/>
      </c>
      <c r="S135" s="119" t="str">
        <f t="shared" si="36"/>
        <v/>
      </c>
      <c r="T135" s="119" t="str">
        <f t="shared" si="37"/>
        <v/>
      </c>
      <c r="U135" s="120">
        <f t="shared" si="47"/>
        <v>0</v>
      </c>
      <c r="V135" s="121" t="str">
        <f>IF(A135="","",IF(A135&lt;=Periodos_Gracia,0,PPMT(Tasa_Anual/360*Días*(1+I.V.A.),Tabla!AM135,No._De_Pagos_con_periodo_de_gracia,-Monto_Crédito)))</f>
        <v/>
      </c>
      <c r="W135" s="111" t="str">
        <f>IF($U$258&lt;=0,V135,IF(SUM($U$18:U135)&lt;=0,V135,PMT($K$5/360*Días,A135,-R135)))</f>
        <v/>
      </c>
      <c r="X135" s="122" t="str">
        <f>IF($U$258&lt;=0,W135,IF(SUM($U$18:U135)&lt;=0,V135,PMT($K$5/360*Días,No._De_Pagos_con_periodo_de_gracia,-Monto_Crédito)-S135-T135))</f>
        <v/>
      </c>
      <c r="Y135" s="118" t="str">
        <f t="shared" si="48"/>
        <v/>
      </c>
      <c r="Z135" s="62" t="str">
        <f>+IF(A135="","",IF(No._de_Pagos-Tabla!A135+1&lt;=0,"",No._de_Pagos-Tabla!A135+1))</f>
        <v/>
      </c>
      <c r="AA135" s="123" t="str">
        <f t="shared" si="49"/>
        <v/>
      </c>
      <c r="AB135" s="125" t="str">
        <f t="shared" si="55"/>
        <v/>
      </c>
      <c r="AC135" s="125" t="str">
        <f t="shared" si="38"/>
        <v/>
      </c>
      <c r="AD135" s="125" t="str">
        <f t="shared" si="39"/>
        <v/>
      </c>
      <c r="AE135" s="120">
        <f t="shared" si="50"/>
        <v>0</v>
      </c>
      <c r="AF135" s="121" t="str">
        <f t="shared" si="40"/>
        <v/>
      </c>
      <c r="AG135" s="111" t="str">
        <f>IF($U$258&lt;=0,AF135,IF(SUM($U$18:U135)&lt;=0,AF135,PMT($K$5/360*Días,A135,-AA135)))</f>
        <v/>
      </c>
      <c r="AH135" s="122" t="str">
        <f>IF(A135&lt;=Periodos_Gracia,0,IF($U$258&lt;=0,AG135,IF(SUM($U$18:U135)&lt;=0,AF135,PMT($K$5/360*Días,No._de_Pagos,-Monto_Crédito)-AC135-AD135)))</f>
        <v/>
      </c>
      <c r="AI135" s="126" t="str">
        <f t="shared" si="51"/>
        <v/>
      </c>
      <c r="AK135" s="127" t="str">
        <f>IF(A135="","",IF(Periodos_Gracia&gt;0,Tabla!AN135,V135+S135))</f>
        <v/>
      </c>
      <c r="AL135" s="127" t="str">
        <f t="shared" si="41"/>
        <v/>
      </c>
      <c r="AM135" s="62" t="str">
        <f t="shared" si="52"/>
        <v/>
      </c>
      <c r="AN135" s="128" t="str">
        <f>IF(A135="","",IF(A135&lt;=Periodos_Gracia,Tabla!S135,PPMT(Tasa_Anual/360*Días*(1+I.V.A.),Tabla!AM135,No._De_Pagos_con_periodo_de_gracia,-Monto_Crédito)+S135))</f>
        <v/>
      </c>
      <c r="AO135" s="128" t="str">
        <f>IF(A135="","",IF(A135&lt;=Periodos_Gracia,Tabla!AC135,Monto_Crédito/(No._De_Pagos_con_periodo_de_gracia)+AC135))</f>
        <v/>
      </c>
      <c r="AP135" s="118"/>
    </row>
    <row r="136" spans="1:42">
      <c r="A136" s="108" t="str">
        <f>IF(A135&lt;Parámetros!$E$6,A135+1,"")</f>
        <v/>
      </c>
      <c r="B136" s="109" t="str">
        <f t="shared" si="53"/>
        <v/>
      </c>
      <c r="C136" s="109" t="str">
        <f t="shared" si="29"/>
        <v/>
      </c>
      <c r="D136" s="109" t="str">
        <f t="shared" si="30"/>
        <v/>
      </c>
      <c r="E136" s="109" t="str">
        <f t="shared" si="31"/>
        <v/>
      </c>
      <c r="F136" s="109" t="str">
        <f t="shared" si="32"/>
        <v/>
      </c>
      <c r="G136" s="115" t="str">
        <f t="shared" si="42"/>
        <v/>
      </c>
      <c r="H136" s="116">
        <f t="shared" si="43"/>
        <v>0</v>
      </c>
      <c r="I136" s="109" t="str">
        <f t="shared" si="54"/>
        <v/>
      </c>
      <c r="J136" s="109" t="str">
        <f t="shared" si="33"/>
        <v/>
      </c>
      <c r="K136" s="109" t="str">
        <f t="shared" si="34"/>
        <v/>
      </c>
      <c r="L136" s="109" t="str">
        <f t="shared" si="35"/>
        <v/>
      </c>
      <c r="M136" s="109" t="str">
        <f t="shared" si="44"/>
        <v/>
      </c>
      <c r="N136" s="115" t="str">
        <f t="shared" si="45"/>
        <v/>
      </c>
      <c r="O136" s="61">
        <v>0</v>
      </c>
      <c r="P136" s="117">
        <f t="shared" si="46"/>
        <v>0</v>
      </c>
      <c r="R136" s="118" t="str">
        <f t="shared" si="56"/>
        <v/>
      </c>
      <c r="S136" s="119" t="str">
        <f t="shared" si="36"/>
        <v/>
      </c>
      <c r="T136" s="119" t="str">
        <f t="shared" si="37"/>
        <v/>
      </c>
      <c r="U136" s="120">
        <f t="shared" si="47"/>
        <v>0</v>
      </c>
      <c r="V136" s="121" t="str">
        <f>IF(A136="","",IF(A136&lt;=Periodos_Gracia,0,PPMT(Tasa_Anual/360*Días*(1+I.V.A.),Tabla!AM136,No._De_Pagos_con_periodo_de_gracia,-Monto_Crédito)))</f>
        <v/>
      </c>
      <c r="W136" s="111" t="str">
        <f>IF($U$258&lt;=0,V136,IF(SUM($U$18:U136)&lt;=0,V136,PMT($K$5/360*Días,A136,-R136)))</f>
        <v/>
      </c>
      <c r="X136" s="122" t="str">
        <f>IF($U$258&lt;=0,W136,IF(SUM($U$18:U136)&lt;=0,V136,PMT($K$5/360*Días,No._De_Pagos_con_periodo_de_gracia,-Monto_Crédito)-S136-T136))</f>
        <v/>
      </c>
      <c r="Y136" s="118" t="str">
        <f t="shared" si="48"/>
        <v/>
      </c>
      <c r="Z136" s="62" t="str">
        <f>+IF(A136="","",IF(No._de_Pagos-Tabla!A136+1&lt;=0,"",No._de_Pagos-Tabla!A136+1))</f>
        <v/>
      </c>
      <c r="AA136" s="123" t="str">
        <f t="shared" si="49"/>
        <v/>
      </c>
      <c r="AB136" s="125" t="str">
        <f t="shared" si="55"/>
        <v/>
      </c>
      <c r="AC136" s="125" t="str">
        <f t="shared" si="38"/>
        <v/>
      </c>
      <c r="AD136" s="125" t="str">
        <f t="shared" si="39"/>
        <v/>
      </c>
      <c r="AE136" s="120">
        <f t="shared" si="50"/>
        <v>0</v>
      </c>
      <c r="AF136" s="121" t="str">
        <f t="shared" si="40"/>
        <v/>
      </c>
      <c r="AG136" s="111" t="str">
        <f>IF($U$258&lt;=0,AF136,IF(SUM($U$18:U136)&lt;=0,AF136,PMT($K$5/360*Días,A136,-AA136)))</f>
        <v/>
      </c>
      <c r="AH136" s="122" t="str">
        <f>IF(A136&lt;=Periodos_Gracia,0,IF($U$258&lt;=0,AG136,IF(SUM($U$18:U136)&lt;=0,AF136,PMT($K$5/360*Días,No._de_Pagos,-Monto_Crédito)-AC136-AD136)))</f>
        <v/>
      </c>
      <c r="AI136" s="126" t="str">
        <f t="shared" si="51"/>
        <v/>
      </c>
      <c r="AK136" s="127" t="str">
        <f>IF(A136="","",IF(Periodos_Gracia&gt;0,Tabla!AN136,V136+S136))</f>
        <v/>
      </c>
      <c r="AL136" s="127" t="str">
        <f t="shared" si="41"/>
        <v/>
      </c>
      <c r="AM136" s="62" t="str">
        <f t="shared" si="52"/>
        <v/>
      </c>
      <c r="AN136" s="128" t="str">
        <f>IF(A136="","",IF(A136&lt;=Periodos_Gracia,Tabla!S136,PPMT(Tasa_Anual/360*Días*(1+I.V.A.),Tabla!AM136,No._De_Pagos_con_periodo_de_gracia,-Monto_Crédito)+S136))</f>
        <v/>
      </c>
      <c r="AO136" s="128" t="str">
        <f>IF(A136="","",IF(A136&lt;=Periodos_Gracia,Tabla!AC136,Monto_Crédito/(No._De_Pagos_con_periodo_de_gracia)+AC136))</f>
        <v/>
      </c>
      <c r="AP136" s="118"/>
    </row>
    <row r="137" spans="1:42">
      <c r="A137" s="108" t="str">
        <f>IF(A136&lt;Parámetros!$E$6,A136+1,"")</f>
        <v/>
      </c>
      <c r="B137" s="109" t="str">
        <f t="shared" si="53"/>
        <v/>
      </c>
      <c r="C137" s="109" t="str">
        <f t="shared" si="29"/>
        <v/>
      </c>
      <c r="D137" s="109" t="str">
        <f t="shared" si="30"/>
        <v/>
      </c>
      <c r="E137" s="109" t="str">
        <f t="shared" si="31"/>
        <v/>
      </c>
      <c r="F137" s="109" t="str">
        <f t="shared" si="32"/>
        <v/>
      </c>
      <c r="G137" s="115" t="str">
        <f t="shared" si="42"/>
        <v/>
      </c>
      <c r="H137" s="116">
        <f t="shared" si="43"/>
        <v>0</v>
      </c>
      <c r="I137" s="109" t="str">
        <f t="shared" si="54"/>
        <v/>
      </c>
      <c r="J137" s="109" t="str">
        <f t="shared" si="33"/>
        <v/>
      </c>
      <c r="K137" s="109" t="str">
        <f t="shared" si="34"/>
        <v/>
      </c>
      <c r="L137" s="109" t="str">
        <f t="shared" si="35"/>
        <v/>
      </c>
      <c r="M137" s="109" t="str">
        <f t="shared" si="44"/>
        <v/>
      </c>
      <c r="N137" s="115" t="str">
        <f t="shared" si="45"/>
        <v/>
      </c>
      <c r="O137" s="61">
        <v>0</v>
      </c>
      <c r="P137" s="117">
        <f t="shared" si="46"/>
        <v>0</v>
      </c>
      <c r="R137" s="118" t="str">
        <f t="shared" si="56"/>
        <v/>
      </c>
      <c r="S137" s="119" t="str">
        <f t="shared" si="36"/>
        <v/>
      </c>
      <c r="T137" s="119" t="str">
        <f t="shared" si="37"/>
        <v/>
      </c>
      <c r="U137" s="120">
        <f t="shared" si="47"/>
        <v>0</v>
      </c>
      <c r="V137" s="121" t="str">
        <f>IF(A137="","",IF(A137&lt;=Periodos_Gracia,0,PPMT(Tasa_Anual/360*Días*(1+I.V.A.),Tabla!AM137,No._De_Pagos_con_periodo_de_gracia,-Monto_Crédito)))</f>
        <v/>
      </c>
      <c r="W137" s="111" t="str">
        <f>IF($U$258&lt;=0,V137,IF(SUM($U$18:U137)&lt;=0,V137,PMT($K$5/360*Días,A137,-R137)))</f>
        <v/>
      </c>
      <c r="X137" s="122" t="str">
        <f>IF($U$258&lt;=0,W137,IF(SUM($U$18:U137)&lt;=0,V137,PMT($K$5/360*Días,No._De_Pagos_con_periodo_de_gracia,-Monto_Crédito)-S137-T137))</f>
        <v/>
      </c>
      <c r="Y137" s="118" t="str">
        <f t="shared" si="48"/>
        <v/>
      </c>
      <c r="Z137" s="62" t="str">
        <f>+IF(A137="","",IF(No._de_Pagos-Tabla!A137+1&lt;=0,"",No._de_Pagos-Tabla!A137+1))</f>
        <v/>
      </c>
      <c r="AA137" s="123" t="str">
        <f t="shared" si="49"/>
        <v/>
      </c>
      <c r="AB137" s="125" t="str">
        <f t="shared" si="55"/>
        <v/>
      </c>
      <c r="AC137" s="125" t="str">
        <f t="shared" si="38"/>
        <v/>
      </c>
      <c r="AD137" s="125" t="str">
        <f t="shared" si="39"/>
        <v/>
      </c>
      <c r="AE137" s="120">
        <f t="shared" si="50"/>
        <v>0</v>
      </c>
      <c r="AF137" s="121" t="str">
        <f t="shared" si="40"/>
        <v/>
      </c>
      <c r="AG137" s="111" t="str">
        <f>IF($U$258&lt;=0,AF137,IF(SUM($U$18:U137)&lt;=0,AF137,PMT($K$5/360*Días,A137,-AA137)))</f>
        <v/>
      </c>
      <c r="AH137" s="122" t="str">
        <f>IF(A137&lt;=Periodos_Gracia,0,IF($U$258&lt;=0,AG137,IF(SUM($U$18:U137)&lt;=0,AF137,PMT($K$5/360*Días,No._de_Pagos,-Monto_Crédito)-AC137-AD137)))</f>
        <v/>
      </c>
      <c r="AI137" s="126" t="str">
        <f t="shared" si="51"/>
        <v/>
      </c>
      <c r="AK137" s="127" t="str">
        <f>IF(A137="","",IF(Periodos_Gracia&gt;0,Tabla!AN137,V137+S137))</f>
        <v/>
      </c>
      <c r="AL137" s="127" t="str">
        <f t="shared" si="41"/>
        <v/>
      </c>
      <c r="AM137" s="62" t="str">
        <f t="shared" si="52"/>
        <v/>
      </c>
      <c r="AN137" s="128" t="str">
        <f>IF(A137="","",IF(A137&lt;=Periodos_Gracia,Tabla!S137,PPMT(Tasa_Anual/360*Días*(1+I.V.A.),Tabla!AM137,No._De_Pagos_con_periodo_de_gracia,-Monto_Crédito)+S137))</f>
        <v/>
      </c>
      <c r="AO137" s="128" t="str">
        <f>IF(A137="","",IF(A137&lt;=Periodos_Gracia,Tabla!AC137,Monto_Crédito/(No._De_Pagos_con_periodo_de_gracia)+AC137))</f>
        <v/>
      </c>
      <c r="AP137" s="118"/>
    </row>
    <row r="138" spans="1:42">
      <c r="A138" s="108" t="str">
        <f>IF(A137&lt;Parámetros!$E$6,A137+1,"")</f>
        <v/>
      </c>
      <c r="B138" s="109" t="str">
        <f t="shared" si="53"/>
        <v/>
      </c>
      <c r="C138" s="109" t="str">
        <f t="shared" si="29"/>
        <v/>
      </c>
      <c r="D138" s="109" t="str">
        <f t="shared" si="30"/>
        <v/>
      </c>
      <c r="E138" s="109" t="str">
        <f t="shared" si="31"/>
        <v/>
      </c>
      <c r="F138" s="109" t="str">
        <f t="shared" si="32"/>
        <v/>
      </c>
      <c r="G138" s="115" t="str">
        <f t="shared" si="42"/>
        <v/>
      </c>
      <c r="H138" s="116">
        <f t="shared" si="43"/>
        <v>0</v>
      </c>
      <c r="I138" s="109" t="str">
        <f t="shared" si="54"/>
        <v/>
      </c>
      <c r="J138" s="109" t="str">
        <f t="shared" si="33"/>
        <v/>
      </c>
      <c r="K138" s="109" t="str">
        <f t="shared" si="34"/>
        <v/>
      </c>
      <c r="L138" s="109" t="str">
        <f t="shared" si="35"/>
        <v/>
      </c>
      <c r="M138" s="109" t="str">
        <f t="shared" si="44"/>
        <v/>
      </c>
      <c r="N138" s="115" t="str">
        <f t="shared" si="45"/>
        <v/>
      </c>
      <c r="O138" s="61">
        <v>0</v>
      </c>
      <c r="P138" s="117">
        <f t="shared" si="46"/>
        <v>0</v>
      </c>
      <c r="R138" s="118" t="str">
        <f t="shared" si="56"/>
        <v/>
      </c>
      <c r="S138" s="119" t="str">
        <f t="shared" si="36"/>
        <v/>
      </c>
      <c r="T138" s="119" t="str">
        <f t="shared" si="37"/>
        <v/>
      </c>
      <c r="U138" s="120">
        <f t="shared" si="47"/>
        <v>0</v>
      </c>
      <c r="V138" s="121" t="str">
        <f>IF(A138="","",IF(A138&lt;=Periodos_Gracia,0,PPMT(Tasa_Anual/360*Días*(1+I.V.A.),Tabla!AM138,No._De_Pagos_con_periodo_de_gracia,-Monto_Crédito)))</f>
        <v/>
      </c>
      <c r="W138" s="111" t="str">
        <f>IF($U$258&lt;=0,V138,IF(SUM($U$18:U138)&lt;=0,V138,PMT($K$5/360*Días,A138,-R138)))</f>
        <v/>
      </c>
      <c r="X138" s="122" t="str">
        <f>IF($U$258&lt;=0,W138,IF(SUM($U$18:U138)&lt;=0,V138,PMT($K$5/360*Días,No._De_Pagos_con_periodo_de_gracia,-Monto_Crédito)-S138-T138))</f>
        <v/>
      </c>
      <c r="Y138" s="118" t="str">
        <f t="shared" si="48"/>
        <v/>
      </c>
      <c r="Z138" s="62" t="str">
        <f>+IF(A138="","",IF(No._de_Pagos-Tabla!A138+1&lt;=0,"",No._de_Pagos-Tabla!A138+1))</f>
        <v/>
      </c>
      <c r="AA138" s="123" t="str">
        <f t="shared" si="49"/>
        <v/>
      </c>
      <c r="AB138" s="125" t="str">
        <f t="shared" si="55"/>
        <v/>
      </c>
      <c r="AC138" s="125" t="str">
        <f t="shared" si="38"/>
        <v/>
      </c>
      <c r="AD138" s="125" t="str">
        <f t="shared" si="39"/>
        <v/>
      </c>
      <c r="AE138" s="120">
        <f t="shared" si="50"/>
        <v>0</v>
      </c>
      <c r="AF138" s="121" t="str">
        <f t="shared" si="40"/>
        <v/>
      </c>
      <c r="AG138" s="111" t="str">
        <f>IF($U$258&lt;=0,AF138,IF(SUM($U$18:U138)&lt;=0,AF138,PMT($K$5/360*Días,A138,-AA138)))</f>
        <v/>
      </c>
      <c r="AH138" s="122" t="str">
        <f>IF(A138&lt;=Periodos_Gracia,0,IF($U$258&lt;=0,AG138,IF(SUM($U$18:U138)&lt;=0,AF138,PMT($K$5/360*Días,No._de_Pagos,-Monto_Crédito)-AC138-AD138)))</f>
        <v/>
      </c>
      <c r="AI138" s="126" t="str">
        <f t="shared" si="51"/>
        <v/>
      </c>
      <c r="AK138" s="127" t="str">
        <f>IF(A138="","",IF(Periodos_Gracia&gt;0,Tabla!AN138,V138+S138))</f>
        <v/>
      </c>
      <c r="AL138" s="127" t="str">
        <f t="shared" si="41"/>
        <v/>
      </c>
      <c r="AM138" s="62" t="str">
        <f t="shared" si="52"/>
        <v/>
      </c>
      <c r="AN138" s="128" t="str">
        <f>IF(A138="","",IF(A138&lt;=Periodos_Gracia,Tabla!S138,PPMT(Tasa_Anual/360*Días*(1+I.V.A.),Tabla!AM138,No._De_Pagos_con_periodo_de_gracia,-Monto_Crédito)+S138))</f>
        <v/>
      </c>
      <c r="AO138" s="128" t="str">
        <f>IF(A138="","",IF(A138&lt;=Periodos_Gracia,Tabla!AC138,Monto_Crédito/(No._De_Pagos_con_periodo_de_gracia)+AC138))</f>
        <v/>
      </c>
      <c r="AP138" s="118"/>
    </row>
    <row r="139" spans="1:42">
      <c r="A139" s="108" t="str">
        <f>IF(A138&lt;Parámetros!$E$6,A138+1,"")</f>
        <v/>
      </c>
      <c r="B139" s="109" t="str">
        <f t="shared" si="53"/>
        <v/>
      </c>
      <c r="C139" s="109" t="str">
        <f t="shared" si="29"/>
        <v/>
      </c>
      <c r="D139" s="109" t="str">
        <f t="shared" si="30"/>
        <v/>
      </c>
      <c r="E139" s="109" t="str">
        <f t="shared" si="31"/>
        <v/>
      </c>
      <c r="F139" s="109" t="str">
        <f t="shared" si="32"/>
        <v/>
      </c>
      <c r="G139" s="115" t="str">
        <f t="shared" si="42"/>
        <v/>
      </c>
      <c r="H139" s="116">
        <f t="shared" si="43"/>
        <v>0</v>
      </c>
      <c r="I139" s="109" t="str">
        <f t="shared" si="54"/>
        <v/>
      </c>
      <c r="J139" s="109" t="str">
        <f t="shared" si="33"/>
        <v/>
      </c>
      <c r="K139" s="109" t="str">
        <f t="shared" si="34"/>
        <v/>
      </c>
      <c r="L139" s="109" t="str">
        <f t="shared" si="35"/>
        <v/>
      </c>
      <c r="M139" s="109" t="str">
        <f t="shared" si="44"/>
        <v/>
      </c>
      <c r="N139" s="115" t="str">
        <f t="shared" si="45"/>
        <v/>
      </c>
      <c r="O139" s="61">
        <v>0</v>
      </c>
      <c r="P139" s="117">
        <f t="shared" si="46"/>
        <v>0</v>
      </c>
      <c r="R139" s="118" t="str">
        <f t="shared" si="56"/>
        <v/>
      </c>
      <c r="S139" s="119" t="str">
        <f t="shared" si="36"/>
        <v/>
      </c>
      <c r="T139" s="119" t="str">
        <f t="shared" si="37"/>
        <v/>
      </c>
      <c r="U139" s="120">
        <f t="shared" si="47"/>
        <v>0</v>
      </c>
      <c r="V139" s="121" t="str">
        <f>IF(A139="","",IF(A139&lt;=Periodos_Gracia,0,PPMT(Tasa_Anual/360*Días*(1+I.V.A.),Tabla!AM139,No._De_Pagos_con_periodo_de_gracia,-Monto_Crédito)))</f>
        <v/>
      </c>
      <c r="W139" s="111" t="str">
        <f>IF($U$258&lt;=0,V139,IF(SUM($U$18:U139)&lt;=0,V139,PMT($K$5/360*Días,A139,-R139)))</f>
        <v/>
      </c>
      <c r="X139" s="122" t="str">
        <f>IF($U$258&lt;=0,W139,IF(SUM($U$18:U139)&lt;=0,V139,PMT($K$5/360*Días,No._De_Pagos_con_periodo_de_gracia,-Monto_Crédito)-S139-T139))</f>
        <v/>
      </c>
      <c r="Y139" s="118" t="str">
        <f t="shared" si="48"/>
        <v/>
      </c>
      <c r="Z139" s="62" t="str">
        <f>+IF(A139="","",IF(No._de_Pagos-Tabla!A139+1&lt;=0,"",No._de_Pagos-Tabla!A139+1))</f>
        <v/>
      </c>
      <c r="AA139" s="123" t="str">
        <f t="shared" si="49"/>
        <v/>
      </c>
      <c r="AB139" s="125" t="str">
        <f t="shared" si="55"/>
        <v/>
      </c>
      <c r="AC139" s="125" t="str">
        <f t="shared" si="38"/>
        <v/>
      </c>
      <c r="AD139" s="125" t="str">
        <f t="shared" si="39"/>
        <v/>
      </c>
      <c r="AE139" s="120">
        <f t="shared" si="50"/>
        <v>0</v>
      </c>
      <c r="AF139" s="121" t="str">
        <f t="shared" si="40"/>
        <v/>
      </c>
      <c r="AG139" s="111" t="str">
        <f>IF($U$258&lt;=0,AF139,IF(SUM($U$18:U139)&lt;=0,AF139,PMT($K$5/360*Días,A139,-AA139)))</f>
        <v/>
      </c>
      <c r="AH139" s="122" t="str">
        <f>IF(A139&lt;=Periodos_Gracia,0,IF($U$258&lt;=0,AG139,IF(SUM($U$18:U139)&lt;=0,AF139,PMT($K$5/360*Días,No._de_Pagos,-Monto_Crédito)-AC139-AD139)))</f>
        <v/>
      </c>
      <c r="AI139" s="126" t="str">
        <f t="shared" si="51"/>
        <v/>
      </c>
      <c r="AK139" s="127" t="str">
        <f>IF(A139="","",IF(Periodos_Gracia&gt;0,Tabla!AN139,V139+S139))</f>
        <v/>
      </c>
      <c r="AL139" s="127" t="str">
        <f t="shared" si="41"/>
        <v/>
      </c>
      <c r="AM139" s="62" t="str">
        <f t="shared" si="52"/>
        <v/>
      </c>
      <c r="AN139" s="128" t="str">
        <f>IF(A139="","",IF(A139&lt;=Periodos_Gracia,Tabla!S139,PPMT(Tasa_Anual/360*Días*(1+I.V.A.),Tabla!AM139,No._De_Pagos_con_periodo_de_gracia,-Monto_Crédito)+S139))</f>
        <v/>
      </c>
      <c r="AO139" s="128" t="str">
        <f>IF(A139="","",IF(A139&lt;=Periodos_Gracia,Tabla!AC139,Monto_Crédito/(No._De_Pagos_con_periodo_de_gracia)+AC139))</f>
        <v/>
      </c>
      <c r="AP139" s="118"/>
    </row>
    <row r="140" spans="1:42">
      <c r="A140" s="108" t="str">
        <f>IF(A139&lt;Parámetros!$E$6,A139+1,"")</f>
        <v/>
      </c>
      <c r="B140" s="109" t="str">
        <f t="shared" si="53"/>
        <v/>
      </c>
      <c r="C140" s="109" t="str">
        <f t="shared" si="29"/>
        <v/>
      </c>
      <c r="D140" s="109" t="str">
        <f t="shared" si="30"/>
        <v/>
      </c>
      <c r="E140" s="109" t="str">
        <f t="shared" si="31"/>
        <v/>
      </c>
      <c r="F140" s="109" t="str">
        <f t="shared" si="32"/>
        <v/>
      </c>
      <c r="G140" s="115" t="str">
        <f t="shared" si="42"/>
        <v/>
      </c>
      <c r="H140" s="116">
        <f t="shared" si="43"/>
        <v>0</v>
      </c>
      <c r="I140" s="109" t="str">
        <f t="shared" si="54"/>
        <v/>
      </c>
      <c r="J140" s="109" t="str">
        <f t="shared" si="33"/>
        <v/>
      </c>
      <c r="K140" s="109" t="str">
        <f t="shared" si="34"/>
        <v/>
      </c>
      <c r="L140" s="109" t="str">
        <f t="shared" si="35"/>
        <v/>
      </c>
      <c r="M140" s="109" t="str">
        <f t="shared" si="44"/>
        <v/>
      </c>
      <c r="N140" s="115" t="str">
        <f t="shared" si="45"/>
        <v/>
      </c>
      <c r="O140" s="61">
        <v>0</v>
      </c>
      <c r="P140" s="117">
        <f t="shared" si="46"/>
        <v>0</v>
      </c>
      <c r="R140" s="118" t="str">
        <f t="shared" si="56"/>
        <v/>
      </c>
      <c r="S140" s="119" t="str">
        <f t="shared" si="36"/>
        <v/>
      </c>
      <c r="T140" s="119" t="str">
        <f t="shared" si="37"/>
        <v/>
      </c>
      <c r="U140" s="120">
        <f t="shared" si="47"/>
        <v>0</v>
      </c>
      <c r="V140" s="121" t="str">
        <f>IF(A140="","",IF(A140&lt;=Periodos_Gracia,0,PPMT(Tasa_Anual/360*Días*(1+I.V.A.),Tabla!AM140,No._De_Pagos_con_periodo_de_gracia,-Monto_Crédito)))</f>
        <v/>
      </c>
      <c r="W140" s="111" t="str">
        <f>IF($U$258&lt;=0,V140,IF(SUM($U$18:U140)&lt;=0,V140,PMT($K$5/360*Días,A140,-R140)))</f>
        <v/>
      </c>
      <c r="X140" s="122" t="str">
        <f>IF($U$258&lt;=0,W140,IF(SUM($U$18:U140)&lt;=0,V140,PMT($K$5/360*Días,No._De_Pagos_con_periodo_de_gracia,-Monto_Crédito)-S140-T140))</f>
        <v/>
      </c>
      <c r="Y140" s="118" t="str">
        <f t="shared" si="48"/>
        <v/>
      </c>
      <c r="Z140" s="62" t="str">
        <f>+IF(A140="","",IF(No._de_Pagos-Tabla!A140+1&lt;=0,"",No._de_Pagos-Tabla!A140+1))</f>
        <v/>
      </c>
      <c r="AA140" s="123" t="str">
        <f t="shared" si="49"/>
        <v/>
      </c>
      <c r="AB140" s="125" t="str">
        <f t="shared" si="55"/>
        <v/>
      </c>
      <c r="AC140" s="125" t="str">
        <f t="shared" si="38"/>
        <v/>
      </c>
      <c r="AD140" s="125" t="str">
        <f t="shared" si="39"/>
        <v/>
      </c>
      <c r="AE140" s="120">
        <f t="shared" si="50"/>
        <v>0</v>
      </c>
      <c r="AF140" s="121" t="str">
        <f t="shared" si="40"/>
        <v/>
      </c>
      <c r="AG140" s="111" t="str">
        <f>IF($U$258&lt;=0,AF140,IF(SUM($U$18:U140)&lt;=0,AF140,PMT($K$5/360*Días,A140,-AA140)))</f>
        <v/>
      </c>
      <c r="AH140" s="122" t="str">
        <f>IF(A140&lt;=Periodos_Gracia,0,IF($U$258&lt;=0,AG140,IF(SUM($U$18:U140)&lt;=0,AF140,PMT($K$5/360*Días,No._de_Pagos,-Monto_Crédito)-AC140-AD140)))</f>
        <v/>
      </c>
      <c r="AI140" s="126" t="str">
        <f t="shared" si="51"/>
        <v/>
      </c>
      <c r="AK140" s="127" t="str">
        <f>IF(A140="","",IF(Periodos_Gracia&gt;0,Tabla!AN140,V140+S140))</f>
        <v/>
      </c>
      <c r="AL140" s="127" t="str">
        <f t="shared" si="41"/>
        <v/>
      </c>
      <c r="AM140" s="62" t="str">
        <f t="shared" si="52"/>
        <v/>
      </c>
      <c r="AN140" s="128" t="str">
        <f>IF(A140="","",IF(A140&lt;=Periodos_Gracia,Tabla!S140,PPMT(Tasa_Anual/360*Días*(1+I.V.A.),Tabla!AM140,No._De_Pagos_con_periodo_de_gracia,-Monto_Crédito)+S140))</f>
        <v/>
      </c>
      <c r="AO140" s="128" t="str">
        <f>IF(A140="","",IF(A140&lt;=Periodos_Gracia,Tabla!AC140,Monto_Crédito/(No._De_Pagos_con_periodo_de_gracia)+AC140))</f>
        <v/>
      </c>
      <c r="AP140" s="118"/>
    </row>
    <row r="141" spans="1:42">
      <c r="A141" s="108" t="str">
        <f>IF(A140&lt;Parámetros!$E$6,A140+1,"")</f>
        <v/>
      </c>
      <c r="B141" s="109" t="str">
        <f t="shared" si="53"/>
        <v/>
      </c>
      <c r="C141" s="109" t="str">
        <f t="shared" si="29"/>
        <v/>
      </c>
      <c r="D141" s="109" t="str">
        <f t="shared" si="30"/>
        <v/>
      </c>
      <c r="E141" s="109" t="str">
        <f t="shared" si="31"/>
        <v/>
      </c>
      <c r="F141" s="109" t="str">
        <f t="shared" si="32"/>
        <v/>
      </c>
      <c r="G141" s="115" t="str">
        <f t="shared" si="42"/>
        <v/>
      </c>
      <c r="H141" s="116">
        <f t="shared" si="43"/>
        <v>0</v>
      </c>
      <c r="I141" s="109" t="str">
        <f t="shared" si="54"/>
        <v/>
      </c>
      <c r="J141" s="109" t="str">
        <f t="shared" si="33"/>
        <v/>
      </c>
      <c r="K141" s="109" t="str">
        <f t="shared" si="34"/>
        <v/>
      </c>
      <c r="L141" s="109" t="str">
        <f t="shared" si="35"/>
        <v/>
      </c>
      <c r="M141" s="109" t="str">
        <f t="shared" si="44"/>
        <v/>
      </c>
      <c r="N141" s="115" t="str">
        <f t="shared" si="45"/>
        <v/>
      </c>
      <c r="O141" s="61">
        <v>0</v>
      </c>
      <c r="P141" s="117">
        <f t="shared" si="46"/>
        <v>0</v>
      </c>
      <c r="R141" s="118" t="str">
        <f t="shared" si="56"/>
        <v/>
      </c>
      <c r="S141" s="119" t="str">
        <f t="shared" si="36"/>
        <v/>
      </c>
      <c r="T141" s="119" t="str">
        <f t="shared" si="37"/>
        <v/>
      </c>
      <c r="U141" s="120">
        <f t="shared" si="47"/>
        <v>0</v>
      </c>
      <c r="V141" s="121" t="str">
        <f>IF(A141="","",IF(A141&lt;=Periodos_Gracia,0,PPMT(Tasa_Anual/360*Días*(1+I.V.A.),Tabla!AM141,No._De_Pagos_con_periodo_de_gracia,-Monto_Crédito)))</f>
        <v/>
      </c>
      <c r="W141" s="111" t="str">
        <f>IF($U$258&lt;=0,V141,IF(SUM($U$18:U141)&lt;=0,V141,PMT($K$5/360*Días,A141,-R141)))</f>
        <v/>
      </c>
      <c r="X141" s="122" t="str">
        <f>IF($U$258&lt;=0,W141,IF(SUM($U$18:U141)&lt;=0,V141,PMT($K$5/360*Días,No._De_Pagos_con_periodo_de_gracia,-Monto_Crédito)-S141-T141))</f>
        <v/>
      </c>
      <c r="Y141" s="118" t="str">
        <f t="shared" si="48"/>
        <v/>
      </c>
      <c r="Z141" s="62" t="str">
        <f>+IF(A141="","",IF(No._de_Pagos-Tabla!A141+1&lt;=0,"",No._de_Pagos-Tabla!A141+1))</f>
        <v/>
      </c>
      <c r="AA141" s="123" t="str">
        <f t="shared" si="49"/>
        <v/>
      </c>
      <c r="AB141" s="125" t="str">
        <f t="shared" si="55"/>
        <v/>
      </c>
      <c r="AC141" s="125" t="str">
        <f t="shared" si="38"/>
        <v/>
      </c>
      <c r="AD141" s="125" t="str">
        <f t="shared" si="39"/>
        <v/>
      </c>
      <c r="AE141" s="120">
        <f t="shared" si="50"/>
        <v>0</v>
      </c>
      <c r="AF141" s="121" t="str">
        <f t="shared" si="40"/>
        <v/>
      </c>
      <c r="AG141" s="111" t="str">
        <f>IF($U$258&lt;=0,AF141,IF(SUM($U$18:U141)&lt;=0,AF141,PMT($K$5/360*Días,A141,-AA141)))</f>
        <v/>
      </c>
      <c r="AH141" s="122" t="str">
        <f>IF(A141&lt;=Periodos_Gracia,0,IF($U$258&lt;=0,AG141,IF(SUM($U$18:U141)&lt;=0,AF141,PMT($K$5/360*Días,No._de_Pagos,-Monto_Crédito)-AC141-AD141)))</f>
        <v/>
      </c>
      <c r="AI141" s="126" t="str">
        <f t="shared" si="51"/>
        <v/>
      </c>
      <c r="AK141" s="127" t="str">
        <f>IF(A141="","",IF(Periodos_Gracia&gt;0,Tabla!AN141,V141+S141))</f>
        <v/>
      </c>
      <c r="AL141" s="127" t="str">
        <f t="shared" si="41"/>
        <v/>
      </c>
      <c r="AM141" s="62" t="str">
        <f t="shared" si="52"/>
        <v/>
      </c>
      <c r="AN141" s="128" t="str">
        <f>IF(A141="","",IF(A141&lt;=Periodos_Gracia,Tabla!S141,PPMT(Tasa_Anual/360*Días*(1+I.V.A.),Tabla!AM141,No._De_Pagos_con_periodo_de_gracia,-Monto_Crédito)+S141))</f>
        <v/>
      </c>
      <c r="AO141" s="128" t="str">
        <f>IF(A141="","",IF(A141&lt;=Periodos_Gracia,Tabla!AC141,Monto_Crédito/(No._De_Pagos_con_periodo_de_gracia)+AC141))</f>
        <v/>
      </c>
      <c r="AP141" s="118"/>
    </row>
    <row r="142" spans="1:42">
      <c r="A142" s="108" t="str">
        <f>IF(A141&lt;Parámetros!$E$6,A141+1,"")</f>
        <v/>
      </c>
      <c r="B142" s="109" t="str">
        <f t="shared" si="53"/>
        <v/>
      </c>
      <c r="C142" s="109" t="str">
        <f t="shared" si="29"/>
        <v/>
      </c>
      <c r="D142" s="109" t="str">
        <f t="shared" si="30"/>
        <v/>
      </c>
      <c r="E142" s="109" t="str">
        <f t="shared" si="31"/>
        <v/>
      </c>
      <c r="F142" s="109" t="str">
        <f t="shared" si="32"/>
        <v/>
      </c>
      <c r="G142" s="115" t="str">
        <f t="shared" si="42"/>
        <v/>
      </c>
      <c r="H142" s="116">
        <f t="shared" si="43"/>
        <v>0</v>
      </c>
      <c r="I142" s="109" t="str">
        <f t="shared" si="54"/>
        <v/>
      </c>
      <c r="J142" s="109" t="str">
        <f t="shared" si="33"/>
        <v/>
      </c>
      <c r="K142" s="109" t="str">
        <f t="shared" si="34"/>
        <v/>
      </c>
      <c r="L142" s="109" t="str">
        <f t="shared" si="35"/>
        <v/>
      </c>
      <c r="M142" s="109" t="str">
        <f t="shared" si="44"/>
        <v/>
      </c>
      <c r="N142" s="115" t="str">
        <f t="shared" si="45"/>
        <v/>
      </c>
      <c r="O142" s="61">
        <v>0</v>
      </c>
      <c r="P142" s="117">
        <f t="shared" si="46"/>
        <v>0</v>
      </c>
      <c r="R142" s="118" t="str">
        <f t="shared" si="56"/>
        <v/>
      </c>
      <c r="S142" s="119" t="str">
        <f t="shared" si="36"/>
        <v/>
      </c>
      <c r="T142" s="119" t="str">
        <f t="shared" si="37"/>
        <v/>
      </c>
      <c r="U142" s="120">
        <f t="shared" si="47"/>
        <v>0</v>
      </c>
      <c r="V142" s="121" t="str">
        <f>IF(A142="","",IF(A142&lt;=Periodos_Gracia,0,PPMT(Tasa_Anual/360*Días*(1+I.V.A.),Tabla!AM142,No._De_Pagos_con_periodo_de_gracia,-Monto_Crédito)))</f>
        <v/>
      </c>
      <c r="W142" s="111" t="str">
        <f>IF($U$258&lt;=0,V142,IF(SUM($U$18:U142)&lt;=0,V142,PMT($K$5/360*Días,A142,-R142)))</f>
        <v/>
      </c>
      <c r="X142" s="122" t="str">
        <f>IF($U$258&lt;=0,W142,IF(SUM($U$18:U142)&lt;=0,V142,PMT($K$5/360*Días,No._De_Pagos_con_periodo_de_gracia,-Monto_Crédito)-S142-T142))</f>
        <v/>
      </c>
      <c r="Y142" s="118" t="str">
        <f t="shared" si="48"/>
        <v/>
      </c>
      <c r="Z142" s="62" t="str">
        <f>+IF(A142="","",IF(No._de_Pagos-Tabla!A142+1&lt;=0,"",No._de_Pagos-Tabla!A142+1))</f>
        <v/>
      </c>
      <c r="AA142" s="123" t="str">
        <f t="shared" si="49"/>
        <v/>
      </c>
      <c r="AB142" s="125" t="str">
        <f t="shared" si="55"/>
        <v/>
      </c>
      <c r="AC142" s="125" t="str">
        <f t="shared" si="38"/>
        <v/>
      </c>
      <c r="AD142" s="125" t="str">
        <f t="shared" si="39"/>
        <v/>
      </c>
      <c r="AE142" s="120">
        <f t="shared" si="50"/>
        <v>0</v>
      </c>
      <c r="AF142" s="121" t="str">
        <f t="shared" si="40"/>
        <v/>
      </c>
      <c r="AG142" s="111" t="str">
        <f>IF($U$258&lt;=0,AF142,IF(SUM($U$18:U142)&lt;=0,AF142,PMT($K$5/360*Días,A142,-AA142)))</f>
        <v/>
      </c>
      <c r="AH142" s="122" t="str">
        <f>IF(A142&lt;=Periodos_Gracia,0,IF($U$258&lt;=0,AG142,IF(SUM($U$18:U142)&lt;=0,AF142,PMT($K$5/360*Días,No._de_Pagos,-Monto_Crédito)-AC142-AD142)))</f>
        <v/>
      </c>
      <c r="AI142" s="126" t="str">
        <f t="shared" si="51"/>
        <v/>
      </c>
      <c r="AK142" s="127" t="str">
        <f>IF(A142="","",IF(Periodos_Gracia&gt;0,Tabla!AN142,V142+S142))</f>
        <v/>
      </c>
      <c r="AL142" s="127" t="str">
        <f t="shared" si="41"/>
        <v/>
      </c>
      <c r="AM142" s="62" t="str">
        <f t="shared" si="52"/>
        <v/>
      </c>
      <c r="AN142" s="128" t="str">
        <f>IF(A142="","",IF(A142&lt;=Periodos_Gracia,Tabla!S142,PPMT(Tasa_Anual/360*Días*(1+I.V.A.),Tabla!AM142,No._De_Pagos_con_periodo_de_gracia,-Monto_Crédito)+S142))</f>
        <v/>
      </c>
      <c r="AO142" s="128" t="str">
        <f>IF(A142="","",IF(A142&lt;=Periodos_Gracia,Tabla!AC142,Monto_Crédito/(No._De_Pagos_con_periodo_de_gracia)+AC142))</f>
        <v/>
      </c>
      <c r="AP142" s="118"/>
    </row>
    <row r="143" spans="1:42">
      <c r="A143" s="108" t="str">
        <f>IF(A142&lt;Parámetros!$E$6,A142+1,"")</f>
        <v/>
      </c>
      <c r="B143" s="109" t="str">
        <f t="shared" si="53"/>
        <v/>
      </c>
      <c r="C143" s="109" t="str">
        <f t="shared" si="29"/>
        <v/>
      </c>
      <c r="D143" s="109" t="str">
        <f t="shared" si="30"/>
        <v/>
      </c>
      <c r="E143" s="109" t="str">
        <f t="shared" si="31"/>
        <v/>
      </c>
      <c r="F143" s="109" t="str">
        <f t="shared" si="32"/>
        <v/>
      </c>
      <c r="G143" s="115" t="str">
        <f t="shared" si="42"/>
        <v/>
      </c>
      <c r="H143" s="116">
        <f t="shared" si="43"/>
        <v>0</v>
      </c>
      <c r="I143" s="109" t="str">
        <f t="shared" si="54"/>
        <v/>
      </c>
      <c r="J143" s="109" t="str">
        <f t="shared" si="33"/>
        <v/>
      </c>
      <c r="K143" s="109" t="str">
        <f t="shared" si="34"/>
        <v/>
      </c>
      <c r="L143" s="109" t="str">
        <f t="shared" si="35"/>
        <v/>
      </c>
      <c r="M143" s="109" t="str">
        <f t="shared" si="44"/>
        <v/>
      </c>
      <c r="N143" s="115" t="str">
        <f t="shared" si="45"/>
        <v/>
      </c>
      <c r="O143" s="61">
        <v>0</v>
      </c>
      <c r="P143" s="117">
        <f t="shared" si="46"/>
        <v>0</v>
      </c>
      <c r="R143" s="118" t="str">
        <f t="shared" si="56"/>
        <v/>
      </c>
      <c r="S143" s="119" t="str">
        <f t="shared" si="36"/>
        <v/>
      </c>
      <c r="T143" s="119" t="str">
        <f t="shared" si="37"/>
        <v/>
      </c>
      <c r="U143" s="120">
        <f t="shared" si="47"/>
        <v>0</v>
      </c>
      <c r="V143" s="121" t="str">
        <f>IF(A143="","",IF(A143&lt;=Periodos_Gracia,0,PPMT(Tasa_Anual/360*Días*(1+I.V.A.),Tabla!AM143,No._De_Pagos_con_periodo_de_gracia,-Monto_Crédito)))</f>
        <v/>
      </c>
      <c r="W143" s="111" t="str">
        <f>IF($U$258&lt;=0,V143,IF(SUM($U$18:U143)&lt;=0,V143,PMT($K$5/360*Días,A143,-R143)))</f>
        <v/>
      </c>
      <c r="X143" s="122" t="str">
        <f>IF($U$258&lt;=0,W143,IF(SUM($U$18:U143)&lt;=0,V143,PMT($K$5/360*Días,No._De_Pagos_con_periodo_de_gracia,-Monto_Crédito)-S143-T143))</f>
        <v/>
      </c>
      <c r="Y143" s="118" t="str">
        <f t="shared" si="48"/>
        <v/>
      </c>
      <c r="Z143" s="62" t="str">
        <f>+IF(A143="","",IF(No._de_Pagos-Tabla!A143+1&lt;=0,"",No._de_Pagos-Tabla!A143+1))</f>
        <v/>
      </c>
      <c r="AA143" s="123" t="str">
        <f t="shared" si="49"/>
        <v/>
      </c>
      <c r="AB143" s="125" t="str">
        <f t="shared" si="55"/>
        <v/>
      </c>
      <c r="AC143" s="125" t="str">
        <f t="shared" si="38"/>
        <v/>
      </c>
      <c r="AD143" s="125" t="str">
        <f t="shared" si="39"/>
        <v/>
      </c>
      <c r="AE143" s="120">
        <f t="shared" si="50"/>
        <v>0</v>
      </c>
      <c r="AF143" s="121" t="str">
        <f t="shared" si="40"/>
        <v/>
      </c>
      <c r="AG143" s="111" t="str">
        <f>IF($U$258&lt;=0,AF143,IF(SUM($U$18:U143)&lt;=0,AF143,PMT($K$5/360*Días,A143,-AA143)))</f>
        <v/>
      </c>
      <c r="AH143" s="122" t="str">
        <f>IF(A143&lt;=Periodos_Gracia,0,IF($U$258&lt;=0,AG143,IF(SUM($U$18:U143)&lt;=0,AF143,PMT($K$5/360*Días,No._de_Pagos,-Monto_Crédito)-AC143-AD143)))</f>
        <v/>
      </c>
      <c r="AI143" s="126" t="str">
        <f t="shared" si="51"/>
        <v/>
      </c>
      <c r="AK143" s="127" t="str">
        <f>IF(A143="","",IF(Periodos_Gracia&gt;0,Tabla!AN143,V143+S143))</f>
        <v/>
      </c>
      <c r="AL143" s="127" t="str">
        <f t="shared" si="41"/>
        <v/>
      </c>
      <c r="AM143" s="62" t="str">
        <f t="shared" si="52"/>
        <v/>
      </c>
      <c r="AN143" s="128" t="str">
        <f>IF(A143="","",IF(A143&lt;=Periodos_Gracia,Tabla!S143,PPMT(Tasa_Anual/360*Días*(1+I.V.A.),Tabla!AM143,No._De_Pagos_con_periodo_de_gracia,-Monto_Crédito)+S143))</f>
        <v/>
      </c>
      <c r="AO143" s="128" t="str">
        <f>IF(A143="","",IF(A143&lt;=Periodos_Gracia,Tabla!AC143,Monto_Crédito/(No._De_Pagos_con_periodo_de_gracia)+AC143))</f>
        <v/>
      </c>
      <c r="AP143" s="118"/>
    </row>
    <row r="144" spans="1:42">
      <c r="A144" s="108" t="str">
        <f>IF(A143&lt;Parámetros!$E$6,A143+1,"")</f>
        <v/>
      </c>
      <c r="B144" s="109" t="str">
        <f t="shared" si="53"/>
        <v/>
      </c>
      <c r="C144" s="109" t="str">
        <f t="shared" si="29"/>
        <v/>
      </c>
      <c r="D144" s="109" t="str">
        <f t="shared" si="30"/>
        <v/>
      </c>
      <c r="E144" s="109" t="str">
        <f t="shared" si="31"/>
        <v/>
      </c>
      <c r="F144" s="109" t="str">
        <f t="shared" si="32"/>
        <v/>
      </c>
      <c r="G144" s="115" t="str">
        <f t="shared" si="42"/>
        <v/>
      </c>
      <c r="H144" s="116">
        <f t="shared" si="43"/>
        <v>0</v>
      </c>
      <c r="I144" s="109" t="str">
        <f t="shared" si="54"/>
        <v/>
      </c>
      <c r="J144" s="109" t="str">
        <f t="shared" si="33"/>
        <v/>
      </c>
      <c r="K144" s="109" t="str">
        <f t="shared" si="34"/>
        <v/>
      </c>
      <c r="L144" s="109" t="str">
        <f t="shared" si="35"/>
        <v/>
      </c>
      <c r="M144" s="109" t="str">
        <f t="shared" si="44"/>
        <v/>
      </c>
      <c r="N144" s="115" t="str">
        <f t="shared" si="45"/>
        <v/>
      </c>
      <c r="O144" s="61">
        <v>0</v>
      </c>
      <c r="P144" s="117">
        <f t="shared" si="46"/>
        <v>0</v>
      </c>
      <c r="R144" s="118" t="str">
        <f t="shared" si="56"/>
        <v/>
      </c>
      <c r="S144" s="119" t="str">
        <f t="shared" si="36"/>
        <v/>
      </c>
      <c r="T144" s="119" t="str">
        <f t="shared" si="37"/>
        <v/>
      </c>
      <c r="U144" s="120">
        <f t="shared" si="47"/>
        <v>0</v>
      </c>
      <c r="V144" s="121" t="str">
        <f>IF(A144="","",IF(A144&lt;=Periodos_Gracia,0,PPMT(Tasa_Anual/360*Días*(1+I.V.A.),Tabla!AM144,No._De_Pagos_con_periodo_de_gracia,-Monto_Crédito)))</f>
        <v/>
      </c>
      <c r="W144" s="111" t="str">
        <f>IF($U$258&lt;=0,V144,IF(SUM($U$18:U144)&lt;=0,V144,PMT($K$5/360*Días,A144,-R144)))</f>
        <v/>
      </c>
      <c r="X144" s="122" t="str">
        <f>IF($U$258&lt;=0,W144,IF(SUM($U$18:U144)&lt;=0,V144,PMT($K$5/360*Días,No._De_Pagos_con_periodo_de_gracia,-Monto_Crédito)-S144-T144))</f>
        <v/>
      </c>
      <c r="Y144" s="118" t="str">
        <f t="shared" si="48"/>
        <v/>
      </c>
      <c r="Z144" s="62" t="str">
        <f>+IF(A144="","",IF(No._de_Pagos-Tabla!A144+1&lt;=0,"",No._de_Pagos-Tabla!A144+1))</f>
        <v/>
      </c>
      <c r="AA144" s="123" t="str">
        <f t="shared" si="49"/>
        <v/>
      </c>
      <c r="AB144" s="125" t="str">
        <f t="shared" si="55"/>
        <v/>
      </c>
      <c r="AC144" s="125" t="str">
        <f t="shared" si="38"/>
        <v/>
      </c>
      <c r="AD144" s="125" t="str">
        <f t="shared" si="39"/>
        <v/>
      </c>
      <c r="AE144" s="120">
        <f t="shared" si="50"/>
        <v>0</v>
      </c>
      <c r="AF144" s="121" t="str">
        <f t="shared" si="40"/>
        <v/>
      </c>
      <c r="AG144" s="111" t="str">
        <f>IF($U$258&lt;=0,AF144,IF(SUM($U$18:U144)&lt;=0,AF144,PMT($K$5/360*Días,A144,-AA144)))</f>
        <v/>
      </c>
      <c r="AH144" s="122" t="str">
        <f>IF(A144&lt;=Periodos_Gracia,0,IF($U$258&lt;=0,AG144,IF(SUM($U$18:U144)&lt;=0,AF144,PMT($K$5/360*Días,No._de_Pagos,-Monto_Crédito)-AC144-AD144)))</f>
        <v/>
      </c>
      <c r="AI144" s="126" t="str">
        <f t="shared" si="51"/>
        <v/>
      </c>
      <c r="AK144" s="127" t="str">
        <f>IF(A144="","",IF(Periodos_Gracia&gt;0,Tabla!AN144,V144+S144))</f>
        <v/>
      </c>
      <c r="AL144" s="127" t="str">
        <f t="shared" si="41"/>
        <v/>
      </c>
      <c r="AM144" s="62" t="str">
        <f t="shared" si="52"/>
        <v/>
      </c>
      <c r="AN144" s="128" t="str">
        <f>IF(A144="","",IF(A144&lt;=Periodos_Gracia,Tabla!S144,PPMT(Tasa_Anual/360*Días*(1+I.V.A.),Tabla!AM144,No._De_Pagos_con_periodo_de_gracia,-Monto_Crédito)+S144))</f>
        <v/>
      </c>
      <c r="AO144" s="128" t="str">
        <f>IF(A144="","",IF(A144&lt;=Periodos_Gracia,Tabla!AC144,Monto_Crédito/(No._De_Pagos_con_periodo_de_gracia)+AC144))</f>
        <v/>
      </c>
      <c r="AP144" s="118"/>
    </row>
    <row r="145" spans="1:42">
      <c r="A145" s="108" t="str">
        <f>IF(A144&lt;Parámetros!$E$6,A144+1,"")</f>
        <v/>
      </c>
      <c r="B145" s="109" t="str">
        <f t="shared" si="53"/>
        <v/>
      </c>
      <c r="C145" s="109" t="str">
        <f t="shared" si="29"/>
        <v/>
      </c>
      <c r="D145" s="109" t="str">
        <f t="shared" si="30"/>
        <v/>
      </c>
      <c r="E145" s="109" t="str">
        <f t="shared" si="31"/>
        <v/>
      </c>
      <c r="F145" s="109" t="str">
        <f t="shared" si="32"/>
        <v/>
      </c>
      <c r="G145" s="115" t="str">
        <f t="shared" si="42"/>
        <v/>
      </c>
      <c r="H145" s="116">
        <f t="shared" si="43"/>
        <v>0</v>
      </c>
      <c r="I145" s="109" t="str">
        <f t="shared" si="54"/>
        <v/>
      </c>
      <c r="J145" s="109" t="str">
        <f t="shared" si="33"/>
        <v/>
      </c>
      <c r="K145" s="109" t="str">
        <f t="shared" si="34"/>
        <v/>
      </c>
      <c r="L145" s="109" t="str">
        <f t="shared" si="35"/>
        <v/>
      </c>
      <c r="M145" s="109" t="str">
        <f t="shared" si="44"/>
        <v/>
      </c>
      <c r="N145" s="115" t="str">
        <f t="shared" si="45"/>
        <v/>
      </c>
      <c r="O145" s="61">
        <v>0</v>
      </c>
      <c r="P145" s="117">
        <f t="shared" si="46"/>
        <v>0</v>
      </c>
      <c r="R145" s="118" t="str">
        <f t="shared" si="56"/>
        <v/>
      </c>
      <c r="S145" s="119" t="str">
        <f t="shared" si="36"/>
        <v/>
      </c>
      <c r="T145" s="119" t="str">
        <f t="shared" si="37"/>
        <v/>
      </c>
      <c r="U145" s="120">
        <f t="shared" si="47"/>
        <v>0</v>
      </c>
      <c r="V145" s="121" t="str">
        <f>IF(A145="","",IF(A145&lt;=Periodos_Gracia,0,PPMT(Tasa_Anual/360*Días*(1+I.V.A.),Tabla!AM145,No._De_Pagos_con_periodo_de_gracia,-Monto_Crédito)))</f>
        <v/>
      </c>
      <c r="W145" s="111" t="str">
        <f>IF($U$258&lt;=0,V145,IF(SUM($U$18:U145)&lt;=0,V145,PMT($K$5/360*Días,A145,-R145)))</f>
        <v/>
      </c>
      <c r="X145" s="122" t="str">
        <f>IF($U$258&lt;=0,W145,IF(SUM($U$18:U145)&lt;=0,V145,PMT($K$5/360*Días,No._De_Pagos_con_periodo_de_gracia,-Monto_Crédito)-S145-T145))</f>
        <v/>
      </c>
      <c r="Y145" s="118" t="str">
        <f t="shared" si="48"/>
        <v/>
      </c>
      <c r="Z145" s="62" t="str">
        <f>+IF(A145="","",IF(No._de_Pagos-Tabla!A145+1&lt;=0,"",No._de_Pagos-Tabla!A145+1))</f>
        <v/>
      </c>
      <c r="AA145" s="123" t="str">
        <f t="shared" si="49"/>
        <v/>
      </c>
      <c r="AB145" s="125" t="str">
        <f t="shared" si="55"/>
        <v/>
      </c>
      <c r="AC145" s="125" t="str">
        <f t="shared" si="38"/>
        <v/>
      </c>
      <c r="AD145" s="125" t="str">
        <f t="shared" si="39"/>
        <v/>
      </c>
      <c r="AE145" s="120">
        <f t="shared" si="50"/>
        <v>0</v>
      </c>
      <c r="AF145" s="121" t="str">
        <f t="shared" si="40"/>
        <v/>
      </c>
      <c r="AG145" s="111" t="str">
        <f>IF($U$258&lt;=0,AF145,IF(SUM($U$18:U145)&lt;=0,AF145,PMT($K$5/360*Días,A145,-AA145)))</f>
        <v/>
      </c>
      <c r="AH145" s="122" t="str">
        <f>IF(A145&lt;=Periodos_Gracia,0,IF($U$258&lt;=0,AG145,IF(SUM($U$18:U145)&lt;=0,AF145,PMT($K$5/360*Días,No._de_Pagos,-Monto_Crédito)-AC145-AD145)))</f>
        <v/>
      </c>
      <c r="AI145" s="126" t="str">
        <f t="shared" si="51"/>
        <v/>
      </c>
      <c r="AK145" s="127" t="str">
        <f>IF(A145="","",IF(Periodos_Gracia&gt;0,Tabla!AN145,V145+S145))</f>
        <v/>
      </c>
      <c r="AL145" s="127" t="str">
        <f t="shared" si="41"/>
        <v/>
      </c>
      <c r="AM145" s="62" t="str">
        <f t="shared" si="52"/>
        <v/>
      </c>
      <c r="AN145" s="128" t="str">
        <f>IF(A145="","",IF(A145&lt;=Periodos_Gracia,Tabla!S145,PPMT(Tasa_Anual/360*Días*(1+I.V.A.),Tabla!AM145,No._De_Pagos_con_periodo_de_gracia,-Monto_Crédito)+S145))</f>
        <v/>
      </c>
      <c r="AO145" s="128" t="str">
        <f>IF(A145="","",IF(A145&lt;=Periodos_Gracia,Tabla!AC145,Monto_Crédito/(No._De_Pagos_con_periodo_de_gracia)+AC145))</f>
        <v/>
      </c>
      <c r="AP145" s="118"/>
    </row>
    <row r="146" spans="1:42">
      <c r="A146" s="108" t="str">
        <f>IF(A145&lt;Parámetros!$E$6,A145+1,"")</f>
        <v/>
      </c>
      <c r="B146" s="109" t="str">
        <f t="shared" si="53"/>
        <v/>
      </c>
      <c r="C146" s="109" t="str">
        <f t="shared" ref="C146:C209" si="57">IF(A146="","",IF(A146&lt;=Periodos_Gracia,0,IF(V146&gt;B146,B146,V146)))</f>
        <v/>
      </c>
      <c r="D146" s="109" t="str">
        <f t="shared" ref="D146:D209" si="58">IF(A146="","",B146*Tasa_Anual/Pagos_por_año)</f>
        <v/>
      </c>
      <c r="E146" s="109" t="str">
        <f t="shared" ref="E146:E209" si="59">IF(A146="","",D146*I.V.A.)</f>
        <v/>
      </c>
      <c r="F146" s="109" t="str">
        <f t="shared" ref="F146:F209" si="60">IF(A146="","",IF(B146=0,0,IF(A146&lt;=Periodos_Gracia,(D146+E146),C146+D146+E146)))</f>
        <v/>
      </c>
      <c r="G146" s="115" t="str">
        <f t="shared" si="42"/>
        <v/>
      </c>
      <c r="H146" s="116">
        <f t="shared" si="43"/>
        <v>0</v>
      </c>
      <c r="I146" s="109" t="str">
        <f t="shared" si="54"/>
        <v/>
      </c>
      <c r="J146" s="109" t="str">
        <f t="shared" ref="J146:J209" si="61">IF(A146="","",IF(I146=0,0,IF(A146&lt;=Periodos_Gracia,0,IF((Monto_Crédito/(No._de_Pagos-Periodos_Gracia))&gt;I146,I146,(Monto_Crédito/(No._de_Pagos-Periodos_Gracia))))))</f>
        <v/>
      </c>
      <c r="K146" s="109" t="str">
        <f t="shared" ref="K146:K209" si="62">IF(A146="","",I146*Tasa_Anual/Pagos_por_año)</f>
        <v/>
      </c>
      <c r="L146" s="109" t="str">
        <f t="shared" ref="L146:L209" si="63">IF(A146="","",K146*I.V.A.)</f>
        <v/>
      </c>
      <c r="M146" s="109" t="str">
        <f t="shared" si="44"/>
        <v/>
      </c>
      <c r="N146" s="115" t="str">
        <f t="shared" si="45"/>
        <v/>
      </c>
      <c r="O146" s="61">
        <v>0</v>
      </c>
      <c r="P146" s="117">
        <f t="shared" si="46"/>
        <v>0</v>
      </c>
      <c r="R146" s="118" t="str">
        <f t="shared" si="56"/>
        <v/>
      </c>
      <c r="S146" s="119" t="str">
        <f t="shared" ref="S146:S209" si="64">+IF(A146="","",R146*$K$5/360*Días)</f>
        <v/>
      </c>
      <c r="T146" s="119" t="str">
        <f t="shared" ref="T146:T209" si="65">+IF(A146="","",S146*I.V.A.)</f>
        <v/>
      </c>
      <c r="U146" s="120">
        <f t="shared" si="47"/>
        <v>0</v>
      </c>
      <c r="V146" s="121" t="str">
        <f>IF(A146="","",IF(A146&lt;=Periodos_Gracia,0,PPMT(Tasa_Anual/360*Días*(1+I.V.A.),Tabla!AM146,No._De_Pagos_con_periodo_de_gracia,-Monto_Crédito)))</f>
        <v/>
      </c>
      <c r="W146" s="111" t="str">
        <f>IF($U$258&lt;=0,V146,IF(SUM($U$18:U146)&lt;=0,V146,PMT($K$5/360*Días,A146,-R146)))</f>
        <v/>
      </c>
      <c r="X146" s="122" t="str">
        <f>IF($U$258&lt;=0,W146,IF(SUM($U$18:U146)&lt;=0,V146,PMT($K$5/360*Días,No._De_Pagos_con_periodo_de_gracia,-Monto_Crédito)-S146-T146))</f>
        <v/>
      </c>
      <c r="Y146" s="118" t="str">
        <f t="shared" si="48"/>
        <v/>
      </c>
      <c r="Z146" s="62" t="str">
        <f>+IF(A146="","",IF(No._de_Pagos-Tabla!A146+1&lt;=0,"",No._de_Pagos-Tabla!A146+1))</f>
        <v/>
      </c>
      <c r="AA146" s="123" t="str">
        <f t="shared" si="49"/>
        <v/>
      </c>
      <c r="AB146" s="125" t="str">
        <f t="shared" si="55"/>
        <v/>
      </c>
      <c r="AC146" s="125" t="str">
        <f t="shared" ref="AC146:AC209" si="66">IF(AB146="","",+AB146*($K$5/360*Días))</f>
        <v/>
      </c>
      <c r="AD146" s="125" t="str">
        <f t="shared" ref="AD146:AD209" si="67">IF(AC146="","",+AC146*I.V.A.)</f>
        <v/>
      </c>
      <c r="AE146" s="120">
        <f t="shared" si="50"/>
        <v>0</v>
      </c>
      <c r="AF146" s="121" t="str">
        <f t="shared" ref="AF146:AF209" si="68">IF(A146="","",IF(A146&lt;=Periodos_Gracia,0,Monto_Crédito/(No._De_Pagos_con_periodo_de_gracia)))</f>
        <v/>
      </c>
      <c r="AG146" s="111" t="str">
        <f>IF($U$258&lt;=0,AF146,IF(SUM($U$18:U146)&lt;=0,AF146,PMT($K$5/360*Días,A146,-AA146)))</f>
        <v/>
      </c>
      <c r="AH146" s="122" t="str">
        <f>IF(A146&lt;=Periodos_Gracia,0,IF($U$258&lt;=0,AG146,IF(SUM($U$18:U146)&lt;=0,AF146,PMT($K$5/360*Días,No._de_Pagos,-Monto_Crédito)-AC146-AD146)))</f>
        <v/>
      </c>
      <c r="AI146" s="126" t="str">
        <f t="shared" si="51"/>
        <v/>
      </c>
      <c r="AK146" s="127" t="str">
        <f>IF(A146="","",IF(Periodos_Gracia&gt;0,Tabla!AN146,V146+S146))</f>
        <v/>
      </c>
      <c r="AL146" s="127" t="str">
        <f t="shared" ref="AL146:AL209" si="69">IF(A146="","",IF(Periodos_Gracia&gt;0,AO146,AF146+AC146))</f>
        <v/>
      </c>
      <c r="AM146" s="62" t="str">
        <f t="shared" si="52"/>
        <v/>
      </c>
      <c r="AN146" s="128" t="str">
        <f>IF(A146="","",IF(A146&lt;=Periodos_Gracia,Tabla!S146,PPMT(Tasa_Anual/360*Días*(1+I.V.A.),Tabla!AM146,No._De_Pagos_con_periodo_de_gracia,-Monto_Crédito)+S146))</f>
        <v/>
      </c>
      <c r="AO146" s="128" t="str">
        <f>IF(A146="","",IF(A146&lt;=Periodos_Gracia,Tabla!AC146,Monto_Crédito/(No._De_Pagos_con_periodo_de_gracia)+AC146))</f>
        <v/>
      </c>
      <c r="AP146" s="118"/>
    </row>
    <row r="147" spans="1:42">
      <c r="A147" s="108" t="str">
        <f>IF(A146&lt;Parámetros!$E$6,A146+1,"")</f>
        <v/>
      </c>
      <c r="B147" s="109" t="str">
        <f t="shared" si="53"/>
        <v/>
      </c>
      <c r="C147" s="109" t="str">
        <f t="shared" si="57"/>
        <v/>
      </c>
      <c r="D147" s="109" t="str">
        <f t="shared" si="58"/>
        <v/>
      </c>
      <c r="E147" s="109" t="str">
        <f t="shared" si="59"/>
        <v/>
      </c>
      <c r="F147" s="109" t="str">
        <f t="shared" si="60"/>
        <v/>
      </c>
      <c r="G147" s="115" t="str">
        <f t="shared" ref="G147:G210" si="70">IF(A147="","",IF(+B147-C147-O147&lt;=0,0,+B147-C147-O147))</f>
        <v/>
      </c>
      <c r="H147" s="116">
        <f t="shared" ref="H147:H210" si="71">IF(OR(B147=0,B147=""),0,1)</f>
        <v>0</v>
      </c>
      <c r="I147" s="109" t="str">
        <f t="shared" si="54"/>
        <v/>
      </c>
      <c r="J147" s="109" t="str">
        <f t="shared" si="61"/>
        <v/>
      </c>
      <c r="K147" s="109" t="str">
        <f t="shared" si="62"/>
        <v/>
      </c>
      <c r="L147" s="109" t="str">
        <f t="shared" si="63"/>
        <v/>
      </c>
      <c r="M147" s="109" t="str">
        <f t="shared" ref="M147:M210" si="72">IF(A147="","",IF(I147=0,0,(J147+K147+L147)))</f>
        <v/>
      </c>
      <c r="N147" s="115" t="str">
        <f t="shared" ref="N147:N210" si="73">IF(A147="","",IF(+I147-J147-O147&lt;=0,0,+I147-J147-O147))</f>
        <v/>
      </c>
      <c r="O147" s="61">
        <v>0</v>
      </c>
      <c r="P147" s="117">
        <f t="shared" ref="P147:P210" si="74">IF(OR(I147=0,I147=""),0,1)</f>
        <v>0</v>
      </c>
      <c r="R147" s="118" t="str">
        <f t="shared" si="56"/>
        <v/>
      </c>
      <c r="S147" s="119" t="str">
        <f t="shared" si="64"/>
        <v/>
      </c>
      <c r="T147" s="119" t="str">
        <f t="shared" si="65"/>
        <v/>
      </c>
      <c r="U147" s="120">
        <f t="shared" ref="U147:U210" si="75">+O147</f>
        <v>0</v>
      </c>
      <c r="V147" s="121" t="str">
        <f>IF(A147="","",IF(A147&lt;=Periodos_Gracia,0,PPMT(Tasa_Anual/360*Días*(1+I.V.A.),Tabla!AM147,No._De_Pagos_con_periodo_de_gracia,-Monto_Crédito)))</f>
        <v/>
      </c>
      <c r="W147" s="111" t="str">
        <f>IF($U$258&lt;=0,V147,IF(SUM($U$18:U147)&lt;=0,V147,PMT($K$5/360*Días,A147,-R147)))</f>
        <v/>
      </c>
      <c r="X147" s="122" t="str">
        <f>IF($U$258&lt;=0,W147,IF(SUM($U$18:U147)&lt;=0,V147,PMT($K$5/360*Días,No._De_Pagos_con_periodo_de_gracia,-Monto_Crédito)-S147-T147))</f>
        <v/>
      </c>
      <c r="Y147" s="118" t="str">
        <f t="shared" ref="Y147:Y210" si="76">V147</f>
        <v/>
      </c>
      <c r="Z147" s="62" t="str">
        <f>+IF(A147="","",IF(No._de_Pagos-Tabla!A147+1&lt;=0,"",No._de_Pagos-Tabla!A147+1))</f>
        <v/>
      </c>
      <c r="AA147" s="123" t="str">
        <f t="shared" ref="AA147:AA210" si="77">IF(A147="","",V147+S147+T147)</f>
        <v/>
      </c>
      <c r="AB147" s="125" t="str">
        <f t="shared" si="55"/>
        <v/>
      </c>
      <c r="AC147" s="125" t="str">
        <f t="shared" si="66"/>
        <v/>
      </c>
      <c r="AD147" s="125" t="str">
        <f t="shared" si="67"/>
        <v/>
      </c>
      <c r="AE147" s="120">
        <f t="shared" ref="AE147:AE210" si="78">+O147</f>
        <v>0</v>
      </c>
      <c r="AF147" s="121" t="str">
        <f t="shared" si="68"/>
        <v/>
      </c>
      <c r="AG147" s="111" t="str">
        <f>IF($U$258&lt;=0,AF147,IF(SUM($U$18:U147)&lt;=0,AF147,PMT($K$5/360*Días,A147,-AA147)))</f>
        <v/>
      </c>
      <c r="AH147" s="122" t="str">
        <f>IF(A147&lt;=Periodos_Gracia,0,IF($U$258&lt;=0,AG147,IF(SUM($U$18:U147)&lt;=0,AF147,PMT($K$5/360*Días,No._de_Pagos,-Monto_Crédito)-AC147-AD147)))</f>
        <v/>
      </c>
      <c r="AI147" s="126" t="str">
        <f t="shared" ref="AI147:AI210" si="79">IF(A147="","",AF147+AC147+AD147)</f>
        <v/>
      </c>
      <c r="AK147" s="127" t="str">
        <f>IF(A147="","",IF(Periodos_Gracia&gt;0,Tabla!AN147,V147+S147))</f>
        <v/>
      </c>
      <c r="AL147" s="127" t="str">
        <f t="shared" si="69"/>
        <v/>
      </c>
      <c r="AM147" s="62" t="str">
        <f t="shared" ref="AM147:AM210" si="80">IF(A147="","",IF(A147&lt;=Periodos_Gracia,0,IF(AM146=0,1,IF(AM146&gt;0,AM146+1,A146))))</f>
        <v/>
      </c>
      <c r="AN147" s="128" t="str">
        <f>IF(A147="","",IF(A147&lt;=Periodos_Gracia,Tabla!S147,PPMT(Tasa_Anual/360*Días*(1+I.V.A.),Tabla!AM147,No._De_Pagos_con_periodo_de_gracia,-Monto_Crédito)+S147))</f>
        <v/>
      </c>
      <c r="AO147" s="128" t="str">
        <f>IF(A147="","",IF(A147&lt;=Periodos_Gracia,Tabla!AC147,Monto_Crédito/(No._De_Pagos_con_periodo_de_gracia)+AC147))</f>
        <v/>
      </c>
      <c r="AP147" s="118"/>
    </row>
    <row r="148" spans="1:42">
      <c r="A148" s="108" t="str">
        <f>IF(A147&lt;Parámetros!$E$6,A147+1,"")</f>
        <v/>
      </c>
      <c r="B148" s="109" t="str">
        <f t="shared" ref="B148:B211" si="81">IF(A148="","",IF(G147&lt;=0,0,+G147))</f>
        <v/>
      </c>
      <c r="C148" s="109" t="str">
        <f t="shared" si="57"/>
        <v/>
      </c>
      <c r="D148" s="109" t="str">
        <f t="shared" si="58"/>
        <v/>
      </c>
      <c r="E148" s="109" t="str">
        <f t="shared" si="59"/>
        <v/>
      </c>
      <c r="F148" s="109" t="str">
        <f t="shared" si="60"/>
        <v/>
      </c>
      <c r="G148" s="115" t="str">
        <f t="shared" si="70"/>
        <v/>
      </c>
      <c r="H148" s="116">
        <f t="shared" si="71"/>
        <v>0</v>
      </c>
      <c r="I148" s="109" t="str">
        <f t="shared" ref="I148:I211" si="82">IF(A148="","",IF(+N147&lt;=0,0,N147))</f>
        <v/>
      </c>
      <c r="J148" s="109" t="str">
        <f t="shared" si="61"/>
        <v/>
      </c>
      <c r="K148" s="109" t="str">
        <f t="shared" si="62"/>
        <v/>
      </c>
      <c r="L148" s="109" t="str">
        <f t="shared" si="63"/>
        <v/>
      </c>
      <c r="M148" s="109" t="str">
        <f t="shared" si="72"/>
        <v/>
      </c>
      <c r="N148" s="115" t="str">
        <f t="shared" si="73"/>
        <v/>
      </c>
      <c r="O148" s="61">
        <v>0</v>
      </c>
      <c r="P148" s="117">
        <f t="shared" si="74"/>
        <v>0</v>
      </c>
      <c r="R148" s="118" t="str">
        <f t="shared" si="56"/>
        <v/>
      </c>
      <c r="S148" s="119" t="str">
        <f t="shared" si="64"/>
        <v/>
      </c>
      <c r="T148" s="119" t="str">
        <f t="shared" si="65"/>
        <v/>
      </c>
      <c r="U148" s="120">
        <f t="shared" si="75"/>
        <v>0</v>
      </c>
      <c r="V148" s="121" t="str">
        <f>IF(A148="","",IF(A148&lt;=Periodos_Gracia,0,PPMT(Tasa_Anual/360*Días*(1+I.V.A.),Tabla!AM148,No._De_Pagos_con_periodo_de_gracia,-Monto_Crédito)))</f>
        <v/>
      </c>
      <c r="W148" s="111" t="str">
        <f>IF($U$258&lt;=0,V148,IF(SUM($U$18:U148)&lt;=0,V148,PMT($K$5/360*Días,A148,-R148)))</f>
        <v/>
      </c>
      <c r="X148" s="122" t="str">
        <f>IF($U$258&lt;=0,W148,IF(SUM($U$18:U148)&lt;=0,V148,PMT($K$5/360*Días,No._De_Pagos_con_periodo_de_gracia,-Monto_Crédito)-S148-T148))</f>
        <v/>
      </c>
      <c r="Y148" s="118" t="str">
        <f t="shared" si="76"/>
        <v/>
      </c>
      <c r="Z148" s="62" t="str">
        <f>+IF(A148="","",IF(No._de_Pagos-Tabla!A148+1&lt;=0,"",No._de_Pagos-Tabla!A148+1))</f>
        <v/>
      </c>
      <c r="AA148" s="123" t="str">
        <f t="shared" si="77"/>
        <v/>
      </c>
      <c r="AB148" s="125" t="str">
        <f t="shared" ref="AB148:AB211" si="83">IF(A148="","",AB147-AF147)</f>
        <v/>
      </c>
      <c r="AC148" s="125" t="str">
        <f t="shared" si="66"/>
        <v/>
      </c>
      <c r="AD148" s="125" t="str">
        <f t="shared" si="67"/>
        <v/>
      </c>
      <c r="AE148" s="120">
        <f t="shared" si="78"/>
        <v>0</v>
      </c>
      <c r="AF148" s="121" t="str">
        <f t="shared" si="68"/>
        <v/>
      </c>
      <c r="AG148" s="111" t="str">
        <f>IF($U$258&lt;=0,AF148,IF(SUM($U$18:U148)&lt;=0,AF148,PMT($K$5/360*Días,A148,-AA148)))</f>
        <v/>
      </c>
      <c r="AH148" s="122" t="str">
        <f>IF(A148&lt;=Periodos_Gracia,0,IF($U$258&lt;=0,AG148,IF(SUM($U$18:U148)&lt;=0,AF148,PMT($K$5/360*Días,No._de_Pagos,-Monto_Crédito)-AC148-AD148)))</f>
        <v/>
      </c>
      <c r="AI148" s="126" t="str">
        <f t="shared" si="79"/>
        <v/>
      </c>
      <c r="AK148" s="127" t="str">
        <f>IF(A148="","",IF(Periodos_Gracia&gt;0,Tabla!AN148,V148+S148))</f>
        <v/>
      </c>
      <c r="AL148" s="127" t="str">
        <f t="shared" si="69"/>
        <v/>
      </c>
      <c r="AM148" s="62" t="str">
        <f t="shared" si="80"/>
        <v/>
      </c>
      <c r="AN148" s="128" t="str">
        <f>IF(A148="","",IF(A148&lt;=Periodos_Gracia,Tabla!S148,PPMT(Tasa_Anual/360*Días*(1+I.V.A.),Tabla!AM148,No._De_Pagos_con_periodo_de_gracia,-Monto_Crédito)+S148))</f>
        <v/>
      </c>
      <c r="AO148" s="128" t="str">
        <f>IF(A148="","",IF(A148&lt;=Periodos_Gracia,Tabla!AC148,Monto_Crédito/(No._De_Pagos_con_periodo_de_gracia)+AC148))</f>
        <v/>
      </c>
      <c r="AP148" s="118"/>
    </row>
    <row r="149" spans="1:42">
      <c r="A149" s="108" t="str">
        <f>IF(A148&lt;Parámetros!$E$6,A148+1,"")</f>
        <v/>
      </c>
      <c r="B149" s="109" t="str">
        <f t="shared" si="81"/>
        <v/>
      </c>
      <c r="C149" s="109" t="str">
        <f t="shared" si="57"/>
        <v/>
      </c>
      <c r="D149" s="109" t="str">
        <f t="shared" si="58"/>
        <v/>
      </c>
      <c r="E149" s="109" t="str">
        <f t="shared" si="59"/>
        <v/>
      </c>
      <c r="F149" s="109" t="str">
        <f t="shared" si="60"/>
        <v/>
      </c>
      <c r="G149" s="115" t="str">
        <f t="shared" si="70"/>
        <v/>
      </c>
      <c r="H149" s="116">
        <f t="shared" si="71"/>
        <v>0</v>
      </c>
      <c r="I149" s="109" t="str">
        <f t="shared" si="82"/>
        <v/>
      </c>
      <c r="J149" s="109" t="str">
        <f t="shared" si="61"/>
        <v/>
      </c>
      <c r="K149" s="109" t="str">
        <f t="shared" si="62"/>
        <v/>
      </c>
      <c r="L149" s="109" t="str">
        <f t="shared" si="63"/>
        <v/>
      </c>
      <c r="M149" s="109" t="str">
        <f t="shared" si="72"/>
        <v/>
      </c>
      <c r="N149" s="115" t="str">
        <f t="shared" si="73"/>
        <v/>
      </c>
      <c r="O149" s="61">
        <v>0</v>
      </c>
      <c r="P149" s="117">
        <f t="shared" si="74"/>
        <v>0</v>
      </c>
      <c r="R149" s="118" t="str">
        <f t="shared" si="56"/>
        <v/>
      </c>
      <c r="S149" s="119" t="str">
        <f t="shared" si="64"/>
        <v/>
      </c>
      <c r="T149" s="119" t="str">
        <f t="shared" si="65"/>
        <v/>
      </c>
      <c r="U149" s="120">
        <f t="shared" si="75"/>
        <v>0</v>
      </c>
      <c r="V149" s="121" t="str">
        <f>IF(A149="","",IF(A149&lt;=Periodos_Gracia,0,PPMT(Tasa_Anual/360*Días*(1+I.V.A.),Tabla!AM149,No._De_Pagos_con_periodo_de_gracia,-Monto_Crédito)))</f>
        <v/>
      </c>
      <c r="W149" s="111" t="str">
        <f>IF($U$258&lt;=0,V149,IF(SUM($U$18:U149)&lt;=0,V149,PMT($K$5/360*Días,A149,-R149)))</f>
        <v/>
      </c>
      <c r="X149" s="122" t="str">
        <f>IF($U$258&lt;=0,W149,IF(SUM($U$18:U149)&lt;=0,V149,PMT($K$5/360*Días,No._De_Pagos_con_periodo_de_gracia,-Monto_Crédito)-S149-T149))</f>
        <v/>
      </c>
      <c r="Y149" s="118" t="str">
        <f t="shared" si="76"/>
        <v/>
      </c>
      <c r="Z149" s="62" t="str">
        <f>+IF(A149="","",IF(No._de_Pagos-Tabla!A149+1&lt;=0,"",No._de_Pagos-Tabla!A149+1))</f>
        <v/>
      </c>
      <c r="AA149" s="123" t="str">
        <f t="shared" si="77"/>
        <v/>
      </c>
      <c r="AB149" s="125" t="str">
        <f t="shared" si="83"/>
        <v/>
      </c>
      <c r="AC149" s="125" t="str">
        <f t="shared" si="66"/>
        <v/>
      </c>
      <c r="AD149" s="125" t="str">
        <f t="shared" si="67"/>
        <v/>
      </c>
      <c r="AE149" s="120">
        <f t="shared" si="78"/>
        <v>0</v>
      </c>
      <c r="AF149" s="121" t="str">
        <f t="shared" si="68"/>
        <v/>
      </c>
      <c r="AG149" s="111" t="str">
        <f>IF($U$258&lt;=0,AF149,IF(SUM($U$18:U149)&lt;=0,AF149,PMT($K$5/360*Días,A149,-AA149)))</f>
        <v/>
      </c>
      <c r="AH149" s="122" t="str">
        <f>IF(A149&lt;=Periodos_Gracia,0,IF($U$258&lt;=0,AG149,IF(SUM($U$18:U149)&lt;=0,AF149,PMT($K$5/360*Días,No._de_Pagos,-Monto_Crédito)-AC149-AD149)))</f>
        <v/>
      </c>
      <c r="AI149" s="126" t="str">
        <f t="shared" si="79"/>
        <v/>
      </c>
      <c r="AK149" s="127" t="str">
        <f>IF(A149="","",IF(Periodos_Gracia&gt;0,Tabla!AN149,V149+S149))</f>
        <v/>
      </c>
      <c r="AL149" s="127" t="str">
        <f t="shared" si="69"/>
        <v/>
      </c>
      <c r="AM149" s="62" t="str">
        <f t="shared" si="80"/>
        <v/>
      </c>
      <c r="AN149" s="128" t="str">
        <f>IF(A149="","",IF(A149&lt;=Periodos_Gracia,Tabla!S149,PPMT(Tasa_Anual/360*Días*(1+I.V.A.),Tabla!AM149,No._De_Pagos_con_periodo_de_gracia,-Monto_Crédito)+S149))</f>
        <v/>
      </c>
      <c r="AO149" s="128" t="str">
        <f>IF(A149="","",IF(A149&lt;=Periodos_Gracia,Tabla!AC149,Monto_Crédito/(No._De_Pagos_con_periodo_de_gracia)+AC149))</f>
        <v/>
      </c>
      <c r="AP149" s="118"/>
    </row>
    <row r="150" spans="1:42">
      <c r="A150" s="108" t="str">
        <f>IF(A149&lt;Parámetros!$E$6,A149+1,"")</f>
        <v/>
      </c>
      <c r="B150" s="109" t="str">
        <f t="shared" si="81"/>
        <v/>
      </c>
      <c r="C150" s="109" t="str">
        <f t="shared" si="57"/>
        <v/>
      </c>
      <c r="D150" s="109" t="str">
        <f t="shared" si="58"/>
        <v/>
      </c>
      <c r="E150" s="109" t="str">
        <f t="shared" si="59"/>
        <v/>
      </c>
      <c r="F150" s="109" t="str">
        <f t="shared" si="60"/>
        <v/>
      </c>
      <c r="G150" s="115" t="str">
        <f t="shared" si="70"/>
        <v/>
      </c>
      <c r="H150" s="116">
        <f t="shared" si="71"/>
        <v>0</v>
      </c>
      <c r="I150" s="109" t="str">
        <f t="shared" si="82"/>
        <v/>
      </c>
      <c r="J150" s="109" t="str">
        <f t="shared" si="61"/>
        <v/>
      </c>
      <c r="K150" s="109" t="str">
        <f t="shared" si="62"/>
        <v/>
      </c>
      <c r="L150" s="109" t="str">
        <f t="shared" si="63"/>
        <v/>
      </c>
      <c r="M150" s="109" t="str">
        <f t="shared" si="72"/>
        <v/>
      </c>
      <c r="N150" s="115" t="str">
        <f t="shared" si="73"/>
        <v/>
      </c>
      <c r="O150" s="61">
        <v>0</v>
      </c>
      <c r="P150" s="117">
        <f t="shared" si="74"/>
        <v>0</v>
      </c>
      <c r="R150" s="118" t="str">
        <f t="shared" si="56"/>
        <v/>
      </c>
      <c r="S150" s="119" t="str">
        <f t="shared" si="64"/>
        <v/>
      </c>
      <c r="T150" s="119" t="str">
        <f t="shared" si="65"/>
        <v/>
      </c>
      <c r="U150" s="120">
        <f t="shared" si="75"/>
        <v>0</v>
      </c>
      <c r="V150" s="121" t="str">
        <f>IF(A150="","",IF(A150&lt;=Periodos_Gracia,0,PPMT(Tasa_Anual/360*Días*(1+I.V.A.),Tabla!AM150,No._De_Pagos_con_periodo_de_gracia,-Monto_Crédito)))</f>
        <v/>
      </c>
      <c r="W150" s="111" t="str">
        <f>IF($U$258&lt;=0,V150,IF(SUM($U$18:U150)&lt;=0,V150,PMT($K$5/360*Días,A150,-R150)))</f>
        <v/>
      </c>
      <c r="X150" s="122" t="str">
        <f>IF($U$258&lt;=0,W150,IF(SUM($U$18:U150)&lt;=0,V150,PMT($K$5/360*Días,No._De_Pagos_con_periodo_de_gracia,-Monto_Crédito)-S150-T150))</f>
        <v/>
      </c>
      <c r="Y150" s="118" t="str">
        <f t="shared" si="76"/>
        <v/>
      </c>
      <c r="Z150" s="62" t="str">
        <f>+IF(A150="","",IF(No._de_Pagos-Tabla!A150+1&lt;=0,"",No._de_Pagos-Tabla!A150+1))</f>
        <v/>
      </c>
      <c r="AA150" s="123" t="str">
        <f t="shared" si="77"/>
        <v/>
      </c>
      <c r="AB150" s="125" t="str">
        <f t="shared" si="83"/>
        <v/>
      </c>
      <c r="AC150" s="125" t="str">
        <f t="shared" si="66"/>
        <v/>
      </c>
      <c r="AD150" s="125" t="str">
        <f t="shared" si="67"/>
        <v/>
      </c>
      <c r="AE150" s="120">
        <f t="shared" si="78"/>
        <v>0</v>
      </c>
      <c r="AF150" s="121" t="str">
        <f t="shared" si="68"/>
        <v/>
      </c>
      <c r="AG150" s="111" t="str">
        <f>IF($U$258&lt;=0,AF150,IF(SUM($U$18:U150)&lt;=0,AF150,PMT($K$5/360*Días,A150,-AA150)))</f>
        <v/>
      </c>
      <c r="AH150" s="122" t="str">
        <f>IF(A150&lt;=Periodos_Gracia,0,IF($U$258&lt;=0,AG150,IF(SUM($U$18:U150)&lt;=0,AF150,PMT($K$5/360*Días,No._de_Pagos,-Monto_Crédito)-AC150-AD150)))</f>
        <v/>
      </c>
      <c r="AI150" s="126" t="str">
        <f t="shared" si="79"/>
        <v/>
      </c>
      <c r="AK150" s="127" t="str">
        <f>IF(A150="","",IF(Periodos_Gracia&gt;0,Tabla!AN150,V150+S150))</f>
        <v/>
      </c>
      <c r="AL150" s="127" t="str">
        <f t="shared" si="69"/>
        <v/>
      </c>
      <c r="AM150" s="62" t="str">
        <f t="shared" si="80"/>
        <v/>
      </c>
      <c r="AN150" s="128" t="str">
        <f>IF(A150="","",IF(A150&lt;=Periodos_Gracia,Tabla!S150,PPMT(Tasa_Anual/360*Días*(1+I.V.A.),Tabla!AM150,No._De_Pagos_con_periodo_de_gracia,-Monto_Crédito)+S150))</f>
        <v/>
      </c>
      <c r="AO150" s="128" t="str">
        <f>IF(A150="","",IF(A150&lt;=Periodos_Gracia,Tabla!AC150,Monto_Crédito/(No._De_Pagos_con_periodo_de_gracia)+AC150))</f>
        <v/>
      </c>
      <c r="AP150" s="118"/>
    </row>
    <row r="151" spans="1:42">
      <c r="A151" s="108" t="str">
        <f>IF(A150&lt;Parámetros!$E$6,A150+1,"")</f>
        <v/>
      </c>
      <c r="B151" s="109" t="str">
        <f t="shared" si="81"/>
        <v/>
      </c>
      <c r="C151" s="109" t="str">
        <f t="shared" si="57"/>
        <v/>
      </c>
      <c r="D151" s="109" t="str">
        <f t="shared" si="58"/>
        <v/>
      </c>
      <c r="E151" s="109" t="str">
        <f t="shared" si="59"/>
        <v/>
      </c>
      <c r="F151" s="109" t="str">
        <f t="shared" si="60"/>
        <v/>
      </c>
      <c r="G151" s="115" t="str">
        <f t="shared" si="70"/>
        <v/>
      </c>
      <c r="H151" s="116">
        <f t="shared" si="71"/>
        <v>0</v>
      </c>
      <c r="I151" s="109" t="str">
        <f t="shared" si="82"/>
        <v/>
      </c>
      <c r="J151" s="109" t="str">
        <f t="shared" si="61"/>
        <v/>
      </c>
      <c r="K151" s="109" t="str">
        <f t="shared" si="62"/>
        <v/>
      </c>
      <c r="L151" s="109" t="str">
        <f t="shared" si="63"/>
        <v/>
      </c>
      <c r="M151" s="109" t="str">
        <f t="shared" si="72"/>
        <v/>
      </c>
      <c r="N151" s="115" t="str">
        <f t="shared" si="73"/>
        <v/>
      </c>
      <c r="O151" s="61">
        <v>0</v>
      </c>
      <c r="P151" s="117">
        <f t="shared" si="74"/>
        <v>0</v>
      </c>
      <c r="R151" s="118" t="str">
        <f t="shared" si="56"/>
        <v/>
      </c>
      <c r="S151" s="119" t="str">
        <f t="shared" si="64"/>
        <v/>
      </c>
      <c r="T151" s="119" t="str">
        <f t="shared" si="65"/>
        <v/>
      </c>
      <c r="U151" s="120">
        <f t="shared" si="75"/>
        <v>0</v>
      </c>
      <c r="V151" s="121" t="str">
        <f>IF(A151="","",IF(A151&lt;=Periodos_Gracia,0,PPMT(Tasa_Anual/360*Días*(1+I.V.A.),Tabla!AM151,No._De_Pagos_con_periodo_de_gracia,-Monto_Crédito)))</f>
        <v/>
      </c>
      <c r="W151" s="111" t="str">
        <f>IF($U$258&lt;=0,V151,IF(SUM($U$18:U151)&lt;=0,V151,PMT($K$5/360*Días,A151,-R151)))</f>
        <v/>
      </c>
      <c r="X151" s="122" t="str">
        <f>IF($U$258&lt;=0,W151,IF(SUM($U$18:U151)&lt;=0,V151,PMT($K$5/360*Días,No._De_Pagos_con_periodo_de_gracia,-Monto_Crédito)-S151-T151))</f>
        <v/>
      </c>
      <c r="Y151" s="118" t="str">
        <f t="shared" si="76"/>
        <v/>
      </c>
      <c r="Z151" s="62" t="str">
        <f>+IF(A151="","",IF(No._de_Pagos-Tabla!A151+1&lt;=0,"",No._de_Pagos-Tabla!A151+1))</f>
        <v/>
      </c>
      <c r="AA151" s="123" t="str">
        <f t="shared" si="77"/>
        <v/>
      </c>
      <c r="AB151" s="125" t="str">
        <f t="shared" si="83"/>
        <v/>
      </c>
      <c r="AC151" s="125" t="str">
        <f t="shared" si="66"/>
        <v/>
      </c>
      <c r="AD151" s="125" t="str">
        <f t="shared" si="67"/>
        <v/>
      </c>
      <c r="AE151" s="120">
        <f t="shared" si="78"/>
        <v>0</v>
      </c>
      <c r="AF151" s="121" t="str">
        <f t="shared" si="68"/>
        <v/>
      </c>
      <c r="AG151" s="111" t="str">
        <f>IF($U$258&lt;=0,AF151,IF(SUM($U$18:U151)&lt;=0,AF151,PMT($K$5/360*Días,A151,-AA151)))</f>
        <v/>
      </c>
      <c r="AH151" s="122" t="str">
        <f>IF(A151&lt;=Periodos_Gracia,0,IF($U$258&lt;=0,AG151,IF(SUM($U$18:U151)&lt;=0,AF151,PMT($K$5/360*Días,No._de_Pagos,-Monto_Crédito)-AC151-AD151)))</f>
        <v/>
      </c>
      <c r="AI151" s="126" t="str">
        <f t="shared" si="79"/>
        <v/>
      </c>
      <c r="AK151" s="127" t="str">
        <f>IF(A151="","",IF(Periodos_Gracia&gt;0,Tabla!AN151,V151+S151))</f>
        <v/>
      </c>
      <c r="AL151" s="127" t="str">
        <f t="shared" si="69"/>
        <v/>
      </c>
      <c r="AM151" s="62" t="str">
        <f t="shared" si="80"/>
        <v/>
      </c>
      <c r="AN151" s="128" t="str">
        <f>IF(A151="","",IF(A151&lt;=Periodos_Gracia,Tabla!S151,PPMT(Tasa_Anual/360*Días*(1+I.V.A.),Tabla!AM151,No._De_Pagos_con_periodo_de_gracia,-Monto_Crédito)+S151))</f>
        <v/>
      </c>
      <c r="AO151" s="128" t="str">
        <f>IF(A151="","",IF(A151&lt;=Periodos_Gracia,Tabla!AC151,Monto_Crédito/(No._De_Pagos_con_periodo_de_gracia)+AC151))</f>
        <v/>
      </c>
      <c r="AP151" s="118"/>
    </row>
    <row r="152" spans="1:42">
      <c r="A152" s="108" t="str">
        <f>IF(A151&lt;Parámetros!$E$6,A151+1,"")</f>
        <v/>
      </c>
      <c r="B152" s="109" t="str">
        <f t="shared" si="81"/>
        <v/>
      </c>
      <c r="C152" s="109" t="str">
        <f t="shared" si="57"/>
        <v/>
      </c>
      <c r="D152" s="109" t="str">
        <f t="shared" si="58"/>
        <v/>
      </c>
      <c r="E152" s="109" t="str">
        <f t="shared" si="59"/>
        <v/>
      </c>
      <c r="F152" s="109" t="str">
        <f t="shared" si="60"/>
        <v/>
      </c>
      <c r="G152" s="115" t="str">
        <f t="shared" si="70"/>
        <v/>
      </c>
      <c r="H152" s="116">
        <f t="shared" si="71"/>
        <v>0</v>
      </c>
      <c r="I152" s="109" t="str">
        <f t="shared" si="82"/>
        <v/>
      </c>
      <c r="J152" s="109" t="str">
        <f t="shared" si="61"/>
        <v/>
      </c>
      <c r="K152" s="109" t="str">
        <f t="shared" si="62"/>
        <v/>
      </c>
      <c r="L152" s="109" t="str">
        <f t="shared" si="63"/>
        <v/>
      </c>
      <c r="M152" s="109" t="str">
        <f t="shared" si="72"/>
        <v/>
      </c>
      <c r="N152" s="115" t="str">
        <f t="shared" si="73"/>
        <v/>
      </c>
      <c r="O152" s="61">
        <v>0</v>
      </c>
      <c r="P152" s="117">
        <f t="shared" si="74"/>
        <v>0</v>
      </c>
      <c r="R152" s="118" t="str">
        <f t="shared" si="56"/>
        <v/>
      </c>
      <c r="S152" s="119" t="str">
        <f t="shared" si="64"/>
        <v/>
      </c>
      <c r="T152" s="119" t="str">
        <f t="shared" si="65"/>
        <v/>
      </c>
      <c r="U152" s="120">
        <f t="shared" si="75"/>
        <v>0</v>
      </c>
      <c r="V152" s="121" t="str">
        <f>IF(A152="","",IF(A152&lt;=Periodos_Gracia,0,PPMT(Tasa_Anual/360*Días*(1+I.V.A.),Tabla!AM152,No._De_Pagos_con_periodo_de_gracia,-Monto_Crédito)))</f>
        <v/>
      </c>
      <c r="W152" s="111" t="str">
        <f>IF($U$258&lt;=0,V152,IF(SUM($U$18:U152)&lt;=0,V152,PMT($K$5/360*Días,A152,-R152)))</f>
        <v/>
      </c>
      <c r="X152" s="122" t="str">
        <f>IF($U$258&lt;=0,W152,IF(SUM($U$18:U152)&lt;=0,V152,PMT($K$5/360*Días,No._De_Pagos_con_periodo_de_gracia,-Monto_Crédito)-S152-T152))</f>
        <v/>
      </c>
      <c r="Y152" s="118" t="str">
        <f t="shared" si="76"/>
        <v/>
      </c>
      <c r="Z152" s="62" t="str">
        <f>+IF(A152="","",IF(No._de_Pagos-Tabla!A152+1&lt;=0,"",No._de_Pagos-Tabla!A152+1))</f>
        <v/>
      </c>
      <c r="AA152" s="123" t="str">
        <f t="shared" si="77"/>
        <v/>
      </c>
      <c r="AB152" s="125" t="str">
        <f t="shared" si="83"/>
        <v/>
      </c>
      <c r="AC152" s="125" t="str">
        <f t="shared" si="66"/>
        <v/>
      </c>
      <c r="AD152" s="125" t="str">
        <f t="shared" si="67"/>
        <v/>
      </c>
      <c r="AE152" s="120">
        <f t="shared" si="78"/>
        <v>0</v>
      </c>
      <c r="AF152" s="121" t="str">
        <f t="shared" si="68"/>
        <v/>
      </c>
      <c r="AG152" s="111" t="str">
        <f>IF($U$258&lt;=0,AF152,IF(SUM($U$18:U152)&lt;=0,AF152,PMT($K$5/360*Días,A152,-AA152)))</f>
        <v/>
      </c>
      <c r="AH152" s="122" t="str">
        <f>IF(A152&lt;=Periodos_Gracia,0,IF($U$258&lt;=0,AG152,IF(SUM($U$18:U152)&lt;=0,AF152,PMT($K$5/360*Días,No._de_Pagos,-Monto_Crédito)-AC152-AD152)))</f>
        <v/>
      </c>
      <c r="AI152" s="126" t="str">
        <f t="shared" si="79"/>
        <v/>
      </c>
      <c r="AK152" s="127" t="str">
        <f>IF(A152="","",IF(Periodos_Gracia&gt;0,Tabla!AN152,V152+S152))</f>
        <v/>
      </c>
      <c r="AL152" s="127" t="str">
        <f t="shared" si="69"/>
        <v/>
      </c>
      <c r="AM152" s="62" t="str">
        <f t="shared" si="80"/>
        <v/>
      </c>
      <c r="AN152" s="128" t="str">
        <f>IF(A152="","",IF(A152&lt;=Periodos_Gracia,Tabla!S152,PPMT(Tasa_Anual/360*Días*(1+I.V.A.),Tabla!AM152,No._De_Pagos_con_periodo_de_gracia,-Monto_Crédito)+S152))</f>
        <v/>
      </c>
      <c r="AO152" s="128" t="str">
        <f>IF(A152="","",IF(A152&lt;=Periodos_Gracia,Tabla!AC152,Monto_Crédito/(No._De_Pagos_con_periodo_de_gracia)+AC152))</f>
        <v/>
      </c>
      <c r="AP152" s="118"/>
    </row>
    <row r="153" spans="1:42">
      <c r="A153" s="108" t="str">
        <f>IF(A152&lt;Parámetros!$E$6,A152+1,"")</f>
        <v/>
      </c>
      <c r="B153" s="109" t="str">
        <f t="shared" si="81"/>
        <v/>
      </c>
      <c r="C153" s="109" t="str">
        <f t="shared" si="57"/>
        <v/>
      </c>
      <c r="D153" s="109" t="str">
        <f t="shared" si="58"/>
        <v/>
      </c>
      <c r="E153" s="109" t="str">
        <f t="shared" si="59"/>
        <v/>
      </c>
      <c r="F153" s="109" t="str">
        <f t="shared" si="60"/>
        <v/>
      </c>
      <c r="G153" s="115" t="str">
        <f t="shared" si="70"/>
        <v/>
      </c>
      <c r="H153" s="116">
        <f t="shared" si="71"/>
        <v>0</v>
      </c>
      <c r="I153" s="109" t="str">
        <f t="shared" si="82"/>
        <v/>
      </c>
      <c r="J153" s="109" t="str">
        <f t="shared" si="61"/>
        <v/>
      </c>
      <c r="K153" s="109" t="str">
        <f t="shared" si="62"/>
        <v/>
      </c>
      <c r="L153" s="109" t="str">
        <f t="shared" si="63"/>
        <v/>
      </c>
      <c r="M153" s="109" t="str">
        <f t="shared" si="72"/>
        <v/>
      </c>
      <c r="N153" s="115" t="str">
        <f t="shared" si="73"/>
        <v/>
      </c>
      <c r="O153" s="61">
        <v>0</v>
      </c>
      <c r="P153" s="117">
        <f t="shared" si="74"/>
        <v>0</v>
      </c>
      <c r="R153" s="118" t="str">
        <f t="shared" si="56"/>
        <v/>
      </c>
      <c r="S153" s="119" t="str">
        <f t="shared" si="64"/>
        <v/>
      </c>
      <c r="T153" s="119" t="str">
        <f t="shared" si="65"/>
        <v/>
      </c>
      <c r="U153" s="120">
        <f t="shared" si="75"/>
        <v>0</v>
      </c>
      <c r="V153" s="121" t="str">
        <f>IF(A153="","",IF(A153&lt;=Periodos_Gracia,0,PPMT(Tasa_Anual/360*Días*(1+I.V.A.),Tabla!AM153,No._De_Pagos_con_periodo_de_gracia,-Monto_Crédito)))</f>
        <v/>
      </c>
      <c r="W153" s="111" t="str">
        <f>IF($U$258&lt;=0,V153,IF(SUM($U$18:U153)&lt;=0,V153,PMT($K$5/360*Días,A153,-R153)))</f>
        <v/>
      </c>
      <c r="X153" s="122" t="str">
        <f>IF($U$258&lt;=0,W153,IF(SUM($U$18:U153)&lt;=0,V153,PMT($K$5/360*Días,No._De_Pagos_con_periodo_de_gracia,-Monto_Crédito)-S153-T153))</f>
        <v/>
      </c>
      <c r="Y153" s="118" t="str">
        <f t="shared" si="76"/>
        <v/>
      </c>
      <c r="Z153" s="62" t="str">
        <f>+IF(A153="","",IF(No._de_Pagos-Tabla!A153+1&lt;=0,"",No._de_Pagos-Tabla!A153+1))</f>
        <v/>
      </c>
      <c r="AA153" s="123" t="str">
        <f t="shared" si="77"/>
        <v/>
      </c>
      <c r="AB153" s="125" t="str">
        <f t="shared" si="83"/>
        <v/>
      </c>
      <c r="AC153" s="125" t="str">
        <f t="shared" si="66"/>
        <v/>
      </c>
      <c r="AD153" s="125" t="str">
        <f t="shared" si="67"/>
        <v/>
      </c>
      <c r="AE153" s="120">
        <f t="shared" si="78"/>
        <v>0</v>
      </c>
      <c r="AF153" s="121" t="str">
        <f t="shared" si="68"/>
        <v/>
      </c>
      <c r="AG153" s="111" t="str">
        <f>IF($U$258&lt;=0,AF153,IF(SUM($U$18:U153)&lt;=0,AF153,PMT($K$5/360*Días,A153,-AA153)))</f>
        <v/>
      </c>
      <c r="AH153" s="122" t="str">
        <f>IF(A153&lt;=Periodos_Gracia,0,IF($U$258&lt;=0,AG153,IF(SUM($U$18:U153)&lt;=0,AF153,PMT($K$5/360*Días,No._de_Pagos,-Monto_Crédito)-AC153-AD153)))</f>
        <v/>
      </c>
      <c r="AI153" s="126" t="str">
        <f t="shared" si="79"/>
        <v/>
      </c>
      <c r="AK153" s="127" t="str">
        <f>IF(A153="","",IF(Periodos_Gracia&gt;0,Tabla!AN153,V153+S153))</f>
        <v/>
      </c>
      <c r="AL153" s="127" t="str">
        <f t="shared" si="69"/>
        <v/>
      </c>
      <c r="AM153" s="62" t="str">
        <f t="shared" si="80"/>
        <v/>
      </c>
      <c r="AN153" s="128" t="str">
        <f>IF(A153="","",IF(A153&lt;=Periodos_Gracia,Tabla!S153,PPMT(Tasa_Anual/360*Días*(1+I.V.A.),Tabla!AM153,No._De_Pagos_con_periodo_de_gracia,-Monto_Crédito)+S153))</f>
        <v/>
      </c>
      <c r="AO153" s="128" t="str">
        <f>IF(A153="","",IF(A153&lt;=Periodos_Gracia,Tabla!AC153,Monto_Crédito/(No._De_Pagos_con_periodo_de_gracia)+AC153))</f>
        <v/>
      </c>
      <c r="AP153" s="118"/>
    </row>
    <row r="154" spans="1:42">
      <c r="A154" s="108" t="str">
        <f>IF(A153&lt;Parámetros!$E$6,A153+1,"")</f>
        <v/>
      </c>
      <c r="B154" s="109" t="str">
        <f t="shared" si="81"/>
        <v/>
      </c>
      <c r="C154" s="109" t="str">
        <f t="shared" si="57"/>
        <v/>
      </c>
      <c r="D154" s="109" t="str">
        <f t="shared" si="58"/>
        <v/>
      </c>
      <c r="E154" s="109" t="str">
        <f t="shared" si="59"/>
        <v/>
      </c>
      <c r="F154" s="109" t="str">
        <f t="shared" si="60"/>
        <v/>
      </c>
      <c r="G154" s="115" t="str">
        <f t="shared" si="70"/>
        <v/>
      </c>
      <c r="H154" s="116">
        <f t="shared" si="71"/>
        <v>0</v>
      </c>
      <c r="I154" s="109" t="str">
        <f t="shared" si="82"/>
        <v/>
      </c>
      <c r="J154" s="109" t="str">
        <f t="shared" si="61"/>
        <v/>
      </c>
      <c r="K154" s="109" t="str">
        <f t="shared" si="62"/>
        <v/>
      </c>
      <c r="L154" s="109" t="str">
        <f t="shared" si="63"/>
        <v/>
      </c>
      <c r="M154" s="109" t="str">
        <f t="shared" si="72"/>
        <v/>
      </c>
      <c r="N154" s="115" t="str">
        <f t="shared" si="73"/>
        <v/>
      </c>
      <c r="O154" s="61">
        <v>0</v>
      </c>
      <c r="P154" s="117">
        <f t="shared" si="74"/>
        <v>0</v>
      </c>
      <c r="R154" s="118" t="str">
        <f t="shared" ref="R154:R217" si="84">IF(A154="","",+R153-V153)</f>
        <v/>
      </c>
      <c r="S154" s="119" t="str">
        <f t="shared" si="64"/>
        <v/>
      </c>
      <c r="T154" s="119" t="str">
        <f t="shared" si="65"/>
        <v/>
      </c>
      <c r="U154" s="120">
        <f t="shared" si="75"/>
        <v>0</v>
      </c>
      <c r="V154" s="121" t="str">
        <f>IF(A154="","",IF(A154&lt;=Periodos_Gracia,0,PPMT(Tasa_Anual/360*Días*(1+I.V.A.),Tabla!AM154,No._De_Pagos_con_periodo_de_gracia,-Monto_Crédito)))</f>
        <v/>
      </c>
      <c r="W154" s="111" t="str">
        <f>IF($U$258&lt;=0,V154,IF(SUM($U$18:U154)&lt;=0,V154,PMT($K$5/360*Días,A154,-R154)))</f>
        <v/>
      </c>
      <c r="X154" s="122" t="str">
        <f>IF($U$258&lt;=0,W154,IF(SUM($U$18:U154)&lt;=0,V154,PMT($K$5/360*Días,No._De_Pagos_con_periodo_de_gracia,-Monto_Crédito)-S154-T154))</f>
        <v/>
      </c>
      <c r="Y154" s="118" t="str">
        <f t="shared" si="76"/>
        <v/>
      </c>
      <c r="Z154" s="62" t="str">
        <f>+IF(A154="","",IF(No._de_Pagos-Tabla!A154+1&lt;=0,"",No._de_Pagos-Tabla!A154+1))</f>
        <v/>
      </c>
      <c r="AA154" s="123" t="str">
        <f t="shared" si="77"/>
        <v/>
      </c>
      <c r="AB154" s="125" t="str">
        <f t="shared" si="83"/>
        <v/>
      </c>
      <c r="AC154" s="125" t="str">
        <f t="shared" si="66"/>
        <v/>
      </c>
      <c r="AD154" s="125" t="str">
        <f t="shared" si="67"/>
        <v/>
      </c>
      <c r="AE154" s="120">
        <f t="shared" si="78"/>
        <v>0</v>
      </c>
      <c r="AF154" s="121" t="str">
        <f t="shared" si="68"/>
        <v/>
      </c>
      <c r="AG154" s="111" t="str">
        <f>IF($U$258&lt;=0,AF154,IF(SUM($U$18:U154)&lt;=0,AF154,PMT($K$5/360*Días,A154,-AA154)))</f>
        <v/>
      </c>
      <c r="AH154" s="122" t="str">
        <f>IF(A154&lt;=Periodos_Gracia,0,IF($U$258&lt;=0,AG154,IF(SUM($U$18:U154)&lt;=0,AF154,PMT($K$5/360*Días,No._de_Pagos,-Monto_Crédito)-AC154-AD154)))</f>
        <v/>
      </c>
      <c r="AI154" s="126" t="str">
        <f t="shared" si="79"/>
        <v/>
      </c>
      <c r="AK154" s="127" t="str">
        <f>IF(A154="","",IF(Periodos_Gracia&gt;0,Tabla!AN154,V154+S154))</f>
        <v/>
      </c>
      <c r="AL154" s="127" t="str">
        <f t="shared" si="69"/>
        <v/>
      </c>
      <c r="AM154" s="62" t="str">
        <f t="shared" si="80"/>
        <v/>
      </c>
      <c r="AN154" s="128" t="str">
        <f>IF(A154="","",IF(A154&lt;=Periodos_Gracia,Tabla!S154,PPMT(Tasa_Anual/360*Días*(1+I.V.A.),Tabla!AM154,No._De_Pagos_con_periodo_de_gracia,-Monto_Crédito)+S154))</f>
        <v/>
      </c>
      <c r="AO154" s="128" t="str">
        <f>IF(A154="","",IF(A154&lt;=Periodos_Gracia,Tabla!AC154,Monto_Crédito/(No._De_Pagos_con_periodo_de_gracia)+AC154))</f>
        <v/>
      </c>
      <c r="AP154" s="118"/>
    </row>
    <row r="155" spans="1:42">
      <c r="A155" s="108" t="str">
        <f>IF(A154&lt;Parámetros!$E$6,A154+1,"")</f>
        <v/>
      </c>
      <c r="B155" s="109" t="str">
        <f t="shared" si="81"/>
        <v/>
      </c>
      <c r="C155" s="109" t="str">
        <f t="shared" si="57"/>
        <v/>
      </c>
      <c r="D155" s="109" t="str">
        <f t="shared" si="58"/>
        <v/>
      </c>
      <c r="E155" s="109" t="str">
        <f t="shared" si="59"/>
        <v/>
      </c>
      <c r="F155" s="109" t="str">
        <f t="shared" si="60"/>
        <v/>
      </c>
      <c r="G155" s="115" t="str">
        <f t="shared" si="70"/>
        <v/>
      </c>
      <c r="H155" s="116">
        <f t="shared" si="71"/>
        <v>0</v>
      </c>
      <c r="I155" s="109" t="str">
        <f t="shared" si="82"/>
        <v/>
      </c>
      <c r="J155" s="109" t="str">
        <f t="shared" si="61"/>
        <v/>
      </c>
      <c r="K155" s="109" t="str">
        <f t="shared" si="62"/>
        <v/>
      </c>
      <c r="L155" s="109" t="str">
        <f t="shared" si="63"/>
        <v/>
      </c>
      <c r="M155" s="109" t="str">
        <f t="shared" si="72"/>
        <v/>
      </c>
      <c r="N155" s="115" t="str">
        <f t="shared" si="73"/>
        <v/>
      </c>
      <c r="O155" s="61">
        <v>0</v>
      </c>
      <c r="P155" s="117">
        <f t="shared" si="74"/>
        <v>0</v>
      </c>
      <c r="R155" s="118" t="str">
        <f t="shared" si="84"/>
        <v/>
      </c>
      <c r="S155" s="119" t="str">
        <f t="shared" si="64"/>
        <v/>
      </c>
      <c r="T155" s="119" t="str">
        <f t="shared" si="65"/>
        <v/>
      </c>
      <c r="U155" s="120">
        <f t="shared" si="75"/>
        <v>0</v>
      </c>
      <c r="V155" s="121" t="str">
        <f>IF(A155="","",IF(A155&lt;=Periodos_Gracia,0,PPMT(Tasa_Anual/360*Días*(1+I.V.A.),Tabla!AM155,No._De_Pagos_con_periodo_de_gracia,-Monto_Crédito)))</f>
        <v/>
      </c>
      <c r="W155" s="111" t="str">
        <f>IF($U$258&lt;=0,V155,IF(SUM($U$18:U155)&lt;=0,V155,PMT($K$5/360*Días,A155,-R155)))</f>
        <v/>
      </c>
      <c r="X155" s="122" t="str">
        <f>IF($U$258&lt;=0,W155,IF(SUM($U$18:U155)&lt;=0,V155,PMT($K$5/360*Días,No._De_Pagos_con_periodo_de_gracia,-Monto_Crédito)-S155-T155))</f>
        <v/>
      </c>
      <c r="Y155" s="118" t="str">
        <f t="shared" si="76"/>
        <v/>
      </c>
      <c r="Z155" s="62" t="str">
        <f>+IF(A155="","",IF(No._de_Pagos-Tabla!A155+1&lt;=0,"",No._de_Pagos-Tabla!A155+1))</f>
        <v/>
      </c>
      <c r="AA155" s="123" t="str">
        <f t="shared" si="77"/>
        <v/>
      </c>
      <c r="AB155" s="125" t="str">
        <f t="shared" si="83"/>
        <v/>
      </c>
      <c r="AC155" s="125" t="str">
        <f t="shared" si="66"/>
        <v/>
      </c>
      <c r="AD155" s="125" t="str">
        <f t="shared" si="67"/>
        <v/>
      </c>
      <c r="AE155" s="120">
        <f t="shared" si="78"/>
        <v>0</v>
      </c>
      <c r="AF155" s="121" t="str">
        <f t="shared" si="68"/>
        <v/>
      </c>
      <c r="AG155" s="111" t="str">
        <f>IF($U$258&lt;=0,AF155,IF(SUM($U$18:U155)&lt;=0,AF155,PMT($K$5/360*Días,A155,-AA155)))</f>
        <v/>
      </c>
      <c r="AH155" s="122" t="str">
        <f>IF(A155&lt;=Periodos_Gracia,0,IF($U$258&lt;=0,AG155,IF(SUM($U$18:U155)&lt;=0,AF155,PMT($K$5/360*Días,No._de_Pagos,-Monto_Crédito)-AC155-AD155)))</f>
        <v/>
      </c>
      <c r="AI155" s="126" t="str">
        <f t="shared" si="79"/>
        <v/>
      </c>
      <c r="AK155" s="127" t="str">
        <f>IF(A155="","",IF(Periodos_Gracia&gt;0,Tabla!AN155,V155+S155))</f>
        <v/>
      </c>
      <c r="AL155" s="127" t="str">
        <f t="shared" si="69"/>
        <v/>
      </c>
      <c r="AM155" s="62" t="str">
        <f t="shared" si="80"/>
        <v/>
      </c>
      <c r="AN155" s="128" t="str">
        <f>IF(A155="","",IF(A155&lt;=Periodos_Gracia,Tabla!S155,PPMT(Tasa_Anual/360*Días*(1+I.V.A.),Tabla!AM155,No._De_Pagos_con_periodo_de_gracia,-Monto_Crédito)+S155))</f>
        <v/>
      </c>
      <c r="AO155" s="128" t="str">
        <f>IF(A155="","",IF(A155&lt;=Periodos_Gracia,Tabla!AC155,Monto_Crédito/(No._De_Pagos_con_periodo_de_gracia)+AC155))</f>
        <v/>
      </c>
      <c r="AP155" s="118"/>
    </row>
    <row r="156" spans="1:42">
      <c r="A156" s="108" t="str">
        <f>IF(A155&lt;Parámetros!$E$6,A155+1,"")</f>
        <v/>
      </c>
      <c r="B156" s="109" t="str">
        <f t="shared" si="81"/>
        <v/>
      </c>
      <c r="C156" s="109" t="str">
        <f t="shared" si="57"/>
        <v/>
      </c>
      <c r="D156" s="109" t="str">
        <f t="shared" si="58"/>
        <v/>
      </c>
      <c r="E156" s="109" t="str">
        <f t="shared" si="59"/>
        <v/>
      </c>
      <c r="F156" s="109" t="str">
        <f t="shared" si="60"/>
        <v/>
      </c>
      <c r="G156" s="115" t="str">
        <f t="shared" si="70"/>
        <v/>
      </c>
      <c r="H156" s="116">
        <f t="shared" si="71"/>
        <v>0</v>
      </c>
      <c r="I156" s="109" t="str">
        <f t="shared" si="82"/>
        <v/>
      </c>
      <c r="J156" s="109" t="str">
        <f t="shared" si="61"/>
        <v/>
      </c>
      <c r="K156" s="109" t="str">
        <f t="shared" si="62"/>
        <v/>
      </c>
      <c r="L156" s="109" t="str">
        <f t="shared" si="63"/>
        <v/>
      </c>
      <c r="M156" s="109" t="str">
        <f t="shared" si="72"/>
        <v/>
      </c>
      <c r="N156" s="115" t="str">
        <f t="shared" si="73"/>
        <v/>
      </c>
      <c r="O156" s="61">
        <v>0</v>
      </c>
      <c r="P156" s="117">
        <f t="shared" si="74"/>
        <v>0</v>
      </c>
      <c r="R156" s="118" t="str">
        <f t="shared" si="84"/>
        <v/>
      </c>
      <c r="S156" s="119" t="str">
        <f t="shared" si="64"/>
        <v/>
      </c>
      <c r="T156" s="119" t="str">
        <f t="shared" si="65"/>
        <v/>
      </c>
      <c r="U156" s="120">
        <f t="shared" si="75"/>
        <v>0</v>
      </c>
      <c r="V156" s="121" t="str">
        <f>IF(A156="","",IF(A156&lt;=Periodos_Gracia,0,PPMT(Tasa_Anual/360*Días*(1+I.V.A.),Tabla!AM156,No._De_Pagos_con_periodo_de_gracia,-Monto_Crédito)))</f>
        <v/>
      </c>
      <c r="W156" s="111" t="str">
        <f>IF($U$258&lt;=0,V156,IF(SUM($U$18:U156)&lt;=0,V156,PMT($K$5/360*Días,A156,-R156)))</f>
        <v/>
      </c>
      <c r="X156" s="122" t="str">
        <f>IF($U$258&lt;=0,W156,IF(SUM($U$18:U156)&lt;=0,V156,PMT($K$5/360*Días,No._De_Pagos_con_periodo_de_gracia,-Monto_Crédito)-S156-T156))</f>
        <v/>
      </c>
      <c r="Y156" s="118" t="str">
        <f t="shared" si="76"/>
        <v/>
      </c>
      <c r="Z156" s="62" t="str">
        <f>+IF(A156="","",IF(No._de_Pagos-Tabla!A156+1&lt;=0,"",No._de_Pagos-Tabla!A156+1))</f>
        <v/>
      </c>
      <c r="AA156" s="123" t="str">
        <f t="shared" si="77"/>
        <v/>
      </c>
      <c r="AB156" s="125" t="str">
        <f t="shared" si="83"/>
        <v/>
      </c>
      <c r="AC156" s="125" t="str">
        <f t="shared" si="66"/>
        <v/>
      </c>
      <c r="AD156" s="125" t="str">
        <f t="shared" si="67"/>
        <v/>
      </c>
      <c r="AE156" s="120">
        <f t="shared" si="78"/>
        <v>0</v>
      </c>
      <c r="AF156" s="121" t="str">
        <f t="shared" si="68"/>
        <v/>
      </c>
      <c r="AG156" s="111" t="str">
        <f>IF($U$258&lt;=0,AF156,IF(SUM($U$18:U156)&lt;=0,AF156,PMT($K$5/360*Días,A156,-AA156)))</f>
        <v/>
      </c>
      <c r="AH156" s="122" t="str">
        <f>IF(A156&lt;=Periodos_Gracia,0,IF($U$258&lt;=0,AG156,IF(SUM($U$18:U156)&lt;=0,AF156,PMT($K$5/360*Días,No._de_Pagos,-Monto_Crédito)-AC156-AD156)))</f>
        <v/>
      </c>
      <c r="AI156" s="126" t="str">
        <f t="shared" si="79"/>
        <v/>
      </c>
      <c r="AK156" s="127" t="str">
        <f>IF(A156="","",IF(Periodos_Gracia&gt;0,Tabla!AN156,V156+S156))</f>
        <v/>
      </c>
      <c r="AL156" s="127" t="str">
        <f t="shared" si="69"/>
        <v/>
      </c>
      <c r="AM156" s="62" t="str">
        <f t="shared" si="80"/>
        <v/>
      </c>
      <c r="AN156" s="128" t="str">
        <f>IF(A156="","",IF(A156&lt;=Periodos_Gracia,Tabla!S156,PPMT(Tasa_Anual/360*Días*(1+I.V.A.),Tabla!AM156,No._De_Pagos_con_periodo_de_gracia,-Monto_Crédito)+S156))</f>
        <v/>
      </c>
      <c r="AO156" s="128" t="str">
        <f>IF(A156="","",IF(A156&lt;=Periodos_Gracia,Tabla!AC156,Monto_Crédito/(No._De_Pagos_con_periodo_de_gracia)+AC156))</f>
        <v/>
      </c>
      <c r="AP156" s="118"/>
    </row>
    <row r="157" spans="1:42">
      <c r="A157" s="108" t="str">
        <f>IF(A156&lt;Parámetros!$E$6,A156+1,"")</f>
        <v/>
      </c>
      <c r="B157" s="109" t="str">
        <f t="shared" si="81"/>
        <v/>
      </c>
      <c r="C157" s="109" t="str">
        <f t="shared" si="57"/>
        <v/>
      </c>
      <c r="D157" s="109" t="str">
        <f t="shared" si="58"/>
        <v/>
      </c>
      <c r="E157" s="109" t="str">
        <f t="shared" si="59"/>
        <v/>
      </c>
      <c r="F157" s="109" t="str">
        <f t="shared" si="60"/>
        <v/>
      </c>
      <c r="G157" s="115" t="str">
        <f t="shared" si="70"/>
        <v/>
      </c>
      <c r="H157" s="116">
        <f t="shared" si="71"/>
        <v>0</v>
      </c>
      <c r="I157" s="109" t="str">
        <f t="shared" si="82"/>
        <v/>
      </c>
      <c r="J157" s="109" t="str">
        <f t="shared" si="61"/>
        <v/>
      </c>
      <c r="K157" s="109" t="str">
        <f t="shared" si="62"/>
        <v/>
      </c>
      <c r="L157" s="109" t="str">
        <f t="shared" si="63"/>
        <v/>
      </c>
      <c r="M157" s="109" t="str">
        <f t="shared" si="72"/>
        <v/>
      </c>
      <c r="N157" s="115" t="str">
        <f t="shared" si="73"/>
        <v/>
      </c>
      <c r="O157" s="61">
        <v>0</v>
      </c>
      <c r="P157" s="117">
        <f t="shared" si="74"/>
        <v>0</v>
      </c>
      <c r="R157" s="118" t="str">
        <f t="shared" si="84"/>
        <v/>
      </c>
      <c r="S157" s="119" t="str">
        <f t="shared" si="64"/>
        <v/>
      </c>
      <c r="T157" s="119" t="str">
        <f t="shared" si="65"/>
        <v/>
      </c>
      <c r="U157" s="120">
        <f t="shared" si="75"/>
        <v>0</v>
      </c>
      <c r="V157" s="121" t="str">
        <f>IF(A157="","",IF(A157&lt;=Periodos_Gracia,0,PPMT(Tasa_Anual/360*Días*(1+I.V.A.),Tabla!AM157,No._De_Pagos_con_periodo_de_gracia,-Monto_Crédito)))</f>
        <v/>
      </c>
      <c r="W157" s="111" t="str">
        <f>IF($U$258&lt;=0,V157,IF(SUM($U$18:U157)&lt;=0,V157,PMT($K$5/360*Días,A157,-R157)))</f>
        <v/>
      </c>
      <c r="X157" s="122" t="str">
        <f>IF($U$258&lt;=0,W157,IF(SUM($U$18:U157)&lt;=0,V157,PMT($K$5/360*Días,No._De_Pagos_con_periodo_de_gracia,-Monto_Crédito)-S157-T157))</f>
        <v/>
      </c>
      <c r="Y157" s="118" t="str">
        <f t="shared" si="76"/>
        <v/>
      </c>
      <c r="Z157" s="62" t="str">
        <f>+IF(A157="","",IF(No._de_Pagos-Tabla!A157+1&lt;=0,"",No._de_Pagos-Tabla!A157+1))</f>
        <v/>
      </c>
      <c r="AA157" s="123" t="str">
        <f t="shared" si="77"/>
        <v/>
      </c>
      <c r="AB157" s="125" t="str">
        <f t="shared" si="83"/>
        <v/>
      </c>
      <c r="AC157" s="125" t="str">
        <f t="shared" si="66"/>
        <v/>
      </c>
      <c r="AD157" s="125" t="str">
        <f t="shared" si="67"/>
        <v/>
      </c>
      <c r="AE157" s="120">
        <f t="shared" si="78"/>
        <v>0</v>
      </c>
      <c r="AF157" s="121" t="str">
        <f t="shared" si="68"/>
        <v/>
      </c>
      <c r="AG157" s="111" t="str">
        <f>IF($U$258&lt;=0,AF157,IF(SUM($U$18:U157)&lt;=0,AF157,PMT($K$5/360*Días,A157,-AA157)))</f>
        <v/>
      </c>
      <c r="AH157" s="122" t="str">
        <f>IF(A157&lt;=Periodos_Gracia,0,IF($U$258&lt;=0,AG157,IF(SUM($U$18:U157)&lt;=0,AF157,PMT($K$5/360*Días,No._de_Pagos,-Monto_Crédito)-AC157-AD157)))</f>
        <v/>
      </c>
      <c r="AI157" s="126" t="str">
        <f t="shared" si="79"/>
        <v/>
      </c>
      <c r="AK157" s="127" t="str">
        <f>IF(A157="","",IF(Periodos_Gracia&gt;0,Tabla!AN157,V157+S157))</f>
        <v/>
      </c>
      <c r="AL157" s="127" t="str">
        <f t="shared" si="69"/>
        <v/>
      </c>
      <c r="AM157" s="62" t="str">
        <f t="shared" si="80"/>
        <v/>
      </c>
      <c r="AN157" s="128" t="str">
        <f>IF(A157="","",IF(A157&lt;=Periodos_Gracia,Tabla!S157,PPMT(Tasa_Anual/360*Días*(1+I.V.A.),Tabla!AM157,No._De_Pagos_con_periodo_de_gracia,-Monto_Crédito)+S157))</f>
        <v/>
      </c>
      <c r="AO157" s="128" t="str">
        <f>IF(A157="","",IF(A157&lt;=Periodos_Gracia,Tabla!AC157,Monto_Crédito/(No._De_Pagos_con_periodo_de_gracia)+AC157))</f>
        <v/>
      </c>
      <c r="AP157" s="118"/>
    </row>
    <row r="158" spans="1:42">
      <c r="A158" s="108" t="str">
        <f>IF(A157&lt;Parámetros!$E$6,A157+1,"")</f>
        <v/>
      </c>
      <c r="B158" s="109" t="str">
        <f t="shared" si="81"/>
        <v/>
      </c>
      <c r="C158" s="109" t="str">
        <f t="shared" si="57"/>
        <v/>
      </c>
      <c r="D158" s="109" t="str">
        <f t="shared" si="58"/>
        <v/>
      </c>
      <c r="E158" s="109" t="str">
        <f t="shared" si="59"/>
        <v/>
      </c>
      <c r="F158" s="109" t="str">
        <f t="shared" si="60"/>
        <v/>
      </c>
      <c r="G158" s="115" t="str">
        <f t="shared" si="70"/>
        <v/>
      </c>
      <c r="H158" s="116">
        <f t="shared" si="71"/>
        <v>0</v>
      </c>
      <c r="I158" s="109" t="str">
        <f t="shared" si="82"/>
        <v/>
      </c>
      <c r="J158" s="109" t="str">
        <f t="shared" si="61"/>
        <v/>
      </c>
      <c r="K158" s="109" t="str">
        <f t="shared" si="62"/>
        <v/>
      </c>
      <c r="L158" s="109" t="str">
        <f t="shared" si="63"/>
        <v/>
      </c>
      <c r="M158" s="109" t="str">
        <f t="shared" si="72"/>
        <v/>
      </c>
      <c r="N158" s="115" t="str">
        <f t="shared" si="73"/>
        <v/>
      </c>
      <c r="O158" s="61">
        <v>0</v>
      </c>
      <c r="P158" s="117">
        <f t="shared" si="74"/>
        <v>0</v>
      </c>
      <c r="R158" s="118" t="str">
        <f t="shared" si="84"/>
        <v/>
      </c>
      <c r="S158" s="119" t="str">
        <f t="shared" si="64"/>
        <v/>
      </c>
      <c r="T158" s="119" t="str">
        <f t="shared" si="65"/>
        <v/>
      </c>
      <c r="U158" s="120">
        <f t="shared" si="75"/>
        <v>0</v>
      </c>
      <c r="V158" s="121" t="str">
        <f>IF(A158="","",IF(A158&lt;=Periodos_Gracia,0,PPMT(Tasa_Anual/360*Días*(1+I.V.A.),Tabla!AM158,No._De_Pagos_con_periodo_de_gracia,-Monto_Crédito)))</f>
        <v/>
      </c>
      <c r="W158" s="111" t="str">
        <f>IF($U$258&lt;=0,V158,IF(SUM($U$18:U158)&lt;=0,V158,PMT($K$5/360*Días,A158,-R158)))</f>
        <v/>
      </c>
      <c r="X158" s="122" t="str">
        <f>IF($U$258&lt;=0,W158,IF(SUM($U$18:U158)&lt;=0,V158,PMT($K$5/360*Días,No._De_Pagos_con_periodo_de_gracia,-Monto_Crédito)-S158-T158))</f>
        <v/>
      </c>
      <c r="Y158" s="118" t="str">
        <f t="shared" si="76"/>
        <v/>
      </c>
      <c r="Z158" s="62" t="str">
        <f>+IF(A158="","",IF(No._de_Pagos-Tabla!A158+1&lt;=0,"",No._de_Pagos-Tabla!A158+1))</f>
        <v/>
      </c>
      <c r="AA158" s="123" t="str">
        <f t="shared" si="77"/>
        <v/>
      </c>
      <c r="AB158" s="125" t="str">
        <f t="shared" si="83"/>
        <v/>
      </c>
      <c r="AC158" s="125" t="str">
        <f t="shared" si="66"/>
        <v/>
      </c>
      <c r="AD158" s="125" t="str">
        <f t="shared" si="67"/>
        <v/>
      </c>
      <c r="AE158" s="120">
        <f t="shared" si="78"/>
        <v>0</v>
      </c>
      <c r="AF158" s="121" t="str">
        <f t="shared" si="68"/>
        <v/>
      </c>
      <c r="AG158" s="111" t="str">
        <f>IF($U$258&lt;=0,AF158,IF(SUM($U$18:U158)&lt;=0,AF158,PMT($K$5/360*Días,A158,-AA158)))</f>
        <v/>
      </c>
      <c r="AH158" s="122" t="str">
        <f>IF(A158&lt;=Periodos_Gracia,0,IF($U$258&lt;=0,AG158,IF(SUM($U$18:U158)&lt;=0,AF158,PMT($K$5/360*Días,No._de_Pagos,-Monto_Crédito)-AC158-AD158)))</f>
        <v/>
      </c>
      <c r="AI158" s="126" t="str">
        <f t="shared" si="79"/>
        <v/>
      </c>
      <c r="AK158" s="127" t="str">
        <f>IF(A158="","",IF(Periodos_Gracia&gt;0,Tabla!AN158,V158+S158))</f>
        <v/>
      </c>
      <c r="AL158" s="127" t="str">
        <f t="shared" si="69"/>
        <v/>
      </c>
      <c r="AM158" s="62" t="str">
        <f t="shared" si="80"/>
        <v/>
      </c>
      <c r="AN158" s="128" t="str">
        <f>IF(A158="","",IF(A158&lt;=Periodos_Gracia,Tabla!S158,PPMT(Tasa_Anual/360*Días*(1+I.V.A.),Tabla!AM158,No._De_Pagos_con_periodo_de_gracia,-Monto_Crédito)+S158))</f>
        <v/>
      </c>
      <c r="AO158" s="128" t="str">
        <f>IF(A158="","",IF(A158&lt;=Periodos_Gracia,Tabla!AC158,Monto_Crédito/(No._De_Pagos_con_periodo_de_gracia)+AC158))</f>
        <v/>
      </c>
      <c r="AP158" s="118"/>
    </row>
    <row r="159" spans="1:42">
      <c r="A159" s="108" t="str">
        <f>IF(A158&lt;Parámetros!$E$6,A158+1,"")</f>
        <v/>
      </c>
      <c r="B159" s="109" t="str">
        <f t="shared" si="81"/>
        <v/>
      </c>
      <c r="C159" s="109" t="str">
        <f t="shared" si="57"/>
        <v/>
      </c>
      <c r="D159" s="109" t="str">
        <f t="shared" si="58"/>
        <v/>
      </c>
      <c r="E159" s="109" t="str">
        <f t="shared" si="59"/>
        <v/>
      </c>
      <c r="F159" s="109" t="str">
        <f t="shared" si="60"/>
        <v/>
      </c>
      <c r="G159" s="115" t="str">
        <f t="shared" si="70"/>
        <v/>
      </c>
      <c r="H159" s="116">
        <f t="shared" si="71"/>
        <v>0</v>
      </c>
      <c r="I159" s="109" t="str">
        <f t="shared" si="82"/>
        <v/>
      </c>
      <c r="J159" s="109" t="str">
        <f t="shared" si="61"/>
        <v/>
      </c>
      <c r="K159" s="109" t="str">
        <f t="shared" si="62"/>
        <v/>
      </c>
      <c r="L159" s="109" t="str">
        <f t="shared" si="63"/>
        <v/>
      </c>
      <c r="M159" s="109" t="str">
        <f t="shared" si="72"/>
        <v/>
      </c>
      <c r="N159" s="115" t="str">
        <f t="shared" si="73"/>
        <v/>
      </c>
      <c r="O159" s="61">
        <v>0</v>
      </c>
      <c r="P159" s="117">
        <f t="shared" si="74"/>
        <v>0</v>
      </c>
      <c r="R159" s="118" t="str">
        <f t="shared" si="84"/>
        <v/>
      </c>
      <c r="S159" s="119" t="str">
        <f t="shared" si="64"/>
        <v/>
      </c>
      <c r="T159" s="119" t="str">
        <f t="shared" si="65"/>
        <v/>
      </c>
      <c r="U159" s="120">
        <f t="shared" si="75"/>
        <v>0</v>
      </c>
      <c r="V159" s="121" t="str">
        <f>IF(A159="","",IF(A159&lt;=Periodos_Gracia,0,PPMT(Tasa_Anual/360*Días*(1+I.V.A.),Tabla!AM159,No._De_Pagos_con_periodo_de_gracia,-Monto_Crédito)))</f>
        <v/>
      </c>
      <c r="W159" s="111" t="str">
        <f>IF($U$258&lt;=0,V159,IF(SUM($U$18:U159)&lt;=0,V159,PMT($K$5/360*Días,A159,-R159)))</f>
        <v/>
      </c>
      <c r="X159" s="122" t="str">
        <f>IF($U$258&lt;=0,W159,IF(SUM($U$18:U159)&lt;=0,V159,PMT($K$5/360*Días,No._De_Pagos_con_periodo_de_gracia,-Monto_Crédito)-S159-T159))</f>
        <v/>
      </c>
      <c r="Y159" s="118" t="str">
        <f t="shared" si="76"/>
        <v/>
      </c>
      <c r="Z159" s="62" t="str">
        <f>+IF(A159="","",IF(No._de_Pagos-Tabla!A159+1&lt;=0,"",No._de_Pagos-Tabla!A159+1))</f>
        <v/>
      </c>
      <c r="AA159" s="123" t="str">
        <f t="shared" si="77"/>
        <v/>
      </c>
      <c r="AB159" s="125" t="str">
        <f t="shared" si="83"/>
        <v/>
      </c>
      <c r="AC159" s="125" t="str">
        <f t="shared" si="66"/>
        <v/>
      </c>
      <c r="AD159" s="125" t="str">
        <f t="shared" si="67"/>
        <v/>
      </c>
      <c r="AE159" s="120">
        <f t="shared" si="78"/>
        <v>0</v>
      </c>
      <c r="AF159" s="121" t="str">
        <f t="shared" si="68"/>
        <v/>
      </c>
      <c r="AG159" s="111" t="str">
        <f>IF($U$258&lt;=0,AF159,IF(SUM($U$18:U159)&lt;=0,AF159,PMT($K$5/360*Días,A159,-AA159)))</f>
        <v/>
      </c>
      <c r="AH159" s="122" t="str">
        <f>IF(A159&lt;=Periodos_Gracia,0,IF($U$258&lt;=0,AG159,IF(SUM($U$18:U159)&lt;=0,AF159,PMT($K$5/360*Días,No._de_Pagos,-Monto_Crédito)-AC159-AD159)))</f>
        <v/>
      </c>
      <c r="AI159" s="126" t="str">
        <f t="shared" si="79"/>
        <v/>
      </c>
      <c r="AK159" s="127" t="str">
        <f>IF(A159="","",IF(Periodos_Gracia&gt;0,Tabla!AN159,V159+S159))</f>
        <v/>
      </c>
      <c r="AL159" s="127" t="str">
        <f t="shared" si="69"/>
        <v/>
      </c>
      <c r="AM159" s="62" t="str">
        <f t="shared" si="80"/>
        <v/>
      </c>
      <c r="AN159" s="128" t="str">
        <f>IF(A159="","",IF(A159&lt;=Periodos_Gracia,Tabla!S159,PPMT(Tasa_Anual/360*Días*(1+I.V.A.),Tabla!AM159,No._De_Pagos_con_periodo_de_gracia,-Monto_Crédito)+S159))</f>
        <v/>
      </c>
      <c r="AO159" s="128" t="str">
        <f>IF(A159="","",IF(A159&lt;=Periodos_Gracia,Tabla!AC159,Monto_Crédito/(No._De_Pagos_con_periodo_de_gracia)+AC159))</f>
        <v/>
      </c>
      <c r="AP159" s="118"/>
    </row>
    <row r="160" spans="1:42">
      <c r="A160" s="108" t="str">
        <f>IF(A159&lt;Parámetros!$E$6,A159+1,"")</f>
        <v/>
      </c>
      <c r="B160" s="109" t="str">
        <f t="shared" si="81"/>
        <v/>
      </c>
      <c r="C160" s="109" t="str">
        <f t="shared" si="57"/>
        <v/>
      </c>
      <c r="D160" s="109" t="str">
        <f t="shared" si="58"/>
        <v/>
      </c>
      <c r="E160" s="109" t="str">
        <f t="shared" si="59"/>
        <v/>
      </c>
      <c r="F160" s="109" t="str">
        <f t="shared" si="60"/>
        <v/>
      </c>
      <c r="G160" s="115" t="str">
        <f t="shared" si="70"/>
        <v/>
      </c>
      <c r="H160" s="116">
        <f t="shared" si="71"/>
        <v>0</v>
      </c>
      <c r="I160" s="109" t="str">
        <f t="shared" si="82"/>
        <v/>
      </c>
      <c r="J160" s="109" t="str">
        <f t="shared" si="61"/>
        <v/>
      </c>
      <c r="K160" s="109" t="str">
        <f t="shared" si="62"/>
        <v/>
      </c>
      <c r="L160" s="109" t="str">
        <f t="shared" si="63"/>
        <v/>
      </c>
      <c r="M160" s="109" t="str">
        <f t="shared" si="72"/>
        <v/>
      </c>
      <c r="N160" s="115" t="str">
        <f t="shared" si="73"/>
        <v/>
      </c>
      <c r="O160" s="61">
        <v>0</v>
      </c>
      <c r="P160" s="117">
        <f t="shared" si="74"/>
        <v>0</v>
      </c>
      <c r="R160" s="118" t="str">
        <f t="shared" si="84"/>
        <v/>
      </c>
      <c r="S160" s="119" t="str">
        <f t="shared" si="64"/>
        <v/>
      </c>
      <c r="T160" s="119" t="str">
        <f t="shared" si="65"/>
        <v/>
      </c>
      <c r="U160" s="120">
        <f t="shared" si="75"/>
        <v>0</v>
      </c>
      <c r="V160" s="121" t="str">
        <f>IF(A160="","",IF(A160&lt;=Periodos_Gracia,0,PPMT(Tasa_Anual/360*Días*(1+I.V.A.),Tabla!AM160,No._De_Pagos_con_periodo_de_gracia,-Monto_Crédito)))</f>
        <v/>
      </c>
      <c r="W160" s="111" t="str">
        <f>IF($U$258&lt;=0,V160,IF(SUM($U$18:U160)&lt;=0,V160,PMT($K$5/360*Días,A160,-R160)))</f>
        <v/>
      </c>
      <c r="X160" s="122" t="str">
        <f>IF($U$258&lt;=0,W160,IF(SUM($U$18:U160)&lt;=0,V160,PMT($K$5/360*Días,No._De_Pagos_con_periodo_de_gracia,-Monto_Crédito)-S160-T160))</f>
        <v/>
      </c>
      <c r="Y160" s="118" t="str">
        <f t="shared" si="76"/>
        <v/>
      </c>
      <c r="Z160" s="62" t="str">
        <f>+IF(A160="","",IF(No._de_Pagos-Tabla!A160+1&lt;=0,"",No._de_Pagos-Tabla!A160+1))</f>
        <v/>
      </c>
      <c r="AA160" s="123" t="str">
        <f t="shared" si="77"/>
        <v/>
      </c>
      <c r="AB160" s="125" t="str">
        <f t="shared" si="83"/>
        <v/>
      </c>
      <c r="AC160" s="125" t="str">
        <f t="shared" si="66"/>
        <v/>
      </c>
      <c r="AD160" s="125" t="str">
        <f t="shared" si="67"/>
        <v/>
      </c>
      <c r="AE160" s="120">
        <f t="shared" si="78"/>
        <v>0</v>
      </c>
      <c r="AF160" s="121" t="str">
        <f t="shared" si="68"/>
        <v/>
      </c>
      <c r="AG160" s="111" t="str">
        <f>IF($U$258&lt;=0,AF160,IF(SUM($U$18:U160)&lt;=0,AF160,PMT($K$5/360*Días,A160,-AA160)))</f>
        <v/>
      </c>
      <c r="AH160" s="122" t="str">
        <f>IF(A160&lt;=Periodos_Gracia,0,IF($U$258&lt;=0,AG160,IF(SUM($U$18:U160)&lt;=0,AF160,PMT($K$5/360*Días,No._de_Pagos,-Monto_Crédito)-AC160-AD160)))</f>
        <v/>
      </c>
      <c r="AI160" s="126" t="str">
        <f t="shared" si="79"/>
        <v/>
      </c>
      <c r="AK160" s="127" t="str">
        <f>IF(A160="","",IF(Periodos_Gracia&gt;0,Tabla!AN160,V160+S160))</f>
        <v/>
      </c>
      <c r="AL160" s="127" t="str">
        <f t="shared" si="69"/>
        <v/>
      </c>
      <c r="AM160" s="62" t="str">
        <f t="shared" si="80"/>
        <v/>
      </c>
      <c r="AN160" s="128" t="str">
        <f>IF(A160="","",IF(A160&lt;=Periodos_Gracia,Tabla!S160,PPMT(Tasa_Anual/360*Días*(1+I.V.A.),Tabla!AM160,No._De_Pagos_con_periodo_de_gracia,-Monto_Crédito)+S160))</f>
        <v/>
      </c>
      <c r="AO160" s="128" t="str">
        <f>IF(A160="","",IF(A160&lt;=Periodos_Gracia,Tabla!AC160,Monto_Crédito/(No._De_Pagos_con_periodo_de_gracia)+AC160))</f>
        <v/>
      </c>
      <c r="AP160" s="118"/>
    </row>
    <row r="161" spans="1:42">
      <c r="A161" s="108" t="str">
        <f>IF(A160&lt;Parámetros!$E$6,A160+1,"")</f>
        <v/>
      </c>
      <c r="B161" s="109" t="str">
        <f t="shared" si="81"/>
        <v/>
      </c>
      <c r="C161" s="109" t="str">
        <f t="shared" si="57"/>
        <v/>
      </c>
      <c r="D161" s="109" t="str">
        <f t="shared" si="58"/>
        <v/>
      </c>
      <c r="E161" s="109" t="str">
        <f t="shared" si="59"/>
        <v/>
      </c>
      <c r="F161" s="109" t="str">
        <f t="shared" si="60"/>
        <v/>
      </c>
      <c r="G161" s="115" t="str">
        <f t="shared" si="70"/>
        <v/>
      </c>
      <c r="H161" s="116">
        <f t="shared" si="71"/>
        <v>0</v>
      </c>
      <c r="I161" s="109" t="str">
        <f t="shared" si="82"/>
        <v/>
      </c>
      <c r="J161" s="109" t="str">
        <f t="shared" si="61"/>
        <v/>
      </c>
      <c r="K161" s="109" t="str">
        <f t="shared" si="62"/>
        <v/>
      </c>
      <c r="L161" s="109" t="str">
        <f t="shared" si="63"/>
        <v/>
      </c>
      <c r="M161" s="109" t="str">
        <f t="shared" si="72"/>
        <v/>
      </c>
      <c r="N161" s="115" t="str">
        <f t="shared" si="73"/>
        <v/>
      </c>
      <c r="O161" s="61">
        <v>0</v>
      </c>
      <c r="P161" s="117">
        <f t="shared" si="74"/>
        <v>0</v>
      </c>
      <c r="R161" s="118" t="str">
        <f t="shared" si="84"/>
        <v/>
      </c>
      <c r="S161" s="119" t="str">
        <f t="shared" si="64"/>
        <v/>
      </c>
      <c r="T161" s="119" t="str">
        <f t="shared" si="65"/>
        <v/>
      </c>
      <c r="U161" s="120">
        <f t="shared" si="75"/>
        <v>0</v>
      </c>
      <c r="V161" s="121" t="str">
        <f>IF(A161="","",IF(A161&lt;=Periodos_Gracia,0,PPMT(Tasa_Anual/360*Días*(1+I.V.A.),Tabla!AM161,No._De_Pagos_con_periodo_de_gracia,-Monto_Crédito)))</f>
        <v/>
      </c>
      <c r="W161" s="111" t="str">
        <f>IF($U$258&lt;=0,V161,IF(SUM($U$18:U161)&lt;=0,V161,PMT($K$5/360*Días,A161,-R161)))</f>
        <v/>
      </c>
      <c r="X161" s="122" t="str">
        <f>IF($U$258&lt;=0,W161,IF(SUM($U$18:U161)&lt;=0,V161,PMT($K$5/360*Días,No._De_Pagos_con_periodo_de_gracia,-Monto_Crédito)-S161-T161))</f>
        <v/>
      </c>
      <c r="Y161" s="118" t="str">
        <f t="shared" si="76"/>
        <v/>
      </c>
      <c r="Z161" s="62" t="str">
        <f>+IF(A161="","",IF(No._de_Pagos-Tabla!A161+1&lt;=0,"",No._de_Pagos-Tabla!A161+1))</f>
        <v/>
      </c>
      <c r="AA161" s="123" t="str">
        <f t="shared" si="77"/>
        <v/>
      </c>
      <c r="AB161" s="125" t="str">
        <f t="shared" si="83"/>
        <v/>
      </c>
      <c r="AC161" s="125" t="str">
        <f t="shared" si="66"/>
        <v/>
      </c>
      <c r="AD161" s="125" t="str">
        <f t="shared" si="67"/>
        <v/>
      </c>
      <c r="AE161" s="120">
        <f t="shared" si="78"/>
        <v>0</v>
      </c>
      <c r="AF161" s="121" t="str">
        <f t="shared" si="68"/>
        <v/>
      </c>
      <c r="AG161" s="111" t="str">
        <f>IF($U$258&lt;=0,AF161,IF(SUM($U$18:U161)&lt;=0,AF161,PMT($K$5/360*Días,A161,-AA161)))</f>
        <v/>
      </c>
      <c r="AH161" s="122" t="str">
        <f>IF(A161&lt;=Periodos_Gracia,0,IF($U$258&lt;=0,AG161,IF(SUM($U$18:U161)&lt;=0,AF161,PMT($K$5/360*Días,No._de_Pagos,-Monto_Crédito)-AC161-AD161)))</f>
        <v/>
      </c>
      <c r="AI161" s="126" t="str">
        <f t="shared" si="79"/>
        <v/>
      </c>
      <c r="AK161" s="127" t="str">
        <f>IF(A161="","",IF(Periodos_Gracia&gt;0,Tabla!AN161,V161+S161))</f>
        <v/>
      </c>
      <c r="AL161" s="127" t="str">
        <f t="shared" si="69"/>
        <v/>
      </c>
      <c r="AM161" s="62" t="str">
        <f t="shared" si="80"/>
        <v/>
      </c>
      <c r="AN161" s="128" t="str">
        <f>IF(A161="","",IF(A161&lt;=Periodos_Gracia,Tabla!S161,PPMT(Tasa_Anual/360*Días*(1+I.V.A.),Tabla!AM161,No._De_Pagos_con_periodo_de_gracia,-Monto_Crédito)+S161))</f>
        <v/>
      </c>
      <c r="AO161" s="128" t="str">
        <f>IF(A161="","",IF(A161&lt;=Periodos_Gracia,Tabla!AC161,Monto_Crédito/(No._De_Pagos_con_periodo_de_gracia)+AC161))</f>
        <v/>
      </c>
      <c r="AP161" s="118"/>
    </row>
    <row r="162" spans="1:42">
      <c r="A162" s="108" t="str">
        <f>IF(A161&lt;Parámetros!$E$6,A161+1,"")</f>
        <v/>
      </c>
      <c r="B162" s="109" t="str">
        <f t="shared" si="81"/>
        <v/>
      </c>
      <c r="C162" s="109" t="str">
        <f t="shared" si="57"/>
        <v/>
      </c>
      <c r="D162" s="109" t="str">
        <f t="shared" si="58"/>
        <v/>
      </c>
      <c r="E162" s="109" t="str">
        <f t="shared" si="59"/>
        <v/>
      </c>
      <c r="F162" s="109" t="str">
        <f t="shared" si="60"/>
        <v/>
      </c>
      <c r="G162" s="115" t="str">
        <f t="shared" si="70"/>
        <v/>
      </c>
      <c r="H162" s="116">
        <f t="shared" si="71"/>
        <v>0</v>
      </c>
      <c r="I162" s="109" t="str">
        <f t="shared" si="82"/>
        <v/>
      </c>
      <c r="J162" s="109" t="str">
        <f t="shared" si="61"/>
        <v/>
      </c>
      <c r="K162" s="109" t="str">
        <f t="shared" si="62"/>
        <v/>
      </c>
      <c r="L162" s="109" t="str">
        <f t="shared" si="63"/>
        <v/>
      </c>
      <c r="M162" s="109" t="str">
        <f t="shared" si="72"/>
        <v/>
      </c>
      <c r="N162" s="115" t="str">
        <f t="shared" si="73"/>
        <v/>
      </c>
      <c r="O162" s="61">
        <v>0</v>
      </c>
      <c r="P162" s="117">
        <f t="shared" si="74"/>
        <v>0</v>
      </c>
      <c r="R162" s="118" t="str">
        <f t="shared" si="84"/>
        <v/>
      </c>
      <c r="S162" s="119" t="str">
        <f t="shared" si="64"/>
        <v/>
      </c>
      <c r="T162" s="119" t="str">
        <f t="shared" si="65"/>
        <v/>
      </c>
      <c r="U162" s="120">
        <f t="shared" si="75"/>
        <v>0</v>
      </c>
      <c r="V162" s="121" t="str">
        <f>IF(A162="","",IF(A162&lt;=Periodos_Gracia,0,PPMT(Tasa_Anual/360*Días*(1+I.V.A.),Tabla!AM162,No._De_Pagos_con_periodo_de_gracia,-Monto_Crédito)))</f>
        <v/>
      </c>
      <c r="W162" s="111" t="str">
        <f>IF($U$258&lt;=0,V162,IF(SUM($U$18:U162)&lt;=0,V162,PMT($K$5/360*Días,A162,-R162)))</f>
        <v/>
      </c>
      <c r="X162" s="122" t="str">
        <f>IF($U$258&lt;=0,W162,IF(SUM($U$18:U162)&lt;=0,V162,PMT($K$5/360*Días,No._De_Pagos_con_periodo_de_gracia,-Monto_Crédito)-S162-T162))</f>
        <v/>
      </c>
      <c r="Y162" s="118" t="str">
        <f t="shared" si="76"/>
        <v/>
      </c>
      <c r="Z162" s="62" t="str">
        <f>+IF(A162="","",IF(No._de_Pagos-Tabla!A162+1&lt;=0,"",No._de_Pagos-Tabla!A162+1))</f>
        <v/>
      </c>
      <c r="AA162" s="123" t="str">
        <f t="shared" si="77"/>
        <v/>
      </c>
      <c r="AB162" s="125" t="str">
        <f t="shared" si="83"/>
        <v/>
      </c>
      <c r="AC162" s="125" t="str">
        <f t="shared" si="66"/>
        <v/>
      </c>
      <c r="AD162" s="125" t="str">
        <f t="shared" si="67"/>
        <v/>
      </c>
      <c r="AE162" s="120">
        <f t="shared" si="78"/>
        <v>0</v>
      </c>
      <c r="AF162" s="121" t="str">
        <f t="shared" si="68"/>
        <v/>
      </c>
      <c r="AG162" s="111" t="str">
        <f>IF($U$258&lt;=0,AF162,IF(SUM($U$18:U162)&lt;=0,AF162,PMT($K$5/360*Días,A162,-AA162)))</f>
        <v/>
      </c>
      <c r="AH162" s="122" t="str">
        <f>IF(A162&lt;=Periodos_Gracia,0,IF($U$258&lt;=0,AG162,IF(SUM($U$18:U162)&lt;=0,AF162,PMT($K$5/360*Días,No._de_Pagos,-Monto_Crédito)-AC162-AD162)))</f>
        <v/>
      </c>
      <c r="AI162" s="126" t="str">
        <f t="shared" si="79"/>
        <v/>
      </c>
      <c r="AK162" s="127" t="str">
        <f>IF(A162="","",IF(Periodos_Gracia&gt;0,Tabla!AN162,V162+S162))</f>
        <v/>
      </c>
      <c r="AL162" s="127" t="str">
        <f t="shared" si="69"/>
        <v/>
      </c>
      <c r="AM162" s="62" t="str">
        <f t="shared" si="80"/>
        <v/>
      </c>
      <c r="AN162" s="128" t="str">
        <f>IF(A162="","",IF(A162&lt;=Periodos_Gracia,Tabla!S162,PPMT(Tasa_Anual/360*Días*(1+I.V.A.),Tabla!AM162,No._De_Pagos_con_periodo_de_gracia,-Monto_Crédito)+S162))</f>
        <v/>
      </c>
      <c r="AO162" s="128" t="str">
        <f>IF(A162="","",IF(A162&lt;=Periodos_Gracia,Tabla!AC162,Monto_Crédito/(No._De_Pagos_con_periodo_de_gracia)+AC162))</f>
        <v/>
      </c>
      <c r="AP162" s="118"/>
    </row>
    <row r="163" spans="1:42">
      <c r="A163" s="108" t="str">
        <f>IF(A162&lt;Parámetros!$E$6,A162+1,"")</f>
        <v/>
      </c>
      <c r="B163" s="109" t="str">
        <f t="shared" si="81"/>
        <v/>
      </c>
      <c r="C163" s="109" t="str">
        <f t="shared" si="57"/>
        <v/>
      </c>
      <c r="D163" s="109" t="str">
        <f t="shared" si="58"/>
        <v/>
      </c>
      <c r="E163" s="109" t="str">
        <f t="shared" si="59"/>
        <v/>
      </c>
      <c r="F163" s="109" t="str">
        <f t="shared" si="60"/>
        <v/>
      </c>
      <c r="G163" s="115" t="str">
        <f t="shared" si="70"/>
        <v/>
      </c>
      <c r="H163" s="116">
        <f t="shared" si="71"/>
        <v>0</v>
      </c>
      <c r="I163" s="109" t="str">
        <f t="shared" si="82"/>
        <v/>
      </c>
      <c r="J163" s="109" t="str">
        <f t="shared" si="61"/>
        <v/>
      </c>
      <c r="K163" s="109" t="str">
        <f t="shared" si="62"/>
        <v/>
      </c>
      <c r="L163" s="109" t="str">
        <f t="shared" si="63"/>
        <v/>
      </c>
      <c r="M163" s="109" t="str">
        <f t="shared" si="72"/>
        <v/>
      </c>
      <c r="N163" s="115" t="str">
        <f t="shared" si="73"/>
        <v/>
      </c>
      <c r="O163" s="61">
        <v>0</v>
      </c>
      <c r="P163" s="117">
        <f t="shared" si="74"/>
        <v>0</v>
      </c>
      <c r="R163" s="118" t="str">
        <f t="shared" si="84"/>
        <v/>
      </c>
      <c r="S163" s="119" t="str">
        <f t="shared" si="64"/>
        <v/>
      </c>
      <c r="T163" s="119" t="str">
        <f t="shared" si="65"/>
        <v/>
      </c>
      <c r="U163" s="120">
        <f t="shared" si="75"/>
        <v>0</v>
      </c>
      <c r="V163" s="121" t="str">
        <f>IF(A163="","",IF(A163&lt;=Periodos_Gracia,0,PPMT(Tasa_Anual/360*Días*(1+I.V.A.),Tabla!AM163,No._De_Pagos_con_periodo_de_gracia,-Monto_Crédito)))</f>
        <v/>
      </c>
      <c r="W163" s="111" t="str">
        <f>IF($U$258&lt;=0,V163,IF(SUM($U$18:U163)&lt;=0,V163,PMT($K$5/360*Días,A163,-R163)))</f>
        <v/>
      </c>
      <c r="X163" s="122" t="str">
        <f>IF($U$258&lt;=0,W163,IF(SUM($U$18:U163)&lt;=0,V163,PMT($K$5/360*Días,No._De_Pagos_con_periodo_de_gracia,-Monto_Crédito)-S163-T163))</f>
        <v/>
      </c>
      <c r="Y163" s="118" t="str">
        <f t="shared" si="76"/>
        <v/>
      </c>
      <c r="Z163" s="62" t="str">
        <f>+IF(A163="","",IF(No._de_Pagos-Tabla!A163+1&lt;=0,"",No._de_Pagos-Tabla!A163+1))</f>
        <v/>
      </c>
      <c r="AA163" s="123" t="str">
        <f t="shared" si="77"/>
        <v/>
      </c>
      <c r="AB163" s="125" t="str">
        <f t="shared" si="83"/>
        <v/>
      </c>
      <c r="AC163" s="125" t="str">
        <f t="shared" si="66"/>
        <v/>
      </c>
      <c r="AD163" s="125" t="str">
        <f t="shared" si="67"/>
        <v/>
      </c>
      <c r="AE163" s="120">
        <f t="shared" si="78"/>
        <v>0</v>
      </c>
      <c r="AF163" s="121" t="str">
        <f t="shared" si="68"/>
        <v/>
      </c>
      <c r="AG163" s="111" t="str">
        <f>IF($U$258&lt;=0,AF163,IF(SUM($U$18:U163)&lt;=0,AF163,PMT($K$5/360*Días,A163,-AA163)))</f>
        <v/>
      </c>
      <c r="AH163" s="122" t="str">
        <f>IF(A163&lt;=Periodos_Gracia,0,IF($U$258&lt;=0,AG163,IF(SUM($U$18:U163)&lt;=0,AF163,PMT($K$5/360*Días,No._de_Pagos,-Monto_Crédito)-AC163-AD163)))</f>
        <v/>
      </c>
      <c r="AI163" s="126" t="str">
        <f t="shared" si="79"/>
        <v/>
      </c>
      <c r="AK163" s="127" t="str">
        <f>IF(A163="","",IF(Periodos_Gracia&gt;0,Tabla!AN163,V163+S163))</f>
        <v/>
      </c>
      <c r="AL163" s="127" t="str">
        <f t="shared" si="69"/>
        <v/>
      </c>
      <c r="AM163" s="62" t="str">
        <f t="shared" si="80"/>
        <v/>
      </c>
      <c r="AN163" s="128" t="str">
        <f>IF(A163="","",IF(A163&lt;=Periodos_Gracia,Tabla!S163,PPMT(Tasa_Anual/360*Días*(1+I.V.A.),Tabla!AM163,No._De_Pagos_con_periodo_de_gracia,-Monto_Crédito)+S163))</f>
        <v/>
      </c>
      <c r="AO163" s="128" t="str">
        <f>IF(A163="","",IF(A163&lt;=Periodos_Gracia,Tabla!AC163,Monto_Crédito/(No._De_Pagos_con_periodo_de_gracia)+AC163))</f>
        <v/>
      </c>
      <c r="AP163" s="118"/>
    </row>
    <row r="164" spans="1:42">
      <c r="A164" s="108" t="str">
        <f>IF(A163&lt;Parámetros!$E$6,A163+1,"")</f>
        <v/>
      </c>
      <c r="B164" s="109" t="str">
        <f t="shared" si="81"/>
        <v/>
      </c>
      <c r="C164" s="109" t="str">
        <f t="shared" si="57"/>
        <v/>
      </c>
      <c r="D164" s="109" t="str">
        <f t="shared" si="58"/>
        <v/>
      </c>
      <c r="E164" s="109" t="str">
        <f t="shared" si="59"/>
        <v/>
      </c>
      <c r="F164" s="109" t="str">
        <f t="shared" si="60"/>
        <v/>
      </c>
      <c r="G164" s="115" t="str">
        <f t="shared" si="70"/>
        <v/>
      </c>
      <c r="H164" s="116">
        <f t="shared" si="71"/>
        <v>0</v>
      </c>
      <c r="I164" s="109" t="str">
        <f t="shared" si="82"/>
        <v/>
      </c>
      <c r="J164" s="109" t="str">
        <f t="shared" si="61"/>
        <v/>
      </c>
      <c r="K164" s="109" t="str">
        <f t="shared" si="62"/>
        <v/>
      </c>
      <c r="L164" s="109" t="str">
        <f t="shared" si="63"/>
        <v/>
      </c>
      <c r="M164" s="109" t="str">
        <f t="shared" si="72"/>
        <v/>
      </c>
      <c r="N164" s="115" t="str">
        <f t="shared" si="73"/>
        <v/>
      </c>
      <c r="O164" s="61">
        <v>0</v>
      </c>
      <c r="P164" s="117">
        <f t="shared" si="74"/>
        <v>0</v>
      </c>
      <c r="R164" s="118" t="str">
        <f t="shared" si="84"/>
        <v/>
      </c>
      <c r="S164" s="119" t="str">
        <f t="shared" si="64"/>
        <v/>
      </c>
      <c r="T164" s="119" t="str">
        <f t="shared" si="65"/>
        <v/>
      </c>
      <c r="U164" s="120">
        <f t="shared" si="75"/>
        <v>0</v>
      </c>
      <c r="V164" s="121" t="str">
        <f>IF(A164="","",IF(A164&lt;=Periodos_Gracia,0,PPMT(Tasa_Anual/360*Días*(1+I.V.A.),Tabla!AM164,No._De_Pagos_con_periodo_de_gracia,-Monto_Crédito)))</f>
        <v/>
      </c>
      <c r="W164" s="111" t="str">
        <f>IF($U$258&lt;=0,V164,IF(SUM($U$18:U164)&lt;=0,V164,PMT($K$5/360*Días,A164,-R164)))</f>
        <v/>
      </c>
      <c r="X164" s="122" t="str">
        <f>IF($U$258&lt;=0,W164,IF(SUM($U$18:U164)&lt;=0,V164,PMT($K$5/360*Días,No._De_Pagos_con_periodo_de_gracia,-Monto_Crédito)-S164-T164))</f>
        <v/>
      </c>
      <c r="Y164" s="118" t="str">
        <f t="shared" si="76"/>
        <v/>
      </c>
      <c r="Z164" s="62" t="str">
        <f>+IF(A164="","",IF(No._de_Pagos-Tabla!A164+1&lt;=0,"",No._de_Pagos-Tabla!A164+1))</f>
        <v/>
      </c>
      <c r="AA164" s="123" t="str">
        <f t="shared" si="77"/>
        <v/>
      </c>
      <c r="AB164" s="125" t="str">
        <f t="shared" si="83"/>
        <v/>
      </c>
      <c r="AC164" s="125" t="str">
        <f t="shared" si="66"/>
        <v/>
      </c>
      <c r="AD164" s="125" t="str">
        <f t="shared" si="67"/>
        <v/>
      </c>
      <c r="AE164" s="120">
        <f t="shared" si="78"/>
        <v>0</v>
      </c>
      <c r="AF164" s="121" t="str">
        <f t="shared" si="68"/>
        <v/>
      </c>
      <c r="AG164" s="111" t="str">
        <f>IF($U$258&lt;=0,AF164,IF(SUM($U$18:U164)&lt;=0,AF164,PMT($K$5/360*Días,A164,-AA164)))</f>
        <v/>
      </c>
      <c r="AH164" s="122" t="str">
        <f>IF(A164&lt;=Periodos_Gracia,0,IF($U$258&lt;=0,AG164,IF(SUM($U$18:U164)&lt;=0,AF164,PMT($K$5/360*Días,No._de_Pagos,-Monto_Crédito)-AC164-AD164)))</f>
        <v/>
      </c>
      <c r="AI164" s="126" t="str">
        <f t="shared" si="79"/>
        <v/>
      </c>
      <c r="AK164" s="127" t="str">
        <f>IF(A164="","",IF(Periodos_Gracia&gt;0,Tabla!AN164,V164+S164))</f>
        <v/>
      </c>
      <c r="AL164" s="127" t="str">
        <f t="shared" si="69"/>
        <v/>
      </c>
      <c r="AM164" s="62" t="str">
        <f t="shared" si="80"/>
        <v/>
      </c>
      <c r="AN164" s="128" t="str">
        <f>IF(A164="","",IF(A164&lt;=Periodos_Gracia,Tabla!S164,PPMT(Tasa_Anual/360*Días*(1+I.V.A.),Tabla!AM164,No._De_Pagos_con_periodo_de_gracia,-Monto_Crédito)+S164))</f>
        <v/>
      </c>
      <c r="AO164" s="128" t="str">
        <f>IF(A164="","",IF(A164&lt;=Periodos_Gracia,Tabla!AC164,Monto_Crédito/(No._De_Pagos_con_periodo_de_gracia)+AC164))</f>
        <v/>
      </c>
      <c r="AP164" s="118"/>
    </row>
    <row r="165" spans="1:42">
      <c r="A165" s="108" t="str">
        <f>IF(A164&lt;Parámetros!$E$6,A164+1,"")</f>
        <v/>
      </c>
      <c r="B165" s="109" t="str">
        <f t="shared" si="81"/>
        <v/>
      </c>
      <c r="C165" s="109" t="str">
        <f t="shared" si="57"/>
        <v/>
      </c>
      <c r="D165" s="109" t="str">
        <f t="shared" si="58"/>
        <v/>
      </c>
      <c r="E165" s="109" t="str">
        <f t="shared" si="59"/>
        <v/>
      </c>
      <c r="F165" s="109" t="str">
        <f t="shared" si="60"/>
        <v/>
      </c>
      <c r="G165" s="115" t="str">
        <f t="shared" si="70"/>
        <v/>
      </c>
      <c r="H165" s="116">
        <f t="shared" si="71"/>
        <v>0</v>
      </c>
      <c r="I165" s="109" t="str">
        <f t="shared" si="82"/>
        <v/>
      </c>
      <c r="J165" s="109" t="str">
        <f t="shared" si="61"/>
        <v/>
      </c>
      <c r="K165" s="109" t="str">
        <f t="shared" si="62"/>
        <v/>
      </c>
      <c r="L165" s="109" t="str">
        <f t="shared" si="63"/>
        <v/>
      </c>
      <c r="M165" s="109" t="str">
        <f t="shared" si="72"/>
        <v/>
      </c>
      <c r="N165" s="115" t="str">
        <f t="shared" si="73"/>
        <v/>
      </c>
      <c r="O165" s="61">
        <v>0</v>
      </c>
      <c r="P165" s="117">
        <f t="shared" si="74"/>
        <v>0</v>
      </c>
      <c r="R165" s="118" t="str">
        <f t="shared" si="84"/>
        <v/>
      </c>
      <c r="S165" s="119" t="str">
        <f t="shared" si="64"/>
        <v/>
      </c>
      <c r="T165" s="119" t="str">
        <f t="shared" si="65"/>
        <v/>
      </c>
      <c r="U165" s="120">
        <f t="shared" si="75"/>
        <v>0</v>
      </c>
      <c r="V165" s="121" t="str">
        <f>IF(A165="","",IF(A165&lt;=Periodos_Gracia,0,PPMT(Tasa_Anual/360*Días*(1+I.V.A.),Tabla!AM165,No._De_Pagos_con_periodo_de_gracia,-Monto_Crédito)))</f>
        <v/>
      </c>
      <c r="W165" s="111" t="str">
        <f>IF($U$258&lt;=0,V165,IF(SUM($U$18:U165)&lt;=0,V165,PMT($K$5/360*Días,A165,-R165)))</f>
        <v/>
      </c>
      <c r="X165" s="122" t="str">
        <f>IF($U$258&lt;=0,W165,IF(SUM($U$18:U165)&lt;=0,V165,PMT($K$5/360*Días,No._De_Pagos_con_periodo_de_gracia,-Monto_Crédito)-S165-T165))</f>
        <v/>
      </c>
      <c r="Y165" s="118" t="str">
        <f t="shared" si="76"/>
        <v/>
      </c>
      <c r="Z165" s="62" t="str">
        <f>+IF(A165="","",IF(No._de_Pagos-Tabla!A165+1&lt;=0,"",No._de_Pagos-Tabla!A165+1))</f>
        <v/>
      </c>
      <c r="AA165" s="123" t="str">
        <f t="shared" si="77"/>
        <v/>
      </c>
      <c r="AB165" s="125" t="str">
        <f t="shared" si="83"/>
        <v/>
      </c>
      <c r="AC165" s="125" t="str">
        <f t="shared" si="66"/>
        <v/>
      </c>
      <c r="AD165" s="125" t="str">
        <f t="shared" si="67"/>
        <v/>
      </c>
      <c r="AE165" s="120">
        <f t="shared" si="78"/>
        <v>0</v>
      </c>
      <c r="AF165" s="121" t="str">
        <f t="shared" si="68"/>
        <v/>
      </c>
      <c r="AG165" s="111" t="str">
        <f>IF($U$258&lt;=0,AF165,IF(SUM($U$18:U165)&lt;=0,AF165,PMT($K$5/360*Días,A165,-AA165)))</f>
        <v/>
      </c>
      <c r="AH165" s="122" t="str">
        <f>IF(A165&lt;=Periodos_Gracia,0,IF($U$258&lt;=0,AG165,IF(SUM($U$18:U165)&lt;=0,AF165,PMT($K$5/360*Días,No._de_Pagos,-Monto_Crédito)-AC165-AD165)))</f>
        <v/>
      </c>
      <c r="AI165" s="126" t="str">
        <f t="shared" si="79"/>
        <v/>
      </c>
      <c r="AK165" s="127" t="str">
        <f>IF(A165="","",IF(Periodos_Gracia&gt;0,Tabla!AN165,V165+S165))</f>
        <v/>
      </c>
      <c r="AL165" s="127" t="str">
        <f t="shared" si="69"/>
        <v/>
      </c>
      <c r="AM165" s="62" t="str">
        <f t="shared" si="80"/>
        <v/>
      </c>
      <c r="AN165" s="128" t="str">
        <f>IF(A165="","",IF(A165&lt;=Periodos_Gracia,Tabla!S165,PPMT(Tasa_Anual/360*Días*(1+I.V.A.),Tabla!AM165,No._De_Pagos_con_periodo_de_gracia,-Monto_Crédito)+S165))</f>
        <v/>
      </c>
      <c r="AO165" s="128" t="str">
        <f>IF(A165="","",IF(A165&lt;=Periodos_Gracia,Tabla!AC165,Monto_Crédito/(No._De_Pagos_con_periodo_de_gracia)+AC165))</f>
        <v/>
      </c>
      <c r="AP165" s="118"/>
    </row>
    <row r="166" spans="1:42">
      <c r="A166" s="108" t="str">
        <f>IF(A165&lt;Parámetros!$E$6,A165+1,"")</f>
        <v/>
      </c>
      <c r="B166" s="109" t="str">
        <f t="shared" si="81"/>
        <v/>
      </c>
      <c r="C166" s="109" t="str">
        <f t="shared" si="57"/>
        <v/>
      </c>
      <c r="D166" s="109" t="str">
        <f t="shared" si="58"/>
        <v/>
      </c>
      <c r="E166" s="109" t="str">
        <f t="shared" si="59"/>
        <v/>
      </c>
      <c r="F166" s="109" t="str">
        <f t="shared" si="60"/>
        <v/>
      </c>
      <c r="G166" s="115" t="str">
        <f t="shared" si="70"/>
        <v/>
      </c>
      <c r="H166" s="116">
        <f t="shared" si="71"/>
        <v>0</v>
      </c>
      <c r="I166" s="109" t="str">
        <f t="shared" si="82"/>
        <v/>
      </c>
      <c r="J166" s="109" t="str">
        <f t="shared" si="61"/>
        <v/>
      </c>
      <c r="K166" s="109" t="str">
        <f t="shared" si="62"/>
        <v/>
      </c>
      <c r="L166" s="109" t="str">
        <f t="shared" si="63"/>
        <v/>
      </c>
      <c r="M166" s="109" t="str">
        <f t="shared" si="72"/>
        <v/>
      </c>
      <c r="N166" s="115" t="str">
        <f t="shared" si="73"/>
        <v/>
      </c>
      <c r="O166" s="61">
        <v>0</v>
      </c>
      <c r="P166" s="117">
        <f t="shared" si="74"/>
        <v>0</v>
      </c>
      <c r="R166" s="118" t="str">
        <f t="shared" si="84"/>
        <v/>
      </c>
      <c r="S166" s="119" t="str">
        <f t="shared" si="64"/>
        <v/>
      </c>
      <c r="T166" s="119" t="str">
        <f t="shared" si="65"/>
        <v/>
      </c>
      <c r="U166" s="120">
        <f t="shared" si="75"/>
        <v>0</v>
      </c>
      <c r="V166" s="121" t="str">
        <f>IF(A166="","",IF(A166&lt;=Periodos_Gracia,0,PPMT(Tasa_Anual/360*Días*(1+I.V.A.),Tabla!AM166,No._De_Pagos_con_periodo_de_gracia,-Monto_Crédito)))</f>
        <v/>
      </c>
      <c r="W166" s="111" t="str">
        <f>IF($U$258&lt;=0,V166,IF(SUM($U$18:U166)&lt;=0,V166,PMT($K$5/360*Días,A166,-R166)))</f>
        <v/>
      </c>
      <c r="X166" s="122" t="str">
        <f>IF($U$258&lt;=0,W166,IF(SUM($U$18:U166)&lt;=0,V166,PMT($K$5/360*Días,No._De_Pagos_con_periodo_de_gracia,-Monto_Crédito)-S166-T166))</f>
        <v/>
      </c>
      <c r="Y166" s="118" t="str">
        <f t="shared" si="76"/>
        <v/>
      </c>
      <c r="Z166" s="62" t="str">
        <f>+IF(A166="","",IF(No._de_Pagos-Tabla!A166+1&lt;=0,"",No._de_Pagos-Tabla!A166+1))</f>
        <v/>
      </c>
      <c r="AA166" s="123" t="str">
        <f t="shared" si="77"/>
        <v/>
      </c>
      <c r="AB166" s="125" t="str">
        <f t="shared" si="83"/>
        <v/>
      </c>
      <c r="AC166" s="125" t="str">
        <f t="shared" si="66"/>
        <v/>
      </c>
      <c r="AD166" s="125" t="str">
        <f t="shared" si="67"/>
        <v/>
      </c>
      <c r="AE166" s="120">
        <f t="shared" si="78"/>
        <v>0</v>
      </c>
      <c r="AF166" s="121" t="str">
        <f t="shared" si="68"/>
        <v/>
      </c>
      <c r="AG166" s="111" t="str">
        <f>IF($U$258&lt;=0,AF166,IF(SUM($U$18:U166)&lt;=0,AF166,PMT($K$5/360*Días,A166,-AA166)))</f>
        <v/>
      </c>
      <c r="AH166" s="122" t="str">
        <f>IF(A166&lt;=Periodos_Gracia,0,IF($U$258&lt;=0,AG166,IF(SUM($U$18:U166)&lt;=0,AF166,PMT($K$5/360*Días,No._de_Pagos,-Monto_Crédito)-AC166-AD166)))</f>
        <v/>
      </c>
      <c r="AI166" s="126" t="str">
        <f t="shared" si="79"/>
        <v/>
      </c>
      <c r="AK166" s="127" t="str">
        <f>IF(A166="","",IF(Periodos_Gracia&gt;0,Tabla!AN166,V166+S166))</f>
        <v/>
      </c>
      <c r="AL166" s="127" t="str">
        <f t="shared" si="69"/>
        <v/>
      </c>
      <c r="AM166" s="62" t="str">
        <f t="shared" si="80"/>
        <v/>
      </c>
      <c r="AN166" s="128" t="str">
        <f>IF(A166="","",IF(A166&lt;=Periodos_Gracia,Tabla!S166,PPMT(Tasa_Anual/360*Días*(1+I.V.A.),Tabla!AM166,No._De_Pagos_con_periodo_de_gracia,-Monto_Crédito)+S166))</f>
        <v/>
      </c>
      <c r="AO166" s="128" t="str">
        <f>IF(A166="","",IF(A166&lt;=Periodos_Gracia,Tabla!AC166,Monto_Crédito/(No._De_Pagos_con_periodo_de_gracia)+AC166))</f>
        <v/>
      </c>
      <c r="AP166" s="118"/>
    </row>
    <row r="167" spans="1:42">
      <c r="A167" s="108" t="str">
        <f>IF(A166&lt;Parámetros!$E$6,A166+1,"")</f>
        <v/>
      </c>
      <c r="B167" s="109" t="str">
        <f t="shared" si="81"/>
        <v/>
      </c>
      <c r="C167" s="109" t="str">
        <f t="shared" si="57"/>
        <v/>
      </c>
      <c r="D167" s="109" t="str">
        <f t="shared" si="58"/>
        <v/>
      </c>
      <c r="E167" s="109" t="str">
        <f t="shared" si="59"/>
        <v/>
      </c>
      <c r="F167" s="109" t="str">
        <f t="shared" si="60"/>
        <v/>
      </c>
      <c r="G167" s="115" t="str">
        <f t="shared" si="70"/>
        <v/>
      </c>
      <c r="H167" s="116">
        <f t="shared" si="71"/>
        <v>0</v>
      </c>
      <c r="I167" s="109" t="str">
        <f t="shared" si="82"/>
        <v/>
      </c>
      <c r="J167" s="109" t="str">
        <f t="shared" si="61"/>
        <v/>
      </c>
      <c r="K167" s="109" t="str">
        <f t="shared" si="62"/>
        <v/>
      </c>
      <c r="L167" s="109" t="str">
        <f t="shared" si="63"/>
        <v/>
      </c>
      <c r="M167" s="109" t="str">
        <f t="shared" si="72"/>
        <v/>
      </c>
      <c r="N167" s="115" t="str">
        <f t="shared" si="73"/>
        <v/>
      </c>
      <c r="O167" s="61">
        <v>0</v>
      </c>
      <c r="P167" s="117">
        <f t="shared" si="74"/>
        <v>0</v>
      </c>
      <c r="R167" s="118" t="str">
        <f t="shared" si="84"/>
        <v/>
      </c>
      <c r="S167" s="119" t="str">
        <f t="shared" si="64"/>
        <v/>
      </c>
      <c r="T167" s="119" t="str">
        <f t="shared" si="65"/>
        <v/>
      </c>
      <c r="U167" s="120">
        <f t="shared" si="75"/>
        <v>0</v>
      </c>
      <c r="V167" s="121" t="str">
        <f>IF(A167="","",IF(A167&lt;=Periodos_Gracia,0,PPMT(Tasa_Anual/360*Días*(1+I.V.A.),Tabla!AM167,No._De_Pagos_con_periodo_de_gracia,-Monto_Crédito)))</f>
        <v/>
      </c>
      <c r="W167" s="111" t="str">
        <f>IF($U$258&lt;=0,V167,IF(SUM($U$18:U167)&lt;=0,V167,PMT($K$5/360*Días,A167,-R167)))</f>
        <v/>
      </c>
      <c r="X167" s="122" t="str">
        <f>IF($U$258&lt;=0,W167,IF(SUM($U$18:U167)&lt;=0,V167,PMT($K$5/360*Días,No._De_Pagos_con_periodo_de_gracia,-Monto_Crédito)-S167-T167))</f>
        <v/>
      </c>
      <c r="Y167" s="118" t="str">
        <f t="shared" si="76"/>
        <v/>
      </c>
      <c r="Z167" s="62" t="str">
        <f>+IF(A167="","",IF(No._de_Pagos-Tabla!A167+1&lt;=0,"",No._de_Pagos-Tabla!A167+1))</f>
        <v/>
      </c>
      <c r="AA167" s="123" t="str">
        <f t="shared" si="77"/>
        <v/>
      </c>
      <c r="AB167" s="125" t="str">
        <f t="shared" si="83"/>
        <v/>
      </c>
      <c r="AC167" s="125" t="str">
        <f t="shared" si="66"/>
        <v/>
      </c>
      <c r="AD167" s="125" t="str">
        <f t="shared" si="67"/>
        <v/>
      </c>
      <c r="AE167" s="120">
        <f t="shared" si="78"/>
        <v>0</v>
      </c>
      <c r="AF167" s="121" t="str">
        <f t="shared" si="68"/>
        <v/>
      </c>
      <c r="AG167" s="111" t="str">
        <f>IF($U$258&lt;=0,AF167,IF(SUM($U$18:U167)&lt;=0,AF167,PMT($K$5/360*Días,A167,-AA167)))</f>
        <v/>
      </c>
      <c r="AH167" s="122" t="str">
        <f>IF(A167&lt;=Periodos_Gracia,0,IF($U$258&lt;=0,AG167,IF(SUM($U$18:U167)&lt;=0,AF167,PMT($K$5/360*Días,No._de_Pagos,-Monto_Crédito)-AC167-AD167)))</f>
        <v/>
      </c>
      <c r="AI167" s="126" t="str">
        <f t="shared" si="79"/>
        <v/>
      </c>
      <c r="AK167" s="127" t="str">
        <f>IF(A167="","",IF(Periodos_Gracia&gt;0,Tabla!AN167,V167+S167))</f>
        <v/>
      </c>
      <c r="AL167" s="127" t="str">
        <f t="shared" si="69"/>
        <v/>
      </c>
      <c r="AM167" s="62" t="str">
        <f t="shared" si="80"/>
        <v/>
      </c>
      <c r="AN167" s="128" t="str">
        <f>IF(A167="","",IF(A167&lt;=Periodos_Gracia,Tabla!S167,PPMT(Tasa_Anual/360*Días*(1+I.V.A.),Tabla!AM167,No._De_Pagos_con_periodo_de_gracia,-Monto_Crédito)+S167))</f>
        <v/>
      </c>
      <c r="AO167" s="128" t="str">
        <f>IF(A167="","",IF(A167&lt;=Periodos_Gracia,Tabla!AC167,Monto_Crédito/(No._De_Pagos_con_periodo_de_gracia)+AC167))</f>
        <v/>
      </c>
      <c r="AP167" s="118"/>
    </row>
    <row r="168" spans="1:42">
      <c r="A168" s="108" t="str">
        <f>IF(A167&lt;Parámetros!$E$6,A167+1,"")</f>
        <v/>
      </c>
      <c r="B168" s="109" t="str">
        <f t="shared" si="81"/>
        <v/>
      </c>
      <c r="C168" s="109" t="str">
        <f t="shared" si="57"/>
        <v/>
      </c>
      <c r="D168" s="109" t="str">
        <f t="shared" si="58"/>
        <v/>
      </c>
      <c r="E168" s="109" t="str">
        <f t="shared" si="59"/>
        <v/>
      </c>
      <c r="F168" s="109" t="str">
        <f t="shared" si="60"/>
        <v/>
      </c>
      <c r="G168" s="115" t="str">
        <f t="shared" si="70"/>
        <v/>
      </c>
      <c r="H168" s="116">
        <f t="shared" si="71"/>
        <v>0</v>
      </c>
      <c r="I168" s="109" t="str">
        <f t="shared" si="82"/>
        <v/>
      </c>
      <c r="J168" s="109" t="str">
        <f t="shared" si="61"/>
        <v/>
      </c>
      <c r="K168" s="109" t="str">
        <f t="shared" si="62"/>
        <v/>
      </c>
      <c r="L168" s="109" t="str">
        <f t="shared" si="63"/>
        <v/>
      </c>
      <c r="M168" s="109" t="str">
        <f t="shared" si="72"/>
        <v/>
      </c>
      <c r="N168" s="115" t="str">
        <f t="shared" si="73"/>
        <v/>
      </c>
      <c r="O168" s="61">
        <v>0</v>
      </c>
      <c r="P168" s="117">
        <f t="shared" si="74"/>
        <v>0</v>
      </c>
      <c r="R168" s="118" t="str">
        <f t="shared" si="84"/>
        <v/>
      </c>
      <c r="S168" s="119" t="str">
        <f t="shared" si="64"/>
        <v/>
      </c>
      <c r="T168" s="119" t="str">
        <f t="shared" si="65"/>
        <v/>
      </c>
      <c r="U168" s="120">
        <f t="shared" si="75"/>
        <v>0</v>
      </c>
      <c r="V168" s="121" t="str">
        <f>IF(A168="","",IF(A168&lt;=Periodos_Gracia,0,PPMT(Tasa_Anual/360*Días*(1+I.V.A.),Tabla!AM168,No._De_Pagos_con_periodo_de_gracia,-Monto_Crédito)))</f>
        <v/>
      </c>
      <c r="W168" s="111" t="str">
        <f>IF($U$258&lt;=0,V168,IF(SUM($U$18:U168)&lt;=0,V168,PMT($K$5/360*Días,A168,-R168)))</f>
        <v/>
      </c>
      <c r="X168" s="122" t="str">
        <f>IF($U$258&lt;=0,W168,IF(SUM($U$18:U168)&lt;=0,V168,PMT($K$5/360*Días,No._De_Pagos_con_periodo_de_gracia,-Monto_Crédito)-S168-T168))</f>
        <v/>
      </c>
      <c r="Y168" s="118" t="str">
        <f t="shared" si="76"/>
        <v/>
      </c>
      <c r="Z168" s="62" t="str">
        <f>+IF(A168="","",IF(No._de_Pagos-Tabla!A168+1&lt;=0,"",No._de_Pagos-Tabla!A168+1))</f>
        <v/>
      </c>
      <c r="AA168" s="123" t="str">
        <f t="shared" si="77"/>
        <v/>
      </c>
      <c r="AB168" s="125" t="str">
        <f t="shared" si="83"/>
        <v/>
      </c>
      <c r="AC168" s="125" t="str">
        <f t="shared" si="66"/>
        <v/>
      </c>
      <c r="AD168" s="125" t="str">
        <f t="shared" si="67"/>
        <v/>
      </c>
      <c r="AE168" s="120">
        <f t="shared" si="78"/>
        <v>0</v>
      </c>
      <c r="AF168" s="121" t="str">
        <f t="shared" si="68"/>
        <v/>
      </c>
      <c r="AG168" s="111" t="str">
        <f>IF($U$258&lt;=0,AF168,IF(SUM($U$18:U168)&lt;=0,AF168,PMT($K$5/360*Días,A168,-AA168)))</f>
        <v/>
      </c>
      <c r="AH168" s="122" t="str">
        <f>IF(A168&lt;=Periodos_Gracia,0,IF($U$258&lt;=0,AG168,IF(SUM($U$18:U168)&lt;=0,AF168,PMT($K$5/360*Días,No._de_Pagos,-Monto_Crédito)-AC168-AD168)))</f>
        <v/>
      </c>
      <c r="AI168" s="126" t="str">
        <f t="shared" si="79"/>
        <v/>
      </c>
      <c r="AK168" s="127" t="str">
        <f>IF(A168="","",IF(Periodos_Gracia&gt;0,Tabla!AN168,V168+S168))</f>
        <v/>
      </c>
      <c r="AL168" s="127" t="str">
        <f t="shared" si="69"/>
        <v/>
      </c>
      <c r="AM168" s="62" t="str">
        <f t="shared" si="80"/>
        <v/>
      </c>
      <c r="AN168" s="128" t="str">
        <f>IF(A168="","",IF(A168&lt;=Periodos_Gracia,Tabla!S168,PPMT(Tasa_Anual/360*Días*(1+I.V.A.),Tabla!AM168,No._De_Pagos_con_periodo_de_gracia,-Monto_Crédito)+S168))</f>
        <v/>
      </c>
      <c r="AO168" s="128" t="str">
        <f>IF(A168="","",IF(A168&lt;=Periodos_Gracia,Tabla!AC168,Monto_Crédito/(No._De_Pagos_con_periodo_de_gracia)+AC168))</f>
        <v/>
      </c>
      <c r="AP168" s="118"/>
    </row>
    <row r="169" spans="1:42">
      <c r="A169" s="108" t="str">
        <f>IF(A168&lt;Parámetros!$E$6,A168+1,"")</f>
        <v/>
      </c>
      <c r="B169" s="109" t="str">
        <f t="shared" si="81"/>
        <v/>
      </c>
      <c r="C169" s="109" t="str">
        <f t="shared" si="57"/>
        <v/>
      </c>
      <c r="D169" s="109" t="str">
        <f t="shared" si="58"/>
        <v/>
      </c>
      <c r="E169" s="109" t="str">
        <f t="shared" si="59"/>
        <v/>
      </c>
      <c r="F169" s="109" t="str">
        <f t="shared" si="60"/>
        <v/>
      </c>
      <c r="G169" s="115" t="str">
        <f t="shared" si="70"/>
        <v/>
      </c>
      <c r="H169" s="116">
        <f t="shared" si="71"/>
        <v>0</v>
      </c>
      <c r="I169" s="109" t="str">
        <f t="shared" si="82"/>
        <v/>
      </c>
      <c r="J169" s="109" t="str">
        <f t="shared" si="61"/>
        <v/>
      </c>
      <c r="K169" s="109" t="str">
        <f t="shared" si="62"/>
        <v/>
      </c>
      <c r="L169" s="109" t="str">
        <f t="shared" si="63"/>
        <v/>
      </c>
      <c r="M169" s="109" t="str">
        <f t="shared" si="72"/>
        <v/>
      </c>
      <c r="N169" s="115" t="str">
        <f t="shared" si="73"/>
        <v/>
      </c>
      <c r="O169" s="61">
        <v>0</v>
      </c>
      <c r="P169" s="117">
        <f t="shared" si="74"/>
        <v>0</v>
      </c>
      <c r="R169" s="118" t="str">
        <f t="shared" si="84"/>
        <v/>
      </c>
      <c r="S169" s="119" t="str">
        <f t="shared" si="64"/>
        <v/>
      </c>
      <c r="T169" s="119" t="str">
        <f t="shared" si="65"/>
        <v/>
      </c>
      <c r="U169" s="120">
        <f t="shared" si="75"/>
        <v>0</v>
      </c>
      <c r="V169" s="121" t="str">
        <f>IF(A169="","",IF(A169&lt;=Periodos_Gracia,0,PPMT(Tasa_Anual/360*Días*(1+I.V.A.),Tabla!AM169,No._De_Pagos_con_periodo_de_gracia,-Monto_Crédito)))</f>
        <v/>
      </c>
      <c r="W169" s="111" t="str">
        <f>IF($U$258&lt;=0,V169,IF(SUM($U$18:U169)&lt;=0,V169,PMT($K$5/360*Días,A169,-R169)))</f>
        <v/>
      </c>
      <c r="X169" s="122" t="str">
        <f>IF($U$258&lt;=0,W169,IF(SUM($U$18:U169)&lt;=0,V169,PMT($K$5/360*Días,No._De_Pagos_con_periodo_de_gracia,-Monto_Crédito)-S169-T169))</f>
        <v/>
      </c>
      <c r="Y169" s="118" t="str">
        <f t="shared" si="76"/>
        <v/>
      </c>
      <c r="Z169" s="62" t="str">
        <f>+IF(A169="","",IF(No._de_Pagos-Tabla!A169+1&lt;=0,"",No._de_Pagos-Tabla!A169+1))</f>
        <v/>
      </c>
      <c r="AA169" s="123" t="str">
        <f t="shared" si="77"/>
        <v/>
      </c>
      <c r="AB169" s="125" t="str">
        <f t="shared" si="83"/>
        <v/>
      </c>
      <c r="AC169" s="125" t="str">
        <f t="shared" si="66"/>
        <v/>
      </c>
      <c r="AD169" s="125" t="str">
        <f t="shared" si="67"/>
        <v/>
      </c>
      <c r="AE169" s="120">
        <f t="shared" si="78"/>
        <v>0</v>
      </c>
      <c r="AF169" s="121" t="str">
        <f t="shared" si="68"/>
        <v/>
      </c>
      <c r="AG169" s="111" t="str">
        <f>IF($U$258&lt;=0,AF169,IF(SUM($U$18:U169)&lt;=0,AF169,PMT($K$5/360*Días,A169,-AA169)))</f>
        <v/>
      </c>
      <c r="AH169" s="122" t="str">
        <f>IF(A169&lt;=Periodos_Gracia,0,IF($U$258&lt;=0,AG169,IF(SUM($U$18:U169)&lt;=0,AF169,PMT($K$5/360*Días,No._de_Pagos,-Monto_Crédito)-AC169-AD169)))</f>
        <v/>
      </c>
      <c r="AI169" s="126" t="str">
        <f t="shared" si="79"/>
        <v/>
      </c>
      <c r="AK169" s="127" t="str">
        <f>IF(A169="","",IF(Periodos_Gracia&gt;0,Tabla!AN169,V169+S169))</f>
        <v/>
      </c>
      <c r="AL169" s="127" t="str">
        <f t="shared" si="69"/>
        <v/>
      </c>
      <c r="AM169" s="62" t="str">
        <f t="shared" si="80"/>
        <v/>
      </c>
      <c r="AN169" s="128" t="str">
        <f>IF(A169="","",IF(A169&lt;=Periodos_Gracia,Tabla!S169,PPMT(Tasa_Anual/360*Días*(1+I.V.A.),Tabla!AM169,No._De_Pagos_con_periodo_de_gracia,-Monto_Crédito)+S169))</f>
        <v/>
      </c>
      <c r="AO169" s="128" t="str">
        <f>IF(A169="","",IF(A169&lt;=Periodos_Gracia,Tabla!AC169,Monto_Crédito/(No._De_Pagos_con_periodo_de_gracia)+AC169))</f>
        <v/>
      </c>
      <c r="AP169" s="118"/>
    </row>
    <row r="170" spans="1:42">
      <c r="A170" s="108" t="str">
        <f>IF(A169&lt;Parámetros!$E$6,A169+1,"")</f>
        <v/>
      </c>
      <c r="B170" s="109" t="str">
        <f t="shared" si="81"/>
        <v/>
      </c>
      <c r="C170" s="109" t="str">
        <f t="shared" si="57"/>
        <v/>
      </c>
      <c r="D170" s="109" t="str">
        <f t="shared" si="58"/>
        <v/>
      </c>
      <c r="E170" s="109" t="str">
        <f t="shared" si="59"/>
        <v/>
      </c>
      <c r="F170" s="109" t="str">
        <f t="shared" si="60"/>
        <v/>
      </c>
      <c r="G170" s="115" t="str">
        <f t="shared" si="70"/>
        <v/>
      </c>
      <c r="H170" s="116">
        <f t="shared" si="71"/>
        <v>0</v>
      </c>
      <c r="I170" s="109" t="str">
        <f t="shared" si="82"/>
        <v/>
      </c>
      <c r="J170" s="109" t="str">
        <f t="shared" si="61"/>
        <v/>
      </c>
      <c r="K170" s="109" t="str">
        <f t="shared" si="62"/>
        <v/>
      </c>
      <c r="L170" s="109" t="str">
        <f t="shared" si="63"/>
        <v/>
      </c>
      <c r="M170" s="109" t="str">
        <f t="shared" si="72"/>
        <v/>
      </c>
      <c r="N170" s="115" t="str">
        <f t="shared" si="73"/>
        <v/>
      </c>
      <c r="O170" s="61">
        <v>0</v>
      </c>
      <c r="P170" s="117">
        <f t="shared" si="74"/>
        <v>0</v>
      </c>
      <c r="R170" s="118" t="str">
        <f t="shared" si="84"/>
        <v/>
      </c>
      <c r="S170" s="119" t="str">
        <f t="shared" si="64"/>
        <v/>
      </c>
      <c r="T170" s="119" t="str">
        <f t="shared" si="65"/>
        <v/>
      </c>
      <c r="U170" s="120">
        <f t="shared" si="75"/>
        <v>0</v>
      </c>
      <c r="V170" s="121" t="str">
        <f>IF(A170="","",IF(A170&lt;=Periodos_Gracia,0,PPMT(Tasa_Anual/360*Días*(1+I.V.A.),Tabla!AM170,No._De_Pagos_con_periodo_de_gracia,-Monto_Crédito)))</f>
        <v/>
      </c>
      <c r="W170" s="111" t="str">
        <f>IF($U$258&lt;=0,V170,IF(SUM($U$18:U170)&lt;=0,V170,PMT($K$5/360*Días,A170,-R170)))</f>
        <v/>
      </c>
      <c r="X170" s="122" t="str">
        <f>IF($U$258&lt;=0,W170,IF(SUM($U$18:U170)&lt;=0,V170,PMT($K$5/360*Días,No._De_Pagos_con_periodo_de_gracia,-Monto_Crédito)-S170-T170))</f>
        <v/>
      </c>
      <c r="Y170" s="118" t="str">
        <f t="shared" si="76"/>
        <v/>
      </c>
      <c r="Z170" s="62" t="str">
        <f>+IF(A170="","",IF(No._de_Pagos-Tabla!A170+1&lt;=0,"",No._de_Pagos-Tabla!A170+1))</f>
        <v/>
      </c>
      <c r="AA170" s="123" t="str">
        <f t="shared" si="77"/>
        <v/>
      </c>
      <c r="AB170" s="125" t="str">
        <f t="shared" si="83"/>
        <v/>
      </c>
      <c r="AC170" s="125" t="str">
        <f t="shared" si="66"/>
        <v/>
      </c>
      <c r="AD170" s="125" t="str">
        <f t="shared" si="67"/>
        <v/>
      </c>
      <c r="AE170" s="120">
        <f t="shared" si="78"/>
        <v>0</v>
      </c>
      <c r="AF170" s="121" t="str">
        <f t="shared" si="68"/>
        <v/>
      </c>
      <c r="AG170" s="111" t="str">
        <f>IF($U$258&lt;=0,AF170,IF(SUM($U$18:U170)&lt;=0,AF170,PMT($K$5/360*Días,A170,-AA170)))</f>
        <v/>
      </c>
      <c r="AH170" s="122" t="str">
        <f>IF(A170&lt;=Periodos_Gracia,0,IF($U$258&lt;=0,AG170,IF(SUM($U$18:U170)&lt;=0,AF170,PMT($K$5/360*Días,No._de_Pagos,-Monto_Crédito)-AC170-AD170)))</f>
        <v/>
      </c>
      <c r="AI170" s="126" t="str">
        <f t="shared" si="79"/>
        <v/>
      </c>
      <c r="AK170" s="127" t="str">
        <f>IF(A170="","",IF(Periodos_Gracia&gt;0,Tabla!AN170,V170+S170))</f>
        <v/>
      </c>
      <c r="AL170" s="127" t="str">
        <f t="shared" si="69"/>
        <v/>
      </c>
      <c r="AM170" s="62" t="str">
        <f t="shared" si="80"/>
        <v/>
      </c>
      <c r="AN170" s="128" t="str">
        <f>IF(A170="","",IF(A170&lt;=Periodos_Gracia,Tabla!S170,PPMT(Tasa_Anual/360*Días*(1+I.V.A.),Tabla!AM170,No._De_Pagos_con_periodo_de_gracia,-Monto_Crédito)+S170))</f>
        <v/>
      </c>
      <c r="AO170" s="128" t="str">
        <f>IF(A170="","",IF(A170&lt;=Periodos_Gracia,Tabla!AC170,Monto_Crédito/(No._De_Pagos_con_periodo_de_gracia)+AC170))</f>
        <v/>
      </c>
      <c r="AP170" s="118"/>
    </row>
    <row r="171" spans="1:42">
      <c r="A171" s="108" t="str">
        <f>IF(A170&lt;Parámetros!$E$6,A170+1,"")</f>
        <v/>
      </c>
      <c r="B171" s="109" t="str">
        <f t="shared" si="81"/>
        <v/>
      </c>
      <c r="C171" s="109" t="str">
        <f t="shared" si="57"/>
        <v/>
      </c>
      <c r="D171" s="109" t="str">
        <f t="shared" si="58"/>
        <v/>
      </c>
      <c r="E171" s="109" t="str">
        <f t="shared" si="59"/>
        <v/>
      </c>
      <c r="F171" s="109" t="str">
        <f t="shared" si="60"/>
        <v/>
      </c>
      <c r="G171" s="115" t="str">
        <f t="shared" si="70"/>
        <v/>
      </c>
      <c r="H171" s="116">
        <f t="shared" si="71"/>
        <v>0</v>
      </c>
      <c r="I171" s="109" t="str">
        <f t="shared" si="82"/>
        <v/>
      </c>
      <c r="J171" s="109" t="str">
        <f t="shared" si="61"/>
        <v/>
      </c>
      <c r="K171" s="109" t="str">
        <f t="shared" si="62"/>
        <v/>
      </c>
      <c r="L171" s="109" t="str">
        <f t="shared" si="63"/>
        <v/>
      </c>
      <c r="M171" s="109" t="str">
        <f t="shared" si="72"/>
        <v/>
      </c>
      <c r="N171" s="115" t="str">
        <f t="shared" si="73"/>
        <v/>
      </c>
      <c r="O171" s="61">
        <v>0</v>
      </c>
      <c r="P171" s="117">
        <f t="shared" si="74"/>
        <v>0</v>
      </c>
      <c r="R171" s="118" t="str">
        <f t="shared" si="84"/>
        <v/>
      </c>
      <c r="S171" s="119" t="str">
        <f t="shared" si="64"/>
        <v/>
      </c>
      <c r="T171" s="119" t="str">
        <f t="shared" si="65"/>
        <v/>
      </c>
      <c r="U171" s="120">
        <f t="shared" si="75"/>
        <v>0</v>
      </c>
      <c r="V171" s="121" t="str">
        <f>IF(A171="","",IF(A171&lt;=Periodos_Gracia,0,PPMT(Tasa_Anual/360*Días*(1+I.V.A.),Tabla!AM171,No._De_Pagos_con_periodo_de_gracia,-Monto_Crédito)))</f>
        <v/>
      </c>
      <c r="W171" s="111" t="str">
        <f>IF($U$258&lt;=0,V171,IF(SUM($U$18:U171)&lt;=0,V171,PMT($K$5/360*Días,A171,-R171)))</f>
        <v/>
      </c>
      <c r="X171" s="122" t="str">
        <f>IF($U$258&lt;=0,W171,IF(SUM($U$18:U171)&lt;=0,V171,PMT($K$5/360*Días,No._De_Pagos_con_periodo_de_gracia,-Monto_Crédito)-S171-T171))</f>
        <v/>
      </c>
      <c r="Y171" s="118" t="str">
        <f t="shared" si="76"/>
        <v/>
      </c>
      <c r="Z171" s="62" t="str">
        <f>+IF(A171="","",IF(No._de_Pagos-Tabla!A171+1&lt;=0,"",No._de_Pagos-Tabla!A171+1))</f>
        <v/>
      </c>
      <c r="AA171" s="123" t="str">
        <f t="shared" si="77"/>
        <v/>
      </c>
      <c r="AB171" s="125" t="str">
        <f t="shared" si="83"/>
        <v/>
      </c>
      <c r="AC171" s="125" t="str">
        <f t="shared" si="66"/>
        <v/>
      </c>
      <c r="AD171" s="125" t="str">
        <f t="shared" si="67"/>
        <v/>
      </c>
      <c r="AE171" s="120">
        <f t="shared" si="78"/>
        <v>0</v>
      </c>
      <c r="AF171" s="121" t="str">
        <f t="shared" si="68"/>
        <v/>
      </c>
      <c r="AG171" s="111" t="str">
        <f>IF($U$258&lt;=0,AF171,IF(SUM($U$18:U171)&lt;=0,AF171,PMT($K$5/360*Días,A171,-AA171)))</f>
        <v/>
      </c>
      <c r="AH171" s="122" t="str">
        <f>IF(A171&lt;=Periodos_Gracia,0,IF($U$258&lt;=0,AG171,IF(SUM($U$18:U171)&lt;=0,AF171,PMT($K$5/360*Días,No._de_Pagos,-Monto_Crédito)-AC171-AD171)))</f>
        <v/>
      </c>
      <c r="AI171" s="126" t="str">
        <f t="shared" si="79"/>
        <v/>
      </c>
      <c r="AK171" s="127" t="str">
        <f>IF(A171="","",IF(Periodos_Gracia&gt;0,Tabla!AN171,V171+S171))</f>
        <v/>
      </c>
      <c r="AL171" s="127" t="str">
        <f t="shared" si="69"/>
        <v/>
      </c>
      <c r="AM171" s="62" t="str">
        <f t="shared" si="80"/>
        <v/>
      </c>
      <c r="AN171" s="128" t="str">
        <f>IF(A171="","",IF(A171&lt;=Periodos_Gracia,Tabla!S171,PPMT(Tasa_Anual/360*Días*(1+I.V.A.),Tabla!AM171,No._De_Pagos_con_periodo_de_gracia,-Monto_Crédito)+S171))</f>
        <v/>
      </c>
      <c r="AO171" s="128" t="str">
        <f>IF(A171="","",IF(A171&lt;=Periodos_Gracia,Tabla!AC171,Monto_Crédito/(No._De_Pagos_con_periodo_de_gracia)+AC171))</f>
        <v/>
      </c>
      <c r="AP171" s="118"/>
    </row>
    <row r="172" spans="1:42">
      <c r="A172" s="108" t="str">
        <f>IF(A171&lt;Parámetros!$E$6,A171+1,"")</f>
        <v/>
      </c>
      <c r="B172" s="109" t="str">
        <f t="shared" si="81"/>
        <v/>
      </c>
      <c r="C172" s="109" t="str">
        <f t="shared" si="57"/>
        <v/>
      </c>
      <c r="D172" s="109" t="str">
        <f t="shared" si="58"/>
        <v/>
      </c>
      <c r="E172" s="109" t="str">
        <f t="shared" si="59"/>
        <v/>
      </c>
      <c r="F172" s="109" t="str">
        <f t="shared" si="60"/>
        <v/>
      </c>
      <c r="G172" s="115" t="str">
        <f t="shared" si="70"/>
        <v/>
      </c>
      <c r="H172" s="116">
        <f t="shared" si="71"/>
        <v>0</v>
      </c>
      <c r="I172" s="109" t="str">
        <f t="shared" si="82"/>
        <v/>
      </c>
      <c r="J172" s="109" t="str">
        <f t="shared" si="61"/>
        <v/>
      </c>
      <c r="K172" s="109" t="str">
        <f t="shared" si="62"/>
        <v/>
      </c>
      <c r="L172" s="109" t="str">
        <f t="shared" si="63"/>
        <v/>
      </c>
      <c r="M172" s="109" t="str">
        <f t="shared" si="72"/>
        <v/>
      </c>
      <c r="N172" s="115" t="str">
        <f t="shared" si="73"/>
        <v/>
      </c>
      <c r="O172" s="61">
        <v>0</v>
      </c>
      <c r="P172" s="117">
        <f t="shared" si="74"/>
        <v>0</v>
      </c>
      <c r="R172" s="118" t="str">
        <f t="shared" si="84"/>
        <v/>
      </c>
      <c r="S172" s="119" t="str">
        <f t="shared" si="64"/>
        <v/>
      </c>
      <c r="T172" s="119" t="str">
        <f t="shared" si="65"/>
        <v/>
      </c>
      <c r="U172" s="120">
        <f t="shared" si="75"/>
        <v>0</v>
      </c>
      <c r="V172" s="121" t="str">
        <f>IF(A172="","",IF(A172&lt;=Periodos_Gracia,0,PPMT(Tasa_Anual/360*Días*(1+I.V.A.),Tabla!AM172,No._De_Pagos_con_periodo_de_gracia,-Monto_Crédito)))</f>
        <v/>
      </c>
      <c r="W172" s="111" t="str">
        <f>IF($U$258&lt;=0,V172,IF(SUM($U$18:U172)&lt;=0,V172,PMT($K$5/360*Días,A172,-R172)))</f>
        <v/>
      </c>
      <c r="X172" s="122" t="str">
        <f>IF($U$258&lt;=0,W172,IF(SUM($U$18:U172)&lt;=0,V172,PMT($K$5/360*Días,No._De_Pagos_con_periodo_de_gracia,-Monto_Crédito)-S172-T172))</f>
        <v/>
      </c>
      <c r="Y172" s="118" t="str">
        <f t="shared" si="76"/>
        <v/>
      </c>
      <c r="Z172" s="62" t="str">
        <f>+IF(A172="","",IF(No._de_Pagos-Tabla!A172+1&lt;=0,"",No._de_Pagos-Tabla!A172+1))</f>
        <v/>
      </c>
      <c r="AA172" s="123" t="str">
        <f t="shared" si="77"/>
        <v/>
      </c>
      <c r="AB172" s="125" t="str">
        <f t="shared" si="83"/>
        <v/>
      </c>
      <c r="AC172" s="125" t="str">
        <f t="shared" si="66"/>
        <v/>
      </c>
      <c r="AD172" s="125" t="str">
        <f t="shared" si="67"/>
        <v/>
      </c>
      <c r="AE172" s="120">
        <f t="shared" si="78"/>
        <v>0</v>
      </c>
      <c r="AF172" s="121" t="str">
        <f t="shared" si="68"/>
        <v/>
      </c>
      <c r="AG172" s="111" t="str">
        <f>IF($U$258&lt;=0,AF172,IF(SUM($U$18:U172)&lt;=0,AF172,PMT($K$5/360*Días,A172,-AA172)))</f>
        <v/>
      </c>
      <c r="AH172" s="122" t="str">
        <f>IF(A172&lt;=Periodos_Gracia,0,IF($U$258&lt;=0,AG172,IF(SUM($U$18:U172)&lt;=0,AF172,PMT($K$5/360*Días,No._de_Pagos,-Monto_Crédito)-AC172-AD172)))</f>
        <v/>
      </c>
      <c r="AI172" s="126" t="str">
        <f t="shared" si="79"/>
        <v/>
      </c>
      <c r="AK172" s="127" t="str">
        <f>IF(A172="","",IF(Periodos_Gracia&gt;0,Tabla!AN172,V172+S172))</f>
        <v/>
      </c>
      <c r="AL172" s="127" t="str">
        <f t="shared" si="69"/>
        <v/>
      </c>
      <c r="AM172" s="62" t="str">
        <f t="shared" si="80"/>
        <v/>
      </c>
      <c r="AN172" s="128" t="str">
        <f>IF(A172="","",IF(A172&lt;=Periodos_Gracia,Tabla!S172,PPMT(Tasa_Anual/360*Días*(1+I.V.A.),Tabla!AM172,No._De_Pagos_con_periodo_de_gracia,-Monto_Crédito)+S172))</f>
        <v/>
      </c>
      <c r="AO172" s="128" t="str">
        <f>IF(A172="","",IF(A172&lt;=Periodos_Gracia,Tabla!AC172,Monto_Crédito/(No._De_Pagos_con_periodo_de_gracia)+AC172))</f>
        <v/>
      </c>
      <c r="AP172" s="118"/>
    </row>
    <row r="173" spans="1:42">
      <c r="A173" s="108" t="str">
        <f>IF(A172&lt;Parámetros!$E$6,A172+1,"")</f>
        <v/>
      </c>
      <c r="B173" s="109" t="str">
        <f t="shared" si="81"/>
        <v/>
      </c>
      <c r="C173" s="109" t="str">
        <f t="shared" si="57"/>
        <v/>
      </c>
      <c r="D173" s="109" t="str">
        <f t="shared" si="58"/>
        <v/>
      </c>
      <c r="E173" s="109" t="str">
        <f t="shared" si="59"/>
        <v/>
      </c>
      <c r="F173" s="109" t="str">
        <f t="shared" si="60"/>
        <v/>
      </c>
      <c r="G173" s="115" t="str">
        <f t="shared" si="70"/>
        <v/>
      </c>
      <c r="H173" s="116">
        <f t="shared" si="71"/>
        <v>0</v>
      </c>
      <c r="I173" s="109" t="str">
        <f t="shared" si="82"/>
        <v/>
      </c>
      <c r="J173" s="109" t="str">
        <f t="shared" si="61"/>
        <v/>
      </c>
      <c r="K173" s="109" t="str">
        <f t="shared" si="62"/>
        <v/>
      </c>
      <c r="L173" s="109" t="str">
        <f t="shared" si="63"/>
        <v/>
      </c>
      <c r="M173" s="109" t="str">
        <f t="shared" si="72"/>
        <v/>
      </c>
      <c r="N173" s="115" t="str">
        <f t="shared" si="73"/>
        <v/>
      </c>
      <c r="O173" s="61">
        <v>0</v>
      </c>
      <c r="P173" s="117">
        <f t="shared" si="74"/>
        <v>0</v>
      </c>
      <c r="R173" s="118" t="str">
        <f t="shared" si="84"/>
        <v/>
      </c>
      <c r="S173" s="119" t="str">
        <f t="shared" si="64"/>
        <v/>
      </c>
      <c r="T173" s="119" t="str">
        <f t="shared" si="65"/>
        <v/>
      </c>
      <c r="U173" s="120">
        <f t="shared" si="75"/>
        <v>0</v>
      </c>
      <c r="V173" s="121" t="str">
        <f>IF(A173="","",IF(A173&lt;=Periodos_Gracia,0,PPMT(Tasa_Anual/360*Días*(1+I.V.A.),Tabla!AM173,No._De_Pagos_con_periodo_de_gracia,-Monto_Crédito)))</f>
        <v/>
      </c>
      <c r="W173" s="111" t="str">
        <f>IF($U$258&lt;=0,V173,IF(SUM($U$18:U173)&lt;=0,V173,PMT($K$5/360*Días,A173,-R173)))</f>
        <v/>
      </c>
      <c r="X173" s="122" t="str">
        <f>IF($U$258&lt;=0,W173,IF(SUM($U$18:U173)&lt;=0,V173,PMT($K$5/360*Días,No._De_Pagos_con_periodo_de_gracia,-Monto_Crédito)-S173-T173))</f>
        <v/>
      </c>
      <c r="Y173" s="118" t="str">
        <f t="shared" si="76"/>
        <v/>
      </c>
      <c r="Z173" s="62" t="str">
        <f>+IF(A173="","",IF(No._de_Pagos-Tabla!A173+1&lt;=0,"",No._de_Pagos-Tabla!A173+1))</f>
        <v/>
      </c>
      <c r="AA173" s="123" t="str">
        <f t="shared" si="77"/>
        <v/>
      </c>
      <c r="AB173" s="125" t="str">
        <f t="shared" si="83"/>
        <v/>
      </c>
      <c r="AC173" s="125" t="str">
        <f t="shared" si="66"/>
        <v/>
      </c>
      <c r="AD173" s="125" t="str">
        <f t="shared" si="67"/>
        <v/>
      </c>
      <c r="AE173" s="120">
        <f t="shared" si="78"/>
        <v>0</v>
      </c>
      <c r="AF173" s="121" t="str">
        <f t="shared" si="68"/>
        <v/>
      </c>
      <c r="AG173" s="111" t="str">
        <f>IF($U$258&lt;=0,AF173,IF(SUM($U$18:U173)&lt;=0,AF173,PMT($K$5/360*Días,A173,-AA173)))</f>
        <v/>
      </c>
      <c r="AH173" s="122" t="str">
        <f>IF(A173&lt;=Periodos_Gracia,0,IF($U$258&lt;=0,AG173,IF(SUM($U$18:U173)&lt;=0,AF173,PMT($K$5/360*Días,No._de_Pagos,-Monto_Crédito)-AC173-AD173)))</f>
        <v/>
      </c>
      <c r="AI173" s="126" t="str">
        <f t="shared" si="79"/>
        <v/>
      </c>
      <c r="AK173" s="127" t="str">
        <f>IF(A173="","",IF(Periodos_Gracia&gt;0,Tabla!AN173,V173+S173))</f>
        <v/>
      </c>
      <c r="AL173" s="127" t="str">
        <f t="shared" si="69"/>
        <v/>
      </c>
      <c r="AM173" s="62" t="str">
        <f t="shared" si="80"/>
        <v/>
      </c>
      <c r="AN173" s="128" t="str">
        <f>IF(A173="","",IF(A173&lt;=Periodos_Gracia,Tabla!S173,PPMT(Tasa_Anual/360*Días*(1+I.V.A.),Tabla!AM173,No._De_Pagos_con_periodo_de_gracia,-Monto_Crédito)+S173))</f>
        <v/>
      </c>
      <c r="AO173" s="128" t="str">
        <f>IF(A173="","",IF(A173&lt;=Periodos_Gracia,Tabla!AC173,Monto_Crédito/(No._De_Pagos_con_periodo_de_gracia)+AC173))</f>
        <v/>
      </c>
      <c r="AP173" s="118"/>
    </row>
    <row r="174" spans="1:42">
      <c r="A174" s="108" t="str">
        <f>IF(A173&lt;Parámetros!$E$6,A173+1,"")</f>
        <v/>
      </c>
      <c r="B174" s="109" t="str">
        <f t="shared" si="81"/>
        <v/>
      </c>
      <c r="C174" s="109" t="str">
        <f t="shared" si="57"/>
        <v/>
      </c>
      <c r="D174" s="109" t="str">
        <f t="shared" si="58"/>
        <v/>
      </c>
      <c r="E174" s="109" t="str">
        <f t="shared" si="59"/>
        <v/>
      </c>
      <c r="F174" s="109" t="str">
        <f t="shared" si="60"/>
        <v/>
      </c>
      <c r="G174" s="115" t="str">
        <f t="shared" si="70"/>
        <v/>
      </c>
      <c r="H174" s="116">
        <f t="shared" si="71"/>
        <v>0</v>
      </c>
      <c r="I174" s="109" t="str">
        <f t="shared" si="82"/>
        <v/>
      </c>
      <c r="J174" s="109" t="str">
        <f t="shared" si="61"/>
        <v/>
      </c>
      <c r="K174" s="109" t="str">
        <f t="shared" si="62"/>
        <v/>
      </c>
      <c r="L174" s="109" t="str">
        <f t="shared" si="63"/>
        <v/>
      </c>
      <c r="M174" s="109" t="str">
        <f t="shared" si="72"/>
        <v/>
      </c>
      <c r="N174" s="115" t="str">
        <f t="shared" si="73"/>
        <v/>
      </c>
      <c r="O174" s="61">
        <v>0</v>
      </c>
      <c r="P174" s="117">
        <f t="shared" si="74"/>
        <v>0</v>
      </c>
      <c r="R174" s="118" t="str">
        <f t="shared" si="84"/>
        <v/>
      </c>
      <c r="S174" s="119" t="str">
        <f t="shared" si="64"/>
        <v/>
      </c>
      <c r="T174" s="119" t="str">
        <f t="shared" si="65"/>
        <v/>
      </c>
      <c r="U174" s="120">
        <f t="shared" si="75"/>
        <v>0</v>
      </c>
      <c r="V174" s="121" t="str">
        <f>IF(A174="","",IF(A174&lt;=Periodos_Gracia,0,PPMT(Tasa_Anual/360*Días*(1+I.V.A.),Tabla!AM174,No._De_Pagos_con_periodo_de_gracia,-Monto_Crédito)))</f>
        <v/>
      </c>
      <c r="W174" s="111" t="str">
        <f>IF($U$258&lt;=0,V174,IF(SUM($U$18:U174)&lt;=0,V174,PMT($K$5/360*Días,A174,-R174)))</f>
        <v/>
      </c>
      <c r="X174" s="122" t="str">
        <f>IF($U$258&lt;=0,W174,IF(SUM($U$18:U174)&lt;=0,V174,PMT($K$5/360*Días,No._De_Pagos_con_periodo_de_gracia,-Monto_Crédito)-S174-T174))</f>
        <v/>
      </c>
      <c r="Y174" s="118" t="str">
        <f t="shared" si="76"/>
        <v/>
      </c>
      <c r="Z174" s="62" t="str">
        <f>+IF(A174="","",IF(No._de_Pagos-Tabla!A174+1&lt;=0,"",No._de_Pagos-Tabla!A174+1))</f>
        <v/>
      </c>
      <c r="AA174" s="123" t="str">
        <f t="shared" si="77"/>
        <v/>
      </c>
      <c r="AB174" s="125" t="str">
        <f t="shared" si="83"/>
        <v/>
      </c>
      <c r="AC174" s="125" t="str">
        <f t="shared" si="66"/>
        <v/>
      </c>
      <c r="AD174" s="125" t="str">
        <f t="shared" si="67"/>
        <v/>
      </c>
      <c r="AE174" s="120">
        <f t="shared" si="78"/>
        <v>0</v>
      </c>
      <c r="AF174" s="121" t="str">
        <f t="shared" si="68"/>
        <v/>
      </c>
      <c r="AG174" s="111" t="str">
        <f>IF($U$258&lt;=0,AF174,IF(SUM($U$18:U174)&lt;=0,AF174,PMT($K$5/360*Días,A174,-AA174)))</f>
        <v/>
      </c>
      <c r="AH174" s="122" t="str">
        <f>IF(A174&lt;=Periodos_Gracia,0,IF($U$258&lt;=0,AG174,IF(SUM($U$18:U174)&lt;=0,AF174,PMT($K$5/360*Días,No._de_Pagos,-Monto_Crédito)-AC174-AD174)))</f>
        <v/>
      </c>
      <c r="AI174" s="126" t="str">
        <f t="shared" si="79"/>
        <v/>
      </c>
      <c r="AK174" s="127" t="str">
        <f>IF(A174="","",IF(Periodos_Gracia&gt;0,Tabla!AN174,V174+S174))</f>
        <v/>
      </c>
      <c r="AL174" s="127" t="str">
        <f t="shared" si="69"/>
        <v/>
      </c>
      <c r="AM174" s="62" t="str">
        <f t="shared" si="80"/>
        <v/>
      </c>
      <c r="AN174" s="128" t="str">
        <f>IF(A174="","",IF(A174&lt;=Periodos_Gracia,Tabla!S174,PPMT(Tasa_Anual/360*Días*(1+I.V.A.),Tabla!AM174,No._De_Pagos_con_periodo_de_gracia,-Monto_Crédito)+S174))</f>
        <v/>
      </c>
      <c r="AO174" s="128" t="str">
        <f>IF(A174="","",IF(A174&lt;=Periodos_Gracia,Tabla!AC174,Monto_Crédito/(No._De_Pagos_con_periodo_de_gracia)+AC174))</f>
        <v/>
      </c>
      <c r="AP174" s="118"/>
    </row>
    <row r="175" spans="1:42">
      <c r="A175" s="108" t="str">
        <f>IF(A174&lt;Parámetros!$E$6,A174+1,"")</f>
        <v/>
      </c>
      <c r="B175" s="109" t="str">
        <f t="shared" si="81"/>
        <v/>
      </c>
      <c r="C175" s="109" t="str">
        <f t="shared" si="57"/>
        <v/>
      </c>
      <c r="D175" s="109" t="str">
        <f t="shared" si="58"/>
        <v/>
      </c>
      <c r="E175" s="109" t="str">
        <f t="shared" si="59"/>
        <v/>
      </c>
      <c r="F175" s="109" t="str">
        <f t="shared" si="60"/>
        <v/>
      </c>
      <c r="G175" s="115" t="str">
        <f t="shared" si="70"/>
        <v/>
      </c>
      <c r="H175" s="116">
        <f t="shared" si="71"/>
        <v>0</v>
      </c>
      <c r="I175" s="109" t="str">
        <f t="shared" si="82"/>
        <v/>
      </c>
      <c r="J175" s="109" t="str">
        <f t="shared" si="61"/>
        <v/>
      </c>
      <c r="K175" s="109" t="str">
        <f t="shared" si="62"/>
        <v/>
      </c>
      <c r="L175" s="109" t="str">
        <f t="shared" si="63"/>
        <v/>
      </c>
      <c r="M175" s="109" t="str">
        <f t="shared" si="72"/>
        <v/>
      </c>
      <c r="N175" s="115" t="str">
        <f t="shared" si="73"/>
        <v/>
      </c>
      <c r="O175" s="61">
        <v>0</v>
      </c>
      <c r="P175" s="117">
        <f t="shared" si="74"/>
        <v>0</v>
      </c>
      <c r="R175" s="118" t="str">
        <f t="shared" si="84"/>
        <v/>
      </c>
      <c r="S175" s="119" t="str">
        <f t="shared" si="64"/>
        <v/>
      </c>
      <c r="T175" s="119" t="str">
        <f t="shared" si="65"/>
        <v/>
      </c>
      <c r="U175" s="120">
        <f t="shared" si="75"/>
        <v>0</v>
      </c>
      <c r="V175" s="121" t="str">
        <f>IF(A175="","",IF(A175&lt;=Periodos_Gracia,0,PPMT(Tasa_Anual/360*Días*(1+I.V.A.),Tabla!AM175,No._De_Pagos_con_periodo_de_gracia,-Monto_Crédito)))</f>
        <v/>
      </c>
      <c r="W175" s="111" t="str">
        <f>IF($U$258&lt;=0,V175,IF(SUM($U$18:U175)&lt;=0,V175,PMT($K$5/360*Días,A175,-R175)))</f>
        <v/>
      </c>
      <c r="X175" s="122" t="str">
        <f>IF($U$258&lt;=0,W175,IF(SUM($U$18:U175)&lt;=0,V175,PMT($K$5/360*Días,No._De_Pagos_con_periodo_de_gracia,-Monto_Crédito)-S175-T175))</f>
        <v/>
      </c>
      <c r="Y175" s="118" t="str">
        <f t="shared" si="76"/>
        <v/>
      </c>
      <c r="Z175" s="62" t="str">
        <f>+IF(A175="","",IF(No._de_Pagos-Tabla!A175+1&lt;=0,"",No._de_Pagos-Tabla!A175+1))</f>
        <v/>
      </c>
      <c r="AA175" s="123" t="str">
        <f t="shared" si="77"/>
        <v/>
      </c>
      <c r="AB175" s="125" t="str">
        <f t="shared" si="83"/>
        <v/>
      </c>
      <c r="AC175" s="125" t="str">
        <f t="shared" si="66"/>
        <v/>
      </c>
      <c r="AD175" s="125" t="str">
        <f t="shared" si="67"/>
        <v/>
      </c>
      <c r="AE175" s="120">
        <f t="shared" si="78"/>
        <v>0</v>
      </c>
      <c r="AF175" s="121" t="str">
        <f t="shared" si="68"/>
        <v/>
      </c>
      <c r="AG175" s="111" t="str">
        <f>IF($U$258&lt;=0,AF175,IF(SUM($U$18:U175)&lt;=0,AF175,PMT($K$5/360*Días,A175,-AA175)))</f>
        <v/>
      </c>
      <c r="AH175" s="122" t="str">
        <f>IF(A175&lt;=Periodos_Gracia,0,IF($U$258&lt;=0,AG175,IF(SUM($U$18:U175)&lt;=0,AF175,PMT($K$5/360*Días,No._de_Pagos,-Monto_Crédito)-AC175-AD175)))</f>
        <v/>
      </c>
      <c r="AI175" s="126" t="str">
        <f t="shared" si="79"/>
        <v/>
      </c>
      <c r="AK175" s="127" t="str">
        <f>IF(A175="","",IF(Periodos_Gracia&gt;0,Tabla!AN175,V175+S175))</f>
        <v/>
      </c>
      <c r="AL175" s="127" t="str">
        <f t="shared" si="69"/>
        <v/>
      </c>
      <c r="AM175" s="62" t="str">
        <f t="shared" si="80"/>
        <v/>
      </c>
      <c r="AN175" s="128" t="str">
        <f>IF(A175="","",IF(A175&lt;=Periodos_Gracia,Tabla!S175,PPMT(Tasa_Anual/360*Días*(1+I.V.A.),Tabla!AM175,No._De_Pagos_con_periodo_de_gracia,-Monto_Crédito)+S175))</f>
        <v/>
      </c>
      <c r="AO175" s="128" t="str">
        <f>IF(A175="","",IF(A175&lt;=Periodos_Gracia,Tabla!AC175,Monto_Crédito/(No._De_Pagos_con_periodo_de_gracia)+AC175))</f>
        <v/>
      </c>
      <c r="AP175" s="118"/>
    </row>
    <row r="176" spans="1:42">
      <c r="A176" s="108" t="str">
        <f>IF(A175&lt;Parámetros!$E$6,A175+1,"")</f>
        <v/>
      </c>
      <c r="B176" s="109" t="str">
        <f t="shared" si="81"/>
        <v/>
      </c>
      <c r="C176" s="109" t="str">
        <f t="shared" si="57"/>
        <v/>
      </c>
      <c r="D176" s="109" t="str">
        <f t="shared" si="58"/>
        <v/>
      </c>
      <c r="E176" s="109" t="str">
        <f t="shared" si="59"/>
        <v/>
      </c>
      <c r="F176" s="109" t="str">
        <f t="shared" si="60"/>
        <v/>
      </c>
      <c r="G176" s="115" t="str">
        <f t="shared" si="70"/>
        <v/>
      </c>
      <c r="H176" s="116">
        <f t="shared" si="71"/>
        <v>0</v>
      </c>
      <c r="I176" s="109" t="str">
        <f t="shared" si="82"/>
        <v/>
      </c>
      <c r="J176" s="109" t="str">
        <f t="shared" si="61"/>
        <v/>
      </c>
      <c r="K176" s="109" t="str">
        <f t="shared" si="62"/>
        <v/>
      </c>
      <c r="L176" s="109" t="str">
        <f t="shared" si="63"/>
        <v/>
      </c>
      <c r="M176" s="109" t="str">
        <f t="shared" si="72"/>
        <v/>
      </c>
      <c r="N176" s="115" t="str">
        <f t="shared" si="73"/>
        <v/>
      </c>
      <c r="O176" s="61">
        <v>0</v>
      </c>
      <c r="P176" s="117">
        <f t="shared" si="74"/>
        <v>0</v>
      </c>
      <c r="R176" s="118" t="str">
        <f t="shared" si="84"/>
        <v/>
      </c>
      <c r="S176" s="119" t="str">
        <f t="shared" si="64"/>
        <v/>
      </c>
      <c r="T176" s="119" t="str">
        <f t="shared" si="65"/>
        <v/>
      </c>
      <c r="U176" s="120">
        <f t="shared" si="75"/>
        <v>0</v>
      </c>
      <c r="V176" s="121" t="str">
        <f>IF(A176="","",IF(A176&lt;=Periodos_Gracia,0,PPMT(Tasa_Anual/360*Días*(1+I.V.A.),Tabla!AM176,No._De_Pagos_con_periodo_de_gracia,-Monto_Crédito)))</f>
        <v/>
      </c>
      <c r="W176" s="111" t="str">
        <f>IF($U$258&lt;=0,V176,IF(SUM($U$18:U176)&lt;=0,V176,PMT($K$5/360*Días,A176,-R176)))</f>
        <v/>
      </c>
      <c r="X176" s="122" t="str">
        <f>IF($U$258&lt;=0,W176,IF(SUM($U$18:U176)&lt;=0,V176,PMT($K$5/360*Días,No._De_Pagos_con_periodo_de_gracia,-Monto_Crédito)-S176-T176))</f>
        <v/>
      </c>
      <c r="Y176" s="118" t="str">
        <f t="shared" si="76"/>
        <v/>
      </c>
      <c r="Z176" s="62" t="str">
        <f>+IF(A176="","",IF(No._de_Pagos-Tabla!A176+1&lt;=0,"",No._de_Pagos-Tabla!A176+1))</f>
        <v/>
      </c>
      <c r="AA176" s="123" t="str">
        <f t="shared" si="77"/>
        <v/>
      </c>
      <c r="AB176" s="125" t="str">
        <f t="shared" si="83"/>
        <v/>
      </c>
      <c r="AC176" s="125" t="str">
        <f t="shared" si="66"/>
        <v/>
      </c>
      <c r="AD176" s="125" t="str">
        <f t="shared" si="67"/>
        <v/>
      </c>
      <c r="AE176" s="120">
        <f t="shared" si="78"/>
        <v>0</v>
      </c>
      <c r="AF176" s="121" t="str">
        <f t="shared" si="68"/>
        <v/>
      </c>
      <c r="AG176" s="111" t="str">
        <f>IF($U$258&lt;=0,AF176,IF(SUM($U$18:U176)&lt;=0,AF176,PMT($K$5/360*Días,A176,-AA176)))</f>
        <v/>
      </c>
      <c r="AH176" s="122" t="str">
        <f>IF(A176&lt;=Periodos_Gracia,0,IF($U$258&lt;=0,AG176,IF(SUM($U$18:U176)&lt;=0,AF176,PMT($K$5/360*Días,No._de_Pagos,-Monto_Crédito)-AC176-AD176)))</f>
        <v/>
      </c>
      <c r="AI176" s="126" t="str">
        <f t="shared" si="79"/>
        <v/>
      </c>
      <c r="AK176" s="127" t="str">
        <f>IF(A176="","",IF(Periodos_Gracia&gt;0,Tabla!AN176,V176+S176))</f>
        <v/>
      </c>
      <c r="AL176" s="127" t="str">
        <f t="shared" si="69"/>
        <v/>
      </c>
      <c r="AM176" s="62" t="str">
        <f t="shared" si="80"/>
        <v/>
      </c>
      <c r="AN176" s="128" t="str">
        <f>IF(A176="","",IF(A176&lt;=Periodos_Gracia,Tabla!S176,PPMT(Tasa_Anual/360*Días*(1+I.V.A.),Tabla!AM176,No._De_Pagos_con_periodo_de_gracia,-Monto_Crédito)+S176))</f>
        <v/>
      </c>
      <c r="AO176" s="128" t="str">
        <f>IF(A176="","",IF(A176&lt;=Periodos_Gracia,Tabla!AC176,Monto_Crédito/(No._De_Pagos_con_periodo_de_gracia)+AC176))</f>
        <v/>
      </c>
      <c r="AP176" s="118"/>
    </row>
    <row r="177" spans="1:42">
      <c r="A177" s="108" t="str">
        <f>IF(A176&lt;Parámetros!$E$6,A176+1,"")</f>
        <v/>
      </c>
      <c r="B177" s="109" t="str">
        <f t="shared" si="81"/>
        <v/>
      </c>
      <c r="C177" s="109" t="str">
        <f t="shared" si="57"/>
        <v/>
      </c>
      <c r="D177" s="109" t="str">
        <f t="shared" si="58"/>
        <v/>
      </c>
      <c r="E177" s="109" t="str">
        <f t="shared" si="59"/>
        <v/>
      </c>
      <c r="F177" s="109" t="str">
        <f t="shared" si="60"/>
        <v/>
      </c>
      <c r="G177" s="115" t="str">
        <f t="shared" si="70"/>
        <v/>
      </c>
      <c r="H177" s="116">
        <f t="shared" si="71"/>
        <v>0</v>
      </c>
      <c r="I177" s="109" t="str">
        <f t="shared" si="82"/>
        <v/>
      </c>
      <c r="J177" s="109" t="str">
        <f t="shared" si="61"/>
        <v/>
      </c>
      <c r="K177" s="109" t="str">
        <f t="shared" si="62"/>
        <v/>
      </c>
      <c r="L177" s="109" t="str">
        <f t="shared" si="63"/>
        <v/>
      </c>
      <c r="M177" s="109" t="str">
        <f t="shared" si="72"/>
        <v/>
      </c>
      <c r="N177" s="115" t="str">
        <f t="shared" si="73"/>
        <v/>
      </c>
      <c r="O177" s="61">
        <v>0</v>
      </c>
      <c r="P177" s="117">
        <f t="shared" si="74"/>
        <v>0</v>
      </c>
      <c r="R177" s="118" t="str">
        <f t="shared" si="84"/>
        <v/>
      </c>
      <c r="S177" s="119" t="str">
        <f t="shared" si="64"/>
        <v/>
      </c>
      <c r="T177" s="119" t="str">
        <f t="shared" si="65"/>
        <v/>
      </c>
      <c r="U177" s="120">
        <f t="shared" si="75"/>
        <v>0</v>
      </c>
      <c r="V177" s="121" t="str">
        <f>IF(A177="","",IF(A177&lt;=Periodos_Gracia,0,PPMT(Tasa_Anual/360*Días*(1+I.V.A.),Tabla!AM177,No._De_Pagos_con_periodo_de_gracia,-Monto_Crédito)))</f>
        <v/>
      </c>
      <c r="W177" s="111" t="str">
        <f>IF($U$258&lt;=0,V177,IF(SUM($U$18:U177)&lt;=0,V177,PMT($K$5/360*Días,A177,-R177)))</f>
        <v/>
      </c>
      <c r="X177" s="122" t="str">
        <f>IF($U$258&lt;=0,W177,IF(SUM($U$18:U177)&lt;=0,V177,PMT($K$5/360*Días,No._De_Pagos_con_periodo_de_gracia,-Monto_Crédito)-S177-T177))</f>
        <v/>
      </c>
      <c r="Y177" s="118" t="str">
        <f t="shared" si="76"/>
        <v/>
      </c>
      <c r="Z177" s="62" t="str">
        <f>+IF(A177="","",IF(No._de_Pagos-Tabla!A177+1&lt;=0,"",No._de_Pagos-Tabla!A177+1))</f>
        <v/>
      </c>
      <c r="AA177" s="123" t="str">
        <f t="shared" si="77"/>
        <v/>
      </c>
      <c r="AB177" s="125" t="str">
        <f t="shared" si="83"/>
        <v/>
      </c>
      <c r="AC177" s="125" t="str">
        <f t="shared" si="66"/>
        <v/>
      </c>
      <c r="AD177" s="125" t="str">
        <f t="shared" si="67"/>
        <v/>
      </c>
      <c r="AE177" s="120">
        <f t="shared" si="78"/>
        <v>0</v>
      </c>
      <c r="AF177" s="121" t="str">
        <f t="shared" si="68"/>
        <v/>
      </c>
      <c r="AG177" s="111" t="str">
        <f>IF($U$258&lt;=0,AF177,IF(SUM($U$18:U177)&lt;=0,AF177,PMT($K$5/360*Días,A177,-AA177)))</f>
        <v/>
      </c>
      <c r="AH177" s="122" t="str">
        <f>IF(A177&lt;=Periodos_Gracia,0,IF($U$258&lt;=0,AG177,IF(SUM($U$18:U177)&lt;=0,AF177,PMT($K$5/360*Días,No._de_Pagos,-Monto_Crédito)-AC177-AD177)))</f>
        <v/>
      </c>
      <c r="AI177" s="126" t="str">
        <f t="shared" si="79"/>
        <v/>
      </c>
      <c r="AK177" s="127" t="str">
        <f>IF(A177="","",IF(Periodos_Gracia&gt;0,Tabla!AN177,V177+S177))</f>
        <v/>
      </c>
      <c r="AL177" s="127" t="str">
        <f t="shared" si="69"/>
        <v/>
      </c>
      <c r="AM177" s="62" t="str">
        <f t="shared" si="80"/>
        <v/>
      </c>
      <c r="AN177" s="128" t="str">
        <f>IF(A177="","",IF(A177&lt;=Periodos_Gracia,Tabla!S177,PPMT(Tasa_Anual/360*Días*(1+I.V.A.),Tabla!AM177,No._De_Pagos_con_periodo_de_gracia,-Monto_Crédito)+S177))</f>
        <v/>
      </c>
      <c r="AO177" s="128" t="str">
        <f>IF(A177="","",IF(A177&lt;=Periodos_Gracia,Tabla!AC177,Monto_Crédito/(No._De_Pagos_con_periodo_de_gracia)+AC177))</f>
        <v/>
      </c>
      <c r="AP177" s="118"/>
    </row>
    <row r="178" spans="1:42">
      <c r="A178" s="108" t="str">
        <f>IF(A177&lt;Parámetros!$E$6,A177+1,"")</f>
        <v/>
      </c>
      <c r="B178" s="109" t="str">
        <f t="shared" si="81"/>
        <v/>
      </c>
      <c r="C178" s="109" t="str">
        <f t="shared" si="57"/>
        <v/>
      </c>
      <c r="D178" s="109" t="str">
        <f t="shared" si="58"/>
        <v/>
      </c>
      <c r="E178" s="109" t="str">
        <f t="shared" si="59"/>
        <v/>
      </c>
      <c r="F178" s="109" t="str">
        <f t="shared" si="60"/>
        <v/>
      </c>
      <c r="G178" s="115" t="str">
        <f t="shared" si="70"/>
        <v/>
      </c>
      <c r="H178" s="116">
        <f t="shared" si="71"/>
        <v>0</v>
      </c>
      <c r="I178" s="109" t="str">
        <f t="shared" si="82"/>
        <v/>
      </c>
      <c r="J178" s="109" t="str">
        <f t="shared" si="61"/>
        <v/>
      </c>
      <c r="K178" s="109" t="str">
        <f t="shared" si="62"/>
        <v/>
      </c>
      <c r="L178" s="109" t="str">
        <f t="shared" si="63"/>
        <v/>
      </c>
      <c r="M178" s="109" t="str">
        <f t="shared" si="72"/>
        <v/>
      </c>
      <c r="N178" s="115" t="str">
        <f t="shared" si="73"/>
        <v/>
      </c>
      <c r="O178" s="61">
        <v>0</v>
      </c>
      <c r="P178" s="117">
        <f t="shared" si="74"/>
        <v>0</v>
      </c>
      <c r="R178" s="118" t="str">
        <f t="shared" si="84"/>
        <v/>
      </c>
      <c r="S178" s="119" t="str">
        <f t="shared" si="64"/>
        <v/>
      </c>
      <c r="T178" s="119" t="str">
        <f t="shared" si="65"/>
        <v/>
      </c>
      <c r="U178" s="120">
        <f t="shared" si="75"/>
        <v>0</v>
      </c>
      <c r="V178" s="121" t="str">
        <f>IF(A178="","",IF(A178&lt;=Periodos_Gracia,0,PPMT(Tasa_Anual/360*Días*(1+I.V.A.),Tabla!AM178,No._De_Pagos_con_periodo_de_gracia,-Monto_Crédito)))</f>
        <v/>
      </c>
      <c r="W178" s="111" t="str">
        <f>IF($U$258&lt;=0,V178,IF(SUM($U$18:U178)&lt;=0,V178,PMT($K$5/360*Días,A178,-R178)))</f>
        <v/>
      </c>
      <c r="X178" s="122" t="str">
        <f>IF($U$258&lt;=0,W178,IF(SUM($U$18:U178)&lt;=0,V178,PMT($K$5/360*Días,No._De_Pagos_con_periodo_de_gracia,-Monto_Crédito)-S178-T178))</f>
        <v/>
      </c>
      <c r="Y178" s="118" t="str">
        <f t="shared" si="76"/>
        <v/>
      </c>
      <c r="Z178" s="62" t="str">
        <f>+IF(A178="","",IF(No._de_Pagos-Tabla!A178+1&lt;=0,"",No._de_Pagos-Tabla!A178+1))</f>
        <v/>
      </c>
      <c r="AA178" s="123" t="str">
        <f t="shared" si="77"/>
        <v/>
      </c>
      <c r="AB178" s="125" t="str">
        <f t="shared" si="83"/>
        <v/>
      </c>
      <c r="AC178" s="125" t="str">
        <f t="shared" si="66"/>
        <v/>
      </c>
      <c r="AD178" s="125" t="str">
        <f t="shared" si="67"/>
        <v/>
      </c>
      <c r="AE178" s="120">
        <f t="shared" si="78"/>
        <v>0</v>
      </c>
      <c r="AF178" s="121" t="str">
        <f t="shared" si="68"/>
        <v/>
      </c>
      <c r="AG178" s="111" t="str">
        <f>IF($U$258&lt;=0,AF178,IF(SUM($U$18:U178)&lt;=0,AF178,PMT($K$5/360*Días,A178,-AA178)))</f>
        <v/>
      </c>
      <c r="AH178" s="122" t="str">
        <f>IF(A178&lt;=Periodos_Gracia,0,IF($U$258&lt;=0,AG178,IF(SUM($U$18:U178)&lt;=0,AF178,PMT($K$5/360*Días,No._de_Pagos,-Monto_Crédito)-AC178-AD178)))</f>
        <v/>
      </c>
      <c r="AI178" s="126" t="str">
        <f t="shared" si="79"/>
        <v/>
      </c>
      <c r="AK178" s="127" t="str">
        <f>IF(A178="","",IF(Periodos_Gracia&gt;0,Tabla!AN178,V178+S178))</f>
        <v/>
      </c>
      <c r="AL178" s="127" t="str">
        <f t="shared" si="69"/>
        <v/>
      </c>
      <c r="AM178" s="62" t="str">
        <f t="shared" si="80"/>
        <v/>
      </c>
      <c r="AN178" s="128" t="str">
        <f>IF(A178="","",IF(A178&lt;=Periodos_Gracia,Tabla!S178,PPMT(Tasa_Anual/360*Días*(1+I.V.A.),Tabla!AM178,No._De_Pagos_con_periodo_de_gracia,-Monto_Crédito)+S178))</f>
        <v/>
      </c>
      <c r="AO178" s="128" t="str">
        <f>IF(A178="","",IF(A178&lt;=Periodos_Gracia,Tabla!AC178,Monto_Crédito/(No._De_Pagos_con_periodo_de_gracia)+AC178))</f>
        <v/>
      </c>
      <c r="AP178" s="118"/>
    </row>
    <row r="179" spans="1:42">
      <c r="A179" s="108" t="str">
        <f>IF(A178&lt;Parámetros!$E$6,A178+1,"")</f>
        <v/>
      </c>
      <c r="B179" s="109" t="str">
        <f t="shared" si="81"/>
        <v/>
      </c>
      <c r="C179" s="109" t="str">
        <f t="shared" si="57"/>
        <v/>
      </c>
      <c r="D179" s="109" t="str">
        <f t="shared" si="58"/>
        <v/>
      </c>
      <c r="E179" s="109" t="str">
        <f t="shared" si="59"/>
        <v/>
      </c>
      <c r="F179" s="109" t="str">
        <f t="shared" si="60"/>
        <v/>
      </c>
      <c r="G179" s="115" t="str">
        <f t="shared" si="70"/>
        <v/>
      </c>
      <c r="H179" s="116">
        <f t="shared" si="71"/>
        <v>0</v>
      </c>
      <c r="I179" s="109" t="str">
        <f t="shared" si="82"/>
        <v/>
      </c>
      <c r="J179" s="109" t="str">
        <f t="shared" si="61"/>
        <v/>
      </c>
      <c r="K179" s="109" t="str">
        <f t="shared" si="62"/>
        <v/>
      </c>
      <c r="L179" s="109" t="str">
        <f t="shared" si="63"/>
        <v/>
      </c>
      <c r="M179" s="109" t="str">
        <f t="shared" si="72"/>
        <v/>
      </c>
      <c r="N179" s="115" t="str">
        <f t="shared" si="73"/>
        <v/>
      </c>
      <c r="O179" s="61">
        <v>0</v>
      </c>
      <c r="P179" s="117">
        <f t="shared" si="74"/>
        <v>0</v>
      </c>
      <c r="R179" s="118" t="str">
        <f t="shared" si="84"/>
        <v/>
      </c>
      <c r="S179" s="119" t="str">
        <f t="shared" si="64"/>
        <v/>
      </c>
      <c r="T179" s="119" t="str">
        <f t="shared" si="65"/>
        <v/>
      </c>
      <c r="U179" s="120">
        <f t="shared" si="75"/>
        <v>0</v>
      </c>
      <c r="V179" s="121" t="str">
        <f>IF(A179="","",IF(A179&lt;=Periodos_Gracia,0,PPMT(Tasa_Anual/360*Días*(1+I.V.A.),Tabla!AM179,No._De_Pagos_con_periodo_de_gracia,-Monto_Crédito)))</f>
        <v/>
      </c>
      <c r="W179" s="111" t="str">
        <f>IF($U$258&lt;=0,V179,IF(SUM($U$18:U179)&lt;=0,V179,PMT($K$5/360*Días,A179,-R179)))</f>
        <v/>
      </c>
      <c r="X179" s="122" t="str">
        <f>IF($U$258&lt;=0,W179,IF(SUM($U$18:U179)&lt;=0,V179,PMT($K$5/360*Días,No._De_Pagos_con_periodo_de_gracia,-Monto_Crédito)-S179-T179))</f>
        <v/>
      </c>
      <c r="Y179" s="118" t="str">
        <f t="shared" si="76"/>
        <v/>
      </c>
      <c r="Z179" s="62" t="str">
        <f>+IF(A179="","",IF(No._de_Pagos-Tabla!A179+1&lt;=0,"",No._de_Pagos-Tabla!A179+1))</f>
        <v/>
      </c>
      <c r="AA179" s="123" t="str">
        <f t="shared" si="77"/>
        <v/>
      </c>
      <c r="AB179" s="125" t="str">
        <f t="shared" si="83"/>
        <v/>
      </c>
      <c r="AC179" s="125" t="str">
        <f t="shared" si="66"/>
        <v/>
      </c>
      <c r="AD179" s="125" t="str">
        <f t="shared" si="67"/>
        <v/>
      </c>
      <c r="AE179" s="120">
        <f t="shared" si="78"/>
        <v>0</v>
      </c>
      <c r="AF179" s="121" t="str">
        <f t="shared" si="68"/>
        <v/>
      </c>
      <c r="AG179" s="111" t="str">
        <f>IF($U$258&lt;=0,AF179,IF(SUM($U$18:U179)&lt;=0,AF179,PMT($K$5/360*Días,A179,-AA179)))</f>
        <v/>
      </c>
      <c r="AH179" s="122" t="str">
        <f>IF(A179&lt;=Periodos_Gracia,0,IF($U$258&lt;=0,AG179,IF(SUM($U$18:U179)&lt;=0,AF179,PMT($K$5/360*Días,No._de_Pagos,-Monto_Crédito)-AC179-AD179)))</f>
        <v/>
      </c>
      <c r="AI179" s="126" t="str">
        <f t="shared" si="79"/>
        <v/>
      </c>
      <c r="AK179" s="127" t="str">
        <f>IF(A179="","",IF(Periodos_Gracia&gt;0,Tabla!AN179,V179+S179))</f>
        <v/>
      </c>
      <c r="AL179" s="127" t="str">
        <f t="shared" si="69"/>
        <v/>
      </c>
      <c r="AM179" s="62" t="str">
        <f t="shared" si="80"/>
        <v/>
      </c>
      <c r="AN179" s="128" t="str">
        <f>IF(A179="","",IF(A179&lt;=Periodos_Gracia,Tabla!S179,PPMT(Tasa_Anual/360*Días*(1+I.V.A.),Tabla!AM179,No._De_Pagos_con_periodo_de_gracia,-Monto_Crédito)+S179))</f>
        <v/>
      </c>
      <c r="AO179" s="128" t="str">
        <f>IF(A179="","",IF(A179&lt;=Periodos_Gracia,Tabla!AC179,Monto_Crédito/(No._De_Pagos_con_periodo_de_gracia)+AC179))</f>
        <v/>
      </c>
      <c r="AP179" s="118"/>
    </row>
    <row r="180" spans="1:42">
      <c r="A180" s="108" t="str">
        <f>IF(A179&lt;Parámetros!$E$6,A179+1,"")</f>
        <v/>
      </c>
      <c r="B180" s="109" t="str">
        <f t="shared" si="81"/>
        <v/>
      </c>
      <c r="C180" s="109" t="str">
        <f t="shared" si="57"/>
        <v/>
      </c>
      <c r="D180" s="109" t="str">
        <f t="shared" si="58"/>
        <v/>
      </c>
      <c r="E180" s="109" t="str">
        <f t="shared" si="59"/>
        <v/>
      </c>
      <c r="F180" s="109" t="str">
        <f t="shared" si="60"/>
        <v/>
      </c>
      <c r="G180" s="115" t="str">
        <f t="shared" si="70"/>
        <v/>
      </c>
      <c r="H180" s="116">
        <f t="shared" si="71"/>
        <v>0</v>
      </c>
      <c r="I180" s="109" t="str">
        <f t="shared" si="82"/>
        <v/>
      </c>
      <c r="J180" s="109" t="str">
        <f t="shared" si="61"/>
        <v/>
      </c>
      <c r="K180" s="109" t="str">
        <f t="shared" si="62"/>
        <v/>
      </c>
      <c r="L180" s="109" t="str">
        <f t="shared" si="63"/>
        <v/>
      </c>
      <c r="M180" s="109" t="str">
        <f t="shared" si="72"/>
        <v/>
      </c>
      <c r="N180" s="115" t="str">
        <f t="shared" si="73"/>
        <v/>
      </c>
      <c r="O180" s="61">
        <v>0</v>
      </c>
      <c r="P180" s="117">
        <f t="shared" si="74"/>
        <v>0</v>
      </c>
      <c r="R180" s="118" t="str">
        <f t="shared" si="84"/>
        <v/>
      </c>
      <c r="S180" s="119" t="str">
        <f t="shared" si="64"/>
        <v/>
      </c>
      <c r="T180" s="119" t="str">
        <f t="shared" si="65"/>
        <v/>
      </c>
      <c r="U180" s="120">
        <f t="shared" si="75"/>
        <v>0</v>
      </c>
      <c r="V180" s="121" t="str">
        <f>IF(A180="","",IF(A180&lt;=Periodos_Gracia,0,PPMT(Tasa_Anual/360*Días*(1+I.V.A.),Tabla!AM180,No._De_Pagos_con_periodo_de_gracia,-Monto_Crédito)))</f>
        <v/>
      </c>
      <c r="W180" s="111" t="str">
        <f>IF($U$258&lt;=0,V180,IF(SUM($U$18:U180)&lt;=0,V180,PMT($K$5/360*Días,A180,-R180)))</f>
        <v/>
      </c>
      <c r="X180" s="122" t="str">
        <f>IF($U$258&lt;=0,W180,IF(SUM($U$18:U180)&lt;=0,V180,PMT($K$5/360*Días,No._De_Pagos_con_periodo_de_gracia,-Monto_Crédito)-S180-T180))</f>
        <v/>
      </c>
      <c r="Y180" s="118" t="str">
        <f t="shared" si="76"/>
        <v/>
      </c>
      <c r="Z180" s="62" t="str">
        <f>+IF(A180="","",IF(No._de_Pagos-Tabla!A180+1&lt;=0,"",No._de_Pagos-Tabla!A180+1))</f>
        <v/>
      </c>
      <c r="AA180" s="123" t="str">
        <f t="shared" si="77"/>
        <v/>
      </c>
      <c r="AB180" s="125" t="str">
        <f t="shared" si="83"/>
        <v/>
      </c>
      <c r="AC180" s="125" t="str">
        <f t="shared" si="66"/>
        <v/>
      </c>
      <c r="AD180" s="125" t="str">
        <f t="shared" si="67"/>
        <v/>
      </c>
      <c r="AE180" s="120">
        <f t="shared" si="78"/>
        <v>0</v>
      </c>
      <c r="AF180" s="121" t="str">
        <f t="shared" si="68"/>
        <v/>
      </c>
      <c r="AG180" s="111" t="str">
        <f>IF($U$258&lt;=0,AF180,IF(SUM($U$18:U180)&lt;=0,AF180,PMT($K$5/360*Días,A180,-AA180)))</f>
        <v/>
      </c>
      <c r="AH180" s="122" t="str">
        <f>IF(A180&lt;=Periodos_Gracia,0,IF($U$258&lt;=0,AG180,IF(SUM($U$18:U180)&lt;=0,AF180,PMT($K$5/360*Días,No._de_Pagos,-Monto_Crédito)-AC180-AD180)))</f>
        <v/>
      </c>
      <c r="AI180" s="126" t="str">
        <f t="shared" si="79"/>
        <v/>
      </c>
      <c r="AK180" s="127" t="str">
        <f>IF(A180="","",IF(Periodos_Gracia&gt;0,Tabla!AN180,V180+S180))</f>
        <v/>
      </c>
      <c r="AL180" s="127" t="str">
        <f t="shared" si="69"/>
        <v/>
      </c>
      <c r="AM180" s="62" t="str">
        <f t="shared" si="80"/>
        <v/>
      </c>
      <c r="AN180" s="128" t="str">
        <f>IF(A180="","",IF(A180&lt;=Periodos_Gracia,Tabla!S180,PPMT(Tasa_Anual/360*Días*(1+I.V.A.),Tabla!AM180,No._De_Pagos_con_periodo_de_gracia,-Monto_Crédito)+S180))</f>
        <v/>
      </c>
      <c r="AO180" s="128" t="str">
        <f>IF(A180="","",IF(A180&lt;=Periodos_Gracia,Tabla!AC180,Monto_Crédito/(No._De_Pagos_con_periodo_de_gracia)+AC180))</f>
        <v/>
      </c>
      <c r="AP180" s="118"/>
    </row>
    <row r="181" spans="1:42">
      <c r="A181" s="108" t="str">
        <f>IF(A180&lt;Parámetros!$E$6,A180+1,"")</f>
        <v/>
      </c>
      <c r="B181" s="109" t="str">
        <f t="shared" si="81"/>
        <v/>
      </c>
      <c r="C181" s="109" t="str">
        <f t="shared" si="57"/>
        <v/>
      </c>
      <c r="D181" s="109" t="str">
        <f t="shared" si="58"/>
        <v/>
      </c>
      <c r="E181" s="109" t="str">
        <f t="shared" si="59"/>
        <v/>
      </c>
      <c r="F181" s="109" t="str">
        <f t="shared" si="60"/>
        <v/>
      </c>
      <c r="G181" s="115" t="str">
        <f t="shared" si="70"/>
        <v/>
      </c>
      <c r="H181" s="116">
        <f t="shared" si="71"/>
        <v>0</v>
      </c>
      <c r="I181" s="109" t="str">
        <f t="shared" si="82"/>
        <v/>
      </c>
      <c r="J181" s="109" t="str">
        <f t="shared" si="61"/>
        <v/>
      </c>
      <c r="K181" s="109" t="str">
        <f t="shared" si="62"/>
        <v/>
      </c>
      <c r="L181" s="109" t="str">
        <f t="shared" si="63"/>
        <v/>
      </c>
      <c r="M181" s="109" t="str">
        <f t="shared" si="72"/>
        <v/>
      </c>
      <c r="N181" s="115" t="str">
        <f t="shared" si="73"/>
        <v/>
      </c>
      <c r="O181" s="61">
        <v>0</v>
      </c>
      <c r="P181" s="117">
        <f t="shared" si="74"/>
        <v>0</v>
      </c>
      <c r="R181" s="118" t="str">
        <f t="shared" si="84"/>
        <v/>
      </c>
      <c r="S181" s="119" t="str">
        <f t="shared" si="64"/>
        <v/>
      </c>
      <c r="T181" s="119" t="str">
        <f t="shared" si="65"/>
        <v/>
      </c>
      <c r="U181" s="120">
        <f t="shared" si="75"/>
        <v>0</v>
      </c>
      <c r="V181" s="121" t="str">
        <f>IF(A181="","",IF(A181&lt;=Periodos_Gracia,0,PPMT(Tasa_Anual/360*Días*(1+I.V.A.),Tabla!AM181,No._De_Pagos_con_periodo_de_gracia,-Monto_Crédito)))</f>
        <v/>
      </c>
      <c r="W181" s="111" t="str">
        <f>IF($U$258&lt;=0,V181,IF(SUM($U$18:U181)&lt;=0,V181,PMT($K$5/360*Días,A181,-R181)))</f>
        <v/>
      </c>
      <c r="X181" s="122" t="str">
        <f>IF($U$258&lt;=0,W181,IF(SUM($U$18:U181)&lt;=0,V181,PMT($K$5/360*Días,No._De_Pagos_con_periodo_de_gracia,-Monto_Crédito)-S181-T181))</f>
        <v/>
      </c>
      <c r="Y181" s="118" t="str">
        <f t="shared" si="76"/>
        <v/>
      </c>
      <c r="Z181" s="62" t="str">
        <f>+IF(A181="","",IF(No._de_Pagos-Tabla!A181+1&lt;=0,"",No._de_Pagos-Tabla!A181+1))</f>
        <v/>
      </c>
      <c r="AA181" s="123" t="str">
        <f t="shared" si="77"/>
        <v/>
      </c>
      <c r="AB181" s="125" t="str">
        <f t="shared" si="83"/>
        <v/>
      </c>
      <c r="AC181" s="125" t="str">
        <f t="shared" si="66"/>
        <v/>
      </c>
      <c r="AD181" s="125" t="str">
        <f t="shared" si="67"/>
        <v/>
      </c>
      <c r="AE181" s="120">
        <f t="shared" si="78"/>
        <v>0</v>
      </c>
      <c r="AF181" s="121" t="str">
        <f t="shared" si="68"/>
        <v/>
      </c>
      <c r="AG181" s="111" t="str">
        <f>IF($U$258&lt;=0,AF181,IF(SUM($U$18:U181)&lt;=0,AF181,PMT($K$5/360*Días,A181,-AA181)))</f>
        <v/>
      </c>
      <c r="AH181" s="122" t="str">
        <f>IF(A181&lt;=Periodos_Gracia,0,IF($U$258&lt;=0,AG181,IF(SUM($U$18:U181)&lt;=0,AF181,PMT($K$5/360*Días,No._de_Pagos,-Monto_Crédito)-AC181-AD181)))</f>
        <v/>
      </c>
      <c r="AI181" s="126" t="str">
        <f t="shared" si="79"/>
        <v/>
      </c>
      <c r="AK181" s="127" t="str">
        <f>IF(A181="","",IF(Periodos_Gracia&gt;0,Tabla!AN181,V181+S181))</f>
        <v/>
      </c>
      <c r="AL181" s="127" t="str">
        <f t="shared" si="69"/>
        <v/>
      </c>
      <c r="AM181" s="62" t="str">
        <f t="shared" si="80"/>
        <v/>
      </c>
      <c r="AN181" s="128" t="str">
        <f>IF(A181="","",IF(A181&lt;=Periodos_Gracia,Tabla!S181,PPMT(Tasa_Anual/360*Días*(1+I.V.A.),Tabla!AM181,No._De_Pagos_con_periodo_de_gracia,-Monto_Crédito)+S181))</f>
        <v/>
      </c>
      <c r="AO181" s="128" t="str">
        <f>IF(A181="","",IF(A181&lt;=Periodos_Gracia,Tabla!AC181,Monto_Crédito/(No._De_Pagos_con_periodo_de_gracia)+AC181))</f>
        <v/>
      </c>
      <c r="AP181" s="118"/>
    </row>
    <row r="182" spans="1:42">
      <c r="A182" s="108" t="str">
        <f>IF(A181&lt;Parámetros!$E$6,A181+1,"")</f>
        <v/>
      </c>
      <c r="B182" s="109" t="str">
        <f t="shared" si="81"/>
        <v/>
      </c>
      <c r="C182" s="109" t="str">
        <f t="shared" si="57"/>
        <v/>
      </c>
      <c r="D182" s="109" t="str">
        <f t="shared" si="58"/>
        <v/>
      </c>
      <c r="E182" s="109" t="str">
        <f t="shared" si="59"/>
        <v/>
      </c>
      <c r="F182" s="109" t="str">
        <f t="shared" si="60"/>
        <v/>
      </c>
      <c r="G182" s="115" t="str">
        <f t="shared" si="70"/>
        <v/>
      </c>
      <c r="H182" s="116">
        <f t="shared" si="71"/>
        <v>0</v>
      </c>
      <c r="I182" s="109" t="str">
        <f t="shared" si="82"/>
        <v/>
      </c>
      <c r="J182" s="109" t="str">
        <f t="shared" si="61"/>
        <v/>
      </c>
      <c r="K182" s="109" t="str">
        <f t="shared" si="62"/>
        <v/>
      </c>
      <c r="L182" s="109" t="str">
        <f t="shared" si="63"/>
        <v/>
      </c>
      <c r="M182" s="109" t="str">
        <f t="shared" si="72"/>
        <v/>
      </c>
      <c r="N182" s="115" t="str">
        <f t="shared" si="73"/>
        <v/>
      </c>
      <c r="O182" s="61">
        <v>0</v>
      </c>
      <c r="P182" s="117">
        <f t="shared" si="74"/>
        <v>0</v>
      </c>
      <c r="R182" s="118" t="str">
        <f t="shared" si="84"/>
        <v/>
      </c>
      <c r="S182" s="119" t="str">
        <f t="shared" si="64"/>
        <v/>
      </c>
      <c r="T182" s="119" t="str">
        <f t="shared" si="65"/>
        <v/>
      </c>
      <c r="U182" s="120">
        <f t="shared" si="75"/>
        <v>0</v>
      </c>
      <c r="V182" s="121" t="str">
        <f>IF(A182="","",IF(A182&lt;=Periodos_Gracia,0,PPMT(Tasa_Anual/360*Días*(1+I.V.A.),Tabla!AM182,No._De_Pagos_con_periodo_de_gracia,-Monto_Crédito)))</f>
        <v/>
      </c>
      <c r="W182" s="111" t="str">
        <f>IF($U$258&lt;=0,V182,IF(SUM($U$18:U182)&lt;=0,V182,PMT($K$5/360*Días,A182,-R182)))</f>
        <v/>
      </c>
      <c r="X182" s="122" t="str">
        <f>IF($U$258&lt;=0,W182,IF(SUM($U$18:U182)&lt;=0,V182,PMT($K$5/360*Días,No._De_Pagos_con_periodo_de_gracia,-Monto_Crédito)-S182-T182))</f>
        <v/>
      </c>
      <c r="Y182" s="118" t="str">
        <f t="shared" si="76"/>
        <v/>
      </c>
      <c r="Z182" s="62" t="str">
        <f>+IF(A182="","",IF(No._de_Pagos-Tabla!A182+1&lt;=0,"",No._de_Pagos-Tabla!A182+1))</f>
        <v/>
      </c>
      <c r="AA182" s="123" t="str">
        <f t="shared" si="77"/>
        <v/>
      </c>
      <c r="AB182" s="125" t="str">
        <f t="shared" si="83"/>
        <v/>
      </c>
      <c r="AC182" s="125" t="str">
        <f t="shared" si="66"/>
        <v/>
      </c>
      <c r="AD182" s="125" t="str">
        <f t="shared" si="67"/>
        <v/>
      </c>
      <c r="AE182" s="120">
        <f t="shared" si="78"/>
        <v>0</v>
      </c>
      <c r="AF182" s="121" t="str">
        <f t="shared" si="68"/>
        <v/>
      </c>
      <c r="AG182" s="111" t="str">
        <f>IF($U$258&lt;=0,AF182,IF(SUM($U$18:U182)&lt;=0,AF182,PMT($K$5/360*Días,A182,-AA182)))</f>
        <v/>
      </c>
      <c r="AH182" s="122" t="str">
        <f>IF(A182&lt;=Periodos_Gracia,0,IF($U$258&lt;=0,AG182,IF(SUM($U$18:U182)&lt;=0,AF182,PMT($K$5/360*Días,No._de_Pagos,-Monto_Crédito)-AC182-AD182)))</f>
        <v/>
      </c>
      <c r="AI182" s="126" t="str">
        <f t="shared" si="79"/>
        <v/>
      </c>
      <c r="AK182" s="127" t="str">
        <f>IF(A182="","",IF(Periodos_Gracia&gt;0,Tabla!AN182,V182+S182))</f>
        <v/>
      </c>
      <c r="AL182" s="127" t="str">
        <f t="shared" si="69"/>
        <v/>
      </c>
      <c r="AM182" s="62" t="str">
        <f t="shared" si="80"/>
        <v/>
      </c>
      <c r="AN182" s="128" t="str">
        <f>IF(A182="","",IF(A182&lt;=Periodos_Gracia,Tabla!S182,PPMT(Tasa_Anual/360*Días*(1+I.V.A.),Tabla!AM182,No._De_Pagos_con_periodo_de_gracia,-Monto_Crédito)+S182))</f>
        <v/>
      </c>
      <c r="AO182" s="128" t="str">
        <f>IF(A182="","",IF(A182&lt;=Periodos_Gracia,Tabla!AC182,Monto_Crédito/(No._De_Pagos_con_periodo_de_gracia)+AC182))</f>
        <v/>
      </c>
      <c r="AP182" s="118"/>
    </row>
    <row r="183" spans="1:42">
      <c r="A183" s="108" t="str">
        <f>IF(A182&lt;Parámetros!$E$6,A182+1,"")</f>
        <v/>
      </c>
      <c r="B183" s="109" t="str">
        <f t="shared" si="81"/>
        <v/>
      </c>
      <c r="C183" s="109" t="str">
        <f t="shared" si="57"/>
        <v/>
      </c>
      <c r="D183" s="109" t="str">
        <f t="shared" si="58"/>
        <v/>
      </c>
      <c r="E183" s="109" t="str">
        <f t="shared" si="59"/>
        <v/>
      </c>
      <c r="F183" s="109" t="str">
        <f t="shared" si="60"/>
        <v/>
      </c>
      <c r="G183" s="115" t="str">
        <f t="shared" si="70"/>
        <v/>
      </c>
      <c r="H183" s="116">
        <f t="shared" si="71"/>
        <v>0</v>
      </c>
      <c r="I183" s="109" t="str">
        <f t="shared" si="82"/>
        <v/>
      </c>
      <c r="J183" s="109" t="str">
        <f t="shared" si="61"/>
        <v/>
      </c>
      <c r="K183" s="109" t="str">
        <f t="shared" si="62"/>
        <v/>
      </c>
      <c r="L183" s="109" t="str">
        <f t="shared" si="63"/>
        <v/>
      </c>
      <c r="M183" s="109" t="str">
        <f t="shared" si="72"/>
        <v/>
      </c>
      <c r="N183" s="115" t="str">
        <f t="shared" si="73"/>
        <v/>
      </c>
      <c r="O183" s="61">
        <v>0</v>
      </c>
      <c r="P183" s="117">
        <f t="shared" si="74"/>
        <v>0</v>
      </c>
      <c r="R183" s="118" t="str">
        <f t="shared" si="84"/>
        <v/>
      </c>
      <c r="S183" s="119" t="str">
        <f t="shared" si="64"/>
        <v/>
      </c>
      <c r="T183" s="119" t="str">
        <f t="shared" si="65"/>
        <v/>
      </c>
      <c r="U183" s="120">
        <f t="shared" si="75"/>
        <v>0</v>
      </c>
      <c r="V183" s="121" t="str">
        <f>IF(A183="","",IF(A183&lt;=Periodos_Gracia,0,PPMT(Tasa_Anual/360*Días*(1+I.V.A.),Tabla!AM183,No._De_Pagos_con_periodo_de_gracia,-Monto_Crédito)))</f>
        <v/>
      </c>
      <c r="W183" s="111" t="str">
        <f>IF($U$258&lt;=0,V183,IF(SUM($U$18:U183)&lt;=0,V183,PMT($K$5/360*Días,A183,-R183)))</f>
        <v/>
      </c>
      <c r="X183" s="122" t="str">
        <f>IF($U$258&lt;=0,W183,IF(SUM($U$18:U183)&lt;=0,V183,PMT($K$5/360*Días,No._De_Pagos_con_periodo_de_gracia,-Monto_Crédito)-S183-T183))</f>
        <v/>
      </c>
      <c r="Y183" s="118" t="str">
        <f t="shared" si="76"/>
        <v/>
      </c>
      <c r="Z183" s="62" t="str">
        <f>+IF(A183="","",IF(No._de_Pagos-Tabla!A183+1&lt;=0,"",No._de_Pagos-Tabla!A183+1))</f>
        <v/>
      </c>
      <c r="AA183" s="123" t="str">
        <f t="shared" si="77"/>
        <v/>
      </c>
      <c r="AB183" s="125" t="str">
        <f t="shared" si="83"/>
        <v/>
      </c>
      <c r="AC183" s="125" t="str">
        <f t="shared" si="66"/>
        <v/>
      </c>
      <c r="AD183" s="125" t="str">
        <f t="shared" si="67"/>
        <v/>
      </c>
      <c r="AE183" s="120">
        <f t="shared" si="78"/>
        <v>0</v>
      </c>
      <c r="AF183" s="121" t="str">
        <f t="shared" si="68"/>
        <v/>
      </c>
      <c r="AG183" s="111" t="str">
        <f>IF($U$258&lt;=0,AF183,IF(SUM($U$18:U183)&lt;=0,AF183,PMT($K$5/360*Días,A183,-AA183)))</f>
        <v/>
      </c>
      <c r="AH183" s="122" t="str">
        <f>IF(A183&lt;=Periodos_Gracia,0,IF($U$258&lt;=0,AG183,IF(SUM($U$18:U183)&lt;=0,AF183,PMT($K$5/360*Días,No._de_Pagos,-Monto_Crédito)-AC183-AD183)))</f>
        <v/>
      </c>
      <c r="AI183" s="126" t="str">
        <f t="shared" si="79"/>
        <v/>
      </c>
      <c r="AK183" s="127" t="str">
        <f>IF(A183="","",IF(Periodos_Gracia&gt;0,Tabla!AN183,V183+S183))</f>
        <v/>
      </c>
      <c r="AL183" s="127" t="str">
        <f t="shared" si="69"/>
        <v/>
      </c>
      <c r="AM183" s="62" t="str">
        <f t="shared" si="80"/>
        <v/>
      </c>
      <c r="AN183" s="128" t="str">
        <f>IF(A183="","",IF(A183&lt;=Periodos_Gracia,Tabla!S183,PPMT(Tasa_Anual/360*Días*(1+I.V.A.),Tabla!AM183,No._De_Pagos_con_periodo_de_gracia,-Monto_Crédito)+S183))</f>
        <v/>
      </c>
      <c r="AO183" s="128" t="str">
        <f>IF(A183="","",IF(A183&lt;=Periodos_Gracia,Tabla!AC183,Monto_Crédito/(No._De_Pagos_con_periodo_de_gracia)+AC183))</f>
        <v/>
      </c>
      <c r="AP183" s="118"/>
    </row>
    <row r="184" spans="1:42">
      <c r="A184" s="108" t="str">
        <f>IF(A183&lt;Parámetros!$E$6,A183+1,"")</f>
        <v/>
      </c>
      <c r="B184" s="109" t="str">
        <f t="shared" si="81"/>
        <v/>
      </c>
      <c r="C184" s="109" t="str">
        <f t="shared" si="57"/>
        <v/>
      </c>
      <c r="D184" s="109" t="str">
        <f t="shared" si="58"/>
        <v/>
      </c>
      <c r="E184" s="109" t="str">
        <f t="shared" si="59"/>
        <v/>
      </c>
      <c r="F184" s="109" t="str">
        <f t="shared" si="60"/>
        <v/>
      </c>
      <c r="G184" s="115" t="str">
        <f t="shared" si="70"/>
        <v/>
      </c>
      <c r="H184" s="116">
        <f t="shared" si="71"/>
        <v>0</v>
      </c>
      <c r="I184" s="109" t="str">
        <f t="shared" si="82"/>
        <v/>
      </c>
      <c r="J184" s="109" t="str">
        <f t="shared" si="61"/>
        <v/>
      </c>
      <c r="K184" s="109" t="str">
        <f t="shared" si="62"/>
        <v/>
      </c>
      <c r="L184" s="109" t="str">
        <f t="shared" si="63"/>
        <v/>
      </c>
      <c r="M184" s="109" t="str">
        <f t="shared" si="72"/>
        <v/>
      </c>
      <c r="N184" s="115" t="str">
        <f t="shared" si="73"/>
        <v/>
      </c>
      <c r="O184" s="61">
        <v>0</v>
      </c>
      <c r="P184" s="117">
        <f t="shared" si="74"/>
        <v>0</v>
      </c>
      <c r="R184" s="118" t="str">
        <f t="shared" si="84"/>
        <v/>
      </c>
      <c r="S184" s="119" t="str">
        <f t="shared" si="64"/>
        <v/>
      </c>
      <c r="T184" s="119" t="str">
        <f t="shared" si="65"/>
        <v/>
      </c>
      <c r="U184" s="120">
        <f t="shared" si="75"/>
        <v>0</v>
      </c>
      <c r="V184" s="121" t="str">
        <f>IF(A184="","",IF(A184&lt;=Periodos_Gracia,0,PPMT(Tasa_Anual/360*Días*(1+I.V.A.),Tabla!AM184,No._De_Pagos_con_periodo_de_gracia,-Monto_Crédito)))</f>
        <v/>
      </c>
      <c r="W184" s="111" t="str">
        <f>IF($U$258&lt;=0,V184,IF(SUM($U$18:U184)&lt;=0,V184,PMT($K$5/360*Días,A184,-R184)))</f>
        <v/>
      </c>
      <c r="X184" s="122" t="str">
        <f>IF($U$258&lt;=0,W184,IF(SUM($U$18:U184)&lt;=0,V184,PMT($K$5/360*Días,No._De_Pagos_con_periodo_de_gracia,-Monto_Crédito)-S184-T184))</f>
        <v/>
      </c>
      <c r="Y184" s="118" t="str">
        <f t="shared" si="76"/>
        <v/>
      </c>
      <c r="Z184" s="62" t="str">
        <f>+IF(A184="","",IF(No._de_Pagos-Tabla!A184+1&lt;=0,"",No._de_Pagos-Tabla!A184+1))</f>
        <v/>
      </c>
      <c r="AA184" s="123" t="str">
        <f t="shared" si="77"/>
        <v/>
      </c>
      <c r="AB184" s="125" t="str">
        <f t="shared" si="83"/>
        <v/>
      </c>
      <c r="AC184" s="125" t="str">
        <f t="shared" si="66"/>
        <v/>
      </c>
      <c r="AD184" s="125" t="str">
        <f t="shared" si="67"/>
        <v/>
      </c>
      <c r="AE184" s="120">
        <f t="shared" si="78"/>
        <v>0</v>
      </c>
      <c r="AF184" s="121" t="str">
        <f t="shared" si="68"/>
        <v/>
      </c>
      <c r="AG184" s="111" t="str">
        <f>IF($U$258&lt;=0,AF184,IF(SUM($U$18:U184)&lt;=0,AF184,PMT($K$5/360*Días,A184,-AA184)))</f>
        <v/>
      </c>
      <c r="AH184" s="122" t="str">
        <f>IF(A184&lt;=Periodos_Gracia,0,IF($U$258&lt;=0,AG184,IF(SUM($U$18:U184)&lt;=0,AF184,PMT($K$5/360*Días,No._de_Pagos,-Monto_Crédito)-AC184-AD184)))</f>
        <v/>
      </c>
      <c r="AI184" s="126" t="str">
        <f t="shared" si="79"/>
        <v/>
      </c>
      <c r="AK184" s="127" t="str">
        <f>IF(A184="","",IF(Periodos_Gracia&gt;0,Tabla!AN184,V184+S184))</f>
        <v/>
      </c>
      <c r="AL184" s="127" t="str">
        <f t="shared" si="69"/>
        <v/>
      </c>
      <c r="AM184" s="62" t="str">
        <f t="shared" si="80"/>
        <v/>
      </c>
      <c r="AN184" s="128" t="str">
        <f>IF(A184="","",IF(A184&lt;=Periodos_Gracia,Tabla!S184,PPMT(Tasa_Anual/360*Días*(1+I.V.A.),Tabla!AM184,No._De_Pagos_con_periodo_de_gracia,-Monto_Crédito)+S184))</f>
        <v/>
      </c>
      <c r="AO184" s="128" t="str">
        <f>IF(A184="","",IF(A184&lt;=Periodos_Gracia,Tabla!AC184,Monto_Crédito/(No._De_Pagos_con_periodo_de_gracia)+AC184))</f>
        <v/>
      </c>
      <c r="AP184" s="118"/>
    </row>
    <row r="185" spans="1:42">
      <c r="A185" s="108" t="str">
        <f>IF(A184&lt;Parámetros!$E$6,A184+1,"")</f>
        <v/>
      </c>
      <c r="B185" s="109" t="str">
        <f t="shared" si="81"/>
        <v/>
      </c>
      <c r="C185" s="109" t="str">
        <f t="shared" si="57"/>
        <v/>
      </c>
      <c r="D185" s="109" t="str">
        <f t="shared" si="58"/>
        <v/>
      </c>
      <c r="E185" s="109" t="str">
        <f t="shared" si="59"/>
        <v/>
      </c>
      <c r="F185" s="109" t="str">
        <f t="shared" si="60"/>
        <v/>
      </c>
      <c r="G185" s="115" t="str">
        <f t="shared" si="70"/>
        <v/>
      </c>
      <c r="H185" s="116">
        <f t="shared" si="71"/>
        <v>0</v>
      </c>
      <c r="I185" s="109" t="str">
        <f t="shared" si="82"/>
        <v/>
      </c>
      <c r="J185" s="109" t="str">
        <f t="shared" si="61"/>
        <v/>
      </c>
      <c r="K185" s="109" t="str">
        <f t="shared" si="62"/>
        <v/>
      </c>
      <c r="L185" s="109" t="str">
        <f t="shared" si="63"/>
        <v/>
      </c>
      <c r="M185" s="109" t="str">
        <f t="shared" si="72"/>
        <v/>
      </c>
      <c r="N185" s="115" t="str">
        <f t="shared" si="73"/>
        <v/>
      </c>
      <c r="O185" s="61">
        <v>0</v>
      </c>
      <c r="P185" s="117">
        <f t="shared" si="74"/>
        <v>0</v>
      </c>
      <c r="R185" s="118" t="str">
        <f t="shared" si="84"/>
        <v/>
      </c>
      <c r="S185" s="119" t="str">
        <f t="shared" si="64"/>
        <v/>
      </c>
      <c r="T185" s="119" t="str">
        <f t="shared" si="65"/>
        <v/>
      </c>
      <c r="U185" s="120">
        <f t="shared" si="75"/>
        <v>0</v>
      </c>
      <c r="V185" s="121" t="str">
        <f>IF(A185="","",IF(A185&lt;=Periodos_Gracia,0,PPMT(Tasa_Anual/360*Días*(1+I.V.A.),Tabla!AM185,No._De_Pagos_con_periodo_de_gracia,-Monto_Crédito)))</f>
        <v/>
      </c>
      <c r="W185" s="111" t="str">
        <f>IF($U$258&lt;=0,V185,IF(SUM($U$18:U185)&lt;=0,V185,PMT($K$5/360*Días,A185,-R185)))</f>
        <v/>
      </c>
      <c r="X185" s="122" t="str">
        <f>IF($U$258&lt;=0,W185,IF(SUM($U$18:U185)&lt;=0,V185,PMT($K$5/360*Días,No._De_Pagos_con_periodo_de_gracia,-Monto_Crédito)-S185-T185))</f>
        <v/>
      </c>
      <c r="Y185" s="118" t="str">
        <f t="shared" si="76"/>
        <v/>
      </c>
      <c r="Z185" s="62" t="str">
        <f>+IF(A185="","",IF(No._de_Pagos-Tabla!A185+1&lt;=0,"",No._de_Pagos-Tabla!A185+1))</f>
        <v/>
      </c>
      <c r="AA185" s="123" t="str">
        <f t="shared" si="77"/>
        <v/>
      </c>
      <c r="AB185" s="125" t="str">
        <f t="shared" si="83"/>
        <v/>
      </c>
      <c r="AC185" s="125" t="str">
        <f t="shared" si="66"/>
        <v/>
      </c>
      <c r="AD185" s="125" t="str">
        <f t="shared" si="67"/>
        <v/>
      </c>
      <c r="AE185" s="120">
        <f t="shared" si="78"/>
        <v>0</v>
      </c>
      <c r="AF185" s="121" t="str">
        <f t="shared" si="68"/>
        <v/>
      </c>
      <c r="AG185" s="111" t="str">
        <f>IF($U$258&lt;=0,AF185,IF(SUM($U$18:U185)&lt;=0,AF185,PMT($K$5/360*Días,A185,-AA185)))</f>
        <v/>
      </c>
      <c r="AH185" s="122" t="str">
        <f>IF(A185&lt;=Periodos_Gracia,0,IF($U$258&lt;=0,AG185,IF(SUM($U$18:U185)&lt;=0,AF185,PMT($K$5/360*Días,No._de_Pagos,-Monto_Crédito)-AC185-AD185)))</f>
        <v/>
      </c>
      <c r="AI185" s="126" t="str">
        <f t="shared" si="79"/>
        <v/>
      </c>
      <c r="AK185" s="127" t="str">
        <f>IF(A185="","",IF(Periodos_Gracia&gt;0,Tabla!AN185,V185+S185))</f>
        <v/>
      </c>
      <c r="AL185" s="127" t="str">
        <f t="shared" si="69"/>
        <v/>
      </c>
      <c r="AM185" s="62" t="str">
        <f t="shared" si="80"/>
        <v/>
      </c>
      <c r="AN185" s="128" t="str">
        <f>IF(A185="","",IF(A185&lt;=Periodos_Gracia,Tabla!S185,PPMT(Tasa_Anual/360*Días*(1+I.V.A.),Tabla!AM185,No._De_Pagos_con_periodo_de_gracia,-Monto_Crédito)+S185))</f>
        <v/>
      </c>
      <c r="AO185" s="128" t="str">
        <f>IF(A185="","",IF(A185&lt;=Periodos_Gracia,Tabla!AC185,Monto_Crédito/(No._De_Pagos_con_periodo_de_gracia)+AC185))</f>
        <v/>
      </c>
      <c r="AP185" s="118"/>
    </row>
    <row r="186" spans="1:42">
      <c r="A186" s="108" t="str">
        <f>IF(A185&lt;Parámetros!$E$6,A185+1,"")</f>
        <v/>
      </c>
      <c r="B186" s="109" t="str">
        <f t="shared" si="81"/>
        <v/>
      </c>
      <c r="C186" s="109" t="str">
        <f t="shared" si="57"/>
        <v/>
      </c>
      <c r="D186" s="109" t="str">
        <f t="shared" si="58"/>
        <v/>
      </c>
      <c r="E186" s="109" t="str">
        <f t="shared" si="59"/>
        <v/>
      </c>
      <c r="F186" s="109" t="str">
        <f t="shared" si="60"/>
        <v/>
      </c>
      <c r="G186" s="115" t="str">
        <f t="shared" si="70"/>
        <v/>
      </c>
      <c r="H186" s="116">
        <f t="shared" si="71"/>
        <v>0</v>
      </c>
      <c r="I186" s="109" t="str">
        <f t="shared" si="82"/>
        <v/>
      </c>
      <c r="J186" s="109" t="str">
        <f t="shared" si="61"/>
        <v/>
      </c>
      <c r="K186" s="109" t="str">
        <f t="shared" si="62"/>
        <v/>
      </c>
      <c r="L186" s="109" t="str">
        <f t="shared" si="63"/>
        <v/>
      </c>
      <c r="M186" s="109" t="str">
        <f t="shared" si="72"/>
        <v/>
      </c>
      <c r="N186" s="115" t="str">
        <f t="shared" si="73"/>
        <v/>
      </c>
      <c r="O186" s="61">
        <v>0</v>
      </c>
      <c r="P186" s="117">
        <f t="shared" si="74"/>
        <v>0</v>
      </c>
      <c r="R186" s="118" t="str">
        <f t="shared" si="84"/>
        <v/>
      </c>
      <c r="S186" s="119" t="str">
        <f t="shared" si="64"/>
        <v/>
      </c>
      <c r="T186" s="119" t="str">
        <f t="shared" si="65"/>
        <v/>
      </c>
      <c r="U186" s="120">
        <f t="shared" si="75"/>
        <v>0</v>
      </c>
      <c r="V186" s="121" t="str">
        <f>IF(A186="","",IF(A186&lt;=Periodos_Gracia,0,PPMT(Tasa_Anual/360*Días*(1+I.V.A.),Tabla!AM186,No._De_Pagos_con_periodo_de_gracia,-Monto_Crédito)))</f>
        <v/>
      </c>
      <c r="W186" s="111" t="str">
        <f>IF($U$258&lt;=0,V186,IF(SUM($U$18:U186)&lt;=0,V186,PMT($K$5/360*Días,A186,-R186)))</f>
        <v/>
      </c>
      <c r="X186" s="122" t="str">
        <f>IF($U$258&lt;=0,W186,IF(SUM($U$18:U186)&lt;=0,V186,PMT($K$5/360*Días,No._De_Pagos_con_periodo_de_gracia,-Monto_Crédito)-S186-T186))</f>
        <v/>
      </c>
      <c r="Y186" s="118" t="str">
        <f t="shared" si="76"/>
        <v/>
      </c>
      <c r="Z186" s="62" t="str">
        <f>+IF(A186="","",IF(No._de_Pagos-Tabla!A186+1&lt;=0,"",No._de_Pagos-Tabla!A186+1))</f>
        <v/>
      </c>
      <c r="AA186" s="123" t="str">
        <f t="shared" si="77"/>
        <v/>
      </c>
      <c r="AB186" s="125" t="str">
        <f t="shared" si="83"/>
        <v/>
      </c>
      <c r="AC186" s="125" t="str">
        <f t="shared" si="66"/>
        <v/>
      </c>
      <c r="AD186" s="125" t="str">
        <f t="shared" si="67"/>
        <v/>
      </c>
      <c r="AE186" s="120">
        <f t="shared" si="78"/>
        <v>0</v>
      </c>
      <c r="AF186" s="121" t="str">
        <f t="shared" si="68"/>
        <v/>
      </c>
      <c r="AG186" s="111" t="str">
        <f>IF($U$258&lt;=0,AF186,IF(SUM($U$18:U186)&lt;=0,AF186,PMT($K$5/360*Días,A186,-AA186)))</f>
        <v/>
      </c>
      <c r="AH186" s="122" t="str">
        <f>IF(A186&lt;=Periodos_Gracia,0,IF($U$258&lt;=0,AG186,IF(SUM($U$18:U186)&lt;=0,AF186,PMT($K$5/360*Días,No._de_Pagos,-Monto_Crédito)-AC186-AD186)))</f>
        <v/>
      </c>
      <c r="AI186" s="126" t="str">
        <f t="shared" si="79"/>
        <v/>
      </c>
      <c r="AK186" s="127" t="str">
        <f>IF(A186="","",IF(Periodos_Gracia&gt;0,Tabla!AN186,V186+S186))</f>
        <v/>
      </c>
      <c r="AL186" s="127" t="str">
        <f t="shared" si="69"/>
        <v/>
      </c>
      <c r="AM186" s="62" t="str">
        <f t="shared" si="80"/>
        <v/>
      </c>
      <c r="AN186" s="128" t="str">
        <f>IF(A186="","",IF(A186&lt;=Periodos_Gracia,Tabla!S186,PPMT(Tasa_Anual/360*Días*(1+I.V.A.),Tabla!AM186,No._De_Pagos_con_periodo_de_gracia,-Monto_Crédito)+S186))</f>
        <v/>
      </c>
      <c r="AO186" s="128" t="str">
        <f>IF(A186="","",IF(A186&lt;=Periodos_Gracia,Tabla!AC186,Monto_Crédito/(No._De_Pagos_con_periodo_de_gracia)+AC186))</f>
        <v/>
      </c>
      <c r="AP186" s="118"/>
    </row>
    <row r="187" spans="1:42">
      <c r="A187" s="108" t="str">
        <f>IF(A186&lt;Parámetros!$E$6,A186+1,"")</f>
        <v/>
      </c>
      <c r="B187" s="109" t="str">
        <f t="shared" si="81"/>
        <v/>
      </c>
      <c r="C187" s="109" t="str">
        <f t="shared" si="57"/>
        <v/>
      </c>
      <c r="D187" s="109" t="str">
        <f t="shared" si="58"/>
        <v/>
      </c>
      <c r="E187" s="109" t="str">
        <f t="shared" si="59"/>
        <v/>
      </c>
      <c r="F187" s="109" t="str">
        <f t="shared" si="60"/>
        <v/>
      </c>
      <c r="G187" s="115" t="str">
        <f t="shared" si="70"/>
        <v/>
      </c>
      <c r="H187" s="116">
        <f t="shared" si="71"/>
        <v>0</v>
      </c>
      <c r="I187" s="109" t="str">
        <f t="shared" si="82"/>
        <v/>
      </c>
      <c r="J187" s="109" t="str">
        <f t="shared" si="61"/>
        <v/>
      </c>
      <c r="K187" s="109" t="str">
        <f t="shared" si="62"/>
        <v/>
      </c>
      <c r="L187" s="109" t="str">
        <f t="shared" si="63"/>
        <v/>
      </c>
      <c r="M187" s="109" t="str">
        <f t="shared" si="72"/>
        <v/>
      </c>
      <c r="N187" s="115" t="str">
        <f t="shared" si="73"/>
        <v/>
      </c>
      <c r="O187" s="61">
        <v>0</v>
      </c>
      <c r="P187" s="117">
        <f t="shared" si="74"/>
        <v>0</v>
      </c>
      <c r="R187" s="118" t="str">
        <f t="shared" si="84"/>
        <v/>
      </c>
      <c r="S187" s="119" t="str">
        <f t="shared" si="64"/>
        <v/>
      </c>
      <c r="T187" s="119" t="str">
        <f t="shared" si="65"/>
        <v/>
      </c>
      <c r="U187" s="120">
        <f t="shared" si="75"/>
        <v>0</v>
      </c>
      <c r="V187" s="121" t="str">
        <f>IF(A187="","",IF(A187&lt;=Periodos_Gracia,0,PPMT(Tasa_Anual/360*Días*(1+I.V.A.),Tabla!AM187,No._De_Pagos_con_periodo_de_gracia,-Monto_Crédito)))</f>
        <v/>
      </c>
      <c r="W187" s="111" t="str">
        <f>IF($U$258&lt;=0,V187,IF(SUM($U$18:U187)&lt;=0,V187,PMT($K$5/360*Días,A187,-R187)))</f>
        <v/>
      </c>
      <c r="X187" s="122" t="str">
        <f>IF($U$258&lt;=0,W187,IF(SUM($U$18:U187)&lt;=0,V187,PMT($K$5/360*Días,No._De_Pagos_con_periodo_de_gracia,-Monto_Crédito)-S187-T187))</f>
        <v/>
      </c>
      <c r="Y187" s="118" t="str">
        <f t="shared" si="76"/>
        <v/>
      </c>
      <c r="Z187" s="62" t="str">
        <f>+IF(A187="","",IF(No._de_Pagos-Tabla!A187+1&lt;=0,"",No._de_Pagos-Tabla!A187+1))</f>
        <v/>
      </c>
      <c r="AA187" s="123" t="str">
        <f t="shared" si="77"/>
        <v/>
      </c>
      <c r="AB187" s="125" t="str">
        <f t="shared" si="83"/>
        <v/>
      </c>
      <c r="AC187" s="125" t="str">
        <f t="shared" si="66"/>
        <v/>
      </c>
      <c r="AD187" s="125" t="str">
        <f t="shared" si="67"/>
        <v/>
      </c>
      <c r="AE187" s="120">
        <f t="shared" si="78"/>
        <v>0</v>
      </c>
      <c r="AF187" s="121" t="str">
        <f t="shared" si="68"/>
        <v/>
      </c>
      <c r="AG187" s="111" t="str">
        <f>IF($U$258&lt;=0,AF187,IF(SUM($U$18:U187)&lt;=0,AF187,PMT($K$5/360*Días,A187,-AA187)))</f>
        <v/>
      </c>
      <c r="AH187" s="122" t="str">
        <f>IF(A187&lt;=Periodos_Gracia,0,IF($U$258&lt;=0,AG187,IF(SUM($U$18:U187)&lt;=0,AF187,PMT($K$5/360*Días,No._de_Pagos,-Monto_Crédito)-AC187-AD187)))</f>
        <v/>
      </c>
      <c r="AI187" s="126" t="str">
        <f t="shared" si="79"/>
        <v/>
      </c>
      <c r="AK187" s="127" t="str">
        <f>IF(A187="","",IF(Periodos_Gracia&gt;0,Tabla!AN187,V187+S187))</f>
        <v/>
      </c>
      <c r="AL187" s="127" t="str">
        <f t="shared" si="69"/>
        <v/>
      </c>
      <c r="AM187" s="62" t="str">
        <f t="shared" si="80"/>
        <v/>
      </c>
      <c r="AN187" s="128" t="str">
        <f>IF(A187="","",IF(A187&lt;=Periodos_Gracia,Tabla!S187,PPMT(Tasa_Anual/360*Días*(1+I.V.A.),Tabla!AM187,No._De_Pagos_con_periodo_de_gracia,-Monto_Crédito)+S187))</f>
        <v/>
      </c>
      <c r="AO187" s="128" t="str">
        <f>IF(A187="","",IF(A187&lt;=Periodos_Gracia,Tabla!AC187,Monto_Crédito/(No._De_Pagos_con_periodo_de_gracia)+AC187))</f>
        <v/>
      </c>
      <c r="AP187" s="118"/>
    </row>
    <row r="188" spans="1:42">
      <c r="A188" s="108" t="str">
        <f>IF(A187&lt;Parámetros!$E$6,A187+1,"")</f>
        <v/>
      </c>
      <c r="B188" s="109" t="str">
        <f t="shared" si="81"/>
        <v/>
      </c>
      <c r="C188" s="109" t="str">
        <f t="shared" si="57"/>
        <v/>
      </c>
      <c r="D188" s="109" t="str">
        <f t="shared" si="58"/>
        <v/>
      </c>
      <c r="E188" s="109" t="str">
        <f t="shared" si="59"/>
        <v/>
      </c>
      <c r="F188" s="109" t="str">
        <f t="shared" si="60"/>
        <v/>
      </c>
      <c r="G188" s="115" t="str">
        <f t="shared" si="70"/>
        <v/>
      </c>
      <c r="H188" s="116">
        <f t="shared" si="71"/>
        <v>0</v>
      </c>
      <c r="I188" s="109" t="str">
        <f t="shared" si="82"/>
        <v/>
      </c>
      <c r="J188" s="109" t="str">
        <f t="shared" si="61"/>
        <v/>
      </c>
      <c r="K188" s="109" t="str">
        <f t="shared" si="62"/>
        <v/>
      </c>
      <c r="L188" s="109" t="str">
        <f t="shared" si="63"/>
        <v/>
      </c>
      <c r="M188" s="109" t="str">
        <f t="shared" si="72"/>
        <v/>
      </c>
      <c r="N188" s="115" t="str">
        <f t="shared" si="73"/>
        <v/>
      </c>
      <c r="O188" s="61">
        <v>0</v>
      </c>
      <c r="P188" s="117">
        <f t="shared" si="74"/>
        <v>0</v>
      </c>
      <c r="R188" s="118" t="str">
        <f t="shared" si="84"/>
        <v/>
      </c>
      <c r="S188" s="119" t="str">
        <f t="shared" si="64"/>
        <v/>
      </c>
      <c r="T188" s="119" t="str">
        <f t="shared" si="65"/>
        <v/>
      </c>
      <c r="U188" s="120">
        <f t="shared" si="75"/>
        <v>0</v>
      </c>
      <c r="V188" s="121" t="str">
        <f>IF(A188="","",IF(A188&lt;=Periodos_Gracia,0,PPMT(Tasa_Anual/360*Días*(1+I.V.A.),Tabla!AM188,No._De_Pagos_con_periodo_de_gracia,-Monto_Crédito)))</f>
        <v/>
      </c>
      <c r="W188" s="111" t="str">
        <f>IF($U$258&lt;=0,V188,IF(SUM($U$18:U188)&lt;=0,V188,PMT($K$5/360*Días,A188,-R188)))</f>
        <v/>
      </c>
      <c r="X188" s="122" t="str">
        <f>IF($U$258&lt;=0,W188,IF(SUM($U$18:U188)&lt;=0,V188,PMT($K$5/360*Días,No._De_Pagos_con_periodo_de_gracia,-Monto_Crédito)-S188-T188))</f>
        <v/>
      </c>
      <c r="Y188" s="118" t="str">
        <f t="shared" si="76"/>
        <v/>
      </c>
      <c r="Z188" s="62" t="str">
        <f>+IF(A188="","",IF(No._de_Pagos-Tabla!A188+1&lt;=0,"",No._de_Pagos-Tabla!A188+1))</f>
        <v/>
      </c>
      <c r="AA188" s="123" t="str">
        <f t="shared" si="77"/>
        <v/>
      </c>
      <c r="AB188" s="125" t="str">
        <f t="shared" si="83"/>
        <v/>
      </c>
      <c r="AC188" s="125" t="str">
        <f t="shared" si="66"/>
        <v/>
      </c>
      <c r="AD188" s="125" t="str">
        <f t="shared" si="67"/>
        <v/>
      </c>
      <c r="AE188" s="120">
        <f t="shared" si="78"/>
        <v>0</v>
      </c>
      <c r="AF188" s="121" t="str">
        <f t="shared" si="68"/>
        <v/>
      </c>
      <c r="AG188" s="111" t="str">
        <f>IF($U$258&lt;=0,AF188,IF(SUM($U$18:U188)&lt;=0,AF188,PMT($K$5/360*Días,A188,-AA188)))</f>
        <v/>
      </c>
      <c r="AH188" s="122" t="str">
        <f>IF(A188&lt;=Periodos_Gracia,0,IF($U$258&lt;=0,AG188,IF(SUM($U$18:U188)&lt;=0,AF188,PMT($K$5/360*Días,No._de_Pagos,-Monto_Crédito)-AC188-AD188)))</f>
        <v/>
      </c>
      <c r="AI188" s="126" t="str">
        <f t="shared" si="79"/>
        <v/>
      </c>
      <c r="AK188" s="127" t="str">
        <f>IF(A188="","",IF(Periodos_Gracia&gt;0,Tabla!AN188,V188+S188))</f>
        <v/>
      </c>
      <c r="AL188" s="127" t="str">
        <f t="shared" si="69"/>
        <v/>
      </c>
      <c r="AM188" s="62" t="str">
        <f t="shared" si="80"/>
        <v/>
      </c>
      <c r="AN188" s="128" t="str">
        <f>IF(A188="","",IF(A188&lt;=Periodos_Gracia,Tabla!S188,PPMT(Tasa_Anual/360*Días*(1+I.V.A.),Tabla!AM188,No._De_Pagos_con_periodo_de_gracia,-Monto_Crédito)+S188))</f>
        <v/>
      </c>
      <c r="AO188" s="128" t="str">
        <f>IF(A188="","",IF(A188&lt;=Periodos_Gracia,Tabla!AC188,Monto_Crédito/(No._De_Pagos_con_periodo_de_gracia)+AC188))</f>
        <v/>
      </c>
      <c r="AP188" s="118"/>
    </row>
    <row r="189" spans="1:42">
      <c r="A189" s="108" t="str">
        <f>IF(A188&lt;Parámetros!$E$6,A188+1,"")</f>
        <v/>
      </c>
      <c r="B189" s="109" t="str">
        <f t="shared" si="81"/>
        <v/>
      </c>
      <c r="C189" s="109" t="str">
        <f t="shared" si="57"/>
        <v/>
      </c>
      <c r="D189" s="109" t="str">
        <f t="shared" si="58"/>
        <v/>
      </c>
      <c r="E189" s="109" t="str">
        <f t="shared" si="59"/>
        <v/>
      </c>
      <c r="F189" s="109" t="str">
        <f t="shared" si="60"/>
        <v/>
      </c>
      <c r="G189" s="115" t="str">
        <f t="shared" si="70"/>
        <v/>
      </c>
      <c r="H189" s="116">
        <f t="shared" si="71"/>
        <v>0</v>
      </c>
      <c r="I189" s="109" t="str">
        <f t="shared" si="82"/>
        <v/>
      </c>
      <c r="J189" s="109" t="str">
        <f t="shared" si="61"/>
        <v/>
      </c>
      <c r="K189" s="109" t="str">
        <f t="shared" si="62"/>
        <v/>
      </c>
      <c r="L189" s="109" t="str">
        <f t="shared" si="63"/>
        <v/>
      </c>
      <c r="M189" s="109" t="str">
        <f t="shared" si="72"/>
        <v/>
      </c>
      <c r="N189" s="115" t="str">
        <f t="shared" si="73"/>
        <v/>
      </c>
      <c r="O189" s="61">
        <v>0</v>
      </c>
      <c r="P189" s="117">
        <f t="shared" si="74"/>
        <v>0</v>
      </c>
      <c r="R189" s="118" t="str">
        <f t="shared" si="84"/>
        <v/>
      </c>
      <c r="S189" s="119" t="str">
        <f t="shared" si="64"/>
        <v/>
      </c>
      <c r="T189" s="119" t="str">
        <f t="shared" si="65"/>
        <v/>
      </c>
      <c r="U189" s="120">
        <f t="shared" si="75"/>
        <v>0</v>
      </c>
      <c r="V189" s="121" t="str">
        <f>IF(A189="","",IF(A189&lt;=Periodos_Gracia,0,PPMT(Tasa_Anual/360*Días*(1+I.V.A.),Tabla!AM189,No._De_Pagos_con_periodo_de_gracia,-Monto_Crédito)))</f>
        <v/>
      </c>
      <c r="W189" s="111" t="str">
        <f>IF($U$258&lt;=0,V189,IF(SUM($U$18:U189)&lt;=0,V189,PMT($K$5/360*Días,A189,-R189)))</f>
        <v/>
      </c>
      <c r="X189" s="122" t="str">
        <f>IF($U$258&lt;=0,W189,IF(SUM($U$18:U189)&lt;=0,V189,PMT($K$5/360*Días,No._De_Pagos_con_periodo_de_gracia,-Monto_Crédito)-S189-T189))</f>
        <v/>
      </c>
      <c r="Y189" s="118" t="str">
        <f t="shared" si="76"/>
        <v/>
      </c>
      <c r="Z189" s="62" t="str">
        <f>+IF(A189="","",IF(No._de_Pagos-Tabla!A189+1&lt;=0,"",No._de_Pagos-Tabla!A189+1))</f>
        <v/>
      </c>
      <c r="AA189" s="123" t="str">
        <f t="shared" si="77"/>
        <v/>
      </c>
      <c r="AB189" s="125" t="str">
        <f t="shared" si="83"/>
        <v/>
      </c>
      <c r="AC189" s="125" t="str">
        <f t="shared" si="66"/>
        <v/>
      </c>
      <c r="AD189" s="125" t="str">
        <f t="shared" si="67"/>
        <v/>
      </c>
      <c r="AE189" s="120">
        <f t="shared" si="78"/>
        <v>0</v>
      </c>
      <c r="AF189" s="121" t="str">
        <f t="shared" si="68"/>
        <v/>
      </c>
      <c r="AG189" s="111" t="str">
        <f>IF($U$258&lt;=0,AF189,IF(SUM($U$18:U189)&lt;=0,AF189,PMT($K$5/360*Días,A189,-AA189)))</f>
        <v/>
      </c>
      <c r="AH189" s="122" t="str">
        <f>IF(A189&lt;=Periodos_Gracia,0,IF($U$258&lt;=0,AG189,IF(SUM($U$18:U189)&lt;=0,AF189,PMT($K$5/360*Días,No._de_Pagos,-Monto_Crédito)-AC189-AD189)))</f>
        <v/>
      </c>
      <c r="AI189" s="126" t="str">
        <f t="shared" si="79"/>
        <v/>
      </c>
      <c r="AK189" s="127" t="str">
        <f>IF(A189="","",IF(Periodos_Gracia&gt;0,Tabla!AN189,V189+S189))</f>
        <v/>
      </c>
      <c r="AL189" s="127" t="str">
        <f t="shared" si="69"/>
        <v/>
      </c>
      <c r="AM189" s="62" t="str">
        <f t="shared" si="80"/>
        <v/>
      </c>
      <c r="AN189" s="128" t="str">
        <f>IF(A189="","",IF(A189&lt;=Periodos_Gracia,Tabla!S189,PPMT(Tasa_Anual/360*Días*(1+I.V.A.),Tabla!AM189,No._De_Pagos_con_periodo_de_gracia,-Monto_Crédito)+S189))</f>
        <v/>
      </c>
      <c r="AO189" s="128" t="str">
        <f>IF(A189="","",IF(A189&lt;=Periodos_Gracia,Tabla!AC189,Monto_Crédito/(No._De_Pagos_con_periodo_de_gracia)+AC189))</f>
        <v/>
      </c>
      <c r="AP189" s="118"/>
    </row>
    <row r="190" spans="1:42">
      <c r="A190" s="108" t="str">
        <f>IF(A189&lt;Parámetros!$E$6,A189+1,"")</f>
        <v/>
      </c>
      <c r="B190" s="109" t="str">
        <f t="shared" si="81"/>
        <v/>
      </c>
      <c r="C190" s="109" t="str">
        <f t="shared" si="57"/>
        <v/>
      </c>
      <c r="D190" s="109" t="str">
        <f t="shared" si="58"/>
        <v/>
      </c>
      <c r="E190" s="109" t="str">
        <f t="shared" si="59"/>
        <v/>
      </c>
      <c r="F190" s="109" t="str">
        <f t="shared" si="60"/>
        <v/>
      </c>
      <c r="G190" s="115" t="str">
        <f t="shared" si="70"/>
        <v/>
      </c>
      <c r="H190" s="116">
        <f t="shared" si="71"/>
        <v>0</v>
      </c>
      <c r="I190" s="109" t="str">
        <f t="shared" si="82"/>
        <v/>
      </c>
      <c r="J190" s="109" t="str">
        <f t="shared" si="61"/>
        <v/>
      </c>
      <c r="K190" s="109" t="str">
        <f t="shared" si="62"/>
        <v/>
      </c>
      <c r="L190" s="109" t="str">
        <f t="shared" si="63"/>
        <v/>
      </c>
      <c r="M190" s="109" t="str">
        <f t="shared" si="72"/>
        <v/>
      </c>
      <c r="N190" s="115" t="str">
        <f t="shared" si="73"/>
        <v/>
      </c>
      <c r="O190" s="61">
        <v>0</v>
      </c>
      <c r="P190" s="117">
        <f t="shared" si="74"/>
        <v>0</v>
      </c>
      <c r="R190" s="118" t="str">
        <f t="shared" si="84"/>
        <v/>
      </c>
      <c r="S190" s="119" t="str">
        <f t="shared" si="64"/>
        <v/>
      </c>
      <c r="T190" s="119" t="str">
        <f t="shared" si="65"/>
        <v/>
      </c>
      <c r="U190" s="120">
        <f t="shared" si="75"/>
        <v>0</v>
      </c>
      <c r="V190" s="121" t="str">
        <f>IF(A190="","",IF(A190&lt;=Periodos_Gracia,0,PPMT(Tasa_Anual/360*Días*(1+I.V.A.),Tabla!AM190,No._De_Pagos_con_periodo_de_gracia,-Monto_Crédito)))</f>
        <v/>
      </c>
      <c r="W190" s="111" t="str">
        <f>IF($U$258&lt;=0,V190,IF(SUM($U$18:U190)&lt;=0,V190,PMT($K$5/360*Días,A190,-R190)))</f>
        <v/>
      </c>
      <c r="X190" s="122" t="str">
        <f>IF($U$258&lt;=0,W190,IF(SUM($U$18:U190)&lt;=0,V190,PMT($K$5/360*Días,No._De_Pagos_con_periodo_de_gracia,-Monto_Crédito)-S190-T190))</f>
        <v/>
      </c>
      <c r="Y190" s="118" t="str">
        <f t="shared" si="76"/>
        <v/>
      </c>
      <c r="Z190" s="62" t="str">
        <f>+IF(A190="","",IF(No._de_Pagos-Tabla!A190+1&lt;=0,"",No._de_Pagos-Tabla!A190+1))</f>
        <v/>
      </c>
      <c r="AA190" s="123" t="str">
        <f t="shared" si="77"/>
        <v/>
      </c>
      <c r="AB190" s="125" t="str">
        <f t="shared" si="83"/>
        <v/>
      </c>
      <c r="AC190" s="125" t="str">
        <f t="shared" si="66"/>
        <v/>
      </c>
      <c r="AD190" s="125" t="str">
        <f t="shared" si="67"/>
        <v/>
      </c>
      <c r="AE190" s="120">
        <f t="shared" si="78"/>
        <v>0</v>
      </c>
      <c r="AF190" s="121" t="str">
        <f t="shared" si="68"/>
        <v/>
      </c>
      <c r="AG190" s="111" t="str">
        <f>IF($U$258&lt;=0,AF190,IF(SUM($U$18:U190)&lt;=0,AF190,PMT($K$5/360*Días,A190,-AA190)))</f>
        <v/>
      </c>
      <c r="AH190" s="122" t="str">
        <f>IF(A190&lt;=Periodos_Gracia,0,IF($U$258&lt;=0,AG190,IF(SUM($U$18:U190)&lt;=0,AF190,PMT($K$5/360*Días,No._de_Pagos,-Monto_Crédito)-AC190-AD190)))</f>
        <v/>
      </c>
      <c r="AI190" s="126" t="str">
        <f t="shared" si="79"/>
        <v/>
      </c>
      <c r="AK190" s="127" t="str">
        <f>IF(A190="","",IF(Periodos_Gracia&gt;0,Tabla!AN190,V190+S190))</f>
        <v/>
      </c>
      <c r="AL190" s="127" t="str">
        <f t="shared" si="69"/>
        <v/>
      </c>
      <c r="AM190" s="62" t="str">
        <f t="shared" si="80"/>
        <v/>
      </c>
      <c r="AN190" s="128" t="str">
        <f>IF(A190="","",IF(A190&lt;=Periodos_Gracia,Tabla!S190,PPMT(Tasa_Anual/360*Días*(1+I.V.A.),Tabla!AM190,No._De_Pagos_con_periodo_de_gracia,-Monto_Crédito)+S190))</f>
        <v/>
      </c>
      <c r="AO190" s="128" t="str">
        <f>IF(A190="","",IF(A190&lt;=Periodos_Gracia,Tabla!AC190,Monto_Crédito/(No._De_Pagos_con_periodo_de_gracia)+AC190))</f>
        <v/>
      </c>
      <c r="AP190" s="118"/>
    </row>
    <row r="191" spans="1:42">
      <c r="A191" s="108" t="str">
        <f>IF(A190&lt;Parámetros!$E$6,A190+1,"")</f>
        <v/>
      </c>
      <c r="B191" s="109" t="str">
        <f t="shared" si="81"/>
        <v/>
      </c>
      <c r="C191" s="109" t="str">
        <f t="shared" si="57"/>
        <v/>
      </c>
      <c r="D191" s="109" t="str">
        <f t="shared" si="58"/>
        <v/>
      </c>
      <c r="E191" s="109" t="str">
        <f t="shared" si="59"/>
        <v/>
      </c>
      <c r="F191" s="109" t="str">
        <f t="shared" si="60"/>
        <v/>
      </c>
      <c r="G191" s="115" t="str">
        <f t="shared" si="70"/>
        <v/>
      </c>
      <c r="H191" s="116">
        <f t="shared" si="71"/>
        <v>0</v>
      </c>
      <c r="I191" s="109" t="str">
        <f t="shared" si="82"/>
        <v/>
      </c>
      <c r="J191" s="109" t="str">
        <f t="shared" si="61"/>
        <v/>
      </c>
      <c r="K191" s="109" t="str">
        <f t="shared" si="62"/>
        <v/>
      </c>
      <c r="L191" s="109" t="str">
        <f t="shared" si="63"/>
        <v/>
      </c>
      <c r="M191" s="109" t="str">
        <f t="shared" si="72"/>
        <v/>
      </c>
      <c r="N191" s="115" t="str">
        <f t="shared" si="73"/>
        <v/>
      </c>
      <c r="O191" s="61">
        <v>0</v>
      </c>
      <c r="P191" s="117">
        <f t="shared" si="74"/>
        <v>0</v>
      </c>
      <c r="R191" s="118" t="str">
        <f t="shared" si="84"/>
        <v/>
      </c>
      <c r="S191" s="119" t="str">
        <f t="shared" si="64"/>
        <v/>
      </c>
      <c r="T191" s="119" t="str">
        <f t="shared" si="65"/>
        <v/>
      </c>
      <c r="U191" s="120">
        <f t="shared" si="75"/>
        <v>0</v>
      </c>
      <c r="V191" s="121" t="str">
        <f>IF(A191="","",IF(A191&lt;=Periodos_Gracia,0,PPMT(Tasa_Anual/360*Días*(1+I.V.A.),Tabla!AM191,No._De_Pagos_con_periodo_de_gracia,-Monto_Crédito)))</f>
        <v/>
      </c>
      <c r="W191" s="111" t="str">
        <f>IF($U$258&lt;=0,V191,IF(SUM($U$18:U191)&lt;=0,V191,PMT($K$5/360*Días,A191,-R191)))</f>
        <v/>
      </c>
      <c r="X191" s="122" t="str">
        <f>IF($U$258&lt;=0,W191,IF(SUM($U$18:U191)&lt;=0,V191,PMT($K$5/360*Días,No._De_Pagos_con_periodo_de_gracia,-Monto_Crédito)-S191-T191))</f>
        <v/>
      </c>
      <c r="Y191" s="118" t="str">
        <f t="shared" si="76"/>
        <v/>
      </c>
      <c r="Z191" s="62" t="str">
        <f>+IF(A191="","",IF(No._de_Pagos-Tabla!A191+1&lt;=0,"",No._de_Pagos-Tabla!A191+1))</f>
        <v/>
      </c>
      <c r="AA191" s="123" t="str">
        <f t="shared" si="77"/>
        <v/>
      </c>
      <c r="AB191" s="125" t="str">
        <f t="shared" si="83"/>
        <v/>
      </c>
      <c r="AC191" s="125" t="str">
        <f t="shared" si="66"/>
        <v/>
      </c>
      <c r="AD191" s="125" t="str">
        <f t="shared" si="67"/>
        <v/>
      </c>
      <c r="AE191" s="120">
        <f t="shared" si="78"/>
        <v>0</v>
      </c>
      <c r="AF191" s="121" t="str">
        <f t="shared" si="68"/>
        <v/>
      </c>
      <c r="AG191" s="111" t="str">
        <f>IF($U$258&lt;=0,AF191,IF(SUM($U$18:U191)&lt;=0,AF191,PMT($K$5/360*Días,A191,-AA191)))</f>
        <v/>
      </c>
      <c r="AH191" s="122" t="str">
        <f>IF(A191&lt;=Periodos_Gracia,0,IF($U$258&lt;=0,AG191,IF(SUM($U$18:U191)&lt;=0,AF191,PMT($K$5/360*Días,No._de_Pagos,-Monto_Crédito)-AC191-AD191)))</f>
        <v/>
      </c>
      <c r="AI191" s="126" t="str">
        <f t="shared" si="79"/>
        <v/>
      </c>
      <c r="AK191" s="127" t="str">
        <f>IF(A191="","",IF(Periodos_Gracia&gt;0,Tabla!AN191,V191+S191))</f>
        <v/>
      </c>
      <c r="AL191" s="127" t="str">
        <f t="shared" si="69"/>
        <v/>
      </c>
      <c r="AM191" s="62" t="str">
        <f t="shared" si="80"/>
        <v/>
      </c>
      <c r="AN191" s="128" t="str">
        <f>IF(A191="","",IF(A191&lt;=Periodos_Gracia,Tabla!S191,PPMT(Tasa_Anual/360*Días*(1+I.V.A.),Tabla!AM191,No._De_Pagos_con_periodo_de_gracia,-Monto_Crédito)+S191))</f>
        <v/>
      </c>
      <c r="AO191" s="128" t="str">
        <f>IF(A191="","",IF(A191&lt;=Periodos_Gracia,Tabla!AC191,Monto_Crédito/(No._De_Pagos_con_periodo_de_gracia)+AC191))</f>
        <v/>
      </c>
      <c r="AP191" s="118"/>
    </row>
    <row r="192" spans="1:42">
      <c r="A192" s="108" t="str">
        <f>IF(A191&lt;Parámetros!$E$6,A191+1,"")</f>
        <v/>
      </c>
      <c r="B192" s="109" t="str">
        <f t="shared" si="81"/>
        <v/>
      </c>
      <c r="C192" s="109" t="str">
        <f t="shared" si="57"/>
        <v/>
      </c>
      <c r="D192" s="109" t="str">
        <f t="shared" si="58"/>
        <v/>
      </c>
      <c r="E192" s="109" t="str">
        <f t="shared" si="59"/>
        <v/>
      </c>
      <c r="F192" s="109" t="str">
        <f t="shared" si="60"/>
        <v/>
      </c>
      <c r="G192" s="115" t="str">
        <f t="shared" si="70"/>
        <v/>
      </c>
      <c r="H192" s="116">
        <f t="shared" si="71"/>
        <v>0</v>
      </c>
      <c r="I192" s="109" t="str">
        <f t="shared" si="82"/>
        <v/>
      </c>
      <c r="J192" s="109" t="str">
        <f t="shared" si="61"/>
        <v/>
      </c>
      <c r="K192" s="109" t="str">
        <f t="shared" si="62"/>
        <v/>
      </c>
      <c r="L192" s="109" t="str">
        <f t="shared" si="63"/>
        <v/>
      </c>
      <c r="M192" s="109" t="str">
        <f t="shared" si="72"/>
        <v/>
      </c>
      <c r="N192" s="115" t="str">
        <f t="shared" si="73"/>
        <v/>
      </c>
      <c r="O192" s="61">
        <v>0</v>
      </c>
      <c r="P192" s="117">
        <f t="shared" si="74"/>
        <v>0</v>
      </c>
      <c r="R192" s="118" t="str">
        <f t="shared" si="84"/>
        <v/>
      </c>
      <c r="S192" s="119" t="str">
        <f t="shared" si="64"/>
        <v/>
      </c>
      <c r="T192" s="119" t="str">
        <f t="shared" si="65"/>
        <v/>
      </c>
      <c r="U192" s="120">
        <f t="shared" si="75"/>
        <v>0</v>
      </c>
      <c r="V192" s="121" t="str">
        <f>IF(A192="","",IF(A192&lt;=Periodos_Gracia,0,PPMT(Tasa_Anual/360*Días*(1+I.V.A.),Tabla!AM192,No._De_Pagos_con_periodo_de_gracia,-Monto_Crédito)))</f>
        <v/>
      </c>
      <c r="W192" s="111" t="str">
        <f>IF($U$258&lt;=0,V192,IF(SUM($U$18:U192)&lt;=0,V192,PMT($K$5/360*Días,A192,-R192)))</f>
        <v/>
      </c>
      <c r="X192" s="122" t="str">
        <f>IF($U$258&lt;=0,W192,IF(SUM($U$18:U192)&lt;=0,V192,PMT($K$5/360*Días,No._De_Pagos_con_periodo_de_gracia,-Monto_Crédito)-S192-T192))</f>
        <v/>
      </c>
      <c r="Y192" s="118" t="str">
        <f t="shared" si="76"/>
        <v/>
      </c>
      <c r="Z192" s="62" t="str">
        <f>+IF(A192="","",IF(No._de_Pagos-Tabla!A192+1&lt;=0,"",No._de_Pagos-Tabla!A192+1))</f>
        <v/>
      </c>
      <c r="AA192" s="123" t="str">
        <f t="shared" si="77"/>
        <v/>
      </c>
      <c r="AB192" s="125" t="str">
        <f t="shared" si="83"/>
        <v/>
      </c>
      <c r="AC192" s="125" t="str">
        <f t="shared" si="66"/>
        <v/>
      </c>
      <c r="AD192" s="125" t="str">
        <f t="shared" si="67"/>
        <v/>
      </c>
      <c r="AE192" s="120">
        <f t="shared" si="78"/>
        <v>0</v>
      </c>
      <c r="AF192" s="121" t="str">
        <f t="shared" si="68"/>
        <v/>
      </c>
      <c r="AG192" s="111" t="str">
        <f>IF($U$258&lt;=0,AF192,IF(SUM($U$18:U192)&lt;=0,AF192,PMT($K$5/360*Días,A192,-AA192)))</f>
        <v/>
      </c>
      <c r="AH192" s="122" t="str">
        <f>IF(A192&lt;=Periodos_Gracia,0,IF($U$258&lt;=0,AG192,IF(SUM($U$18:U192)&lt;=0,AF192,PMT($K$5/360*Días,No._de_Pagos,-Monto_Crédito)-AC192-AD192)))</f>
        <v/>
      </c>
      <c r="AI192" s="126" t="str">
        <f t="shared" si="79"/>
        <v/>
      </c>
      <c r="AK192" s="127" t="str">
        <f>IF(A192="","",IF(Periodos_Gracia&gt;0,Tabla!AN192,V192+S192))</f>
        <v/>
      </c>
      <c r="AL192" s="127" t="str">
        <f t="shared" si="69"/>
        <v/>
      </c>
      <c r="AM192" s="62" t="str">
        <f t="shared" si="80"/>
        <v/>
      </c>
      <c r="AN192" s="128" t="str">
        <f>IF(A192="","",IF(A192&lt;=Periodos_Gracia,Tabla!S192,PPMT(Tasa_Anual/360*Días*(1+I.V.A.),Tabla!AM192,No._De_Pagos_con_periodo_de_gracia,-Monto_Crédito)+S192))</f>
        <v/>
      </c>
      <c r="AO192" s="128" t="str">
        <f>IF(A192="","",IF(A192&lt;=Periodos_Gracia,Tabla!AC192,Monto_Crédito/(No._De_Pagos_con_periodo_de_gracia)+AC192))</f>
        <v/>
      </c>
      <c r="AP192" s="118"/>
    </row>
    <row r="193" spans="1:42">
      <c r="A193" s="108" t="str">
        <f>IF(A192&lt;Parámetros!$E$6,A192+1,"")</f>
        <v/>
      </c>
      <c r="B193" s="109" t="str">
        <f t="shared" si="81"/>
        <v/>
      </c>
      <c r="C193" s="109" t="str">
        <f t="shared" si="57"/>
        <v/>
      </c>
      <c r="D193" s="109" t="str">
        <f t="shared" si="58"/>
        <v/>
      </c>
      <c r="E193" s="109" t="str">
        <f t="shared" si="59"/>
        <v/>
      </c>
      <c r="F193" s="109" t="str">
        <f t="shared" si="60"/>
        <v/>
      </c>
      <c r="G193" s="115" t="str">
        <f t="shared" si="70"/>
        <v/>
      </c>
      <c r="H193" s="116">
        <f t="shared" si="71"/>
        <v>0</v>
      </c>
      <c r="I193" s="109" t="str">
        <f t="shared" si="82"/>
        <v/>
      </c>
      <c r="J193" s="109" t="str">
        <f t="shared" si="61"/>
        <v/>
      </c>
      <c r="K193" s="109" t="str">
        <f t="shared" si="62"/>
        <v/>
      </c>
      <c r="L193" s="109" t="str">
        <f t="shared" si="63"/>
        <v/>
      </c>
      <c r="M193" s="109" t="str">
        <f t="shared" si="72"/>
        <v/>
      </c>
      <c r="N193" s="115" t="str">
        <f t="shared" si="73"/>
        <v/>
      </c>
      <c r="O193" s="61">
        <v>0</v>
      </c>
      <c r="P193" s="117">
        <f t="shared" si="74"/>
        <v>0</v>
      </c>
      <c r="R193" s="118" t="str">
        <f t="shared" si="84"/>
        <v/>
      </c>
      <c r="S193" s="119" t="str">
        <f t="shared" si="64"/>
        <v/>
      </c>
      <c r="T193" s="119" t="str">
        <f t="shared" si="65"/>
        <v/>
      </c>
      <c r="U193" s="120">
        <f t="shared" si="75"/>
        <v>0</v>
      </c>
      <c r="V193" s="121" t="str">
        <f>IF(A193="","",IF(A193&lt;=Periodos_Gracia,0,PPMT(Tasa_Anual/360*Días*(1+I.V.A.),Tabla!AM193,No._De_Pagos_con_periodo_de_gracia,-Monto_Crédito)))</f>
        <v/>
      </c>
      <c r="W193" s="111" t="str">
        <f>IF($U$258&lt;=0,V193,IF(SUM($U$18:U193)&lt;=0,V193,PMT($K$5/360*Días,A193,-R193)))</f>
        <v/>
      </c>
      <c r="X193" s="122" t="str">
        <f>IF($U$258&lt;=0,W193,IF(SUM($U$18:U193)&lt;=0,V193,PMT($K$5/360*Días,No._De_Pagos_con_periodo_de_gracia,-Monto_Crédito)-S193-T193))</f>
        <v/>
      </c>
      <c r="Y193" s="118" t="str">
        <f t="shared" si="76"/>
        <v/>
      </c>
      <c r="Z193" s="62" t="str">
        <f>+IF(A193="","",IF(No._de_Pagos-Tabla!A193+1&lt;=0,"",No._de_Pagos-Tabla!A193+1))</f>
        <v/>
      </c>
      <c r="AA193" s="123" t="str">
        <f t="shared" si="77"/>
        <v/>
      </c>
      <c r="AB193" s="125" t="str">
        <f t="shared" si="83"/>
        <v/>
      </c>
      <c r="AC193" s="125" t="str">
        <f t="shared" si="66"/>
        <v/>
      </c>
      <c r="AD193" s="125" t="str">
        <f t="shared" si="67"/>
        <v/>
      </c>
      <c r="AE193" s="120">
        <f t="shared" si="78"/>
        <v>0</v>
      </c>
      <c r="AF193" s="121" t="str">
        <f t="shared" si="68"/>
        <v/>
      </c>
      <c r="AG193" s="111" t="str">
        <f>IF($U$258&lt;=0,AF193,IF(SUM($U$18:U193)&lt;=0,AF193,PMT($K$5/360*Días,A193,-AA193)))</f>
        <v/>
      </c>
      <c r="AH193" s="122" t="str">
        <f>IF(A193&lt;=Periodos_Gracia,0,IF($U$258&lt;=0,AG193,IF(SUM($U$18:U193)&lt;=0,AF193,PMT($K$5/360*Días,No._de_Pagos,-Monto_Crédito)-AC193-AD193)))</f>
        <v/>
      </c>
      <c r="AI193" s="126" t="str">
        <f t="shared" si="79"/>
        <v/>
      </c>
      <c r="AK193" s="127" t="str">
        <f>IF(A193="","",IF(Periodos_Gracia&gt;0,Tabla!AN193,V193+S193))</f>
        <v/>
      </c>
      <c r="AL193" s="127" t="str">
        <f t="shared" si="69"/>
        <v/>
      </c>
      <c r="AM193" s="62" t="str">
        <f t="shared" si="80"/>
        <v/>
      </c>
      <c r="AN193" s="128" t="str">
        <f>IF(A193="","",IF(A193&lt;=Periodos_Gracia,Tabla!S193,PPMT(Tasa_Anual/360*Días*(1+I.V.A.),Tabla!AM193,No._De_Pagos_con_periodo_de_gracia,-Monto_Crédito)+S193))</f>
        <v/>
      </c>
      <c r="AO193" s="128" t="str">
        <f>IF(A193="","",IF(A193&lt;=Periodos_Gracia,Tabla!AC193,Monto_Crédito/(No._De_Pagos_con_periodo_de_gracia)+AC193))</f>
        <v/>
      </c>
      <c r="AP193" s="118"/>
    </row>
    <row r="194" spans="1:42">
      <c r="A194" s="108" t="str">
        <f>IF(A193&lt;Parámetros!$E$6,A193+1,"")</f>
        <v/>
      </c>
      <c r="B194" s="109" t="str">
        <f t="shared" si="81"/>
        <v/>
      </c>
      <c r="C194" s="109" t="str">
        <f t="shared" si="57"/>
        <v/>
      </c>
      <c r="D194" s="109" t="str">
        <f t="shared" si="58"/>
        <v/>
      </c>
      <c r="E194" s="109" t="str">
        <f t="shared" si="59"/>
        <v/>
      </c>
      <c r="F194" s="109" t="str">
        <f t="shared" si="60"/>
        <v/>
      </c>
      <c r="G194" s="115" t="str">
        <f t="shared" si="70"/>
        <v/>
      </c>
      <c r="H194" s="116">
        <f t="shared" si="71"/>
        <v>0</v>
      </c>
      <c r="I194" s="109" t="str">
        <f t="shared" si="82"/>
        <v/>
      </c>
      <c r="J194" s="109" t="str">
        <f t="shared" si="61"/>
        <v/>
      </c>
      <c r="K194" s="109" t="str">
        <f t="shared" si="62"/>
        <v/>
      </c>
      <c r="L194" s="109" t="str">
        <f t="shared" si="63"/>
        <v/>
      </c>
      <c r="M194" s="109" t="str">
        <f t="shared" si="72"/>
        <v/>
      </c>
      <c r="N194" s="115" t="str">
        <f t="shared" si="73"/>
        <v/>
      </c>
      <c r="O194" s="61">
        <v>0</v>
      </c>
      <c r="P194" s="117">
        <f t="shared" si="74"/>
        <v>0</v>
      </c>
      <c r="R194" s="118" t="str">
        <f t="shared" si="84"/>
        <v/>
      </c>
      <c r="S194" s="119" t="str">
        <f t="shared" si="64"/>
        <v/>
      </c>
      <c r="T194" s="119" t="str">
        <f t="shared" si="65"/>
        <v/>
      </c>
      <c r="U194" s="120">
        <f t="shared" si="75"/>
        <v>0</v>
      </c>
      <c r="V194" s="121" t="str">
        <f>IF(A194="","",IF(A194&lt;=Periodos_Gracia,0,PPMT(Tasa_Anual/360*Días*(1+I.V.A.),Tabla!AM194,No._De_Pagos_con_periodo_de_gracia,-Monto_Crédito)))</f>
        <v/>
      </c>
      <c r="W194" s="111" t="str">
        <f>IF($U$258&lt;=0,V194,IF(SUM($U$18:U194)&lt;=0,V194,PMT($K$5/360*Días,A194,-R194)))</f>
        <v/>
      </c>
      <c r="X194" s="122" t="str">
        <f>IF($U$258&lt;=0,W194,IF(SUM($U$18:U194)&lt;=0,V194,PMT($K$5/360*Días,No._De_Pagos_con_periodo_de_gracia,-Monto_Crédito)-S194-T194))</f>
        <v/>
      </c>
      <c r="Y194" s="118" t="str">
        <f t="shared" si="76"/>
        <v/>
      </c>
      <c r="Z194" s="62" t="str">
        <f>+IF(A194="","",IF(No._de_Pagos-Tabla!A194+1&lt;=0,"",No._de_Pagos-Tabla!A194+1))</f>
        <v/>
      </c>
      <c r="AA194" s="123" t="str">
        <f t="shared" si="77"/>
        <v/>
      </c>
      <c r="AB194" s="125" t="str">
        <f t="shared" si="83"/>
        <v/>
      </c>
      <c r="AC194" s="125" t="str">
        <f t="shared" si="66"/>
        <v/>
      </c>
      <c r="AD194" s="125" t="str">
        <f t="shared" si="67"/>
        <v/>
      </c>
      <c r="AE194" s="120">
        <f t="shared" si="78"/>
        <v>0</v>
      </c>
      <c r="AF194" s="121" t="str">
        <f t="shared" si="68"/>
        <v/>
      </c>
      <c r="AG194" s="111" t="str">
        <f>IF($U$258&lt;=0,AF194,IF(SUM($U$18:U194)&lt;=0,AF194,PMT($K$5/360*Días,A194,-AA194)))</f>
        <v/>
      </c>
      <c r="AH194" s="122" t="str">
        <f>IF(A194&lt;=Periodos_Gracia,0,IF($U$258&lt;=0,AG194,IF(SUM($U$18:U194)&lt;=0,AF194,PMT($K$5/360*Días,No._de_Pagos,-Monto_Crédito)-AC194-AD194)))</f>
        <v/>
      </c>
      <c r="AI194" s="126" t="str">
        <f t="shared" si="79"/>
        <v/>
      </c>
      <c r="AK194" s="127" t="str">
        <f>IF(A194="","",IF(Periodos_Gracia&gt;0,Tabla!AN194,V194+S194))</f>
        <v/>
      </c>
      <c r="AL194" s="127" t="str">
        <f t="shared" si="69"/>
        <v/>
      </c>
      <c r="AM194" s="62" t="str">
        <f t="shared" si="80"/>
        <v/>
      </c>
      <c r="AN194" s="128" t="str">
        <f>IF(A194="","",IF(A194&lt;=Periodos_Gracia,Tabla!S194,PPMT(Tasa_Anual/360*Días*(1+I.V.A.),Tabla!AM194,No._De_Pagos_con_periodo_de_gracia,-Monto_Crédito)+S194))</f>
        <v/>
      </c>
      <c r="AO194" s="128" t="str">
        <f>IF(A194="","",IF(A194&lt;=Periodos_Gracia,Tabla!AC194,Monto_Crédito/(No._De_Pagos_con_periodo_de_gracia)+AC194))</f>
        <v/>
      </c>
      <c r="AP194" s="118"/>
    </row>
    <row r="195" spans="1:42">
      <c r="A195" s="108" t="str">
        <f>IF(A194&lt;Parámetros!$E$6,A194+1,"")</f>
        <v/>
      </c>
      <c r="B195" s="109" t="str">
        <f t="shared" si="81"/>
        <v/>
      </c>
      <c r="C195" s="109" t="str">
        <f t="shared" si="57"/>
        <v/>
      </c>
      <c r="D195" s="109" t="str">
        <f t="shared" si="58"/>
        <v/>
      </c>
      <c r="E195" s="109" t="str">
        <f t="shared" si="59"/>
        <v/>
      </c>
      <c r="F195" s="109" t="str">
        <f t="shared" si="60"/>
        <v/>
      </c>
      <c r="G195" s="115" t="str">
        <f t="shared" si="70"/>
        <v/>
      </c>
      <c r="H195" s="116">
        <f t="shared" si="71"/>
        <v>0</v>
      </c>
      <c r="I195" s="109" t="str">
        <f t="shared" si="82"/>
        <v/>
      </c>
      <c r="J195" s="109" t="str">
        <f t="shared" si="61"/>
        <v/>
      </c>
      <c r="K195" s="109" t="str">
        <f t="shared" si="62"/>
        <v/>
      </c>
      <c r="L195" s="109" t="str">
        <f t="shared" si="63"/>
        <v/>
      </c>
      <c r="M195" s="109" t="str">
        <f t="shared" si="72"/>
        <v/>
      </c>
      <c r="N195" s="115" t="str">
        <f t="shared" si="73"/>
        <v/>
      </c>
      <c r="O195" s="61">
        <v>0</v>
      </c>
      <c r="P195" s="117">
        <f t="shared" si="74"/>
        <v>0</v>
      </c>
      <c r="R195" s="118" t="str">
        <f t="shared" si="84"/>
        <v/>
      </c>
      <c r="S195" s="119" t="str">
        <f t="shared" si="64"/>
        <v/>
      </c>
      <c r="T195" s="119" t="str">
        <f t="shared" si="65"/>
        <v/>
      </c>
      <c r="U195" s="120">
        <f t="shared" si="75"/>
        <v>0</v>
      </c>
      <c r="V195" s="121" t="str">
        <f>IF(A195="","",IF(A195&lt;=Periodos_Gracia,0,PPMT(Tasa_Anual/360*Días*(1+I.V.A.),Tabla!AM195,No._De_Pagos_con_periodo_de_gracia,-Monto_Crédito)))</f>
        <v/>
      </c>
      <c r="W195" s="111" t="str">
        <f>IF($U$258&lt;=0,V195,IF(SUM($U$18:U195)&lt;=0,V195,PMT($K$5/360*Días,A195,-R195)))</f>
        <v/>
      </c>
      <c r="X195" s="122" t="str">
        <f>IF($U$258&lt;=0,W195,IF(SUM($U$18:U195)&lt;=0,V195,PMT($K$5/360*Días,No._De_Pagos_con_periodo_de_gracia,-Monto_Crédito)-S195-T195))</f>
        <v/>
      </c>
      <c r="Y195" s="118" t="str">
        <f t="shared" si="76"/>
        <v/>
      </c>
      <c r="Z195" s="62" t="str">
        <f>+IF(A195="","",IF(No._de_Pagos-Tabla!A195+1&lt;=0,"",No._de_Pagos-Tabla!A195+1))</f>
        <v/>
      </c>
      <c r="AA195" s="123" t="str">
        <f t="shared" si="77"/>
        <v/>
      </c>
      <c r="AB195" s="125" t="str">
        <f t="shared" si="83"/>
        <v/>
      </c>
      <c r="AC195" s="125" t="str">
        <f t="shared" si="66"/>
        <v/>
      </c>
      <c r="AD195" s="125" t="str">
        <f t="shared" si="67"/>
        <v/>
      </c>
      <c r="AE195" s="120">
        <f t="shared" si="78"/>
        <v>0</v>
      </c>
      <c r="AF195" s="121" t="str">
        <f t="shared" si="68"/>
        <v/>
      </c>
      <c r="AG195" s="111" t="str">
        <f>IF($U$258&lt;=0,AF195,IF(SUM($U$18:U195)&lt;=0,AF195,PMT($K$5/360*Días,A195,-AA195)))</f>
        <v/>
      </c>
      <c r="AH195" s="122" t="str">
        <f>IF(A195&lt;=Periodos_Gracia,0,IF($U$258&lt;=0,AG195,IF(SUM($U$18:U195)&lt;=0,AF195,PMT($K$5/360*Días,No._de_Pagos,-Monto_Crédito)-AC195-AD195)))</f>
        <v/>
      </c>
      <c r="AI195" s="126" t="str">
        <f t="shared" si="79"/>
        <v/>
      </c>
      <c r="AK195" s="127" t="str">
        <f>IF(A195="","",IF(Periodos_Gracia&gt;0,Tabla!AN195,V195+S195))</f>
        <v/>
      </c>
      <c r="AL195" s="127" t="str">
        <f t="shared" si="69"/>
        <v/>
      </c>
      <c r="AM195" s="62" t="str">
        <f t="shared" si="80"/>
        <v/>
      </c>
      <c r="AN195" s="128" t="str">
        <f>IF(A195="","",IF(A195&lt;=Periodos_Gracia,Tabla!S195,PPMT(Tasa_Anual/360*Días*(1+I.V.A.),Tabla!AM195,No._De_Pagos_con_periodo_de_gracia,-Monto_Crédito)+S195))</f>
        <v/>
      </c>
      <c r="AO195" s="128" t="str">
        <f>IF(A195="","",IF(A195&lt;=Periodos_Gracia,Tabla!AC195,Monto_Crédito/(No._De_Pagos_con_periodo_de_gracia)+AC195))</f>
        <v/>
      </c>
      <c r="AP195" s="118"/>
    </row>
    <row r="196" spans="1:42">
      <c r="A196" s="108" t="str">
        <f>IF(A195&lt;Parámetros!$E$6,A195+1,"")</f>
        <v/>
      </c>
      <c r="B196" s="109" t="str">
        <f t="shared" si="81"/>
        <v/>
      </c>
      <c r="C196" s="109" t="str">
        <f t="shared" si="57"/>
        <v/>
      </c>
      <c r="D196" s="109" t="str">
        <f t="shared" si="58"/>
        <v/>
      </c>
      <c r="E196" s="109" t="str">
        <f t="shared" si="59"/>
        <v/>
      </c>
      <c r="F196" s="109" t="str">
        <f t="shared" si="60"/>
        <v/>
      </c>
      <c r="G196" s="115" t="str">
        <f t="shared" si="70"/>
        <v/>
      </c>
      <c r="H196" s="116">
        <f t="shared" si="71"/>
        <v>0</v>
      </c>
      <c r="I196" s="109" t="str">
        <f t="shared" si="82"/>
        <v/>
      </c>
      <c r="J196" s="109" t="str">
        <f t="shared" si="61"/>
        <v/>
      </c>
      <c r="K196" s="109" t="str">
        <f t="shared" si="62"/>
        <v/>
      </c>
      <c r="L196" s="109" t="str">
        <f t="shared" si="63"/>
        <v/>
      </c>
      <c r="M196" s="109" t="str">
        <f t="shared" si="72"/>
        <v/>
      </c>
      <c r="N196" s="115" t="str">
        <f t="shared" si="73"/>
        <v/>
      </c>
      <c r="O196" s="61">
        <v>0</v>
      </c>
      <c r="P196" s="117">
        <f t="shared" si="74"/>
        <v>0</v>
      </c>
      <c r="R196" s="118" t="str">
        <f t="shared" si="84"/>
        <v/>
      </c>
      <c r="S196" s="119" t="str">
        <f t="shared" si="64"/>
        <v/>
      </c>
      <c r="T196" s="119" t="str">
        <f t="shared" si="65"/>
        <v/>
      </c>
      <c r="U196" s="120">
        <f t="shared" si="75"/>
        <v>0</v>
      </c>
      <c r="V196" s="121" t="str">
        <f>IF(A196="","",IF(A196&lt;=Periodos_Gracia,0,PPMT(Tasa_Anual/360*Días*(1+I.V.A.),Tabla!AM196,No._De_Pagos_con_periodo_de_gracia,-Monto_Crédito)))</f>
        <v/>
      </c>
      <c r="W196" s="111" t="str">
        <f>IF($U$258&lt;=0,V196,IF(SUM($U$18:U196)&lt;=0,V196,PMT($K$5/360*Días,A196,-R196)))</f>
        <v/>
      </c>
      <c r="X196" s="122" t="str">
        <f>IF($U$258&lt;=0,W196,IF(SUM($U$18:U196)&lt;=0,V196,PMT($K$5/360*Días,No._De_Pagos_con_periodo_de_gracia,-Monto_Crédito)-S196-T196))</f>
        <v/>
      </c>
      <c r="Y196" s="118" t="str">
        <f t="shared" si="76"/>
        <v/>
      </c>
      <c r="Z196" s="62" t="str">
        <f>+IF(A196="","",IF(No._de_Pagos-Tabla!A196+1&lt;=0,"",No._de_Pagos-Tabla!A196+1))</f>
        <v/>
      </c>
      <c r="AA196" s="123" t="str">
        <f t="shared" si="77"/>
        <v/>
      </c>
      <c r="AB196" s="125" t="str">
        <f t="shared" si="83"/>
        <v/>
      </c>
      <c r="AC196" s="125" t="str">
        <f t="shared" si="66"/>
        <v/>
      </c>
      <c r="AD196" s="125" t="str">
        <f t="shared" si="67"/>
        <v/>
      </c>
      <c r="AE196" s="120">
        <f t="shared" si="78"/>
        <v>0</v>
      </c>
      <c r="AF196" s="121" t="str">
        <f t="shared" si="68"/>
        <v/>
      </c>
      <c r="AG196" s="111" t="str">
        <f>IF($U$258&lt;=0,AF196,IF(SUM($U$18:U196)&lt;=0,AF196,PMT($K$5/360*Días,A196,-AA196)))</f>
        <v/>
      </c>
      <c r="AH196" s="122" t="str">
        <f>IF(A196&lt;=Periodos_Gracia,0,IF($U$258&lt;=0,AG196,IF(SUM($U$18:U196)&lt;=0,AF196,PMT($K$5/360*Días,No._de_Pagos,-Monto_Crédito)-AC196-AD196)))</f>
        <v/>
      </c>
      <c r="AI196" s="126" t="str">
        <f t="shared" si="79"/>
        <v/>
      </c>
      <c r="AK196" s="127" t="str">
        <f>IF(A196="","",IF(Periodos_Gracia&gt;0,Tabla!AN196,V196+S196))</f>
        <v/>
      </c>
      <c r="AL196" s="127" t="str">
        <f t="shared" si="69"/>
        <v/>
      </c>
      <c r="AM196" s="62" t="str">
        <f t="shared" si="80"/>
        <v/>
      </c>
      <c r="AN196" s="128" t="str">
        <f>IF(A196="","",IF(A196&lt;=Periodos_Gracia,Tabla!S196,PPMT(Tasa_Anual/360*Días*(1+I.V.A.),Tabla!AM196,No._De_Pagos_con_periodo_de_gracia,-Monto_Crédito)+S196))</f>
        <v/>
      </c>
      <c r="AO196" s="128" t="str">
        <f>IF(A196="","",IF(A196&lt;=Periodos_Gracia,Tabla!AC196,Monto_Crédito/(No._De_Pagos_con_periodo_de_gracia)+AC196))</f>
        <v/>
      </c>
      <c r="AP196" s="118"/>
    </row>
    <row r="197" spans="1:42">
      <c r="A197" s="108" t="str">
        <f>IF(A196&lt;Parámetros!$E$6,A196+1,"")</f>
        <v/>
      </c>
      <c r="B197" s="109" t="str">
        <f t="shared" si="81"/>
        <v/>
      </c>
      <c r="C197" s="109" t="str">
        <f t="shared" si="57"/>
        <v/>
      </c>
      <c r="D197" s="109" t="str">
        <f t="shared" si="58"/>
        <v/>
      </c>
      <c r="E197" s="109" t="str">
        <f t="shared" si="59"/>
        <v/>
      </c>
      <c r="F197" s="109" t="str">
        <f t="shared" si="60"/>
        <v/>
      </c>
      <c r="G197" s="115" t="str">
        <f t="shared" si="70"/>
        <v/>
      </c>
      <c r="H197" s="116">
        <f t="shared" si="71"/>
        <v>0</v>
      </c>
      <c r="I197" s="109" t="str">
        <f t="shared" si="82"/>
        <v/>
      </c>
      <c r="J197" s="109" t="str">
        <f t="shared" si="61"/>
        <v/>
      </c>
      <c r="K197" s="109" t="str">
        <f t="shared" si="62"/>
        <v/>
      </c>
      <c r="L197" s="109" t="str">
        <f t="shared" si="63"/>
        <v/>
      </c>
      <c r="M197" s="109" t="str">
        <f t="shared" si="72"/>
        <v/>
      </c>
      <c r="N197" s="115" t="str">
        <f t="shared" si="73"/>
        <v/>
      </c>
      <c r="O197" s="61">
        <v>0</v>
      </c>
      <c r="P197" s="117">
        <f t="shared" si="74"/>
        <v>0</v>
      </c>
      <c r="R197" s="118" t="str">
        <f t="shared" si="84"/>
        <v/>
      </c>
      <c r="S197" s="119" t="str">
        <f t="shared" si="64"/>
        <v/>
      </c>
      <c r="T197" s="119" t="str">
        <f t="shared" si="65"/>
        <v/>
      </c>
      <c r="U197" s="120">
        <f t="shared" si="75"/>
        <v>0</v>
      </c>
      <c r="V197" s="121" t="str">
        <f>IF(A197="","",IF(A197&lt;=Periodos_Gracia,0,PPMT(Tasa_Anual/360*Días*(1+I.V.A.),Tabla!AM197,No._De_Pagos_con_periodo_de_gracia,-Monto_Crédito)))</f>
        <v/>
      </c>
      <c r="W197" s="111" t="str">
        <f>IF($U$258&lt;=0,V197,IF(SUM($U$18:U197)&lt;=0,V197,PMT($K$5/360*Días,A197,-R197)))</f>
        <v/>
      </c>
      <c r="X197" s="122" t="str">
        <f>IF($U$258&lt;=0,W197,IF(SUM($U$18:U197)&lt;=0,V197,PMT($K$5/360*Días,No._De_Pagos_con_periodo_de_gracia,-Monto_Crédito)-S197-T197))</f>
        <v/>
      </c>
      <c r="Y197" s="118" t="str">
        <f t="shared" si="76"/>
        <v/>
      </c>
      <c r="Z197" s="62" t="str">
        <f>+IF(A197="","",IF(No._de_Pagos-Tabla!A197+1&lt;=0,"",No._de_Pagos-Tabla!A197+1))</f>
        <v/>
      </c>
      <c r="AA197" s="123" t="str">
        <f t="shared" si="77"/>
        <v/>
      </c>
      <c r="AB197" s="125" t="str">
        <f t="shared" si="83"/>
        <v/>
      </c>
      <c r="AC197" s="125" t="str">
        <f t="shared" si="66"/>
        <v/>
      </c>
      <c r="AD197" s="125" t="str">
        <f t="shared" si="67"/>
        <v/>
      </c>
      <c r="AE197" s="120">
        <f t="shared" si="78"/>
        <v>0</v>
      </c>
      <c r="AF197" s="121" t="str">
        <f t="shared" si="68"/>
        <v/>
      </c>
      <c r="AG197" s="111" t="str">
        <f>IF($U$258&lt;=0,AF197,IF(SUM($U$18:U197)&lt;=0,AF197,PMT($K$5/360*Días,A197,-AA197)))</f>
        <v/>
      </c>
      <c r="AH197" s="122" t="str">
        <f>IF(A197&lt;=Periodos_Gracia,0,IF($U$258&lt;=0,AG197,IF(SUM($U$18:U197)&lt;=0,AF197,PMT($K$5/360*Días,No._de_Pagos,-Monto_Crédito)-AC197-AD197)))</f>
        <v/>
      </c>
      <c r="AI197" s="126" t="str">
        <f t="shared" si="79"/>
        <v/>
      </c>
      <c r="AK197" s="127" t="str">
        <f>IF(A197="","",IF(Periodos_Gracia&gt;0,Tabla!AN197,V197+S197))</f>
        <v/>
      </c>
      <c r="AL197" s="127" t="str">
        <f t="shared" si="69"/>
        <v/>
      </c>
      <c r="AM197" s="62" t="str">
        <f t="shared" si="80"/>
        <v/>
      </c>
      <c r="AN197" s="128" t="str">
        <f>IF(A197="","",IF(A197&lt;=Periodos_Gracia,Tabla!S197,PPMT(Tasa_Anual/360*Días*(1+I.V.A.),Tabla!AM197,No._De_Pagos_con_periodo_de_gracia,-Monto_Crédito)+S197))</f>
        <v/>
      </c>
      <c r="AO197" s="128" t="str">
        <f>IF(A197="","",IF(A197&lt;=Periodos_Gracia,Tabla!AC197,Monto_Crédito/(No._De_Pagos_con_periodo_de_gracia)+AC197))</f>
        <v/>
      </c>
      <c r="AP197" s="118"/>
    </row>
    <row r="198" spans="1:42">
      <c r="A198" s="108" t="str">
        <f>IF(A197&lt;Parámetros!$E$6,A197+1,"")</f>
        <v/>
      </c>
      <c r="B198" s="109" t="str">
        <f t="shared" si="81"/>
        <v/>
      </c>
      <c r="C198" s="109" t="str">
        <f t="shared" si="57"/>
        <v/>
      </c>
      <c r="D198" s="109" t="str">
        <f t="shared" si="58"/>
        <v/>
      </c>
      <c r="E198" s="109" t="str">
        <f t="shared" si="59"/>
        <v/>
      </c>
      <c r="F198" s="109" t="str">
        <f t="shared" si="60"/>
        <v/>
      </c>
      <c r="G198" s="115" t="str">
        <f t="shared" si="70"/>
        <v/>
      </c>
      <c r="H198" s="116">
        <f t="shared" si="71"/>
        <v>0</v>
      </c>
      <c r="I198" s="109" t="str">
        <f t="shared" si="82"/>
        <v/>
      </c>
      <c r="J198" s="109" t="str">
        <f t="shared" si="61"/>
        <v/>
      </c>
      <c r="K198" s="109" t="str">
        <f t="shared" si="62"/>
        <v/>
      </c>
      <c r="L198" s="109" t="str">
        <f t="shared" si="63"/>
        <v/>
      </c>
      <c r="M198" s="109" t="str">
        <f t="shared" si="72"/>
        <v/>
      </c>
      <c r="N198" s="115" t="str">
        <f t="shared" si="73"/>
        <v/>
      </c>
      <c r="O198" s="61">
        <v>0</v>
      </c>
      <c r="P198" s="117">
        <f t="shared" si="74"/>
        <v>0</v>
      </c>
      <c r="R198" s="118" t="str">
        <f t="shared" si="84"/>
        <v/>
      </c>
      <c r="S198" s="119" t="str">
        <f t="shared" si="64"/>
        <v/>
      </c>
      <c r="T198" s="119" t="str">
        <f t="shared" si="65"/>
        <v/>
      </c>
      <c r="U198" s="120">
        <f t="shared" si="75"/>
        <v>0</v>
      </c>
      <c r="V198" s="121" t="str">
        <f>IF(A198="","",IF(A198&lt;=Periodos_Gracia,0,PPMT(Tasa_Anual/360*Días*(1+I.V.A.),Tabla!AM198,No._De_Pagos_con_periodo_de_gracia,-Monto_Crédito)))</f>
        <v/>
      </c>
      <c r="W198" s="111" t="str">
        <f>IF($U$258&lt;=0,V198,IF(SUM($U$18:U198)&lt;=0,V198,PMT($K$5/360*Días,A198,-R198)))</f>
        <v/>
      </c>
      <c r="X198" s="122" t="str">
        <f>IF($U$258&lt;=0,W198,IF(SUM($U$18:U198)&lt;=0,V198,PMT($K$5/360*Días,No._De_Pagos_con_periodo_de_gracia,-Monto_Crédito)-S198-T198))</f>
        <v/>
      </c>
      <c r="Y198" s="118" t="str">
        <f t="shared" si="76"/>
        <v/>
      </c>
      <c r="Z198" s="62" t="str">
        <f>+IF(A198="","",IF(No._de_Pagos-Tabla!A198+1&lt;=0,"",No._de_Pagos-Tabla!A198+1))</f>
        <v/>
      </c>
      <c r="AA198" s="123" t="str">
        <f t="shared" si="77"/>
        <v/>
      </c>
      <c r="AB198" s="125" t="str">
        <f t="shared" si="83"/>
        <v/>
      </c>
      <c r="AC198" s="125" t="str">
        <f t="shared" si="66"/>
        <v/>
      </c>
      <c r="AD198" s="125" t="str">
        <f t="shared" si="67"/>
        <v/>
      </c>
      <c r="AE198" s="120">
        <f t="shared" si="78"/>
        <v>0</v>
      </c>
      <c r="AF198" s="121" t="str">
        <f t="shared" si="68"/>
        <v/>
      </c>
      <c r="AG198" s="111" t="str">
        <f>IF($U$258&lt;=0,AF198,IF(SUM($U$18:U198)&lt;=0,AF198,PMT($K$5/360*Días,A198,-AA198)))</f>
        <v/>
      </c>
      <c r="AH198" s="122" t="str">
        <f>IF(A198&lt;=Periodos_Gracia,0,IF($U$258&lt;=0,AG198,IF(SUM($U$18:U198)&lt;=0,AF198,PMT($K$5/360*Días,No._de_Pagos,-Monto_Crédito)-AC198-AD198)))</f>
        <v/>
      </c>
      <c r="AI198" s="126" t="str">
        <f t="shared" si="79"/>
        <v/>
      </c>
      <c r="AK198" s="127" t="str">
        <f>IF(A198="","",IF(Periodos_Gracia&gt;0,Tabla!AN198,V198+S198))</f>
        <v/>
      </c>
      <c r="AL198" s="127" t="str">
        <f t="shared" si="69"/>
        <v/>
      </c>
      <c r="AM198" s="62" t="str">
        <f t="shared" si="80"/>
        <v/>
      </c>
      <c r="AN198" s="128" t="str">
        <f>IF(A198="","",IF(A198&lt;=Periodos_Gracia,Tabla!S198,PPMT(Tasa_Anual/360*Días*(1+I.V.A.),Tabla!AM198,No._De_Pagos_con_periodo_de_gracia,-Monto_Crédito)+S198))</f>
        <v/>
      </c>
      <c r="AO198" s="128" t="str">
        <f>IF(A198="","",IF(A198&lt;=Periodos_Gracia,Tabla!AC198,Monto_Crédito/(No._De_Pagos_con_periodo_de_gracia)+AC198))</f>
        <v/>
      </c>
      <c r="AP198" s="118"/>
    </row>
    <row r="199" spans="1:42">
      <c r="A199" s="108" t="str">
        <f>IF(A198&lt;Parámetros!$E$6,A198+1,"")</f>
        <v/>
      </c>
      <c r="B199" s="109" t="str">
        <f t="shared" si="81"/>
        <v/>
      </c>
      <c r="C199" s="109" t="str">
        <f t="shared" si="57"/>
        <v/>
      </c>
      <c r="D199" s="109" t="str">
        <f t="shared" si="58"/>
        <v/>
      </c>
      <c r="E199" s="109" t="str">
        <f t="shared" si="59"/>
        <v/>
      </c>
      <c r="F199" s="109" t="str">
        <f t="shared" si="60"/>
        <v/>
      </c>
      <c r="G199" s="115" t="str">
        <f t="shared" si="70"/>
        <v/>
      </c>
      <c r="H199" s="116">
        <f t="shared" si="71"/>
        <v>0</v>
      </c>
      <c r="I199" s="109" t="str">
        <f t="shared" si="82"/>
        <v/>
      </c>
      <c r="J199" s="109" t="str">
        <f t="shared" si="61"/>
        <v/>
      </c>
      <c r="K199" s="109" t="str">
        <f t="shared" si="62"/>
        <v/>
      </c>
      <c r="L199" s="109" t="str">
        <f t="shared" si="63"/>
        <v/>
      </c>
      <c r="M199" s="109" t="str">
        <f t="shared" si="72"/>
        <v/>
      </c>
      <c r="N199" s="115" t="str">
        <f t="shared" si="73"/>
        <v/>
      </c>
      <c r="O199" s="61">
        <v>0</v>
      </c>
      <c r="P199" s="117">
        <f t="shared" si="74"/>
        <v>0</v>
      </c>
      <c r="R199" s="118" t="str">
        <f t="shared" si="84"/>
        <v/>
      </c>
      <c r="S199" s="119" t="str">
        <f t="shared" si="64"/>
        <v/>
      </c>
      <c r="T199" s="119" t="str">
        <f t="shared" si="65"/>
        <v/>
      </c>
      <c r="U199" s="120">
        <f t="shared" si="75"/>
        <v>0</v>
      </c>
      <c r="V199" s="121" t="str">
        <f>IF(A199="","",IF(A199&lt;=Periodos_Gracia,0,PPMT(Tasa_Anual/360*Días*(1+I.V.A.),Tabla!AM199,No._De_Pagos_con_periodo_de_gracia,-Monto_Crédito)))</f>
        <v/>
      </c>
      <c r="W199" s="111" t="str">
        <f>IF($U$258&lt;=0,V199,IF(SUM($U$18:U199)&lt;=0,V199,PMT($K$5/360*Días,A199,-R199)))</f>
        <v/>
      </c>
      <c r="X199" s="122" t="str">
        <f>IF($U$258&lt;=0,W199,IF(SUM($U$18:U199)&lt;=0,V199,PMT($K$5/360*Días,No._De_Pagos_con_periodo_de_gracia,-Monto_Crédito)-S199-T199))</f>
        <v/>
      </c>
      <c r="Y199" s="118" t="str">
        <f t="shared" si="76"/>
        <v/>
      </c>
      <c r="Z199" s="62" t="str">
        <f>+IF(A199="","",IF(No._de_Pagos-Tabla!A199+1&lt;=0,"",No._de_Pagos-Tabla!A199+1))</f>
        <v/>
      </c>
      <c r="AA199" s="123" t="str">
        <f t="shared" si="77"/>
        <v/>
      </c>
      <c r="AB199" s="125" t="str">
        <f t="shared" si="83"/>
        <v/>
      </c>
      <c r="AC199" s="125" t="str">
        <f t="shared" si="66"/>
        <v/>
      </c>
      <c r="AD199" s="125" t="str">
        <f t="shared" si="67"/>
        <v/>
      </c>
      <c r="AE199" s="120">
        <f t="shared" si="78"/>
        <v>0</v>
      </c>
      <c r="AF199" s="121" t="str">
        <f t="shared" si="68"/>
        <v/>
      </c>
      <c r="AG199" s="111" t="str">
        <f>IF($U$258&lt;=0,AF199,IF(SUM($U$18:U199)&lt;=0,AF199,PMT($K$5/360*Días,A199,-AA199)))</f>
        <v/>
      </c>
      <c r="AH199" s="122" t="str">
        <f>IF(A199&lt;=Periodos_Gracia,0,IF($U$258&lt;=0,AG199,IF(SUM($U$18:U199)&lt;=0,AF199,PMT($K$5/360*Días,No._de_Pagos,-Monto_Crédito)-AC199-AD199)))</f>
        <v/>
      </c>
      <c r="AI199" s="126" t="str">
        <f t="shared" si="79"/>
        <v/>
      </c>
      <c r="AK199" s="127" t="str">
        <f>IF(A199="","",IF(Periodos_Gracia&gt;0,Tabla!AN199,V199+S199))</f>
        <v/>
      </c>
      <c r="AL199" s="127" t="str">
        <f t="shared" si="69"/>
        <v/>
      </c>
      <c r="AM199" s="62" t="str">
        <f t="shared" si="80"/>
        <v/>
      </c>
      <c r="AN199" s="128" t="str">
        <f>IF(A199="","",IF(A199&lt;=Periodos_Gracia,Tabla!S199,PPMT(Tasa_Anual/360*Días*(1+I.V.A.),Tabla!AM199,No._De_Pagos_con_periodo_de_gracia,-Monto_Crédito)+S199))</f>
        <v/>
      </c>
      <c r="AO199" s="128" t="str">
        <f>IF(A199="","",IF(A199&lt;=Periodos_Gracia,Tabla!AC199,Monto_Crédito/(No._De_Pagos_con_periodo_de_gracia)+AC199))</f>
        <v/>
      </c>
      <c r="AP199" s="118"/>
    </row>
    <row r="200" spans="1:42">
      <c r="A200" s="108" t="str">
        <f>IF(A199&lt;Parámetros!$E$6,A199+1,"")</f>
        <v/>
      </c>
      <c r="B200" s="109" t="str">
        <f t="shared" si="81"/>
        <v/>
      </c>
      <c r="C200" s="109" t="str">
        <f t="shared" si="57"/>
        <v/>
      </c>
      <c r="D200" s="109" t="str">
        <f t="shared" si="58"/>
        <v/>
      </c>
      <c r="E200" s="109" t="str">
        <f t="shared" si="59"/>
        <v/>
      </c>
      <c r="F200" s="109" t="str">
        <f t="shared" si="60"/>
        <v/>
      </c>
      <c r="G200" s="115" t="str">
        <f t="shared" si="70"/>
        <v/>
      </c>
      <c r="H200" s="116">
        <f t="shared" si="71"/>
        <v>0</v>
      </c>
      <c r="I200" s="109" t="str">
        <f t="shared" si="82"/>
        <v/>
      </c>
      <c r="J200" s="109" t="str">
        <f t="shared" si="61"/>
        <v/>
      </c>
      <c r="K200" s="109" t="str">
        <f t="shared" si="62"/>
        <v/>
      </c>
      <c r="L200" s="109" t="str">
        <f t="shared" si="63"/>
        <v/>
      </c>
      <c r="M200" s="109" t="str">
        <f t="shared" si="72"/>
        <v/>
      </c>
      <c r="N200" s="115" t="str">
        <f t="shared" si="73"/>
        <v/>
      </c>
      <c r="O200" s="61">
        <v>0</v>
      </c>
      <c r="P200" s="117">
        <f t="shared" si="74"/>
        <v>0</v>
      </c>
      <c r="R200" s="118" t="str">
        <f t="shared" si="84"/>
        <v/>
      </c>
      <c r="S200" s="119" t="str">
        <f t="shared" si="64"/>
        <v/>
      </c>
      <c r="T200" s="119" t="str">
        <f t="shared" si="65"/>
        <v/>
      </c>
      <c r="U200" s="120">
        <f t="shared" si="75"/>
        <v>0</v>
      </c>
      <c r="V200" s="121" t="str">
        <f>IF(A200="","",IF(A200&lt;=Periodos_Gracia,0,PPMT(Tasa_Anual/360*Días*(1+I.V.A.),Tabla!AM200,No._De_Pagos_con_periodo_de_gracia,-Monto_Crédito)))</f>
        <v/>
      </c>
      <c r="W200" s="111" t="str">
        <f>IF($U$258&lt;=0,V200,IF(SUM($U$18:U200)&lt;=0,V200,PMT($K$5/360*Días,A200,-R200)))</f>
        <v/>
      </c>
      <c r="X200" s="122" t="str">
        <f>IF($U$258&lt;=0,W200,IF(SUM($U$18:U200)&lt;=0,V200,PMT($K$5/360*Días,No._De_Pagos_con_periodo_de_gracia,-Monto_Crédito)-S200-T200))</f>
        <v/>
      </c>
      <c r="Y200" s="118" t="str">
        <f t="shared" si="76"/>
        <v/>
      </c>
      <c r="Z200" s="62" t="str">
        <f>+IF(A200="","",IF(No._de_Pagos-Tabla!A200+1&lt;=0,"",No._de_Pagos-Tabla!A200+1))</f>
        <v/>
      </c>
      <c r="AA200" s="123" t="str">
        <f t="shared" si="77"/>
        <v/>
      </c>
      <c r="AB200" s="125" t="str">
        <f t="shared" si="83"/>
        <v/>
      </c>
      <c r="AC200" s="125" t="str">
        <f t="shared" si="66"/>
        <v/>
      </c>
      <c r="AD200" s="125" t="str">
        <f t="shared" si="67"/>
        <v/>
      </c>
      <c r="AE200" s="120">
        <f t="shared" si="78"/>
        <v>0</v>
      </c>
      <c r="AF200" s="121" t="str">
        <f t="shared" si="68"/>
        <v/>
      </c>
      <c r="AG200" s="111" t="str">
        <f>IF($U$258&lt;=0,AF200,IF(SUM($U$18:U200)&lt;=0,AF200,PMT($K$5/360*Días,A200,-AA200)))</f>
        <v/>
      </c>
      <c r="AH200" s="122" t="str">
        <f>IF(A200&lt;=Periodos_Gracia,0,IF($U$258&lt;=0,AG200,IF(SUM($U$18:U200)&lt;=0,AF200,PMT($K$5/360*Días,No._de_Pagos,-Monto_Crédito)-AC200-AD200)))</f>
        <v/>
      </c>
      <c r="AI200" s="126" t="str">
        <f t="shared" si="79"/>
        <v/>
      </c>
      <c r="AK200" s="127" t="str">
        <f>IF(A200="","",IF(Periodos_Gracia&gt;0,Tabla!AN200,V200+S200))</f>
        <v/>
      </c>
      <c r="AL200" s="127" t="str">
        <f t="shared" si="69"/>
        <v/>
      </c>
      <c r="AM200" s="62" t="str">
        <f t="shared" si="80"/>
        <v/>
      </c>
      <c r="AN200" s="128" t="str">
        <f>IF(A200="","",IF(A200&lt;=Periodos_Gracia,Tabla!S200,PPMT(Tasa_Anual/360*Días*(1+I.V.A.),Tabla!AM200,No._De_Pagos_con_periodo_de_gracia,-Monto_Crédito)+S200))</f>
        <v/>
      </c>
      <c r="AO200" s="128" t="str">
        <f>IF(A200="","",IF(A200&lt;=Periodos_Gracia,Tabla!AC200,Monto_Crédito/(No._De_Pagos_con_periodo_de_gracia)+AC200))</f>
        <v/>
      </c>
      <c r="AP200" s="118"/>
    </row>
    <row r="201" spans="1:42">
      <c r="A201" s="108" t="str">
        <f>IF(A200&lt;Parámetros!$E$6,A200+1,"")</f>
        <v/>
      </c>
      <c r="B201" s="109" t="str">
        <f t="shared" si="81"/>
        <v/>
      </c>
      <c r="C201" s="109" t="str">
        <f t="shared" si="57"/>
        <v/>
      </c>
      <c r="D201" s="109" t="str">
        <f t="shared" si="58"/>
        <v/>
      </c>
      <c r="E201" s="109" t="str">
        <f t="shared" si="59"/>
        <v/>
      </c>
      <c r="F201" s="109" t="str">
        <f t="shared" si="60"/>
        <v/>
      </c>
      <c r="G201" s="115" t="str">
        <f t="shared" si="70"/>
        <v/>
      </c>
      <c r="H201" s="116">
        <f t="shared" si="71"/>
        <v>0</v>
      </c>
      <c r="I201" s="109" t="str">
        <f t="shared" si="82"/>
        <v/>
      </c>
      <c r="J201" s="109" t="str">
        <f t="shared" si="61"/>
        <v/>
      </c>
      <c r="K201" s="109" t="str">
        <f t="shared" si="62"/>
        <v/>
      </c>
      <c r="L201" s="109" t="str">
        <f t="shared" si="63"/>
        <v/>
      </c>
      <c r="M201" s="109" t="str">
        <f t="shared" si="72"/>
        <v/>
      </c>
      <c r="N201" s="115" t="str">
        <f t="shared" si="73"/>
        <v/>
      </c>
      <c r="O201" s="61">
        <v>0</v>
      </c>
      <c r="P201" s="117">
        <f t="shared" si="74"/>
        <v>0</v>
      </c>
      <c r="R201" s="118" t="str">
        <f t="shared" si="84"/>
        <v/>
      </c>
      <c r="S201" s="119" t="str">
        <f t="shared" si="64"/>
        <v/>
      </c>
      <c r="T201" s="119" t="str">
        <f t="shared" si="65"/>
        <v/>
      </c>
      <c r="U201" s="120">
        <f t="shared" si="75"/>
        <v>0</v>
      </c>
      <c r="V201" s="121" t="str">
        <f>IF(A201="","",IF(A201&lt;=Periodos_Gracia,0,PPMT(Tasa_Anual/360*Días*(1+I.V.A.),Tabla!AM201,No._De_Pagos_con_periodo_de_gracia,-Monto_Crédito)))</f>
        <v/>
      </c>
      <c r="W201" s="111" t="str">
        <f>IF($U$258&lt;=0,V201,IF(SUM($U$18:U201)&lt;=0,V201,PMT($K$5/360*Días,A201,-R201)))</f>
        <v/>
      </c>
      <c r="X201" s="122" t="str">
        <f>IF($U$258&lt;=0,W201,IF(SUM($U$18:U201)&lt;=0,V201,PMT($K$5/360*Días,No._De_Pagos_con_periodo_de_gracia,-Monto_Crédito)-S201-T201))</f>
        <v/>
      </c>
      <c r="Y201" s="118" t="str">
        <f t="shared" si="76"/>
        <v/>
      </c>
      <c r="Z201" s="62" t="str">
        <f>+IF(A201="","",IF(No._de_Pagos-Tabla!A201+1&lt;=0,"",No._de_Pagos-Tabla!A201+1))</f>
        <v/>
      </c>
      <c r="AA201" s="123" t="str">
        <f t="shared" si="77"/>
        <v/>
      </c>
      <c r="AB201" s="125" t="str">
        <f t="shared" si="83"/>
        <v/>
      </c>
      <c r="AC201" s="125" t="str">
        <f t="shared" si="66"/>
        <v/>
      </c>
      <c r="AD201" s="125" t="str">
        <f t="shared" si="67"/>
        <v/>
      </c>
      <c r="AE201" s="120">
        <f t="shared" si="78"/>
        <v>0</v>
      </c>
      <c r="AF201" s="121" t="str">
        <f t="shared" si="68"/>
        <v/>
      </c>
      <c r="AG201" s="111" t="str">
        <f>IF($U$258&lt;=0,AF201,IF(SUM($U$18:U201)&lt;=0,AF201,PMT($K$5/360*Días,A201,-AA201)))</f>
        <v/>
      </c>
      <c r="AH201" s="122" t="str">
        <f>IF(A201&lt;=Periodos_Gracia,0,IF($U$258&lt;=0,AG201,IF(SUM($U$18:U201)&lt;=0,AF201,PMT($K$5/360*Días,No._de_Pagos,-Monto_Crédito)-AC201-AD201)))</f>
        <v/>
      </c>
      <c r="AI201" s="126" t="str">
        <f t="shared" si="79"/>
        <v/>
      </c>
      <c r="AK201" s="127" t="str">
        <f>IF(A201="","",IF(Periodos_Gracia&gt;0,Tabla!AN201,V201+S201))</f>
        <v/>
      </c>
      <c r="AL201" s="127" t="str">
        <f t="shared" si="69"/>
        <v/>
      </c>
      <c r="AM201" s="62" t="str">
        <f t="shared" si="80"/>
        <v/>
      </c>
      <c r="AN201" s="128" t="str">
        <f>IF(A201="","",IF(A201&lt;=Periodos_Gracia,Tabla!S201,PPMT(Tasa_Anual/360*Días*(1+I.V.A.),Tabla!AM201,No._De_Pagos_con_periodo_de_gracia,-Monto_Crédito)+S201))</f>
        <v/>
      </c>
      <c r="AO201" s="128" t="str">
        <f>IF(A201="","",IF(A201&lt;=Periodos_Gracia,Tabla!AC201,Monto_Crédito/(No._De_Pagos_con_periodo_de_gracia)+AC201))</f>
        <v/>
      </c>
      <c r="AP201" s="118"/>
    </row>
    <row r="202" spans="1:42">
      <c r="A202" s="108" t="str">
        <f>IF(A201&lt;Parámetros!$E$6,A201+1,"")</f>
        <v/>
      </c>
      <c r="B202" s="109" t="str">
        <f t="shared" si="81"/>
        <v/>
      </c>
      <c r="C202" s="109" t="str">
        <f t="shared" si="57"/>
        <v/>
      </c>
      <c r="D202" s="109" t="str">
        <f t="shared" si="58"/>
        <v/>
      </c>
      <c r="E202" s="109" t="str">
        <f t="shared" si="59"/>
        <v/>
      </c>
      <c r="F202" s="109" t="str">
        <f t="shared" si="60"/>
        <v/>
      </c>
      <c r="G202" s="115" t="str">
        <f t="shared" si="70"/>
        <v/>
      </c>
      <c r="H202" s="116">
        <f t="shared" si="71"/>
        <v>0</v>
      </c>
      <c r="I202" s="109" t="str">
        <f t="shared" si="82"/>
        <v/>
      </c>
      <c r="J202" s="109" t="str">
        <f t="shared" si="61"/>
        <v/>
      </c>
      <c r="K202" s="109" t="str">
        <f t="shared" si="62"/>
        <v/>
      </c>
      <c r="L202" s="109" t="str">
        <f t="shared" si="63"/>
        <v/>
      </c>
      <c r="M202" s="109" t="str">
        <f t="shared" si="72"/>
        <v/>
      </c>
      <c r="N202" s="115" t="str">
        <f t="shared" si="73"/>
        <v/>
      </c>
      <c r="O202" s="61">
        <v>0</v>
      </c>
      <c r="P202" s="117">
        <f t="shared" si="74"/>
        <v>0</v>
      </c>
      <c r="R202" s="118" t="str">
        <f t="shared" si="84"/>
        <v/>
      </c>
      <c r="S202" s="119" t="str">
        <f t="shared" si="64"/>
        <v/>
      </c>
      <c r="T202" s="119" t="str">
        <f t="shared" si="65"/>
        <v/>
      </c>
      <c r="U202" s="120">
        <f t="shared" si="75"/>
        <v>0</v>
      </c>
      <c r="V202" s="121" t="str">
        <f>IF(A202="","",IF(A202&lt;=Periodos_Gracia,0,PPMT(Tasa_Anual/360*Días*(1+I.V.A.),Tabla!AM202,No._De_Pagos_con_periodo_de_gracia,-Monto_Crédito)))</f>
        <v/>
      </c>
      <c r="W202" s="111" t="str">
        <f>IF($U$258&lt;=0,V202,IF(SUM($U$18:U202)&lt;=0,V202,PMT($K$5/360*Días,A202,-R202)))</f>
        <v/>
      </c>
      <c r="X202" s="122" t="str">
        <f>IF($U$258&lt;=0,W202,IF(SUM($U$18:U202)&lt;=0,V202,PMT($K$5/360*Días,No._De_Pagos_con_periodo_de_gracia,-Monto_Crédito)-S202-T202))</f>
        <v/>
      </c>
      <c r="Y202" s="118" t="str">
        <f t="shared" si="76"/>
        <v/>
      </c>
      <c r="Z202" s="62" t="str">
        <f>+IF(A202="","",IF(No._de_Pagos-Tabla!A202+1&lt;=0,"",No._de_Pagos-Tabla!A202+1))</f>
        <v/>
      </c>
      <c r="AA202" s="123" t="str">
        <f t="shared" si="77"/>
        <v/>
      </c>
      <c r="AB202" s="125" t="str">
        <f t="shared" si="83"/>
        <v/>
      </c>
      <c r="AC202" s="125" t="str">
        <f t="shared" si="66"/>
        <v/>
      </c>
      <c r="AD202" s="125" t="str">
        <f t="shared" si="67"/>
        <v/>
      </c>
      <c r="AE202" s="120">
        <f t="shared" si="78"/>
        <v>0</v>
      </c>
      <c r="AF202" s="121" t="str">
        <f t="shared" si="68"/>
        <v/>
      </c>
      <c r="AG202" s="111" t="str">
        <f>IF($U$258&lt;=0,AF202,IF(SUM($U$18:U202)&lt;=0,AF202,PMT($K$5/360*Días,A202,-AA202)))</f>
        <v/>
      </c>
      <c r="AH202" s="122" t="str">
        <f>IF(A202&lt;=Periodos_Gracia,0,IF($U$258&lt;=0,AG202,IF(SUM($U$18:U202)&lt;=0,AF202,PMT($K$5/360*Días,No._de_Pagos,-Monto_Crédito)-AC202-AD202)))</f>
        <v/>
      </c>
      <c r="AI202" s="126" t="str">
        <f t="shared" si="79"/>
        <v/>
      </c>
      <c r="AK202" s="127" t="str">
        <f>IF(A202="","",IF(Periodos_Gracia&gt;0,Tabla!AN202,V202+S202))</f>
        <v/>
      </c>
      <c r="AL202" s="127" t="str">
        <f t="shared" si="69"/>
        <v/>
      </c>
      <c r="AM202" s="62" t="str">
        <f t="shared" si="80"/>
        <v/>
      </c>
      <c r="AN202" s="128" t="str">
        <f>IF(A202="","",IF(A202&lt;=Periodos_Gracia,Tabla!S202,PPMT(Tasa_Anual/360*Días*(1+I.V.A.),Tabla!AM202,No._De_Pagos_con_periodo_de_gracia,-Monto_Crédito)+S202))</f>
        <v/>
      </c>
      <c r="AO202" s="128" t="str">
        <f>IF(A202="","",IF(A202&lt;=Periodos_Gracia,Tabla!AC202,Monto_Crédito/(No._De_Pagos_con_periodo_de_gracia)+AC202))</f>
        <v/>
      </c>
      <c r="AP202" s="118"/>
    </row>
    <row r="203" spans="1:42">
      <c r="A203" s="108" t="str">
        <f>IF(A202&lt;Parámetros!$E$6,A202+1,"")</f>
        <v/>
      </c>
      <c r="B203" s="109" t="str">
        <f t="shared" si="81"/>
        <v/>
      </c>
      <c r="C203" s="109" t="str">
        <f t="shared" si="57"/>
        <v/>
      </c>
      <c r="D203" s="109" t="str">
        <f t="shared" si="58"/>
        <v/>
      </c>
      <c r="E203" s="109" t="str">
        <f t="shared" si="59"/>
        <v/>
      </c>
      <c r="F203" s="109" t="str">
        <f t="shared" si="60"/>
        <v/>
      </c>
      <c r="G203" s="115" t="str">
        <f t="shared" si="70"/>
        <v/>
      </c>
      <c r="H203" s="116">
        <f t="shared" si="71"/>
        <v>0</v>
      </c>
      <c r="I203" s="109" t="str">
        <f t="shared" si="82"/>
        <v/>
      </c>
      <c r="J203" s="109" t="str">
        <f t="shared" si="61"/>
        <v/>
      </c>
      <c r="K203" s="109" t="str">
        <f t="shared" si="62"/>
        <v/>
      </c>
      <c r="L203" s="109" t="str">
        <f t="shared" si="63"/>
        <v/>
      </c>
      <c r="M203" s="109" t="str">
        <f t="shared" si="72"/>
        <v/>
      </c>
      <c r="N203" s="115" t="str">
        <f t="shared" si="73"/>
        <v/>
      </c>
      <c r="O203" s="61">
        <v>0</v>
      </c>
      <c r="P203" s="117">
        <f t="shared" si="74"/>
        <v>0</v>
      </c>
      <c r="R203" s="118" t="str">
        <f t="shared" si="84"/>
        <v/>
      </c>
      <c r="S203" s="119" t="str">
        <f t="shared" si="64"/>
        <v/>
      </c>
      <c r="T203" s="119" t="str">
        <f t="shared" si="65"/>
        <v/>
      </c>
      <c r="U203" s="120">
        <f t="shared" si="75"/>
        <v>0</v>
      </c>
      <c r="V203" s="121" t="str">
        <f>IF(A203="","",IF(A203&lt;=Periodos_Gracia,0,PPMT(Tasa_Anual/360*Días*(1+I.V.A.),Tabla!AM203,No._De_Pagos_con_periodo_de_gracia,-Monto_Crédito)))</f>
        <v/>
      </c>
      <c r="W203" s="111" t="str">
        <f>IF($U$258&lt;=0,V203,IF(SUM($U$18:U203)&lt;=0,V203,PMT($K$5/360*Días,A203,-R203)))</f>
        <v/>
      </c>
      <c r="X203" s="122" t="str">
        <f>IF($U$258&lt;=0,W203,IF(SUM($U$18:U203)&lt;=0,V203,PMT($K$5/360*Días,No._De_Pagos_con_periodo_de_gracia,-Monto_Crédito)-S203-T203))</f>
        <v/>
      </c>
      <c r="Y203" s="118" t="str">
        <f t="shared" si="76"/>
        <v/>
      </c>
      <c r="Z203" s="62" t="str">
        <f>+IF(A203="","",IF(No._de_Pagos-Tabla!A203+1&lt;=0,"",No._de_Pagos-Tabla!A203+1))</f>
        <v/>
      </c>
      <c r="AA203" s="123" t="str">
        <f t="shared" si="77"/>
        <v/>
      </c>
      <c r="AB203" s="125" t="str">
        <f t="shared" si="83"/>
        <v/>
      </c>
      <c r="AC203" s="125" t="str">
        <f t="shared" si="66"/>
        <v/>
      </c>
      <c r="AD203" s="125" t="str">
        <f t="shared" si="67"/>
        <v/>
      </c>
      <c r="AE203" s="120">
        <f t="shared" si="78"/>
        <v>0</v>
      </c>
      <c r="AF203" s="121" t="str">
        <f t="shared" si="68"/>
        <v/>
      </c>
      <c r="AG203" s="111" t="str">
        <f>IF($U$258&lt;=0,AF203,IF(SUM($U$18:U203)&lt;=0,AF203,PMT($K$5/360*Días,A203,-AA203)))</f>
        <v/>
      </c>
      <c r="AH203" s="122" t="str">
        <f>IF(A203&lt;=Periodos_Gracia,0,IF($U$258&lt;=0,AG203,IF(SUM($U$18:U203)&lt;=0,AF203,PMT($K$5/360*Días,No._de_Pagos,-Monto_Crédito)-AC203-AD203)))</f>
        <v/>
      </c>
      <c r="AI203" s="126" t="str">
        <f t="shared" si="79"/>
        <v/>
      </c>
      <c r="AK203" s="127" t="str">
        <f>IF(A203="","",IF(Periodos_Gracia&gt;0,Tabla!AN203,V203+S203))</f>
        <v/>
      </c>
      <c r="AL203" s="127" t="str">
        <f t="shared" si="69"/>
        <v/>
      </c>
      <c r="AM203" s="62" t="str">
        <f t="shared" si="80"/>
        <v/>
      </c>
      <c r="AN203" s="128" t="str">
        <f>IF(A203="","",IF(A203&lt;=Periodos_Gracia,Tabla!S203,PPMT(Tasa_Anual/360*Días*(1+I.V.A.),Tabla!AM203,No._De_Pagos_con_periodo_de_gracia,-Monto_Crédito)+S203))</f>
        <v/>
      </c>
      <c r="AO203" s="128" t="str">
        <f>IF(A203="","",IF(A203&lt;=Periodos_Gracia,Tabla!AC203,Monto_Crédito/(No._De_Pagos_con_periodo_de_gracia)+AC203))</f>
        <v/>
      </c>
      <c r="AP203" s="118"/>
    </row>
    <row r="204" spans="1:42">
      <c r="A204" s="108" t="str">
        <f>IF(A203&lt;Parámetros!$E$6,A203+1,"")</f>
        <v/>
      </c>
      <c r="B204" s="109" t="str">
        <f t="shared" si="81"/>
        <v/>
      </c>
      <c r="C204" s="109" t="str">
        <f t="shared" si="57"/>
        <v/>
      </c>
      <c r="D204" s="109" t="str">
        <f t="shared" si="58"/>
        <v/>
      </c>
      <c r="E204" s="109" t="str">
        <f t="shared" si="59"/>
        <v/>
      </c>
      <c r="F204" s="109" t="str">
        <f t="shared" si="60"/>
        <v/>
      </c>
      <c r="G204" s="115" t="str">
        <f t="shared" si="70"/>
        <v/>
      </c>
      <c r="H204" s="116">
        <f t="shared" si="71"/>
        <v>0</v>
      </c>
      <c r="I204" s="109" t="str">
        <f t="shared" si="82"/>
        <v/>
      </c>
      <c r="J204" s="109" t="str">
        <f t="shared" si="61"/>
        <v/>
      </c>
      <c r="K204" s="109" t="str">
        <f t="shared" si="62"/>
        <v/>
      </c>
      <c r="L204" s="109" t="str">
        <f t="shared" si="63"/>
        <v/>
      </c>
      <c r="M204" s="109" t="str">
        <f t="shared" si="72"/>
        <v/>
      </c>
      <c r="N204" s="115" t="str">
        <f t="shared" si="73"/>
        <v/>
      </c>
      <c r="O204" s="61">
        <v>0</v>
      </c>
      <c r="P204" s="117">
        <f t="shared" si="74"/>
        <v>0</v>
      </c>
      <c r="R204" s="118" t="str">
        <f t="shared" si="84"/>
        <v/>
      </c>
      <c r="S204" s="119" t="str">
        <f t="shared" si="64"/>
        <v/>
      </c>
      <c r="T204" s="119" t="str">
        <f t="shared" si="65"/>
        <v/>
      </c>
      <c r="U204" s="120">
        <f t="shared" si="75"/>
        <v>0</v>
      </c>
      <c r="V204" s="121" t="str">
        <f>IF(A204="","",IF(A204&lt;=Periodos_Gracia,0,PPMT(Tasa_Anual/360*Días*(1+I.V.A.),Tabla!AM204,No._De_Pagos_con_periodo_de_gracia,-Monto_Crédito)))</f>
        <v/>
      </c>
      <c r="W204" s="111" t="str">
        <f>IF($U$258&lt;=0,V204,IF(SUM($U$18:U204)&lt;=0,V204,PMT($K$5/360*Días,A204,-R204)))</f>
        <v/>
      </c>
      <c r="X204" s="122" t="str">
        <f>IF($U$258&lt;=0,W204,IF(SUM($U$18:U204)&lt;=0,V204,PMT($K$5/360*Días,No._De_Pagos_con_periodo_de_gracia,-Monto_Crédito)-S204-T204))</f>
        <v/>
      </c>
      <c r="Y204" s="118" t="str">
        <f t="shared" si="76"/>
        <v/>
      </c>
      <c r="Z204" s="62" t="str">
        <f>+IF(A204="","",IF(No._de_Pagos-Tabla!A204+1&lt;=0,"",No._de_Pagos-Tabla!A204+1))</f>
        <v/>
      </c>
      <c r="AA204" s="123" t="str">
        <f t="shared" si="77"/>
        <v/>
      </c>
      <c r="AB204" s="125" t="str">
        <f t="shared" si="83"/>
        <v/>
      </c>
      <c r="AC204" s="125" t="str">
        <f t="shared" si="66"/>
        <v/>
      </c>
      <c r="AD204" s="125" t="str">
        <f t="shared" si="67"/>
        <v/>
      </c>
      <c r="AE204" s="120">
        <f t="shared" si="78"/>
        <v>0</v>
      </c>
      <c r="AF204" s="121" t="str">
        <f t="shared" si="68"/>
        <v/>
      </c>
      <c r="AG204" s="111" t="str">
        <f>IF($U$258&lt;=0,AF204,IF(SUM($U$18:U204)&lt;=0,AF204,PMT($K$5/360*Días,A204,-AA204)))</f>
        <v/>
      </c>
      <c r="AH204" s="122" t="str">
        <f>IF(A204&lt;=Periodos_Gracia,0,IF($U$258&lt;=0,AG204,IF(SUM($U$18:U204)&lt;=0,AF204,PMT($K$5/360*Días,No._de_Pagos,-Monto_Crédito)-AC204-AD204)))</f>
        <v/>
      </c>
      <c r="AI204" s="126" t="str">
        <f t="shared" si="79"/>
        <v/>
      </c>
      <c r="AK204" s="127" t="str">
        <f>IF(A204="","",IF(Periodos_Gracia&gt;0,Tabla!AN204,V204+S204))</f>
        <v/>
      </c>
      <c r="AL204" s="127" t="str">
        <f t="shared" si="69"/>
        <v/>
      </c>
      <c r="AM204" s="62" t="str">
        <f t="shared" si="80"/>
        <v/>
      </c>
      <c r="AN204" s="128" t="str">
        <f>IF(A204="","",IF(A204&lt;=Periodos_Gracia,Tabla!S204,PPMT(Tasa_Anual/360*Días*(1+I.V.A.),Tabla!AM204,No._De_Pagos_con_periodo_de_gracia,-Monto_Crédito)+S204))</f>
        <v/>
      </c>
      <c r="AO204" s="128" t="str">
        <f>IF(A204="","",IF(A204&lt;=Periodos_Gracia,Tabla!AC204,Monto_Crédito/(No._De_Pagos_con_periodo_de_gracia)+AC204))</f>
        <v/>
      </c>
      <c r="AP204" s="118"/>
    </row>
    <row r="205" spans="1:42">
      <c r="A205" s="108" t="str">
        <f>IF(A204&lt;Parámetros!$E$6,A204+1,"")</f>
        <v/>
      </c>
      <c r="B205" s="109" t="str">
        <f t="shared" si="81"/>
        <v/>
      </c>
      <c r="C205" s="109" t="str">
        <f t="shared" si="57"/>
        <v/>
      </c>
      <c r="D205" s="109" t="str">
        <f t="shared" si="58"/>
        <v/>
      </c>
      <c r="E205" s="109" t="str">
        <f t="shared" si="59"/>
        <v/>
      </c>
      <c r="F205" s="109" t="str">
        <f t="shared" si="60"/>
        <v/>
      </c>
      <c r="G205" s="115" t="str">
        <f t="shared" si="70"/>
        <v/>
      </c>
      <c r="H205" s="116">
        <f t="shared" si="71"/>
        <v>0</v>
      </c>
      <c r="I205" s="109" t="str">
        <f t="shared" si="82"/>
        <v/>
      </c>
      <c r="J205" s="109" t="str">
        <f t="shared" si="61"/>
        <v/>
      </c>
      <c r="K205" s="109" t="str">
        <f t="shared" si="62"/>
        <v/>
      </c>
      <c r="L205" s="109" t="str">
        <f t="shared" si="63"/>
        <v/>
      </c>
      <c r="M205" s="109" t="str">
        <f t="shared" si="72"/>
        <v/>
      </c>
      <c r="N205" s="115" t="str">
        <f t="shared" si="73"/>
        <v/>
      </c>
      <c r="O205" s="61">
        <v>0</v>
      </c>
      <c r="P205" s="117">
        <f t="shared" si="74"/>
        <v>0</v>
      </c>
      <c r="R205" s="118" t="str">
        <f t="shared" si="84"/>
        <v/>
      </c>
      <c r="S205" s="119" t="str">
        <f t="shared" si="64"/>
        <v/>
      </c>
      <c r="T205" s="119" t="str">
        <f t="shared" si="65"/>
        <v/>
      </c>
      <c r="U205" s="120">
        <f t="shared" si="75"/>
        <v>0</v>
      </c>
      <c r="V205" s="121" t="str">
        <f>IF(A205="","",IF(A205&lt;=Periodos_Gracia,0,PPMT(Tasa_Anual/360*Días*(1+I.V.A.),Tabla!AM205,No._De_Pagos_con_periodo_de_gracia,-Monto_Crédito)))</f>
        <v/>
      </c>
      <c r="W205" s="111" t="str">
        <f>IF($U$258&lt;=0,V205,IF(SUM($U$18:U205)&lt;=0,V205,PMT($K$5/360*Días,A205,-R205)))</f>
        <v/>
      </c>
      <c r="X205" s="122" t="str">
        <f>IF($U$258&lt;=0,W205,IF(SUM($U$18:U205)&lt;=0,V205,PMT($K$5/360*Días,No._De_Pagos_con_periodo_de_gracia,-Monto_Crédito)-S205-T205))</f>
        <v/>
      </c>
      <c r="Y205" s="118" t="str">
        <f t="shared" si="76"/>
        <v/>
      </c>
      <c r="Z205" s="62" t="str">
        <f>+IF(A205="","",IF(No._de_Pagos-Tabla!A205+1&lt;=0,"",No._de_Pagos-Tabla!A205+1))</f>
        <v/>
      </c>
      <c r="AA205" s="123" t="str">
        <f t="shared" si="77"/>
        <v/>
      </c>
      <c r="AB205" s="125" t="str">
        <f t="shared" si="83"/>
        <v/>
      </c>
      <c r="AC205" s="125" t="str">
        <f t="shared" si="66"/>
        <v/>
      </c>
      <c r="AD205" s="125" t="str">
        <f t="shared" si="67"/>
        <v/>
      </c>
      <c r="AE205" s="120">
        <f t="shared" si="78"/>
        <v>0</v>
      </c>
      <c r="AF205" s="121" t="str">
        <f t="shared" si="68"/>
        <v/>
      </c>
      <c r="AG205" s="111" t="str">
        <f>IF($U$258&lt;=0,AF205,IF(SUM($U$18:U205)&lt;=0,AF205,PMT($K$5/360*Días,A205,-AA205)))</f>
        <v/>
      </c>
      <c r="AH205" s="122" t="str">
        <f>IF(A205&lt;=Periodos_Gracia,0,IF($U$258&lt;=0,AG205,IF(SUM($U$18:U205)&lt;=0,AF205,PMT($K$5/360*Días,No._de_Pagos,-Monto_Crédito)-AC205-AD205)))</f>
        <v/>
      </c>
      <c r="AI205" s="126" t="str">
        <f t="shared" si="79"/>
        <v/>
      </c>
      <c r="AK205" s="127" t="str">
        <f>IF(A205="","",IF(Periodos_Gracia&gt;0,Tabla!AN205,V205+S205))</f>
        <v/>
      </c>
      <c r="AL205" s="127" t="str">
        <f t="shared" si="69"/>
        <v/>
      </c>
      <c r="AM205" s="62" t="str">
        <f t="shared" si="80"/>
        <v/>
      </c>
      <c r="AN205" s="128" t="str">
        <f>IF(A205="","",IF(A205&lt;=Periodos_Gracia,Tabla!S205,PPMT(Tasa_Anual/360*Días*(1+I.V.A.),Tabla!AM205,No._De_Pagos_con_periodo_de_gracia,-Monto_Crédito)+S205))</f>
        <v/>
      </c>
      <c r="AO205" s="128" t="str">
        <f>IF(A205="","",IF(A205&lt;=Periodos_Gracia,Tabla!AC205,Monto_Crédito/(No._De_Pagos_con_periodo_de_gracia)+AC205))</f>
        <v/>
      </c>
      <c r="AP205" s="118"/>
    </row>
    <row r="206" spans="1:42">
      <c r="A206" s="108" t="str">
        <f>IF(A205&lt;Parámetros!$E$6,A205+1,"")</f>
        <v/>
      </c>
      <c r="B206" s="109" t="str">
        <f t="shared" si="81"/>
        <v/>
      </c>
      <c r="C206" s="109" t="str">
        <f t="shared" si="57"/>
        <v/>
      </c>
      <c r="D206" s="109" t="str">
        <f t="shared" si="58"/>
        <v/>
      </c>
      <c r="E206" s="109" t="str">
        <f t="shared" si="59"/>
        <v/>
      </c>
      <c r="F206" s="109" t="str">
        <f t="shared" si="60"/>
        <v/>
      </c>
      <c r="G206" s="115" t="str">
        <f t="shared" si="70"/>
        <v/>
      </c>
      <c r="H206" s="116">
        <f t="shared" si="71"/>
        <v>0</v>
      </c>
      <c r="I206" s="109" t="str">
        <f t="shared" si="82"/>
        <v/>
      </c>
      <c r="J206" s="109" t="str">
        <f t="shared" si="61"/>
        <v/>
      </c>
      <c r="K206" s="109" t="str">
        <f t="shared" si="62"/>
        <v/>
      </c>
      <c r="L206" s="109" t="str">
        <f t="shared" si="63"/>
        <v/>
      </c>
      <c r="M206" s="109" t="str">
        <f t="shared" si="72"/>
        <v/>
      </c>
      <c r="N206" s="115" t="str">
        <f t="shared" si="73"/>
        <v/>
      </c>
      <c r="O206" s="61">
        <v>0</v>
      </c>
      <c r="P206" s="117">
        <f t="shared" si="74"/>
        <v>0</v>
      </c>
      <c r="R206" s="118" t="str">
        <f t="shared" si="84"/>
        <v/>
      </c>
      <c r="S206" s="119" t="str">
        <f t="shared" si="64"/>
        <v/>
      </c>
      <c r="T206" s="119" t="str">
        <f t="shared" si="65"/>
        <v/>
      </c>
      <c r="U206" s="120">
        <f t="shared" si="75"/>
        <v>0</v>
      </c>
      <c r="V206" s="121" t="str">
        <f>IF(A206="","",IF(A206&lt;=Periodos_Gracia,0,PPMT(Tasa_Anual/360*Días*(1+I.V.A.),Tabla!AM206,No._De_Pagos_con_periodo_de_gracia,-Monto_Crédito)))</f>
        <v/>
      </c>
      <c r="W206" s="111" t="str">
        <f>IF($U$258&lt;=0,V206,IF(SUM($U$18:U206)&lt;=0,V206,PMT($K$5/360*Días,A206,-R206)))</f>
        <v/>
      </c>
      <c r="X206" s="122" t="str">
        <f>IF($U$258&lt;=0,W206,IF(SUM($U$18:U206)&lt;=0,V206,PMT($K$5/360*Días,No._De_Pagos_con_periodo_de_gracia,-Monto_Crédito)-S206-T206))</f>
        <v/>
      </c>
      <c r="Y206" s="118" t="str">
        <f t="shared" si="76"/>
        <v/>
      </c>
      <c r="Z206" s="62" t="str">
        <f>+IF(A206="","",IF(No._de_Pagos-Tabla!A206+1&lt;=0,"",No._de_Pagos-Tabla!A206+1))</f>
        <v/>
      </c>
      <c r="AA206" s="123" t="str">
        <f t="shared" si="77"/>
        <v/>
      </c>
      <c r="AB206" s="125" t="str">
        <f t="shared" si="83"/>
        <v/>
      </c>
      <c r="AC206" s="125" t="str">
        <f t="shared" si="66"/>
        <v/>
      </c>
      <c r="AD206" s="125" t="str">
        <f t="shared" si="67"/>
        <v/>
      </c>
      <c r="AE206" s="120">
        <f t="shared" si="78"/>
        <v>0</v>
      </c>
      <c r="AF206" s="121" t="str">
        <f t="shared" si="68"/>
        <v/>
      </c>
      <c r="AG206" s="111" t="str">
        <f>IF($U$258&lt;=0,AF206,IF(SUM($U$18:U206)&lt;=0,AF206,PMT($K$5/360*Días,A206,-AA206)))</f>
        <v/>
      </c>
      <c r="AH206" s="122" t="str">
        <f>IF(A206&lt;=Periodos_Gracia,0,IF($U$258&lt;=0,AG206,IF(SUM($U$18:U206)&lt;=0,AF206,PMT($K$5/360*Días,No._de_Pagos,-Monto_Crédito)-AC206-AD206)))</f>
        <v/>
      </c>
      <c r="AI206" s="126" t="str">
        <f t="shared" si="79"/>
        <v/>
      </c>
      <c r="AK206" s="127" t="str">
        <f>IF(A206="","",IF(Periodos_Gracia&gt;0,Tabla!AN206,V206+S206))</f>
        <v/>
      </c>
      <c r="AL206" s="127" t="str">
        <f t="shared" si="69"/>
        <v/>
      </c>
      <c r="AM206" s="62" t="str">
        <f t="shared" si="80"/>
        <v/>
      </c>
      <c r="AN206" s="128" t="str">
        <f>IF(A206="","",IF(A206&lt;=Periodos_Gracia,Tabla!S206,PPMT(Tasa_Anual/360*Días*(1+I.V.A.),Tabla!AM206,No._De_Pagos_con_periodo_de_gracia,-Monto_Crédito)+S206))</f>
        <v/>
      </c>
      <c r="AO206" s="128" t="str">
        <f>IF(A206="","",IF(A206&lt;=Periodos_Gracia,Tabla!AC206,Monto_Crédito/(No._De_Pagos_con_periodo_de_gracia)+AC206))</f>
        <v/>
      </c>
      <c r="AP206" s="118"/>
    </row>
    <row r="207" spans="1:42">
      <c r="A207" s="108" t="str">
        <f>IF(A206&lt;Parámetros!$E$6,A206+1,"")</f>
        <v/>
      </c>
      <c r="B207" s="109" t="str">
        <f t="shared" si="81"/>
        <v/>
      </c>
      <c r="C207" s="109" t="str">
        <f t="shared" si="57"/>
        <v/>
      </c>
      <c r="D207" s="109" t="str">
        <f t="shared" si="58"/>
        <v/>
      </c>
      <c r="E207" s="109" t="str">
        <f t="shared" si="59"/>
        <v/>
      </c>
      <c r="F207" s="109" t="str">
        <f t="shared" si="60"/>
        <v/>
      </c>
      <c r="G207" s="115" t="str">
        <f t="shared" si="70"/>
        <v/>
      </c>
      <c r="H207" s="116">
        <f t="shared" si="71"/>
        <v>0</v>
      </c>
      <c r="I207" s="109" t="str">
        <f t="shared" si="82"/>
        <v/>
      </c>
      <c r="J207" s="109" t="str">
        <f t="shared" si="61"/>
        <v/>
      </c>
      <c r="K207" s="109" t="str">
        <f t="shared" si="62"/>
        <v/>
      </c>
      <c r="L207" s="109" t="str">
        <f t="shared" si="63"/>
        <v/>
      </c>
      <c r="M207" s="109" t="str">
        <f t="shared" si="72"/>
        <v/>
      </c>
      <c r="N207" s="115" t="str">
        <f t="shared" si="73"/>
        <v/>
      </c>
      <c r="O207" s="61">
        <v>0</v>
      </c>
      <c r="P207" s="117">
        <f t="shared" si="74"/>
        <v>0</v>
      </c>
      <c r="R207" s="118" t="str">
        <f t="shared" si="84"/>
        <v/>
      </c>
      <c r="S207" s="119" t="str">
        <f t="shared" si="64"/>
        <v/>
      </c>
      <c r="T207" s="119" t="str">
        <f t="shared" si="65"/>
        <v/>
      </c>
      <c r="U207" s="120">
        <f t="shared" si="75"/>
        <v>0</v>
      </c>
      <c r="V207" s="121" t="str">
        <f>IF(A207="","",IF(A207&lt;=Periodos_Gracia,0,PPMT(Tasa_Anual/360*Días*(1+I.V.A.),Tabla!AM207,No._De_Pagos_con_periodo_de_gracia,-Monto_Crédito)))</f>
        <v/>
      </c>
      <c r="W207" s="111" t="str">
        <f>IF($U$258&lt;=0,V207,IF(SUM($U$18:U207)&lt;=0,V207,PMT($K$5/360*Días,A207,-R207)))</f>
        <v/>
      </c>
      <c r="X207" s="122" t="str">
        <f>IF($U$258&lt;=0,W207,IF(SUM($U$18:U207)&lt;=0,V207,PMT($K$5/360*Días,No._De_Pagos_con_periodo_de_gracia,-Monto_Crédito)-S207-T207))</f>
        <v/>
      </c>
      <c r="Y207" s="118" t="str">
        <f t="shared" si="76"/>
        <v/>
      </c>
      <c r="Z207" s="62" t="str">
        <f>+IF(A207="","",IF(No._de_Pagos-Tabla!A207+1&lt;=0,"",No._de_Pagos-Tabla!A207+1))</f>
        <v/>
      </c>
      <c r="AA207" s="123" t="str">
        <f t="shared" si="77"/>
        <v/>
      </c>
      <c r="AB207" s="125" t="str">
        <f t="shared" si="83"/>
        <v/>
      </c>
      <c r="AC207" s="125" t="str">
        <f t="shared" si="66"/>
        <v/>
      </c>
      <c r="AD207" s="125" t="str">
        <f t="shared" si="67"/>
        <v/>
      </c>
      <c r="AE207" s="120">
        <f t="shared" si="78"/>
        <v>0</v>
      </c>
      <c r="AF207" s="121" t="str">
        <f t="shared" si="68"/>
        <v/>
      </c>
      <c r="AG207" s="111" t="str">
        <f>IF($U$258&lt;=0,AF207,IF(SUM($U$18:U207)&lt;=0,AF207,PMT($K$5/360*Días,A207,-AA207)))</f>
        <v/>
      </c>
      <c r="AH207" s="122" t="str">
        <f>IF(A207&lt;=Periodos_Gracia,0,IF($U$258&lt;=0,AG207,IF(SUM($U$18:U207)&lt;=0,AF207,PMT($K$5/360*Días,No._de_Pagos,-Monto_Crédito)-AC207-AD207)))</f>
        <v/>
      </c>
      <c r="AI207" s="126" t="str">
        <f t="shared" si="79"/>
        <v/>
      </c>
      <c r="AK207" s="127" t="str">
        <f>IF(A207="","",IF(Periodos_Gracia&gt;0,Tabla!AN207,V207+S207))</f>
        <v/>
      </c>
      <c r="AL207" s="127" t="str">
        <f t="shared" si="69"/>
        <v/>
      </c>
      <c r="AM207" s="62" t="str">
        <f t="shared" si="80"/>
        <v/>
      </c>
      <c r="AN207" s="128" t="str">
        <f>IF(A207="","",IF(A207&lt;=Periodos_Gracia,Tabla!S207,PPMT(Tasa_Anual/360*Días*(1+I.V.A.),Tabla!AM207,No._De_Pagos_con_periodo_de_gracia,-Monto_Crédito)+S207))</f>
        <v/>
      </c>
      <c r="AO207" s="128" t="str">
        <f>IF(A207="","",IF(A207&lt;=Periodos_Gracia,Tabla!AC207,Monto_Crédito/(No._De_Pagos_con_periodo_de_gracia)+AC207))</f>
        <v/>
      </c>
      <c r="AP207" s="118"/>
    </row>
    <row r="208" spans="1:42">
      <c r="A208" s="108" t="str">
        <f>IF(A207&lt;Parámetros!$E$6,A207+1,"")</f>
        <v/>
      </c>
      <c r="B208" s="109" t="str">
        <f t="shared" si="81"/>
        <v/>
      </c>
      <c r="C208" s="109" t="str">
        <f t="shared" si="57"/>
        <v/>
      </c>
      <c r="D208" s="109" t="str">
        <f t="shared" si="58"/>
        <v/>
      </c>
      <c r="E208" s="109" t="str">
        <f t="shared" si="59"/>
        <v/>
      </c>
      <c r="F208" s="109" t="str">
        <f t="shared" si="60"/>
        <v/>
      </c>
      <c r="G208" s="115" t="str">
        <f t="shared" si="70"/>
        <v/>
      </c>
      <c r="H208" s="116">
        <f t="shared" si="71"/>
        <v>0</v>
      </c>
      <c r="I208" s="109" t="str">
        <f t="shared" si="82"/>
        <v/>
      </c>
      <c r="J208" s="109" t="str">
        <f t="shared" si="61"/>
        <v/>
      </c>
      <c r="K208" s="109" t="str">
        <f t="shared" si="62"/>
        <v/>
      </c>
      <c r="L208" s="109" t="str">
        <f t="shared" si="63"/>
        <v/>
      </c>
      <c r="M208" s="109" t="str">
        <f t="shared" si="72"/>
        <v/>
      </c>
      <c r="N208" s="115" t="str">
        <f t="shared" si="73"/>
        <v/>
      </c>
      <c r="O208" s="61">
        <v>0</v>
      </c>
      <c r="P208" s="117">
        <f t="shared" si="74"/>
        <v>0</v>
      </c>
      <c r="R208" s="118" t="str">
        <f t="shared" si="84"/>
        <v/>
      </c>
      <c r="S208" s="119" t="str">
        <f t="shared" si="64"/>
        <v/>
      </c>
      <c r="T208" s="119" t="str">
        <f t="shared" si="65"/>
        <v/>
      </c>
      <c r="U208" s="120">
        <f t="shared" si="75"/>
        <v>0</v>
      </c>
      <c r="V208" s="121" t="str">
        <f>IF(A208="","",IF(A208&lt;=Periodos_Gracia,0,PPMT(Tasa_Anual/360*Días*(1+I.V.A.),Tabla!AM208,No._De_Pagos_con_periodo_de_gracia,-Monto_Crédito)))</f>
        <v/>
      </c>
      <c r="W208" s="111" t="str">
        <f>IF($U$258&lt;=0,V208,IF(SUM($U$18:U208)&lt;=0,V208,PMT($K$5/360*Días,A208,-R208)))</f>
        <v/>
      </c>
      <c r="X208" s="122" t="str">
        <f>IF($U$258&lt;=0,W208,IF(SUM($U$18:U208)&lt;=0,V208,PMT($K$5/360*Días,No._De_Pagos_con_periodo_de_gracia,-Monto_Crédito)-S208-T208))</f>
        <v/>
      </c>
      <c r="Y208" s="118" t="str">
        <f t="shared" si="76"/>
        <v/>
      </c>
      <c r="Z208" s="62" t="str">
        <f>+IF(A208="","",IF(No._de_Pagos-Tabla!A208+1&lt;=0,"",No._de_Pagos-Tabla!A208+1))</f>
        <v/>
      </c>
      <c r="AA208" s="123" t="str">
        <f t="shared" si="77"/>
        <v/>
      </c>
      <c r="AB208" s="125" t="str">
        <f t="shared" si="83"/>
        <v/>
      </c>
      <c r="AC208" s="125" t="str">
        <f t="shared" si="66"/>
        <v/>
      </c>
      <c r="AD208" s="125" t="str">
        <f t="shared" si="67"/>
        <v/>
      </c>
      <c r="AE208" s="120">
        <f t="shared" si="78"/>
        <v>0</v>
      </c>
      <c r="AF208" s="121" t="str">
        <f t="shared" si="68"/>
        <v/>
      </c>
      <c r="AG208" s="111" t="str">
        <f>IF($U$258&lt;=0,AF208,IF(SUM($U$18:U208)&lt;=0,AF208,PMT($K$5/360*Días,A208,-AA208)))</f>
        <v/>
      </c>
      <c r="AH208" s="122" t="str">
        <f>IF(A208&lt;=Periodos_Gracia,0,IF($U$258&lt;=0,AG208,IF(SUM($U$18:U208)&lt;=0,AF208,PMT($K$5/360*Días,No._de_Pagos,-Monto_Crédito)-AC208-AD208)))</f>
        <v/>
      </c>
      <c r="AI208" s="126" t="str">
        <f t="shared" si="79"/>
        <v/>
      </c>
      <c r="AK208" s="127" t="str">
        <f>IF(A208="","",IF(Periodos_Gracia&gt;0,Tabla!AN208,V208+S208))</f>
        <v/>
      </c>
      <c r="AL208" s="127" t="str">
        <f t="shared" si="69"/>
        <v/>
      </c>
      <c r="AM208" s="62" t="str">
        <f t="shared" si="80"/>
        <v/>
      </c>
      <c r="AN208" s="128" t="str">
        <f>IF(A208="","",IF(A208&lt;=Periodos_Gracia,Tabla!S208,PPMT(Tasa_Anual/360*Días*(1+I.V.A.),Tabla!AM208,No._De_Pagos_con_periodo_de_gracia,-Monto_Crédito)+S208))</f>
        <v/>
      </c>
      <c r="AO208" s="128" t="str">
        <f>IF(A208="","",IF(A208&lt;=Periodos_Gracia,Tabla!AC208,Monto_Crédito/(No._De_Pagos_con_periodo_de_gracia)+AC208))</f>
        <v/>
      </c>
      <c r="AP208" s="118"/>
    </row>
    <row r="209" spans="1:42">
      <c r="A209" s="108" t="str">
        <f>IF(A208&lt;Parámetros!$E$6,A208+1,"")</f>
        <v/>
      </c>
      <c r="B209" s="109" t="str">
        <f t="shared" si="81"/>
        <v/>
      </c>
      <c r="C209" s="109" t="str">
        <f t="shared" si="57"/>
        <v/>
      </c>
      <c r="D209" s="109" t="str">
        <f t="shared" si="58"/>
        <v/>
      </c>
      <c r="E209" s="109" t="str">
        <f t="shared" si="59"/>
        <v/>
      </c>
      <c r="F209" s="109" t="str">
        <f t="shared" si="60"/>
        <v/>
      </c>
      <c r="G209" s="115" t="str">
        <f t="shared" si="70"/>
        <v/>
      </c>
      <c r="H209" s="116">
        <f t="shared" si="71"/>
        <v>0</v>
      </c>
      <c r="I209" s="109" t="str">
        <f t="shared" si="82"/>
        <v/>
      </c>
      <c r="J209" s="109" t="str">
        <f t="shared" si="61"/>
        <v/>
      </c>
      <c r="K209" s="109" t="str">
        <f t="shared" si="62"/>
        <v/>
      </c>
      <c r="L209" s="109" t="str">
        <f t="shared" si="63"/>
        <v/>
      </c>
      <c r="M209" s="109" t="str">
        <f t="shared" si="72"/>
        <v/>
      </c>
      <c r="N209" s="115" t="str">
        <f t="shared" si="73"/>
        <v/>
      </c>
      <c r="O209" s="61">
        <v>0</v>
      </c>
      <c r="P209" s="117">
        <f t="shared" si="74"/>
        <v>0</v>
      </c>
      <c r="R209" s="118" t="str">
        <f t="shared" si="84"/>
        <v/>
      </c>
      <c r="S209" s="119" t="str">
        <f t="shared" si="64"/>
        <v/>
      </c>
      <c r="T209" s="119" t="str">
        <f t="shared" si="65"/>
        <v/>
      </c>
      <c r="U209" s="120">
        <f t="shared" si="75"/>
        <v>0</v>
      </c>
      <c r="V209" s="121" t="str">
        <f>IF(A209="","",IF(A209&lt;=Periodos_Gracia,0,PPMT(Tasa_Anual/360*Días*(1+I.V.A.),Tabla!AM209,No._De_Pagos_con_periodo_de_gracia,-Monto_Crédito)))</f>
        <v/>
      </c>
      <c r="W209" s="111" t="str">
        <f>IF($U$258&lt;=0,V209,IF(SUM($U$18:U209)&lt;=0,V209,PMT($K$5/360*Días,A209,-R209)))</f>
        <v/>
      </c>
      <c r="X209" s="122" t="str">
        <f>IF($U$258&lt;=0,W209,IF(SUM($U$18:U209)&lt;=0,V209,PMT($K$5/360*Días,No._De_Pagos_con_periodo_de_gracia,-Monto_Crédito)-S209-T209))</f>
        <v/>
      </c>
      <c r="Y209" s="118" t="str">
        <f t="shared" si="76"/>
        <v/>
      </c>
      <c r="Z209" s="62" t="str">
        <f>+IF(A209="","",IF(No._de_Pagos-Tabla!A209+1&lt;=0,"",No._de_Pagos-Tabla!A209+1))</f>
        <v/>
      </c>
      <c r="AA209" s="123" t="str">
        <f t="shared" si="77"/>
        <v/>
      </c>
      <c r="AB209" s="125" t="str">
        <f t="shared" si="83"/>
        <v/>
      </c>
      <c r="AC209" s="125" t="str">
        <f t="shared" si="66"/>
        <v/>
      </c>
      <c r="AD209" s="125" t="str">
        <f t="shared" si="67"/>
        <v/>
      </c>
      <c r="AE209" s="120">
        <f t="shared" si="78"/>
        <v>0</v>
      </c>
      <c r="AF209" s="121" t="str">
        <f t="shared" si="68"/>
        <v/>
      </c>
      <c r="AG209" s="111" t="str">
        <f>IF($U$258&lt;=0,AF209,IF(SUM($U$18:U209)&lt;=0,AF209,PMT($K$5/360*Días,A209,-AA209)))</f>
        <v/>
      </c>
      <c r="AH209" s="122" t="str">
        <f>IF(A209&lt;=Periodos_Gracia,0,IF($U$258&lt;=0,AG209,IF(SUM($U$18:U209)&lt;=0,AF209,PMT($K$5/360*Días,No._de_Pagos,-Monto_Crédito)-AC209-AD209)))</f>
        <v/>
      </c>
      <c r="AI209" s="126" t="str">
        <f t="shared" si="79"/>
        <v/>
      </c>
      <c r="AK209" s="127" t="str">
        <f>IF(A209="","",IF(Periodos_Gracia&gt;0,Tabla!AN209,V209+S209))</f>
        <v/>
      </c>
      <c r="AL209" s="127" t="str">
        <f t="shared" si="69"/>
        <v/>
      </c>
      <c r="AM209" s="62" t="str">
        <f t="shared" si="80"/>
        <v/>
      </c>
      <c r="AN209" s="128" t="str">
        <f>IF(A209="","",IF(A209&lt;=Periodos_Gracia,Tabla!S209,PPMT(Tasa_Anual/360*Días*(1+I.V.A.),Tabla!AM209,No._De_Pagos_con_periodo_de_gracia,-Monto_Crédito)+S209))</f>
        <v/>
      </c>
      <c r="AO209" s="128" t="str">
        <f>IF(A209="","",IF(A209&lt;=Periodos_Gracia,Tabla!AC209,Monto_Crédito/(No._De_Pagos_con_periodo_de_gracia)+AC209))</f>
        <v/>
      </c>
      <c r="AP209" s="118"/>
    </row>
    <row r="210" spans="1:42">
      <c r="A210" s="108" t="str">
        <f>IF(A209&lt;Parámetros!$E$6,A209+1,"")</f>
        <v/>
      </c>
      <c r="B210" s="109" t="str">
        <f t="shared" si="81"/>
        <v/>
      </c>
      <c r="C210" s="109" t="str">
        <f t="shared" ref="C210:C257" si="85">IF(A210="","",IF(A210&lt;=Periodos_Gracia,0,IF(V210&gt;B210,B210,V210)))</f>
        <v/>
      </c>
      <c r="D210" s="109" t="str">
        <f t="shared" ref="D210:D257" si="86">IF(A210="","",B210*Tasa_Anual/Pagos_por_año)</f>
        <v/>
      </c>
      <c r="E210" s="109" t="str">
        <f t="shared" ref="E210:E257" si="87">IF(A210="","",D210*I.V.A.)</f>
        <v/>
      </c>
      <c r="F210" s="109" t="str">
        <f t="shared" ref="F210:F257" si="88">IF(A210="","",IF(B210=0,0,IF(A210&lt;=Periodos_Gracia,(D210+E210),C210+D210+E210)))</f>
        <v/>
      </c>
      <c r="G210" s="115" t="str">
        <f t="shared" si="70"/>
        <v/>
      </c>
      <c r="H210" s="116">
        <f t="shared" si="71"/>
        <v>0</v>
      </c>
      <c r="I210" s="109" t="str">
        <f t="shared" si="82"/>
        <v/>
      </c>
      <c r="J210" s="109" t="str">
        <f t="shared" ref="J210:J257" si="89">IF(A210="","",IF(I210=0,0,IF(A210&lt;=Periodos_Gracia,0,IF((Monto_Crédito/(No._de_Pagos-Periodos_Gracia))&gt;I210,I210,(Monto_Crédito/(No._de_Pagos-Periodos_Gracia))))))</f>
        <v/>
      </c>
      <c r="K210" s="109" t="str">
        <f t="shared" ref="K210:K257" si="90">IF(A210="","",I210*Tasa_Anual/Pagos_por_año)</f>
        <v/>
      </c>
      <c r="L210" s="109" t="str">
        <f t="shared" ref="L210:L257" si="91">IF(A210="","",K210*I.V.A.)</f>
        <v/>
      </c>
      <c r="M210" s="109" t="str">
        <f t="shared" si="72"/>
        <v/>
      </c>
      <c r="N210" s="115" t="str">
        <f t="shared" si="73"/>
        <v/>
      </c>
      <c r="O210" s="61">
        <v>0</v>
      </c>
      <c r="P210" s="117">
        <f t="shared" si="74"/>
        <v>0</v>
      </c>
      <c r="R210" s="118" t="str">
        <f t="shared" si="84"/>
        <v/>
      </c>
      <c r="S210" s="119" t="str">
        <f t="shared" ref="S210:S257" si="92">+IF(A210="","",R210*$K$5/360*Días)</f>
        <v/>
      </c>
      <c r="T210" s="119" t="str">
        <f t="shared" ref="T210:T257" si="93">+IF(A210="","",S210*I.V.A.)</f>
        <v/>
      </c>
      <c r="U210" s="120">
        <f t="shared" si="75"/>
        <v>0</v>
      </c>
      <c r="V210" s="121" t="str">
        <f>IF(A210="","",IF(A210&lt;=Periodos_Gracia,0,PPMT(Tasa_Anual/360*Días*(1+I.V.A.),Tabla!AM210,No._De_Pagos_con_periodo_de_gracia,-Monto_Crédito)))</f>
        <v/>
      </c>
      <c r="W210" s="111" t="str">
        <f>IF($U$258&lt;=0,V210,IF(SUM($U$18:U210)&lt;=0,V210,PMT($K$5/360*Días,A210,-R210)))</f>
        <v/>
      </c>
      <c r="X210" s="122" t="str">
        <f>IF($U$258&lt;=0,W210,IF(SUM($U$18:U210)&lt;=0,V210,PMT($K$5/360*Días,No._De_Pagos_con_periodo_de_gracia,-Monto_Crédito)-S210-T210))</f>
        <v/>
      </c>
      <c r="Y210" s="118" t="str">
        <f t="shared" si="76"/>
        <v/>
      </c>
      <c r="Z210" s="62" t="str">
        <f>+IF(A210="","",IF(No._de_Pagos-Tabla!A210+1&lt;=0,"",No._de_Pagos-Tabla!A210+1))</f>
        <v/>
      </c>
      <c r="AA210" s="123" t="str">
        <f t="shared" si="77"/>
        <v/>
      </c>
      <c r="AB210" s="125" t="str">
        <f t="shared" si="83"/>
        <v/>
      </c>
      <c r="AC210" s="125" t="str">
        <f t="shared" ref="AC210:AC257" si="94">IF(AB210="","",+AB210*($K$5/360*Días))</f>
        <v/>
      </c>
      <c r="AD210" s="125" t="str">
        <f t="shared" ref="AD210:AD257" si="95">IF(AC210="","",+AC210*I.V.A.)</f>
        <v/>
      </c>
      <c r="AE210" s="120">
        <f t="shared" si="78"/>
        <v>0</v>
      </c>
      <c r="AF210" s="121" t="str">
        <f t="shared" ref="AF210:AF257" si="96">IF(A210="","",IF(A210&lt;=Periodos_Gracia,0,Monto_Crédito/(No._De_Pagos_con_periodo_de_gracia)))</f>
        <v/>
      </c>
      <c r="AG210" s="111" t="str">
        <f>IF($U$258&lt;=0,AF210,IF(SUM($U$18:U210)&lt;=0,AF210,PMT($K$5/360*Días,A210,-AA210)))</f>
        <v/>
      </c>
      <c r="AH210" s="122" t="str">
        <f>IF(A210&lt;=Periodos_Gracia,0,IF($U$258&lt;=0,AG210,IF(SUM($U$18:U210)&lt;=0,AF210,PMT($K$5/360*Días,No._de_Pagos,-Monto_Crédito)-AC210-AD210)))</f>
        <v/>
      </c>
      <c r="AI210" s="126" t="str">
        <f t="shared" si="79"/>
        <v/>
      </c>
      <c r="AK210" s="127" t="str">
        <f>IF(A210="","",IF(Periodos_Gracia&gt;0,Tabla!AN210,V210+S210))</f>
        <v/>
      </c>
      <c r="AL210" s="127" t="str">
        <f t="shared" ref="AL210:AL257" si="97">IF(A210="","",IF(Periodos_Gracia&gt;0,AO210,AF210+AC210))</f>
        <v/>
      </c>
      <c r="AM210" s="62" t="str">
        <f t="shared" si="80"/>
        <v/>
      </c>
      <c r="AN210" s="128" t="str">
        <f>IF(A210="","",IF(A210&lt;=Periodos_Gracia,Tabla!S210,PPMT(Tasa_Anual/360*Días*(1+I.V.A.),Tabla!AM210,No._De_Pagos_con_periodo_de_gracia,-Monto_Crédito)+S210))</f>
        <v/>
      </c>
      <c r="AO210" s="128" t="str">
        <f>IF(A210="","",IF(A210&lt;=Periodos_Gracia,Tabla!AC210,Monto_Crédito/(No._De_Pagos_con_periodo_de_gracia)+AC210))</f>
        <v/>
      </c>
      <c r="AP210" s="118"/>
    </row>
    <row r="211" spans="1:42">
      <c r="A211" s="108" t="str">
        <f>IF(A210&lt;Parámetros!$E$6,A210+1,"")</f>
        <v/>
      </c>
      <c r="B211" s="109" t="str">
        <f t="shared" si="81"/>
        <v/>
      </c>
      <c r="C211" s="109" t="str">
        <f t="shared" si="85"/>
        <v/>
      </c>
      <c r="D211" s="109" t="str">
        <f t="shared" si="86"/>
        <v/>
      </c>
      <c r="E211" s="109" t="str">
        <f t="shared" si="87"/>
        <v/>
      </c>
      <c r="F211" s="109" t="str">
        <f t="shared" si="88"/>
        <v/>
      </c>
      <c r="G211" s="115" t="str">
        <f t="shared" ref="G211:G257" si="98">IF(A211="","",IF(+B211-C211-O211&lt;=0,0,+B211-C211-O211))</f>
        <v/>
      </c>
      <c r="H211" s="116">
        <f t="shared" ref="H211:H257" si="99">IF(OR(B211=0,B211=""),0,1)</f>
        <v>0</v>
      </c>
      <c r="I211" s="109" t="str">
        <f t="shared" si="82"/>
        <v/>
      </c>
      <c r="J211" s="109" t="str">
        <f t="shared" si="89"/>
        <v/>
      </c>
      <c r="K211" s="109" t="str">
        <f t="shared" si="90"/>
        <v/>
      </c>
      <c r="L211" s="109" t="str">
        <f t="shared" si="91"/>
        <v/>
      </c>
      <c r="M211" s="109" t="str">
        <f t="shared" ref="M211:M257" si="100">IF(A211="","",IF(I211=0,0,(J211+K211+L211)))</f>
        <v/>
      </c>
      <c r="N211" s="115" t="str">
        <f t="shared" ref="N211:N257" si="101">IF(A211="","",IF(+I211-J211-O211&lt;=0,0,+I211-J211-O211))</f>
        <v/>
      </c>
      <c r="O211" s="61">
        <v>0</v>
      </c>
      <c r="P211" s="117">
        <f t="shared" ref="P211:P257" si="102">IF(OR(I211=0,I211=""),0,1)</f>
        <v>0</v>
      </c>
      <c r="R211" s="118" t="str">
        <f t="shared" si="84"/>
        <v/>
      </c>
      <c r="S211" s="119" t="str">
        <f t="shared" si="92"/>
        <v/>
      </c>
      <c r="T211" s="119" t="str">
        <f t="shared" si="93"/>
        <v/>
      </c>
      <c r="U211" s="120">
        <f t="shared" ref="U211:U257" si="103">+O211</f>
        <v>0</v>
      </c>
      <c r="V211" s="121" t="str">
        <f>IF(A211="","",IF(A211&lt;=Periodos_Gracia,0,PPMT(Tasa_Anual/360*Días*(1+I.V.A.),Tabla!AM211,No._De_Pagos_con_periodo_de_gracia,-Monto_Crédito)))</f>
        <v/>
      </c>
      <c r="W211" s="111" t="str">
        <f>IF($U$258&lt;=0,V211,IF(SUM($U$18:U211)&lt;=0,V211,PMT($K$5/360*Días,A211,-R211)))</f>
        <v/>
      </c>
      <c r="X211" s="122" t="str">
        <f>IF($U$258&lt;=0,W211,IF(SUM($U$18:U211)&lt;=0,V211,PMT($K$5/360*Días,No._De_Pagos_con_periodo_de_gracia,-Monto_Crédito)-S211-T211))</f>
        <v/>
      </c>
      <c r="Y211" s="118" t="str">
        <f t="shared" ref="Y211:Y257" si="104">V211</f>
        <v/>
      </c>
      <c r="Z211" s="62" t="str">
        <f>+IF(A211="","",IF(No._de_Pagos-Tabla!A211+1&lt;=0,"",No._de_Pagos-Tabla!A211+1))</f>
        <v/>
      </c>
      <c r="AA211" s="123" t="str">
        <f t="shared" ref="AA211:AA257" si="105">IF(A211="","",V211+S211+T211)</f>
        <v/>
      </c>
      <c r="AB211" s="125" t="str">
        <f t="shared" si="83"/>
        <v/>
      </c>
      <c r="AC211" s="125" t="str">
        <f t="shared" si="94"/>
        <v/>
      </c>
      <c r="AD211" s="125" t="str">
        <f t="shared" si="95"/>
        <v/>
      </c>
      <c r="AE211" s="120">
        <f t="shared" ref="AE211:AE258" si="106">+O211</f>
        <v>0</v>
      </c>
      <c r="AF211" s="121" t="str">
        <f t="shared" si="96"/>
        <v/>
      </c>
      <c r="AG211" s="111" t="str">
        <f>IF($U$258&lt;=0,AF211,IF(SUM($U$18:U211)&lt;=0,AF211,PMT($K$5/360*Días,A211,-AA211)))</f>
        <v/>
      </c>
      <c r="AH211" s="122" t="str">
        <f>IF(A211&lt;=Periodos_Gracia,0,IF($U$258&lt;=0,AG211,IF(SUM($U$18:U211)&lt;=0,AF211,PMT($K$5/360*Días,No._de_Pagos,-Monto_Crédito)-AC211-AD211)))</f>
        <v/>
      </c>
      <c r="AI211" s="126" t="str">
        <f t="shared" ref="AI211:AI257" si="107">IF(A211="","",AF211+AC211+AD211)</f>
        <v/>
      </c>
      <c r="AK211" s="127" t="str">
        <f>IF(A211="","",IF(Periodos_Gracia&gt;0,Tabla!AN211,V211+S211))</f>
        <v/>
      </c>
      <c r="AL211" s="127" t="str">
        <f t="shared" si="97"/>
        <v/>
      </c>
      <c r="AM211" s="62" t="str">
        <f t="shared" ref="AM211:AM257" si="108">IF(A211="","",IF(A211&lt;=Periodos_Gracia,0,IF(AM210=0,1,IF(AM210&gt;0,AM210+1,A210))))</f>
        <v/>
      </c>
      <c r="AN211" s="128" t="str">
        <f>IF(A211="","",IF(A211&lt;=Periodos_Gracia,Tabla!S211,PPMT(Tasa_Anual/360*Días*(1+I.V.A.),Tabla!AM211,No._De_Pagos_con_periodo_de_gracia,-Monto_Crédito)+S211))</f>
        <v/>
      </c>
      <c r="AO211" s="128" t="str">
        <f>IF(A211="","",IF(A211&lt;=Periodos_Gracia,Tabla!AC211,Monto_Crédito/(No._De_Pagos_con_periodo_de_gracia)+AC211))</f>
        <v/>
      </c>
      <c r="AP211" s="118"/>
    </row>
    <row r="212" spans="1:42">
      <c r="A212" s="108" t="str">
        <f>IF(A211&lt;Parámetros!$E$6,A211+1,"")</f>
        <v/>
      </c>
      <c r="B212" s="109" t="str">
        <f t="shared" ref="B212:B257" si="109">IF(A212="","",IF(G211&lt;=0,0,+G211))</f>
        <v/>
      </c>
      <c r="C212" s="109" t="str">
        <f t="shared" si="85"/>
        <v/>
      </c>
      <c r="D212" s="109" t="str">
        <f t="shared" si="86"/>
        <v/>
      </c>
      <c r="E212" s="109" t="str">
        <f t="shared" si="87"/>
        <v/>
      </c>
      <c r="F212" s="109" t="str">
        <f t="shared" si="88"/>
        <v/>
      </c>
      <c r="G212" s="115" t="str">
        <f t="shared" si="98"/>
        <v/>
      </c>
      <c r="H212" s="116">
        <f t="shared" si="99"/>
        <v>0</v>
      </c>
      <c r="I212" s="109" t="str">
        <f t="shared" ref="I212:I257" si="110">IF(A212="","",IF(+N211&lt;=0,0,N211))</f>
        <v/>
      </c>
      <c r="J212" s="109" t="str">
        <f t="shared" si="89"/>
        <v/>
      </c>
      <c r="K212" s="109" t="str">
        <f t="shared" si="90"/>
        <v/>
      </c>
      <c r="L212" s="109" t="str">
        <f t="shared" si="91"/>
        <v/>
      </c>
      <c r="M212" s="109" t="str">
        <f t="shared" si="100"/>
        <v/>
      </c>
      <c r="N212" s="115" t="str">
        <f t="shared" si="101"/>
        <v/>
      </c>
      <c r="O212" s="61">
        <v>0</v>
      </c>
      <c r="P212" s="117">
        <f t="shared" si="102"/>
        <v>0</v>
      </c>
      <c r="R212" s="118" t="str">
        <f t="shared" si="84"/>
        <v/>
      </c>
      <c r="S212" s="119" t="str">
        <f t="shared" si="92"/>
        <v/>
      </c>
      <c r="T212" s="119" t="str">
        <f t="shared" si="93"/>
        <v/>
      </c>
      <c r="U212" s="120">
        <f t="shared" si="103"/>
        <v>0</v>
      </c>
      <c r="V212" s="121" t="str">
        <f>IF(A212="","",IF(A212&lt;=Periodos_Gracia,0,PPMT(Tasa_Anual/360*Días*(1+I.V.A.),Tabla!AM212,No._De_Pagos_con_periodo_de_gracia,-Monto_Crédito)))</f>
        <v/>
      </c>
      <c r="W212" s="111" t="str">
        <f>IF($U$258&lt;=0,V212,IF(SUM($U$18:U212)&lt;=0,V212,PMT($K$5/360*Días,A212,-R212)))</f>
        <v/>
      </c>
      <c r="X212" s="122" t="str">
        <f>IF($U$258&lt;=0,W212,IF(SUM($U$18:U212)&lt;=0,V212,PMT($K$5/360*Días,No._De_Pagos_con_periodo_de_gracia,-Monto_Crédito)-S212-T212))</f>
        <v/>
      </c>
      <c r="Y212" s="118" t="str">
        <f t="shared" si="104"/>
        <v/>
      </c>
      <c r="Z212" s="62" t="str">
        <f>+IF(A212="","",IF(No._de_Pagos-Tabla!A212+1&lt;=0,"",No._de_Pagos-Tabla!A212+1))</f>
        <v/>
      </c>
      <c r="AA212" s="123" t="str">
        <f t="shared" si="105"/>
        <v/>
      </c>
      <c r="AB212" s="125" t="str">
        <f t="shared" ref="AB212:AB257" si="111">IF(A212="","",AB211-AF211)</f>
        <v/>
      </c>
      <c r="AC212" s="125" t="str">
        <f t="shared" si="94"/>
        <v/>
      </c>
      <c r="AD212" s="125" t="str">
        <f t="shared" si="95"/>
        <v/>
      </c>
      <c r="AE212" s="120">
        <f t="shared" si="106"/>
        <v>0</v>
      </c>
      <c r="AF212" s="121" t="str">
        <f t="shared" si="96"/>
        <v/>
      </c>
      <c r="AG212" s="111" t="str">
        <f>IF($U$258&lt;=0,AF212,IF(SUM($U$18:U212)&lt;=0,AF212,PMT($K$5/360*Días,A212,-AA212)))</f>
        <v/>
      </c>
      <c r="AH212" s="122" t="str">
        <f>IF(A212&lt;=Periodos_Gracia,0,IF($U$258&lt;=0,AG212,IF(SUM($U$18:U212)&lt;=0,AF212,PMT($K$5/360*Días,No._de_Pagos,-Monto_Crédito)-AC212-AD212)))</f>
        <v/>
      </c>
      <c r="AI212" s="126" t="str">
        <f t="shared" si="107"/>
        <v/>
      </c>
      <c r="AK212" s="127" t="str">
        <f>IF(A212="","",IF(Periodos_Gracia&gt;0,Tabla!AN212,V212+S212))</f>
        <v/>
      </c>
      <c r="AL212" s="127" t="str">
        <f t="shared" si="97"/>
        <v/>
      </c>
      <c r="AM212" s="62" t="str">
        <f t="shared" si="108"/>
        <v/>
      </c>
      <c r="AN212" s="128" t="str">
        <f>IF(A212="","",IF(A212&lt;=Periodos_Gracia,Tabla!S212,PPMT(Tasa_Anual/360*Días*(1+I.V.A.),Tabla!AM212,No._De_Pagos_con_periodo_de_gracia,-Monto_Crédito)+S212))</f>
        <v/>
      </c>
      <c r="AO212" s="128" t="str">
        <f>IF(A212="","",IF(A212&lt;=Periodos_Gracia,Tabla!AC212,Monto_Crédito/(No._De_Pagos_con_periodo_de_gracia)+AC212))</f>
        <v/>
      </c>
      <c r="AP212" s="118"/>
    </row>
    <row r="213" spans="1:42">
      <c r="A213" s="108" t="str">
        <f>IF(A212&lt;Parámetros!$E$6,A212+1,"")</f>
        <v/>
      </c>
      <c r="B213" s="109" t="str">
        <f t="shared" si="109"/>
        <v/>
      </c>
      <c r="C213" s="109" t="str">
        <f t="shared" si="85"/>
        <v/>
      </c>
      <c r="D213" s="109" t="str">
        <f t="shared" si="86"/>
        <v/>
      </c>
      <c r="E213" s="109" t="str">
        <f t="shared" si="87"/>
        <v/>
      </c>
      <c r="F213" s="109" t="str">
        <f t="shared" si="88"/>
        <v/>
      </c>
      <c r="G213" s="115" t="str">
        <f t="shared" si="98"/>
        <v/>
      </c>
      <c r="H213" s="116">
        <f t="shared" si="99"/>
        <v>0</v>
      </c>
      <c r="I213" s="109" t="str">
        <f t="shared" si="110"/>
        <v/>
      </c>
      <c r="J213" s="109" t="str">
        <f t="shared" si="89"/>
        <v/>
      </c>
      <c r="K213" s="109" t="str">
        <f t="shared" si="90"/>
        <v/>
      </c>
      <c r="L213" s="109" t="str">
        <f t="shared" si="91"/>
        <v/>
      </c>
      <c r="M213" s="109" t="str">
        <f t="shared" si="100"/>
        <v/>
      </c>
      <c r="N213" s="115" t="str">
        <f t="shared" si="101"/>
        <v/>
      </c>
      <c r="O213" s="61">
        <v>0</v>
      </c>
      <c r="P213" s="117">
        <f t="shared" si="102"/>
        <v>0</v>
      </c>
      <c r="R213" s="118" t="str">
        <f t="shared" si="84"/>
        <v/>
      </c>
      <c r="S213" s="119" t="str">
        <f t="shared" si="92"/>
        <v/>
      </c>
      <c r="T213" s="119" t="str">
        <f t="shared" si="93"/>
        <v/>
      </c>
      <c r="U213" s="120">
        <f t="shared" si="103"/>
        <v>0</v>
      </c>
      <c r="V213" s="121" t="str">
        <f>IF(A213="","",IF(A213&lt;=Periodos_Gracia,0,PPMT(Tasa_Anual/360*Días*(1+I.V.A.),Tabla!AM213,No._De_Pagos_con_periodo_de_gracia,-Monto_Crédito)))</f>
        <v/>
      </c>
      <c r="W213" s="111" t="str">
        <f>IF($U$258&lt;=0,V213,IF(SUM($U$18:U213)&lt;=0,V213,PMT($K$5/360*Días,A213,-R213)))</f>
        <v/>
      </c>
      <c r="X213" s="122" t="str">
        <f>IF($U$258&lt;=0,W213,IF(SUM($U$18:U213)&lt;=0,V213,PMT($K$5/360*Días,No._De_Pagos_con_periodo_de_gracia,-Monto_Crédito)-S213-T213))</f>
        <v/>
      </c>
      <c r="Y213" s="118" t="str">
        <f t="shared" si="104"/>
        <v/>
      </c>
      <c r="Z213" s="62" t="str">
        <f>+IF(A213="","",IF(No._de_Pagos-Tabla!A213+1&lt;=0,"",No._de_Pagos-Tabla!A213+1))</f>
        <v/>
      </c>
      <c r="AA213" s="123" t="str">
        <f t="shared" si="105"/>
        <v/>
      </c>
      <c r="AB213" s="125" t="str">
        <f t="shared" si="111"/>
        <v/>
      </c>
      <c r="AC213" s="125" t="str">
        <f t="shared" si="94"/>
        <v/>
      </c>
      <c r="AD213" s="125" t="str">
        <f t="shared" si="95"/>
        <v/>
      </c>
      <c r="AE213" s="120">
        <f t="shared" si="106"/>
        <v>0</v>
      </c>
      <c r="AF213" s="121" t="str">
        <f t="shared" si="96"/>
        <v/>
      </c>
      <c r="AG213" s="111" t="str">
        <f>IF($U$258&lt;=0,AF213,IF(SUM($U$18:U213)&lt;=0,AF213,PMT($K$5/360*Días,A213,-AA213)))</f>
        <v/>
      </c>
      <c r="AH213" s="122" t="str">
        <f>IF(A213&lt;=Periodos_Gracia,0,IF($U$258&lt;=0,AG213,IF(SUM($U$18:U213)&lt;=0,AF213,PMT($K$5/360*Días,No._de_Pagos,-Monto_Crédito)-AC213-AD213)))</f>
        <v/>
      </c>
      <c r="AI213" s="126" t="str">
        <f t="shared" si="107"/>
        <v/>
      </c>
      <c r="AK213" s="127" t="str">
        <f>IF(A213="","",IF(Periodos_Gracia&gt;0,Tabla!AN213,V213+S213))</f>
        <v/>
      </c>
      <c r="AL213" s="127" t="str">
        <f t="shared" si="97"/>
        <v/>
      </c>
      <c r="AM213" s="62" t="str">
        <f t="shared" si="108"/>
        <v/>
      </c>
      <c r="AN213" s="128" t="str">
        <f>IF(A213="","",IF(A213&lt;=Periodos_Gracia,Tabla!S213,PPMT(Tasa_Anual/360*Días*(1+I.V.A.),Tabla!AM213,No._De_Pagos_con_periodo_de_gracia,-Monto_Crédito)+S213))</f>
        <v/>
      </c>
      <c r="AO213" s="128" t="str">
        <f>IF(A213="","",IF(A213&lt;=Periodos_Gracia,Tabla!AC213,Monto_Crédito/(No._De_Pagos_con_periodo_de_gracia)+AC213))</f>
        <v/>
      </c>
      <c r="AP213" s="118"/>
    </row>
    <row r="214" spans="1:42">
      <c r="A214" s="108" t="str">
        <f>IF(A213&lt;Parámetros!$E$6,A213+1,"")</f>
        <v/>
      </c>
      <c r="B214" s="109" t="str">
        <f t="shared" si="109"/>
        <v/>
      </c>
      <c r="C214" s="109" t="str">
        <f t="shared" si="85"/>
        <v/>
      </c>
      <c r="D214" s="109" t="str">
        <f t="shared" si="86"/>
        <v/>
      </c>
      <c r="E214" s="109" t="str">
        <f t="shared" si="87"/>
        <v/>
      </c>
      <c r="F214" s="109" t="str">
        <f t="shared" si="88"/>
        <v/>
      </c>
      <c r="G214" s="115" t="str">
        <f t="shared" si="98"/>
        <v/>
      </c>
      <c r="H214" s="116">
        <f t="shared" si="99"/>
        <v>0</v>
      </c>
      <c r="I214" s="109" t="str">
        <f t="shared" si="110"/>
        <v/>
      </c>
      <c r="J214" s="109" t="str">
        <f t="shared" si="89"/>
        <v/>
      </c>
      <c r="K214" s="109" t="str">
        <f t="shared" si="90"/>
        <v/>
      </c>
      <c r="L214" s="109" t="str">
        <f t="shared" si="91"/>
        <v/>
      </c>
      <c r="M214" s="109" t="str">
        <f t="shared" si="100"/>
        <v/>
      </c>
      <c r="N214" s="115" t="str">
        <f t="shared" si="101"/>
        <v/>
      </c>
      <c r="O214" s="61">
        <v>0</v>
      </c>
      <c r="P214" s="117">
        <f t="shared" si="102"/>
        <v>0</v>
      </c>
      <c r="R214" s="118" t="str">
        <f t="shared" si="84"/>
        <v/>
      </c>
      <c r="S214" s="119" t="str">
        <f t="shared" si="92"/>
        <v/>
      </c>
      <c r="T214" s="119" t="str">
        <f t="shared" si="93"/>
        <v/>
      </c>
      <c r="U214" s="120">
        <f t="shared" si="103"/>
        <v>0</v>
      </c>
      <c r="V214" s="121" t="str">
        <f>IF(A214="","",IF(A214&lt;=Periodos_Gracia,0,PPMT(Tasa_Anual/360*Días*(1+I.V.A.),Tabla!AM214,No._De_Pagos_con_periodo_de_gracia,-Monto_Crédito)))</f>
        <v/>
      </c>
      <c r="W214" s="111" t="str">
        <f>IF($U$258&lt;=0,V214,IF(SUM($U$18:U214)&lt;=0,V214,PMT($K$5/360*Días,A214,-R214)))</f>
        <v/>
      </c>
      <c r="X214" s="122" t="str">
        <f>IF($U$258&lt;=0,W214,IF(SUM($U$18:U214)&lt;=0,V214,PMT($K$5/360*Días,No._De_Pagos_con_periodo_de_gracia,-Monto_Crédito)-S214-T214))</f>
        <v/>
      </c>
      <c r="Y214" s="118" t="str">
        <f t="shared" si="104"/>
        <v/>
      </c>
      <c r="Z214" s="62" t="str">
        <f>+IF(A214="","",IF(No._de_Pagos-Tabla!A214+1&lt;=0,"",No._de_Pagos-Tabla!A214+1))</f>
        <v/>
      </c>
      <c r="AA214" s="123" t="str">
        <f t="shared" si="105"/>
        <v/>
      </c>
      <c r="AB214" s="125" t="str">
        <f t="shared" si="111"/>
        <v/>
      </c>
      <c r="AC214" s="125" t="str">
        <f t="shared" si="94"/>
        <v/>
      </c>
      <c r="AD214" s="125" t="str">
        <f t="shared" si="95"/>
        <v/>
      </c>
      <c r="AE214" s="120">
        <f t="shared" si="106"/>
        <v>0</v>
      </c>
      <c r="AF214" s="121" t="str">
        <f t="shared" si="96"/>
        <v/>
      </c>
      <c r="AG214" s="111" t="str">
        <f>IF($U$258&lt;=0,AF214,IF(SUM($U$18:U214)&lt;=0,AF214,PMT($K$5/360*Días,A214,-AA214)))</f>
        <v/>
      </c>
      <c r="AH214" s="122" t="str">
        <f>IF(A214&lt;=Periodos_Gracia,0,IF($U$258&lt;=0,AG214,IF(SUM($U$18:U214)&lt;=0,AF214,PMT($K$5/360*Días,No._de_Pagos,-Monto_Crédito)-AC214-AD214)))</f>
        <v/>
      </c>
      <c r="AI214" s="126" t="str">
        <f t="shared" si="107"/>
        <v/>
      </c>
      <c r="AK214" s="127" t="str">
        <f>IF(A214="","",IF(Periodos_Gracia&gt;0,Tabla!AN214,V214+S214))</f>
        <v/>
      </c>
      <c r="AL214" s="127" t="str">
        <f t="shared" si="97"/>
        <v/>
      </c>
      <c r="AM214" s="62" t="str">
        <f t="shared" si="108"/>
        <v/>
      </c>
      <c r="AN214" s="128" t="str">
        <f>IF(A214="","",IF(A214&lt;=Periodos_Gracia,Tabla!S214,PPMT(Tasa_Anual/360*Días*(1+I.V.A.),Tabla!AM214,No._De_Pagos_con_periodo_de_gracia,-Monto_Crédito)+S214))</f>
        <v/>
      </c>
      <c r="AO214" s="128" t="str">
        <f>IF(A214="","",IF(A214&lt;=Periodos_Gracia,Tabla!AC214,Monto_Crédito/(No._De_Pagos_con_periodo_de_gracia)+AC214))</f>
        <v/>
      </c>
      <c r="AP214" s="118"/>
    </row>
    <row r="215" spans="1:42">
      <c r="A215" s="108" t="str">
        <f>IF(A214&lt;Parámetros!$E$6,A214+1,"")</f>
        <v/>
      </c>
      <c r="B215" s="109" t="str">
        <f t="shared" si="109"/>
        <v/>
      </c>
      <c r="C215" s="109" t="str">
        <f t="shared" si="85"/>
        <v/>
      </c>
      <c r="D215" s="109" t="str">
        <f t="shared" si="86"/>
        <v/>
      </c>
      <c r="E215" s="109" t="str">
        <f t="shared" si="87"/>
        <v/>
      </c>
      <c r="F215" s="109" t="str">
        <f t="shared" si="88"/>
        <v/>
      </c>
      <c r="G215" s="115" t="str">
        <f t="shared" si="98"/>
        <v/>
      </c>
      <c r="H215" s="116">
        <f t="shared" si="99"/>
        <v>0</v>
      </c>
      <c r="I215" s="109" t="str">
        <f t="shared" si="110"/>
        <v/>
      </c>
      <c r="J215" s="109" t="str">
        <f t="shared" si="89"/>
        <v/>
      </c>
      <c r="K215" s="109" t="str">
        <f t="shared" si="90"/>
        <v/>
      </c>
      <c r="L215" s="109" t="str">
        <f t="shared" si="91"/>
        <v/>
      </c>
      <c r="M215" s="109" t="str">
        <f t="shared" si="100"/>
        <v/>
      </c>
      <c r="N215" s="115" t="str">
        <f t="shared" si="101"/>
        <v/>
      </c>
      <c r="O215" s="61">
        <v>0</v>
      </c>
      <c r="P215" s="117">
        <f t="shared" si="102"/>
        <v>0</v>
      </c>
      <c r="R215" s="118" t="str">
        <f t="shared" si="84"/>
        <v/>
      </c>
      <c r="S215" s="119" t="str">
        <f t="shared" si="92"/>
        <v/>
      </c>
      <c r="T215" s="119" t="str">
        <f t="shared" si="93"/>
        <v/>
      </c>
      <c r="U215" s="120">
        <f t="shared" si="103"/>
        <v>0</v>
      </c>
      <c r="V215" s="121" t="str">
        <f>IF(A215="","",IF(A215&lt;=Periodos_Gracia,0,PPMT(Tasa_Anual/360*Días*(1+I.V.A.),Tabla!AM215,No._De_Pagos_con_periodo_de_gracia,-Monto_Crédito)))</f>
        <v/>
      </c>
      <c r="W215" s="111" t="str">
        <f>IF($U$258&lt;=0,V215,IF(SUM($U$18:U215)&lt;=0,V215,PMT($K$5/360*Días,A215,-R215)))</f>
        <v/>
      </c>
      <c r="X215" s="122" t="str">
        <f>IF($U$258&lt;=0,W215,IF(SUM($U$18:U215)&lt;=0,V215,PMT($K$5/360*Días,No._De_Pagos_con_periodo_de_gracia,-Monto_Crédito)-S215-T215))</f>
        <v/>
      </c>
      <c r="Y215" s="118" t="str">
        <f t="shared" si="104"/>
        <v/>
      </c>
      <c r="Z215" s="62" t="str">
        <f>+IF(A215="","",IF(No._de_Pagos-Tabla!A215+1&lt;=0,"",No._de_Pagos-Tabla!A215+1))</f>
        <v/>
      </c>
      <c r="AA215" s="123" t="str">
        <f t="shared" si="105"/>
        <v/>
      </c>
      <c r="AB215" s="125" t="str">
        <f t="shared" si="111"/>
        <v/>
      </c>
      <c r="AC215" s="125" t="str">
        <f t="shared" si="94"/>
        <v/>
      </c>
      <c r="AD215" s="125" t="str">
        <f t="shared" si="95"/>
        <v/>
      </c>
      <c r="AE215" s="120">
        <f t="shared" si="106"/>
        <v>0</v>
      </c>
      <c r="AF215" s="121" t="str">
        <f t="shared" si="96"/>
        <v/>
      </c>
      <c r="AG215" s="111" t="str">
        <f>IF($U$258&lt;=0,AF215,IF(SUM($U$18:U215)&lt;=0,AF215,PMT($K$5/360*Días,A215,-AA215)))</f>
        <v/>
      </c>
      <c r="AH215" s="122" t="str">
        <f>IF(A215&lt;=Periodos_Gracia,0,IF($U$258&lt;=0,AG215,IF(SUM($U$18:U215)&lt;=0,AF215,PMT($K$5/360*Días,No._de_Pagos,-Monto_Crédito)-AC215-AD215)))</f>
        <v/>
      </c>
      <c r="AI215" s="126" t="str">
        <f t="shared" si="107"/>
        <v/>
      </c>
      <c r="AK215" s="127" t="str">
        <f>IF(A215="","",IF(Periodos_Gracia&gt;0,Tabla!AN215,V215+S215))</f>
        <v/>
      </c>
      <c r="AL215" s="127" t="str">
        <f t="shared" si="97"/>
        <v/>
      </c>
      <c r="AM215" s="62" t="str">
        <f t="shared" si="108"/>
        <v/>
      </c>
      <c r="AN215" s="128" t="str">
        <f>IF(A215="","",IF(A215&lt;=Periodos_Gracia,Tabla!S215,PPMT(Tasa_Anual/360*Días*(1+I.V.A.),Tabla!AM215,No._De_Pagos_con_periodo_de_gracia,-Monto_Crédito)+S215))</f>
        <v/>
      </c>
      <c r="AO215" s="128" t="str">
        <f>IF(A215="","",IF(A215&lt;=Periodos_Gracia,Tabla!AC215,Monto_Crédito/(No._De_Pagos_con_periodo_de_gracia)+AC215))</f>
        <v/>
      </c>
      <c r="AP215" s="118"/>
    </row>
    <row r="216" spans="1:42">
      <c r="A216" s="108" t="str">
        <f>IF(A215&lt;Parámetros!$E$6,A215+1,"")</f>
        <v/>
      </c>
      <c r="B216" s="109" t="str">
        <f t="shared" si="109"/>
        <v/>
      </c>
      <c r="C216" s="109" t="str">
        <f t="shared" si="85"/>
        <v/>
      </c>
      <c r="D216" s="109" t="str">
        <f t="shared" si="86"/>
        <v/>
      </c>
      <c r="E216" s="109" t="str">
        <f t="shared" si="87"/>
        <v/>
      </c>
      <c r="F216" s="109" t="str">
        <f t="shared" si="88"/>
        <v/>
      </c>
      <c r="G216" s="115" t="str">
        <f t="shared" si="98"/>
        <v/>
      </c>
      <c r="H216" s="116">
        <f t="shared" si="99"/>
        <v>0</v>
      </c>
      <c r="I216" s="109" t="str">
        <f t="shared" si="110"/>
        <v/>
      </c>
      <c r="J216" s="109" t="str">
        <f t="shared" si="89"/>
        <v/>
      </c>
      <c r="K216" s="109" t="str">
        <f t="shared" si="90"/>
        <v/>
      </c>
      <c r="L216" s="109" t="str">
        <f t="shared" si="91"/>
        <v/>
      </c>
      <c r="M216" s="109" t="str">
        <f t="shared" si="100"/>
        <v/>
      </c>
      <c r="N216" s="115" t="str">
        <f t="shared" si="101"/>
        <v/>
      </c>
      <c r="O216" s="61">
        <v>0</v>
      </c>
      <c r="P216" s="117">
        <f t="shared" si="102"/>
        <v>0</v>
      </c>
      <c r="R216" s="118" t="str">
        <f t="shared" si="84"/>
        <v/>
      </c>
      <c r="S216" s="119" t="str">
        <f t="shared" si="92"/>
        <v/>
      </c>
      <c r="T216" s="119" t="str">
        <f t="shared" si="93"/>
        <v/>
      </c>
      <c r="U216" s="120">
        <f t="shared" si="103"/>
        <v>0</v>
      </c>
      <c r="V216" s="121" t="str">
        <f>IF(A216="","",IF(A216&lt;=Periodos_Gracia,0,PPMT(Tasa_Anual/360*Días*(1+I.V.A.),Tabla!AM216,No._De_Pagos_con_periodo_de_gracia,-Monto_Crédito)))</f>
        <v/>
      </c>
      <c r="W216" s="111" t="str">
        <f>IF($U$258&lt;=0,V216,IF(SUM($U$18:U216)&lt;=0,V216,PMT($K$5/360*Días,A216,-R216)))</f>
        <v/>
      </c>
      <c r="X216" s="122" t="str">
        <f>IF($U$258&lt;=0,W216,IF(SUM($U$18:U216)&lt;=0,V216,PMT($K$5/360*Días,No._De_Pagos_con_periodo_de_gracia,-Monto_Crédito)-S216-T216))</f>
        <v/>
      </c>
      <c r="Y216" s="118" t="str">
        <f t="shared" si="104"/>
        <v/>
      </c>
      <c r="Z216" s="62" t="str">
        <f>+IF(A216="","",IF(No._de_Pagos-Tabla!A216+1&lt;=0,"",No._de_Pagos-Tabla!A216+1))</f>
        <v/>
      </c>
      <c r="AA216" s="123" t="str">
        <f t="shared" si="105"/>
        <v/>
      </c>
      <c r="AB216" s="125" t="str">
        <f t="shared" si="111"/>
        <v/>
      </c>
      <c r="AC216" s="125" t="str">
        <f t="shared" si="94"/>
        <v/>
      </c>
      <c r="AD216" s="125" t="str">
        <f t="shared" si="95"/>
        <v/>
      </c>
      <c r="AE216" s="120">
        <f t="shared" si="106"/>
        <v>0</v>
      </c>
      <c r="AF216" s="121" t="str">
        <f t="shared" si="96"/>
        <v/>
      </c>
      <c r="AG216" s="111" t="str">
        <f>IF($U$258&lt;=0,AF216,IF(SUM($U$18:U216)&lt;=0,AF216,PMT($K$5/360*Días,A216,-AA216)))</f>
        <v/>
      </c>
      <c r="AH216" s="122" t="str">
        <f>IF(A216&lt;=Periodos_Gracia,0,IF($U$258&lt;=0,AG216,IF(SUM($U$18:U216)&lt;=0,AF216,PMT($K$5/360*Días,No._de_Pagos,-Monto_Crédito)-AC216-AD216)))</f>
        <v/>
      </c>
      <c r="AI216" s="126" t="str">
        <f t="shared" si="107"/>
        <v/>
      </c>
      <c r="AK216" s="127" t="str">
        <f>IF(A216="","",IF(Periodos_Gracia&gt;0,Tabla!AN216,V216+S216))</f>
        <v/>
      </c>
      <c r="AL216" s="127" t="str">
        <f t="shared" si="97"/>
        <v/>
      </c>
      <c r="AM216" s="62" t="str">
        <f t="shared" si="108"/>
        <v/>
      </c>
      <c r="AN216" s="128" t="str">
        <f>IF(A216="","",IF(A216&lt;=Periodos_Gracia,Tabla!S216,PPMT(Tasa_Anual/360*Días*(1+I.V.A.),Tabla!AM216,No._De_Pagos_con_periodo_de_gracia,-Monto_Crédito)+S216))</f>
        <v/>
      </c>
      <c r="AO216" s="128" t="str">
        <f>IF(A216="","",IF(A216&lt;=Periodos_Gracia,Tabla!AC216,Monto_Crédito/(No._De_Pagos_con_periodo_de_gracia)+AC216))</f>
        <v/>
      </c>
      <c r="AP216" s="118"/>
    </row>
    <row r="217" spans="1:42">
      <c r="A217" s="108" t="str">
        <f>IF(A216&lt;Parámetros!$E$6,A216+1,"")</f>
        <v/>
      </c>
      <c r="B217" s="109" t="str">
        <f t="shared" si="109"/>
        <v/>
      </c>
      <c r="C217" s="109" t="str">
        <f t="shared" si="85"/>
        <v/>
      </c>
      <c r="D217" s="109" t="str">
        <f t="shared" si="86"/>
        <v/>
      </c>
      <c r="E217" s="109" t="str">
        <f t="shared" si="87"/>
        <v/>
      </c>
      <c r="F217" s="109" t="str">
        <f t="shared" si="88"/>
        <v/>
      </c>
      <c r="G217" s="115" t="str">
        <f t="shared" si="98"/>
        <v/>
      </c>
      <c r="H217" s="116">
        <f t="shared" si="99"/>
        <v>0</v>
      </c>
      <c r="I217" s="109" t="str">
        <f t="shared" si="110"/>
        <v/>
      </c>
      <c r="J217" s="109" t="str">
        <f t="shared" si="89"/>
        <v/>
      </c>
      <c r="K217" s="109" t="str">
        <f t="shared" si="90"/>
        <v/>
      </c>
      <c r="L217" s="109" t="str">
        <f t="shared" si="91"/>
        <v/>
      </c>
      <c r="M217" s="109" t="str">
        <f t="shared" si="100"/>
        <v/>
      </c>
      <c r="N217" s="115" t="str">
        <f t="shared" si="101"/>
        <v/>
      </c>
      <c r="O217" s="61">
        <v>0</v>
      </c>
      <c r="P217" s="117">
        <f t="shared" si="102"/>
        <v>0</v>
      </c>
      <c r="R217" s="118" t="str">
        <f t="shared" si="84"/>
        <v/>
      </c>
      <c r="S217" s="119" t="str">
        <f t="shared" si="92"/>
        <v/>
      </c>
      <c r="T217" s="119" t="str">
        <f t="shared" si="93"/>
        <v/>
      </c>
      <c r="U217" s="120">
        <f t="shared" si="103"/>
        <v>0</v>
      </c>
      <c r="V217" s="121" t="str">
        <f>IF(A217="","",IF(A217&lt;=Periodos_Gracia,0,PPMT(Tasa_Anual/360*Días*(1+I.V.A.),Tabla!AM217,No._De_Pagos_con_periodo_de_gracia,-Monto_Crédito)))</f>
        <v/>
      </c>
      <c r="W217" s="111" t="str">
        <f>IF($U$258&lt;=0,V217,IF(SUM($U$18:U217)&lt;=0,V217,PMT($K$5/360*Días,A217,-R217)))</f>
        <v/>
      </c>
      <c r="X217" s="122" t="str">
        <f>IF($U$258&lt;=0,W217,IF(SUM($U$18:U217)&lt;=0,V217,PMT($K$5/360*Días,No._De_Pagos_con_periodo_de_gracia,-Monto_Crédito)-S217-T217))</f>
        <v/>
      </c>
      <c r="Y217" s="118" t="str">
        <f t="shared" si="104"/>
        <v/>
      </c>
      <c r="Z217" s="62" t="str">
        <f>+IF(A217="","",IF(No._de_Pagos-Tabla!A217+1&lt;=0,"",No._de_Pagos-Tabla!A217+1))</f>
        <v/>
      </c>
      <c r="AA217" s="123" t="str">
        <f t="shared" si="105"/>
        <v/>
      </c>
      <c r="AB217" s="125" t="str">
        <f t="shared" si="111"/>
        <v/>
      </c>
      <c r="AC217" s="125" t="str">
        <f t="shared" si="94"/>
        <v/>
      </c>
      <c r="AD217" s="125" t="str">
        <f t="shared" si="95"/>
        <v/>
      </c>
      <c r="AE217" s="120">
        <f t="shared" si="106"/>
        <v>0</v>
      </c>
      <c r="AF217" s="121" t="str">
        <f t="shared" si="96"/>
        <v/>
      </c>
      <c r="AG217" s="111" t="str">
        <f>IF($U$258&lt;=0,AF217,IF(SUM($U$18:U217)&lt;=0,AF217,PMT($K$5/360*Días,A217,-AA217)))</f>
        <v/>
      </c>
      <c r="AH217" s="122" t="str">
        <f>IF(A217&lt;=Periodos_Gracia,0,IF($U$258&lt;=0,AG217,IF(SUM($U$18:U217)&lt;=0,AF217,PMT($K$5/360*Días,No._de_Pagos,-Monto_Crédito)-AC217-AD217)))</f>
        <v/>
      </c>
      <c r="AI217" s="126" t="str">
        <f t="shared" si="107"/>
        <v/>
      </c>
      <c r="AK217" s="127" t="str">
        <f>IF(A217="","",IF(Periodos_Gracia&gt;0,Tabla!AN217,V217+S217))</f>
        <v/>
      </c>
      <c r="AL217" s="127" t="str">
        <f t="shared" si="97"/>
        <v/>
      </c>
      <c r="AM217" s="62" t="str">
        <f t="shared" si="108"/>
        <v/>
      </c>
      <c r="AN217" s="128" t="str">
        <f>IF(A217="","",IF(A217&lt;=Periodos_Gracia,Tabla!S217,PPMT(Tasa_Anual/360*Días*(1+I.V.A.),Tabla!AM217,No._De_Pagos_con_periodo_de_gracia,-Monto_Crédito)+S217))</f>
        <v/>
      </c>
      <c r="AO217" s="128" t="str">
        <f>IF(A217="","",IF(A217&lt;=Periodos_Gracia,Tabla!AC217,Monto_Crédito/(No._De_Pagos_con_periodo_de_gracia)+AC217))</f>
        <v/>
      </c>
      <c r="AP217" s="118"/>
    </row>
    <row r="218" spans="1:42">
      <c r="A218" s="108" t="str">
        <f>IF(A217&lt;Parámetros!$E$6,A217+1,"")</f>
        <v/>
      </c>
      <c r="B218" s="109" t="str">
        <f t="shared" si="109"/>
        <v/>
      </c>
      <c r="C218" s="109" t="str">
        <f t="shared" si="85"/>
        <v/>
      </c>
      <c r="D218" s="109" t="str">
        <f t="shared" si="86"/>
        <v/>
      </c>
      <c r="E218" s="109" t="str">
        <f t="shared" si="87"/>
        <v/>
      </c>
      <c r="F218" s="109" t="str">
        <f t="shared" si="88"/>
        <v/>
      </c>
      <c r="G218" s="115" t="str">
        <f t="shared" si="98"/>
        <v/>
      </c>
      <c r="H218" s="116">
        <f t="shared" si="99"/>
        <v>0</v>
      </c>
      <c r="I218" s="109" t="str">
        <f t="shared" si="110"/>
        <v/>
      </c>
      <c r="J218" s="109" t="str">
        <f t="shared" si="89"/>
        <v/>
      </c>
      <c r="K218" s="109" t="str">
        <f t="shared" si="90"/>
        <v/>
      </c>
      <c r="L218" s="109" t="str">
        <f t="shared" si="91"/>
        <v/>
      </c>
      <c r="M218" s="109" t="str">
        <f t="shared" si="100"/>
        <v/>
      </c>
      <c r="N218" s="115" t="str">
        <f t="shared" si="101"/>
        <v/>
      </c>
      <c r="O218" s="61">
        <v>0</v>
      </c>
      <c r="P218" s="117">
        <f t="shared" si="102"/>
        <v>0</v>
      </c>
      <c r="R218" s="118" t="str">
        <f t="shared" ref="R218:R257" si="112">IF(A218="","",+R217-V217)</f>
        <v/>
      </c>
      <c r="S218" s="119" t="str">
        <f t="shared" si="92"/>
        <v/>
      </c>
      <c r="T218" s="119" t="str">
        <f t="shared" si="93"/>
        <v/>
      </c>
      <c r="U218" s="120">
        <f t="shared" si="103"/>
        <v>0</v>
      </c>
      <c r="V218" s="121" t="str">
        <f>IF(A218="","",IF(A218&lt;=Periodos_Gracia,0,PPMT(Tasa_Anual/360*Días*(1+I.V.A.),Tabla!AM218,No._De_Pagos_con_periodo_de_gracia,-Monto_Crédito)))</f>
        <v/>
      </c>
      <c r="W218" s="111" t="str">
        <f>IF($U$258&lt;=0,V218,IF(SUM($U$18:U218)&lt;=0,V218,PMT($K$5/360*Días,A218,-R218)))</f>
        <v/>
      </c>
      <c r="X218" s="122" t="str">
        <f>IF($U$258&lt;=0,W218,IF(SUM($U$18:U218)&lt;=0,V218,PMT($K$5/360*Días,No._De_Pagos_con_periodo_de_gracia,-Monto_Crédito)-S218-T218))</f>
        <v/>
      </c>
      <c r="Y218" s="118" t="str">
        <f t="shared" si="104"/>
        <v/>
      </c>
      <c r="Z218" s="62" t="str">
        <f>+IF(A218="","",IF(No._de_Pagos-Tabla!A218+1&lt;=0,"",No._de_Pagos-Tabla!A218+1))</f>
        <v/>
      </c>
      <c r="AA218" s="123" t="str">
        <f t="shared" si="105"/>
        <v/>
      </c>
      <c r="AB218" s="125" t="str">
        <f t="shared" si="111"/>
        <v/>
      </c>
      <c r="AC218" s="125" t="str">
        <f t="shared" si="94"/>
        <v/>
      </c>
      <c r="AD218" s="125" t="str">
        <f t="shared" si="95"/>
        <v/>
      </c>
      <c r="AE218" s="120">
        <f t="shared" si="106"/>
        <v>0</v>
      </c>
      <c r="AF218" s="121" t="str">
        <f t="shared" si="96"/>
        <v/>
      </c>
      <c r="AG218" s="111" t="str">
        <f>IF($U$258&lt;=0,AF218,IF(SUM($U$18:U218)&lt;=0,AF218,PMT($K$5/360*Días,A218,-AA218)))</f>
        <v/>
      </c>
      <c r="AH218" s="122" t="str">
        <f>IF(A218&lt;=Periodos_Gracia,0,IF($U$258&lt;=0,AG218,IF(SUM($U$18:U218)&lt;=0,AF218,PMT($K$5/360*Días,No._de_Pagos,-Monto_Crédito)-AC218-AD218)))</f>
        <v/>
      </c>
      <c r="AI218" s="126" t="str">
        <f t="shared" si="107"/>
        <v/>
      </c>
      <c r="AK218" s="127" t="str">
        <f>IF(A218="","",IF(Periodos_Gracia&gt;0,Tabla!AN218,V218+S218))</f>
        <v/>
      </c>
      <c r="AL218" s="127" t="str">
        <f t="shared" si="97"/>
        <v/>
      </c>
      <c r="AM218" s="62" t="str">
        <f t="shared" si="108"/>
        <v/>
      </c>
      <c r="AN218" s="128" t="str">
        <f>IF(A218="","",IF(A218&lt;=Periodos_Gracia,Tabla!S218,PPMT(Tasa_Anual/360*Días*(1+I.V.A.),Tabla!AM218,No._De_Pagos_con_periodo_de_gracia,-Monto_Crédito)+S218))</f>
        <v/>
      </c>
      <c r="AO218" s="128" t="str">
        <f>IF(A218="","",IF(A218&lt;=Periodos_Gracia,Tabla!AC218,Monto_Crédito/(No._De_Pagos_con_periodo_de_gracia)+AC218))</f>
        <v/>
      </c>
      <c r="AP218" s="118"/>
    </row>
    <row r="219" spans="1:42">
      <c r="A219" s="108" t="str">
        <f>IF(A218&lt;Parámetros!$E$6,A218+1,"")</f>
        <v/>
      </c>
      <c r="B219" s="109" t="str">
        <f t="shared" si="109"/>
        <v/>
      </c>
      <c r="C219" s="109" t="str">
        <f t="shared" si="85"/>
        <v/>
      </c>
      <c r="D219" s="109" t="str">
        <f t="shared" si="86"/>
        <v/>
      </c>
      <c r="E219" s="109" t="str">
        <f t="shared" si="87"/>
        <v/>
      </c>
      <c r="F219" s="109" t="str">
        <f t="shared" si="88"/>
        <v/>
      </c>
      <c r="G219" s="115" t="str">
        <f t="shared" si="98"/>
        <v/>
      </c>
      <c r="H219" s="116">
        <f t="shared" si="99"/>
        <v>0</v>
      </c>
      <c r="I219" s="109" t="str">
        <f t="shared" si="110"/>
        <v/>
      </c>
      <c r="J219" s="109" t="str">
        <f t="shared" si="89"/>
        <v/>
      </c>
      <c r="K219" s="109" t="str">
        <f t="shared" si="90"/>
        <v/>
      </c>
      <c r="L219" s="109" t="str">
        <f t="shared" si="91"/>
        <v/>
      </c>
      <c r="M219" s="109" t="str">
        <f t="shared" si="100"/>
        <v/>
      </c>
      <c r="N219" s="115" t="str">
        <f t="shared" si="101"/>
        <v/>
      </c>
      <c r="O219" s="61">
        <v>0</v>
      </c>
      <c r="P219" s="117">
        <f t="shared" si="102"/>
        <v>0</v>
      </c>
      <c r="R219" s="118" t="str">
        <f t="shared" si="112"/>
        <v/>
      </c>
      <c r="S219" s="119" t="str">
        <f t="shared" si="92"/>
        <v/>
      </c>
      <c r="T219" s="119" t="str">
        <f t="shared" si="93"/>
        <v/>
      </c>
      <c r="U219" s="120">
        <f t="shared" si="103"/>
        <v>0</v>
      </c>
      <c r="V219" s="121" t="str">
        <f>IF(A219="","",IF(A219&lt;=Periodos_Gracia,0,PPMT(Tasa_Anual/360*Días*(1+I.V.A.),Tabla!AM219,No._De_Pagos_con_periodo_de_gracia,-Monto_Crédito)))</f>
        <v/>
      </c>
      <c r="W219" s="111" t="str">
        <f>IF($U$258&lt;=0,V219,IF(SUM($U$18:U219)&lt;=0,V219,PMT($K$5/360*Días,A219,-R219)))</f>
        <v/>
      </c>
      <c r="X219" s="122" t="str">
        <f>IF($U$258&lt;=0,W219,IF(SUM($U$18:U219)&lt;=0,V219,PMT($K$5/360*Días,No._De_Pagos_con_periodo_de_gracia,-Monto_Crédito)-S219-T219))</f>
        <v/>
      </c>
      <c r="Y219" s="118" t="str">
        <f t="shared" si="104"/>
        <v/>
      </c>
      <c r="Z219" s="62" t="str">
        <f>+IF(A219="","",IF(No._de_Pagos-Tabla!A219+1&lt;=0,"",No._de_Pagos-Tabla!A219+1))</f>
        <v/>
      </c>
      <c r="AA219" s="123" t="str">
        <f t="shared" si="105"/>
        <v/>
      </c>
      <c r="AB219" s="125" t="str">
        <f t="shared" si="111"/>
        <v/>
      </c>
      <c r="AC219" s="125" t="str">
        <f t="shared" si="94"/>
        <v/>
      </c>
      <c r="AD219" s="125" t="str">
        <f t="shared" si="95"/>
        <v/>
      </c>
      <c r="AE219" s="120">
        <f t="shared" si="106"/>
        <v>0</v>
      </c>
      <c r="AF219" s="121" t="str">
        <f t="shared" si="96"/>
        <v/>
      </c>
      <c r="AG219" s="111" t="str">
        <f>IF($U$258&lt;=0,AF219,IF(SUM($U$18:U219)&lt;=0,AF219,PMT($K$5/360*Días,A219,-AA219)))</f>
        <v/>
      </c>
      <c r="AH219" s="122" t="str">
        <f>IF(A219&lt;=Periodos_Gracia,0,IF($U$258&lt;=0,AG219,IF(SUM($U$18:U219)&lt;=0,AF219,PMT($K$5/360*Días,No._de_Pagos,-Monto_Crédito)-AC219-AD219)))</f>
        <v/>
      </c>
      <c r="AI219" s="126" t="str">
        <f t="shared" si="107"/>
        <v/>
      </c>
      <c r="AK219" s="127" t="str">
        <f>IF(A219="","",IF(Periodos_Gracia&gt;0,Tabla!AN219,V219+S219))</f>
        <v/>
      </c>
      <c r="AL219" s="127" t="str">
        <f t="shared" si="97"/>
        <v/>
      </c>
      <c r="AM219" s="62" t="str">
        <f t="shared" si="108"/>
        <v/>
      </c>
      <c r="AN219" s="128" t="str">
        <f>IF(A219="","",IF(A219&lt;=Periodos_Gracia,Tabla!S219,PPMT(Tasa_Anual/360*Días*(1+I.V.A.),Tabla!AM219,No._De_Pagos_con_periodo_de_gracia,-Monto_Crédito)+S219))</f>
        <v/>
      </c>
      <c r="AO219" s="128" t="str">
        <f>IF(A219="","",IF(A219&lt;=Periodos_Gracia,Tabla!AC219,Monto_Crédito/(No._De_Pagos_con_periodo_de_gracia)+AC219))</f>
        <v/>
      </c>
      <c r="AP219" s="118"/>
    </row>
    <row r="220" spans="1:42">
      <c r="A220" s="108" t="str">
        <f>IF(A219&lt;Parámetros!$E$6,A219+1,"")</f>
        <v/>
      </c>
      <c r="B220" s="109" t="str">
        <f t="shared" si="109"/>
        <v/>
      </c>
      <c r="C220" s="109" t="str">
        <f t="shared" si="85"/>
        <v/>
      </c>
      <c r="D220" s="109" t="str">
        <f t="shared" si="86"/>
        <v/>
      </c>
      <c r="E220" s="109" t="str">
        <f t="shared" si="87"/>
        <v/>
      </c>
      <c r="F220" s="109" t="str">
        <f t="shared" si="88"/>
        <v/>
      </c>
      <c r="G220" s="115" t="str">
        <f t="shared" si="98"/>
        <v/>
      </c>
      <c r="H220" s="116">
        <f t="shared" si="99"/>
        <v>0</v>
      </c>
      <c r="I220" s="109" t="str">
        <f t="shared" si="110"/>
        <v/>
      </c>
      <c r="J220" s="109" t="str">
        <f t="shared" si="89"/>
        <v/>
      </c>
      <c r="K220" s="109" t="str">
        <f t="shared" si="90"/>
        <v/>
      </c>
      <c r="L220" s="109" t="str">
        <f t="shared" si="91"/>
        <v/>
      </c>
      <c r="M220" s="109" t="str">
        <f t="shared" si="100"/>
        <v/>
      </c>
      <c r="N220" s="115" t="str">
        <f t="shared" si="101"/>
        <v/>
      </c>
      <c r="O220" s="61">
        <v>0</v>
      </c>
      <c r="P220" s="117">
        <f t="shared" si="102"/>
        <v>0</v>
      </c>
      <c r="R220" s="118" t="str">
        <f t="shared" si="112"/>
        <v/>
      </c>
      <c r="S220" s="119" t="str">
        <f t="shared" si="92"/>
        <v/>
      </c>
      <c r="T220" s="119" t="str">
        <f t="shared" si="93"/>
        <v/>
      </c>
      <c r="U220" s="120">
        <f t="shared" si="103"/>
        <v>0</v>
      </c>
      <c r="V220" s="121" t="str">
        <f>IF(A220="","",IF(A220&lt;=Periodos_Gracia,0,PPMT(Tasa_Anual/360*Días*(1+I.V.A.),Tabla!AM220,No._De_Pagos_con_periodo_de_gracia,-Monto_Crédito)))</f>
        <v/>
      </c>
      <c r="W220" s="111" t="str">
        <f>IF($U$258&lt;=0,V220,IF(SUM($U$18:U220)&lt;=0,V220,PMT($K$5/360*Días,A220,-R220)))</f>
        <v/>
      </c>
      <c r="X220" s="122" t="str">
        <f>IF($U$258&lt;=0,W220,IF(SUM($U$18:U220)&lt;=0,V220,PMT($K$5/360*Días,No._De_Pagos_con_periodo_de_gracia,-Monto_Crédito)-S220-T220))</f>
        <v/>
      </c>
      <c r="Y220" s="118" t="str">
        <f t="shared" si="104"/>
        <v/>
      </c>
      <c r="Z220" s="62" t="str">
        <f>+IF(A220="","",IF(No._de_Pagos-Tabla!A220+1&lt;=0,"",No._de_Pagos-Tabla!A220+1))</f>
        <v/>
      </c>
      <c r="AA220" s="123" t="str">
        <f t="shared" si="105"/>
        <v/>
      </c>
      <c r="AB220" s="125" t="str">
        <f t="shared" si="111"/>
        <v/>
      </c>
      <c r="AC220" s="125" t="str">
        <f t="shared" si="94"/>
        <v/>
      </c>
      <c r="AD220" s="125" t="str">
        <f t="shared" si="95"/>
        <v/>
      </c>
      <c r="AE220" s="120">
        <f t="shared" si="106"/>
        <v>0</v>
      </c>
      <c r="AF220" s="121" t="str">
        <f t="shared" si="96"/>
        <v/>
      </c>
      <c r="AG220" s="111" t="str">
        <f>IF($U$258&lt;=0,AF220,IF(SUM($U$18:U220)&lt;=0,AF220,PMT($K$5/360*Días,A220,-AA220)))</f>
        <v/>
      </c>
      <c r="AH220" s="122" t="str">
        <f>IF(A220&lt;=Periodos_Gracia,0,IF($U$258&lt;=0,AG220,IF(SUM($U$18:U220)&lt;=0,AF220,PMT($K$5/360*Días,No._de_Pagos,-Monto_Crédito)-AC220-AD220)))</f>
        <v/>
      </c>
      <c r="AI220" s="126" t="str">
        <f t="shared" si="107"/>
        <v/>
      </c>
      <c r="AK220" s="127" t="str">
        <f>IF(A220="","",IF(Periodos_Gracia&gt;0,Tabla!AN220,V220+S220))</f>
        <v/>
      </c>
      <c r="AL220" s="127" t="str">
        <f t="shared" si="97"/>
        <v/>
      </c>
      <c r="AM220" s="62" t="str">
        <f t="shared" si="108"/>
        <v/>
      </c>
      <c r="AN220" s="128" t="str">
        <f>IF(A220="","",IF(A220&lt;=Periodos_Gracia,Tabla!S220,PPMT(Tasa_Anual/360*Días*(1+I.V.A.),Tabla!AM220,No._De_Pagos_con_periodo_de_gracia,-Monto_Crédito)+S220))</f>
        <v/>
      </c>
      <c r="AO220" s="128" t="str">
        <f>IF(A220="","",IF(A220&lt;=Periodos_Gracia,Tabla!AC220,Monto_Crédito/(No._De_Pagos_con_periodo_de_gracia)+AC220))</f>
        <v/>
      </c>
      <c r="AP220" s="118"/>
    </row>
    <row r="221" spans="1:42">
      <c r="A221" s="108" t="str">
        <f>IF(A220&lt;Parámetros!$E$6,A220+1,"")</f>
        <v/>
      </c>
      <c r="B221" s="109" t="str">
        <f t="shared" si="109"/>
        <v/>
      </c>
      <c r="C221" s="109" t="str">
        <f t="shared" si="85"/>
        <v/>
      </c>
      <c r="D221" s="109" t="str">
        <f t="shared" si="86"/>
        <v/>
      </c>
      <c r="E221" s="109" t="str">
        <f t="shared" si="87"/>
        <v/>
      </c>
      <c r="F221" s="109" t="str">
        <f t="shared" si="88"/>
        <v/>
      </c>
      <c r="G221" s="115" t="str">
        <f t="shared" si="98"/>
        <v/>
      </c>
      <c r="H221" s="116">
        <f t="shared" si="99"/>
        <v>0</v>
      </c>
      <c r="I221" s="109" t="str">
        <f t="shared" si="110"/>
        <v/>
      </c>
      <c r="J221" s="109" t="str">
        <f t="shared" si="89"/>
        <v/>
      </c>
      <c r="K221" s="109" t="str">
        <f t="shared" si="90"/>
        <v/>
      </c>
      <c r="L221" s="109" t="str">
        <f t="shared" si="91"/>
        <v/>
      </c>
      <c r="M221" s="109" t="str">
        <f t="shared" si="100"/>
        <v/>
      </c>
      <c r="N221" s="115" t="str">
        <f t="shared" si="101"/>
        <v/>
      </c>
      <c r="O221" s="61">
        <v>0</v>
      </c>
      <c r="P221" s="117">
        <f t="shared" si="102"/>
        <v>0</v>
      </c>
      <c r="R221" s="118" t="str">
        <f t="shared" si="112"/>
        <v/>
      </c>
      <c r="S221" s="119" t="str">
        <f t="shared" si="92"/>
        <v/>
      </c>
      <c r="T221" s="119" t="str">
        <f t="shared" si="93"/>
        <v/>
      </c>
      <c r="U221" s="120">
        <f t="shared" si="103"/>
        <v>0</v>
      </c>
      <c r="V221" s="121" t="str">
        <f>IF(A221="","",IF(A221&lt;=Periodos_Gracia,0,PPMT(Tasa_Anual/360*Días*(1+I.V.A.),Tabla!AM221,No._De_Pagos_con_periodo_de_gracia,-Monto_Crédito)))</f>
        <v/>
      </c>
      <c r="W221" s="111" t="str">
        <f>IF($U$258&lt;=0,V221,IF(SUM($U$18:U221)&lt;=0,V221,PMT($K$5/360*Días,A221,-R221)))</f>
        <v/>
      </c>
      <c r="X221" s="122" t="str">
        <f>IF($U$258&lt;=0,W221,IF(SUM($U$18:U221)&lt;=0,V221,PMT($K$5/360*Días,No._De_Pagos_con_periodo_de_gracia,-Monto_Crédito)-S221-T221))</f>
        <v/>
      </c>
      <c r="Y221" s="118" t="str">
        <f t="shared" si="104"/>
        <v/>
      </c>
      <c r="Z221" s="62" t="str">
        <f>+IF(A221="","",IF(No._de_Pagos-Tabla!A221+1&lt;=0,"",No._de_Pagos-Tabla!A221+1))</f>
        <v/>
      </c>
      <c r="AA221" s="123" t="str">
        <f t="shared" si="105"/>
        <v/>
      </c>
      <c r="AB221" s="125" t="str">
        <f t="shared" si="111"/>
        <v/>
      </c>
      <c r="AC221" s="125" t="str">
        <f t="shared" si="94"/>
        <v/>
      </c>
      <c r="AD221" s="125" t="str">
        <f t="shared" si="95"/>
        <v/>
      </c>
      <c r="AE221" s="120">
        <f t="shared" si="106"/>
        <v>0</v>
      </c>
      <c r="AF221" s="121" t="str">
        <f t="shared" si="96"/>
        <v/>
      </c>
      <c r="AG221" s="111" t="str">
        <f>IF($U$258&lt;=0,AF221,IF(SUM($U$18:U221)&lt;=0,AF221,PMT($K$5/360*Días,A221,-AA221)))</f>
        <v/>
      </c>
      <c r="AH221" s="122" t="str">
        <f>IF(A221&lt;=Periodos_Gracia,0,IF($U$258&lt;=0,AG221,IF(SUM($U$18:U221)&lt;=0,AF221,PMT($K$5/360*Días,No._de_Pagos,-Monto_Crédito)-AC221-AD221)))</f>
        <v/>
      </c>
      <c r="AI221" s="126" t="str">
        <f t="shared" si="107"/>
        <v/>
      </c>
      <c r="AK221" s="127" t="str">
        <f>IF(A221="","",IF(Periodos_Gracia&gt;0,Tabla!AN221,V221+S221))</f>
        <v/>
      </c>
      <c r="AL221" s="127" t="str">
        <f t="shared" si="97"/>
        <v/>
      </c>
      <c r="AM221" s="62" t="str">
        <f t="shared" si="108"/>
        <v/>
      </c>
      <c r="AN221" s="128" t="str">
        <f>IF(A221="","",IF(A221&lt;=Periodos_Gracia,Tabla!S221,PPMT(Tasa_Anual/360*Días*(1+I.V.A.),Tabla!AM221,No._De_Pagos_con_periodo_de_gracia,-Monto_Crédito)+S221))</f>
        <v/>
      </c>
      <c r="AO221" s="128" t="str">
        <f>IF(A221="","",IF(A221&lt;=Periodos_Gracia,Tabla!AC221,Monto_Crédito/(No._De_Pagos_con_periodo_de_gracia)+AC221))</f>
        <v/>
      </c>
      <c r="AP221" s="118"/>
    </row>
    <row r="222" spans="1:42">
      <c r="A222" s="108" t="str">
        <f>IF(A221&lt;Parámetros!$E$6,A221+1,"")</f>
        <v/>
      </c>
      <c r="B222" s="109" t="str">
        <f t="shared" si="109"/>
        <v/>
      </c>
      <c r="C222" s="109" t="str">
        <f t="shared" si="85"/>
        <v/>
      </c>
      <c r="D222" s="109" t="str">
        <f t="shared" si="86"/>
        <v/>
      </c>
      <c r="E222" s="109" t="str">
        <f t="shared" si="87"/>
        <v/>
      </c>
      <c r="F222" s="109" t="str">
        <f t="shared" si="88"/>
        <v/>
      </c>
      <c r="G222" s="115" t="str">
        <f t="shared" si="98"/>
        <v/>
      </c>
      <c r="H222" s="116">
        <f t="shared" si="99"/>
        <v>0</v>
      </c>
      <c r="I222" s="109" t="str">
        <f t="shared" si="110"/>
        <v/>
      </c>
      <c r="J222" s="109" t="str">
        <f t="shared" si="89"/>
        <v/>
      </c>
      <c r="K222" s="109" t="str">
        <f t="shared" si="90"/>
        <v/>
      </c>
      <c r="L222" s="109" t="str">
        <f t="shared" si="91"/>
        <v/>
      </c>
      <c r="M222" s="109" t="str">
        <f t="shared" si="100"/>
        <v/>
      </c>
      <c r="N222" s="115" t="str">
        <f t="shared" si="101"/>
        <v/>
      </c>
      <c r="O222" s="61">
        <v>0</v>
      </c>
      <c r="P222" s="117">
        <f t="shared" si="102"/>
        <v>0</v>
      </c>
      <c r="R222" s="118" t="str">
        <f t="shared" si="112"/>
        <v/>
      </c>
      <c r="S222" s="119" t="str">
        <f t="shared" si="92"/>
        <v/>
      </c>
      <c r="T222" s="119" t="str">
        <f t="shared" si="93"/>
        <v/>
      </c>
      <c r="U222" s="120">
        <f t="shared" si="103"/>
        <v>0</v>
      </c>
      <c r="V222" s="121" t="str">
        <f>IF(A222="","",IF(A222&lt;=Periodos_Gracia,0,PPMT(Tasa_Anual/360*Días*(1+I.V.A.),Tabla!AM222,No._De_Pagos_con_periodo_de_gracia,-Monto_Crédito)))</f>
        <v/>
      </c>
      <c r="W222" s="111" t="str">
        <f>IF($U$258&lt;=0,V222,IF(SUM($U$18:U222)&lt;=0,V222,PMT($K$5/360*Días,A222,-R222)))</f>
        <v/>
      </c>
      <c r="X222" s="122" t="str">
        <f>IF($U$258&lt;=0,W222,IF(SUM($U$18:U222)&lt;=0,V222,PMT($K$5/360*Días,No._De_Pagos_con_periodo_de_gracia,-Monto_Crédito)-S222-T222))</f>
        <v/>
      </c>
      <c r="Y222" s="118" t="str">
        <f t="shared" si="104"/>
        <v/>
      </c>
      <c r="Z222" s="62" t="str">
        <f>+IF(A222="","",IF(No._de_Pagos-Tabla!A222+1&lt;=0,"",No._de_Pagos-Tabla!A222+1))</f>
        <v/>
      </c>
      <c r="AA222" s="123" t="str">
        <f t="shared" si="105"/>
        <v/>
      </c>
      <c r="AB222" s="125" t="str">
        <f t="shared" si="111"/>
        <v/>
      </c>
      <c r="AC222" s="125" t="str">
        <f t="shared" si="94"/>
        <v/>
      </c>
      <c r="AD222" s="125" t="str">
        <f t="shared" si="95"/>
        <v/>
      </c>
      <c r="AE222" s="120">
        <f t="shared" si="106"/>
        <v>0</v>
      </c>
      <c r="AF222" s="121" t="str">
        <f t="shared" si="96"/>
        <v/>
      </c>
      <c r="AG222" s="111" t="str">
        <f>IF($U$258&lt;=0,AF222,IF(SUM($U$18:U222)&lt;=0,AF222,PMT($K$5/360*Días,A222,-AA222)))</f>
        <v/>
      </c>
      <c r="AH222" s="122" t="str">
        <f>IF(A222&lt;=Periodos_Gracia,0,IF($U$258&lt;=0,AG222,IF(SUM($U$18:U222)&lt;=0,AF222,PMT($K$5/360*Días,No._de_Pagos,-Monto_Crédito)-AC222-AD222)))</f>
        <v/>
      </c>
      <c r="AI222" s="126" t="str">
        <f t="shared" si="107"/>
        <v/>
      </c>
      <c r="AK222" s="127" t="str">
        <f>IF(A222="","",IF(Periodos_Gracia&gt;0,Tabla!AN222,V222+S222))</f>
        <v/>
      </c>
      <c r="AL222" s="127" t="str">
        <f t="shared" si="97"/>
        <v/>
      </c>
      <c r="AM222" s="62" t="str">
        <f t="shared" si="108"/>
        <v/>
      </c>
      <c r="AN222" s="128" t="str">
        <f>IF(A222="","",IF(A222&lt;=Periodos_Gracia,Tabla!S222,PPMT(Tasa_Anual/360*Días*(1+I.V.A.),Tabla!AM222,No._De_Pagos_con_periodo_de_gracia,-Monto_Crédito)+S222))</f>
        <v/>
      </c>
      <c r="AO222" s="128" t="str">
        <f>IF(A222="","",IF(A222&lt;=Periodos_Gracia,Tabla!AC222,Monto_Crédito/(No._De_Pagos_con_periodo_de_gracia)+AC222))</f>
        <v/>
      </c>
      <c r="AP222" s="118"/>
    </row>
    <row r="223" spans="1:42">
      <c r="A223" s="108" t="str">
        <f>IF(A222&lt;Parámetros!$E$6,A222+1,"")</f>
        <v/>
      </c>
      <c r="B223" s="109" t="str">
        <f t="shared" si="109"/>
        <v/>
      </c>
      <c r="C223" s="109" t="str">
        <f t="shared" si="85"/>
        <v/>
      </c>
      <c r="D223" s="109" t="str">
        <f t="shared" si="86"/>
        <v/>
      </c>
      <c r="E223" s="109" t="str">
        <f t="shared" si="87"/>
        <v/>
      </c>
      <c r="F223" s="109" t="str">
        <f t="shared" si="88"/>
        <v/>
      </c>
      <c r="G223" s="115" t="str">
        <f t="shared" si="98"/>
        <v/>
      </c>
      <c r="H223" s="116">
        <f t="shared" si="99"/>
        <v>0</v>
      </c>
      <c r="I223" s="109" t="str">
        <f t="shared" si="110"/>
        <v/>
      </c>
      <c r="J223" s="109" t="str">
        <f t="shared" si="89"/>
        <v/>
      </c>
      <c r="K223" s="109" t="str">
        <f t="shared" si="90"/>
        <v/>
      </c>
      <c r="L223" s="109" t="str">
        <f t="shared" si="91"/>
        <v/>
      </c>
      <c r="M223" s="109" t="str">
        <f t="shared" si="100"/>
        <v/>
      </c>
      <c r="N223" s="115" t="str">
        <f t="shared" si="101"/>
        <v/>
      </c>
      <c r="O223" s="61">
        <v>0</v>
      </c>
      <c r="P223" s="117">
        <f t="shared" si="102"/>
        <v>0</v>
      </c>
      <c r="R223" s="118" t="str">
        <f t="shared" si="112"/>
        <v/>
      </c>
      <c r="S223" s="119" t="str">
        <f t="shared" si="92"/>
        <v/>
      </c>
      <c r="T223" s="119" t="str">
        <f t="shared" si="93"/>
        <v/>
      </c>
      <c r="U223" s="120">
        <f t="shared" si="103"/>
        <v>0</v>
      </c>
      <c r="V223" s="121" t="str">
        <f>IF(A223="","",IF(A223&lt;=Periodos_Gracia,0,PPMT(Tasa_Anual/360*Días*(1+I.V.A.),Tabla!AM223,No._De_Pagos_con_periodo_de_gracia,-Monto_Crédito)))</f>
        <v/>
      </c>
      <c r="W223" s="111" t="str">
        <f>IF($U$258&lt;=0,V223,IF(SUM($U$18:U223)&lt;=0,V223,PMT($K$5/360*Días,A223,-R223)))</f>
        <v/>
      </c>
      <c r="X223" s="122" t="str">
        <f>IF($U$258&lt;=0,W223,IF(SUM($U$18:U223)&lt;=0,V223,PMT($K$5/360*Días,No._De_Pagos_con_periodo_de_gracia,-Monto_Crédito)-S223-T223))</f>
        <v/>
      </c>
      <c r="Y223" s="118" t="str">
        <f t="shared" si="104"/>
        <v/>
      </c>
      <c r="Z223" s="62" t="str">
        <f>+IF(A223="","",IF(No._de_Pagos-Tabla!A223+1&lt;=0,"",No._de_Pagos-Tabla!A223+1))</f>
        <v/>
      </c>
      <c r="AA223" s="123" t="str">
        <f t="shared" si="105"/>
        <v/>
      </c>
      <c r="AB223" s="125" t="str">
        <f t="shared" si="111"/>
        <v/>
      </c>
      <c r="AC223" s="125" t="str">
        <f t="shared" si="94"/>
        <v/>
      </c>
      <c r="AD223" s="125" t="str">
        <f t="shared" si="95"/>
        <v/>
      </c>
      <c r="AE223" s="120">
        <f t="shared" si="106"/>
        <v>0</v>
      </c>
      <c r="AF223" s="121" t="str">
        <f t="shared" si="96"/>
        <v/>
      </c>
      <c r="AG223" s="111" t="str">
        <f>IF($U$258&lt;=0,AF223,IF(SUM($U$18:U223)&lt;=0,AF223,PMT($K$5/360*Días,A223,-AA223)))</f>
        <v/>
      </c>
      <c r="AH223" s="122" t="str">
        <f>IF(A223&lt;=Periodos_Gracia,0,IF($U$258&lt;=0,AG223,IF(SUM($U$18:U223)&lt;=0,AF223,PMT($K$5/360*Días,No._de_Pagos,-Monto_Crédito)-AC223-AD223)))</f>
        <v/>
      </c>
      <c r="AI223" s="126" t="str">
        <f t="shared" si="107"/>
        <v/>
      </c>
      <c r="AK223" s="127" t="str">
        <f>IF(A223="","",IF(Periodos_Gracia&gt;0,Tabla!AN223,V223+S223))</f>
        <v/>
      </c>
      <c r="AL223" s="127" t="str">
        <f t="shared" si="97"/>
        <v/>
      </c>
      <c r="AM223" s="62" t="str">
        <f t="shared" si="108"/>
        <v/>
      </c>
      <c r="AN223" s="128" t="str">
        <f>IF(A223="","",IF(A223&lt;=Periodos_Gracia,Tabla!S223,PPMT(Tasa_Anual/360*Días*(1+I.V.A.),Tabla!AM223,No._De_Pagos_con_periodo_de_gracia,-Monto_Crédito)+S223))</f>
        <v/>
      </c>
      <c r="AO223" s="128" t="str">
        <f>IF(A223="","",IF(A223&lt;=Periodos_Gracia,Tabla!AC223,Monto_Crédito/(No._De_Pagos_con_periodo_de_gracia)+AC223))</f>
        <v/>
      </c>
      <c r="AP223" s="118"/>
    </row>
    <row r="224" spans="1:42">
      <c r="A224" s="108" t="str">
        <f>IF(A223&lt;Parámetros!$E$6,A223+1,"")</f>
        <v/>
      </c>
      <c r="B224" s="109" t="str">
        <f t="shared" si="109"/>
        <v/>
      </c>
      <c r="C224" s="109" t="str">
        <f t="shared" si="85"/>
        <v/>
      </c>
      <c r="D224" s="109" t="str">
        <f t="shared" si="86"/>
        <v/>
      </c>
      <c r="E224" s="109" t="str">
        <f t="shared" si="87"/>
        <v/>
      </c>
      <c r="F224" s="109" t="str">
        <f t="shared" si="88"/>
        <v/>
      </c>
      <c r="G224" s="115" t="str">
        <f t="shared" si="98"/>
        <v/>
      </c>
      <c r="H224" s="116">
        <f t="shared" si="99"/>
        <v>0</v>
      </c>
      <c r="I224" s="109" t="str">
        <f t="shared" si="110"/>
        <v/>
      </c>
      <c r="J224" s="109" t="str">
        <f t="shared" si="89"/>
        <v/>
      </c>
      <c r="K224" s="109" t="str">
        <f t="shared" si="90"/>
        <v/>
      </c>
      <c r="L224" s="109" t="str">
        <f t="shared" si="91"/>
        <v/>
      </c>
      <c r="M224" s="109" t="str">
        <f t="shared" si="100"/>
        <v/>
      </c>
      <c r="N224" s="115" t="str">
        <f t="shared" si="101"/>
        <v/>
      </c>
      <c r="O224" s="61">
        <v>0</v>
      </c>
      <c r="P224" s="117">
        <f t="shared" si="102"/>
        <v>0</v>
      </c>
      <c r="R224" s="118" t="str">
        <f t="shared" si="112"/>
        <v/>
      </c>
      <c r="S224" s="119" t="str">
        <f t="shared" si="92"/>
        <v/>
      </c>
      <c r="T224" s="119" t="str">
        <f t="shared" si="93"/>
        <v/>
      </c>
      <c r="U224" s="120">
        <f t="shared" si="103"/>
        <v>0</v>
      </c>
      <c r="V224" s="121" t="str">
        <f>IF(A224="","",IF(A224&lt;=Periodos_Gracia,0,PPMT(Tasa_Anual/360*Días*(1+I.V.A.),Tabla!AM224,No._De_Pagos_con_periodo_de_gracia,-Monto_Crédito)))</f>
        <v/>
      </c>
      <c r="W224" s="111" t="str">
        <f>IF($U$258&lt;=0,V224,IF(SUM($U$18:U224)&lt;=0,V224,PMT($K$5/360*Días,A224,-R224)))</f>
        <v/>
      </c>
      <c r="X224" s="122" t="str">
        <f>IF($U$258&lt;=0,W224,IF(SUM($U$18:U224)&lt;=0,V224,PMT($K$5/360*Días,No._De_Pagos_con_periodo_de_gracia,-Monto_Crédito)-S224-T224))</f>
        <v/>
      </c>
      <c r="Y224" s="118" t="str">
        <f t="shared" si="104"/>
        <v/>
      </c>
      <c r="Z224" s="62" t="str">
        <f>+IF(A224="","",IF(No._de_Pagos-Tabla!A224+1&lt;=0,"",No._de_Pagos-Tabla!A224+1))</f>
        <v/>
      </c>
      <c r="AA224" s="123" t="str">
        <f t="shared" si="105"/>
        <v/>
      </c>
      <c r="AB224" s="125" t="str">
        <f t="shared" si="111"/>
        <v/>
      </c>
      <c r="AC224" s="125" t="str">
        <f t="shared" si="94"/>
        <v/>
      </c>
      <c r="AD224" s="125" t="str">
        <f t="shared" si="95"/>
        <v/>
      </c>
      <c r="AE224" s="120">
        <f t="shared" si="106"/>
        <v>0</v>
      </c>
      <c r="AF224" s="121" t="str">
        <f t="shared" si="96"/>
        <v/>
      </c>
      <c r="AG224" s="111" t="str">
        <f>IF($U$258&lt;=0,AF224,IF(SUM($U$18:U224)&lt;=0,AF224,PMT($K$5/360*Días,A224,-AA224)))</f>
        <v/>
      </c>
      <c r="AH224" s="122" t="str">
        <f>IF(A224&lt;=Periodos_Gracia,0,IF($U$258&lt;=0,AG224,IF(SUM($U$18:U224)&lt;=0,AF224,PMT($K$5/360*Días,No._de_Pagos,-Monto_Crédito)-AC224-AD224)))</f>
        <v/>
      </c>
      <c r="AI224" s="126" t="str">
        <f t="shared" si="107"/>
        <v/>
      </c>
      <c r="AK224" s="127" t="str">
        <f>IF(A224="","",IF(Periodos_Gracia&gt;0,Tabla!AN224,V224+S224))</f>
        <v/>
      </c>
      <c r="AL224" s="127" t="str">
        <f t="shared" si="97"/>
        <v/>
      </c>
      <c r="AM224" s="62" t="str">
        <f t="shared" si="108"/>
        <v/>
      </c>
      <c r="AN224" s="128" t="str">
        <f>IF(A224="","",IF(A224&lt;=Periodos_Gracia,Tabla!S224,PPMT(Tasa_Anual/360*Días*(1+I.V.A.),Tabla!AM224,No._De_Pagos_con_periodo_de_gracia,-Monto_Crédito)+S224))</f>
        <v/>
      </c>
      <c r="AO224" s="128" t="str">
        <f>IF(A224="","",IF(A224&lt;=Periodos_Gracia,Tabla!AC224,Monto_Crédito/(No._De_Pagos_con_periodo_de_gracia)+AC224))</f>
        <v/>
      </c>
      <c r="AP224" s="118"/>
    </row>
    <row r="225" spans="1:42">
      <c r="A225" s="108" t="str">
        <f>IF(A224&lt;Parámetros!$E$6,A224+1,"")</f>
        <v/>
      </c>
      <c r="B225" s="109" t="str">
        <f t="shared" si="109"/>
        <v/>
      </c>
      <c r="C225" s="109" t="str">
        <f t="shared" si="85"/>
        <v/>
      </c>
      <c r="D225" s="109" t="str">
        <f t="shared" si="86"/>
        <v/>
      </c>
      <c r="E225" s="109" t="str">
        <f t="shared" si="87"/>
        <v/>
      </c>
      <c r="F225" s="109" t="str">
        <f t="shared" si="88"/>
        <v/>
      </c>
      <c r="G225" s="115" t="str">
        <f t="shared" si="98"/>
        <v/>
      </c>
      <c r="H225" s="116">
        <f t="shared" si="99"/>
        <v>0</v>
      </c>
      <c r="I225" s="109" t="str">
        <f t="shared" si="110"/>
        <v/>
      </c>
      <c r="J225" s="109" t="str">
        <f t="shared" si="89"/>
        <v/>
      </c>
      <c r="K225" s="109" t="str">
        <f t="shared" si="90"/>
        <v/>
      </c>
      <c r="L225" s="109" t="str">
        <f t="shared" si="91"/>
        <v/>
      </c>
      <c r="M225" s="109" t="str">
        <f t="shared" si="100"/>
        <v/>
      </c>
      <c r="N225" s="115" t="str">
        <f t="shared" si="101"/>
        <v/>
      </c>
      <c r="O225" s="61">
        <v>0</v>
      </c>
      <c r="P225" s="117">
        <f t="shared" si="102"/>
        <v>0</v>
      </c>
      <c r="R225" s="118" t="str">
        <f t="shared" si="112"/>
        <v/>
      </c>
      <c r="S225" s="119" t="str">
        <f t="shared" si="92"/>
        <v/>
      </c>
      <c r="T225" s="119" t="str">
        <f t="shared" si="93"/>
        <v/>
      </c>
      <c r="U225" s="120">
        <f t="shared" si="103"/>
        <v>0</v>
      </c>
      <c r="V225" s="121" t="str">
        <f>IF(A225="","",IF(A225&lt;=Periodos_Gracia,0,PPMT(Tasa_Anual/360*Días*(1+I.V.A.),Tabla!AM225,No._De_Pagos_con_periodo_de_gracia,-Monto_Crédito)))</f>
        <v/>
      </c>
      <c r="W225" s="111" t="str">
        <f>IF($U$258&lt;=0,V225,IF(SUM($U$18:U225)&lt;=0,V225,PMT($K$5/360*Días,A225,-R225)))</f>
        <v/>
      </c>
      <c r="X225" s="122" t="str">
        <f>IF($U$258&lt;=0,W225,IF(SUM($U$18:U225)&lt;=0,V225,PMT($K$5/360*Días,No._De_Pagos_con_periodo_de_gracia,-Monto_Crédito)-S225-T225))</f>
        <v/>
      </c>
      <c r="Y225" s="118" t="str">
        <f t="shared" si="104"/>
        <v/>
      </c>
      <c r="Z225" s="62" t="str">
        <f>+IF(A225="","",IF(No._de_Pagos-Tabla!A225+1&lt;=0,"",No._de_Pagos-Tabla!A225+1))</f>
        <v/>
      </c>
      <c r="AA225" s="123" t="str">
        <f t="shared" si="105"/>
        <v/>
      </c>
      <c r="AB225" s="125" t="str">
        <f t="shared" si="111"/>
        <v/>
      </c>
      <c r="AC225" s="125" t="str">
        <f t="shared" si="94"/>
        <v/>
      </c>
      <c r="AD225" s="125" t="str">
        <f t="shared" si="95"/>
        <v/>
      </c>
      <c r="AE225" s="120">
        <f t="shared" si="106"/>
        <v>0</v>
      </c>
      <c r="AF225" s="121" t="str">
        <f t="shared" si="96"/>
        <v/>
      </c>
      <c r="AG225" s="111" t="str">
        <f>IF($U$258&lt;=0,AF225,IF(SUM($U$18:U225)&lt;=0,AF225,PMT($K$5/360*Días,A225,-AA225)))</f>
        <v/>
      </c>
      <c r="AH225" s="122" t="str">
        <f>IF(A225&lt;=Periodos_Gracia,0,IF($U$258&lt;=0,AG225,IF(SUM($U$18:U225)&lt;=0,AF225,PMT($K$5/360*Días,No._de_Pagos,-Monto_Crédito)-AC225-AD225)))</f>
        <v/>
      </c>
      <c r="AI225" s="126" t="str">
        <f t="shared" si="107"/>
        <v/>
      </c>
      <c r="AK225" s="127" t="str">
        <f>IF(A225="","",IF(Periodos_Gracia&gt;0,Tabla!AN225,V225+S225))</f>
        <v/>
      </c>
      <c r="AL225" s="127" t="str">
        <f t="shared" si="97"/>
        <v/>
      </c>
      <c r="AM225" s="62" t="str">
        <f t="shared" si="108"/>
        <v/>
      </c>
      <c r="AN225" s="128" t="str">
        <f>IF(A225="","",IF(A225&lt;=Periodos_Gracia,Tabla!S225,PPMT(Tasa_Anual/360*Días*(1+I.V.A.),Tabla!AM225,No._De_Pagos_con_periodo_de_gracia,-Monto_Crédito)+S225))</f>
        <v/>
      </c>
      <c r="AO225" s="128" t="str">
        <f>IF(A225="","",IF(A225&lt;=Periodos_Gracia,Tabla!AC225,Monto_Crédito/(No._De_Pagos_con_periodo_de_gracia)+AC225))</f>
        <v/>
      </c>
      <c r="AP225" s="118"/>
    </row>
    <row r="226" spans="1:42">
      <c r="A226" s="108" t="str">
        <f>IF(A225&lt;Parámetros!$E$6,A225+1,"")</f>
        <v/>
      </c>
      <c r="B226" s="109" t="str">
        <f t="shared" si="109"/>
        <v/>
      </c>
      <c r="C226" s="109" t="str">
        <f t="shared" si="85"/>
        <v/>
      </c>
      <c r="D226" s="109" t="str">
        <f t="shared" si="86"/>
        <v/>
      </c>
      <c r="E226" s="109" t="str">
        <f t="shared" si="87"/>
        <v/>
      </c>
      <c r="F226" s="109" t="str">
        <f t="shared" si="88"/>
        <v/>
      </c>
      <c r="G226" s="115" t="str">
        <f t="shared" si="98"/>
        <v/>
      </c>
      <c r="H226" s="116">
        <f t="shared" si="99"/>
        <v>0</v>
      </c>
      <c r="I226" s="109" t="str">
        <f t="shared" si="110"/>
        <v/>
      </c>
      <c r="J226" s="109" t="str">
        <f t="shared" si="89"/>
        <v/>
      </c>
      <c r="K226" s="109" t="str">
        <f t="shared" si="90"/>
        <v/>
      </c>
      <c r="L226" s="109" t="str">
        <f t="shared" si="91"/>
        <v/>
      </c>
      <c r="M226" s="109" t="str">
        <f t="shared" si="100"/>
        <v/>
      </c>
      <c r="N226" s="115" t="str">
        <f t="shared" si="101"/>
        <v/>
      </c>
      <c r="O226" s="61">
        <v>0</v>
      </c>
      <c r="P226" s="117">
        <f t="shared" si="102"/>
        <v>0</v>
      </c>
      <c r="R226" s="118" t="str">
        <f t="shared" si="112"/>
        <v/>
      </c>
      <c r="S226" s="119" t="str">
        <f t="shared" si="92"/>
        <v/>
      </c>
      <c r="T226" s="119" t="str">
        <f t="shared" si="93"/>
        <v/>
      </c>
      <c r="U226" s="120">
        <f t="shared" si="103"/>
        <v>0</v>
      </c>
      <c r="V226" s="121" t="str">
        <f>IF(A226="","",IF(A226&lt;=Periodos_Gracia,0,PPMT(Tasa_Anual/360*Días*(1+I.V.A.),Tabla!AM226,No._De_Pagos_con_periodo_de_gracia,-Monto_Crédito)))</f>
        <v/>
      </c>
      <c r="W226" s="111" t="str">
        <f>IF($U$258&lt;=0,V226,IF(SUM($U$18:U226)&lt;=0,V226,PMT($K$5/360*Días,A226,-R226)))</f>
        <v/>
      </c>
      <c r="X226" s="122" t="str">
        <f>IF($U$258&lt;=0,W226,IF(SUM($U$18:U226)&lt;=0,V226,PMT($K$5/360*Días,No._De_Pagos_con_periodo_de_gracia,-Monto_Crédito)-S226-T226))</f>
        <v/>
      </c>
      <c r="Y226" s="118" t="str">
        <f t="shared" si="104"/>
        <v/>
      </c>
      <c r="Z226" s="62" t="str">
        <f>+IF(A226="","",IF(No._de_Pagos-Tabla!A226+1&lt;=0,"",No._de_Pagos-Tabla!A226+1))</f>
        <v/>
      </c>
      <c r="AA226" s="123" t="str">
        <f t="shared" si="105"/>
        <v/>
      </c>
      <c r="AB226" s="125" t="str">
        <f t="shared" si="111"/>
        <v/>
      </c>
      <c r="AC226" s="125" t="str">
        <f t="shared" si="94"/>
        <v/>
      </c>
      <c r="AD226" s="125" t="str">
        <f t="shared" si="95"/>
        <v/>
      </c>
      <c r="AE226" s="120">
        <f t="shared" si="106"/>
        <v>0</v>
      </c>
      <c r="AF226" s="121" t="str">
        <f t="shared" si="96"/>
        <v/>
      </c>
      <c r="AG226" s="111" t="str">
        <f>IF($U$258&lt;=0,AF226,IF(SUM($U$18:U226)&lt;=0,AF226,PMT($K$5/360*Días,A226,-AA226)))</f>
        <v/>
      </c>
      <c r="AH226" s="122" t="str">
        <f>IF(A226&lt;=Periodos_Gracia,0,IF($U$258&lt;=0,AG226,IF(SUM($U$18:U226)&lt;=0,AF226,PMT($K$5/360*Días,No._de_Pagos,-Monto_Crédito)-AC226-AD226)))</f>
        <v/>
      </c>
      <c r="AI226" s="126" t="str">
        <f t="shared" si="107"/>
        <v/>
      </c>
      <c r="AK226" s="127" t="str">
        <f>IF(A226="","",IF(Periodos_Gracia&gt;0,Tabla!AN226,V226+S226))</f>
        <v/>
      </c>
      <c r="AL226" s="127" t="str">
        <f t="shared" si="97"/>
        <v/>
      </c>
      <c r="AM226" s="62" t="str">
        <f t="shared" si="108"/>
        <v/>
      </c>
      <c r="AN226" s="128" t="str">
        <f>IF(A226="","",IF(A226&lt;=Periodos_Gracia,Tabla!S226,PPMT(Tasa_Anual/360*Días*(1+I.V.A.),Tabla!AM226,No._De_Pagos_con_periodo_de_gracia,-Monto_Crédito)+S226))</f>
        <v/>
      </c>
      <c r="AO226" s="128" t="str">
        <f>IF(A226="","",IF(A226&lt;=Periodos_Gracia,Tabla!AC226,Monto_Crédito/(No._De_Pagos_con_periodo_de_gracia)+AC226))</f>
        <v/>
      </c>
      <c r="AP226" s="118"/>
    </row>
    <row r="227" spans="1:42">
      <c r="A227" s="108" t="str">
        <f>IF(A226&lt;Parámetros!$E$6,A226+1,"")</f>
        <v/>
      </c>
      <c r="B227" s="109" t="str">
        <f t="shared" si="109"/>
        <v/>
      </c>
      <c r="C227" s="109" t="str">
        <f t="shared" si="85"/>
        <v/>
      </c>
      <c r="D227" s="109" t="str">
        <f t="shared" si="86"/>
        <v/>
      </c>
      <c r="E227" s="109" t="str">
        <f t="shared" si="87"/>
        <v/>
      </c>
      <c r="F227" s="109" t="str">
        <f t="shared" si="88"/>
        <v/>
      </c>
      <c r="G227" s="115" t="str">
        <f t="shared" si="98"/>
        <v/>
      </c>
      <c r="H227" s="116">
        <f t="shared" si="99"/>
        <v>0</v>
      </c>
      <c r="I227" s="109" t="str">
        <f t="shared" si="110"/>
        <v/>
      </c>
      <c r="J227" s="109" t="str">
        <f t="shared" si="89"/>
        <v/>
      </c>
      <c r="K227" s="109" t="str">
        <f t="shared" si="90"/>
        <v/>
      </c>
      <c r="L227" s="109" t="str">
        <f t="shared" si="91"/>
        <v/>
      </c>
      <c r="M227" s="109" t="str">
        <f t="shared" si="100"/>
        <v/>
      </c>
      <c r="N227" s="115" t="str">
        <f t="shared" si="101"/>
        <v/>
      </c>
      <c r="O227" s="61">
        <v>0</v>
      </c>
      <c r="P227" s="117">
        <f t="shared" si="102"/>
        <v>0</v>
      </c>
      <c r="R227" s="118" t="str">
        <f t="shared" si="112"/>
        <v/>
      </c>
      <c r="S227" s="119" t="str">
        <f t="shared" si="92"/>
        <v/>
      </c>
      <c r="T227" s="119" t="str">
        <f t="shared" si="93"/>
        <v/>
      </c>
      <c r="U227" s="120">
        <f t="shared" si="103"/>
        <v>0</v>
      </c>
      <c r="V227" s="121" t="str">
        <f>IF(A227="","",IF(A227&lt;=Periodos_Gracia,0,PPMT(Tasa_Anual/360*Días*(1+I.V.A.),Tabla!AM227,No._De_Pagos_con_periodo_de_gracia,-Monto_Crédito)))</f>
        <v/>
      </c>
      <c r="W227" s="111" t="str">
        <f>IF($U$258&lt;=0,V227,IF(SUM($U$18:U227)&lt;=0,V227,PMT($K$5/360*Días,A227,-R227)))</f>
        <v/>
      </c>
      <c r="X227" s="122" t="str">
        <f>IF($U$258&lt;=0,W227,IF(SUM($U$18:U227)&lt;=0,V227,PMT($K$5/360*Días,No._De_Pagos_con_periodo_de_gracia,-Monto_Crédito)-S227-T227))</f>
        <v/>
      </c>
      <c r="Y227" s="118" t="str">
        <f t="shared" si="104"/>
        <v/>
      </c>
      <c r="Z227" s="62" t="str">
        <f>+IF(A227="","",IF(No._de_Pagos-Tabla!A227+1&lt;=0,"",No._de_Pagos-Tabla!A227+1))</f>
        <v/>
      </c>
      <c r="AA227" s="123" t="str">
        <f t="shared" si="105"/>
        <v/>
      </c>
      <c r="AB227" s="125" t="str">
        <f t="shared" si="111"/>
        <v/>
      </c>
      <c r="AC227" s="125" t="str">
        <f t="shared" si="94"/>
        <v/>
      </c>
      <c r="AD227" s="125" t="str">
        <f t="shared" si="95"/>
        <v/>
      </c>
      <c r="AE227" s="120">
        <f t="shared" si="106"/>
        <v>0</v>
      </c>
      <c r="AF227" s="121" t="str">
        <f t="shared" si="96"/>
        <v/>
      </c>
      <c r="AG227" s="111" t="str">
        <f>IF($U$258&lt;=0,AF227,IF(SUM($U$18:U227)&lt;=0,AF227,PMT($K$5/360*Días,A227,-AA227)))</f>
        <v/>
      </c>
      <c r="AH227" s="122" t="str">
        <f>IF(A227&lt;=Periodos_Gracia,0,IF($U$258&lt;=0,AG227,IF(SUM($U$18:U227)&lt;=0,AF227,PMT($K$5/360*Días,No._de_Pagos,-Monto_Crédito)-AC227-AD227)))</f>
        <v/>
      </c>
      <c r="AI227" s="126" t="str">
        <f t="shared" si="107"/>
        <v/>
      </c>
      <c r="AK227" s="127" t="str">
        <f>IF(A227="","",IF(Periodos_Gracia&gt;0,Tabla!AN227,V227+S227))</f>
        <v/>
      </c>
      <c r="AL227" s="127" t="str">
        <f t="shared" si="97"/>
        <v/>
      </c>
      <c r="AM227" s="62" t="str">
        <f t="shared" si="108"/>
        <v/>
      </c>
      <c r="AN227" s="128" t="str">
        <f>IF(A227="","",IF(A227&lt;=Periodos_Gracia,Tabla!S227,PPMT(Tasa_Anual/360*Días*(1+I.V.A.),Tabla!AM227,No._De_Pagos_con_periodo_de_gracia,-Monto_Crédito)+S227))</f>
        <v/>
      </c>
      <c r="AO227" s="128" t="str">
        <f>IF(A227="","",IF(A227&lt;=Periodos_Gracia,Tabla!AC227,Monto_Crédito/(No._De_Pagos_con_periodo_de_gracia)+AC227))</f>
        <v/>
      </c>
      <c r="AP227" s="118"/>
    </row>
    <row r="228" spans="1:42">
      <c r="A228" s="108" t="str">
        <f>IF(A227&lt;Parámetros!$E$6,A227+1,"")</f>
        <v/>
      </c>
      <c r="B228" s="109" t="str">
        <f t="shared" si="109"/>
        <v/>
      </c>
      <c r="C228" s="109" t="str">
        <f t="shared" si="85"/>
        <v/>
      </c>
      <c r="D228" s="109" t="str">
        <f t="shared" si="86"/>
        <v/>
      </c>
      <c r="E228" s="109" t="str">
        <f t="shared" si="87"/>
        <v/>
      </c>
      <c r="F228" s="109" t="str">
        <f t="shared" si="88"/>
        <v/>
      </c>
      <c r="G228" s="115" t="str">
        <f t="shared" si="98"/>
        <v/>
      </c>
      <c r="H228" s="116">
        <f t="shared" si="99"/>
        <v>0</v>
      </c>
      <c r="I228" s="109" t="str">
        <f t="shared" si="110"/>
        <v/>
      </c>
      <c r="J228" s="109" t="str">
        <f t="shared" si="89"/>
        <v/>
      </c>
      <c r="K228" s="109" t="str">
        <f t="shared" si="90"/>
        <v/>
      </c>
      <c r="L228" s="109" t="str">
        <f t="shared" si="91"/>
        <v/>
      </c>
      <c r="M228" s="109" t="str">
        <f t="shared" si="100"/>
        <v/>
      </c>
      <c r="N228" s="115" t="str">
        <f t="shared" si="101"/>
        <v/>
      </c>
      <c r="O228" s="61">
        <v>0</v>
      </c>
      <c r="P228" s="117">
        <f t="shared" si="102"/>
        <v>0</v>
      </c>
      <c r="R228" s="118" t="str">
        <f t="shared" si="112"/>
        <v/>
      </c>
      <c r="S228" s="119" t="str">
        <f t="shared" si="92"/>
        <v/>
      </c>
      <c r="T228" s="119" t="str">
        <f t="shared" si="93"/>
        <v/>
      </c>
      <c r="U228" s="120">
        <f t="shared" si="103"/>
        <v>0</v>
      </c>
      <c r="V228" s="121" t="str">
        <f>IF(A228="","",IF(A228&lt;=Periodos_Gracia,0,PPMT(Tasa_Anual/360*Días*(1+I.V.A.),Tabla!AM228,No._De_Pagos_con_periodo_de_gracia,-Monto_Crédito)))</f>
        <v/>
      </c>
      <c r="W228" s="111" t="str">
        <f>IF($U$258&lt;=0,V228,IF(SUM($U$18:U228)&lt;=0,V228,PMT($K$5/360*Días,A228,-R228)))</f>
        <v/>
      </c>
      <c r="X228" s="122" t="str">
        <f>IF($U$258&lt;=0,W228,IF(SUM($U$18:U228)&lt;=0,V228,PMT($K$5/360*Días,No._De_Pagos_con_periodo_de_gracia,-Monto_Crédito)-S228-T228))</f>
        <v/>
      </c>
      <c r="Y228" s="118" t="str">
        <f t="shared" si="104"/>
        <v/>
      </c>
      <c r="Z228" s="62" t="str">
        <f>+IF(A228="","",IF(No._de_Pagos-Tabla!A228+1&lt;=0,"",No._de_Pagos-Tabla!A228+1))</f>
        <v/>
      </c>
      <c r="AA228" s="123" t="str">
        <f t="shared" si="105"/>
        <v/>
      </c>
      <c r="AB228" s="125" t="str">
        <f t="shared" si="111"/>
        <v/>
      </c>
      <c r="AC228" s="125" t="str">
        <f t="shared" si="94"/>
        <v/>
      </c>
      <c r="AD228" s="125" t="str">
        <f t="shared" si="95"/>
        <v/>
      </c>
      <c r="AE228" s="120">
        <f t="shared" si="106"/>
        <v>0</v>
      </c>
      <c r="AF228" s="121" t="str">
        <f t="shared" si="96"/>
        <v/>
      </c>
      <c r="AG228" s="111" t="str">
        <f>IF($U$258&lt;=0,AF228,IF(SUM($U$18:U228)&lt;=0,AF228,PMT($K$5/360*Días,A228,-AA228)))</f>
        <v/>
      </c>
      <c r="AH228" s="122" t="str">
        <f>IF(A228&lt;=Periodos_Gracia,0,IF($U$258&lt;=0,AG228,IF(SUM($U$18:U228)&lt;=0,AF228,PMT($K$5/360*Días,No._de_Pagos,-Monto_Crédito)-AC228-AD228)))</f>
        <v/>
      </c>
      <c r="AI228" s="126" t="str">
        <f t="shared" si="107"/>
        <v/>
      </c>
      <c r="AK228" s="127" t="str">
        <f>IF(A228="","",IF(Periodos_Gracia&gt;0,Tabla!AN228,V228+S228))</f>
        <v/>
      </c>
      <c r="AL228" s="127" t="str">
        <f t="shared" si="97"/>
        <v/>
      </c>
      <c r="AM228" s="62" t="str">
        <f t="shared" si="108"/>
        <v/>
      </c>
      <c r="AN228" s="128" t="str">
        <f>IF(A228="","",IF(A228&lt;=Periodos_Gracia,Tabla!S228,PPMT(Tasa_Anual/360*Días*(1+I.V.A.),Tabla!AM228,No._De_Pagos_con_periodo_de_gracia,-Monto_Crédito)+S228))</f>
        <v/>
      </c>
      <c r="AO228" s="128" t="str">
        <f>IF(A228="","",IF(A228&lt;=Periodos_Gracia,Tabla!AC228,Monto_Crédito/(No._De_Pagos_con_periodo_de_gracia)+AC228))</f>
        <v/>
      </c>
      <c r="AP228" s="118"/>
    </row>
    <row r="229" spans="1:42">
      <c r="A229" s="108" t="str">
        <f>IF(A228&lt;Parámetros!$E$6,A228+1,"")</f>
        <v/>
      </c>
      <c r="B229" s="109" t="str">
        <f t="shared" si="109"/>
        <v/>
      </c>
      <c r="C229" s="109" t="str">
        <f t="shared" si="85"/>
        <v/>
      </c>
      <c r="D229" s="109" t="str">
        <f t="shared" si="86"/>
        <v/>
      </c>
      <c r="E229" s="109" t="str">
        <f t="shared" si="87"/>
        <v/>
      </c>
      <c r="F229" s="109" t="str">
        <f t="shared" si="88"/>
        <v/>
      </c>
      <c r="G229" s="115" t="str">
        <f t="shared" si="98"/>
        <v/>
      </c>
      <c r="H229" s="116">
        <f t="shared" si="99"/>
        <v>0</v>
      </c>
      <c r="I229" s="109" t="str">
        <f t="shared" si="110"/>
        <v/>
      </c>
      <c r="J229" s="109" t="str">
        <f t="shared" si="89"/>
        <v/>
      </c>
      <c r="K229" s="109" t="str">
        <f t="shared" si="90"/>
        <v/>
      </c>
      <c r="L229" s="109" t="str">
        <f t="shared" si="91"/>
        <v/>
      </c>
      <c r="M229" s="109" t="str">
        <f t="shared" si="100"/>
        <v/>
      </c>
      <c r="N229" s="115" t="str">
        <f t="shared" si="101"/>
        <v/>
      </c>
      <c r="O229" s="61">
        <v>0</v>
      </c>
      <c r="P229" s="117">
        <f t="shared" si="102"/>
        <v>0</v>
      </c>
      <c r="R229" s="118" t="str">
        <f t="shared" si="112"/>
        <v/>
      </c>
      <c r="S229" s="119" t="str">
        <f t="shared" si="92"/>
        <v/>
      </c>
      <c r="T229" s="119" t="str">
        <f t="shared" si="93"/>
        <v/>
      </c>
      <c r="U229" s="120">
        <f t="shared" si="103"/>
        <v>0</v>
      </c>
      <c r="V229" s="121" t="str">
        <f>IF(A229="","",IF(A229&lt;=Periodos_Gracia,0,PPMT(Tasa_Anual/360*Días*(1+I.V.A.),Tabla!AM229,No._De_Pagos_con_periodo_de_gracia,-Monto_Crédito)))</f>
        <v/>
      </c>
      <c r="W229" s="111" t="str">
        <f>IF($U$258&lt;=0,V229,IF(SUM($U$18:U229)&lt;=0,V229,PMT($K$5/360*Días,A229,-R229)))</f>
        <v/>
      </c>
      <c r="X229" s="122" t="str">
        <f>IF($U$258&lt;=0,W229,IF(SUM($U$18:U229)&lt;=0,V229,PMT($K$5/360*Días,No._De_Pagos_con_periodo_de_gracia,-Monto_Crédito)-S229-T229))</f>
        <v/>
      </c>
      <c r="Y229" s="118" t="str">
        <f t="shared" si="104"/>
        <v/>
      </c>
      <c r="Z229" s="62" t="str">
        <f>+IF(A229="","",IF(No._de_Pagos-Tabla!A229+1&lt;=0,"",No._de_Pagos-Tabla!A229+1))</f>
        <v/>
      </c>
      <c r="AA229" s="123" t="str">
        <f t="shared" si="105"/>
        <v/>
      </c>
      <c r="AB229" s="125" t="str">
        <f t="shared" si="111"/>
        <v/>
      </c>
      <c r="AC229" s="125" t="str">
        <f t="shared" si="94"/>
        <v/>
      </c>
      <c r="AD229" s="125" t="str">
        <f t="shared" si="95"/>
        <v/>
      </c>
      <c r="AE229" s="120">
        <f t="shared" si="106"/>
        <v>0</v>
      </c>
      <c r="AF229" s="121" t="str">
        <f t="shared" si="96"/>
        <v/>
      </c>
      <c r="AG229" s="111" t="str">
        <f>IF($U$258&lt;=0,AF229,IF(SUM($U$18:U229)&lt;=0,AF229,PMT($K$5/360*Días,A229,-AA229)))</f>
        <v/>
      </c>
      <c r="AH229" s="122" t="str">
        <f>IF(A229&lt;=Periodos_Gracia,0,IF($U$258&lt;=0,AG229,IF(SUM($U$18:U229)&lt;=0,AF229,PMT($K$5/360*Días,No._de_Pagos,-Monto_Crédito)-AC229-AD229)))</f>
        <v/>
      </c>
      <c r="AI229" s="126" t="str">
        <f t="shared" si="107"/>
        <v/>
      </c>
      <c r="AK229" s="127" t="str">
        <f>IF(A229="","",IF(Periodos_Gracia&gt;0,Tabla!AN229,V229+S229))</f>
        <v/>
      </c>
      <c r="AL229" s="127" t="str">
        <f t="shared" si="97"/>
        <v/>
      </c>
      <c r="AM229" s="62" t="str">
        <f t="shared" si="108"/>
        <v/>
      </c>
      <c r="AN229" s="128" t="str">
        <f>IF(A229="","",IF(A229&lt;=Periodos_Gracia,Tabla!S229,PPMT(Tasa_Anual/360*Días*(1+I.V.A.),Tabla!AM229,No._De_Pagos_con_periodo_de_gracia,-Monto_Crédito)+S229))</f>
        <v/>
      </c>
      <c r="AO229" s="128" t="str">
        <f>IF(A229="","",IF(A229&lt;=Periodos_Gracia,Tabla!AC229,Monto_Crédito/(No._De_Pagos_con_periodo_de_gracia)+AC229))</f>
        <v/>
      </c>
      <c r="AP229" s="118"/>
    </row>
    <row r="230" spans="1:42">
      <c r="A230" s="108" t="str">
        <f>IF(A229&lt;Parámetros!$E$6,A229+1,"")</f>
        <v/>
      </c>
      <c r="B230" s="109" t="str">
        <f t="shared" si="109"/>
        <v/>
      </c>
      <c r="C230" s="109" t="str">
        <f t="shared" si="85"/>
        <v/>
      </c>
      <c r="D230" s="109" t="str">
        <f t="shared" si="86"/>
        <v/>
      </c>
      <c r="E230" s="109" t="str">
        <f t="shared" si="87"/>
        <v/>
      </c>
      <c r="F230" s="109" t="str">
        <f t="shared" si="88"/>
        <v/>
      </c>
      <c r="G230" s="115" t="str">
        <f t="shared" si="98"/>
        <v/>
      </c>
      <c r="H230" s="116">
        <f t="shared" si="99"/>
        <v>0</v>
      </c>
      <c r="I230" s="109" t="str">
        <f t="shared" si="110"/>
        <v/>
      </c>
      <c r="J230" s="109" t="str">
        <f t="shared" si="89"/>
        <v/>
      </c>
      <c r="K230" s="109" t="str">
        <f t="shared" si="90"/>
        <v/>
      </c>
      <c r="L230" s="109" t="str">
        <f t="shared" si="91"/>
        <v/>
      </c>
      <c r="M230" s="109" t="str">
        <f t="shared" si="100"/>
        <v/>
      </c>
      <c r="N230" s="115" t="str">
        <f t="shared" si="101"/>
        <v/>
      </c>
      <c r="O230" s="61">
        <v>0</v>
      </c>
      <c r="P230" s="117">
        <f t="shared" si="102"/>
        <v>0</v>
      </c>
      <c r="R230" s="118" t="str">
        <f t="shared" si="112"/>
        <v/>
      </c>
      <c r="S230" s="119" t="str">
        <f t="shared" si="92"/>
        <v/>
      </c>
      <c r="T230" s="119" t="str">
        <f t="shared" si="93"/>
        <v/>
      </c>
      <c r="U230" s="120">
        <f t="shared" si="103"/>
        <v>0</v>
      </c>
      <c r="V230" s="121" t="str">
        <f>IF(A230="","",IF(A230&lt;=Periodos_Gracia,0,PPMT(Tasa_Anual/360*Días*(1+I.V.A.),Tabla!AM230,No._De_Pagos_con_periodo_de_gracia,-Monto_Crédito)))</f>
        <v/>
      </c>
      <c r="W230" s="111" t="str">
        <f>IF($U$258&lt;=0,V230,IF(SUM($U$18:U230)&lt;=0,V230,PMT($K$5/360*Días,A230,-R230)))</f>
        <v/>
      </c>
      <c r="X230" s="122" t="str">
        <f>IF($U$258&lt;=0,W230,IF(SUM($U$18:U230)&lt;=0,V230,PMT($K$5/360*Días,No._De_Pagos_con_periodo_de_gracia,-Monto_Crédito)-S230-T230))</f>
        <v/>
      </c>
      <c r="Y230" s="118" t="str">
        <f t="shared" si="104"/>
        <v/>
      </c>
      <c r="Z230" s="62" t="str">
        <f>+IF(A230="","",IF(No._de_Pagos-Tabla!A230+1&lt;=0,"",No._de_Pagos-Tabla!A230+1))</f>
        <v/>
      </c>
      <c r="AA230" s="123" t="str">
        <f t="shared" si="105"/>
        <v/>
      </c>
      <c r="AB230" s="125" t="str">
        <f t="shared" si="111"/>
        <v/>
      </c>
      <c r="AC230" s="125" t="str">
        <f t="shared" si="94"/>
        <v/>
      </c>
      <c r="AD230" s="125" t="str">
        <f t="shared" si="95"/>
        <v/>
      </c>
      <c r="AE230" s="120">
        <f t="shared" si="106"/>
        <v>0</v>
      </c>
      <c r="AF230" s="121" t="str">
        <f t="shared" si="96"/>
        <v/>
      </c>
      <c r="AG230" s="111" t="str">
        <f>IF($U$258&lt;=0,AF230,IF(SUM($U$18:U230)&lt;=0,AF230,PMT($K$5/360*Días,A230,-AA230)))</f>
        <v/>
      </c>
      <c r="AH230" s="122" t="str">
        <f>IF(A230&lt;=Periodos_Gracia,0,IF($U$258&lt;=0,AG230,IF(SUM($U$18:U230)&lt;=0,AF230,PMT($K$5/360*Días,No._de_Pagos,-Monto_Crédito)-AC230-AD230)))</f>
        <v/>
      </c>
      <c r="AI230" s="126" t="str">
        <f t="shared" si="107"/>
        <v/>
      </c>
      <c r="AK230" s="127" t="str">
        <f>IF(A230="","",IF(Periodos_Gracia&gt;0,Tabla!AN230,V230+S230))</f>
        <v/>
      </c>
      <c r="AL230" s="127" t="str">
        <f t="shared" si="97"/>
        <v/>
      </c>
      <c r="AM230" s="62" t="str">
        <f t="shared" si="108"/>
        <v/>
      </c>
      <c r="AN230" s="128" t="str">
        <f>IF(A230="","",IF(A230&lt;=Periodos_Gracia,Tabla!S230,PPMT(Tasa_Anual/360*Días*(1+I.V.A.),Tabla!AM230,No._De_Pagos_con_periodo_de_gracia,-Monto_Crédito)+S230))</f>
        <v/>
      </c>
      <c r="AO230" s="128" t="str">
        <f>IF(A230="","",IF(A230&lt;=Periodos_Gracia,Tabla!AC230,Monto_Crédito/(No._De_Pagos_con_periodo_de_gracia)+AC230))</f>
        <v/>
      </c>
      <c r="AP230" s="118"/>
    </row>
    <row r="231" spans="1:42">
      <c r="A231" s="108" t="str">
        <f>IF(A230&lt;Parámetros!$E$6,A230+1,"")</f>
        <v/>
      </c>
      <c r="B231" s="109" t="str">
        <f t="shared" si="109"/>
        <v/>
      </c>
      <c r="C231" s="109" t="str">
        <f t="shared" si="85"/>
        <v/>
      </c>
      <c r="D231" s="109" t="str">
        <f t="shared" si="86"/>
        <v/>
      </c>
      <c r="E231" s="109" t="str">
        <f t="shared" si="87"/>
        <v/>
      </c>
      <c r="F231" s="109" t="str">
        <f t="shared" si="88"/>
        <v/>
      </c>
      <c r="G231" s="115" t="str">
        <f t="shared" si="98"/>
        <v/>
      </c>
      <c r="H231" s="116">
        <f t="shared" si="99"/>
        <v>0</v>
      </c>
      <c r="I231" s="109" t="str">
        <f t="shared" si="110"/>
        <v/>
      </c>
      <c r="J231" s="109" t="str">
        <f t="shared" si="89"/>
        <v/>
      </c>
      <c r="K231" s="109" t="str">
        <f t="shared" si="90"/>
        <v/>
      </c>
      <c r="L231" s="109" t="str">
        <f t="shared" si="91"/>
        <v/>
      </c>
      <c r="M231" s="109" t="str">
        <f t="shared" si="100"/>
        <v/>
      </c>
      <c r="N231" s="115" t="str">
        <f t="shared" si="101"/>
        <v/>
      </c>
      <c r="O231" s="61">
        <v>0</v>
      </c>
      <c r="P231" s="117">
        <f t="shared" si="102"/>
        <v>0</v>
      </c>
      <c r="R231" s="118" t="str">
        <f t="shared" si="112"/>
        <v/>
      </c>
      <c r="S231" s="119" t="str">
        <f t="shared" si="92"/>
        <v/>
      </c>
      <c r="T231" s="119" t="str">
        <f t="shared" si="93"/>
        <v/>
      </c>
      <c r="U231" s="120">
        <f t="shared" si="103"/>
        <v>0</v>
      </c>
      <c r="V231" s="121" t="str">
        <f>IF(A231="","",IF(A231&lt;=Periodos_Gracia,0,PPMT(Tasa_Anual/360*Días*(1+I.V.A.),Tabla!AM231,No._De_Pagos_con_periodo_de_gracia,-Monto_Crédito)))</f>
        <v/>
      </c>
      <c r="W231" s="111" t="str">
        <f>IF($U$258&lt;=0,V231,IF(SUM($U$18:U231)&lt;=0,V231,PMT($K$5/360*Días,A231,-R231)))</f>
        <v/>
      </c>
      <c r="X231" s="122" t="str">
        <f>IF($U$258&lt;=0,W231,IF(SUM($U$18:U231)&lt;=0,V231,PMT($K$5/360*Días,No._De_Pagos_con_periodo_de_gracia,-Monto_Crédito)-S231-T231))</f>
        <v/>
      </c>
      <c r="Y231" s="118" t="str">
        <f t="shared" si="104"/>
        <v/>
      </c>
      <c r="Z231" s="62" t="str">
        <f>+IF(A231="","",IF(No._de_Pagos-Tabla!A231+1&lt;=0,"",No._de_Pagos-Tabla!A231+1))</f>
        <v/>
      </c>
      <c r="AA231" s="123" t="str">
        <f t="shared" si="105"/>
        <v/>
      </c>
      <c r="AB231" s="125" t="str">
        <f t="shared" si="111"/>
        <v/>
      </c>
      <c r="AC231" s="125" t="str">
        <f t="shared" si="94"/>
        <v/>
      </c>
      <c r="AD231" s="125" t="str">
        <f t="shared" si="95"/>
        <v/>
      </c>
      <c r="AE231" s="120">
        <f t="shared" si="106"/>
        <v>0</v>
      </c>
      <c r="AF231" s="121" t="str">
        <f t="shared" si="96"/>
        <v/>
      </c>
      <c r="AG231" s="111" t="str">
        <f>IF($U$258&lt;=0,AF231,IF(SUM($U$18:U231)&lt;=0,AF231,PMT($K$5/360*Días,A231,-AA231)))</f>
        <v/>
      </c>
      <c r="AH231" s="122" t="str">
        <f>IF(A231&lt;=Periodos_Gracia,0,IF($U$258&lt;=0,AG231,IF(SUM($U$18:U231)&lt;=0,AF231,PMT($K$5/360*Días,No._de_Pagos,-Monto_Crédito)-AC231-AD231)))</f>
        <v/>
      </c>
      <c r="AI231" s="126" t="str">
        <f t="shared" si="107"/>
        <v/>
      </c>
      <c r="AK231" s="127" t="str">
        <f>IF(A231="","",IF(Periodos_Gracia&gt;0,Tabla!AN231,V231+S231))</f>
        <v/>
      </c>
      <c r="AL231" s="127" t="str">
        <f t="shared" si="97"/>
        <v/>
      </c>
      <c r="AM231" s="62" t="str">
        <f t="shared" si="108"/>
        <v/>
      </c>
      <c r="AN231" s="128" t="str">
        <f>IF(A231="","",IF(A231&lt;=Periodos_Gracia,Tabla!S231,PPMT(Tasa_Anual/360*Días*(1+I.V.A.),Tabla!AM231,No._De_Pagos_con_periodo_de_gracia,-Monto_Crédito)+S231))</f>
        <v/>
      </c>
      <c r="AO231" s="128" t="str">
        <f>IF(A231="","",IF(A231&lt;=Periodos_Gracia,Tabla!AC231,Monto_Crédito/(No._De_Pagos_con_periodo_de_gracia)+AC231))</f>
        <v/>
      </c>
      <c r="AP231" s="118"/>
    </row>
    <row r="232" spans="1:42">
      <c r="A232" s="108" t="str">
        <f>IF(A231&lt;Parámetros!$E$6,A231+1,"")</f>
        <v/>
      </c>
      <c r="B232" s="109" t="str">
        <f t="shared" si="109"/>
        <v/>
      </c>
      <c r="C232" s="109" t="str">
        <f t="shared" si="85"/>
        <v/>
      </c>
      <c r="D232" s="109" t="str">
        <f t="shared" si="86"/>
        <v/>
      </c>
      <c r="E232" s="109" t="str">
        <f t="shared" si="87"/>
        <v/>
      </c>
      <c r="F232" s="109" t="str">
        <f t="shared" si="88"/>
        <v/>
      </c>
      <c r="G232" s="115" t="str">
        <f t="shared" si="98"/>
        <v/>
      </c>
      <c r="H232" s="116">
        <f t="shared" si="99"/>
        <v>0</v>
      </c>
      <c r="I232" s="109" t="str">
        <f t="shared" si="110"/>
        <v/>
      </c>
      <c r="J232" s="109" t="str">
        <f t="shared" si="89"/>
        <v/>
      </c>
      <c r="K232" s="109" t="str">
        <f t="shared" si="90"/>
        <v/>
      </c>
      <c r="L232" s="109" t="str">
        <f t="shared" si="91"/>
        <v/>
      </c>
      <c r="M232" s="109" t="str">
        <f t="shared" si="100"/>
        <v/>
      </c>
      <c r="N232" s="115" t="str">
        <f t="shared" si="101"/>
        <v/>
      </c>
      <c r="O232" s="61">
        <v>0</v>
      </c>
      <c r="P232" s="117">
        <f t="shared" si="102"/>
        <v>0</v>
      </c>
      <c r="R232" s="118" t="str">
        <f t="shared" si="112"/>
        <v/>
      </c>
      <c r="S232" s="119" t="str">
        <f t="shared" si="92"/>
        <v/>
      </c>
      <c r="T232" s="119" t="str">
        <f t="shared" si="93"/>
        <v/>
      </c>
      <c r="U232" s="120">
        <f t="shared" si="103"/>
        <v>0</v>
      </c>
      <c r="V232" s="121" t="str">
        <f>IF(A232="","",IF(A232&lt;=Periodos_Gracia,0,PPMT(Tasa_Anual/360*Días*(1+I.V.A.),Tabla!AM232,No._De_Pagos_con_periodo_de_gracia,-Monto_Crédito)))</f>
        <v/>
      </c>
      <c r="W232" s="111" t="str">
        <f>IF($U$258&lt;=0,V232,IF(SUM($U$18:U232)&lt;=0,V232,PMT($K$5/360*Días,A232,-R232)))</f>
        <v/>
      </c>
      <c r="X232" s="122" t="str">
        <f>IF($U$258&lt;=0,W232,IF(SUM($U$18:U232)&lt;=0,V232,PMT($K$5/360*Días,No._De_Pagos_con_periodo_de_gracia,-Monto_Crédito)-S232-T232))</f>
        <v/>
      </c>
      <c r="Y232" s="118" t="str">
        <f t="shared" si="104"/>
        <v/>
      </c>
      <c r="Z232" s="62" t="str">
        <f>+IF(A232="","",IF(No._de_Pagos-Tabla!A232+1&lt;=0,"",No._de_Pagos-Tabla!A232+1))</f>
        <v/>
      </c>
      <c r="AA232" s="123" t="str">
        <f t="shared" si="105"/>
        <v/>
      </c>
      <c r="AB232" s="125" t="str">
        <f t="shared" si="111"/>
        <v/>
      </c>
      <c r="AC232" s="125" t="str">
        <f t="shared" si="94"/>
        <v/>
      </c>
      <c r="AD232" s="125" t="str">
        <f t="shared" si="95"/>
        <v/>
      </c>
      <c r="AE232" s="120">
        <f t="shared" si="106"/>
        <v>0</v>
      </c>
      <c r="AF232" s="121" t="str">
        <f t="shared" si="96"/>
        <v/>
      </c>
      <c r="AG232" s="111" t="str">
        <f>IF($U$258&lt;=0,AF232,IF(SUM($U$18:U232)&lt;=0,AF232,PMT($K$5/360*Días,A232,-AA232)))</f>
        <v/>
      </c>
      <c r="AH232" s="122" t="str">
        <f>IF(A232&lt;=Periodos_Gracia,0,IF($U$258&lt;=0,AG232,IF(SUM($U$18:U232)&lt;=0,AF232,PMT($K$5/360*Días,No._de_Pagos,-Monto_Crédito)-AC232-AD232)))</f>
        <v/>
      </c>
      <c r="AI232" s="126" t="str">
        <f t="shared" si="107"/>
        <v/>
      </c>
      <c r="AK232" s="127" t="str">
        <f>IF(A232="","",IF(Periodos_Gracia&gt;0,Tabla!AN232,V232+S232))</f>
        <v/>
      </c>
      <c r="AL232" s="127" t="str">
        <f t="shared" si="97"/>
        <v/>
      </c>
      <c r="AM232" s="62" t="str">
        <f t="shared" si="108"/>
        <v/>
      </c>
      <c r="AN232" s="128" t="str">
        <f>IF(A232="","",IF(A232&lt;=Periodos_Gracia,Tabla!S232,PPMT(Tasa_Anual/360*Días*(1+I.V.A.),Tabla!AM232,No._De_Pagos_con_periodo_de_gracia,-Monto_Crédito)+S232))</f>
        <v/>
      </c>
      <c r="AO232" s="128" t="str">
        <f>IF(A232="","",IF(A232&lt;=Periodos_Gracia,Tabla!AC232,Monto_Crédito/(No._De_Pagos_con_periodo_de_gracia)+AC232))</f>
        <v/>
      </c>
      <c r="AP232" s="118"/>
    </row>
    <row r="233" spans="1:42">
      <c r="A233" s="108" t="str">
        <f>IF(A232&lt;Parámetros!$E$6,A232+1,"")</f>
        <v/>
      </c>
      <c r="B233" s="109" t="str">
        <f t="shared" si="109"/>
        <v/>
      </c>
      <c r="C233" s="109" t="str">
        <f t="shared" si="85"/>
        <v/>
      </c>
      <c r="D233" s="109" t="str">
        <f t="shared" si="86"/>
        <v/>
      </c>
      <c r="E233" s="109" t="str">
        <f t="shared" si="87"/>
        <v/>
      </c>
      <c r="F233" s="109" t="str">
        <f t="shared" si="88"/>
        <v/>
      </c>
      <c r="G233" s="115" t="str">
        <f t="shared" si="98"/>
        <v/>
      </c>
      <c r="H233" s="116">
        <f t="shared" si="99"/>
        <v>0</v>
      </c>
      <c r="I233" s="109" t="str">
        <f t="shared" si="110"/>
        <v/>
      </c>
      <c r="J233" s="109" t="str">
        <f t="shared" si="89"/>
        <v/>
      </c>
      <c r="K233" s="109" t="str">
        <f t="shared" si="90"/>
        <v/>
      </c>
      <c r="L233" s="109" t="str">
        <f t="shared" si="91"/>
        <v/>
      </c>
      <c r="M233" s="109" t="str">
        <f t="shared" si="100"/>
        <v/>
      </c>
      <c r="N233" s="115" t="str">
        <f t="shared" si="101"/>
        <v/>
      </c>
      <c r="O233" s="61">
        <v>0</v>
      </c>
      <c r="P233" s="117">
        <f t="shared" si="102"/>
        <v>0</v>
      </c>
      <c r="R233" s="118" t="str">
        <f t="shared" si="112"/>
        <v/>
      </c>
      <c r="S233" s="119" t="str">
        <f t="shared" si="92"/>
        <v/>
      </c>
      <c r="T233" s="119" t="str">
        <f t="shared" si="93"/>
        <v/>
      </c>
      <c r="U233" s="120">
        <f t="shared" si="103"/>
        <v>0</v>
      </c>
      <c r="V233" s="121" t="str">
        <f>IF(A233="","",IF(A233&lt;=Periodos_Gracia,0,PPMT(Tasa_Anual/360*Días*(1+I.V.A.),Tabla!AM233,No._De_Pagos_con_periodo_de_gracia,-Monto_Crédito)))</f>
        <v/>
      </c>
      <c r="W233" s="111" t="str">
        <f>IF($U$258&lt;=0,V233,IF(SUM($U$18:U233)&lt;=0,V233,PMT($K$5/360*Días,A233,-R233)))</f>
        <v/>
      </c>
      <c r="X233" s="122" t="str">
        <f>IF($U$258&lt;=0,W233,IF(SUM($U$18:U233)&lt;=0,V233,PMT($K$5/360*Días,No._De_Pagos_con_periodo_de_gracia,-Monto_Crédito)-S233-T233))</f>
        <v/>
      </c>
      <c r="Y233" s="118" t="str">
        <f t="shared" si="104"/>
        <v/>
      </c>
      <c r="Z233" s="62" t="str">
        <f>+IF(A233="","",IF(No._de_Pagos-Tabla!A233+1&lt;=0,"",No._de_Pagos-Tabla!A233+1))</f>
        <v/>
      </c>
      <c r="AA233" s="123" t="str">
        <f t="shared" si="105"/>
        <v/>
      </c>
      <c r="AB233" s="125" t="str">
        <f t="shared" si="111"/>
        <v/>
      </c>
      <c r="AC233" s="125" t="str">
        <f t="shared" si="94"/>
        <v/>
      </c>
      <c r="AD233" s="125" t="str">
        <f t="shared" si="95"/>
        <v/>
      </c>
      <c r="AE233" s="120">
        <f t="shared" si="106"/>
        <v>0</v>
      </c>
      <c r="AF233" s="121" t="str">
        <f t="shared" si="96"/>
        <v/>
      </c>
      <c r="AG233" s="111" t="str">
        <f>IF($U$258&lt;=0,AF233,IF(SUM($U$18:U233)&lt;=0,AF233,PMT($K$5/360*Días,A233,-AA233)))</f>
        <v/>
      </c>
      <c r="AH233" s="122" t="str">
        <f>IF(A233&lt;=Periodos_Gracia,0,IF($U$258&lt;=0,AG233,IF(SUM($U$18:U233)&lt;=0,AF233,PMT($K$5/360*Días,No._de_Pagos,-Monto_Crédito)-AC233-AD233)))</f>
        <v/>
      </c>
      <c r="AI233" s="126" t="str">
        <f t="shared" si="107"/>
        <v/>
      </c>
      <c r="AK233" s="127" t="str">
        <f>IF(A233="","",IF(Periodos_Gracia&gt;0,Tabla!AN233,V233+S233))</f>
        <v/>
      </c>
      <c r="AL233" s="127" t="str">
        <f t="shared" si="97"/>
        <v/>
      </c>
      <c r="AM233" s="62" t="str">
        <f t="shared" si="108"/>
        <v/>
      </c>
      <c r="AN233" s="128" t="str">
        <f>IF(A233="","",IF(A233&lt;=Periodos_Gracia,Tabla!S233,PPMT(Tasa_Anual/360*Días*(1+I.V.A.),Tabla!AM233,No._De_Pagos_con_periodo_de_gracia,-Monto_Crédito)+S233))</f>
        <v/>
      </c>
      <c r="AO233" s="128" t="str">
        <f>IF(A233="","",IF(A233&lt;=Periodos_Gracia,Tabla!AC233,Monto_Crédito/(No._De_Pagos_con_periodo_de_gracia)+AC233))</f>
        <v/>
      </c>
      <c r="AP233" s="118"/>
    </row>
    <row r="234" spans="1:42">
      <c r="A234" s="108" t="str">
        <f>IF(A233&lt;Parámetros!$E$6,A233+1,"")</f>
        <v/>
      </c>
      <c r="B234" s="109" t="str">
        <f t="shared" si="109"/>
        <v/>
      </c>
      <c r="C234" s="109" t="str">
        <f t="shared" si="85"/>
        <v/>
      </c>
      <c r="D234" s="109" t="str">
        <f t="shared" si="86"/>
        <v/>
      </c>
      <c r="E234" s="109" t="str">
        <f t="shared" si="87"/>
        <v/>
      </c>
      <c r="F234" s="109" t="str">
        <f t="shared" si="88"/>
        <v/>
      </c>
      <c r="G234" s="115" t="str">
        <f t="shared" si="98"/>
        <v/>
      </c>
      <c r="H234" s="116">
        <f t="shared" si="99"/>
        <v>0</v>
      </c>
      <c r="I234" s="109" t="str">
        <f t="shared" si="110"/>
        <v/>
      </c>
      <c r="J234" s="109" t="str">
        <f t="shared" si="89"/>
        <v/>
      </c>
      <c r="K234" s="109" t="str">
        <f t="shared" si="90"/>
        <v/>
      </c>
      <c r="L234" s="109" t="str">
        <f t="shared" si="91"/>
        <v/>
      </c>
      <c r="M234" s="109" t="str">
        <f t="shared" si="100"/>
        <v/>
      </c>
      <c r="N234" s="115" t="str">
        <f t="shared" si="101"/>
        <v/>
      </c>
      <c r="O234" s="61">
        <v>0</v>
      </c>
      <c r="P234" s="117">
        <f t="shared" si="102"/>
        <v>0</v>
      </c>
      <c r="R234" s="118" t="str">
        <f t="shared" si="112"/>
        <v/>
      </c>
      <c r="S234" s="119" t="str">
        <f t="shared" si="92"/>
        <v/>
      </c>
      <c r="T234" s="119" t="str">
        <f t="shared" si="93"/>
        <v/>
      </c>
      <c r="U234" s="120">
        <f t="shared" si="103"/>
        <v>0</v>
      </c>
      <c r="V234" s="121" t="str">
        <f>IF(A234="","",IF(A234&lt;=Periodos_Gracia,0,PPMT(Tasa_Anual/360*Días*(1+I.V.A.),Tabla!AM234,No._De_Pagos_con_periodo_de_gracia,-Monto_Crédito)))</f>
        <v/>
      </c>
      <c r="W234" s="111" t="str">
        <f>IF($U$258&lt;=0,V234,IF(SUM($U$18:U234)&lt;=0,V234,PMT($K$5/360*Días,A234,-R234)))</f>
        <v/>
      </c>
      <c r="X234" s="122" t="str">
        <f>IF($U$258&lt;=0,W234,IF(SUM($U$18:U234)&lt;=0,V234,PMT($K$5/360*Días,No._De_Pagos_con_periodo_de_gracia,-Monto_Crédito)-S234-T234))</f>
        <v/>
      </c>
      <c r="Y234" s="118" t="str">
        <f t="shared" si="104"/>
        <v/>
      </c>
      <c r="Z234" s="62" t="str">
        <f>+IF(A234="","",IF(No._de_Pagos-Tabla!A234+1&lt;=0,"",No._de_Pagos-Tabla!A234+1))</f>
        <v/>
      </c>
      <c r="AA234" s="123" t="str">
        <f t="shared" si="105"/>
        <v/>
      </c>
      <c r="AB234" s="125" t="str">
        <f t="shared" si="111"/>
        <v/>
      </c>
      <c r="AC234" s="125" t="str">
        <f t="shared" si="94"/>
        <v/>
      </c>
      <c r="AD234" s="125" t="str">
        <f t="shared" si="95"/>
        <v/>
      </c>
      <c r="AE234" s="120">
        <f t="shared" si="106"/>
        <v>0</v>
      </c>
      <c r="AF234" s="121" t="str">
        <f t="shared" si="96"/>
        <v/>
      </c>
      <c r="AG234" s="111" t="str">
        <f>IF($U$258&lt;=0,AF234,IF(SUM($U$18:U234)&lt;=0,AF234,PMT($K$5/360*Días,A234,-AA234)))</f>
        <v/>
      </c>
      <c r="AH234" s="122" t="str">
        <f>IF(A234&lt;=Periodos_Gracia,0,IF($U$258&lt;=0,AG234,IF(SUM($U$18:U234)&lt;=0,AF234,PMT($K$5/360*Días,No._de_Pagos,-Monto_Crédito)-AC234-AD234)))</f>
        <v/>
      </c>
      <c r="AI234" s="126" t="str">
        <f t="shared" si="107"/>
        <v/>
      </c>
      <c r="AK234" s="127" t="str">
        <f>IF(A234="","",IF(Periodos_Gracia&gt;0,Tabla!AN234,V234+S234))</f>
        <v/>
      </c>
      <c r="AL234" s="127" t="str">
        <f t="shared" si="97"/>
        <v/>
      </c>
      <c r="AM234" s="62" t="str">
        <f t="shared" si="108"/>
        <v/>
      </c>
      <c r="AN234" s="128" t="str">
        <f>IF(A234="","",IF(A234&lt;=Periodos_Gracia,Tabla!S234,PPMT(Tasa_Anual/360*Días*(1+I.V.A.),Tabla!AM234,No._De_Pagos_con_periodo_de_gracia,-Monto_Crédito)+S234))</f>
        <v/>
      </c>
      <c r="AO234" s="128" t="str">
        <f>IF(A234="","",IF(A234&lt;=Periodos_Gracia,Tabla!AC234,Monto_Crédito/(No._De_Pagos_con_periodo_de_gracia)+AC234))</f>
        <v/>
      </c>
      <c r="AP234" s="118"/>
    </row>
    <row r="235" spans="1:42">
      <c r="A235" s="108" t="str">
        <f>IF(A234&lt;Parámetros!$E$6,A234+1,"")</f>
        <v/>
      </c>
      <c r="B235" s="109" t="str">
        <f t="shared" si="109"/>
        <v/>
      </c>
      <c r="C235" s="109" t="str">
        <f t="shared" si="85"/>
        <v/>
      </c>
      <c r="D235" s="109" t="str">
        <f t="shared" si="86"/>
        <v/>
      </c>
      <c r="E235" s="109" t="str">
        <f t="shared" si="87"/>
        <v/>
      </c>
      <c r="F235" s="109" t="str">
        <f t="shared" si="88"/>
        <v/>
      </c>
      <c r="G235" s="115" t="str">
        <f t="shared" si="98"/>
        <v/>
      </c>
      <c r="H235" s="116">
        <f t="shared" si="99"/>
        <v>0</v>
      </c>
      <c r="I235" s="109" t="str">
        <f t="shared" si="110"/>
        <v/>
      </c>
      <c r="J235" s="109" t="str">
        <f t="shared" si="89"/>
        <v/>
      </c>
      <c r="K235" s="109" t="str">
        <f t="shared" si="90"/>
        <v/>
      </c>
      <c r="L235" s="109" t="str">
        <f t="shared" si="91"/>
        <v/>
      </c>
      <c r="M235" s="109" t="str">
        <f t="shared" si="100"/>
        <v/>
      </c>
      <c r="N235" s="115" t="str">
        <f t="shared" si="101"/>
        <v/>
      </c>
      <c r="O235" s="61">
        <v>0</v>
      </c>
      <c r="P235" s="117">
        <f t="shared" si="102"/>
        <v>0</v>
      </c>
      <c r="R235" s="118" t="str">
        <f t="shared" si="112"/>
        <v/>
      </c>
      <c r="S235" s="119" t="str">
        <f t="shared" si="92"/>
        <v/>
      </c>
      <c r="T235" s="119" t="str">
        <f t="shared" si="93"/>
        <v/>
      </c>
      <c r="U235" s="120">
        <f t="shared" si="103"/>
        <v>0</v>
      </c>
      <c r="V235" s="121" t="str">
        <f>IF(A235="","",IF(A235&lt;=Periodos_Gracia,0,PPMT(Tasa_Anual/360*Días*(1+I.V.A.),Tabla!AM235,No._De_Pagos_con_periodo_de_gracia,-Monto_Crédito)))</f>
        <v/>
      </c>
      <c r="W235" s="111" t="str">
        <f>IF($U$258&lt;=0,V235,IF(SUM($U$18:U235)&lt;=0,V235,PMT($K$5/360*Días,A235,-R235)))</f>
        <v/>
      </c>
      <c r="X235" s="122" t="str">
        <f>IF($U$258&lt;=0,W235,IF(SUM($U$18:U235)&lt;=0,V235,PMT($K$5/360*Días,No._De_Pagos_con_periodo_de_gracia,-Monto_Crédito)-S235-T235))</f>
        <v/>
      </c>
      <c r="Y235" s="118" t="str">
        <f t="shared" si="104"/>
        <v/>
      </c>
      <c r="Z235" s="62" t="str">
        <f>+IF(A235="","",IF(No._de_Pagos-Tabla!A235+1&lt;=0,"",No._de_Pagos-Tabla!A235+1))</f>
        <v/>
      </c>
      <c r="AA235" s="123" t="str">
        <f t="shared" si="105"/>
        <v/>
      </c>
      <c r="AB235" s="125" t="str">
        <f t="shared" si="111"/>
        <v/>
      </c>
      <c r="AC235" s="125" t="str">
        <f t="shared" si="94"/>
        <v/>
      </c>
      <c r="AD235" s="125" t="str">
        <f t="shared" si="95"/>
        <v/>
      </c>
      <c r="AE235" s="120">
        <f t="shared" si="106"/>
        <v>0</v>
      </c>
      <c r="AF235" s="121" t="str">
        <f t="shared" si="96"/>
        <v/>
      </c>
      <c r="AG235" s="111" t="str">
        <f>IF($U$258&lt;=0,AF235,IF(SUM($U$18:U235)&lt;=0,AF235,PMT($K$5/360*Días,A235,-AA235)))</f>
        <v/>
      </c>
      <c r="AH235" s="122" t="str">
        <f>IF(A235&lt;=Periodos_Gracia,0,IF($U$258&lt;=0,AG235,IF(SUM($U$18:U235)&lt;=0,AF235,PMT($K$5/360*Días,No._de_Pagos,-Monto_Crédito)-AC235-AD235)))</f>
        <v/>
      </c>
      <c r="AI235" s="126" t="str">
        <f t="shared" si="107"/>
        <v/>
      </c>
      <c r="AK235" s="127" t="str">
        <f>IF(A235="","",IF(Periodos_Gracia&gt;0,Tabla!AN235,V235+S235))</f>
        <v/>
      </c>
      <c r="AL235" s="127" t="str">
        <f t="shared" si="97"/>
        <v/>
      </c>
      <c r="AM235" s="62" t="str">
        <f t="shared" si="108"/>
        <v/>
      </c>
      <c r="AN235" s="128" t="str">
        <f>IF(A235="","",IF(A235&lt;=Periodos_Gracia,Tabla!S235,PPMT(Tasa_Anual/360*Días*(1+I.V.A.),Tabla!AM235,No._De_Pagos_con_periodo_de_gracia,-Monto_Crédito)+S235))</f>
        <v/>
      </c>
      <c r="AO235" s="128" t="str">
        <f>IF(A235="","",IF(A235&lt;=Periodos_Gracia,Tabla!AC235,Monto_Crédito/(No._De_Pagos_con_periodo_de_gracia)+AC235))</f>
        <v/>
      </c>
      <c r="AP235" s="118"/>
    </row>
    <row r="236" spans="1:42">
      <c r="A236" s="108" t="str">
        <f>IF(A235&lt;Parámetros!$E$6,A235+1,"")</f>
        <v/>
      </c>
      <c r="B236" s="109" t="str">
        <f t="shared" si="109"/>
        <v/>
      </c>
      <c r="C236" s="109" t="str">
        <f t="shared" si="85"/>
        <v/>
      </c>
      <c r="D236" s="109" t="str">
        <f t="shared" si="86"/>
        <v/>
      </c>
      <c r="E236" s="109" t="str">
        <f t="shared" si="87"/>
        <v/>
      </c>
      <c r="F236" s="109" t="str">
        <f t="shared" si="88"/>
        <v/>
      </c>
      <c r="G236" s="115" t="str">
        <f t="shared" si="98"/>
        <v/>
      </c>
      <c r="H236" s="116">
        <f t="shared" si="99"/>
        <v>0</v>
      </c>
      <c r="I236" s="109" t="str">
        <f t="shared" si="110"/>
        <v/>
      </c>
      <c r="J236" s="109" t="str">
        <f t="shared" si="89"/>
        <v/>
      </c>
      <c r="K236" s="109" t="str">
        <f t="shared" si="90"/>
        <v/>
      </c>
      <c r="L236" s="109" t="str">
        <f t="shared" si="91"/>
        <v/>
      </c>
      <c r="M236" s="109" t="str">
        <f t="shared" si="100"/>
        <v/>
      </c>
      <c r="N236" s="115" t="str">
        <f t="shared" si="101"/>
        <v/>
      </c>
      <c r="O236" s="61">
        <v>0</v>
      </c>
      <c r="P236" s="117">
        <f t="shared" si="102"/>
        <v>0</v>
      </c>
      <c r="R236" s="118" t="str">
        <f t="shared" si="112"/>
        <v/>
      </c>
      <c r="S236" s="119" t="str">
        <f t="shared" si="92"/>
        <v/>
      </c>
      <c r="T236" s="119" t="str">
        <f t="shared" si="93"/>
        <v/>
      </c>
      <c r="U236" s="120">
        <f t="shared" si="103"/>
        <v>0</v>
      </c>
      <c r="V236" s="121" t="str">
        <f>IF(A236="","",IF(A236&lt;=Periodos_Gracia,0,PPMT(Tasa_Anual/360*Días*(1+I.V.A.),Tabla!AM236,No._De_Pagos_con_periodo_de_gracia,-Monto_Crédito)))</f>
        <v/>
      </c>
      <c r="W236" s="111" t="str">
        <f>IF($U$258&lt;=0,V236,IF(SUM($U$18:U236)&lt;=0,V236,PMT($K$5/360*Días,A236,-R236)))</f>
        <v/>
      </c>
      <c r="X236" s="122" t="str">
        <f>IF($U$258&lt;=0,W236,IF(SUM($U$18:U236)&lt;=0,V236,PMT($K$5/360*Días,No._De_Pagos_con_periodo_de_gracia,-Monto_Crédito)-S236-T236))</f>
        <v/>
      </c>
      <c r="Y236" s="118" t="str">
        <f t="shared" si="104"/>
        <v/>
      </c>
      <c r="Z236" s="62" t="str">
        <f>+IF(A236="","",IF(No._de_Pagos-Tabla!A236+1&lt;=0,"",No._de_Pagos-Tabla!A236+1))</f>
        <v/>
      </c>
      <c r="AA236" s="123" t="str">
        <f t="shared" si="105"/>
        <v/>
      </c>
      <c r="AB236" s="125" t="str">
        <f t="shared" si="111"/>
        <v/>
      </c>
      <c r="AC236" s="125" t="str">
        <f t="shared" si="94"/>
        <v/>
      </c>
      <c r="AD236" s="125" t="str">
        <f t="shared" si="95"/>
        <v/>
      </c>
      <c r="AE236" s="120">
        <f t="shared" si="106"/>
        <v>0</v>
      </c>
      <c r="AF236" s="121" t="str">
        <f t="shared" si="96"/>
        <v/>
      </c>
      <c r="AG236" s="111" t="str">
        <f>IF($U$258&lt;=0,AF236,IF(SUM($U$18:U236)&lt;=0,AF236,PMT($K$5/360*Días,A236,-AA236)))</f>
        <v/>
      </c>
      <c r="AH236" s="122" t="str">
        <f>IF(A236&lt;=Periodos_Gracia,0,IF($U$258&lt;=0,AG236,IF(SUM($U$18:U236)&lt;=0,AF236,PMT($K$5/360*Días,No._de_Pagos,-Monto_Crédito)-AC236-AD236)))</f>
        <v/>
      </c>
      <c r="AI236" s="126" t="str">
        <f t="shared" si="107"/>
        <v/>
      </c>
      <c r="AK236" s="127" t="str">
        <f>IF(A236="","",IF(Periodos_Gracia&gt;0,Tabla!AN236,V236+S236))</f>
        <v/>
      </c>
      <c r="AL236" s="127" t="str">
        <f t="shared" si="97"/>
        <v/>
      </c>
      <c r="AM236" s="62" t="str">
        <f t="shared" si="108"/>
        <v/>
      </c>
      <c r="AN236" s="128" t="str">
        <f>IF(A236="","",IF(A236&lt;=Periodos_Gracia,Tabla!S236,PPMT(Tasa_Anual/360*Días*(1+I.V.A.),Tabla!AM236,No._De_Pagos_con_periodo_de_gracia,-Monto_Crédito)+S236))</f>
        <v/>
      </c>
      <c r="AO236" s="128" t="str">
        <f>IF(A236="","",IF(A236&lt;=Periodos_Gracia,Tabla!AC236,Monto_Crédito/(No._De_Pagos_con_periodo_de_gracia)+AC236))</f>
        <v/>
      </c>
      <c r="AP236" s="118"/>
    </row>
    <row r="237" spans="1:42">
      <c r="A237" s="108" t="str">
        <f>IF(A236&lt;Parámetros!$E$6,A236+1,"")</f>
        <v/>
      </c>
      <c r="B237" s="109" t="str">
        <f t="shared" si="109"/>
        <v/>
      </c>
      <c r="C237" s="109" t="str">
        <f t="shared" si="85"/>
        <v/>
      </c>
      <c r="D237" s="109" t="str">
        <f t="shared" si="86"/>
        <v/>
      </c>
      <c r="E237" s="109" t="str">
        <f t="shared" si="87"/>
        <v/>
      </c>
      <c r="F237" s="109" t="str">
        <f t="shared" si="88"/>
        <v/>
      </c>
      <c r="G237" s="115" t="str">
        <f t="shared" si="98"/>
        <v/>
      </c>
      <c r="H237" s="116">
        <f t="shared" si="99"/>
        <v>0</v>
      </c>
      <c r="I237" s="109" t="str">
        <f t="shared" si="110"/>
        <v/>
      </c>
      <c r="J237" s="109" t="str">
        <f t="shared" si="89"/>
        <v/>
      </c>
      <c r="K237" s="109" t="str">
        <f t="shared" si="90"/>
        <v/>
      </c>
      <c r="L237" s="109" t="str">
        <f t="shared" si="91"/>
        <v/>
      </c>
      <c r="M237" s="109" t="str">
        <f t="shared" si="100"/>
        <v/>
      </c>
      <c r="N237" s="115" t="str">
        <f t="shared" si="101"/>
        <v/>
      </c>
      <c r="O237" s="61">
        <v>0</v>
      </c>
      <c r="P237" s="117">
        <f t="shared" si="102"/>
        <v>0</v>
      </c>
      <c r="R237" s="118" t="str">
        <f t="shared" si="112"/>
        <v/>
      </c>
      <c r="S237" s="119" t="str">
        <f t="shared" si="92"/>
        <v/>
      </c>
      <c r="T237" s="119" t="str">
        <f t="shared" si="93"/>
        <v/>
      </c>
      <c r="U237" s="120">
        <f t="shared" si="103"/>
        <v>0</v>
      </c>
      <c r="V237" s="121" t="str">
        <f>IF(A237="","",IF(A237&lt;=Periodos_Gracia,0,PPMT(Tasa_Anual/360*Días*(1+I.V.A.),Tabla!AM237,No._De_Pagos_con_periodo_de_gracia,-Monto_Crédito)))</f>
        <v/>
      </c>
      <c r="W237" s="111" t="str">
        <f>IF($U$258&lt;=0,V237,IF(SUM($U$18:U237)&lt;=0,V237,PMT($K$5/360*Días,A237,-R237)))</f>
        <v/>
      </c>
      <c r="X237" s="122" t="str">
        <f>IF($U$258&lt;=0,W237,IF(SUM($U$18:U237)&lt;=0,V237,PMT($K$5/360*Días,No._De_Pagos_con_periodo_de_gracia,-Monto_Crédito)-S237-T237))</f>
        <v/>
      </c>
      <c r="Y237" s="118" t="str">
        <f t="shared" si="104"/>
        <v/>
      </c>
      <c r="Z237" s="62" t="str">
        <f>+IF(A237="","",IF(No._de_Pagos-Tabla!A237+1&lt;=0,"",No._de_Pagos-Tabla!A237+1))</f>
        <v/>
      </c>
      <c r="AA237" s="123" t="str">
        <f t="shared" si="105"/>
        <v/>
      </c>
      <c r="AB237" s="125" t="str">
        <f t="shared" si="111"/>
        <v/>
      </c>
      <c r="AC237" s="125" t="str">
        <f t="shared" si="94"/>
        <v/>
      </c>
      <c r="AD237" s="125" t="str">
        <f t="shared" si="95"/>
        <v/>
      </c>
      <c r="AE237" s="120">
        <f t="shared" si="106"/>
        <v>0</v>
      </c>
      <c r="AF237" s="121" t="str">
        <f t="shared" si="96"/>
        <v/>
      </c>
      <c r="AG237" s="111" t="str">
        <f>IF($U$258&lt;=0,AF237,IF(SUM($U$18:U237)&lt;=0,AF237,PMT($K$5/360*Días,A237,-AA237)))</f>
        <v/>
      </c>
      <c r="AH237" s="122" t="str">
        <f>IF(A237&lt;=Periodos_Gracia,0,IF($U$258&lt;=0,AG237,IF(SUM($U$18:U237)&lt;=0,AF237,PMT($K$5/360*Días,No._de_Pagos,-Monto_Crédito)-AC237-AD237)))</f>
        <v/>
      </c>
      <c r="AI237" s="126" t="str">
        <f t="shared" si="107"/>
        <v/>
      </c>
      <c r="AK237" s="127" t="str">
        <f>IF(A237="","",IF(Periodos_Gracia&gt;0,Tabla!AN237,V237+S237))</f>
        <v/>
      </c>
      <c r="AL237" s="127" t="str">
        <f t="shared" si="97"/>
        <v/>
      </c>
      <c r="AM237" s="62" t="str">
        <f t="shared" si="108"/>
        <v/>
      </c>
      <c r="AN237" s="128" t="str">
        <f>IF(A237="","",IF(A237&lt;=Periodos_Gracia,Tabla!S237,PPMT(Tasa_Anual/360*Días*(1+I.V.A.),Tabla!AM237,No._De_Pagos_con_periodo_de_gracia,-Monto_Crédito)+S237))</f>
        <v/>
      </c>
      <c r="AO237" s="128" t="str">
        <f>IF(A237="","",IF(A237&lt;=Periodos_Gracia,Tabla!AC237,Monto_Crédito/(No._De_Pagos_con_periodo_de_gracia)+AC237))</f>
        <v/>
      </c>
      <c r="AP237" s="118"/>
    </row>
    <row r="238" spans="1:42">
      <c r="A238" s="108" t="str">
        <f>IF(A237&lt;Parámetros!$E$6,A237+1,"")</f>
        <v/>
      </c>
      <c r="B238" s="109" t="str">
        <f t="shared" si="109"/>
        <v/>
      </c>
      <c r="C238" s="109" t="str">
        <f t="shared" si="85"/>
        <v/>
      </c>
      <c r="D238" s="109" t="str">
        <f t="shared" si="86"/>
        <v/>
      </c>
      <c r="E238" s="109" t="str">
        <f t="shared" si="87"/>
        <v/>
      </c>
      <c r="F238" s="109" t="str">
        <f t="shared" si="88"/>
        <v/>
      </c>
      <c r="G238" s="115" t="str">
        <f t="shared" si="98"/>
        <v/>
      </c>
      <c r="H238" s="116">
        <f t="shared" si="99"/>
        <v>0</v>
      </c>
      <c r="I238" s="109" t="str">
        <f t="shared" si="110"/>
        <v/>
      </c>
      <c r="J238" s="109" t="str">
        <f t="shared" si="89"/>
        <v/>
      </c>
      <c r="K238" s="109" t="str">
        <f t="shared" si="90"/>
        <v/>
      </c>
      <c r="L238" s="109" t="str">
        <f t="shared" si="91"/>
        <v/>
      </c>
      <c r="M238" s="109" t="str">
        <f t="shared" si="100"/>
        <v/>
      </c>
      <c r="N238" s="115" t="str">
        <f t="shared" si="101"/>
        <v/>
      </c>
      <c r="O238" s="61">
        <v>0</v>
      </c>
      <c r="P238" s="117">
        <f t="shared" si="102"/>
        <v>0</v>
      </c>
      <c r="R238" s="118" t="str">
        <f t="shared" si="112"/>
        <v/>
      </c>
      <c r="S238" s="119" t="str">
        <f t="shared" si="92"/>
        <v/>
      </c>
      <c r="T238" s="119" t="str">
        <f t="shared" si="93"/>
        <v/>
      </c>
      <c r="U238" s="120">
        <f t="shared" si="103"/>
        <v>0</v>
      </c>
      <c r="V238" s="121" t="str">
        <f>IF(A238="","",IF(A238&lt;=Periodos_Gracia,0,PPMT(Tasa_Anual/360*Días*(1+I.V.A.),Tabla!AM238,No._De_Pagos_con_periodo_de_gracia,-Monto_Crédito)))</f>
        <v/>
      </c>
      <c r="W238" s="111" t="str">
        <f>IF($U$258&lt;=0,V238,IF(SUM($U$18:U238)&lt;=0,V238,PMT($K$5/360*Días,A238,-R238)))</f>
        <v/>
      </c>
      <c r="X238" s="122" t="str">
        <f>IF($U$258&lt;=0,W238,IF(SUM($U$18:U238)&lt;=0,V238,PMT($K$5/360*Días,No._De_Pagos_con_periodo_de_gracia,-Monto_Crédito)-S238-T238))</f>
        <v/>
      </c>
      <c r="Y238" s="118" t="str">
        <f t="shared" si="104"/>
        <v/>
      </c>
      <c r="Z238" s="62" t="str">
        <f>+IF(A238="","",IF(No._de_Pagos-Tabla!A238+1&lt;=0,"",No._de_Pagos-Tabla!A238+1))</f>
        <v/>
      </c>
      <c r="AA238" s="123" t="str">
        <f t="shared" si="105"/>
        <v/>
      </c>
      <c r="AB238" s="125" t="str">
        <f t="shared" si="111"/>
        <v/>
      </c>
      <c r="AC238" s="125" t="str">
        <f t="shared" si="94"/>
        <v/>
      </c>
      <c r="AD238" s="125" t="str">
        <f t="shared" si="95"/>
        <v/>
      </c>
      <c r="AE238" s="120">
        <f t="shared" si="106"/>
        <v>0</v>
      </c>
      <c r="AF238" s="121" t="str">
        <f t="shared" si="96"/>
        <v/>
      </c>
      <c r="AG238" s="111" t="str">
        <f>IF($U$258&lt;=0,AF238,IF(SUM($U$18:U238)&lt;=0,AF238,PMT($K$5/360*Días,A238,-AA238)))</f>
        <v/>
      </c>
      <c r="AH238" s="122" t="str">
        <f>IF(A238&lt;=Periodos_Gracia,0,IF($U$258&lt;=0,AG238,IF(SUM($U$18:U238)&lt;=0,AF238,PMT($K$5/360*Días,No._de_Pagos,-Monto_Crédito)-AC238-AD238)))</f>
        <v/>
      </c>
      <c r="AI238" s="126" t="str">
        <f t="shared" si="107"/>
        <v/>
      </c>
      <c r="AK238" s="127" t="str">
        <f>IF(A238="","",IF(Periodos_Gracia&gt;0,Tabla!AN238,V238+S238))</f>
        <v/>
      </c>
      <c r="AL238" s="127" t="str">
        <f t="shared" si="97"/>
        <v/>
      </c>
      <c r="AM238" s="62" t="str">
        <f t="shared" si="108"/>
        <v/>
      </c>
      <c r="AN238" s="128" t="str">
        <f>IF(A238="","",IF(A238&lt;=Periodos_Gracia,Tabla!S238,PPMT(Tasa_Anual/360*Días*(1+I.V.A.),Tabla!AM238,No._De_Pagos_con_periodo_de_gracia,-Monto_Crédito)+S238))</f>
        <v/>
      </c>
      <c r="AO238" s="128" t="str">
        <f>IF(A238="","",IF(A238&lt;=Periodos_Gracia,Tabla!AC238,Monto_Crédito/(No._De_Pagos_con_periodo_de_gracia)+AC238))</f>
        <v/>
      </c>
      <c r="AP238" s="118"/>
    </row>
    <row r="239" spans="1:42">
      <c r="A239" s="108" t="str">
        <f>IF(A238&lt;Parámetros!$E$6,A238+1,"")</f>
        <v/>
      </c>
      <c r="B239" s="109" t="str">
        <f t="shared" si="109"/>
        <v/>
      </c>
      <c r="C239" s="109" t="str">
        <f t="shared" si="85"/>
        <v/>
      </c>
      <c r="D239" s="109" t="str">
        <f t="shared" si="86"/>
        <v/>
      </c>
      <c r="E239" s="109" t="str">
        <f t="shared" si="87"/>
        <v/>
      </c>
      <c r="F239" s="109" t="str">
        <f t="shared" si="88"/>
        <v/>
      </c>
      <c r="G239" s="115" t="str">
        <f t="shared" si="98"/>
        <v/>
      </c>
      <c r="H239" s="116">
        <f t="shared" si="99"/>
        <v>0</v>
      </c>
      <c r="I239" s="109" t="str">
        <f t="shared" si="110"/>
        <v/>
      </c>
      <c r="J239" s="109" t="str">
        <f t="shared" si="89"/>
        <v/>
      </c>
      <c r="K239" s="109" t="str">
        <f t="shared" si="90"/>
        <v/>
      </c>
      <c r="L239" s="109" t="str">
        <f t="shared" si="91"/>
        <v/>
      </c>
      <c r="M239" s="109" t="str">
        <f t="shared" si="100"/>
        <v/>
      </c>
      <c r="N239" s="115" t="str">
        <f t="shared" si="101"/>
        <v/>
      </c>
      <c r="O239" s="61">
        <v>0</v>
      </c>
      <c r="P239" s="117">
        <f t="shared" si="102"/>
        <v>0</v>
      </c>
      <c r="R239" s="118" t="str">
        <f t="shared" si="112"/>
        <v/>
      </c>
      <c r="S239" s="119" t="str">
        <f t="shared" si="92"/>
        <v/>
      </c>
      <c r="T239" s="119" t="str">
        <f t="shared" si="93"/>
        <v/>
      </c>
      <c r="U239" s="120">
        <f t="shared" si="103"/>
        <v>0</v>
      </c>
      <c r="V239" s="121" t="str">
        <f>IF(A239="","",IF(A239&lt;=Periodos_Gracia,0,PPMT(Tasa_Anual/360*Días*(1+I.V.A.),Tabla!AM239,No._De_Pagos_con_periodo_de_gracia,-Monto_Crédito)))</f>
        <v/>
      </c>
      <c r="W239" s="111" t="str">
        <f>IF($U$258&lt;=0,V239,IF(SUM($U$18:U239)&lt;=0,V239,PMT($K$5/360*Días,A239,-R239)))</f>
        <v/>
      </c>
      <c r="X239" s="122" t="str">
        <f>IF($U$258&lt;=0,W239,IF(SUM($U$18:U239)&lt;=0,V239,PMT($K$5/360*Días,No._De_Pagos_con_periodo_de_gracia,-Monto_Crédito)-S239-T239))</f>
        <v/>
      </c>
      <c r="Y239" s="118" t="str">
        <f t="shared" si="104"/>
        <v/>
      </c>
      <c r="Z239" s="62" t="str">
        <f>+IF(A239="","",IF(No._de_Pagos-Tabla!A239+1&lt;=0,"",No._de_Pagos-Tabla!A239+1))</f>
        <v/>
      </c>
      <c r="AA239" s="123" t="str">
        <f t="shared" si="105"/>
        <v/>
      </c>
      <c r="AB239" s="125" t="str">
        <f t="shared" si="111"/>
        <v/>
      </c>
      <c r="AC239" s="125" t="str">
        <f t="shared" si="94"/>
        <v/>
      </c>
      <c r="AD239" s="125" t="str">
        <f t="shared" si="95"/>
        <v/>
      </c>
      <c r="AE239" s="120">
        <f t="shared" si="106"/>
        <v>0</v>
      </c>
      <c r="AF239" s="121" t="str">
        <f t="shared" si="96"/>
        <v/>
      </c>
      <c r="AG239" s="111" t="str">
        <f>IF($U$258&lt;=0,AF239,IF(SUM($U$18:U239)&lt;=0,AF239,PMT($K$5/360*Días,A239,-AA239)))</f>
        <v/>
      </c>
      <c r="AH239" s="122" t="str">
        <f>IF(A239&lt;=Periodos_Gracia,0,IF($U$258&lt;=0,AG239,IF(SUM($U$18:U239)&lt;=0,AF239,PMT($K$5/360*Días,No._de_Pagos,-Monto_Crédito)-AC239-AD239)))</f>
        <v/>
      </c>
      <c r="AI239" s="126" t="str">
        <f t="shared" si="107"/>
        <v/>
      </c>
      <c r="AK239" s="127" t="str">
        <f>IF(A239="","",IF(Periodos_Gracia&gt;0,Tabla!AN239,V239+S239))</f>
        <v/>
      </c>
      <c r="AL239" s="127" t="str">
        <f t="shared" si="97"/>
        <v/>
      </c>
      <c r="AM239" s="62" t="str">
        <f t="shared" si="108"/>
        <v/>
      </c>
      <c r="AN239" s="128" t="str">
        <f>IF(A239="","",IF(A239&lt;=Periodos_Gracia,Tabla!S239,PPMT(Tasa_Anual/360*Días*(1+I.V.A.),Tabla!AM239,No._De_Pagos_con_periodo_de_gracia,-Monto_Crédito)+S239))</f>
        <v/>
      </c>
      <c r="AO239" s="128" t="str">
        <f>IF(A239="","",IF(A239&lt;=Periodos_Gracia,Tabla!AC239,Monto_Crédito/(No._De_Pagos_con_periodo_de_gracia)+AC239))</f>
        <v/>
      </c>
      <c r="AP239" s="118"/>
    </row>
    <row r="240" spans="1:42">
      <c r="A240" s="108" t="str">
        <f>IF(A239&lt;Parámetros!$E$6,A239+1,"")</f>
        <v/>
      </c>
      <c r="B240" s="109" t="str">
        <f t="shared" si="109"/>
        <v/>
      </c>
      <c r="C240" s="109" t="str">
        <f t="shared" si="85"/>
        <v/>
      </c>
      <c r="D240" s="109" t="str">
        <f t="shared" si="86"/>
        <v/>
      </c>
      <c r="E240" s="109" t="str">
        <f t="shared" si="87"/>
        <v/>
      </c>
      <c r="F240" s="109" t="str">
        <f t="shared" si="88"/>
        <v/>
      </c>
      <c r="G240" s="115" t="str">
        <f t="shared" si="98"/>
        <v/>
      </c>
      <c r="H240" s="116">
        <f t="shared" si="99"/>
        <v>0</v>
      </c>
      <c r="I240" s="109" t="str">
        <f t="shared" si="110"/>
        <v/>
      </c>
      <c r="J240" s="109" t="str">
        <f t="shared" si="89"/>
        <v/>
      </c>
      <c r="K240" s="109" t="str">
        <f t="shared" si="90"/>
        <v/>
      </c>
      <c r="L240" s="109" t="str">
        <f t="shared" si="91"/>
        <v/>
      </c>
      <c r="M240" s="109" t="str">
        <f t="shared" si="100"/>
        <v/>
      </c>
      <c r="N240" s="115" t="str">
        <f t="shared" si="101"/>
        <v/>
      </c>
      <c r="O240" s="61">
        <v>0</v>
      </c>
      <c r="P240" s="117">
        <f t="shared" si="102"/>
        <v>0</v>
      </c>
      <c r="R240" s="118" t="str">
        <f t="shared" si="112"/>
        <v/>
      </c>
      <c r="S240" s="119" t="str">
        <f t="shared" si="92"/>
        <v/>
      </c>
      <c r="T240" s="119" t="str">
        <f t="shared" si="93"/>
        <v/>
      </c>
      <c r="U240" s="120">
        <f t="shared" si="103"/>
        <v>0</v>
      </c>
      <c r="V240" s="121" t="str">
        <f>IF(A240="","",IF(A240&lt;=Periodos_Gracia,0,PPMT(Tasa_Anual/360*Días*(1+I.V.A.),Tabla!AM240,No._De_Pagos_con_periodo_de_gracia,-Monto_Crédito)))</f>
        <v/>
      </c>
      <c r="W240" s="111" t="str">
        <f>IF($U$258&lt;=0,V240,IF(SUM($U$18:U240)&lt;=0,V240,PMT($K$5/360*Días,A240,-R240)))</f>
        <v/>
      </c>
      <c r="X240" s="122" t="str">
        <f>IF($U$258&lt;=0,W240,IF(SUM($U$18:U240)&lt;=0,V240,PMT($K$5/360*Días,No._De_Pagos_con_periodo_de_gracia,-Monto_Crédito)-S240-T240))</f>
        <v/>
      </c>
      <c r="Y240" s="118" t="str">
        <f t="shared" si="104"/>
        <v/>
      </c>
      <c r="Z240" s="62" t="str">
        <f>+IF(A240="","",IF(No._de_Pagos-Tabla!A240+1&lt;=0,"",No._de_Pagos-Tabla!A240+1))</f>
        <v/>
      </c>
      <c r="AA240" s="123" t="str">
        <f t="shared" si="105"/>
        <v/>
      </c>
      <c r="AB240" s="125" t="str">
        <f t="shared" si="111"/>
        <v/>
      </c>
      <c r="AC240" s="125" t="str">
        <f t="shared" si="94"/>
        <v/>
      </c>
      <c r="AD240" s="125" t="str">
        <f t="shared" si="95"/>
        <v/>
      </c>
      <c r="AE240" s="120">
        <f t="shared" si="106"/>
        <v>0</v>
      </c>
      <c r="AF240" s="121" t="str">
        <f t="shared" si="96"/>
        <v/>
      </c>
      <c r="AG240" s="111" t="str">
        <f>IF($U$258&lt;=0,AF240,IF(SUM($U$18:U240)&lt;=0,AF240,PMT($K$5/360*Días,A240,-AA240)))</f>
        <v/>
      </c>
      <c r="AH240" s="122" t="str">
        <f>IF(A240&lt;=Periodos_Gracia,0,IF($U$258&lt;=0,AG240,IF(SUM($U$18:U240)&lt;=0,AF240,PMT($K$5/360*Días,No._de_Pagos,-Monto_Crédito)-AC240-AD240)))</f>
        <v/>
      </c>
      <c r="AI240" s="126" t="str">
        <f t="shared" si="107"/>
        <v/>
      </c>
      <c r="AK240" s="127" t="str">
        <f>IF(A240="","",IF(Periodos_Gracia&gt;0,Tabla!AN240,V240+S240))</f>
        <v/>
      </c>
      <c r="AL240" s="127" t="str">
        <f t="shared" si="97"/>
        <v/>
      </c>
      <c r="AM240" s="62" t="str">
        <f t="shared" si="108"/>
        <v/>
      </c>
      <c r="AN240" s="128" t="str">
        <f>IF(A240="","",IF(A240&lt;=Periodos_Gracia,Tabla!S240,PPMT(Tasa_Anual/360*Días*(1+I.V.A.),Tabla!AM240,No._De_Pagos_con_periodo_de_gracia,-Monto_Crédito)+S240))</f>
        <v/>
      </c>
      <c r="AO240" s="128" t="str">
        <f>IF(A240="","",IF(A240&lt;=Periodos_Gracia,Tabla!AC240,Monto_Crédito/(No._De_Pagos_con_periodo_de_gracia)+AC240))</f>
        <v/>
      </c>
      <c r="AP240" s="118"/>
    </row>
    <row r="241" spans="1:42">
      <c r="A241" s="108" t="str">
        <f>IF(A240&lt;Parámetros!$E$6,A240+1,"")</f>
        <v/>
      </c>
      <c r="B241" s="109" t="str">
        <f t="shared" si="109"/>
        <v/>
      </c>
      <c r="C241" s="109" t="str">
        <f t="shared" si="85"/>
        <v/>
      </c>
      <c r="D241" s="109" t="str">
        <f t="shared" si="86"/>
        <v/>
      </c>
      <c r="E241" s="109" t="str">
        <f t="shared" si="87"/>
        <v/>
      </c>
      <c r="F241" s="109" t="str">
        <f t="shared" si="88"/>
        <v/>
      </c>
      <c r="G241" s="115" t="str">
        <f t="shared" si="98"/>
        <v/>
      </c>
      <c r="H241" s="116">
        <f t="shared" si="99"/>
        <v>0</v>
      </c>
      <c r="I241" s="109" t="str">
        <f t="shared" si="110"/>
        <v/>
      </c>
      <c r="J241" s="109" t="str">
        <f t="shared" si="89"/>
        <v/>
      </c>
      <c r="K241" s="109" t="str">
        <f t="shared" si="90"/>
        <v/>
      </c>
      <c r="L241" s="109" t="str">
        <f t="shared" si="91"/>
        <v/>
      </c>
      <c r="M241" s="109" t="str">
        <f t="shared" si="100"/>
        <v/>
      </c>
      <c r="N241" s="115" t="str">
        <f t="shared" si="101"/>
        <v/>
      </c>
      <c r="O241" s="61">
        <v>0</v>
      </c>
      <c r="P241" s="117">
        <f t="shared" si="102"/>
        <v>0</v>
      </c>
      <c r="R241" s="118" t="str">
        <f t="shared" si="112"/>
        <v/>
      </c>
      <c r="S241" s="119" t="str">
        <f t="shared" si="92"/>
        <v/>
      </c>
      <c r="T241" s="119" t="str">
        <f t="shared" si="93"/>
        <v/>
      </c>
      <c r="U241" s="120">
        <f t="shared" si="103"/>
        <v>0</v>
      </c>
      <c r="V241" s="121" t="str">
        <f>IF(A241="","",IF(A241&lt;=Periodos_Gracia,0,PPMT(Tasa_Anual/360*Días*(1+I.V.A.),Tabla!AM241,No._De_Pagos_con_periodo_de_gracia,-Monto_Crédito)))</f>
        <v/>
      </c>
      <c r="W241" s="111" t="str">
        <f>IF($U$258&lt;=0,V241,IF(SUM($U$18:U241)&lt;=0,V241,PMT($K$5/360*Días,A241,-R241)))</f>
        <v/>
      </c>
      <c r="X241" s="122" t="str">
        <f>IF($U$258&lt;=0,W241,IF(SUM($U$18:U241)&lt;=0,V241,PMT($K$5/360*Días,No._De_Pagos_con_periodo_de_gracia,-Monto_Crédito)-S241-T241))</f>
        <v/>
      </c>
      <c r="Y241" s="118" t="str">
        <f t="shared" si="104"/>
        <v/>
      </c>
      <c r="Z241" s="62" t="str">
        <f>+IF(A241="","",IF(No._de_Pagos-Tabla!A241+1&lt;=0,"",No._de_Pagos-Tabla!A241+1))</f>
        <v/>
      </c>
      <c r="AA241" s="123" t="str">
        <f t="shared" si="105"/>
        <v/>
      </c>
      <c r="AB241" s="125" t="str">
        <f t="shared" si="111"/>
        <v/>
      </c>
      <c r="AC241" s="125" t="str">
        <f t="shared" si="94"/>
        <v/>
      </c>
      <c r="AD241" s="125" t="str">
        <f t="shared" si="95"/>
        <v/>
      </c>
      <c r="AE241" s="120">
        <f t="shared" si="106"/>
        <v>0</v>
      </c>
      <c r="AF241" s="121" t="str">
        <f t="shared" si="96"/>
        <v/>
      </c>
      <c r="AG241" s="111" t="str">
        <f>IF($U$258&lt;=0,AF241,IF(SUM($U$18:U241)&lt;=0,AF241,PMT($K$5/360*Días,A241,-AA241)))</f>
        <v/>
      </c>
      <c r="AH241" s="122" t="str">
        <f>IF(A241&lt;=Periodos_Gracia,0,IF($U$258&lt;=0,AG241,IF(SUM($U$18:U241)&lt;=0,AF241,PMT($K$5/360*Días,No._de_Pagos,-Monto_Crédito)-AC241-AD241)))</f>
        <v/>
      </c>
      <c r="AI241" s="126" t="str">
        <f t="shared" si="107"/>
        <v/>
      </c>
      <c r="AK241" s="127" t="str">
        <f>IF(A241="","",IF(Periodos_Gracia&gt;0,Tabla!AN241,V241+S241))</f>
        <v/>
      </c>
      <c r="AL241" s="127" t="str">
        <f t="shared" si="97"/>
        <v/>
      </c>
      <c r="AM241" s="62" t="str">
        <f t="shared" si="108"/>
        <v/>
      </c>
      <c r="AN241" s="128" t="str">
        <f>IF(A241="","",IF(A241&lt;=Periodos_Gracia,Tabla!S241,PPMT(Tasa_Anual/360*Días*(1+I.V.A.),Tabla!AM241,No._De_Pagos_con_periodo_de_gracia,-Monto_Crédito)+S241))</f>
        <v/>
      </c>
      <c r="AO241" s="128" t="str">
        <f>IF(A241="","",IF(A241&lt;=Periodos_Gracia,Tabla!AC241,Monto_Crédito/(No._De_Pagos_con_periodo_de_gracia)+AC241))</f>
        <v/>
      </c>
      <c r="AP241" s="118"/>
    </row>
    <row r="242" spans="1:42">
      <c r="A242" s="108" t="str">
        <f>IF(A241&lt;Parámetros!$E$6,A241+1,"")</f>
        <v/>
      </c>
      <c r="B242" s="109" t="str">
        <f t="shared" si="109"/>
        <v/>
      </c>
      <c r="C242" s="109" t="str">
        <f t="shared" si="85"/>
        <v/>
      </c>
      <c r="D242" s="109" t="str">
        <f t="shared" si="86"/>
        <v/>
      </c>
      <c r="E242" s="109" t="str">
        <f t="shared" si="87"/>
        <v/>
      </c>
      <c r="F242" s="109" t="str">
        <f t="shared" si="88"/>
        <v/>
      </c>
      <c r="G242" s="115" t="str">
        <f t="shared" si="98"/>
        <v/>
      </c>
      <c r="H242" s="116">
        <f t="shared" si="99"/>
        <v>0</v>
      </c>
      <c r="I242" s="109" t="str">
        <f t="shared" si="110"/>
        <v/>
      </c>
      <c r="J242" s="109" t="str">
        <f t="shared" si="89"/>
        <v/>
      </c>
      <c r="K242" s="109" t="str">
        <f t="shared" si="90"/>
        <v/>
      </c>
      <c r="L242" s="109" t="str">
        <f t="shared" si="91"/>
        <v/>
      </c>
      <c r="M242" s="109" t="str">
        <f t="shared" si="100"/>
        <v/>
      </c>
      <c r="N242" s="115" t="str">
        <f t="shared" si="101"/>
        <v/>
      </c>
      <c r="O242" s="61">
        <v>0</v>
      </c>
      <c r="P242" s="117">
        <f t="shared" si="102"/>
        <v>0</v>
      </c>
      <c r="R242" s="118" t="str">
        <f t="shared" si="112"/>
        <v/>
      </c>
      <c r="S242" s="119" t="str">
        <f t="shared" si="92"/>
        <v/>
      </c>
      <c r="T242" s="119" t="str">
        <f t="shared" si="93"/>
        <v/>
      </c>
      <c r="U242" s="120">
        <f t="shared" si="103"/>
        <v>0</v>
      </c>
      <c r="V242" s="121" t="str">
        <f>IF(A242="","",IF(A242&lt;=Periodos_Gracia,0,PPMT(Tasa_Anual/360*Días*(1+I.V.A.),Tabla!AM242,No._De_Pagos_con_periodo_de_gracia,-Monto_Crédito)))</f>
        <v/>
      </c>
      <c r="W242" s="111" t="str">
        <f>IF($U$258&lt;=0,V242,IF(SUM($U$18:U242)&lt;=0,V242,PMT($K$5/360*Días,A242,-R242)))</f>
        <v/>
      </c>
      <c r="X242" s="122" t="str">
        <f>IF($U$258&lt;=0,W242,IF(SUM($U$18:U242)&lt;=0,V242,PMT($K$5/360*Días,No._De_Pagos_con_periodo_de_gracia,-Monto_Crédito)-S242-T242))</f>
        <v/>
      </c>
      <c r="Y242" s="118" t="str">
        <f t="shared" si="104"/>
        <v/>
      </c>
      <c r="Z242" s="62" t="str">
        <f>+IF(A242="","",IF(No._de_Pagos-Tabla!A242+1&lt;=0,"",No._de_Pagos-Tabla!A242+1))</f>
        <v/>
      </c>
      <c r="AA242" s="123" t="str">
        <f t="shared" si="105"/>
        <v/>
      </c>
      <c r="AB242" s="125" t="str">
        <f t="shared" si="111"/>
        <v/>
      </c>
      <c r="AC242" s="125" t="str">
        <f t="shared" si="94"/>
        <v/>
      </c>
      <c r="AD242" s="125" t="str">
        <f t="shared" si="95"/>
        <v/>
      </c>
      <c r="AE242" s="120">
        <f t="shared" si="106"/>
        <v>0</v>
      </c>
      <c r="AF242" s="121" t="str">
        <f t="shared" si="96"/>
        <v/>
      </c>
      <c r="AG242" s="111" t="str">
        <f>IF($U$258&lt;=0,AF242,IF(SUM($U$18:U242)&lt;=0,AF242,PMT($K$5/360*Días,A242,-AA242)))</f>
        <v/>
      </c>
      <c r="AH242" s="122" t="str">
        <f>IF(A242&lt;=Periodos_Gracia,0,IF($U$258&lt;=0,AG242,IF(SUM($U$18:U242)&lt;=0,AF242,PMT($K$5/360*Días,No._de_Pagos,-Monto_Crédito)-AC242-AD242)))</f>
        <v/>
      </c>
      <c r="AI242" s="126" t="str">
        <f t="shared" si="107"/>
        <v/>
      </c>
      <c r="AK242" s="127" t="str">
        <f>IF(A242="","",IF(Periodos_Gracia&gt;0,Tabla!AN242,V242+S242))</f>
        <v/>
      </c>
      <c r="AL242" s="127" t="str">
        <f t="shared" si="97"/>
        <v/>
      </c>
      <c r="AM242" s="62" t="str">
        <f t="shared" si="108"/>
        <v/>
      </c>
      <c r="AN242" s="128" t="str">
        <f>IF(A242="","",IF(A242&lt;=Periodos_Gracia,Tabla!S242,PPMT(Tasa_Anual/360*Días*(1+I.V.A.),Tabla!AM242,No._De_Pagos_con_periodo_de_gracia,-Monto_Crédito)+S242))</f>
        <v/>
      </c>
      <c r="AO242" s="128" t="str">
        <f>IF(A242="","",IF(A242&lt;=Periodos_Gracia,Tabla!AC242,Monto_Crédito/(No._De_Pagos_con_periodo_de_gracia)+AC242))</f>
        <v/>
      </c>
      <c r="AP242" s="118"/>
    </row>
    <row r="243" spans="1:42">
      <c r="A243" s="108" t="str">
        <f>IF(A242&lt;Parámetros!$E$6,A242+1,"")</f>
        <v/>
      </c>
      <c r="B243" s="109" t="str">
        <f t="shared" si="109"/>
        <v/>
      </c>
      <c r="C243" s="109" t="str">
        <f t="shared" si="85"/>
        <v/>
      </c>
      <c r="D243" s="109" t="str">
        <f t="shared" si="86"/>
        <v/>
      </c>
      <c r="E243" s="109" t="str">
        <f t="shared" si="87"/>
        <v/>
      </c>
      <c r="F243" s="109" t="str">
        <f t="shared" si="88"/>
        <v/>
      </c>
      <c r="G243" s="115" t="str">
        <f t="shared" si="98"/>
        <v/>
      </c>
      <c r="H243" s="116">
        <f t="shared" si="99"/>
        <v>0</v>
      </c>
      <c r="I243" s="109" t="str">
        <f t="shared" si="110"/>
        <v/>
      </c>
      <c r="J243" s="109" t="str">
        <f t="shared" si="89"/>
        <v/>
      </c>
      <c r="K243" s="109" t="str">
        <f t="shared" si="90"/>
        <v/>
      </c>
      <c r="L243" s="109" t="str">
        <f t="shared" si="91"/>
        <v/>
      </c>
      <c r="M243" s="109" t="str">
        <f t="shared" si="100"/>
        <v/>
      </c>
      <c r="N243" s="115" t="str">
        <f t="shared" si="101"/>
        <v/>
      </c>
      <c r="O243" s="61">
        <v>0</v>
      </c>
      <c r="P243" s="117">
        <f t="shared" si="102"/>
        <v>0</v>
      </c>
      <c r="R243" s="118" t="str">
        <f t="shared" si="112"/>
        <v/>
      </c>
      <c r="S243" s="119" t="str">
        <f t="shared" si="92"/>
        <v/>
      </c>
      <c r="T243" s="119" t="str">
        <f t="shared" si="93"/>
        <v/>
      </c>
      <c r="U243" s="120">
        <f t="shared" si="103"/>
        <v>0</v>
      </c>
      <c r="V243" s="121" t="str">
        <f>IF(A243="","",IF(A243&lt;=Periodos_Gracia,0,PPMT(Tasa_Anual/360*Días*(1+I.V.A.),Tabla!AM243,No._De_Pagos_con_periodo_de_gracia,-Monto_Crédito)))</f>
        <v/>
      </c>
      <c r="W243" s="111" t="str">
        <f>IF($U$258&lt;=0,V243,IF(SUM($U$18:U243)&lt;=0,V243,PMT($K$5/360*Días,A243,-R243)))</f>
        <v/>
      </c>
      <c r="X243" s="122" t="str">
        <f>IF($U$258&lt;=0,W243,IF(SUM($U$18:U243)&lt;=0,V243,PMT($K$5/360*Días,No._De_Pagos_con_periodo_de_gracia,-Monto_Crédito)-S243-T243))</f>
        <v/>
      </c>
      <c r="Y243" s="118" t="str">
        <f t="shared" si="104"/>
        <v/>
      </c>
      <c r="Z243" s="62" t="str">
        <f>+IF(A243="","",IF(No._de_Pagos-Tabla!A243+1&lt;=0,"",No._de_Pagos-Tabla!A243+1))</f>
        <v/>
      </c>
      <c r="AA243" s="123" t="str">
        <f t="shared" si="105"/>
        <v/>
      </c>
      <c r="AB243" s="125" t="str">
        <f t="shared" si="111"/>
        <v/>
      </c>
      <c r="AC243" s="125" t="str">
        <f t="shared" si="94"/>
        <v/>
      </c>
      <c r="AD243" s="125" t="str">
        <f t="shared" si="95"/>
        <v/>
      </c>
      <c r="AE243" s="120">
        <f t="shared" si="106"/>
        <v>0</v>
      </c>
      <c r="AF243" s="121" t="str">
        <f t="shared" si="96"/>
        <v/>
      </c>
      <c r="AG243" s="111" t="str">
        <f>IF($U$258&lt;=0,AF243,IF(SUM($U$18:U243)&lt;=0,AF243,PMT($K$5/360*Días,A243,-AA243)))</f>
        <v/>
      </c>
      <c r="AH243" s="122" t="str">
        <f>IF(A243&lt;=Periodos_Gracia,0,IF($U$258&lt;=0,AG243,IF(SUM($U$18:U243)&lt;=0,AF243,PMT($K$5/360*Días,No._de_Pagos,-Monto_Crédito)-AC243-AD243)))</f>
        <v/>
      </c>
      <c r="AI243" s="126" t="str">
        <f t="shared" si="107"/>
        <v/>
      </c>
      <c r="AK243" s="127" t="str">
        <f>IF(A243="","",IF(Periodos_Gracia&gt;0,Tabla!AN243,V243+S243))</f>
        <v/>
      </c>
      <c r="AL243" s="127" t="str">
        <f t="shared" si="97"/>
        <v/>
      </c>
      <c r="AM243" s="62" t="str">
        <f t="shared" si="108"/>
        <v/>
      </c>
      <c r="AN243" s="128" t="str">
        <f>IF(A243="","",IF(A243&lt;=Periodos_Gracia,Tabla!S243,PPMT(Tasa_Anual/360*Días*(1+I.V.A.),Tabla!AM243,No._De_Pagos_con_periodo_de_gracia,-Monto_Crédito)+S243))</f>
        <v/>
      </c>
      <c r="AO243" s="128" t="str">
        <f>IF(A243="","",IF(A243&lt;=Periodos_Gracia,Tabla!AC243,Monto_Crédito/(No._De_Pagos_con_periodo_de_gracia)+AC243))</f>
        <v/>
      </c>
      <c r="AP243" s="118"/>
    </row>
    <row r="244" spans="1:42">
      <c r="A244" s="108" t="str">
        <f>IF(A243&lt;Parámetros!$E$6,A243+1,"")</f>
        <v/>
      </c>
      <c r="B244" s="109" t="str">
        <f t="shared" si="109"/>
        <v/>
      </c>
      <c r="C244" s="109" t="str">
        <f t="shared" si="85"/>
        <v/>
      </c>
      <c r="D244" s="109" t="str">
        <f t="shared" si="86"/>
        <v/>
      </c>
      <c r="E244" s="109" t="str">
        <f t="shared" si="87"/>
        <v/>
      </c>
      <c r="F244" s="109" t="str">
        <f t="shared" si="88"/>
        <v/>
      </c>
      <c r="G244" s="115" t="str">
        <f t="shared" si="98"/>
        <v/>
      </c>
      <c r="H244" s="116">
        <f t="shared" si="99"/>
        <v>0</v>
      </c>
      <c r="I244" s="109" t="str">
        <f t="shared" si="110"/>
        <v/>
      </c>
      <c r="J244" s="109" t="str">
        <f t="shared" si="89"/>
        <v/>
      </c>
      <c r="K244" s="109" t="str">
        <f t="shared" si="90"/>
        <v/>
      </c>
      <c r="L244" s="109" t="str">
        <f t="shared" si="91"/>
        <v/>
      </c>
      <c r="M244" s="109" t="str">
        <f t="shared" si="100"/>
        <v/>
      </c>
      <c r="N244" s="115" t="str">
        <f t="shared" si="101"/>
        <v/>
      </c>
      <c r="O244" s="61">
        <v>0</v>
      </c>
      <c r="P244" s="117">
        <f t="shared" si="102"/>
        <v>0</v>
      </c>
      <c r="R244" s="118" t="str">
        <f t="shared" si="112"/>
        <v/>
      </c>
      <c r="S244" s="119" t="str">
        <f t="shared" si="92"/>
        <v/>
      </c>
      <c r="T244" s="119" t="str">
        <f t="shared" si="93"/>
        <v/>
      </c>
      <c r="U244" s="120">
        <f t="shared" si="103"/>
        <v>0</v>
      </c>
      <c r="V244" s="121" t="str">
        <f>IF(A244="","",IF(A244&lt;=Periodos_Gracia,0,PPMT(Tasa_Anual/360*Días*(1+I.V.A.),Tabla!AM244,No._De_Pagos_con_periodo_de_gracia,-Monto_Crédito)))</f>
        <v/>
      </c>
      <c r="W244" s="111" t="str">
        <f>IF($U$258&lt;=0,V244,IF(SUM($U$18:U244)&lt;=0,V244,PMT($K$5/360*Días,A244,-R244)))</f>
        <v/>
      </c>
      <c r="X244" s="122" t="str">
        <f>IF($U$258&lt;=0,W244,IF(SUM($U$18:U244)&lt;=0,V244,PMT($K$5/360*Días,No._De_Pagos_con_periodo_de_gracia,-Monto_Crédito)-S244-T244))</f>
        <v/>
      </c>
      <c r="Y244" s="118" t="str">
        <f t="shared" si="104"/>
        <v/>
      </c>
      <c r="Z244" s="62" t="str">
        <f>+IF(A244="","",IF(No._de_Pagos-Tabla!A244+1&lt;=0,"",No._de_Pagos-Tabla!A244+1))</f>
        <v/>
      </c>
      <c r="AA244" s="123" t="str">
        <f t="shared" si="105"/>
        <v/>
      </c>
      <c r="AB244" s="125" t="str">
        <f t="shared" si="111"/>
        <v/>
      </c>
      <c r="AC244" s="125" t="str">
        <f t="shared" si="94"/>
        <v/>
      </c>
      <c r="AD244" s="125" t="str">
        <f t="shared" si="95"/>
        <v/>
      </c>
      <c r="AE244" s="120">
        <f t="shared" si="106"/>
        <v>0</v>
      </c>
      <c r="AF244" s="121" t="str">
        <f t="shared" si="96"/>
        <v/>
      </c>
      <c r="AG244" s="111" t="str">
        <f>IF($U$258&lt;=0,AF244,IF(SUM($U$18:U244)&lt;=0,AF244,PMT($K$5/360*Días,A244,-AA244)))</f>
        <v/>
      </c>
      <c r="AH244" s="122" t="str">
        <f>IF(A244&lt;=Periodos_Gracia,0,IF($U$258&lt;=0,AG244,IF(SUM($U$18:U244)&lt;=0,AF244,PMT($K$5/360*Días,No._de_Pagos,-Monto_Crédito)-AC244-AD244)))</f>
        <v/>
      </c>
      <c r="AI244" s="126" t="str">
        <f t="shared" si="107"/>
        <v/>
      </c>
      <c r="AK244" s="127" t="str">
        <f>IF(A244="","",IF(Periodos_Gracia&gt;0,Tabla!AN244,V244+S244))</f>
        <v/>
      </c>
      <c r="AL244" s="127" t="str">
        <f t="shared" si="97"/>
        <v/>
      </c>
      <c r="AM244" s="62" t="str">
        <f t="shared" si="108"/>
        <v/>
      </c>
      <c r="AN244" s="128" t="str">
        <f>IF(A244="","",IF(A244&lt;=Periodos_Gracia,Tabla!S244,PPMT(Tasa_Anual/360*Días*(1+I.V.A.),Tabla!AM244,No._De_Pagos_con_periodo_de_gracia,-Monto_Crédito)+S244))</f>
        <v/>
      </c>
      <c r="AO244" s="128" t="str">
        <f>IF(A244="","",IF(A244&lt;=Periodos_Gracia,Tabla!AC244,Monto_Crédito/(No._De_Pagos_con_periodo_de_gracia)+AC244))</f>
        <v/>
      </c>
      <c r="AP244" s="118"/>
    </row>
    <row r="245" spans="1:42">
      <c r="A245" s="108" t="str">
        <f>IF(A244&lt;Parámetros!$E$6,A244+1,"")</f>
        <v/>
      </c>
      <c r="B245" s="109" t="str">
        <f t="shared" si="109"/>
        <v/>
      </c>
      <c r="C245" s="109" t="str">
        <f t="shared" si="85"/>
        <v/>
      </c>
      <c r="D245" s="109" t="str">
        <f t="shared" si="86"/>
        <v/>
      </c>
      <c r="E245" s="109" t="str">
        <f t="shared" si="87"/>
        <v/>
      </c>
      <c r="F245" s="109" t="str">
        <f t="shared" si="88"/>
        <v/>
      </c>
      <c r="G245" s="115" t="str">
        <f t="shared" si="98"/>
        <v/>
      </c>
      <c r="H245" s="116">
        <f t="shared" si="99"/>
        <v>0</v>
      </c>
      <c r="I245" s="109" t="str">
        <f t="shared" si="110"/>
        <v/>
      </c>
      <c r="J245" s="109" t="str">
        <f t="shared" si="89"/>
        <v/>
      </c>
      <c r="K245" s="109" t="str">
        <f t="shared" si="90"/>
        <v/>
      </c>
      <c r="L245" s="109" t="str">
        <f t="shared" si="91"/>
        <v/>
      </c>
      <c r="M245" s="109" t="str">
        <f t="shared" si="100"/>
        <v/>
      </c>
      <c r="N245" s="115" t="str">
        <f t="shared" si="101"/>
        <v/>
      </c>
      <c r="O245" s="61">
        <v>0</v>
      </c>
      <c r="P245" s="117">
        <f t="shared" si="102"/>
        <v>0</v>
      </c>
      <c r="R245" s="118" t="str">
        <f t="shared" si="112"/>
        <v/>
      </c>
      <c r="S245" s="119" t="str">
        <f t="shared" si="92"/>
        <v/>
      </c>
      <c r="T245" s="119" t="str">
        <f t="shared" si="93"/>
        <v/>
      </c>
      <c r="U245" s="120">
        <f t="shared" si="103"/>
        <v>0</v>
      </c>
      <c r="V245" s="121" t="str">
        <f>IF(A245="","",IF(A245&lt;=Periodos_Gracia,0,PPMT(Tasa_Anual/360*Días*(1+I.V.A.),Tabla!AM245,No._De_Pagos_con_periodo_de_gracia,-Monto_Crédito)))</f>
        <v/>
      </c>
      <c r="W245" s="111" t="str">
        <f>IF($U$258&lt;=0,V245,IF(SUM($U$18:U245)&lt;=0,V245,PMT($K$5/360*Días,A245,-R245)))</f>
        <v/>
      </c>
      <c r="X245" s="122" t="str">
        <f>IF($U$258&lt;=0,W245,IF(SUM($U$18:U245)&lt;=0,V245,PMT($K$5/360*Días,No._De_Pagos_con_periodo_de_gracia,-Monto_Crédito)-S245-T245))</f>
        <v/>
      </c>
      <c r="Y245" s="118" t="str">
        <f t="shared" si="104"/>
        <v/>
      </c>
      <c r="Z245" s="62" t="str">
        <f>+IF(A245="","",IF(No._de_Pagos-Tabla!A245+1&lt;=0,"",No._de_Pagos-Tabla!A245+1))</f>
        <v/>
      </c>
      <c r="AA245" s="123" t="str">
        <f t="shared" si="105"/>
        <v/>
      </c>
      <c r="AB245" s="125" t="str">
        <f t="shared" si="111"/>
        <v/>
      </c>
      <c r="AC245" s="125" t="str">
        <f t="shared" si="94"/>
        <v/>
      </c>
      <c r="AD245" s="125" t="str">
        <f t="shared" si="95"/>
        <v/>
      </c>
      <c r="AE245" s="120">
        <f t="shared" si="106"/>
        <v>0</v>
      </c>
      <c r="AF245" s="121" t="str">
        <f t="shared" si="96"/>
        <v/>
      </c>
      <c r="AG245" s="111" t="str">
        <f>IF($U$258&lt;=0,AF245,IF(SUM($U$18:U245)&lt;=0,AF245,PMT($K$5/360*Días,A245,-AA245)))</f>
        <v/>
      </c>
      <c r="AH245" s="122" t="str">
        <f>IF(A245&lt;=Periodos_Gracia,0,IF($U$258&lt;=0,AG245,IF(SUM($U$18:U245)&lt;=0,AF245,PMT($K$5/360*Días,No._de_Pagos,-Monto_Crédito)-AC245-AD245)))</f>
        <v/>
      </c>
      <c r="AI245" s="126" t="str">
        <f t="shared" si="107"/>
        <v/>
      </c>
      <c r="AK245" s="127" t="str">
        <f>IF(A245="","",IF(Periodos_Gracia&gt;0,Tabla!AN245,V245+S245))</f>
        <v/>
      </c>
      <c r="AL245" s="127" t="str">
        <f t="shared" si="97"/>
        <v/>
      </c>
      <c r="AM245" s="62" t="str">
        <f t="shared" si="108"/>
        <v/>
      </c>
      <c r="AN245" s="128" t="str">
        <f>IF(A245="","",IF(A245&lt;=Periodos_Gracia,Tabla!S245,PPMT(Tasa_Anual/360*Días*(1+I.V.A.),Tabla!AM245,No._De_Pagos_con_periodo_de_gracia,-Monto_Crédito)+S245))</f>
        <v/>
      </c>
      <c r="AO245" s="128" t="str">
        <f>IF(A245="","",IF(A245&lt;=Periodos_Gracia,Tabla!AC245,Monto_Crédito/(No._De_Pagos_con_periodo_de_gracia)+AC245))</f>
        <v/>
      </c>
      <c r="AP245" s="118"/>
    </row>
    <row r="246" spans="1:42">
      <c r="A246" s="108" t="str">
        <f>IF(A245&lt;Parámetros!$E$6,A245+1,"")</f>
        <v/>
      </c>
      <c r="B246" s="109" t="str">
        <f t="shared" si="109"/>
        <v/>
      </c>
      <c r="C246" s="109" t="str">
        <f t="shared" si="85"/>
        <v/>
      </c>
      <c r="D246" s="109" t="str">
        <f t="shared" si="86"/>
        <v/>
      </c>
      <c r="E246" s="109" t="str">
        <f t="shared" si="87"/>
        <v/>
      </c>
      <c r="F246" s="109" t="str">
        <f t="shared" si="88"/>
        <v/>
      </c>
      <c r="G246" s="115" t="str">
        <f t="shared" si="98"/>
        <v/>
      </c>
      <c r="H246" s="116">
        <f t="shared" si="99"/>
        <v>0</v>
      </c>
      <c r="I246" s="109" t="str">
        <f t="shared" si="110"/>
        <v/>
      </c>
      <c r="J246" s="109" t="str">
        <f t="shared" si="89"/>
        <v/>
      </c>
      <c r="K246" s="109" t="str">
        <f t="shared" si="90"/>
        <v/>
      </c>
      <c r="L246" s="109" t="str">
        <f t="shared" si="91"/>
        <v/>
      </c>
      <c r="M246" s="109" t="str">
        <f t="shared" si="100"/>
        <v/>
      </c>
      <c r="N246" s="115" t="str">
        <f t="shared" si="101"/>
        <v/>
      </c>
      <c r="O246" s="61">
        <v>0</v>
      </c>
      <c r="P246" s="117">
        <f t="shared" si="102"/>
        <v>0</v>
      </c>
      <c r="R246" s="118" t="str">
        <f t="shared" si="112"/>
        <v/>
      </c>
      <c r="S246" s="119" t="str">
        <f t="shared" si="92"/>
        <v/>
      </c>
      <c r="T246" s="119" t="str">
        <f t="shared" si="93"/>
        <v/>
      </c>
      <c r="U246" s="120">
        <f t="shared" si="103"/>
        <v>0</v>
      </c>
      <c r="V246" s="121" t="str">
        <f>IF(A246="","",IF(A246&lt;=Periodos_Gracia,0,PPMT(Tasa_Anual/360*Días*(1+I.V.A.),Tabla!AM246,No._De_Pagos_con_periodo_de_gracia,-Monto_Crédito)))</f>
        <v/>
      </c>
      <c r="W246" s="111" t="str">
        <f>IF($U$258&lt;=0,V246,IF(SUM($U$18:U246)&lt;=0,V246,PMT($K$5/360*Días,A246,-R246)))</f>
        <v/>
      </c>
      <c r="X246" s="122" t="str">
        <f>IF($U$258&lt;=0,W246,IF(SUM($U$18:U246)&lt;=0,V246,PMT($K$5/360*Días,No._De_Pagos_con_periodo_de_gracia,-Monto_Crédito)-S246-T246))</f>
        <v/>
      </c>
      <c r="Y246" s="118" t="str">
        <f t="shared" si="104"/>
        <v/>
      </c>
      <c r="Z246" s="62" t="str">
        <f>+IF(A246="","",IF(No._de_Pagos-Tabla!A246+1&lt;=0,"",No._de_Pagos-Tabla!A246+1))</f>
        <v/>
      </c>
      <c r="AA246" s="123" t="str">
        <f t="shared" si="105"/>
        <v/>
      </c>
      <c r="AB246" s="125" t="str">
        <f t="shared" si="111"/>
        <v/>
      </c>
      <c r="AC246" s="125" t="str">
        <f t="shared" si="94"/>
        <v/>
      </c>
      <c r="AD246" s="125" t="str">
        <f t="shared" si="95"/>
        <v/>
      </c>
      <c r="AE246" s="120">
        <f t="shared" si="106"/>
        <v>0</v>
      </c>
      <c r="AF246" s="121" t="str">
        <f t="shared" si="96"/>
        <v/>
      </c>
      <c r="AG246" s="111" t="str">
        <f>IF($U$258&lt;=0,AF246,IF(SUM($U$18:U246)&lt;=0,AF246,PMT($K$5/360*Días,A246,-AA246)))</f>
        <v/>
      </c>
      <c r="AH246" s="122" t="str">
        <f>IF(A246&lt;=Periodos_Gracia,0,IF($U$258&lt;=0,AG246,IF(SUM($U$18:U246)&lt;=0,AF246,PMT($K$5/360*Días,No._de_Pagos,-Monto_Crédito)-AC246-AD246)))</f>
        <v/>
      </c>
      <c r="AI246" s="126" t="str">
        <f t="shared" si="107"/>
        <v/>
      </c>
      <c r="AK246" s="127" t="str">
        <f>IF(A246="","",IF(Periodos_Gracia&gt;0,Tabla!AN246,V246+S246))</f>
        <v/>
      </c>
      <c r="AL246" s="127" t="str">
        <f t="shared" si="97"/>
        <v/>
      </c>
      <c r="AM246" s="62" t="str">
        <f t="shared" si="108"/>
        <v/>
      </c>
      <c r="AN246" s="128" t="str">
        <f>IF(A246="","",IF(A246&lt;=Periodos_Gracia,Tabla!S246,PPMT(Tasa_Anual/360*Días*(1+I.V.A.),Tabla!AM246,No._De_Pagos_con_periodo_de_gracia,-Monto_Crédito)+S246))</f>
        <v/>
      </c>
      <c r="AO246" s="128" t="str">
        <f>IF(A246="","",IF(A246&lt;=Periodos_Gracia,Tabla!AC246,Monto_Crédito/(No._De_Pagos_con_periodo_de_gracia)+AC246))</f>
        <v/>
      </c>
      <c r="AP246" s="118"/>
    </row>
    <row r="247" spans="1:42">
      <c r="A247" s="108" t="str">
        <f>IF(A246&lt;Parámetros!$E$6,A246+1,"")</f>
        <v/>
      </c>
      <c r="B247" s="109" t="str">
        <f t="shared" si="109"/>
        <v/>
      </c>
      <c r="C247" s="109" t="str">
        <f t="shared" si="85"/>
        <v/>
      </c>
      <c r="D247" s="109" t="str">
        <f t="shared" si="86"/>
        <v/>
      </c>
      <c r="E247" s="109" t="str">
        <f t="shared" si="87"/>
        <v/>
      </c>
      <c r="F247" s="109" t="str">
        <f t="shared" si="88"/>
        <v/>
      </c>
      <c r="G247" s="115" t="str">
        <f t="shared" si="98"/>
        <v/>
      </c>
      <c r="H247" s="116">
        <f t="shared" si="99"/>
        <v>0</v>
      </c>
      <c r="I247" s="109" t="str">
        <f t="shared" si="110"/>
        <v/>
      </c>
      <c r="J247" s="109" t="str">
        <f t="shared" si="89"/>
        <v/>
      </c>
      <c r="K247" s="109" t="str">
        <f t="shared" si="90"/>
        <v/>
      </c>
      <c r="L247" s="109" t="str">
        <f t="shared" si="91"/>
        <v/>
      </c>
      <c r="M247" s="109" t="str">
        <f t="shared" si="100"/>
        <v/>
      </c>
      <c r="N247" s="115" t="str">
        <f t="shared" si="101"/>
        <v/>
      </c>
      <c r="O247" s="61">
        <v>0</v>
      </c>
      <c r="P247" s="117">
        <f t="shared" si="102"/>
        <v>0</v>
      </c>
      <c r="R247" s="118" t="str">
        <f t="shared" si="112"/>
        <v/>
      </c>
      <c r="S247" s="119" t="str">
        <f t="shared" si="92"/>
        <v/>
      </c>
      <c r="T247" s="119" t="str">
        <f t="shared" si="93"/>
        <v/>
      </c>
      <c r="U247" s="120">
        <f t="shared" si="103"/>
        <v>0</v>
      </c>
      <c r="V247" s="121" t="str">
        <f>IF(A247="","",IF(A247&lt;=Periodos_Gracia,0,PPMT(Tasa_Anual/360*Días*(1+I.V.A.),Tabla!AM247,No._De_Pagos_con_periodo_de_gracia,-Monto_Crédito)))</f>
        <v/>
      </c>
      <c r="W247" s="111" t="str">
        <f>IF($U$258&lt;=0,V247,IF(SUM($U$18:U247)&lt;=0,V247,PMT($K$5/360*Días,A247,-R247)))</f>
        <v/>
      </c>
      <c r="X247" s="122" t="str">
        <f>IF($U$258&lt;=0,W247,IF(SUM($U$18:U247)&lt;=0,V247,PMT($K$5/360*Días,No._De_Pagos_con_periodo_de_gracia,-Monto_Crédito)-S247-T247))</f>
        <v/>
      </c>
      <c r="Y247" s="118" t="str">
        <f t="shared" si="104"/>
        <v/>
      </c>
      <c r="Z247" s="62" t="str">
        <f>+IF(A247="","",IF(No._de_Pagos-Tabla!A247+1&lt;=0,"",No._de_Pagos-Tabla!A247+1))</f>
        <v/>
      </c>
      <c r="AA247" s="123" t="str">
        <f t="shared" si="105"/>
        <v/>
      </c>
      <c r="AB247" s="125" t="str">
        <f t="shared" si="111"/>
        <v/>
      </c>
      <c r="AC247" s="125" t="str">
        <f t="shared" si="94"/>
        <v/>
      </c>
      <c r="AD247" s="125" t="str">
        <f t="shared" si="95"/>
        <v/>
      </c>
      <c r="AE247" s="120">
        <f t="shared" si="106"/>
        <v>0</v>
      </c>
      <c r="AF247" s="121" t="str">
        <f t="shared" si="96"/>
        <v/>
      </c>
      <c r="AG247" s="111" t="str">
        <f>IF($U$258&lt;=0,AF247,IF(SUM($U$18:U247)&lt;=0,AF247,PMT($K$5/360*Días,A247,-AA247)))</f>
        <v/>
      </c>
      <c r="AH247" s="122" t="str">
        <f>IF(A247&lt;=Periodos_Gracia,0,IF($U$258&lt;=0,AG247,IF(SUM($U$18:U247)&lt;=0,AF247,PMT($K$5/360*Días,No._de_Pagos,-Monto_Crédito)-AC247-AD247)))</f>
        <v/>
      </c>
      <c r="AI247" s="126" t="str">
        <f t="shared" si="107"/>
        <v/>
      </c>
      <c r="AK247" s="127" t="str">
        <f>IF(A247="","",IF(Periodos_Gracia&gt;0,Tabla!AN247,V247+S247))</f>
        <v/>
      </c>
      <c r="AL247" s="127" t="str">
        <f t="shared" si="97"/>
        <v/>
      </c>
      <c r="AM247" s="62" t="str">
        <f t="shared" si="108"/>
        <v/>
      </c>
      <c r="AN247" s="128" t="str">
        <f>IF(A247="","",IF(A247&lt;=Periodos_Gracia,Tabla!S247,PPMT(Tasa_Anual/360*Días*(1+I.V.A.),Tabla!AM247,No._De_Pagos_con_periodo_de_gracia,-Monto_Crédito)+S247))</f>
        <v/>
      </c>
      <c r="AO247" s="128" t="str">
        <f>IF(A247="","",IF(A247&lt;=Periodos_Gracia,Tabla!AC247,Monto_Crédito/(No._De_Pagos_con_periodo_de_gracia)+AC247))</f>
        <v/>
      </c>
      <c r="AP247" s="118"/>
    </row>
    <row r="248" spans="1:42">
      <c r="A248" s="108" t="str">
        <f>IF(A247&lt;Parámetros!$E$6,A247+1,"")</f>
        <v/>
      </c>
      <c r="B248" s="109" t="str">
        <f t="shared" si="109"/>
        <v/>
      </c>
      <c r="C248" s="109" t="str">
        <f t="shared" si="85"/>
        <v/>
      </c>
      <c r="D248" s="109" t="str">
        <f t="shared" si="86"/>
        <v/>
      </c>
      <c r="E248" s="109" t="str">
        <f t="shared" si="87"/>
        <v/>
      </c>
      <c r="F248" s="109" t="str">
        <f t="shared" si="88"/>
        <v/>
      </c>
      <c r="G248" s="115" t="str">
        <f t="shared" si="98"/>
        <v/>
      </c>
      <c r="H248" s="116">
        <f t="shared" si="99"/>
        <v>0</v>
      </c>
      <c r="I248" s="109" t="str">
        <f t="shared" si="110"/>
        <v/>
      </c>
      <c r="J248" s="109" t="str">
        <f t="shared" si="89"/>
        <v/>
      </c>
      <c r="K248" s="109" t="str">
        <f t="shared" si="90"/>
        <v/>
      </c>
      <c r="L248" s="109" t="str">
        <f t="shared" si="91"/>
        <v/>
      </c>
      <c r="M248" s="109" t="str">
        <f t="shared" si="100"/>
        <v/>
      </c>
      <c r="N248" s="115" t="str">
        <f t="shared" si="101"/>
        <v/>
      </c>
      <c r="O248" s="61">
        <v>0</v>
      </c>
      <c r="P248" s="117">
        <f t="shared" si="102"/>
        <v>0</v>
      </c>
      <c r="R248" s="118" t="str">
        <f t="shared" si="112"/>
        <v/>
      </c>
      <c r="S248" s="119" t="str">
        <f t="shared" si="92"/>
        <v/>
      </c>
      <c r="T248" s="119" t="str">
        <f t="shared" si="93"/>
        <v/>
      </c>
      <c r="U248" s="120">
        <f t="shared" si="103"/>
        <v>0</v>
      </c>
      <c r="V248" s="121" t="str">
        <f>IF(A248="","",IF(A248&lt;=Periodos_Gracia,0,PPMT(Tasa_Anual/360*Días*(1+I.V.A.),Tabla!AM248,No._De_Pagos_con_periodo_de_gracia,-Monto_Crédito)))</f>
        <v/>
      </c>
      <c r="W248" s="111" t="str">
        <f>IF($U$258&lt;=0,V248,IF(SUM($U$18:U248)&lt;=0,V248,PMT($K$5/360*Días,A248,-R248)))</f>
        <v/>
      </c>
      <c r="X248" s="122" t="str">
        <f>IF($U$258&lt;=0,W248,IF(SUM($U$18:U248)&lt;=0,V248,PMT($K$5/360*Días,No._De_Pagos_con_periodo_de_gracia,-Monto_Crédito)-S248-T248))</f>
        <v/>
      </c>
      <c r="Y248" s="118" t="str">
        <f t="shared" si="104"/>
        <v/>
      </c>
      <c r="Z248" s="62" t="str">
        <f>+IF(A248="","",IF(No._de_Pagos-Tabla!A248+1&lt;=0,"",No._de_Pagos-Tabla!A248+1))</f>
        <v/>
      </c>
      <c r="AA248" s="123" t="str">
        <f t="shared" si="105"/>
        <v/>
      </c>
      <c r="AB248" s="125" t="str">
        <f t="shared" si="111"/>
        <v/>
      </c>
      <c r="AC248" s="125" t="str">
        <f t="shared" si="94"/>
        <v/>
      </c>
      <c r="AD248" s="125" t="str">
        <f t="shared" si="95"/>
        <v/>
      </c>
      <c r="AE248" s="120">
        <f t="shared" si="106"/>
        <v>0</v>
      </c>
      <c r="AF248" s="121" t="str">
        <f t="shared" si="96"/>
        <v/>
      </c>
      <c r="AG248" s="111" t="str">
        <f>IF($U$258&lt;=0,AF248,IF(SUM($U$18:U248)&lt;=0,AF248,PMT($K$5/360*Días,A248,-AA248)))</f>
        <v/>
      </c>
      <c r="AH248" s="122" t="str">
        <f>IF(A248&lt;=Periodos_Gracia,0,IF($U$258&lt;=0,AG248,IF(SUM($U$18:U248)&lt;=0,AF248,PMT($K$5/360*Días,No._de_Pagos,-Monto_Crédito)-AC248-AD248)))</f>
        <v/>
      </c>
      <c r="AI248" s="126" t="str">
        <f t="shared" si="107"/>
        <v/>
      </c>
      <c r="AK248" s="127" t="str">
        <f>IF(A248="","",IF(Periodos_Gracia&gt;0,Tabla!AN248,V248+S248))</f>
        <v/>
      </c>
      <c r="AL248" s="127" t="str">
        <f t="shared" si="97"/>
        <v/>
      </c>
      <c r="AM248" s="62" t="str">
        <f t="shared" si="108"/>
        <v/>
      </c>
      <c r="AN248" s="128" t="str">
        <f>IF(A248="","",IF(A248&lt;=Periodos_Gracia,Tabla!S248,PPMT(Tasa_Anual/360*Días*(1+I.V.A.),Tabla!AM248,No._De_Pagos_con_periodo_de_gracia,-Monto_Crédito)+S248))</f>
        <v/>
      </c>
      <c r="AO248" s="128" t="str">
        <f>IF(A248="","",IF(A248&lt;=Periodos_Gracia,Tabla!AC248,Monto_Crédito/(No._De_Pagos_con_periodo_de_gracia)+AC248))</f>
        <v/>
      </c>
      <c r="AP248" s="118"/>
    </row>
    <row r="249" spans="1:42">
      <c r="A249" s="108" t="str">
        <f>IF(A248&lt;Parámetros!$E$6,A248+1,"")</f>
        <v/>
      </c>
      <c r="B249" s="109" t="str">
        <f t="shared" si="109"/>
        <v/>
      </c>
      <c r="C249" s="109" t="str">
        <f t="shared" si="85"/>
        <v/>
      </c>
      <c r="D249" s="109" t="str">
        <f t="shared" si="86"/>
        <v/>
      </c>
      <c r="E249" s="109" t="str">
        <f t="shared" si="87"/>
        <v/>
      </c>
      <c r="F249" s="109" t="str">
        <f t="shared" si="88"/>
        <v/>
      </c>
      <c r="G249" s="115" t="str">
        <f t="shared" si="98"/>
        <v/>
      </c>
      <c r="H249" s="116">
        <f t="shared" si="99"/>
        <v>0</v>
      </c>
      <c r="I249" s="109" t="str">
        <f t="shared" si="110"/>
        <v/>
      </c>
      <c r="J249" s="109" t="str">
        <f t="shared" si="89"/>
        <v/>
      </c>
      <c r="K249" s="109" t="str">
        <f t="shared" si="90"/>
        <v/>
      </c>
      <c r="L249" s="109" t="str">
        <f t="shared" si="91"/>
        <v/>
      </c>
      <c r="M249" s="109" t="str">
        <f t="shared" si="100"/>
        <v/>
      </c>
      <c r="N249" s="115" t="str">
        <f t="shared" si="101"/>
        <v/>
      </c>
      <c r="O249" s="61">
        <v>0</v>
      </c>
      <c r="P249" s="117">
        <f t="shared" si="102"/>
        <v>0</v>
      </c>
      <c r="R249" s="118" t="str">
        <f t="shared" si="112"/>
        <v/>
      </c>
      <c r="S249" s="119" t="str">
        <f t="shared" si="92"/>
        <v/>
      </c>
      <c r="T249" s="119" t="str">
        <f t="shared" si="93"/>
        <v/>
      </c>
      <c r="U249" s="120">
        <f t="shared" si="103"/>
        <v>0</v>
      </c>
      <c r="V249" s="121" t="str">
        <f>IF(A249="","",IF(A249&lt;=Periodos_Gracia,0,PPMT(Tasa_Anual/360*Días*(1+I.V.A.),Tabla!AM249,No._De_Pagos_con_periodo_de_gracia,-Monto_Crédito)))</f>
        <v/>
      </c>
      <c r="W249" s="111" t="str">
        <f>IF($U$258&lt;=0,V249,IF(SUM($U$18:U249)&lt;=0,V249,PMT($K$5/360*Días,A249,-R249)))</f>
        <v/>
      </c>
      <c r="X249" s="122" t="str">
        <f>IF($U$258&lt;=0,W249,IF(SUM($U$18:U249)&lt;=0,V249,PMT($K$5/360*Días,No._De_Pagos_con_periodo_de_gracia,-Monto_Crédito)-S249-T249))</f>
        <v/>
      </c>
      <c r="Y249" s="118" t="str">
        <f t="shared" si="104"/>
        <v/>
      </c>
      <c r="Z249" s="62" t="str">
        <f>+IF(A249="","",IF(No._de_Pagos-Tabla!A249+1&lt;=0,"",No._de_Pagos-Tabla!A249+1))</f>
        <v/>
      </c>
      <c r="AA249" s="123" t="str">
        <f t="shared" si="105"/>
        <v/>
      </c>
      <c r="AB249" s="125" t="str">
        <f t="shared" si="111"/>
        <v/>
      </c>
      <c r="AC249" s="125" t="str">
        <f t="shared" si="94"/>
        <v/>
      </c>
      <c r="AD249" s="125" t="str">
        <f t="shared" si="95"/>
        <v/>
      </c>
      <c r="AE249" s="120">
        <f t="shared" si="106"/>
        <v>0</v>
      </c>
      <c r="AF249" s="121" t="str">
        <f t="shared" si="96"/>
        <v/>
      </c>
      <c r="AG249" s="111" t="str">
        <f>IF($U$258&lt;=0,AF249,IF(SUM($U$18:U249)&lt;=0,AF249,PMT($K$5/360*Días,A249,-AA249)))</f>
        <v/>
      </c>
      <c r="AH249" s="122" t="str">
        <f>IF(A249&lt;=Periodos_Gracia,0,IF($U$258&lt;=0,AG249,IF(SUM($U$18:U249)&lt;=0,AF249,PMT($K$5/360*Días,No._de_Pagos,-Monto_Crédito)-AC249-AD249)))</f>
        <v/>
      </c>
      <c r="AI249" s="126" t="str">
        <f t="shared" si="107"/>
        <v/>
      </c>
      <c r="AK249" s="127" t="str">
        <f>IF(A249="","",IF(Periodos_Gracia&gt;0,Tabla!AN249,V249+S249))</f>
        <v/>
      </c>
      <c r="AL249" s="127" t="str">
        <f t="shared" si="97"/>
        <v/>
      </c>
      <c r="AM249" s="62" t="str">
        <f t="shared" si="108"/>
        <v/>
      </c>
      <c r="AN249" s="128" t="str">
        <f>IF(A249="","",IF(A249&lt;=Periodos_Gracia,Tabla!S249,PPMT(Tasa_Anual/360*Días*(1+I.V.A.),Tabla!AM249,No._De_Pagos_con_periodo_de_gracia,-Monto_Crédito)+S249))</f>
        <v/>
      </c>
      <c r="AO249" s="128" t="str">
        <f>IF(A249="","",IF(A249&lt;=Periodos_Gracia,Tabla!AC249,Monto_Crédito/(No._De_Pagos_con_periodo_de_gracia)+AC249))</f>
        <v/>
      </c>
      <c r="AP249" s="118"/>
    </row>
    <row r="250" spans="1:42">
      <c r="A250" s="108" t="str">
        <f>IF(A249&lt;Parámetros!$E$6,A249+1,"")</f>
        <v/>
      </c>
      <c r="B250" s="109" t="str">
        <f t="shared" si="109"/>
        <v/>
      </c>
      <c r="C250" s="109" t="str">
        <f t="shared" si="85"/>
        <v/>
      </c>
      <c r="D250" s="109" t="str">
        <f t="shared" si="86"/>
        <v/>
      </c>
      <c r="E250" s="109" t="str">
        <f t="shared" si="87"/>
        <v/>
      </c>
      <c r="F250" s="109" t="str">
        <f t="shared" si="88"/>
        <v/>
      </c>
      <c r="G250" s="115" t="str">
        <f t="shared" si="98"/>
        <v/>
      </c>
      <c r="H250" s="116">
        <f t="shared" si="99"/>
        <v>0</v>
      </c>
      <c r="I250" s="109" t="str">
        <f t="shared" si="110"/>
        <v/>
      </c>
      <c r="J250" s="109" t="str">
        <f t="shared" si="89"/>
        <v/>
      </c>
      <c r="K250" s="109" t="str">
        <f t="shared" si="90"/>
        <v/>
      </c>
      <c r="L250" s="109" t="str">
        <f t="shared" si="91"/>
        <v/>
      </c>
      <c r="M250" s="109" t="str">
        <f t="shared" si="100"/>
        <v/>
      </c>
      <c r="N250" s="115" t="str">
        <f t="shared" si="101"/>
        <v/>
      </c>
      <c r="O250" s="61">
        <v>0</v>
      </c>
      <c r="P250" s="117">
        <f t="shared" si="102"/>
        <v>0</v>
      </c>
      <c r="R250" s="118" t="str">
        <f t="shared" si="112"/>
        <v/>
      </c>
      <c r="S250" s="119" t="str">
        <f t="shared" si="92"/>
        <v/>
      </c>
      <c r="T250" s="119" t="str">
        <f t="shared" si="93"/>
        <v/>
      </c>
      <c r="U250" s="120">
        <f t="shared" si="103"/>
        <v>0</v>
      </c>
      <c r="V250" s="121" t="str">
        <f>IF(A250="","",IF(A250&lt;=Periodos_Gracia,0,PPMT(Tasa_Anual/360*Días*(1+I.V.A.),Tabla!AM250,No._De_Pagos_con_periodo_de_gracia,-Monto_Crédito)))</f>
        <v/>
      </c>
      <c r="W250" s="111" t="str">
        <f>IF($U$258&lt;=0,V250,IF(SUM($U$18:U250)&lt;=0,V250,PMT($K$5/360*Días,A250,-R250)))</f>
        <v/>
      </c>
      <c r="X250" s="122" t="str">
        <f>IF($U$258&lt;=0,W250,IF(SUM($U$18:U250)&lt;=0,V250,PMT($K$5/360*Días,No._De_Pagos_con_periodo_de_gracia,-Monto_Crédito)-S250-T250))</f>
        <v/>
      </c>
      <c r="Y250" s="118" t="str">
        <f t="shared" si="104"/>
        <v/>
      </c>
      <c r="Z250" s="62" t="str">
        <f>+IF(A250="","",IF(No._de_Pagos-Tabla!A250+1&lt;=0,"",No._de_Pagos-Tabla!A250+1))</f>
        <v/>
      </c>
      <c r="AA250" s="123" t="str">
        <f t="shared" si="105"/>
        <v/>
      </c>
      <c r="AB250" s="125" t="str">
        <f t="shared" si="111"/>
        <v/>
      </c>
      <c r="AC250" s="125" t="str">
        <f t="shared" si="94"/>
        <v/>
      </c>
      <c r="AD250" s="125" t="str">
        <f t="shared" si="95"/>
        <v/>
      </c>
      <c r="AE250" s="120">
        <f t="shared" si="106"/>
        <v>0</v>
      </c>
      <c r="AF250" s="121" t="str">
        <f t="shared" si="96"/>
        <v/>
      </c>
      <c r="AG250" s="111" t="str">
        <f>IF($U$258&lt;=0,AF250,IF(SUM($U$18:U250)&lt;=0,AF250,PMT($K$5/360*Días,A250,-AA250)))</f>
        <v/>
      </c>
      <c r="AH250" s="122" t="str">
        <f>IF(A250&lt;=Periodos_Gracia,0,IF($U$258&lt;=0,AG250,IF(SUM($U$18:U250)&lt;=0,AF250,PMT($K$5/360*Días,No._de_Pagos,-Monto_Crédito)-AC250-AD250)))</f>
        <v/>
      </c>
      <c r="AI250" s="126" t="str">
        <f t="shared" si="107"/>
        <v/>
      </c>
      <c r="AK250" s="127" t="str">
        <f>IF(A250="","",IF(Periodos_Gracia&gt;0,Tabla!AN250,V250+S250))</f>
        <v/>
      </c>
      <c r="AL250" s="127" t="str">
        <f t="shared" si="97"/>
        <v/>
      </c>
      <c r="AM250" s="62" t="str">
        <f t="shared" si="108"/>
        <v/>
      </c>
      <c r="AN250" s="128" t="str">
        <f>IF(A250="","",IF(A250&lt;=Periodos_Gracia,Tabla!S250,PPMT(Tasa_Anual/360*Días*(1+I.V.A.),Tabla!AM250,No._De_Pagos_con_periodo_de_gracia,-Monto_Crédito)+S250))</f>
        <v/>
      </c>
      <c r="AO250" s="128" t="str">
        <f>IF(A250="","",IF(A250&lt;=Periodos_Gracia,Tabla!AC250,Monto_Crédito/(No._De_Pagos_con_periodo_de_gracia)+AC250))</f>
        <v/>
      </c>
      <c r="AP250" s="118"/>
    </row>
    <row r="251" spans="1:42">
      <c r="A251" s="108" t="str">
        <f>IF(A250&lt;Parámetros!$E$6,A250+1,"")</f>
        <v/>
      </c>
      <c r="B251" s="109" t="str">
        <f t="shared" si="109"/>
        <v/>
      </c>
      <c r="C251" s="109" t="str">
        <f t="shared" si="85"/>
        <v/>
      </c>
      <c r="D251" s="109" t="str">
        <f t="shared" si="86"/>
        <v/>
      </c>
      <c r="E251" s="109" t="str">
        <f t="shared" si="87"/>
        <v/>
      </c>
      <c r="F251" s="109" t="str">
        <f t="shared" si="88"/>
        <v/>
      </c>
      <c r="G251" s="115" t="str">
        <f t="shared" si="98"/>
        <v/>
      </c>
      <c r="H251" s="116">
        <f t="shared" si="99"/>
        <v>0</v>
      </c>
      <c r="I251" s="109" t="str">
        <f t="shared" si="110"/>
        <v/>
      </c>
      <c r="J251" s="109" t="str">
        <f t="shared" si="89"/>
        <v/>
      </c>
      <c r="K251" s="109" t="str">
        <f t="shared" si="90"/>
        <v/>
      </c>
      <c r="L251" s="109" t="str">
        <f t="shared" si="91"/>
        <v/>
      </c>
      <c r="M251" s="109" t="str">
        <f t="shared" si="100"/>
        <v/>
      </c>
      <c r="N251" s="115" t="str">
        <f t="shared" si="101"/>
        <v/>
      </c>
      <c r="O251" s="61">
        <v>0</v>
      </c>
      <c r="P251" s="117">
        <f t="shared" si="102"/>
        <v>0</v>
      </c>
      <c r="R251" s="118" t="str">
        <f t="shared" si="112"/>
        <v/>
      </c>
      <c r="S251" s="119" t="str">
        <f t="shared" si="92"/>
        <v/>
      </c>
      <c r="T251" s="119" t="str">
        <f t="shared" si="93"/>
        <v/>
      </c>
      <c r="U251" s="120">
        <f t="shared" si="103"/>
        <v>0</v>
      </c>
      <c r="V251" s="121" t="str">
        <f>IF(A251="","",IF(A251&lt;=Periodos_Gracia,0,PPMT(Tasa_Anual/360*Días*(1+I.V.A.),Tabla!AM251,No._De_Pagos_con_periodo_de_gracia,-Monto_Crédito)))</f>
        <v/>
      </c>
      <c r="W251" s="111" t="str">
        <f>IF($U$258&lt;=0,V251,IF(SUM($U$18:U251)&lt;=0,V251,PMT($K$5/360*Días,A251,-R251)))</f>
        <v/>
      </c>
      <c r="X251" s="122" t="str">
        <f>IF($U$258&lt;=0,W251,IF(SUM($U$18:U251)&lt;=0,V251,PMT($K$5/360*Días,No._De_Pagos_con_periodo_de_gracia,-Monto_Crédito)-S251-T251))</f>
        <v/>
      </c>
      <c r="Y251" s="118" t="str">
        <f t="shared" si="104"/>
        <v/>
      </c>
      <c r="Z251" s="62" t="str">
        <f>+IF(A251="","",IF(No._de_Pagos-Tabla!A251+1&lt;=0,"",No._de_Pagos-Tabla!A251+1))</f>
        <v/>
      </c>
      <c r="AA251" s="123" t="str">
        <f t="shared" si="105"/>
        <v/>
      </c>
      <c r="AB251" s="125" t="str">
        <f t="shared" si="111"/>
        <v/>
      </c>
      <c r="AC251" s="125" t="str">
        <f t="shared" si="94"/>
        <v/>
      </c>
      <c r="AD251" s="125" t="str">
        <f t="shared" si="95"/>
        <v/>
      </c>
      <c r="AE251" s="120">
        <f t="shared" si="106"/>
        <v>0</v>
      </c>
      <c r="AF251" s="121" t="str">
        <f t="shared" si="96"/>
        <v/>
      </c>
      <c r="AG251" s="111" t="str">
        <f>IF($U$258&lt;=0,AF251,IF(SUM($U$18:U251)&lt;=0,AF251,PMT($K$5/360*Días,A251,-AA251)))</f>
        <v/>
      </c>
      <c r="AH251" s="122" t="str">
        <f>IF(A251&lt;=Periodos_Gracia,0,IF($U$258&lt;=0,AG251,IF(SUM($U$18:U251)&lt;=0,AF251,PMT($K$5/360*Días,No._de_Pagos,-Monto_Crédito)-AC251-AD251)))</f>
        <v/>
      </c>
      <c r="AI251" s="126" t="str">
        <f t="shared" si="107"/>
        <v/>
      </c>
      <c r="AK251" s="127" t="str">
        <f>IF(A251="","",IF(Periodos_Gracia&gt;0,Tabla!AN251,V251+S251))</f>
        <v/>
      </c>
      <c r="AL251" s="127" t="str">
        <f t="shared" si="97"/>
        <v/>
      </c>
      <c r="AM251" s="62" t="str">
        <f t="shared" si="108"/>
        <v/>
      </c>
      <c r="AN251" s="128" t="str">
        <f>IF(A251="","",IF(A251&lt;=Periodos_Gracia,Tabla!S251,PPMT(Tasa_Anual/360*Días*(1+I.V.A.),Tabla!AM251,No._De_Pagos_con_periodo_de_gracia,-Monto_Crédito)+S251))</f>
        <v/>
      </c>
      <c r="AO251" s="128" t="str">
        <f>IF(A251="","",IF(A251&lt;=Periodos_Gracia,Tabla!AC251,Monto_Crédito/(No._De_Pagos_con_periodo_de_gracia)+AC251))</f>
        <v/>
      </c>
      <c r="AP251" s="118"/>
    </row>
    <row r="252" spans="1:42">
      <c r="A252" s="108" t="str">
        <f>IF(A251&lt;Parámetros!$E$6,A251+1,"")</f>
        <v/>
      </c>
      <c r="B252" s="109" t="str">
        <f t="shared" si="109"/>
        <v/>
      </c>
      <c r="C252" s="109" t="str">
        <f t="shared" si="85"/>
        <v/>
      </c>
      <c r="D252" s="109" t="str">
        <f t="shared" si="86"/>
        <v/>
      </c>
      <c r="E252" s="109" t="str">
        <f t="shared" si="87"/>
        <v/>
      </c>
      <c r="F252" s="109" t="str">
        <f t="shared" si="88"/>
        <v/>
      </c>
      <c r="G252" s="115" t="str">
        <f t="shared" si="98"/>
        <v/>
      </c>
      <c r="H252" s="116">
        <f t="shared" si="99"/>
        <v>0</v>
      </c>
      <c r="I252" s="109" t="str">
        <f t="shared" si="110"/>
        <v/>
      </c>
      <c r="J252" s="109" t="str">
        <f t="shared" si="89"/>
        <v/>
      </c>
      <c r="K252" s="109" t="str">
        <f t="shared" si="90"/>
        <v/>
      </c>
      <c r="L252" s="109" t="str">
        <f t="shared" si="91"/>
        <v/>
      </c>
      <c r="M252" s="109" t="str">
        <f t="shared" si="100"/>
        <v/>
      </c>
      <c r="N252" s="115" t="str">
        <f t="shared" si="101"/>
        <v/>
      </c>
      <c r="O252" s="61">
        <v>0</v>
      </c>
      <c r="P252" s="117">
        <f t="shared" si="102"/>
        <v>0</v>
      </c>
      <c r="R252" s="118" t="str">
        <f t="shared" si="112"/>
        <v/>
      </c>
      <c r="S252" s="119" t="str">
        <f t="shared" si="92"/>
        <v/>
      </c>
      <c r="T252" s="119" t="str">
        <f t="shared" si="93"/>
        <v/>
      </c>
      <c r="U252" s="120">
        <f t="shared" si="103"/>
        <v>0</v>
      </c>
      <c r="V252" s="121" t="str">
        <f>IF(A252="","",IF(A252&lt;=Periodos_Gracia,0,PPMT(Tasa_Anual/360*Días*(1+I.V.A.),Tabla!AM252,No._De_Pagos_con_periodo_de_gracia,-Monto_Crédito)))</f>
        <v/>
      </c>
      <c r="W252" s="111" t="str">
        <f>IF($U$258&lt;=0,V252,IF(SUM($U$18:U252)&lt;=0,V252,PMT($K$5/360*Días,A252,-R252)))</f>
        <v/>
      </c>
      <c r="X252" s="122" t="str">
        <f>IF($U$258&lt;=0,W252,IF(SUM($U$18:U252)&lt;=0,V252,PMT($K$5/360*Días,No._De_Pagos_con_periodo_de_gracia,-Monto_Crédito)-S252-T252))</f>
        <v/>
      </c>
      <c r="Y252" s="118" t="str">
        <f t="shared" si="104"/>
        <v/>
      </c>
      <c r="Z252" s="62" t="str">
        <f>+IF(A252="","",IF(No._de_Pagos-Tabla!A252+1&lt;=0,"",No._de_Pagos-Tabla!A252+1))</f>
        <v/>
      </c>
      <c r="AA252" s="123" t="str">
        <f t="shared" si="105"/>
        <v/>
      </c>
      <c r="AB252" s="125" t="str">
        <f t="shared" si="111"/>
        <v/>
      </c>
      <c r="AC252" s="125" t="str">
        <f t="shared" si="94"/>
        <v/>
      </c>
      <c r="AD252" s="125" t="str">
        <f t="shared" si="95"/>
        <v/>
      </c>
      <c r="AE252" s="120">
        <f t="shared" si="106"/>
        <v>0</v>
      </c>
      <c r="AF252" s="121" t="str">
        <f t="shared" si="96"/>
        <v/>
      </c>
      <c r="AG252" s="111" t="str">
        <f>IF($U$258&lt;=0,AF252,IF(SUM($U$18:U252)&lt;=0,AF252,PMT($K$5/360*Días,A252,-AA252)))</f>
        <v/>
      </c>
      <c r="AH252" s="122" t="str">
        <f>IF(A252&lt;=Periodos_Gracia,0,IF($U$258&lt;=0,AG252,IF(SUM($U$18:U252)&lt;=0,AF252,PMT($K$5/360*Días,No._de_Pagos,-Monto_Crédito)-AC252-AD252)))</f>
        <v/>
      </c>
      <c r="AI252" s="126" t="str">
        <f t="shared" si="107"/>
        <v/>
      </c>
      <c r="AK252" s="127" t="str">
        <f>IF(A252="","",IF(Periodos_Gracia&gt;0,Tabla!AN252,V252+S252))</f>
        <v/>
      </c>
      <c r="AL252" s="127" t="str">
        <f t="shared" si="97"/>
        <v/>
      </c>
      <c r="AM252" s="62" t="str">
        <f t="shared" si="108"/>
        <v/>
      </c>
      <c r="AN252" s="128" t="str">
        <f>IF(A252="","",IF(A252&lt;=Periodos_Gracia,Tabla!S252,PPMT(Tasa_Anual/360*Días*(1+I.V.A.),Tabla!AM252,No._De_Pagos_con_periodo_de_gracia,-Monto_Crédito)+S252))</f>
        <v/>
      </c>
      <c r="AO252" s="128" t="str">
        <f>IF(A252="","",IF(A252&lt;=Periodos_Gracia,Tabla!AC252,Monto_Crédito/(No._De_Pagos_con_periodo_de_gracia)+AC252))</f>
        <v/>
      </c>
      <c r="AP252" s="118"/>
    </row>
    <row r="253" spans="1:42">
      <c r="A253" s="108" t="str">
        <f>IF(A252&lt;Parámetros!$E$6,A252+1,"")</f>
        <v/>
      </c>
      <c r="B253" s="109" t="str">
        <f t="shared" si="109"/>
        <v/>
      </c>
      <c r="C253" s="109" t="str">
        <f t="shared" si="85"/>
        <v/>
      </c>
      <c r="D253" s="109" t="str">
        <f t="shared" si="86"/>
        <v/>
      </c>
      <c r="E253" s="109" t="str">
        <f t="shared" si="87"/>
        <v/>
      </c>
      <c r="F253" s="109" t="str">
        <f t="shared" si="88"/>
        <v/>
      </c>
      <c r="G253" s="115" t="str">
        <f t="shared" si="98"/>
        <v/>
      </c>
      <c r="H253" s="116">
        <f t="shared" si="99"/>
        <v>0</v>
      </c>
      <c r="I253" s="109" t="str">
        <f t="shared" si="110"/>
        <v/>
      </c>
      <c r="J253" s="109" t="str">
        <f t="shared" si="89"/>
        <v/>
      </c>
      <c r="K253" s="109" t="str">
        <f t="shared" si="90"/>
        <v/>
      </c>
      <c r="L253" s="109" t="str">
        <f t="shared" si="91"/>
        <v/>
      </c>
      <c r="M253" s="109" t="str">
        <f t="shared" si="100"/>
        <v/>
      </c>
      <c r="N253" s="115" t="str">
        <f t="shared" si="101"/>
        <v/>
      </c>
      <c r="O253" s="61">
        <v>0</v>
      </c>
      <c r="P253" s="117">
        <f t="shared" si="102"/>
        <v>0</v>
      </c>
      <c r="R253" s="118" t="str">
        <f t="shared" si="112"/>
        <v/>
      </c>
      <c r="S253" s="119" t="str">
        <f t="shared" si="92"/>
        <v/>
      </c>
      <c r="T253" s="119" t="str">
        <f t="shared" si="93"/>
        <v/>
      </c>
      <c r="U253" s="120">
        <f t="shared" si="103"/>
        <v>0</v>
      </c>
      <c r="V253" s="121" t="str">
        <f>IF(A253="","",IF(A253&lt;=Periodos_Gracia,0,PPMT(Tasa_Anual/360*Días*(1+I.V.A.),Tabla!AM253,No._De_Pagos_con_periodo_de_gracia,-Monto_Crédito)))</f>
        <v/>
      </c>
      <c r="W253" s="111" t="str">
        <f>IF($U$258&lt;=0,V253,IF(SUM($U$18:U253)&lt;=0,V253,PMT($K$5/360*Días,A253,-R253)))</f>
        <v/>
      </c>
      <c r="X253" s="122" t="str">
        <f>IF($U$258&lt;=0,W253,IF(SUM($U$18:U253)&lt;=0,V253,PMT($K$5/360*Días,No._De_Pagos_con_periodo_de_gracia,-Monto_Crédito)-S253-T253))</f>
        <v/>
      </c>
      <c r="Y253" s="118" t="str">
        <f t="shared" si="104"/>
        <v/>
      </c>
      <c r="Z253" s="62" t="str">
        <f>+IF(A253="","",IF(No._de_Pagos-Tabla!A253+1&lt;=0,"",No._de_Pagos-Tabla!A253+1))</f>
        <v/>
      </c>
      <c r="AA253" s="123" t="str">
        <f t="shared" si="105"/>
        <v/>
      </c>
      <c r="AB253" s="125" t="str">
        <f t="shared" si="111"/>
        <v/>
      </c>
      <c r="AC253" s="125" t="str">
        <f t="shared" si="94"/>
        <v/>
      </c>
      <c r="AD253" s="125" t="str">
        <f t="shared" si="95"/>
        <v/>
      </c>
      <c r="AE253" s="120">
        <f t="shared" si="106"/>
        <v>0</v>
      </c>
      <c r="AF253" s="121" t="str">
        <f t="shared" si="96"/>
        <v/>
      </c>
      <c r="AG253" s="111" t="str">
        <f>IF($U$258&lt;=0,AF253,IF(SUM($U$18:U253)&lt;=0,AF253,PMT($K$5/360*Días,A253,-AA253)))</f>
        <v/>
      </c>
      <c r="AH253" s="122" t="str">
        <f>IF(A253&lt;=Periodos_Gracia,0,IF($U$258&lt;=0,AG253,IF(SUM($U$18:U253)&lt;=0,AF253,PMT($K$5/360*Días,No._de_Pagos,-Monto_Crédito)-AC253-AD253)))</f>
        <v/>
      </c>
      <c r="AI253" s="126" t="str">
        <f t="shared" si="107"/>
        <v/>
      </c>
      <c r="AK253" s="127" t="str">
        <f>IF(A253="","",IF(Periodos_Gracia&gt;0,Tabla!AN253,V253+S253))</f>
        <v/>
      </c>
      <c r="AL253" s="127" t="str">
        <f t="shared" si="97"/>
        <v/>
      </c>
      <c r="AM253" s="62" t="str">
        <f t="shared" si="108"/>
        <v/>
      </c>
      <c r="AN253" s="128" t="str">
        <f>IF(A253="","",IF(A253&lt;=Periodos_Gracia,Tabla!S253,PPMT(Tasa_Anual/360*Días*(1+I.V.A.),Tabla!AM253,No._De_Pagos_con_periodo_de_gracia,-Monto_Crédito)+S253))</f>
        <v/>
      </c>
      <c r="AO253" s="128" t="str">
        <f>IF(A253="","",IF(A253&lt;=Periodos_Gracia,Tabla!AC253,Monto_Crédito/(No._De_Pagos_con_periodo_de_gracia)+AC253))</f>
        <v/>
      </c>
      <c r="AP253" s="118"/>
    </row>
    <row r="254" spans="1:42">
      <c r="A254" s="108" t="str">
        <f>IF(A253&lt;Parámetros!$E$6,A253+1,"")</f>
        <v/>
      </c>
      <c r="B254" s="109" t="str">
        <f t="shared" si="109"/>
        <v/>
      </c>
      <c r="C254" s="109" t="str">
        <f t="shared" si="85"/>
        <v/>
      </c>
      <c r="D254" s="109" t="str">
        <f t="shared" si="86"/>
        <v/>
      </c>
      <c r="E254" s="109" t="str">
        <f t="shared" si="87"/>
        <v/>
      </c>
      <c r="F254" s="109" t="str">
        <f t="shared" si="88"/>
        <v/>
      </c>
      <c r="G254" s="115" t="str">
        <f t="shared" si="98"/>
        <v/>
      </c>
      <c r="H254" s="116">
        <f t="shared" si="99"/>
        <v>0</v>
      </c>
      <c r="I254" s="109" t="str">
        <f t="shared" si="110"/>
        <v/>
      </c>
      <c r="J254" s="109" t="str">
        <f t="shared" si="89"/>
        <v/>
      </c>
      <c r="K254" s="109" t="str">
        <f t="shared" si="90"/>
        <v/>
      </c>
      <c r="L254" s="109" t="str">
        <f t="shared" si="91"/>
        <v/>
      </c>
      <c r="M254" s="109" t="str">
        <f t="shared" si="100"/>
        <v/>
      </c>
      <c r="N254" s="115" t="str">
        <f t="shared" si="101"/>
        <v/>
      </c>
      <c r="O254" s="61">
        <v>0</v>
      </c>
      <c r="P254" s="117">
        <f t="shared" si="102"/>
        <v>0</v>
      </c>
      <c r="R254" s="118" t="str">
        <f t="shared" si="112"/>
        <v/>
      </c>
      <c r="S254" s="119" t="str">
        <f t="shared" si="92"/>
        <v/>
      </c>
      <c r="T254" s="119" t="str">
        <f t="shared" si="93"/>
        <v/>
      </c>
      <c r="U254" s="120">
        <f t="shared" si="103"/>
        <v>0</v>
      </c>
      <c r="V254" s="121" t="str">
        <f>IF(A254="","",IF(A254&lt;=Periodos_Gracia,0,PPMT(Tasa_Anual/360*Días*(1+I.V.A.),Tabla!AM254,No._De_Pagos_con_periodo_de_gracia,-Monto_Crédito)))</f>
        <v/>
      </c>
      <c r="W254" s="111" t="str">
        <f>IF($U$258&lt;=0,V254,IF(SUM($U$18:U254)&lt;=0,V254,PMT($K$5/360*Días,A254,-R254)))</f>
        <v/>
      </c>
      <c r="X254" s="122" t="str">
        <f>IF($U$258&lt;=0,W254,IF(SUM($U$18:U254)&lt;=0,V254,PMT($K$5/360*Días,No._De_Pagos_con_periodo_de_gracia,-Monto_Crédito)-S254-T254))</f>
        <v/>
      </c>
      <c r="Y254" s="118" t="str">
        <f t="shared" si="104"/>
        <v/>
      </c>
      <c r="Z254" s="62" t="str">
        <f>+IF(A254="","",IF(No._de_Pagos-Tabla!A254+1&lt;=0,"",No._de_Pagos-Tabla!A254+1))</f>
        <v/>
      </c>
      <c r="AA254" s="123" t="str">
        <f t="shared" si="105"/>
        <v/>
      </c>
      <c r="AB254" s="125" t="str">
        <f t="shared" si="111"/>
        <v/>
      </c>
      <c r="AC254" s="125" t="str">
        <f t="shared" si="94"/>
        <v/>
      </c>
      <c r="AD254" s="125" t="str">
        <f t="shared" si="95"/>
        <v/>
      </c>
      <c r="AE254" s="120">
        <f t="shared" si="106"/>
        <v>0</v>
      </c>
      <c r="AF254" s="121" t="str">
        <f t="shared" si="96"/>
        <v/>
      </c>
      <c r="AG254" s="111" t="str">
        <f>IF($U$258&lt;=0,AF254,IF(SUM($U$18:U254)&lt;=0,AF254,PMT($K$5/360*Días,A254,-AA254)))</f>
        <v/>
      </c>
      <c r="AH254" s="122" t="str">
        <f>IF(A254&lt;=Periodos_Gracia,0,IF($U$258&lt;=0,AG254,IF(SUM($U$18:U254)&lt;=0,AF254,PMT($K$5/360*Días,No._de_Pagos,-Monto_Crédito)-AC254-AD254)))</f>
        <v/>
      </c>
      <c r="AI254" s="126" t="str">
        <f t="shared" si="107"/>
        <v/>
      </c>
      <c r="AK254" s="127" t="str">
        <f>IF(A254="","",IF(Periodos_Gracia&gt;0,Tabla!AN254,V254+S254))</f>
        <v/>
      </c>
      <c r="AL254" s="127" t="str">
        <f t="shared" si="97"/>
        <v/>
      </c>
      <c r="AM254" s="62" t="str">
        <f t="shared" si="108"/>
        <v/>
      </c>
      <c r="AN254" s="128" t="str">
        <f>IF(A254="","",IF(A254&lt;=Periodos_Gracia,Tabla!S254,PPMT(Tasa_Anual/360*Días*(1+I.V.A.),Tabla!AM254,No._De_Pagos_con_periodo_de_gracia,-Monto_Crédito)+S254))</f>
        <v/>
      </c>
      <c r="AO254" s="128" t="str">
        <f>IF(A254="","",IF(A254&lt;=Periodos_Gracia,Tabla!AC254,Monto_Crédito/(No._De_Pagos_con_periodo_de_gracia)+AC254))</f>
        <v/>
      </c>
      <c r="AP254" s="118"/>
    </row>
    <row r="255" spans="1:42">
      <c r="A255" s="108" t="str">
        <f>IF(A254&lt;Parámetros!$E$6,A254+1,"")</f>
        <v/>
      </c>
      <c r="B255" s="109" t="str">
        <f t="shared" si="109"/>
        <v/>
      </c>
      <c r="C255" s="109" t="str">
        <f t="shared" si="85"/>
        <v/>
      </c>
      <c r="D255" s="109" t="str">
        <f t="shared" si="86"/>
        <v/>
      </c>
      <c r="E255" s="109" t="str">
        <f t="shared" si="87"/>
        <v/>
      </c>
      <c r="F255" s="109" t="str">
        <f t="shared" si="88"/>
        <v/>
      </c>
      <c r="G255" s="115" t="str">
        <f t="shared" si="98"/>
        <v/>
      </c>
      <c r="H255" s="116">
        <f t="shared" si="99"/>
        <v>0</v>
      </c>
      <c r="I255" s="109" t="str">
        <f t="shared" si="110"/>
        <v/>
      </c>
      <c r="J255" s="109" t="str">
        <f t="shared" si="89"/>
        <v/>
      </c>
      <c r="K255" s="109" t="str">
        <f t="shared" si="90"/>
        <v/>
      </c>
      <c r="L255" s="109" t="str">
        <f t="shared" si="91"/>
        <v/>
      </c>
      <c r="M255" s="109" t="str">
        <f t="shared" si="100"/>
        <v/>
      </c>
      <c r="N255" s="115" t="str">
        <f t="shared" si="101"/>
        <v/>
      </c>
      <c r="O255" s="61">
        <v>0</v>
      </c>
      <c r="P255" s="117">
        <f t="shared" si="102"/>
        <v>0</v>
      </c>
      <c r="R255" s="118" t="str">
        <f t="shared" si="112"/>
        <v/>
      </c>
      <c r="S255" s="119" t="str">
        <f t="shared" si="92"/>
        <v/>
      </c>
      <c r="T255" s="119" t="str">
        <f t="shared" si="93"/>
        <v/>
      </c>
      <c r="U255" s="120">
        <f t="shared" si="103"/>
        <v>0</v>
      </c>
      <c r="V255" s="121" t="str">
        <f>IF(A255="","",IF(A255&lt;=Periodos_Gracia,0,PPMT(Tasa_Anual/360*Días*(1+I.V.A.),Tabla!AM255,No._De_Pagos_con_periodo_de_gracia,-Monto_Crédito)))</f>
        <v/>
      </c>
      <c r="W255" s="111" t="str">
        <f>IF($U$258&lt;=0,V255,IF(SUM($U$18:U255)&lt;=0,V255,PMT($K$5/360*Días,A255,-R255)))</f>
        <v/>
      </c>
      <c r="X255" s="122" t="str">
        <f>IF($U$258&lt;=0,W255,IF(SUM($U$18:U255)&lt;=0,V255,PMT($K$5/360*Días,No._De_Pagos_con_periodo_de_gracia,-Monto_Crédito)-S255-T255))</f>
        <v/>
      </c>
      <c r="Y255" s="118" t="str">
        <f t="shared" si="104"/>
        <v/>
      </c>
      <c r="Z255" s="62" t="str">
        <f>+IF(A255="","",IF(No._de_Pagos-Tabla!A255+1&lt;=0,"",No._de_Pagos-Tabla!A255+1))</f>
        <v/>
      </c>
      <c r="AA255" s="123" t="str">
        <f t="shared" si="105"/>
        <v/>
      </c>
      <c r="AB255" s="125" t="str">
        <f t="shared" si="111"/>
        <v/>
      </c>
      <c r="AC255" s="125" t="str">
        <f t="shared" si="94"/>
        <v/>
      </c>
      <c r="AD255" s="125" t="str">
        <f t="shared" si="95"/>
        <v/>
      </c>
      <c r="AE255" s="120">
        <f t="shared" si="106"/>
        <v>0</v>
      </c>
      <c r="AF255" s="121" t="str">
        <f t="shared" si="96"/>
        <v/>
      </c>
      <c r="AG255" s="111" t="str">
        <f>IF($U$258&lt;=0,AF255,IF(SUM($U$18:U255)&lt;=0,AF255,PMT($K$5/360*Días,A255,-AA255)))</f>
        <v/>
      </c>
      <c r="AH255" s="122" t="str">
        <f>IF(A255&lt;=Periodos_Gracia,0,IF($U$258&lt;=0,AG255,IF(SUM($U$18:U255)&lt;=0,AF255,PMT($K$5/360*Días,No._de_Pagos,-Monto_Crédito)-AC255-AD255)))</f>
        <v/>
      </c>
      <c r="AI255" s="126" t="str">
        <f t="shared" si="107"/>
        <v/>
      </c>
      <c r="AK255" s="127" t="str">
        <f>IF(A255="","",IF(Periodos_Gracia&gt;0,Tabla!AN255,V255+S255))</f>
        <v/>
      </c>
      <c r="AL255" s="127" t="str">
        <f t="shared" si="97"/>
        <v/>
      </c>
      <c r="AM255" s="62" t="str">
        <f t="shared" si="108"/>
        <v/>
      </c>
      <c r="AN255" s="128" t="str">
        <f>IF(A255="","",IF(A255&lt;=Periodos_Gracia,Tabla!S255,PPMT(Tasa_Anual/360*Días*(1+I.V.A.),Tabla!AM255,No._De_Pagos_con_periodo_de_gracia,-Monto_Crédito)+S255))</f>
        <v/>
      </c>
      <c r="AO255" s="128" t="str">
        <f>IF(A255="","",IF(A255&lt;=Periodos_Gracia,Tabla!AC255,Monto_Crédito/(No._De_Pagos_con_periodo_de_gracia)+AC255))</f>
        <v/>
      </c>
      <c r="AP255" s="118"/>
    </row>
    <row r="256" spans="1:42">
      <c r="A256" s="108" t="str">
        <f>IF(A255&lt;Parámetros!$E$6,A255+1,"")</f>
        <v/>
      </c>
      <c r="B256" s="109" t="str">
        <f t="shared" si="109"/>
        <v/>
      </c>
      <c r="C256" s="109" t="str">
        <f t="shared" si="85"/>
        <v/>
      </c>
      <c r="D256" s="109" t="str">
        <f t="shared" si="86"/>
        <v/>
      </c>
      <c r="E256" s="109" t="str">
        <f t="shared" si="87"/>
        <v/>
      </c>
      <c r="F256" s="109" t="str">
        <f t="shared" si="88"/>
        <v/>
      </c>
      <c r="G256" s="115" t="str">
        <f t="shared" si="98"/>
        <v/>
      </c>
      <c r="H256" s="116">
        <f t="shared" si="99"/>
        <v>0</v>
      </c>
      <c r="I256" s="109" t="str">
        <f t="shared" si="110"/>
        <v/>
      </c>
      <c r="J256" s="109" t="str">
        <f t="shared" si="89"/>
        <v/>
      </c>
      <c r="K256" s="109" t="str">
        <f t="shared" si="90"/>
        <v/>
      </c>
      <c r="L256" s="109" t="str">
        <f t="shared" si="91"/>
        <v/>
      </c>
      <c r="M256" s="109" t="str">
        <f t="shared" si="100"/>
        <v/>
      </c>
      <c r="N256" s="115" t="str">
        <f t="shared" si="101"/>
        <v/>
      </c>
      <c r="O256" s="61">
        <v>0</v>
      </c>
      <c r="P256" s="117">
        <f t="shared" si="102"/>
        <v>0</v>
      </c>
      <c r="R256" s="118" t="str">
        <f t="shared" si="112"/>
        <v/>
      </c>
      <c r="S256" s="119" t="str">
        <f t="shared" si="92"/>
        <v/>
      </c>
      <c r="T256" s="119" t="str">
        <f t="shared" si="93"/>
        <v/>
      </c>
      <c r="U256" s="120">
        <f t="shared" si="103"/>
        <v>0</v>
      </c>
      <c r="V256" s="121" t="str">
        <f>IF(A256="","",IF(A256&lt;=Periodos_Gracia,0,PPMT(Tasa_Anual/360*Días*(1+I.V.A.),Tabla!AM256,No._De_Pagos_con_periodo_de_gracia,-Monto_Crédito)))</f>
        <v/>
      </c>
      <c r="W256" s="111" t="str">
        <f>IF($U$258&lt;=0,V256,IF(SUM($U$18:U256)&lt;=0,V256,PMT($K$5/360*Días,A256,-R256)))</f>
        <v/>
      </c>
      <c r="X256" s="122" t="str">
        <f>IF($U$258&lt;=0,W256,IF(SUM($U$18:U256)&lt;=0,V256,PMT($K$5/360*Días,No._De_Pagos_con_periodo_de_gracia,-Monto_Crédito)-S256-T256))</f>
        <v/>
      </c>
      <c r="Y256" s="118" t="str">
        <f t="shared" si="104"/>
        <v/>
      </c>
      <c r="Z256" s="62" t="str">
        <f>+IF(A256="","",IF(No._de_Pagos-Tabla!A256+1&lt;=0,"",No._de_Pagos-Tabla!A256+1))</f>
        <v/>
      </c>
      <c r="AA256" s="123" t="str">
        <f t="shared" si="105"/>
        <v/>
      </c>
      <c r="AB256" s="125" t="str">
        <f t="shared" si="111"/>
        <v/>
      </c>
      <c r="AC256" s="125" t="str">
        <f t="shared" si="94"/>
        <v/>
      </c>
      <c r="AD256" s="125" t="str">
        <f t="shared" si="95"/>
        <v/>
      </c>
      <c r="AE256" s="120">
        <f t="shared" si="106"/>
        <v>0</v>
      </c>
      <c r="AF256" s="121" t="str">
        <f t="shared" si="96"/>
        <v/>
      </c>
      <c r="AG256" s="111" t="str">
        <f>IF($U$258&lt;=0,AF256,IF(SUM($U$18:U256)&lt;=0,AF256,PMT($K$5/360*Días,A256,-AA256)))</f>
        <v/>
      </c>
      <c r="AH256" s="122" t="str">
        <f>IF(A256&lt;=Periodos_Gracia,0,IF($U$258&lt;=0,AG256,IF(SUM($U$18:U256)&lt;=0,AF256,PMT($K$5/360*Días,No._de_Pagos,-Monto_Crédito)-AC256-AD256)))</f>
        <v/>
      </c>
      <c r="AI256" s="126" t="str">
        <f t="shared" si="107"/>
        <v/>
      </c>
      <c r="AK256" s="127" t="str">
        <f>IF(A256="","",IF(Periodos_Gracia&gt;0,Tabla!AN256,V256+S256))</f>
        <v/>
      </c>
      <c r="AL256" s="127" t="str">
        <f t="shared" si="97"/>
        <v/>
      </c>
      <c r="AM256" s="62" t="str">
        <f t="shared" si="108"/>
        <v/>
      </c>
      <c r="AN256" s="128" t="str">
        <f>IF(A256="","",IF(A256&lt;=Periodos_Gracia,Tabla!S256,PPMT(Tasa_Anual/360*Días*(1+I.V.A.),Tabla!AM256,No._De_Pagos_con_periodo_de_gracia,-Monto_Crédito)+S256))</f>
        <v/>
      </c>
      <c r="AO256" s="128" t="str">
        <f>IF(A256="","",IF(A256&lt;=Periodos_Gracia,Tabla!AC256,Monto_Crédito/(No._De_Pagos_con_periodo_de_gracia)+AC256))</f>
        <v/>
      </c>
      <c r="AP256" s="118"/>
    </row>
    <row r="257" spans="1:42" ht="10.8" thickBot="1">
      <c r="A257" s="108" t="str">
        <f>IF(A256&lt;Parámetros!$E$6,A256+1,"")</f>
        <v/>
      </c>
      <c r="B257" s="109" t="str">
        <f t="shared" si="109"/>
        <v/>
      </c>
      <c r="C257" s="109" t="str">
        <f t="shared" si="85"/>
        <v/>
      </c>
      <c r="D257" s="109" t="str">
        <f t="shared" si="86"/>
        <v/>
      </c>
      <c r="E257" s="109" t="str">
        <f t="shared" si="87"/>
        <v/>
      </c>
      <c r="F257" s="109" t="str">
        <f t="shared" si="88"/>
        <v/>
      </c>
      <c r="G257" s="115" t="str">
        <f t="shared" si="98"/>
        <v/>
      </c>
      <c r="H257" s="116">
        <f t="shared" si="99"/>
        <v>0</v>
      </c>
      <c r="I257" s="109" t="str">
        <f t="shared" si="110"/>
        <v/>
      </c>
      <c r="J257" s="109" t="str">
        <f t="shared" si="89"/>
        <v/>
      </c>
      <c r="K257" s="109" t="str">
        <f t="shared" si="90"/>
        <v/>
      </c>
      <c r="L257" s="109" t="str">
        <f t="shared" si="91"/>
        <v/>
      </c>
      <c r="M257" s="109" t="str">
        <f t="shared" si="100"/>
        <v/>
      </c>
      <c r="N257" s="115" t="str">
        <f t="shared" si="101"/>
        <v/>
      </c>
      <c r="O257" s="61">
        <v>0</v>
      </c>
      <c r="P257" s="117">
        <f t="shared" si="102"/>
        <v>0</v>
      </c>
      <c r="R257" s="118" t="str">
        <f t="shared" si="112"/>
        <v/>
      </c>
      <c r="S257" s="119" t="str">
        <f t="shared" si="92"/>
        <v/>
      </c>
      <c r="T257" s="119" t="str">
        <f t="shared" si="93"/>
        <v/>
      </c>
      <c r="U257" s="129">
        <f t="shared" si="103"/>
        <v>0</v>
      </c>
      <c r="V257" s="121" t="str">
        <f>IF(A257="","",IF(A257&lt;=Periodos_Gracia,0,PPMT(Tasa_Anual/360*Días*(1+I.V.A.),Tabla!AM257,No._De_Pagos_con_periodo_de_gracia,-Monto_Crédito)))</f>
        <v/>
      </c>
      <c r="W257" s="111" t="str">
        <f>IF($U$258&lt;=0,V257,IF(SUM($U$18:U257)&lt;=0,V257,PMT($K$5/360*Días,A257,-R257)))</f>
        <v/>
      </c>
      <c r="X257" s="122" t="str">
        <f>IF($U$258&lt;=0,W257,IF(SUM($U$18:U257)&lt;=0,V257,PMT($K$5/360*Días,No._De_Pagos_con_periodo_de_gracia,-Monto_Crédito)-S257-T257))</f>
        <v/>
      </c>
      <c r="Y257" s="118" t="str">
        <f t="shared" si="104"/>
        <v/>
      </c>
      <c r="Z257" s="62" t="str">
        <f>+IF(A257="","",IF(No._de_Pagos-Tabla!A257+1&lt;=0,"",No._de_Pagos-Tabla!A257+1))</f>
        <v/>
      </c>
      <c r="AA257" s="123" t="str">
        <f t="shared" si="105"/>
        <v/>
      </c>
      <c r="AB257" s="125" t="str">
        <f t="shared" si="111"/>
        <v/>
      </c>
      <c r="AC257" s="125" t="str">
        <f t="shared" si="94"/>
        <v/>
      </c>
      <c r="AD257" s="125" t="str">
        <f t="shared" si="95"/>
        <v/>
      </c>
      <c r="AE257" s="120">
        <f t="shared" si="106"/>
        <v>0</v>
      </c>
      <c r="AF257" s="121" t="str">
        <f t="shared" si="96"/>
        <v/>
      </c>
      <c r="AG257" s="111" t="str">
        <f>IF($U$258&lt;=0,AF257,IF(SUM($U$18:U257)&lt;=0,AF257,PMT($K$5/360*Días,A257,-AA257)))</f>
        <v/>
      </c>
      <c r="AH257" s="122" t="str">
        <f>IF(A257&lt;=Periodos_Gracia,0,IF($U$258&lt;=0,AG257,IF(SUM($U$18:U257)&lt;=0,AF257,PMT($K$5/360*Días,No._de_Pagos,-Monto_Crédito)-AC257-AD257)))</f>
        <v/>
      </c>
      <c r="AI257" s="126" t="str">
        <f t="shared" si="107"/>
        <v/>
      </c>
      <c r="AK257" s="127" t="str">
        <f>IF(A257="","",IF(Periodos_Gracia&gt;0,Tabla!AN257,V257+S257))</f>
        <v/>
      </c>
      <c r="AL257" s="127" t="str">
        <f t="shared" si="97"/>
        <v/>
      </c>
      <c r="AM257" s="62" t="str">
        <f t="shared" si="108"/>
        <v/>
      </c>
      <c r="AN257" s="128" t="str">
        <f>IF(A257="","",IF(A257&lt;=Periodos_Gracia,Tabla!S257,PPMT(Tasa_Anual/360*Días*(1+I.V.A.),Tabla!AM257,No._De_Pagos_con_periodo_de_gracia,-Monto_Crédito)+S257))</f>
        <v/>
      </c>
      <c r="AO257" s="128" t="str">
        <f>IF(A257="","",IF(A257&lt;=Periodos_Gracia,Tabla!AC257,Monto_Crédito/(No._De_Pagos_con_periodo_de_gracia)+AC257))</f>
        <v/>
      </c>
      <c r="AP257" s="118"/>
    </row>
    <row r="258" spans="1:42" ht="10.8" thickTop="1">
      <c r="A258" s="108"/>
      <c r="B258" s="130" t="s">
        <v>14</v>
      </c>
      <c r="C258" s="131">
        <f>SUM(C18:C257)</f>
        <v>999999.99999999988</v>
      </c>
      <c r="D258" s="131">
        <f>SUM(D18:D257)</f>
        <v>434559.99131184019</v>
      </c>
      <c r="E258" s="131">
        <f>SUM(E18:E257)</f>
        <v>69529.598609894398</v>
      </c>
      <c r="F258" s="131">
        <f>SUM(F18:F257)</f>
        <v>1504089.5899217345</v>
      </c>
      <c r="H258" s="116">
        <f>SUM(H18:H257)</f>
        <v>60</v>
      </c>
      <c r="I258" s="109"/>
      <c r="J258" s="131">
        <f>SUM(J18:J257)</f>
        <v>999999.99999999919</v>
      </c>
      <c r="K258" s="131">
        <f>SUM(K18:K257)</f>
        <v>381250.00000000076</v>
      </c>
      <c r="L258" s="131">
        <f>SUM(L18:L257)</f>
        <v>61000.000000000116</v>
      </c>
      <c r="M258" s="131">
        <f>SUM(M18:M257)</f>
        <v>1442250</v>
      </c>
      <c r="O258" s="131">
        <f>SUM(O18:O257)</f>
        <v>0</v>
      </c>
      <c r="P258" s="117">
        <f>SUM(P18:P257)</f>
        <v>60</v>
      </c>
      <c r="U258" s="132">
        <f>SUM(U18:U257)</f>
        <v>0</v>
      </c>
      <c r="AE258" s="120">
        <f t="shared" si="106"/>
        <v>0</v>
      </c>
      <c r="AO258" s="118"/>
      <c r="AP258" s="118"/>
    </row>
    <row r="259" spans="1:42">
      <c r="A259" s="108"/>
      <c r="B259" s="133"/>
      <c r="C259" s="130"/>
      <c r="D259" s="109"/>
      <c r="E259" s="109"/>
      <c r="F259" s="109"/>
      <c r="G259" s="109"/>
      <c r="I259" s="133"/>
      <c r="J259" s="130"/>
      <c r="K259" s="109"/>
      <c r="L259" s="109"/>
      <c r="M259" s="109"/>
      <c r="N259" s="109"/>
    </row>
    <row r="260" spans="1:42">
      <c r="A260" s="530" t="s">
        <v>117</v>
      </c>
      <c r="B260" s="530"/>
      <c r="C260" s="530"/>
      <c r="D260" s="530"/>
      <c r="E260" s="530"/>
      <c r="F260" s="530"/>
      <c r="G260" s="530"/>
      <c r="H260" s="530"/>
      <c r="I260" s="530"/>
      <c r="J260" s="530"/>
      <c r="K260" s="530"/>
      <c r="L260" s="530"/>
      <c r="M260" s="530"/>
      <c r="N260" s="530"/>
      <c r="O260" s="530"/>
    </row>
    <row r="261" spans="1:42">
      <c r="A261" s="108"/>
      <c r="F261" s="134"/>
      <c r="M261" s="118"/>
    </row>
    <row r="262" spans="1:42">
      <c r="A262" s="108"/>
      <c r="F262" s="134"/>
      <c r="M262" s="118"/>
      <c r="N262" s="118"/>
    </row>
    <row r="263" spans="1:42">
      <c r="A263" s="108"/>
      <c r="F263" s="134"/>
      <c r="M263" s="118"/>
      <c r="N263" s="118"/>
    </row>
    <row r="264" spans="1:42">
      <c r="A264" s="108"/>
      <c r="F264" s="134"/>
      <c r="M264" s="118"/>
      <c r="N264" s="118"/>
    </row>
    <row r="265" spans="1:42">
      <c r="A265" s="108"/>
      <c r="F265" s="134"/>
      <c r="M265" s="118"/>
      <c r="N265" s="118"/>
    </row>
    <row r="266" spans="1:42">
      <c r="A266" s="108"/>
      <c r="F266" s="134"/>
      <c r="M266" s="118"/>
      <c r="N266" s="118"/>
    </row>
    <row r="267" spans="1:42">
      <c r="A267" s="108"/>
      <c r="F267" s="134"/>
      <c r="M267" s="118"/>
      <c r="N267" s="118"/>
    </row>
    <row r="268" spans="1:42">
      <c r="A268" s="108"/>
      <c r="F268" s="134"/>
      <c r="M268" s="118"/>
      <c r="N268" s="118"/>
    </row>
    <row r="269" spans="1:42">
      <c r="A269" s="108"/>
      <c r="F269" s="134"/>
      <c r="M269" s="118"/>
      <c r="N269" s="118"/>
    </row>
    <row r="270" spans="1:42">
      <c r="A270" s="108"/>
      <c r="F270" s="134"/>
    </row>
    <row r="271" spans="1:42">
      <c r="A271" s="108"/>
    </row>
    <row r="272" spans="1:42">
      <c r="A272" s="108"/>
    </row>
    <row r="273" spans="1:1">
      <c r="A273" s="108"/>
    </row>
    <row r="274" spans="1:1">
      <c r="A274" s="108"/>
    </row>
    <row r="275" spans="1:1">
      <c r="A275" s="108"/>
    </row>
    <row r="276" spans="1:1">
      <c r="A276" s="108"/>
    </row>
    <row r="277" spans="1:1">
      <c r="A277" s="108"/>
    </row>
    <row r="278" spans="1:1">
      <c r="A278" s="108"/>
    </row>
    <row r="279" spans="1:1">
      <c r="A279" s="108"/>
    </row>
    <row r="280" spans="1:1">
      <c r="A280" s="108"/>
    </row>
    <row r="281" spans="1:1">
      <c r="A281" s="108"/>
    </row>
    <row r="282" spans="1:1">
      <c r="A282" s="108"/>
    </row>
    <row r="283" spans="1:1">
      <c r="A283" s="108"/>
    </row>
    <row r="284" spans="1:1">
      <c r="A284" s="108"/>
    </row>
    <row r="285" spans="1:1">
      <c r="A285" s="108"/>
    </row>
    <row r="286" spans="1:1">
      <c r="A286" s="108"/>
    </row>
    <row r="287" spans="1:1">
      <c r="A287" s="108"/>
    </row>
    <row r="288" spans="1:1">
      <c r="A288" s="108"/>
    </row>
    <row r="289" spans="1:1">
      <c r="A289" s="108"/>
    </row>
    <row r="290" spans="1:1">
      <c r="A290" s="108"/>
    </row>
    <row r="291" spans="1:1">
      <c r="A291" s="108"/>
    </row>
    <row r="292" spans="1:1">
      <c r="A292" s="108"/>
    </row>
    <row r="293" spans="1:1">
      <c r="A293" s="108"/>
    </row>
    <row r="294" spans="1:1">
      <c r="A294" s="108"/>
    </row>
    <row r="295" spans="1:1">
      <c r="A295" s="108"/>
    </row>
    <row r="296" spans="1:1">
      <c r="A296" s="108"/>
    </row>
    <row r="297" spans="1:1">
      <c r="A297" s="108"/>
    </row>
    <row r="298" spans="1:1">
      <c r="A298" s="108"/>
    </row>
    <row r="299" spans="1:1">
      <c r="A299" s="108"/>
    </row>
    <row r="300" spans="1:1">
      <c r="A300" s="108"/>
    </row>
    <row r="301" spans="1:1">
      <c r="A301" s="108"/>
    </row>
    <row r="302" spans="1:1">
      <c r="A302" s="108"/>
    </row>
    <row r="303" spans="1:1">
      <c r="A303" s="108"/>
    </row>
    <row r="304" spans="1:1">
      <c r="A304" s="108"/>
    </row>
    <row r="305" spans="1:1">
      <c r="A305" s="108"/>
    </row>
    <row r="306" spans="1:1">
      <c r="A306" s="108"/>
    </row>
    <row r="307" spans="1:1">
      <c r="A307" s="108"/>
    </row>
    <row r="308" spans="1:1">
      <c r="A308" s="108"/>
    </row>
    <row r="309" spans="1:1">
      <c r="A309" s="108"/>
    </row>
    <row r="310" spans="1:1">
      <c r="A310" s="108"/>
    </row>
    <row r="311" spans="1:1">
      <c r="A311" s="108"/>
    </row>
    <row r="312" spans="1:1">
      <c r="A312" s="108"/>
    </row>
    <row r="313" spans="1:1">
      <c r="A313" s="108"/>
    </row>
    <row r="314" spans="1:1">
      <c r="A314" s="108"/>
    </row>
    <row r="315" spans="1:1">
      <c r="A315" s="108"/>
    </row>
    <row r="316" spans="1:1">
      <c r="A316" s="108"/>
    </row>
    <row r="317" spans="1:1">
      <c r="A317" s="108"/>
    </row>
    <row r="318" spans="1:1">
      <c r="A318" s="108"/>
    </row>
    <row r="319" spans="1:1">
      <c r="A319" s="108"/>
    </row>
    <row r="320" spans="1:1">
      <c r="A320" s="108"/>
    </row>
    <row r="321" spans="1:1">
      <c r="A321" s="108"/>
    </row>
    <row r="322" spans="1:1">
      <c r="A322" s="108"/>
    </row>
    <row r="323" spans="1:1">
      <c r="A323" s="108"/>
    </row>
    <row r="324" spans="1:1">
      <c r="A324" s="108"/>
    </row>
    <row r="325" spans="1:1">
      <c r="A325" s="108"/>
    </row>
    <row r="326" spans="1:1">
      <c r="A326" s="108"/>
    </row>
    <row r="327" spans="1:1">
      <c r="A327" s="108"/>
    </row>
    <row r="328" spans="1:1">
      <c r="A328" s="108"/>
    </row>
    <row r="329" spans="1:1">
      <c r="A329" s="108"/>
    </row>
    <row r="330" spans="1:1">
      <c r="A330" s="108"/>
    </row>
    <row r="331" spans="1:1">
      <c r="A331" s="108"/>
    </row>
    <row r="332" spans="1:1">
      <c r="A332" s="108"/>
    </row>
    <row r="333" spans="1:1">
      <c r="A333" s="108"/>
    </row>
    <row r="334" spans="1:1">
      <c r="A334" s="108"/>
    </row>
    <row r="335" spans="1:1">
      <c r="A335" s="108"/>
    </row>
    <row r="336" spans="1:1">
      <c r="A336" s="108"/>
    </row>
    <row r="337" spans="1:1">
      <c r="A337" s="108"/>
    </row>
    <row r="338" spans="1:1">
      <c r="A338" s="108"/>
    </row>
    <row r="339" spans="1:1">
      <c r="A339" s="108"/>
    </row>
    <row r="340" spans="1:1">
      <c r="A340" s="108"/>
    </row>
    <row r="341" spans="1:1">
      <c r="A341" s="108"/>
    </row>
    <row r="342" spans="1:1">
      <c r="A342" s="108"/>
    </row>
    <row r="343" spans="1:1">
      <c r="A343" s="108"/>
    </row>
    <row r="344" spans="1:1">
      <c r="A344" s="108"/>
    </row>
    <row r="345" spans="1:1">
      <c r="A345" s="108"/>
    </row>
    <row r="346" spans="1:1">
      <c r="A346" s="108"/>
    </row>
    <row r="347" spans="1:1">
      <c r="A347" s="108"/>
    </row>
    <row r="348" spans="1:1">
      <c r="A348" s="108"/>
    </row>
    <row r="349" spans="1:1">
      <c r="A349" s="108"/>
    </row>
    <row r="350" spans="1:1">
      <c r="A350" s="108"/>
    </row>
    <row r="351" spans="1:1">
      <c r="A351" s="108"/>
    </row>
    <row r="352" spans="1:1">
      <c r="A352" s="108"/>
    </row>
    <row r="353" spans="1:1">
      <c r="A353" s="108"/>
    </row>
    <row r="354" spans="1:1">
      <c r="A354" s="108"/>
    </row>
    <row r="355" spans="1:1">
      <c r="A355" s="108"/>
    </row>
    <row r="356" spans="1:1">
      <c r="A356" s="108"/>
    </row>
    <row r="357" spans="1:1">
      <c r="A357" s="108"/>
    </row>
    <row r="358" spans="1:1">
      <c r="A358" s="108"/>
    </row>
    <row r="359" spans="1:1">
      <c r="A359" s="108"/>
    </row>
    <row r="360" spans="1:1">
      <c r="A360" s="108"/>
    </row>
    <row r="361" spans="1:1">
      <c r="A361" s="108"/>
    </row>
    <row r="362" spans="1:1">
      <c r="A362" s="108"/>
    </row>
    <row r="363" spans="1:1">
      <c r="A363" s="108"/>
    </row>
    <row r="364" spans="1:1">
      <c r="A364" s="108"/>
    </row>
    <row r="365" spans="1:1">
      <c r="A365" s="108"/>
    </row>
    <row r="366" spans="1:1">
      <c r="A366" s="108"/>
    </row>
    <row r="367" spans="1:1">
      <c r="A367" s="108"/>
    </row>
    <row r="368" spans="1:1">
      <c r="A368" s="108"/>
    </row>
    <row r="369" spans="1:1">
      <c r="A369" s="108"/>
    </row>
    <row r="370" spans="1:1">
      <c r="A370" s="108"/>
    </row>
    <row r="371" spans="1:1">
      <c r="A371" s="108"/>
    </row>
    <row r="372" spans="1:1">
      <c r="A372" s="108"/>
    </row>
    <row r="373" spans="1:1">
      <c r="A373" s="108"/>
    </row>
    <row r="374" spans="1:1">
      <c r="A374" s="108"/>
    </row>
    <row r="375" spans="1:1">
      <c r="A375" s="108"/>
    </row>
    <row r="376" spans="1:1">
      <c r="A376" s="108"/>
    </row>
    <row r="377" spans="1:1">
      <c r="A377" s="108"/>
    </row>
    <row r="378" spans="1:1">
      <c r="A378" s="108"/>
    </row>
    <row r="379" spans="1:1">
      <c r="A379" s="108"/>
    </row>
    <row r="380" spans="1:1">
      <c r="A380" s="108"/>
    </row>
    <row r="381" spans="1:1">
      <c r="A381" s="108"/>
    </row>
    <row r="382" spans="1:1">
      <c r="A382" s="108"/>
    </row>
    <row r="383" spans="1:1">
      <c r="A383" s="108"/>
    </row>
    <row r="384" spans="1:1">
      <c r="A384" s="108"/>
    </row>
    <row r="385" spans="1:1">
      <c r="A385" s="108"/>
    </row>
    <row r="386" spans="1:1">
      <c r="A386" s="108"/>
    </row>
    <row r="387" spans="1:1">
      <c r="A387" s="108"/>
    </row>
    <row r="388" spans="1:1">
      <c r="A388" s="108"/>
    </row>
    <row r="389" spans="1:1">
      <c r="A389" s="108"/>
    </row>
    <row r="390" spans="1:1">
      <c r="A390" s="108"/>
    </row>
    <row r="391" spans="1:1">
      <c r="A391" s="108"/>
    </row>
    <row r="392" spans="1:1">
      <c r="A392" s="108"/>
    </row>
    <row r="393" spans="1:1">
      <c r="A393" s="108"/>
    </row>
    <row r="394" spans="1:1">
      <c r="A394" s="108"/>
    </row>
    <row r="395" spans="1:1">
      <c r="A395" s="108"/>
    </row>
    <row r="396" spans="1:1">
      <c r="A396" s="108"/>
    </row>
    <row r="397" spans="1:1">
      <c r="A397" s="108"/>
    </row>
    <row r="398" spans="1:1">
      <c r="A398" s="108"/>
    </row>
    <row r="399" spans="1:1">
      <c r="A399" s="108"/>
    </row>
    <row r="400" spans="1:1">
      <c r="A400" s="108"/>
    </row>
    <row r="401" spans="1:1">
      <c r="A401" s="108"/>
    </row>
    <row r="402" spans="1:1">
      <c r="A402" s="108"/>
    </row>
    <row r="403" spans="1:1">
      <c r="A403" s="108"/>
    </row>
    <row r="404" spans="1:1">
      <c r="A404" s="108"/>
    </row>
    <row r="405" spans="1:1">
      <c r="A405" s="108"/>
    </row>
    <row r="406" spans="1:1">
      <c r="A406" s="108"/>
    </row>
    <row r="407" spans="1:1">
      <c r="A407" s="108"/>
    </row>
    <row r="408" spans="1:1">
      <c r="A408" s="108"/>
    </row>
    <row r="409" spans="1:1">
      <c r="A409" s="108"/>
    </row>
    <row r="410" spans="1:1">
      <c r="A410" s="108"/>
    </row>
    <row r="411" spans="1:1">
      <c r="A411" s="108"/>
    </row>
    <row r="412" spans="1:1">
      <c r="A412" s="108"/>
    </row>
    <row r="413" spans="1:1">
      <c r="A413" s="108"/>
    </row>
    <row r="414" spans="1:1">
      <c r="A414" s="108"/>
    </row>
    <row r="415" spans="1:1">
      <c r="A415" s="108"/>
    </row>
    <row r="416" spans="1:1">
      <c r="A416" s="108"/>
    </row>
    <row r="417" spans="1:1">
      <c r="A417" s="108"/>
    </row>
    <row r="418" spans="1:1">
      <c r="A418" s="108"/>
    </row>
    <row r="419" spans="1:1">
      <c r="A419" s="108"/>
    </row>
    <row r="420" spans="1:1">
      <c r="A420" s="108"/>
    </row>
    <row r="421" spans="1:1">
      <c r="A421" s="108"/>
    </row>
    <row r="422" spans="1:1">
      <c r="A422" s="108"/>
    </row>
    <row r="423" spans="1:1">
      <c r="A423" s="108"/>
    </row>
    <row r="424" spans="1:1">
      <c r="A424" s="108"/>
    </row>
    <row r="425" spans="1:1">
      <c r="A425" s="108"/>
    </row>
    <row r="426" spans="1:1">
      <c r="A426" s="108"/>
    </row>
    <row r="427" spans="1:1">
      <c r="A427" s="108"/>
    </row>
    <row r="428" spans="1:1">
      <c r="A428" s="108"/>
    </row>
    <row r="429" spans="1:1">
      <c r="A429" s="108"/>
    </row>
    <row r="430" spans="1:1">
      <c r="A430" s="108"/>
    </row>
    <row r="431" spans="1:1">
      <c r="A431" s="108"/>
    </row>
    <row r="432" spans="1:1">
      <c r="A432" s="108"/>
    </row>
    <row r="433" spans="1:1">
      <c r="A433" s="108"/>
    </row>
    <row r="434" spans="1:1">
      <c r="A434" s="108"/>
    </row>
    <row r="435" spans="1:1">
      <c r="A435" s="108"/>
    </row>
    <row r="436" spans="1:1">
      <c r="A436" s="108"/>
    </row>
    <row r="437" spans="1:1">
      <c r="A437" s="108"/>
    </row>
    <row r="438" spans="1:1">
      <c r="A438" s="108"/>
    </row>
    <row r="439" spans="1:1">
      <c r="A439" s="108"/>
    </row>
    <row r="440" spans="1:1">
      <c r="A440" s="108"/>
    </row>
    <row r="441" spans="1:1">
      <c r="A441" s="108"/>
    </row>
    <row r="442" spans="1:1">
      <c r="A442" s="108"/>
    </row>
    <row r="443" spans="1:1">
      <c r="A443" s="108"/>
    </row>
    <row r="444" spans="1:1">
      <c r="A444" s="108"/>
    </row>
    <row r="445" spans="1:1">
      <c r="A445" s="108"/>
    </row>
    <row r="446" spans="1:1">
      <c r="A446" s="108"/>
    </row>
    <row r="447" spans="1:1">
      <c r="A447" s="108"/>
    </row>
    <row r="448" spans="1:1">
      <c r="A448" s="108"/>
    </row>
    <row r="449" spans="1:1">
      <c r="A449" s="108"/>
    </row>
    <row r="450" spans="1:1">
      <c r="A450" s="108"/>
    </row>
    <row r="451" spans="1:1">
      <c r="A451" s="108"/>
    </row>
    <row r="452" spans="1:1">
      <c r="A452" s="108"/>
    </row>
    <row r="453" spans="1:1">
      <c r="A453" s="108"/>
    </row>
    <row r="454" spans="1:1">
      <c r="A454" s="108"/>
    </row>
    <row r="455" spans="1:1">
      <c r="A455" s="108"/>
    </row>
    <row r="456" spans="1:1">
      <c r="A456" s="108"/>
    </row>
  </sheetData>
  <mergeCells count="5">
    <mergeCell ref="B14:G14"/>
    <mergeCell ref="I14:N14"/>
    <mergeCell ref="A1:O1"/>
    <mergeCell ref="D2:L2"/>
    <mergeCell ref="A260:O260"/>
  </mergeCells>
  <phoneticPr fontId="0" type="noConversion"/>
  <dataValidations disablePrompts="1" xWindow="538" yWindow="140" count="1">
    <dataValidation errorStyle="information" allowBlank="1" promptTitle="CAPTURA" prompt="SOLO EN CASO DE QUE EL MONTO DEL CRÉDITO DESEADO NO _x000a_ESTE DENTRO DEL COMBO" sqref="J4:J5 N7"/>
  </dataValidations>
  <printOptions horizontalCentered="1"/>
  <pageMargins left="0.2" right="0.21" top="0.3" bottom="0.39370078740157483" header="0" footer="0"/>
  <pageSetup scale="70" fitToHeight="5" orientation="landscape" r:id="rId1"/>
  <headerFooter alignWithMargins="0">
    <oddFooter xml:space="preserve">&amp;L&amp;8&amp;F \ &amp;A&amp;C&amp;8Página &amp;P de &amp;N&amp;R&amp;8&amp;D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E24"/>
  <sheetViews>
    <sheetView workbookViewId="0">
      <selection sqref="A1:C1"/>
    </sheetView>
  </sheetViews>
  <sheetFormatPr defaultColWidth="11.5546875" defaultRowHeight="13.2"/>
  <cols>
    <col min="2" max="2" width="30.109375" bestFit="1" customWidth="1"/>
  </cols>
  <sheetData>
    <row r="1" spans="1:5">
      <c r="A1" s="531" t="s">
        <v>478</v>
      </c>
      <c r="B1" s="531"/>
      <c r="C1" s="431">
        <v>1</v>
      </c>
    </row>
    <row r="2" spans="1:5">
      <c r="A2" s="430">
        <v>1</v>
      </c>
      <c r="B2" s="430" t="s">
        <v>554</v>
      </c>
      <c r="C2" s="430"/>
      <c r="E2" s="430"/>
    </row>
    <row r="3" spans="1:5">
      <c r="A3" s="430">
        <v>2</v>
      </c>
      <c r="B3" s="430" t="s">
        <v>555</v>
      </c>
      <c r="C3" s="430"/>
      <c r="E3" s="430"/>
    </row>
    <row r="4" spans="1:5">
      <c r="A4" s="430">
        <v>3</v>
      </c>
      <c r="B4" s="430" t="s">
        <v>556</v>
      </c>
      <c r="C4" s="430"/>
      <c r="E4" s="430"/>
    </row>
    <row r="5" spans="1:5">
      <c r="A5" s="430">
        <v>4</v>
      </c>
      <c r="B5" s="430" t="s">
        <v>557</v>
      </c>
      <c r="C5" s="430"/>
      <c r="E5" s="430"/>
    </row>
    <row r="6" spans="1:5">
      <c r="A6" s="430">
        <v>5</v>
      </c>
      <c r="B6" s="430" t="s">
        <v>558</v>
      </c>
      <c r="C6" s="430"/>
      <c r="E6" s="430"/>
    </row>
    <row r="7" spans="1:5">
      <c r="A7" s="430">
        <v>6</v>
      </c>
      <c r="B7" s="430" t="s">
        <v>559</v>
      </c>
      <c r="C7" s="430"/>
      <c r="E7" s="430"/>
    </row>
    <row r="8" spans="1:5">
      <c r="A8" s="430">
        <v>7</v>
      </c>
      <c r="B8" s="430" t="s">
        <v>560</v>
      </c>
      <c r="C8" s="430"/>
      <c r="E8" s="430"/>
    </row>
    <row r="9" spans="1:5">
      <c r="A9" s="430">
        <v>8</v>
      </c>
      <c r="B9" s="430" t="s">
        <v>561</v>
      </c>
      <c r="C9" s="430"/>
      <c r="E9" s="430"/>
    </row>
    <row r="10" spans="1:5">
      <c r="A10" s="430">
        <v>9</v>
      </c>
      <c r="B10" s="430" t="s">
        <v>562</v>
      </c>
      <c r="C10" s="430"/>
      <c r="E10" s="430"/>
    </row>
    <row r="12" spans="1:5">
      <c r="A12" s="531" t="s">
        <v>515</v>
      </c>
      <c r="B12" s="531"/>
      <c r="C12" s="431">
        <v>1</v>
      </c>
    </row>
    <row r="13" spans="1:5">
      <c r="A13">
        <v>1</v>
      </c>
      <c r="B13">
        <v>3</v>
      </c>
    </row>
    <row r="14" spans="1:5">
      <c r="A14">
        <v>2</v>
      </c>
      <c r="B14">
        <v>15</v>
      </c>
    </row>
    <row r="16" spans="1:5">
      <c r="A16" s="532" t="s">
        <v>516</v>
      </c>
      <c r="B16" s="531"/>
      <c r="C16" s="431">
        <v>1</v>
      </c>
    </row>
    <row r="17" spans="1:4" ht="15">
      <c r="A17">
        <v>1</v>
      </c>
      <c r="B17" s="464" t="str">
        <f>IF(OR($C$1=1,$C$1=3,$C$1=4),"Capital de Trabajo","")</f>
        <v>Capital de Trabajo</v>
      </c>
    </row>
    <row r="18" spans="1:4" ht="15">
      <c r="A18">
        <v>2</v>
      </c>
      <c r="B18" s="464" t="str">
        <f>IF($C$1=3,"Maquinaria y Equipo",IF(OR($C$1=1,$C$1=4),"Activo Fijo",""))</f>
        <v>Activo Fijo</v>
      </c>
      <c r="D18" s="1"/>
    </row>
    <row r="19" spans="1:4" ht="15">
      <c r="A19">
        <v>3</v>
      </c>
      <c r="B19" s="464" t="str">
        <f>IF($C$1=3,"Adquisición, Reconstrucción o Remodelación de Inmuebles",IF(OR($C$1=1,$C$1=4),"Pago de Pasivos",""))</f>
        <v>Pago de Pasivos</v>
      </c>
    </row>
    <row r="20" spans="1:4" ht="15">
      <c r="A20">
        <v>4</v>
      </c>
      <c r="B20" s="472" t="str">
        <f>IF($C$1=3,"Sustitución y Liquidez","")</f>
        <v/>
      </c>
    </row>
    <row r="22" spans="1:4">
      <c r="A22" s="532" t="s">
        <v>689</v>
      </c>
      <c r="B22" s="531"/>
      <c r="C22" s="431">
        <v>1</v>
      </c>
    </row>
    <row r="23" spans="1:4">
      <c r="A23">
        <v>1</v>
      </c>
      <c r="B23" s="1" t="s">
        <v>690</v>
      </c>
    </row>
    <row r="24" spans="1:4">
      <c r="A24">
        <v>2</v>
      </c>
      <c r="B24" s="1" t="s">
        <v>691</v>
      </c>
    </row>
  </sheetData>
  <mergeCells count="4">
    <mergeCell ref="A1:B1"/>
    <mergeCell ref="A12:B12"/>
    <mergeCell ref="A16:B16"/>
    <mergeCell ref="A22:B2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
  <sheetViews>
    <sheetView workbookViewId="0">
      <selection sqref="A1:B1"/>
    </sheetView>
  </sheetViews>
  <sheetFormatPr defaultColWidth="11.5546875" defaultRowHeight="13.2"/>
  <cols>
    <col min="2" max="2" width="13.33203125" bestFit="1" customWidth="1"/>
  </cols>
  <sheetData>
    <row r="1" spans="1:2">
      <c r="A1" s="532" t="s">
        <v>785</v>
      </c>
      <c r="B1" s="531"/>
    </row>
    <row r="2" spans="1:2">
      <c r="A2" s="1" t="s">
        <v>786</v>
      </c>
      <c r="B2" s="507">
        <v>50000</v>
      </c>
    </row>
    <row r="3" spans="1:2">
      <c r="A3" s="1" t="s">
        <v>787</v>
      </c>
      <c r="B3" s="507">
        <v>9999999999</v>
      </c>
    </row>
  </sheetData>
  <mergeCells count="1">
    <mergeCell ref="A1:B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pageSetUpPr fitToPage="1"/>
  </sheetPr>
  <dimension ref="A1:O224"/>
  <sheetViews>
    <sheetView showGridLines="0" zoomScaleNormal="100" workbookViewId="0">
      <selection activeCell="C4" sqref="C4:D4"/>
    </sheetView>
  </sheetViews>
  <sheetFormatPr defaultColWidth="11.44140625" defaultRowHeight="13.5" customHeight="1"/>
  <cols>
    <col min="1" max="1" width="5.6640625" style="395" customWidth="1"/>
    <col min="2" max="2" width="1.44140625" style="395" customWidth="1"/>
    <col min="3" max="3" width="50.6640625" style="395" customWidth="1"/>
    <col min="4" max="4" width="40.6640625" style="395" customWidth="1"/>
    <col min="5" max="5" width="1.44140625" style="395" customWidth="1"/>
    <col min="6" max="6" width="5.6640625" style="395" customWidth="1"/>
    <col min="7" max="7" width="14.5546875" style="395" customWidth="1"/>
    <col min="8" max="8" width="11.44140625" style="395" customWidth="1"/>
    <col min="9" max="9" width="58.5546875" style="395" customWidth="1"/>
    <col min="10" max="10" width="45.44140625" style="395" customWidth="1"/>
    <col min="11" max="11" width="53.109375" style="395" customWidth="1"/>
    <col min="12" max="12" width="4" style="395" bestFit="1" customWidth="1"/>
    <col min="13" max="13" width="87.33203125" style="395" bestFit="1" customWidth="1"/>
    <col min="14" max="14" width="10.5546875" style="395" bestFit="1" customWidth="1"/>
    <col min="15" max="16384" width="11.44140625" style="395"/>
  </cols>
  <sheetData>
    <row r="1" spans="1:15" ht="15" customHeight="1">
      <c r="A1" s="393"/>
      <c r="B1" s="394"/>
      <c r="C1" s="394"/>
      <c r="D1" s="394"/>
      <c r="E1" s="394"/>
      <c r="F1" s="394"/>
      <c r="G1" s="394"/>
    </row>
    <row r="2" spans="1:15" ht="15" customHeight="1">
      <c r="A2" s="394"/>
      <c r="B2" s="394"/>
      <c r="C2" s="394"/>
      <c r="D2" s="394"/>
      <c r="E2" s="394"/>
      <c r="F2" s="394"/>
      <c r="G2" s="394"/>
    </row>
    <row r="3" spans="1:15" ht="15" customHeight="1">
      <c r="A3" s="394"/>
      <c r="B3" s="394"/>
      <c r="C3" s="394"/>
      <c r="D3" s="394"/>
      <c r="E3" s="394"/>
      <c r="F3" s="394"/>
      <c r="G3" s="394"/>
      <c r="I3" s="427" t="s">
        <v>530</v>
      </c>
      <c r="J3" s="428"/>
      <c r="K3" s="428"/>
      <c r="L3" s="428"/>
      <c r="M3" s="428"/>
      <c r="N3" s="428"/>
    </row>
    <row r="4" spans="1:15" ht="13.8">
      <c r="A4" s="394"/>
      <c r="B4" s="396"/>
      <c r="C4" s="533" t="s">
        <v>477</v>
      </c>
      <c r="D4" s="533"/>
      <c r="E4" s="397"/>
      <c r="F4" s="394"/>
      <c r="G4" s="394"/>
      <c r="I4" s="429" t="s">
        <v>531</v>
      </c>
      <c r="J4" s="429" t="s">
        <v>532</v>
      </c>
      <c r="K4" s="429" t="s">
        <v>533</v>
      </c>
      <c r="L4" s="429" t="s">
        <v>534</v>
      </c>
      <c r="M4" s="429" t="s">
        <v>535</v>
      </c>
      <c r="N4" s="429" t="s">
        <v>536</v>
      </c>
      <c r="O4" s="395" t="s">
        <v>544</v>
      </c>
    </row>
    <row r="5" spans="1:15" ht="12" customHeight="1">
      <c r="A5" s="394"/>
      <c r="B5" s="398"/>
      <c r="C5" s="399"/>
      <c r="D5" s="399"/>
      <c r="E5" s="400"/>
      <c r="F5" s="394"/>
      <c r="G5" s="394"/>
    </row>
    <row r="6" spans="1:15" ht="13.2">
      <c r="A6" s="394"/>
      <c r="B6" s="401"/>
      <c r="C6" s="402" t="s">
        <v>478</v>
      </c>
      <c r="D6" s="459" t="str">
        <f>VLOOKUP(Combos!$C$1,Combos!$A$2:$B$10,2,0)</f>
        <v>ACS</v>
      </c>
      <c r="E6" s="457"/>
      <c r="F6" s="394"/>
      <c r="G6" s="404"/>
      <c r="I6" s="395" t="s">
        <v>537</v>
      </c>
      <c r="J6" s="395" t="s">
        <v>478</v>
      </c>
      <c r="K6" s="395" t="str">
        <f>UPPER(SUBSTITUTE(SUBSTITUTE(TRIM(J6),".","_")," ","_"))</f>
        <v>CONTRATO</v>
      </c>
      <c r="L6" s="395">
        <v>1</v>
      </c>
      <c r="M6" s="395" t="s">
        <v>563</v>
      </c>
    </row>
    <row r="7" spans="1:15" ht="13.2">
      <c r="A7" s="394"/>
      <c r="B7" s="401"/>
      <c r="C7" s="405" t="s">
        <v>479</v>
      </c>
      <c r="D7" s="458">
        <f ca="1">TODAY()</f>
        <v>42625</v>
      </c>
      <c r="E7" s="457"/>
      <c r="F7" s="394"/>
      <c r="G7" s="394"/>
      <c r="I7" s="395" t="s">
        <v>537</v>
      </c>
      <c r="J7" s="395" t="s">
        <v>127</v>
      </c>
      <c r="K7" s="395" t="str">
        <f t="shared" ref="K7:K71" si="0">UPPER(SUBSTITUTE(SUBSTITUTE(TRIM(J7),".","_")," ","_"))</f>
        <v>FECHA</v>
      </c>
      <c r="L7" s="395">
        <v>2</v>
      </c>
      <c r="M7" s="395" t="s">
        <v>564</v>
      </c>
    </row>
    <row r="8" spans="1:15" ht="13.2">
      <c r="A8" s="394"/>
      <c r="B8" s="401"/>
      <c r="C8" s="405" t="s">
        <v>480</v>
      </c>
      <c r="D8" s="406" t="s">
        <v>680</v>
      </c>
      <c r="E8" s="456"/>
      <c r="F8" s="394"/>
      <c r="G8" s="394"/>
      <c r="I8" s="395" t="s">
        <v>537</v>
      </c>
      <c r="J8" s="395" t="s">
        <v>538</v>
      </c>
      <c r="K8" s="395" t="str">
        <f t="shared" si="0"/>
        <v>DIA</v>
      </c>
      <c r="L8" s="395">
        <v>3</v>
      </c>
      <c r="M8" s="435" t="s">
        <v>565</v>
      </c>
    </row>
    <row r="9" spans="1:15" ht="13.2">
      <c r="A9" s="394"/>
      <c r="B9" s="401"/>
      <c r="C9" s="405" t="s">
        <v>481</v>
      </c>
      <c r="D9" s="460" t="s">
        <v>681</v>
      </c>
      <c r="E9" s="456"/>
      <c r="F9" s="394"/>
      <c r="G9" s="394"/>
      <c r="I9" s="395" t="s">
        <v>537</v>
      </c>
      <c r="J9" s="395" t="s">
        <v>539</v>
      </c>
      <c r="K9" s="395" t="str">
        <f t="shared" si="0"/>
        <v>MES</v>
      </c>
      <c r="L9" s="395">
        <v>4</v>
      </c>
      <c r="M9" s="435" t="s">
        <v>566</v>
      </c>
    </row>
    <row r="10" spans="1:15" ht="12" customHeight="1">
      <c r="A10" s="394"/>
      <c r="B10" s="408"/>
      <c r="C10" s="409"/>
      <c r="D10" s="409"/>
      <c r="E10" s="410"/>
      <c r="F10" s="394"/>
      <c r="G10" s="394"/>
      <c r="I10" s="395" t="s">
        <v>537</v>
      </c>
      <c r="J10" s="395" t="s">
        <v>553</v>
      </c>
      <c r="K10" s="395" t="str">
        <f t="shared" si="0"/>
        <v>AÑO</v>
      </c>
      <c r="L10" s="395">
        <v>5</v>
      </c>
      <c r="M10" s="435" t="s">
        <v>567</v>
      </c>
    </row>
    <row r="11" spans="1:15" ht="13.2">
      <c r="A11" s="394"/>
      <c r="B11" s="394"/>
      <c r="C11" s="394"/>
      <c r="D11" s="394"/>
      <c r="E11" s="394"/>
      <c r="F11" s="394"/>
      <c r="G11" s="394"/>
      <c r="I11" s="395" t="s">
        <v>537</v>
      </c>
      <c r="J11" s="395" t="s">
        <v>480</v>
      </c>
      <c r="K11" s="395" t="str">
        <f t="shared" si="0"/>
        <v>LUGAR_DE_FIRMA_DE_CONTRATO</v>
      </c>
      <c r="L11" s="395">
        <v>6</v>
      </c>
      <c r="M11" s="435" t="s">
        <v>568</v>
      </c>
    </row>
    <row r="12" spans="1:15" ht="13.2">
      <c r="A12" s="394"/>
      <c r="B12" s="396"/>
      <c r="C12" s="533" t="s">
        <v>482</v>
      </c>
      <c r="D12" s="533"/>
      <c r="E12" s="397"/>
      <c r="F12" s="394"/>
      <c r="G12" s="394"/>
      <c r="I12" s="395" t="s">
        <v>537</v>
      </c>
      <c r="J12" s="395" t="s">
        <v>481</v>
      </c>
      <c r="K12" s="395" t="str">
        <f t="shared" si="0"/>
        <v>NOMBRE_Y_NÚMERO_DE_SUCURSAL</v>
      </c>
      <c r="L12" s="395">
        <v>7</v>
      </c>
      <c r="M12" s="395" t="s">
        <v>569</v>
      </c>
    </row>
    <row r="13" spans="1:15" ht="12" customHeight="1">
      <c r="A13" s="394"/>
      <c r="B13" s="398"/>
      <c r="C13" s="399"/>
      <c r="D13" s="399"/>
      <c r="E13" s="400"/>
      <c r="F13" s="394"/>
      <c r="G13" s="394"/>
      <c r="I13" s="395" t="s">
        <v>545</v>
      </c>
      <c r="J13" s="395" t="s">
        <v>540</v>
      </c>
      <c r="K13" s="395" t="str">
        <f t="shared" si="0"/>
        <v>DOMICILIO_CALLE_NÚMERO</v>
      </c>
      <c r="L13" s="395">
        <v>8</v>
      </c>
      <c r="M13" s="395" t="s">
        <v>570</v>
      </c>
    </row>
    <row r="14" spans="1:15" ht="13.2">
      <c r="A14" s="394"/>
      <c r="B14" s="401"/>
      <c r="C14" s="405" t="s">
        <v>483</v>
      </c>
      <c r="D14" s="411"/>
      <c r="E14" s="456"/>
      <c r="F14" s="394"/>
      <c r="G14" s="394"/>
      <c r="I14" s="395" t="s">
        <v>545</v>
      </c>
      <c r="J14" s="395" t="s">
        <v>484</v>
      </c>
      <c r="K14" s="395" t="str">
        <f t="shared" si="0"/>
        <v>COLONIA</v>
      </c>
      <c r="L14" s="395">
        <v>9</v>
      </c>
      <c r="M14" s="395" t="s">
        <v>571</v>
      </c>
    </row>
    <row r="15" spans="1:15" ht="13.2">
      <c r="A15" s="394"/>
      <c r="B15" s="401"/>
      <c r="C15" s="405" t="s">
        <v>484</v>
      </c>
      <c r="D15" s="411"/>
      <c r="E15" s="456"/>
      <c r="F15" s="394"/>
      <c r="G15" s="394"/>
      <c r="I15" s="395" t="s">
        <v>545</v>
      </c>
      <c r="J15" s="395" t="s">
        <v>485</v>
      </c>
      <c r="K15" s="395" t="str">
        <f t="shared" si="0"/>
        <v>POBLACIÓN</v>
      </c>
      <c r="L15" s="395">
        <v>10</v>
      </c>
      <c r="M15" s="395" t="s">
        <v>572</v>
      </c>
    </row>
    <row r="16" spans="1:15" ht="13.2">
      <c r="A16" s="394"/>
      <c r="B16" s="401"/>
      <c r="C16" s="405" t="s">
        <v>485</v>
      </c>
      <c r="D16" s="411"/>
      <c r="E16" s="456"/>
      <c r="F16" s="394"/>
      <c r="G16" s="394"/>
      <c r="I16" s="395" t="s">
        <v>545</v>
      </c>
      <c r="J16" s="395" t="s">
        <v>486</v>
      </c>
      <c r="K16" s="395" t="str">
        <f t="shared" si="0"/>
        <v>ESTADO</v>
      </c>
      <c r="L16" s="395">
        <v>11</v>
      </c>
      <c r="M16" s="395" t="s">
        <v>573</v>
      </c>
    </row>
    <row r="17" spans="1:13" ht="13.2">
      <c r="A17" s="394"/>
      <c r="B17" s="401"/>
      <c r="C17" s="405" t="s">
        <v>486</v>
      </c>
      <c r="D17" s="411"/>
      <c r="E17" s="456"/>
      <c r="F17" s="394"/>
      <c r="G17" s="394"/>
      <c r="I17" s="395" t="s">
        <v>545</v>
      </c>
      <c r="J17" s="395" t="s">
        <v>487</v>
      </c>
      <c r="K17" s="395" t="str">
        <f t="shared" si="0"/>
        <v>CODIGO_POSTAL</v>
      </c>
      <c r="L17" s="395">
        <v>12</v>
      </c>
      <c r="M17" s="395" t="s">
        <v>574</v>
      </c>
    </row>
    <row r="18" spans="1:13" ht="13.2">
      <c r="A18" s="394"/>
      <c r="B18" s="401"/>
      <c r="C18" s="405" t="s">
        <v>487</v>
      </c>
      <c r="D18" s="411"/>
      <c r="E18" s="456"/>
      <c r="F18" s="394"/>
      <c r="G18" s="394"/>
      <c r="I18" s="395" t="s">
        <v>546</v>
      </c>
      <c r="J18" s="395" t="s">
        <v>489</v>
      </c>
      <c r="K18" s="395" t="str">
        <f t="shared" si="0"/>
        <v>NOMBRE_DEL_ACREDITADO</v>
      </c>
      <c r="L18" s="395">
        <v>13</v>
      </c>
      <c r="M18" s="395" t="s">
        <v>575</v>
      </c>
    </row>
    <row r="19" spans="1:13" ht="12" customHeight="1">
      <c r="A19" s="394"/>
      <c r="B19" s="408"/>
      <c r="C19" s="409"/>
      <c r="D19" s="409"/>
      <c r="E19" s="410"/>
      <c r="F19" s="394"/>
      <c r="G19" s="394"/>
      <c r="I19" s="395" t="s">
        <v>546</v>
      </c>
      <c r="J19" s="395" t="s">
        <v>151</v>
      </c>
      <c r="K19" s="395" t="str">
        <f t="shared" si="0"/>
        <v>R_F_C_</v>
      </c>
      <c r="L19" s="395">
        <v>14</v>
      </c>
      <c r="M19" s="395" t="s">
        <v>576</v>
      </c>
    </row>
    <row r="20" spans="1:13" ht="13.2">
      <c r="A20" s="394"/>
      <c r="B20" s="394"/>
      <c r="C20" s="394"/>
      <c r="D20" s="394"/>
      <c r="E20" s="394"/>
      <c r="F20" s="394"/>
      <c r="G20" s="394"/>
      <c r="I20" s="395" t="s">
        <v>546</v>
      </c>
      <c r="J20" s="395" t="s">
        <v>540</v>
      </c>
      <c r="K20" s="395" t="str">
        <f t="shared" si="0"/>
        <v>DOMICILIO_CALLE_NÚMERO</v>
      </c>
      <c r="L20" s="395">
        <v>15</v>
      </c>
      <c r="M20" s="395" t="s">
        <v>577</v>
      </c>
    </row>
    <row r="21" spans="1:13" ht="13.2">
      <c r="A21" s="394"/>
      <c r="B21" s="394"/>
      <c r="C21" s="394"/>
      <c r="D21" s="394"/>
      <c r="E21" s="394"/>
      <c r="F21" s="394"/>
      <c r="G21" s="394"/>
      <c r="I21" s="395" t="s">
        <v>546</v>
      </c>
      <c r="J21" s="395" t="s">
        <v>484</v>
      </c>
      <c r="K21" s="395" t="str">
        <f t="shared" si="0"/>
        <v>COLONIA</v>
      </c>
      <c r="L21" s="395">
        <v>16</v>
      </c>
      <c r="M21" s="395" t="s">
        <v>578</v>
      </c>
    </row>
    <row r="22" spans="1:13" ht="13.2">
      <c r="A22" s="394"/>
      <c r="B22" s="396"/>
      <c r="C22" s="533" t="s">
        <v>488</v>
      </c>
      <c r="D22" s="533"/>
      <c r="E22" s="397"/>
      <c r="F22" s="394"/>
      <c r="G22" s="394"/>
      <c r="I22" s="395" t="s">
        <v>546</v>
      </c>
      <c r="J22" s="395" t="s">
        <v>490</v>
      </c>
      <c r="K22" s="395" t="str">
        <f t="shared" si="0"/>
        <v>POBLACION</v>
      </c>
      <c r="L22" s="395">
        <v>17</v>
      </c>
      <c r="M22" s="395" t="s">
        <v>579</v>
      </c>
    </row>
    <row r="23" spans="1:13" ht="12" customHeight="1">
      <c r="A23" s="394"/>
      <c r="B23" s="398"/>
      <c r="C23" s="399"/>
      <c r="D23" s="399"/>
      <c r="E23" s="400"/>
      <c r="F23" s="394"/>
      <c r="G23" s="394"/>
      <c r="I23" s="395" t="s">
        <v>546</v>
      </c>
      <c r="J23" s="395" t="s">
        <v>486</v>
      </c>
      <c r="K23" s="395" t="str">
        <f t="shared" si="0"/>
        <v>ESTADO</v>
      </c>
      <c r="L23" s="395">
        <v>18</v>
      </c>
      <c r="M23" s="395" t="s">
        <v>580</v>
      </c>
    </row>
    <row r="24" spans="1:13" ht="13.2">
      <c r="A24" s="394"/>
      <c r="B24" s="401"/>
      <c r="C24" s="402" t="s">
        <v>489</v>
      </c>
      <c r="D24" s="407"/>
      <c r="E24" s="403"/>
      <c r="F24" s="394"/>
      <c r="G24" s="394"/>
      <c r="I24" s="395" t="s">
        <v>546</v>
      </c>
      <c r="J24" s="395" t="s">
        <v>491</v>
      </c>
      <c r="K24" s="395" t="str">
        <f t="shared" si="0"/>
        <v>NACIONALIDAD</v>
      </c>
      <c r="L24" s="395">
        <v>19</v>
      </c>
      <c r="M24" s="395" t="s">
        <v>581</v>
      </c>
    </row>
    <row r="25" spans="1:13" ht="13.2">
      <c r="A25" s="394"/>
      <c r="B25" s="401"/>
      <c r="C25" s="402" t="s">
        <v>151</v>
      </c>
      <c r="D25" s="407"/>
      <c r="E25" s="403"/>
      <c r="F25" s="394"/>
      <c r="G25" s="394"/>
      <c r="I25" s="395" t="s">
        <v>546</v>
      </c>
      <c r="J25" s="395" t="s">
        <v>492</v>
      </c>
      <c r="K25" s="395" t="str">
        <f t="shared" si="0"/>
        <v>ORIGINARIO</v>
      </c>
      <c r="L25" s="395">
        <v>20</v>
      </c>
      <c r="M25" s="395" t="s">
        <v>582</v>
      </c>
    </row>
    <row r="26" spans="1:13" ht="13.2">
      <c r="A26" s="394"/>
      <c r="B26" s="401"/>
      <c r="C26" s="402" t="s">
        <v>483</v>
      </c>
      <c r="D26" s="407"/>
      <c r="E26" s="403"/>
      <c r="F26" s="394"/>
      <c r="G26" s="394"/>
      <c r="I26" s="395" t="s">
        <v>546</v>
      </c>
      <c r="J26" s="395" t="s">
        <v>493</v>
      </c>
      <c r="K26" s="395" t="str">
        <f t="shared" si="0"/>
        <v>EDAD</v>
      </c>
      <c r="L26" s="395">
        <v>21</v>
      </c>
      <c r="M26" s="395" t="s">
        <v>583</v>
      </c>
    </row>
    <row r="27" spans="1:13" ht="13.2">
      <c r="A27" s="394"/>
      <c r="B27" s="401"/>
      <c r="C27" s="402" t="s">
        <v>484</v>
      </c>
      <c r="D27" s="407"/>
      <c r="E27" s="403"/>
      <c r="F27" s="394"/>
      <c r="G27" s="394"/>
      <c r="I27" s="395" t="s">
        <v>546</v>
      </c>
      <c r="J27" s="395" t="s">
        <v>494</v>
      </c>
      <c r="K27" s="395" t="str">
        <f t="shared" si="0"/>
        <v>ESTADO_CIVIL</v>
      </c>
      <c r="L27" s="395">
        <v>22</v>
      </c>
      <c r="M27" s="395" t="s">
        <v>584</v>
      </c>
    </row>
    <row r="28" spans="1:13" ht="13.2">
      <c r="A28" s="394"/>
      <c r="B28" s="401"/>
      <c r="C28" s="402" t="s">
        <v>490</v>
      </c>
      <c r="D28" s="407"/>
      <c r="E28" s="403"/>
      <c r="F28" s="394"/>
      <c r="G28" s="394"/>
      <c r="I28" s="395" t="s">
        <v>546</v>
      </c>
      <c r="J28" s="395" t="s">
        <v>495</v>
      </c>
      <c r="K28" s="395" t="str">
        <f t="shared" si="0"/>
        <v>TELEFONO</v>
      </c>
      <c r="L28" s="395">
        <v>23</v>
      </c>
      <c r="M28" s="395" t="s">
        <v>585</v>
      </c>
    </row>
    <row r="29" spans="1:13" ht="13.2">
      <c r="A29" s="394"/>
      <c r="B29" s="401"/>
      <c r="C29" s="402" t="s">
        <v>486</v>
      </c>
      <c r="D29" s="407"/>
      <c r="E29" s="403"/>
      <c r="F29" s="394"/>
      <c r="G29" s="394"/>
      <c r="I29" s="395" t="s">
        <v>546</v>
      </c>
      <c r="J29" s="395" t="s">
        <v>496</v>
      </c>
      <c r="K29" s="395" t="str">
        <f t="shared" si="0"/>
        <v>NOMBRE_DEL_ACREDITADO_2</v>
      </c>
      <c r="L29" s="395">
        <v>24</v>
      </c>
      <c r="M29" s="395" t="s">
        <v>586</v>
      </c>
    </row>
    <row r="30" spans="1:13" ht="13.2">
      <c r="A30" s="394"/>
      <c r="B30" s="401"/>
      <c r="C30" s="402" t="s">
        <v>491</v>
      </c>
      <c r="D30" s="407"/>
      <c r="E30" s="403"/>
      <c r="F30" s="394"/>
      <c r="G30" s="394"/>
      <c r="I30" s="395" t="s">
        <v>546</v>
      </c>
      <c r="J30" s="395" t="s">
        <v>151</v>
      </c>
      <c r="K30" s="395" t="str">
        <f t="shared" si="0"/>
        <v>R_F_C_</v>
      </c>
      <c r="L30" s="395">
        <v>25</v>
      </c>
      <c r="M30" s="395" t="s">
        <v>587</v>
      </c>
    </row>
    <row r="31" spans="1:13" ht="13.2">
      <c r="A31" s="394"/>
      <c r="B31" s="401"/>
      <c r="C31" s="402" t="s">
        <v>492</v>
      </c>
      <c r="D31" s="407"/>
      <c r="E31" s="403"/>
      <c r="F31" s="394"/>
      <c r="G31" s="394"/>
      <c r="I31" s="395" t="s">
        <v>546</v>
      </c>
      <c r="J31" s="395" t="s">
        <v>540</v>
      </c>
      <c r="K31" s="395" t="str">
        <f t="shared" si="0"/>
        <v>DOMICILIO_CALLE_NÚMERO</v>
      </c>
      <c r="L31" s="395">
        <v>26</v>
      </c>
      <c r="M31" s="395" t="s">
        <v>588</v>
      </c>
    </row>
    <row r="32" spans="1:13" ht="13.2">
      <c r="A32" s="394"/>
      <c r="B32" s="401"/>
      <c r="C32" s="402" t="s">
        <v>493</v>
      </c>
      <c r="D32" s="407"/>
      <c r="E32" s="403"/>
      <c r="F32" s="394"/>
      <c r="G32" s="394"/>
      <c r="I32" s="395" t="s">
        <v>546</v>
      </c>
      <c r="J32" s="395" t="s">
        <v>484</v>
      </c>
      <c r="K32" s="395" t="str">
        <f t="shared" si="0"/>
        <v>COLONIA</v>
      </c>
      <c r="L32" s="395">
        <v>27</v>
      </c>
      <c r="M32" s="395" t="s">
        <v>589</v>
      </c>
    </row>
    <row r="33" spans="1:13" ht="13.2">
      <c r="A33" s="394"/>
      <c r="B33" s="401"/>
      <c r="C33" s="402" t="s">
        <v>494</v>
      </c>
      <c r="D33" s="407"/>
      <c r="E33" s="403"/>
      <c r="F33" s="394"/>
      <c r="G33" s="394"/>
      <c r="I33" s="395" t="s">
        <v>546</v>
      </c>
      <c r="J33" s="395" t="s">
        <v>490</v>
      </c>
      <c r="K33" s="395" t="str">
        <f t="shared" si="0"/>
        <v>POBLACION</v>
      </c>
      <c r="L33" s="395">
        <v>28</v>
      </c>
      <c r="M33" s="395" t="s">
        <v>590</v>
      </c>
    </row>
    <row r="34" spans="1:13" ht="13.2">
      <c r="A34" s="394"/>
      <c r="B34" s="401"/>
      <c r="C34" s="402" t="s">
        <v>495</v>
      </c>
      <c r="D34" s="407"/>
      <c r="E34" s="403"/>
      <c r="F34" s="394"/>
      <c r="G34" s="394"/>
      <c r="I34" s="395" t="s">
        <v>546</v>
      </c>
      <c r="J34" s="395" t="s">
        <v>486</v>
      </c>
      <c r="K34" s="395" t="str">
        <f t="shared" si="0"/>
        <v>ESTADO</v>
      </c>
      <c r="L34" s="395">
        <v>29</v>
      </c>
      <c r="M34" s="395" t="s">
        <v>591</v>
      </c>
    </row>
    <row r="35" spans="1:13" ht="13.2">
      <c r="A35" s="394"/>
      <c r="B35" s="412"/>
      <c r="C35" s="413" t="s">
        <v>496</v>
      </c>
      <c r="D35" s="414"/>
      <c r="E35" s="415"/>
      <c r="F35" s="394"/>
      <c r="G35" s="394"/>
      <c r="I35" s="395" t="s">
        <v>546</v>
      </c>
      <c r="J35" s="395" t="s">
        <v>491</v>
      </c>
      <c r="K35" s="395" t="str">
        <f t="shared" si="0"/>
        <v>NACIONALIDAD</v>
      </c>
      <c r="L35" s="395">
        <v>30</v>
      </c>
      <c r="M35" s="395" t="s">
        <v>592</v>
      </c>
    </row>
    <row r="36" spans="1:13" ht="13.2">
      <c r="A36" s="394"/>
      <c r="B36" s="412"/>
      <c r="C36" s="413" t="s">
        <v>151</v>
      </c>
      <c r="D36" s="414"/>
      <c r="E36" s="415"/>
      <c r="F36" s="394"/>
      <c r="G36" s="394"/>
      <c r="I36" s="395" t="s">
        <v>546</v>
      </c>
      <c r="J36" s="395" t="s">
        <v>492</v>
      </c>
      <c r="K36" s="395" t="str">
        <f t="shared" si="0"/>
        <v>ORIGINARIO</v>
      </c>
      <c r="L36" s="395">
        <v>31</v>
      </c>
      <c r="M36" s="395" t="s">
        <v>593</v>
      </c>
    </row>
    <row r="37" spans="1:13" ht="13.2">
      <c r="A37" s="394"/>
      <c r="B37" s="412"/>
      <c r="C37" s="413" t="s">
        <v>483</v>
      </c>
      <c r="D37" s="414"/>
      <c r="E37" s="415"/>
      <c r="F37" s="394"/>
      <c r="G37" s="394"/>
      <c r="I37" s="395" t="s">
        <v>546</v>
      </c>
      <c r="J37" s="395" t="s">
        <v>493</v>
      </c>
      <c r="K37" s="395" t="str">
        <f t="shared" si="0"/>
        <v>EDAD</v>
      </c>
      <c r="L37" s="395">
        <v>32</v>
      </c>
      <c r="M37" s="395" t="s">
        <v>594</v>
      </c>
    </row>
    <row r="38" spans="1:13" ht="13.2">
      <c r="A38" s="394"/>
      <c r="B38" s="412"/>
      <c r="C38" s="413" t="s">
        <v>484</v>
      </c>
      <c r="D38" s="414"/>
      <c r="E38" s="415"/>
      <c r="F38" s="394"/>
      <c r="G38" s="394"/>
      <c r="I38" s="395" t="s">
        <v>546</v>
      </c>
      <c r="J38" s="395" t="s">
        <v>494</v>
      </c>
      <c r="K38" s="395" t="str">
        <f t="shared" si="0"/>
        <v>ESTADO_CIVIL</v>
      </c>
      <c r="L38" s="395">
        <v>33</v>
      </c>
      <c r="M38" s="395" t="s">
        <v>595</v>
      </c>
    </row>
    <row r="39" spans="1:13" ht="13.2">
      <c r="A39" s="394"/>
      <c r="B39" s="412"/>
      <c r="C39" s="413" t="s">
        <v>490</v>
      </c>
      <c r="D39" s="414"/>
      <c r="E39" s="415"/>
      <c r="F39" s="394"/>
      <c r="G39" s="394"/>
      <c r="I39" s="395" t="s">
        <v>546</v>
      </c>
      <c r="J39" s="395" t="s">
        <v>495</v>
      </c>
      <c r="K39" s="395" t="str">
        <f t="shared" si="0"/>
        <v>TELEFONO</v>
      </c>
      <c r="L39" s="395">
        <v>34</v>
      </c>
      <c r="M39" s="395" t="s">
        <v>596</v>
      </c>
    </row>
    <row r="40" spans="1:13" ht="13.2">
      <c r="A40" s="394"/>
      <c r="B40" s="412"/>
      <c r="C40" s="413" t="s">
        <v>486</v>
      </c>
      <c r="D40" s="414"/>
      <c r="E40" s="415"/>
      <c r="F40" s="394"/>
      <c r="G40" s="394"/>
      <c r="I40" s="395" t="s">
        <v>547</v>
      </c>
      <c r="J40" s="395" t="s">
        <v>498</v>
      </c>
      <c r="K40" s="395" t="str">
        <f t="shared" si="0"/>
        <v>NOMBRE_APODERADO_DEL_ACREDITADO_UNO</v>
      </c>
      <c r="L40" s="395">
        <v>35</v>
      </c>
      <c r="M40" s="395" t="s">
        <v>597</v>
      </c>
    </row>
    <row r="41" spans="1:13" ht="13.2">
      <c r="A41" s="394"/>
      <c r="B41" s="412"/>
      <c r="C41" s="413" t="s">
        <v>491</v>
      </c>
      <c r="D41" s="414"/>
      <c r="E41" s="415"/>
      <c r="F41" s="394"/>
      <c r="G41" s="394"/>
      <c r="I41" s="395" t="s">
        <v>547</v>
      </c>
      <c r="J41" s="395" t="s">
        <v>499</v>
      </c>
      <c r="K41" s="395" t="str">
        <f t="shared" si="0"/>
        <v>NOMBRE_APODERADO_DEL_ACREDITADO_DOS</v>
      </c>
      <c r="L41" s="395">
        <v>36</v>
      </c>
      <c r="M41" s="395" t="s">
        <v>598</v>
      </c>
    </row>
    <row r="42" spans="1:13" ht="13.2">
      <c r="A42" s="394"/>
      <c r="B42" s="412"/>
      <c r="C42" s="413" t="s">
        <v>492</v>
      </c>
      <c r="D42" s="414"/>
      <c r="E42" s="415"/>
      <c r="F42" s="394"/>
      <c r="G42" s="394"/>
      <c r="I42" s="395" t="s">
        <v>548</v>
      </c>
      <c r="J42" s="395" t="s">
        <v>501</v>
      </c>
      <c r="K42" s="395" t="str">
        <f t="shared" si="0"/>
        <v>NOMBRE_DEL_FIADOR_SOLIDARIO_UNO</v>
      </c>
      <c r="L42" s="395">
        <v>37</v>
      </c>
      <c r="M42" s="395" t="s">
        <v>599</v>
      </c>
    </row>
    <row r="43" spans="1:13" ht="13.2">
      <c r="A43" s="394"/>
      <c r="B43" s="412"/>
      <c r="C43" s="413" t="s">
        <v>493</v>
      </c>
      <c r="D43" s="414"/>
      <c r="E43" s="415"/>
      <c r="F43" s="394"/>
      <c r="G43" s="394"/>
      <c r="I43" s="395" t="s">
        <v>548</v>
      </c>
      <c r="J43" s="395" t="s">
        <v>502</v>
      </c>
      <c r="K43" s="395" t="str">
        <f t="shared" si="0"/>
        <v>RFC</v>
      </c>
      <c r="L43" s="395">
        <v>38</v>
      </c>
      <c r="M43" s="395" t="s">
        <v>600</v>
      </c>
    </row>
    <row r="44" spans="1:13" ht="13.2">
      <c r="A44" s="394"/>
      <c r="B44" s="412"/>
      <c r="C44" s="413" t="s">
        <v>494</v>
      </c>
      <c r="D44" s="414"/>
      <c r="E44" s="415"/>
      <c r="F44" s="394"/>
      <c r="G44" s="394"/>
      <c r="I44" s="395" t="s">
        <v>548</v>
      </c>
      <c r="J44" s="395" t="s">
        <v>540</v>
      </c>
      <c r="K44" s="395" t="str">
        <f t="shared" si="0"/>
        <v>DOMICILIO_CALLE_NÚMERO</v>
      </c>
      <c r="L44" s="395">
        <v>39</v>
      </c>
      <c r="M44" s="395" t="s">
        <v>601</v>
      </c>
    </row>
    <row r="45" spans="1:13" ht="13.2">
      <c r="A45" s="394"/>
      <c r="B45" s="412"/>
      <c r="C45" s="413" t="s">
        <v>495</v>
      </c>
      <c r="D45" s="414"/>
      <c r="E45" s="415"/>
      <c r="F45" s="394"/>
      <c r="G45" s="394"/>
      <c r="I45" s="395" t="s">
        <v>548</v>
      </c>
      <c r="J45" s="395" t="s">
        <v>484</v>
      </c>
      <c r="K45" s="395" t="str">
        <f t="shared" si="0"/>
        <v>COLONIA</v>
      </c>
      <c r="L45" s="395">
        <v>40</v>
      </c>
      <c r="M45" s="395" t="s">
        <v>602</v>
      </c>
    </row>
    <row r="46" spans="1:13" ht="12" customHeight="1">
      <c r="A46" s="394"/>
      <c r="B46" s="408"/>
      <c r="C46" s="409"/>
      <c r="D46" s="409"/>
      <c r="E46" s="410"/>
      <c r="F46" s="394"/>
      <c r="G46" s="394"/>
      <c r="I46" s="395" t="s">
        <v>548</v>
      </c>
      <c r="J46" s="395" t="s">
        <v>485</v>
      </c>
      <c r="K46" s="395" t="str">
        <f t="shared" si="0"/>
        <v>POBLACIÓN</v>
      </c>
      <c r="L46" s="395">
        <v>41</v>
      </c>
      <c r="M46" s="395" t="s">
        <v>603</v>
      </c>
    </row>
    <row r="47" spans="1:13" ht="13.2">
      <c r="A47" s="394"/>
      <c r="B47" s="394"/>
      <c r="C47" s="394"/>
      <c r="D47" s="394"/>
      <c r="E47" s="394"/>
      <c r="F47" s="394"/>
      <c r="G47" s="394"/>
      <c r="I47" s="395" t="s">
        <v>548</v>
      </c>
      <c r="J47" s="395" t="s">
        <v>486</v>
      </c>
      <c r="K47" s="395" t="str">
        <f t="shared" si="0"/>
        <v>ESTADO</v>
      </c>
      <c r="L47" s="395">
        <v>42</v>
      </c>
      <c r="M47" s="395" t="s">
        <v>604</v>
      </c>
    </row>
    <row r="48" spans="1:13" ht="13.2">
      <c r="A48" s="394"/>
      <c r="B48" s="396"/>
      <c r="C48" s="533" t="s">
        <v>497</v>
      </c>
      <c r="D48" s="533"/>
      <c r="E48" s="397"/>
      <c r="F48" s="394"/>
      <c r="G48" s="394"/>
      <c r="I48" s="395" t="s">
        <v>548</v>
      </c>
      <c r="J48" s="395" t="s">
        <v>491</v>
      </c>
      <c r="K48" s="395" t="str">
        <f t="shared" si="0"/>
        <v>NACIONALIDAD</v>
      </c>
      <c r="L48" s="395">
        <v>43</v>
      </c>
      <c r="M48" s="395" t="s">
        <v>605</v>
      </c>
    </row>
    <row r="49" spans="1:13" ht="12" customHeight="1">
      <c r="A49" s="394"/>
      <c r="B49" s="401"/>
      <c r="C49" s="416"/>
      <c r="D49" s="416"/>
      <c r="E49" s="403"/>
      <c r="F49" s="394"/>
      <c r="G49" s="394"/>
      <c r="I49" s="395" t="s">
        <v>548</v>
      </c>
      <c r="J49" s="395" t="s">
        <v>492</v>
      </c>
      <c r="K49" s="395" t="str">
        <f t="shared" si="0"/>
        <v>ORIGINARIO</v>
      </c>
      <c r="L49" s="395">
        <v>44</v>
      </c>
      <c r="M49" s="395" t="s">
        <v>606</v>
      </c>
    </row>
    <row r="50" spans="1:13" ht="13.2">
      <c r="A50" s="394"/>
      <c r="B50" s="401"/>
      <c r="C50" s="402" t="s">
        <v>498</v>
      </c>
      <c r="D50" s="407"/>
      <c r="E50" s="403"/>
      <c r="F50" s="394"/>
      <c r="G50" s="394"/>
      <c r="I50" s="395" t="s">
        <v>548</v>
      </c>
      <c r="J50" s="395" t="s">
        <v>493</v>
      </c>
      <c r="K50" s="395" t="str">
        <f t="shared" si="0"/>
        <v>EDAD</v>
      </c>
      <c r="L50" s="395">
        <v>45</v>
      </c>
      <c r="M50" s="395" t="s">
        <v>607</v>
      </c>
    </row>
    <row r="51" spans="1:13" ht="13.2">
      <c r="A51" s="394"/>
      <c r="B51" s="417"/>
      <c r="C51" s="418" t="s">
        <v>499</v>
      </c>
      <c r="D51" s="419"/>
      <c r="E51" s="415"/>
      <c r="F51" s="394"/>
      <c r="G51" s="394"/>
      <c r="I51" s="395" t="s">
        <v>548</v>
      </c>
      <c r="J51" s="395" t="s">
        <v>494</v>
      </c>
      <c r="K51" s="395" t="str">
        <f t="shared" si="0"/>
        <v>ESTADO_CIVIL</v>
      </c>
      <c r="L51" s="395">
        <v>46</v>
      </c>
      <c r="M51" s="395" t="s">
        <v>608</v>
      </c>
    </row>
    <row r="52" spans="1:13" ht="13.2">
      <c r="A52" s="394"/>
      <c r="B52" s="401"/>
      <c r="C52" s="402" t="s">
        <v>662</v>
      </c>
      <c r="D52" s="407"/>
      <c r="E52" s="403"/>
      <c r="F52" s="394"/>
      <c r="G52" s="394"/>
    </row>
    <row r="53" spans="1:13" ht="12" customHeight="1">
      <c r="A53" s="394"/>
      <c r="B53" s="408"/>
      <c r="C53" s="409"/>
      <c r="D53" s="409"/>
      <c r="E53" s="410"/>
      <c r="F53" s="394"/>
      <c r="G53" s="394"/>
      <c r="I53" s="395" t="s">
        <v>548</v>
      </c>
      <c r="J53" s="395" t="s">
        <v>495</v>
      </c>
      <c r="K53" s="395" t="str">
        <f t="shared" si="0"/>
        <v>TELEFONO</v>
      </c>
      <c r="L53" s="395">
        <v>47</v>
      </c>
      <c r="M53" s="395" t="s">
        <v>609</v>
      </c>
    </row>
    <row r="54" spans="1:13" ht="13.2">
      <c r="A54" s="394"/>
      <c r="B54" s="420"/>
      <c r="C54" s="420"/>
      <c r="D54" s="420"/>
      <c r="E54" s="420"/>
      <c r="F54" s="394"/>
      <c r="G54" s="394"/>
      <c r="I54" s="395" t="s">
        <v>548</v>
      </c>
      <c r="J54" s="395" t="s">
        <v>503</v>
      </c>
      <c r="K54" s="395" t="str">
        <f t="shared" si="0"/>
        <v>NOMBRE_DEL_FIADOR_SOLIDARIO_DOS</v>
      </c>
      <c r="L54" s="395">
        <v>48</v>
      </c>
      <c r="M54" s="395" t="s">
        <v>610</v>
      </c>
    </row>
    <row r="55" spans="1:13" ht="13.2">
      <c r="A55" s="394"/>
      <c r="B55" s="396"/>
      <c r="C55" s="533" t="s">
        <v>500</v>
      </c>
      <c r="D55" s="533"/>
      <c r="E55" s="397"/>
      <c r="F55" s="394"/>
      <c r="G55" s="394"/>
      <c r="I55" s="395" t="s">
        <v>548</v>
      </c>
      <c r="J55" s="395" t="s">
        <v>502</v>
      </c>
      <c r="K55" s="395" t="str">
        <f t="shared" si="0"/>
        <v>RFC</v>
      </c>
      <c r="L55" s="395">
        <v>49</v>
      </c>
      <c r="M55" s="395" t="s">
        <v>611</v>
      </c>
    </row>
    <row r="56" spans="1:13" ht="12" customHeight="1">
      <c r="A56" s="394"/>
      <c r="B56" s="398"/>
      <c r="C56" s="399"/>
      <c r="D56" s="399"/>
      <c r="E56" s="400"/>
      <c r="F56" s="394"/>
      <c r="G56" s="394"/>
      <c r="I56" s="395" t="s">
        <v>548</v>
      </c>
      <c r="J56" s="395" t="s">
        <v>540</v>
      </c>
      <c r="K56" s="395" t="str">
        <f t="shared" si="0"/>
        <v>DOMICILIO_CALLE_NÚMERO</v>
      </c>
      <c r="L56" s="395">
        <v>50</v>
      </c>
      <c r="M56" s="395" t="s">
        <v>612</v>
      </c>
    </row>
    <row r="57" spans="1:13" ht="13.2">
      <c r="A57" s="394"/>
      <c r="B57" s="401"/>
      <c r="C57" s="402" t="s">
        <v>501</v>
      </c>
      <c r="D57" s="407"/>
      <c r="E57" s="403"/>
      <c r="F57" s="394"/>
      <c r="G57" s="394"/>
      <c r="I57" s="395" t="s">
        <v>548</v>
      </c>
      <c r="J57" s="395" t="s">
        <v>484</v>
      </c>
      <c r="K57" s="395" t="str">
        <f t="shared" si="0"/>
        <v>COLONIA</v>
      </c>
      <c r="L57" s="395">
        <v>51</v>
      </c>
      <c r="M57" s="395" t="s">
        <v>613</v>
      </c>
    </row>
    <row r="58" spans="1:13" ht="13.2">
      <c r="A58" s="394"/>
      <c r="B58" s="401"/>
      <c r="C58" s="402" t="s">
        <v>502</v>
      </c>
      <c r="D58" s="407"/>
      <c r="E58" s="403"/>
      <c r="F58" s="394"/>
      <c r="G58" s="394"/>
      <c r="I58" s="395" t="s">
        <v>548</v>
      </c>
      <c r="J58" s="395" t="s">
        <v>485</v>
      </c>
      <c r="K58" s="395" t="str">
        <f t="shared" si="0"/>
        <v>POBLACIÓN</v>
      </c>
      <c r="L58" s="395">
        <v>52</v>
      </c>
      <c r="M58" s="395" t="s">
        <v>614</v>
      </c>
    </row>
    <row r="59" spans="1:13" ht="13.2">
      <c r="A59" s="394"/>
      <c r="B59" s="401"/>
      <c r="C59" s="402" t="s">
        <v>483</v>
      </c>
      <c r="D59" s="407"/>
      <c r="E59" s="403"/>
      <c r="F59" s="394"/>
      <c r="G59" s="394"/>
      <c r="I59" s="395" t="s">
        <v>548</v>
      </c>
      <c r="J59" s="395" t="s">
        <v>486</v>
      </c>
      <c r="K59" s="395" t="str">
        <f t="shared" si="0"/>
        <v>ESTADO</v>
      </c>
      <c r="L59" s="395">
        <v>53</v>
      </c>
      <c r="M59" s="395" t="s">
        <v>615</v>
      </c>
    </row>
    <row r="60" spans="1:13" ht="13.2">
      <c r="A60" s="394"/>
      <c r="B60" s="401"/>
      <c r="C60" s="402" t="s">
        <v>484</v>
      </c>
      <c r="D60" s="407"/>
      <c r="E60" s="403"/>
      <c r="F60" s="394"/>
      <c r="G60" s="394"/>
      <c r="I60" s="395" t="s">
        <v>548</v>
      </c>
      <c r="J60" s="395" t="s">
        <v>491</v>
      </c>
      <c r="K60" s="395" t="str">
        <f t="shared" si="0"/>
        <v>NACIONALIDAD</v>
      </c>
      <c r="L60" s="395">
        <v>54</v>
      </c>
      <c r="M60" s="395" t="s">
        <v>616</v>
      </c>
    </row>
    <row r="61" spans="1:13" ht="13.2">
      <c r="A61" s="394"/>
      <c r="B61" s="401"/>
      <c r="C61" s="402" t="s">
        <v>485</v>
      </c>
      <c r="D61" s="407"/>
      <c r="E61" s="403"/>
      <c r="F61" s="394"/>
      <c r="G61" s="394"/>
      <c r="I61" s="395" t="s">
        <v>548</v>
      </c>
      <c r="J61" s="395" t="s">
        <v>492</v>
      </c>
      <c r="K61" s="395" t="str">
        <f t="shared" si="0"/>
        <v>ORIGINARIO</v>
      </c>
      <c r="L61" s="395">
        <v>55</v>
      </c>
      <c r="M61" s="395" t="s">
        <v>617</v>
      </c>
    </row>
    <row r="62" spans="1:13" ht="13.2">
      <c r="A62" s="394"/>
      <c r="B62" s="401"/>
      <c r="C62" s="402" t="s">
        <v>486</v>
      </c>
      <c r="D62" s="407"/>
      <c r="E62" s="403"/>
      <c r="F62" s="394"/>
      <c r="G62" s="394"/>
      <c r="I62" s="395" t="s">
        <v>548</v>
      </c>
      <c r="J62" s="395" t="s">
        <v>493</v>
      </c>
      <c r="K62" s="395" t="str">
        <f t="shared" si="0"/>
        <v>EDAD</v>
      </c>
      <c r="L62" s="395">
        <v>56</v>
      </c>
      <c r="M62" s="395" t="s">
        <v>618</v>
      </c>
    </row>
    <row r="63" spans="1:13" ht="13.2">
      <c r="A63" s="394"/>
      <c r="B63" s="401"/>
      <c r="C63" s="402" t="s">
        <v>491</v>
      </c>
      <c r="D63" s="407"/>
      <c r="E63" s="403"/>
      <c r="F63" s="394"/>
      <c r="G63" s="394"/>
      <c r="I63" s="395" t="s">
        <v>548</v>
      </c>
      <c r="J63" s="395" t="s">
        <v>494</v>
      </c>
      <c r="K63" s="395" t="str">
        <f t="shared" si="0"/>
        <v>ESTADO_CIVIL</v>
      </c>
      <c r="L63" s="395">
        <v>57</v>
      </c>
      <c r="M63" s="395" t="s">
        <v>619</v>
      </c>
    </row>
    <row r="64" spans="1:13" ht="13.2">
      <c r="A64" s="394"/>
      <c r="B64" s="401"/>
      <c r="C64" s="402" t="s">
        <v>492</v>
      </c>
      <c r="D64" s="407"/>
      <c r="E64" s="403"/>
      <c r="F64" s="394"/>
      <c r="G64" s="394"/>
      <c r="I64" s="395" t="s">
        <v>548</v>
      </c>
      <c r="J64" s="395" t="s">
        <v>495</v>
      </c>
      <c r="K64" s="395" t="str">
        <f t="shared" si="0"/>
        <v>TELEFONO</v>
      </c>
      <c r="L64" s="395">
        <v>58</v>
      </c>
      <c r="M64" s="395" t="s">
        <v>620</v>
      </c>
    </row>
    <row r="65" spans="1:13" ht="13.2">
      <c r="A65" s="394"/>
      <c r="B65" s="401"/>
      <c r="C65" s="402" t="s">
        <v>493</v>
      </c>
      <c r="D65" s="407"/>
      <c r="E65" s="403"/>
      <c r="F65" s="394"/>
      <c r="G65" s="394"/>
      <c r="I65" s="395" t="s">
        <v>548</v>
      </c>
      <c r="J65" s="395" t="s">
        <v>504</v>
      </c>
      <c r="K65" s="395" t="str">
        <f t="shared" si="0"/>
        <v>NOMBRE_DEL_FIADOR_SOLIDARIO_TRES</v>
      </c>
      <c r="L65" s="395">
        <v>59</v>
      </c>
      <c r="M65" s="395" t="s">
        <v>621</v>
      </c>
    </row>
    <row r="66" spans="1:13" ht="13.2">
      <c r="A66" s="394"/>
      <c r="B66" s="401"/>
      <c r="C66" s="402" t="s">
        <v>494</v>
      </c>
      <c r="D66" s="407"/>
      <c r="E66" s="403"/>
      <c r="F66" s="394"/>
      <c r="G66" s="394"/>
      <c r="I66" s="395" t="s">
        <v>548</v>
      </c>
      <c r="J66" s="395" t="s">
        <v>502</v>
      </c>
      <c r="K66" s="395" t="str">
        <f t="shared" si="0"/>
        <v>RFC</v>
      </c>
      <c r="L66" s="395">
        <v>60</v>
      </c>
      <c r="M66" s="395" t="s">
        <v>622</v>
      </c>
    </row>
    <row r="67" spans="1:13" ht="13.2">
      <c r="A67" s="394"/>
      <c r="B67" s="401"/>
      <c r="C67" s="402" t="s">
        <v>495</v>
      </c>
      <c r="D67" s="407"/>
      <c r="E67" s="403"/>
      <c r="F67" s="394"/>
      <c r="G67" s="394"/>
      <c r="I67" s="395" t="s">
        <v>548</v>
      </c>
      <c r="J67" s="395" t="s">
        <v>540</v>
      </c>
      <c r="K67" s="395" t="str">
        <f t="shared" si="0"/>
        <v>DOMICILIO_CALLE_NÚMERO</v>
      </c>
      <c r="L67" s="395">
        <v>61</v>
      </c>
      <c r="M67" s="395" t="s">
        <v>623</v>
      </c>
    </row>
    <row r="68" spans="1:13" ht="13.2">
      <c r="A68" s="394"/>
      <c r="B68" s="412"/>
      <c r="C68" s="413" t="s">
        <v>503</v>
      </c>
      <c r="D68" s="414"/>
      <c r="E68" s="421"/>
      <c r="F68" s="394"/>
      <c r="G68" s="394"/>
      <c r="I68" s="395" t="s">
        <v>548</v>
      </c>
      <c r="J68" s="395" t="s">
        <v>484</v>
      </c>
      <c r="K68" s="395" t="str">
        <f t="shared" si="0"/>
        <v>COLONIA</v>
      </c>
      <c r="L68" s="395">
        <v>62</v>
      </c>
      <c r="M68" s="395" t="s">
        <v>624</v>
      </c>
    </row>
    <row r="69" spans="1:13" ht="13.2">
      <c r="A69" s="394"/>
      <c r="B69" s="412"/>
      <c r="C69" s="413" t="s">
        <v>502</v>
      </c>
      <c r="D69" s="414"/>
      <c r="E69" s="421"/>
      <c r="F69" s="394"/>
      <c r="G69" s="394"/>
      <c r="I69" s="395" t="s">
        <v>548</v>
      </c>
      <c r="J69" s="395" t="s">
        <v>485</v>
      </c>
      <c r="K69" s="395" t="str">
        <f t="shared" si="0"/>
        <v>POBLACIÓN</v>
      </c>
      <c r="L69" s="395">
        <v>63</v>
      </c>
      <c r="M69" s="395" t="s">
        <v>625</v>
      </c>
    </row>
    <row r="70" spans="1:13" ht="13.2">
      <c r="A70" s="394"/>
      <c r="B70" s="412"/>
      <c r="C70" s="413" t="s">
        <v>483</v>
      </c>
      <c r="D70" s="414"/>
      <c r="E70" s="421"/>
      <c r="F70" s="394"/>
      <c r="G70" s="394"/>
      <c r="I70" s="395" t="s">
        <v>548</v>
      </c>
      <c r="J70" s="395" t="s">
        <v>486</v>
      </c>
      <c r="K70" s="395" t="str">
        <f t="shared" si="0"/>
        <v>ESTADO</v>
      </c>
      <c r="L70" s="395">
        <v>64</v>
      </c>
      <c r="M70" s="395" t="s">
        <v>626</v>
      </c>
    </row>
    <row r="71" spans="1:13" ht="13.2">
      <c r="A71" s="394"/>
      <c r="B71" s="412"/>
      <c r="C71" s="413" t="s">
        <v>484</v>
      </c>
      <c r="D71" s="414"/>
      <c r="E71" s="421"/>
      <c r="F71" s="394"/>
      <c r="G71" s="394"/>
      <c r="I71" s="395" t="s">
        <v>548</v>
      </c>
      <c r="J71" s="395" t="s">
        <v>491</v>
      </c>
      <c r="K71" s="395" t="str">
        <f t="shared" si="0"/>
        <v>NACIONALIDAD</v>
      </c>
      <c r="L71" s="395">
        <v>65</v>
      </c>
      <c r="M71" s="395" t="s">
        <v>627</v>
      </c>
    </row>
    <row r="72" spans="1:13" ht="13.2">
      <c r="A72" s="394"/>
      <c r="B72" s="412"/>
      <c r="C72" s="413" t="s">
        <v>485</v>
      </c>
      <c r="D72" s="414"/>
      <c r="E72" s="421"/>
      <c r="F72" s="394"/>
      <c r="G72" s="394"/>
      <c r="I72" s="395" t="s">
        <v>548</v>
      </c>
      <c r="J72" s="395" t="s">
        <v>492</v>
      </c>
      <c r="K72" s="395" t="str">
        <f t="shared" ref="K72:K112" si="1">UPPER(SUBSTITUTE(SUBSTITUTE(TRIM(J72),".","_")," ","_"))</f>
        <v>ORIGINARIO</v>
      </c>
      <c r="L72" s="395">
        <v>66</v>
      </c>
      <c r="M72" s="395" t="s">
        <v>628</v>
      </c>
    </row>
    <row r="73" spans="1:13" ht="13.2">
      <c r="A73" s="394"/>
      <c r="B73" s="412"/>
      <c r="C73" s="413" t="s">
        <v>486</v>
      </c>
      <c r="D73" s="414"/>
      <c r="E73" s="421"/>
      <c r="F73" s="394"/>
      <c r="G73" s="394"/>
      <c r="I73" s="395" t="s">
        <v>548</v>
      </c>
      <c r="J73" s="395" t="s">
        <v>493</v>
      </c>
      <c r="K73" s="395" t="str">
        <f t="shared" si="1"/>
        <v>EDAD</v>
      </c>
      <c r="L73" s="395">
        <v>67</v>
      </c>
      <c r="M73" s="395" t="s">
        <v>629</v>
      </c>
    </row>
    <row r="74" spans="1:13" ht="13.2">
      <c r="A74" s="394"/>
      <c r="B74" s="412"/>
      <c r="C74" s="413" t="s">
        <v>491</v>
      </c>
      <c r="D74" s="414"/>
      <c r="E74" s="421"/>
      <c r="F74" s="394"/>
      <c r="G74" s="394"/>
      <c r="I74" s="395" t="s">
        <v>548</v>
      </c>
      <c r="J74" s="395" t="s">
        <v>494</v>
      </c>
      <c r="K74" s="395" t="str">
        <f t="shared" si="1"/>
        <v>ESTADO_CIVIL</v>
      </c>
      <c r="L74" s="395">
        <v>68</v>
      </c>
      <c r="M74" s="395" t="s">
        <v>630</v>
      </c>
    </row>
    <row r="75" spans="1:13" ht="13.2">
      <c r="A75" s="394"/>
      <c r="B75" s="412"/>
      <c r="C75" s="413" t="s">
        <v>492</v>
      </c>
      <c r="D75" s="414"/>
      <c r="E75" s="421"/>
      <c r="F75" s="394"/>
      <c r="G75" s="394"/>
      <c r="I75" s="395" t="s">
        <v>548</v>
      </c>
      <c r="J75" s="395" t="s">
        <v>495</v>
      </c>
      <c r="K75" s="395" t="str">
        <f t="shared" si="1"/>
        <v>TELEFONO</v>
      </c>
      <c r="L75" s="395">
        <v>69</v>
      </c>
      <c r="M75" s="395" t="s">
        <v>631</v>
      </c>
    </row>
    <row r="76" spans="1:13" ht="13.2">
      <c r="A76" s="394"/>
      <c r="B76" s="412"/>
      <c r="C76" s="413" t="s">
        <v>493</v>
      </c>
      <c r="D76" s="414"/>
      <c r="E76" s="421"/>
      <c r="F76" s="394"/>
      <c r="G76" s="394"/>
      <c r="I76" s="395" t="s">
        <v>549</v>
      </c>
      <c r="J76" s="395" t="s">
        <v>506</v>
      </c>
      <c r="K76" s="395" t="str">
        <f t="shared" si="1"/>
        <v>NOMBRE_APODERADO_DEL_FIADOR_SOLIDARIO_UNO</v>
      </c>
      <c r="L76" s="395">
        <v>70</v>
      </c>
      <c r="M76" s="395" t="s">
        <v>632</v>
      </c>
    </row>
    <row r="77" spans="1:13" ht="13.2">
      <c r="A77" s="394"/>
      <c r="B77" s="412"/>
      <c r="C77" s="413" t="s">
        <v>494</v>
      </c>
      <c r="D77" s="414"/>
      <c r="E77" s="421"/>
      <c r="F77" s="394"/>
      <c r="G77" s="394"/>
      <c r="I77" s="395" t="s">
        <v>549</v>
      </c>
      <c r="J77" s="395" t="s">
        <v>507</v>
      </c>
      <c r="K77" s="395" t="str">
        <f t="shared" si="1"/>
        <v>NOMBRE_APODERADO_DEL_FIADOR_SOLIDARIO_DOS</v>
      </c>
      <c r="L77" s="395">
        <v>71</v>
      </c>
      <c r="M77" s="395" t="s">
        <v>633</v>
      </c>
    </row>
    <row r="78" spans="1:13" ht="13.2">
      <c r="A78" s="394"/>
      <c r="B78" s="412"/>
      <c r="C78" s="413" t="s">
        <v>495</v>
      </c>
      <c r="D78" s="414"/>
      <c r="E78" s="421"/>
      <c r="F78" s="394"/>
      <c r="G78" s="394"/>
      <c r="I78" s="395" t="s">
        <v>549</v>
      </c>
      <c r="J78" s="395" t="s">
        <v>508</v>
      </c>
      <c r="K78" s="395" t="str">
        <f t="shared" si="1"/>
        <v>NOMBRE_APODERADO_DEL_FIADOR_SOLIDARIO_TRES</v>
      </c>
      <c r="L78" s="395">
        <v>72</v>
      </c>
      <c r="M78" s="395" t="s">
        <v>634</v>
      </c>
    </row>
    <row r="79" spans="1:13" ht="13.2">
      <c r="A79" s="394"/>
      <c r="B79" s="401"/>
      <c r="C79" s="402" t="s">
        <v>504</v>
      </c>
      <c r="D79" s="407"/>
      <c r="E79" s="403"/>
      <c r="F79" s="394"/>
      <c r="G79" s="394"/>
      <c r="I79" s="395" t="s">
        <v>550</v>
      </c>
      <c r="J79" s="395" t="s">
        <v>685</v>
      </c>
      <c r="K79" s="395" t="str">
        <f t="shared" si="1"/>
        <v>IMPORTE_NÚMERO</v>
      </c>
      <c r="L79" s="395">
        <v>73</v>
      </c>
      <c r="M79" s="395" t="s">
        <v>635</v>
      </c>
    </row>
    <row r="80" spans="1:13" ht="13.2">
      <c r="A80" s="394"/>
      <c r="B80" s="401"/>
      <c r="C80" s="402" t="s">
        <v>502</v>
      </c>
      <c r="D80" s="407"/>
      <c r="E80" s="403"/>
      <c r="F80" s="394"/>
      <c r="G80" s="394"/>
      <c r="I80" s="395" t="s">
        <v>550</v>
      </c>
      <c r="J80" s="395" t="s">
        <v>541</v>
      </c>
      <c r="K80" s="395" t="str">
        <f t="shared" si="1"/>
        <v>PLAZO_DEL_CRÉDITO_MESES</v>
      </c>
      <c r="L80" s="395">
        <v>74</v>
      </c>
      <c r="M80" s="395" t="s">
        <v>636</v>
      </c>
    </row>
    <row r="81" spans="1:13" ht="13.2">
      <c r="A81" s="394"/>
      <c r="B81" s="401"/>
      <c r="C81" s="402" t="s">
        <v>483</v>
      </c>
      <c r="D81" s="407"/>
      <c r="E81" s="403"/>
      <c r="F81" s="394"/>
      <c r="G81" s="394"/>
      <c r="I81" s="395" t="s">
        <v>550</v>
      </c>
      <c r="J81" s="395" t="s">
        <v>511</v>
      </c>
      <c r="K81" s="395" t="str">
        <f t="shared" si="1"/>
        <v>FECHA_DE_VENCIMIENTO</v>
      </c>
      <c r="L81" s="395">
        <v>75</v>
      </c>
      <c r="M81" s="395" t="s">
        <v>637</v>
      </c>
    </row>
    <row r="82" spans="1:13" ht="13.2">
      <c r="A82" s="394"/>
      <c r="B82" s="401"/>
      <c r="C82" s="402" t="s">
        <v>484</v>
      </c>
      <c r="D82" s="407"/>
      <c r="E82" s="403"/>
      <c r="F82" s="394"/>
      <c r="G82" s="394"/>
      <c r="I82" s="395" t="s">
        <v>550</v>
      </c>
      <c r="J82" s="395" t="s">
        <v>512</v>
      </c>
      <c r="K82" s="395" t="str">
        <f t="shared" si="1"/>
        <v>CUENTA_DE_CHEQUES</v>
      </c>
      <c r="L82" s="395">
        <v>76</v>
      </c>
      <c r="M82" s="395" t="s">
        <v>638</v>
      </c>
    </row>
    <row r="83" spans="1:13" ht="13.2">
      <c r="A83" s="394"/>
      <c r="B83" s="401"/>
      <c r="C83" s="402" t="s">
        <v>485</v>
      </c>
      <c r="D83" s="407"/>
      <c r="E83" s="403"/>
      <c r="F83" s="394"/>
      <c r="G83" s="394"/>
      <c r="I83" s="395" t="s">
        <v>550</v>
      </c>
      <c r="J83" s="395" t="s">
        <v>33</v>
      </c>
      <c r="K83" s="395" t="str">
        <f t="shared" si="1"/>
        <v>COMISIÓN_POR_APERTURA</v>
      </c>
      <c r="L83" s="395">
        <v>77</v>
      </c>
      <c r="M83" s="395" t="s">
        <v>639</v>
      </c>
    </row>
    <row r="84" spans="1:13" ht="13.2">
      <c r="A84" s="394"/>
      <c r="B84" s="401"/>
      <c r="C84" s="402" t="s">
        <v>486</v>
      </c>
      <c r="D84" s="407"/>
      <c r="E84" s="403"/>
      <c r="F84" s="394"/>
      <c r="G84" s="394"/>
      <c r="I84" s="395" t="s">
        <v>550</v>
      </c>
      <c r="J84" s="395" t="s">
        <v>429</v>
      </c>
      <c r="K84" s="395" t="str">
        <f t="shared" si="1"/>
        <v>CAT_SIN_IVA</v>
      </c>
      <c r="L84" s="395">
        <v>78</v>
      </c>
      <c r="M84" s="395" t="s">
        <v>640</v>
      </c>
    </row>
    <row r="85" spans="1:13" ht="13.2">
      <c r="A85" s="394"/>
      <c r="B85" s="401"/>
      <c r="C85" s="402" t="s">
        <v>491</v>
      </c>
      <c r="D85" s="407"/>
      <c r="E85" s="403"/>
      <c r="F85" s="394"/>
      <c r="G85" s="394"/>
      <c r="I85" s="395" t="s">
        <v>550</v>
      </c>
      <c r="J85" s="395" t="s">
        <v>513</v>
      </c>
      <c r="K85" s="395" t="str">
        <f t="shared" si="1"/>
        <v>PORCENTAJE_DE_INTERÉS_TASA_FIJA</v>
      </c>
      <c r="L85" s="395">
        <v>79</v>
      </c>
      <c r="M85" s="395" t="s">
        <v>641</v>
      </c>
    </row>
    <row r="86" spans="1:13" ht="13.2">
      <c r="A86" s="394"/>
      <c r="B86" s="401"/>
      <c r="C86" s="402" t="s">
        <v>492</v>
      </c>
      <c r="D86" s="407"/>
      <c r="E86" s="403"/>
      <c r="F86" s="394"/>
      <c r="G86" s="394"/>
      <c r="I86" s="395" t="s">
        <v>550</v>
      </c>
      <c r="J86" s="395" t="s">
        <v>542</v>
      </c>
      <c r="K86" s="395" t="str">
        <f t="shared" si="1"/>
        <v>DIFERENCIAL_TASA_VARIABLE_TIIE</v>
      </c>
      <c r="L86" s="395">
        <v>80</v>
      </c>
      <c r="M86" s="395" t="s">
        <v>642</v>
      </c>
    </row>
    <row r="87" spans="1:13" ht="13.2">
      <c r="A87" s="394"/>
      <c r="B87" s="401"/>
      <c r="C87" s="402" t="s">
        <v>493</v>
      </c>
      <c r="D87" s="407"/>
      <c r="E87" s="403"/>
      <c r="F87" s="394"/>
      <c r="G87" s="394"/>
      <c r="I87" s="395" t="s">
        <v>550</v>
      </c>
      <c r="J87" s="395" t="s">
        <v>514</v>
      </c>
      <c r="K87" s="395" t="str">
        <f t="shared" si="1"/>
        <v>MESES_DE_GRACIA_DE_CAPITAL</v>
      </c>
      <c r="L87" s="395">
        <v>81</v>
      </c>
      <c r="M87" s="395" t="s">
        <v>643</v>
      </c>
    </row>
    <row r="88" spans="1:13" ht="13.2">
      <c r="A88" s="394"/>
      <c r="B88" s="401"/>
      <c r="C88" s="402" t="s">
        <v>494</v>
      </c>
      <c r="D88" s="407"/>
      <c r="E88" s="403"/>
      <c r="F88" s="394"/>
      <c r="G88" s="394"/>
      <c r="I88" s="395" t="s">
        <v>550</v>
      </c>
      <c r="J88" s="395" t="s">
        <v>515</v>
      </c>
      <c r="K88" s="395" t="str">
        <f t="shared" si="1"/>
        <v>DÍA_DE_PAGO_DE_CAPITAL_E_INTERESES_ORDINARIOS</v>
      </c>
      <c r="L88" s="395">
        <v>82</v>
      </c>
      <c r="M88" s="395" t="s">
        <v>644</v>
      </c>
    </row>
    <row r="89" spans="1:13" ht="13.2">
      <c r="A89" s="394"/>
      <c r="B89" s="401"/>
      <c r="C89" s="402" t="s">
        <v>495</v>
      </c>
      <c r="D89" s="407"/>
      <c r="E89" s="403"/>
      <c r="F89" s="394"/>
      <c r="G89" s="394"/>
      <c r="I89" s="395" t="s">
        <v>550</v>
      </c>
      <c r="J89" s="395" t="s">
        <v>516</v>
      </c>
      <c r="K89" s="395" t="str">
        <f t="shared" si="1"/>
        <v>DESTINO_DEL_CRÉDITO</v>
      </c>
      <c r="L89" s="395">
        <v>83</v>
      </c>
      <c r="M89" s="395" t="s">
        <v>645</v>
      </c>
    </row>
    <row r="90" spans="1:13" ht="12" customHeight="1">
      <c r="A90" s="394"/>
      <c r="B90" s="408"/>
      <c r="C90" s="409"/>
      <c r="D90" s="409"/>
      <c r="E90" s="410"/>
      <c r="F90" s="394"/>
      <c r="G90" s="394"/>
      <c r="I90" s="395" t="s">
        <v>550</v>
      </c>
      <c r="J90" s="395" t="s">
        <v>517</v>
      </c>
      <c r="K90" s="395" t="str">
        <f t="shared" si="1"/>
        <v>PORCENTAJE_DE_COMISIÓN_POR_PAGOS_ANTICIPADOS</v>
      </c>
      <c r="L90" s="395">
        <v>84</v>
      </c>
      <c r="M90" s="395" t="s">
        <v>646</v>
      </c>
    </row>
    <row r="91" spans="1:13" ht="13.2">
      <c r="A91" s="394"/>
      <c r="B91" s="394"/>
      <c r="C91" s="394"/>
      <c r="D91" s="394"/>
      <c r="E91" s="394"/>
      <c r="F91" s="394"/>
      <c r="G91" s="394"/>
      <c r="I91" s="395" t="s">
        <v>550</v>
      </c>
      <c r="J91" s="395" t="s">
        <v>543</v>
      </c>
      <c r="K91" s="395" t="str">
        <f t="shared" si="1"/>
        <v>DIFERENCIAL_PUNTOS_PORCENTUALES_LIBOR</v>
      </c>
      <c r="L91" s="395">
        <v>85</v>
      </c>
      <c r="M91" s="395" t="s">
        <v>647</v>
      </c>
    </row>
    <row r="92" spans="1:13" ht="13.2">
      <c r="A92" s="394"/>
      <c r="B92" s="396"/>
      <c r="C92" s="533" t="s">
        <v>505</v>
      </c>
      <c r="D92" s="533"/>
      <c r="E92" s="397"/>
      <c r="F92" s="394"/>
      <c r="G92" s="394"/>
      <c r="I92" s="395" t="s">
        <v>550</v>
      </c>
      <c r="J92" s="395" t="s">
        <v>519</v>
      </c>
      <c r="K92" s="395" t="str">
        <f t="shared" si="1"/>
        <v>FECHA_DE_PRIMER_PAGO</v>
      </c>
      <c r="L92" s="395">
        <v>86</v>
      </c>
      <c r="M92" s="395" t="s">
        <v>648</v>
      </c>
    </row>
    <row r="93" spans="1:13" ht="12" customHeight="1">
      <c r="A93" s="394"/>
      <c r="B93" s="401"/>
      <c r="C93" s="416"/>
      <c r="D93" s="416"/>
      <c r="E93" s="403"/>
      <c r="F93" s="394"/>
      <c r="G93" s="394"/>
      <c r="I93" s="395" t="s">
        <v>550</v>
      </c>
      <c r="J93" s="395" t="s">
        <v>520</v>
      </c>
      <c r="K93" s="395" t="str">
        <f t="shared" si="1"/>
        <v>FECHA_DE_SEGUNDO_PAGO</v>
      </c>
      <c r="L93" s="395">
        <v>87</v>
      </c>
      <c r="M93" s="395" t="s">
        <v>649</v>
      </c>
    </row>
    <row r="94" spans="1:13" ht="13.2">
      <c r="A94" s="394"/>
      <c r="B94" s="401"/>
      <c r="C94" s="402" t="s">
        <v>506</v>
      </c>
      <c r="D94" s="407"/>
      <c r="E94" s="403"/>
      <c r="F94" s="394"/>
      <c r="G94" s="394"/>
      <c r="I94" s="395" t="s">
        <v>550</v>
      </c>
      <c r="J94" s="395" t="s">
        <v>521</v>
      </c>
      <c r="K94" s="395" t="str">
        <f t="shared" si="1"/>
        <v>FECHA_DE_TERCER_PAGO</v>
      </c>
      <c r="L94" s="395">
        <v>88</v>
      </c>
      <c r="M94" s="395" t="s">
        <v>650</v>
      </c>
    </row>
    <row r="95" spans="1:13" ht="13.2">
      <c r="A95" s="394"/>
      <c r="B95" s="417"/>
      <c r="C95" s="418" t="s">
        <v>507</v>
      </c>
      <c r="D95" s="419"/>
      <c r="E95" s="415"/>
      <c r="F95" s="394"/>
      <c r="G95" s="394"/>
      <c r="I95" s="395" t="s">
        <v>551</v>
      </c>
      <c r="J95" s="395" t="s">
        <v>523</v>
      </c>
      <c r="K95" s="395" t="str">
        <f t="shared" si="1"/>
        <v>NOMBRE_APODERADO_DEL_BANCO_UNO</v>
      </c>
      <c r="L95" s="395">
        <v>89</v>
      </c>
      <c r="M95" s="395" t="s">
        <v>651</v>
      </c>
    </row>
    <row r="96" spans="1:13" ht="14.25" customHeight="1">
      <c r="A96" s="394"/>
      <c r="B96" s="401"/>
      <c r="C96" s="402" t="s">
        <v>508</v>
      </c>
      <c r="D96" s="407"/>
      <c r="E96" s="403"/>
      <c r="F96" s="394"/>
      <c r="G96" s="394"/>
      <c r="I96" s="395" t="s">
        <v>551</v>
      </c>
      <c r="J96" s="395" t="s">
        <v>524</v>
      </c>
      <c r="K96" s="395" t="str">
        <f t="shared" si="1"/>
        <v>NOMBRE_APODERADO_DEL_BANCO_DOS</v>
      </c>
      <c r="L96" s="395">
        <v>90</v>
      </c>
      <c r="M96" s="395" t="s">
        <v>652</v>
      </c>
    </row>
    <row r="97" spans="1:13" ht="12" customHeight="1">
      <c r="A97" s="394"/>
      <c r="B97" s="408"/>
      <c r="C97" s="422"/>
      <c r="D97" s="409"/>
      <c r="E97" s="410"/>
      <c r="F97" s="394"/>
      <c r="G97" s="488"/>
      <c r="I97" s="395" t="s">
        <v>552</v>
      </c>
      <c r="J97" s="395" t="s">
        <v>526</v>
      </c>
      <c r="K97" s="395" t="str">
        <f t="shared" si="1"/>
        <v>TIPO_DE_CONTRATO_DE_CRÉDITO</v>
      </c>
      <c r="L97" s="395">
        <v>91</v>
      </c>
      <c r="M97" s="395" t="s">
        <v>653</v>
      </c>
    </row>
    <row r="98" spans="1:13" ht="13.2">
      <c r="A98" s="394"/>
      <c r="B98" s="394"/>
      <c r="C98" s="394"/>
      <c r="D98" s="394"/>
      <c r="E98" s="394"/>
      <c r="F98" s="394"/>
      <c r="G98" s="394"/>
      <c r="I98" s="395" t="s">
        <v>552</v>
      </c>
      <c r="J98" s="395" t="s">
        <v>527</v>
      </c>
      <c r="K98" s="395" t="str">
        <f t="shared" si="1"/>
        <v>FECHA_DE_CELEBRACIÓN</v>
      </c>
      <c r="L98" s="395">
        <v>92</v>
      </c>
      <c r="M98" s="395" t="s">
        <v>654</v>
      </c>
    </row>
    <row r="99" spans="1:13" ht="13.2">
      <c r="A99" s="394"/>
      <c r="B99" s="396"/>
      <c r="C99" s="533" t="s">
        <v>509</v>
      </c>
      <c r="D99" s="533"/>
      <c r="E99" s="397"/>
      <c r="F99" s="394"/>
      <c r="G99" s="394"/>
      <c r="I99" s="395" t="s">
        <v>552</v>
      </c>
      <c r="J99" s="395" t="s">
        <v>528</v>
      </c>
      <c r="K99" s="395" t="str">
        <f t="shared" si="1"/>
        <v>IMPORTE</v>
      </c>
      <c r="L99" s="395">
        <v>93</v>
      </c>
      <c r="M99" s="395" t="s">
        <v>655</v>
      </c>
    </row>
    <row r="100" spans="1:13" ht="12" customHeight="1">
      <c r="A100" s="394"/>
      <c r="B100" s="398"/>
      <c r="C100" s="399"/>
      <c r="D100" s="399"/>
      <c r="E100" s="400"/>
      <c r="F100" s="394"/>
      <c r="G100" s="394"/>
      <c r="I100" s="395" t="s">
        <v>552</v>
      </c>
      <c r="J100" s="395" t="s">
        <v>529</v>
      </c>
      <c r="K100" s="395" t="str">
        <f t="shared" si="1"/>
        <v>NÚMERO_DE_CRÉDITO</v>
      </c>
      <c r="L100" s="395">
        <v>94</v>
      </c>
      <c r="M100" s="395" t="s">
        <v>656</v>
      </c>
    </row>
    <row r="101" spans="1:13" ht="18" customHeight="1">
      <c r="A101" s="394"/>
      <c r="B101" s="401"/>
      <c r="C101" s="402" t="s">
        <v>684</v>
      </c>
      <c r="D101" s="506">
        <v>1000000</v>
      </c>
      <c r="E101" s="403"/>
      <c r="F101" s="394"/>
      <c r="G101" s="423"/>
      <c r="I101" s="395" t="s">
        <v>552</v>
      </c>
      <c r="J101" s="395" t="s">
        <v>526</v>
      </c>
      <c r="K101" s="395" t="str">
        <f t="shared" si="1"/>
        <v>TIPO_DE_CONTRATO_DE_CRÉDITO</v>
      </c>
      <c r="L101" s="395">
        <v>95</v>
      </c>
      <c r="M101" s="395" t="s">
        <v>657</v>
      </c>
    </row>
    <row r="102" spans="1:13" ht="18" customHeight="1">
      <c r="A102" s="394"/>
      <c r="B102" s="401"/>
      <c r="C102" s="402" t="s">
        <v>683</v>
      </c>
      <c r="D102" s="489" t="str">
        <f>NumLetras(AA_073_CARACTERISTICAS_CREDITO_IMPORTE_NÚMERO_LETRA,1)</f>
        <v>(UN MILLON DE PESOS 00/100 M.N.)</v>
      </c>
      <c r="E102" s="403"/>
      <c r="F102" s="394"/>
      <c r="G102" s="423"/>
      <c r="I102" s="395" t="s">
        <v>552</v>
      </c>
      <c r="J102" s="395" t="s">
        <v>527</v>
      </c>
      <c r="K102" s="395" t="str">
        <f t="shared" si="1"/>
        <v>FECHA_DE_CELEBRACIÓN</v>
      </c>
      <c r="L102" s="395">
        <v>96</v>
      </c>
      <c r="M102" s="395" t="s">
        <v>658</v>
      </c>
    </row>
    <row r="103" spans="1:13" ht="18" customHeight="1">
      <c r="A103" s="394"/>
      <c r="B103" s="401"/>
      <c r="C103" s="402" t="s">
        <v>516</v>
      </c>
      <c r="D103" s="471" t="str">
        <f>VLOOKUP(Combos!$C$16,Combos!$A$17:$B$20,2,0)</f>
        <v>Capital de Trabajo</v>
      </c>
      <c r="E103" s="403"/>
      <c r="F103" s="394"/>
      <c r="G103" s="394"/>
      <c r="I103" s="395" t="s">
        <v>552</v>
      </c>
      <c r="J103" s="395" t="s">
        <v>528</v>
      </c>
      <c r="K103" s="395" t="str">
        <f t="shared" si="1"/>
        <v>IMPORTE</v>
      </c>
      <c r="L103" s="395">
        <v>97</v>
      </c>
      <c r="M103" s="395" t="s">
        <v>659</v>
      </c>
    </row>
    <row r="104" spans="1:13" ht="18" customHeight="1">
      <c r="A104" s="394"/>
      <c r="B104" s="401"/>
      <c r="C104" s="402" t="s">
        <v>510</v>
      </c>
      <c r="D104" s="470">
        <f>VLOOKUP(Plazo_en_Años,Parámetros!$A$12:$B$21,2,0)</f>
        <v>60</v>
      </c>
      <c r="E104" s="403"/>
      <c r="F104" s="394"/>
      <c r="G104" s="394"/>
      <c r="I104" s="395" t="s">
        <v>552</v>
      </c>
      <c r="J104" s="395" t="s">
        <v>529</v>
      </c>
      <c r="K104" s="395" t="str">
        <f t="shared" si="1"/>
        <v>NÚMERO_DE_CRÉDITO</v>
      </c>
      <c r="L104" s="395">
        <v>98</v>
      </c>
      <c r="M104" s="395" t="s">
        <v>660</v>
      </c>
    </row>
    <row r="105" spans="1:13" ht="18" customHeight="1">
      <c r="A105" s="394"/>
      <c r="B105" s="401"/>
      <c r="C105" s="402" t="s">
        <v>514</v>
      </c>
      <c r="D105" s="469">
        <f>+Periodos_Gracia</f>
        <v>0</v>
      </c>
      <c r="E105" s="403"/>
      <c r="F105" s="394"/>
      <c r="G105" s="394"/>
      <c r="I105" s="395" t="s">
        <v>552</v>
      </c>
      <c r="J105" s="395" t="s">
        <v>672</v>
      </c>
      <c r="K105" s="395" t="str">
        <f t="shared" si="1"/>
        <v>ACS_REESTRUCTURA_ACREDITADO_UNO</v>
      </c>
      <c r="L105" s="395">
        <v>99</v>
      </c>
      <c r="M105" s="395" t="s">
        <v>665</v>
      </c>
    </row>
    <row r="106" spans="1:13" ht="18" customHeight="1">
      <c r="A106" s="394"/>
      <c r="B106" s="401"/>
      <c r="C106" s="402" t="s">
        <v>515</v>
      </c>
      <c r="D106" s="468">
        <f>VLOOKUP(Combos!$C$12,Combos!$A$13:$B$14,2,0)</f>
        <v>3</v>
      </c>
      <c r="E106" s="403"/>
      <c r="F106" s="394"/>
      <c r="G106" s="394"/>
      <c r="I106" s="395" t="s">
        <v>552</v>
      </c>
      <c r="J106" s="395" t="s">
        <v>673</v>
      </c>
      <c r="K106" s="395" t="str">
        <f t="shared" si="1"/>
        <v>ACS_REESTRUCTURA_ACREDITADO_DOS</v>
      </c>
      <c r="L106" s="395">
        <v>100</v>
      </c>
      <c r="M106" s="395" t="s">
        <v>666</v>
      </c>
    </row>
    <row r="107" spans="1:13" ht="18" customHeight="1">
      <c r="A107" s="394"/>
      <c r="B107" s="401"/>
      <c r="C107" s="402" t="s">
        <v>688</v>
      </c>
      <c r="D107" s="473">
        <f>+Combos!$C$22</f>
        <v>1</v>
      </c>
      <c r="E107" s="403"/>
      <c r="F107" s="394"/>
      <c r="G107" s="423"/>
      <c r="I107" s="395" t="s">
        <v>552</v>
      </c>
      <c r="J107" s="395" t="s">
        <v>674</v>
      </c>
      <c r="K107" s="395" t="str">
        <f t="shared" si="1"/>
        <v>ACS_REESTRUCTURA_FIADOR_UNO</v>
      </c>
      <c r="L107" s="395">
        <v>101</v>
      </c>
      <c r="M107" s="395" t="s">
        <v>667</v>
      </c>
    </row>
    <row r="108" spans="1:13" ht="18" customHeight="1">
      <c r="A108" s="394"/>
      <c r="B108" s="401"/>
      <c r="C108" s="402" t="s">
        <v>694</v>
      </c>
      <c r="D108" s="461">
        <v>0.15</v>
      </c>
      <c r="E108" s="403"/>
      <c r="F108" s="394"/>
      <c r="G108" s="423"/>
      <c r="I108" s="395" t="s">
        <v>552</v>
      </c>
      <c r="J108" s="395" t="s">
        <v>675</v>
      </c>
      <c r="K108" s="395" t="str">
        <f t="shared" si="1"/>
        <v>ACS_REESTRUCTURA_FIADOR_DOS</v>
      </c>
      <c r="L108" s="395">
        <v>102</v>
      </c>
      <c r="M108" s="395" t="s">
        <v>668</v>
      </c>
    </row>
    <row r="109" spans="1:13" ht="18" hidden="1" customHeight="1">
      <c r="A109" s="394"/>
      <c r="B109" s="401"/>
      <c r="C109" s="402" t="str">
        <f>IF(OR(Combos!$C$1=4,Combos!$C$1=5),"Valor de LIBOR","Valor de TIIE")</f>
        <v>Valor de TIIE</v>
      </c>
      <c r="D109" s="476">
        <v>3.8005999999999998E-2</v>
      </c>
      <c r="E109" s="403"/>
      <c r="F109" s="394"/>
      <c r="G109" s="423"/>
      <c r="I109" s="395" t="s">
        <v>552</v>
      </c>
      <c r="J109" s="395" t="s">
        <v>676</v>
      </c>
      <c r="K109" s="395" t="str">
        <f t="shared" si="1"/>
        <v>ACS_REESTRUCTURA_FIADOR_TRES</v>
      </c>
      <c r="L109" s="395">
        <v>103</v>
      </c>
      <c r="M109" s="395" t="s">
        <v>669</v>
      </c>
    </row>
    <row r="110" spans="1:13" ht="18" hidden="1" customHeight="1">
      <c r="A110" s="394"/>
      <c r="B110" s="401"/>
      <c r="C110" s="402" t="str">
        <f>IF(OR(Combos!$C$1=4,Combos!$C$1=5),"Fecha de LIBOR","Fecha de TIIE")</f>
        <v>Fecha de TIIE</v>
      </c>
      <c r="D110" s="477">
        <v>41708</v>
      </c>
      <c r="E110" s="403"/>
      <c r="F110" s="394"/>
      <c r="G110" s="423"/>
      <c r="I110" s="395" t="s">
        <v>552</v>
      </c>
      <c r="J110" s="395" t="s">
        <v>677</v>
      </c>
      <c r="K110" s="395" t="str">
        <f t="shared" si="1"/>
        <v>ACS_REESTRUCTURA_APODERADO_BANCO_UNO</v>
      </c>
      <c r="L110" s="395">
        <v>104</v>
      </c>
      <c r="M110" s="395" t="s">
        <v>670</v>
      </c>
    </row>
    <row r="111" spans="1:13" ht="18" hidden="1" customHeight="1">
      <c r="A111" s="394"/>
      <c r="B111" s="401"/>
      <c r="C111" s="402" t="str">
        <f>IF(OR(Combos!$C$1=4,Combos!$C$1=5),"Diferencial puntos porcentuales (LIBOR)","Diferencial Tasa Variable (TIIE)")</f>
        <v>Diferencial Tasa Variable (TIIE)</v>
      </c>
      <c r="D111" s="474">
        <v>11</v>
      </c>
      <c r="E111" s="403"/>
      <c r="F111" s="394"/>
      <c r="G111" s="423"/>
      <c r="I111" s="395" t="s">
        <v>552</v>
      </c>
      <c r="J111" s="395" t="s">
        <v>678</v>
      </c>
      <c r="K111" s="395" t="str">
        <f t="shared" si="1"/>
        <v>ACS_REESTRUCTURA_APODERADO_BANCO_DOS</v>
      </c>
      <c r="L111" s="395">
        <v>105</v>
      </c>
      <c r="M111" s="395" t="s">
        <v>671</v>
      </c>
    </row>
    <row r="112" spans="1:13" ht="18" hidden="1" customHeight="1">
      <c r="A112" s="394"/>
      <c r="B112" s="401"/>
      <c r="C112" s="478" t="s">
        <v>518</v>
      </c>
      <c r="D112" s="465"/>
      <c r="E112" s="403"/>
      <c r="F112" s="394"/>
      <c r="G112" s="394"/>
      <c r="I112" s="395" t="s">
        <v>550</v>
      </c>
      <c r="J112" s="395" t="s">
        <v>686</v>
      </c>
      <c r="K112" s="395" t="str">
        <f t="shared" si="1"/>
        <v>IMPORTE_LETRA</v>
      </c>
      <c r="L112" s="395">
        <v>106</v>
      </c>
      <c r="M112" s="395" t="s">
        <v>687</v>
      </c>
    </row>
    <row r="113" spans="1:13" ht="18" customHeight="1">
      <c r="A113" s="394"/>
      <c r="B113" s="401"/>
      <c r="C113" s="402" t="s">
        <v>33</v>
      </c>
      <c r="D113" s="461">
        <v>0.02</v>
      </c>
      <c r="E113" s="403"/>
      <c r="F113" s="394"/>
      <c r="I113" s="395" t="s">
        <v>550</v>
      </c>
      <c r="J113" s="395" t="s">
        <v>693</v>
      </c>
      <c r="K113" s="395" t="str">
        <f>UPPER(SUBSTITUTE(SUBSTITUTE(TRIM(J113),".","_")," ","_"))</f>
        <v>VALOR_DE_TIIE</v>
      </c>
      <c r="L113" s="395">
        <v>107</v>
      </c>
      <c r="M113" s="395" t="s">
        <v>695</v>
      </c>
    </row>
    <row r="114" spans="1:13" ht="18" customHeight="1">
      <c r="A114" s="394"/>
      <c r="B114" s="401"/>
      <c r="C114" s="402" t="s">
        <v>517</v>
      </c>
      <c r="D114" s="462">
        <v>0.1</v>
      </c>
      <c r="E114" s="403"/>
      <c r="F114" s="394"/>
      <c r="G114" s="423"/>
      <c r="I114" s="395" t="s">
        <v>550</v>
      </c>
      <c r="J114" s="395" t="s">
        <v>692</v>
      </c>
      <c r="K114" s="395" t="str">
        <f>UPPER(SUBSTITUTE(SUBSTITUTE(TRIM(J114),".","_")," ","_"))</f>
        <v>FECHA_DE_TIIE</v>
      </c>
      <c r="L114" s="395">
        <v>108</v>
      </c>
      <c r="M114" s="395" t="s">
        <v>696</v>
      </c>
    </row>
    <row r="115" spans="1:13" ht="18" customHeight="1">
      <c r="A115" s="394"/>
      <c r="B115" s="401"/>
      <c r="C115" s="402" t="s">
        <v>512</v>
      </c>
      <c r="D115" s="463" t="s">
        <v>682</v>
      </c>
      <c r="E115" s="403"/>
      <c r="F115" s="394"/>
      <c r="G115" s="423"/>
      <c r="I115" s="395" t="s">
        <v>550</v>
      </c>
      <c r="J115" s="395" t="s">
        <v>689</v>
      </c>
      <c r="K115" s="395" t="str">
        <f>UPPER(SUBSTITUTE(SUBSTITUTE(TRIM(J115),".","_")," ","_"))</f>
        <v>TIPO_DE_TASA</v>
      </c>
      <c r="L115" s="395">
        <v>109</v>
      </c>
      <c r="M115" s="395" t="s">
        <v>697</v>
      </c>
    </row>
    <row r="116" spans="1:13" ht="18" customHeight="1">
      <c r="A116" s="394"/>
      <c r="B116" s="401"/>
      <c r="C116" s="402" t="s">
        <v>511</v>
      </c>
      <c r="D116" s="485">
        <v>42614</v>
      </c>
      <c r="E116" s="403"/>
      <c r="F116" s="394"/>
      <c r="G116" s="423"/>
    </row>
    <row r="117" spans="1:13" ht="18" customHeight="1">
      <c r="A117" s="394"/>
      <c r="B117" s="401"/>
      <c r="C117" s="402" t="s">
        <v>519</v>
      </c>
      <c r="D117" s="485">
        <v>42278</v>
      </c>
      <c r="E117" s="403"/>
      <c r="F117" s="394"/>
      <c r="G117" s="423"/>
    </row>
    <row r="118" spans="1:13" ht="18" customHeight="1">
      <c r="A118" s="394"/>
      <c r="B118" s="401"/>
      <c r="C118" s="402" t="s">
        <v>520</v>
      </c>
      <c r="D118" s="485">
        <v>42309</v>
      </c>
      <c r="E118" s="403"/>
      <c r="F118" s="394"/>
      <c r="G118" s="423"/>
    </row>
    <row r="119" spans="1:13" ht="18" customHeight="1">
      <c r="A119" s="394"/>
      <c r="B119" s="401"/>
      <c r="C119" s="402" t="s">
        <v>521</v>
      </c>
      <c r="D119" s="485">
        <v>42339</v>
      </c>
      <c r="E119" s="403"/>
      <c r="F119" s="394"/>
      <c r="G119" s="423"/>
    </row>
    <row r="120" spans="1:13" ht="18" hidden="1" customHeight="1">
      <c r="A120" s="394"/>
      <c r="B120" s="401"/>
      <c r="C120" s="478" t="s">
        <v>168</v>
      </c>
      <c r="D120" s="479">
        <f>Tabla!$M$13</f>
        <v>0.17247098775006298</v>
      </c>
      <c r="E120" s="403"/>
      <c r="F120" s="394"/>
      <c r="G120" s="423"/>
    </row>
    <row r="121" spans="1:13" ht="12" customHeight="1">
      <c r="A121" s="394"/>
      <c r="B121" s="408"/>
      <c r="C121" s="409"/>
      <c r="D121" s="409"/>
      <c r="E121" s="410"/>
      <c r="F121" s="394"/>
      <c r="G121" s="394"/>
    </row>
    <row r="122" spans="1:13" ht="18" customHeight="1">
      <c r="A122" s="394"/>
      <c r="B122" s="416"/>
      <c r="C122" s="416"/>
      <c r="D122" s="416"/>
      <c r="E122" s="416"/>
      <c r="F122" s="394"/>
      <c r="G122" s="394"/>
    </row>
    <row r="123" spans="1:13" ht="13.2">
      <c r="A123" s="394"/>
      <c r="B123" s="396"/>
      <c r="C123" s="533" t="s">
        <v>522</v>
      </c>
      <c r="D123" s="533"/>
      <c r="E123" s="397"/>
      <c r="F123" s="394"/>
      <c r="G123" s="394"/>
    </row>
    <row r="124" spans="1:13" ht="12" customHeight="1">
      <c r="A124" s="394"/>
      <c r="B124" s="398"/>
      <c r="C124" s="399"/>
      <c r="D124" s="399"/>
      <c r="E124" s="400"/>
      <c r="F124" s="394"/>
      <c r="G124" s="394"/>
    </row>
    <row r="125" spans="1:13" ht="13.2">
      <c r="A125" s="394"/>
      <c r="B125" s="401"/>
      <c r="C125" s="402" t="s">
        <v>523</v>
      </c>
      <c r="D125" s="407"/>
      <c r="E125" s="403"/>
      <c r="F125" s="394"/>
      <c r="G125" s="394"/>
    </row>
    <row r="126" spans="1:13" ht="13.2">
      <c r="A126" s="394"/>
      <c r="B126" s="417"/>
      <c r="C126" s="418" t="s">
        <v>524</v>
      </c>
      <c r="D126" s="419"/>
      <c r="E126" s="415"/>
      <c r="F126" s="394"/>
      <c r="G126" s="394"/>
    </row>
    <row r="127" spans="1:13" ht="18.75" customHeight="1">
      <c r="A127" s="394"/>
      <c r="B127" s="408"/>
      <c r="C127" s="409"/>
      <c r="D127" s="409"/>
      <c r="E127" s="410"/>
      <c r="F127" s="394"/>
      <c r="G127" s="394"/>
    </row>
    <row r="128" spans="1:13" ht="18.75" customHeight="1">
      <c r="A128" s="424"/>
      <c r="B128" s="409"/>
      <c r="C128" s="409"/>
      <c r="D128" s="409"/>
      <c r="E128" s="409"/>
      <c r="F128" s="394"/>
      <c r="G128" s="394"/>
    </row>
    <row r="129" spans="1:7" ht="18" customHeight="1">
      <c r="A129" s="394"/>
      <c r="B129" s="425"/>
      <c r="C129" s="534" t="s">
        <v>525</v>
      </c>
      <c r="D129" s="534"/>
      <c r="E129" s="426"/>
      <c r="F129" s="394"/>
      <c r="G129" s="394"/>
    </row>
    <row r="130" spans="1:7" ht="18" customHeight="1">
      <c r="A130" s="394"/>
      <c r="B130" s="398"/>
      <c r="C130" s="399"/>
      <c r="D130" s="399"/>
      <c r="E130" s="400"/>
      <c r="F130" s="394"/>
      <c r="G130" s="394"/>
    </row>
    <row r="131" spans="1:7" ht="18" customHeight="1">
      <c r="A131" s="394"/>
      <c r="B131" s="401"/>
      <c r="C131" s="402" t="s">
        <v>526</v>
      </c>
      <c r="D131" s="407"/>
      <c r="E131" s="403"/>
      <c r="F131" s="394"/>
      <c r="G131" s="394"/>
    </row>
    <row r="132" spans="1:7" ht="18" customHeight="1">
      <c r="A132" s="394"/>
      <c r="B132" s="401"/>
      <c r="C132" s="402" t="s">
        <v>527</v>
      </c>
      <c r="D132" s="441"/>
      <c r="E132" s="403"/>
      <c r="F132" s="394"/>
      <c r="G132" s="394"/>
    </row>
    <row r="133" spans="1:7" ht="18" customHeight="1">
      <c r="A133" s="394"/>
      <c r="B133" s="401"/>
      <c r="C133" s="402" t="s">
        <v>528</v>
      </c>
      <c r="D133" s="447"/>
      <c r="E133" s="403"/>
      <c r="F133" s="394"/>
      <c r="G133" s="394"/>
    </row>
    <row r="134" spans="1:7" ht="18" customHeight="1">
      <c r="A134" s="394"/>
      <c r="B134" s="401"/>
      <c r="C134" s="402" t="s">
        <v>529</v>
      </c>
      <c r="D134" s="407"/>
      <c r="E134" s="403"/>
      <c r="F134" s="394"/>
      <c r="G134" s="394"/>
    </row>
    <row r="135" spans="1:7" ht="18" customHeight="1">
      <c r="A135" s="394"/>
      <c r="B135" s="401"/>
      <c r="C135" s="402" t="s">
        <v>526</v>
      </c>
      <c r="D135" s="407"/>
      <c r="E135" s="403"/>
      <c r="F135" s="394"/>
      <c r="G135" s="394"/>
    </row>
    <row r="136" spans="1:7" ht="18" customHeight="1">
      <c r="A136" s="394"/>
      <c r="B136" s="401"/>
      <c r="C136" s="402" t="s">
        <v>527</v>
      </c>
      <c r="D136" s="441"/>
      <c r="E136" s="403"/>
      <c r="F136" s="394"/>
      <c r="G136" s="394"/>
    </row>
    <row r="137" spans="1:7" ht="18" customHeight="1">
      <c r="A137" s="394"/>
      <c r="B137" s="401"/>
      <c r="C137" s="402" t="s">
        <v>528</v>
      </c>
      <c r="D137" s="447"/>
      <c r="E137" s="403"/>
      <c r="F137" s="394"/>
      <c r="G137" s="394"/>
    </row>
    <row r="138" spans="1:7" ht="18" customHeight="1">
      <c r="A138" s="394"/>
      <c r="B138" s="401"/>
      <c r="C138" s="402" t="s">
        <v>529</v>
      </c>
      <c r="D138" s="455"/>
      <c r="E138" s="403"/>
      <c r="F138" s="394"/>
      <c r="G138" s="394"/>
    </row>
    <row r="139" spans="1:7" ht="18" customHeight="1">
      <c r="A139" s="394"/>
      <c r="B139" s="448"/>
      <c r="C139" s="450" t="s">
        <v>663</v>
      </c>
      <c r="D139" s="407"/>
      <c r="E139" s="452"/>
      <c r="F139" s="394"/>
      <c r="G139" s="394"/>
    </row>
    <row r="140" spans="1:7" ht="18" hidden="1" customHeight="1">
      <c r="A140" s="394"/>
      <c r="B140" s="448"/>
      <c r="C140" s="450" t="s">
        <v>664</v>
      </c>
      <c r="D140" s="407"/>
      <c r="E140" s="449"/>
      <c r="F140" s="394"/>
      <c r="G140" s="394"/>
    </row>
    <row r="141" spans="1:7" ht="18" hidden="1" customHeight="1">
      <c r="A141" s="394"/>
      <c r="B141" s="448"/>
      <c r="C141" s="451" t="s">
        <v>501</v>
      </c>
      <c r="D141" s="407"/>
      <c r="E141" s="449"/>
      <c r="F141" s="394"/>
      <c r="G141" s="394"/>
    </row>
    <row r="142" spans="1:7" ht="18" customHeight="1">
      <c r="A142" s="394"/>
      <c r="B142" s="448"/>
      <c r="C142" s="451" t="s">
        <v>503</v>
      </c>
      <c r="D142" s="407"/>
      <c r="E142" s="449"/>
      <c r="F142" s="394"/>
      <c r="G142" s="394"/>
    </row>
    <row r="143" spans="1:7" ht="18" customHeight="1">
      <c r="A143" s="394"/>
      <c r="B143" s="448"/>
      <c r="C143" s="451" t="s">
        <v>504</v>
      </c>
      <c r="D143" s="407"/>
      <c r="E143" s="449"/>
      <c r="F143" s="394"/>
      <c r="G143" s="394"/>
    </row>
    <row r="144" spans="1:7" ht="18" customHeight="1">
      <c r="A144" s="394"/>
      <c r="B144" s="448"/>
      <c r="C144" s="450" t="s">
        <v>523</v>
      </c>
      <c r="D144" s="407"/>
      <c r="E144" s="449"/>
      <c r="F144" s="394"/>
      <c r="G144" s="394"/>
    </row>
    <row r="145" spans="1:7" ht="18" customHeight="1">
      <c r="A145" s="394"/>
      <c r="B145" s="448"/>
      <c r="C145" s="450" t="s">
        <v>524</v>
      </c>
      <c r="D145" s="407"/>
      <c r="E145" s="449"/>
      <c r="F145" s="394"/>
      <c r="G145" s="394"/>
    </row>
    <row r="146" spans="1:7" ht="18" customHeight="1">
      <c r="A146" s="394"/>
      <c r="B146" s="408"/>
      <c r="C146" s="409"/>
      <c r="D146" s="409"/>
      <c r="E146" s="410"/>
      <c r="F146" s="394"/>
      <c r="G146" s="394"/>
    </row>
    <row r="147" spans="1:7" ht="13.2">
      <c r="A147" s="394"/>
      <c r="B147" s="394"/>
      <c r="C147" s="394"/>
      <c r="D147" s="394"/>
      <c r="E147" s="394"/>
      <c r="F147" s="394"/>
      <c r="G147" s="394"/>
    </row>
    <row r="148" spans="1:7" ht="13.2">
      <c r="A148" s="394"/>
      <c r="B148" s="394"/>
      <c r="C148" s="394"/>
      <c r="D148" s="394"/>
      <c r="E148" s="394"/>
      <c r="F148" s="394"/>
      <c r="G148" s="394"/>
    </row>
    <row r="213" ht="13.5" hidden="1" customHeight="1"/>
    <row r="214" ht="13.5" hidden="1" customHeight="1"/>
    <row r="215" ht="13.5" hidden="1" customHeight="1"/>
    <row r="216" ht="13.5" hidden="1" customHeight="1"/>
    <row r="217" ht="13.5" hidden="1" customHeight="1"/>
    <row r="218" ht="13.5" hidden="1" customHeight="1"/>
    <row r="219" ht="13.5" hidden="1" customHeight="1"/>
    <row r="220" ht="13.5" hidden="1" customHeight="1"/>
    <row r="221" ht="13.5" hidden="1" customHeight="1"/>
    <row r="222" ht="13.5" hidden="1" customHeight="1"/>
    <row r="223" ht="13.5" hidden="1" customHeight="1"/>
    <row r="224" ht="13.5" hidden="1" customHeight="1"/>
  </sheetData>
  <mergeCells count="9">
    <mergeCell ref="C99:D99"/>
    <mergeCell ref="C123:D123"/>
    <mergeCell ref="C129:D129"/>
    <mergeCell ref="C4:D4"/>
    <mergeCell ref="C12:D12"/>
    <mergeCell ref="C22:D22"/>
    <mergeCell ref="C48:D48"/>
    <mergeCell ref="C55:D55"/>
    <mergeCell ref="C92:D92"/>
  </mergeCells>
  <conditionalFormatting sqref="M4">
    <cfRule type="duplicateValues" dxfId="0" priority="1" stopIfTrue="1"/>
  </conditionalFormatting>
  <dataValidations count="6">
    <dataValidation type="decimal" allowBlank="1" showInputMessage="1" showErrorMessage="1" errorTitle="Error" error="El monto debe ser mayor a $50,000.00 y menor a 2'000,000.00 de Udi's." promptTitle="Importe de Crédito" prompt="Importe de Crédito" sqref="D101">
      <formula1>Mínimo_Crédito</formula1>
      <formula2>Máximo_Crédito</formula2>
    </dataValidation>
    <dataValidation type="decimal" errorStyle="information" operator="greaterThan" allowBlank="1" showInputMessage="1" showErrorMessage="1" errorTitle="Revisa la Tasa TIIE" error="Revisa la Tasa TIIE" promptTitle="TIIE Capturable" prompt="Capturar TIIE Actual" sqref="D109">
      <formula1>0</formula1>
    </dataValidation>
    <dataValidation type="decimal" operator="greaterThan" allowBlank="1" showInputMessage="1" showErrorMessage="1" errorTitle="Tasa de Interés" error="La tasa de interés debe de ser mayor a 0.00%" promptTitle="Tasa de Interés" prompt="Tasa de Interés Fija" sqref="D108">
      <formula1>0</formula1>
    </dataValidation>
    <dataValidation type="decimal" operator="greaterThanOrEqual" allowBlank="1" showInputMessage="1" showErrorMessage="1" errorTitle="Puntos Adicionales a la TIIE" error="Mínimo 4 puntos porcentuales." promptTitle="Puntos Adicionales a la TIIE" sqref="D111">
      <formula1>4</formula1>
    </dataValidation>
    <dataValidation type="decimal" operator="greaterThanOrEqual" allowBlank="1" showInputMessage="1" showErrorMessage="1" errorTitle="Comisión Por Apertura" error="Mínimo 0.00%" promptTitle="Comisión Por Apertura" sqref="D113">
      <formula1>0</formula1>
    </dataValidation>
    <dataValidation type="decimal" operator="greaterThanOrEqual" allowBlank="1" showInputMessage="1" showErrorMessage="1" errorTitle="Comisión Por Pago Anticipado" error="Mínimo 0.00%" promptTitle="Comisión Por Pago Anticipado" sqref="D114">
      <formula1>0</formula1>
    </dataValidation>
  </dataValidations>
  <pageMargins left="0.70866141732283472" right="0.70866141732283472" top="0.74803149606299213" bottom="0.74803149606299213" header="0.31496062992125984" footer="0.31496062992125984"/>
  <pageSetup scale="87" fitToHeight="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Fill="0" autoLine="0" autoPict="0">
                <anchor>
                  <from>
                    <xdr:col>3</xdr:col>
                    <xdr:colOff>0</xdr:colOff>
                    <xdr:row>102</xdr:row>
                    <xdr:rowOff>15240</xdr:rowOff>
                  </from>
                  <to>
                    <xdr:col>4</xdr:col>
                    <xdr:colOff>15240</xdr:colOff>
                    <xdr:row>102</xdr:row>
                    <xdr:rowOff>175260</xdr:rowOff>
                  </to>
                </anchor>
              </controlPr>
            </control>
          </mc:Choice>
        </mc:AlternateContent>
        <mc:AlternateContent xmlns:mc="http://schemas.openxmlformats.org/markup-compatibility/2006">
          <mc:Choice Requires="x14">
            <control shapeId="17415" r:id="rId5" name="Drop Down 7">
              <controlPr defaultSize="0" autoLine="0" autoPict="0">
                <anchor moveWithCells="1">
                  <from>
                    <xdr:col>3</xdr:col>
                    <xdr:colOff>0</xdr:colOff>
                    <xdr:row>4</xdr:row>
                    <xdr:rowOff>91440</xdr:rowOff>
                  </from>
                  <to>
                    <xdr:col>3</xdr:col>
                    <xdr:colOff>2164080</xdr:colOff>
                    <xdr:row>5</xdr:row>
                    <xdr:rowOff>129540</xdr:rowOff>
                  </to>
                </anchor>
              </controlPr>
            </control>
          </mc:Choice>
        </mc:AlternateContent>
        <mc:AlternateContent xmlns:mc="http://schemas.openxmlformats.org/markup-compatibility/2006">
          <mc:Choice Requires="x14">
            <control shapeId="17416" r:id="rId6" name="Drop Down 8">
              <controlPr defaultSize="0" autoFill="0" autoLine="0" autoPict="0">
                <anchor>
                  <from>
                    <xdr:col>3</xdr:col>
                    <xdr:colOff>0</xdr:colOff>
                    <xdr:row>105</xdr:row>
                    <xdr:rowOff>7620</xdr:rowOff>
                  </from>
                  <to>
                    <xdr:col>4</xdr:col>
                    <xdr:colOff>15240</xdr:colOff>
                    <xdr:row>105</xdr:row>
                    <xdr:rowOff>167640</xdr:rowOff>
                  </to>
                </anchor>
              </controlPr>
            </control>
          </mc:Choice>
        </mc:AlternateContent>
        <mc:AlternateContent xmlns:mc="http://schemas.openxmlformats.org/markup-compatibility/2006">
          <mc:Choice Requires="x14">
            <control shapeId="17417" r:id="rId7" name="Drop Down 9">
              <controlPr defaultSize="0" autoFill="0" autoLine="0" autoPict="0">
                <anchor moveWithCells="1">
                  <from>
                    <xdr:col>3</xdr:col>
                    <xdr:colOff>0</xdr:colOff>
                    <xdr:row>103</xdr:row>
                    <xdr:rowOff>7620</xdr:rowOff>
                  </from>
                  <to>
                    <xdr:col>4</xdr:col>
                    <xdr:colOff>15240</xdr:colOff>
                    <xdr:row>103</xdr:row>
                    <xdr:rowOff>167640</xdr:rowOff>
                  </to>
                </anchor>
              </controlPr>
            </control>
          </mc:Choice>
        </mc:AlternateContent>
        <mc:AlternateContent xmlns:mc="http://schemas.openxmlformats.org/markup-compatibility/2006">
          <mc:Choice Requires="x14">
            <control shapeId="17418" r:id="rId8" name="Drop Down 10">
              <controlPr defaultSize="0" autoFill="0" autoLine="0" autoPict="0">
                <anchor moveWithCells="1">
                  <from>
                    <xdr:col>3</xdr:col>
                    <xdr:colOff>7620</xdr:colOff>
                    <xdr:row>104</xdr:row>
                    <xdr:rowOff>7620</xdr:rowOff>
                  </from>
                  <to>
                    <xdr:col>4</xdr:col>
                    <xdr:colOff>22860</xdr:colOff>
                    <xdr:row>104</xdr:row>
                    <xdr:rowOff>175260</xdr:rowOff>
                  </to>
                </anchor>
              </controlPr>
            </control>
          </mc:Choice>
        </mc:AlternateContent>
        <mc:AlternateContent xmlns:mc="http://schemas.openxmlformats.org/markup-compatibility/2006">
          <mc:Choice Requires="x14">
            <control shapeId="17419" r:id="rId9" name="Drop Down 11">
              <controlPr defaultSize="0" autoFill="0" autoLine="0" autoPict="0" macro="[0]!Oculta_Filas_Dependiendo_Tasa_Fija_o_Variable">
                <anchor moveWithCells="1">
                  <from>
                    <xdr:col>3</xdr:col>
                    <xdr:colOff>0</xdr:colOff>
                    <xdr:row>106</xdr:row>
                    <xdr:rowOff>0</xdr:rowOff>
                  </from>
                  <to>
                    <xdr:col>4</xdr:col>
                    <xdr:colOff>15240</xdr:colOff>
                    <xdr:row>106</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57"/>
  <sheetViews>
    <sheetView topLeftCell="A40" workbookViewId="0">
      <selection activeCell="A59" sqref="A59"/>
    </sheetView>
  </sheetViews>
  <sheetFormatPr defaultColWidth="11.44140625" defaultRowHeight="10.199999999999999"/>
  <cols>
    <col min="1" max="1" width="21.33203125" style="14" bestFit="1" customWidth="1"/>
    <col min="2" max="2" width="18.33203125" style="14" bestFit="1" customWidth="1"/>
    <col min="3" max="3" width="23.44140625" style="14" bestFit="1" customWidth="1"/>
    <col min="4" max="4" width="19.33203125" style="14" bestFit="1" customWidth="1"/>
    <col min="5" max="5" width="17.109375" style="14" bestFit="1" customWidth="1"/>
    <col min="6" max="16384" width="11.44140625" style="14"/>
  </cols>
  <sheetData>
    <row r="1" spans="1:9" s="15" customFormat="1" ht="15" customHeight="1">
      <c r="A1" s="48" t="s">
        <v>38</v>
      </c>
      <c r="B1" s="141">
        <v>1</v>
      </c>
      <c r="D1" s="142" t="s">
        <v>56</v>
      </c>
    </row>
    <row r="2" spans="1:9" s="15" customFormat="1" ht="15" customHeight="1">
      <c r="A2" s="15">
        <v>1</v>
      </c>
      <c r="B2" s="153" t="s">
        <v>39</v>
      </c>
      <c r="D2" s="143" t="s">
        <v>57</v>
      </c>
    </row>
    <row r="3" spans="1:9" s="15" customFormat="1" ht="15" customHeight="1">
      <c r="A3" s="15">
        <v>2</v>
      </c>
      <c r="B3" s="169" t="s">
        <v>40</v>
      </c>
      <c r="C3" s="170" t="s">
        <v>116</v>
      </c>
      <c r="D3" s="144" t="s">
        <v>58</v>
      </c>
    </row>
    <row r="4" spans="1:9" s="15" customFormat="1" ht="15" customHeight="1">
      <c r="D4" s="145" t="s">
        <v>105</v>
      </c>
    </row>
    <row r="5" spans="1:9" s="15" customFormat="1" ht="15" customHeight="1">
      <c r="A5" s="15">
        <v>2</v>
      </c>
      <c r="B5" s="16" t="s">
        <v>22</v>
      </c>
      <c r="C5" s="141" t="s">
        <v>28</v>
      </c>
      <c r="D5" s="141" t="s">
        <v>27</v>
      </c>
      <c r="E5" s="141" t="s">
        <v>36</v>
      </c>
      <c r="F5" s="141" t="s">
        <v>86</v>
      </c>
      <c r="G5" s="156" t="s">
        <v>97</v>
      </c>
      <c r="H5" s="157"/>
      <c r="I5" s="157"/>
    </row>
    <row r="6" spans="1:9" s="15" customFormat="1" ht="15" customHeight="1">
      <c r="C6" s="140">
        <f>VLOOKUP(Frecuencia,$A$7:$E$10,3,FALSE)</f>
        <v>30</v>
      </c>
      <c r="D6" s="140">
        <f>VLOOKUP(Frecuencia,$A$7:$E$10,4,FALSE)</f>
        <v>12</v>
      </c>
      <c r="E6" s="140">
        <f>+VLOOKUP(Frecuencia,$A$7:$E$10,5,FALSE)</f>
        <v>60</v>
      </c>
      <c r="F6" s="146"/>
      <c r="G6" s="140">
        <f>+No._de_Pagos-Periodos_Gracia</f>
        <v>60</v>
      </c>
    </row>
    <row r="7" spans="1:9" s="15" customFormat="1" ht="15" customHeight="1">
      <c r="A7" s="15">
        <v>1</v>
      </c>
      <c r="B7" s="153" t="s">
        <v>23</v>
      </c>
      <c r="C7" s="147">
        <v>15</v>
      </c>
      <c r="D7" s="147">
        <v>24</v>
      </c>
      <c r="E7" s="147">
        <f>+Plazo_en_Años*D7</f>
        <v>120</v>
      </c>
      <c r="F7" s="147" t="s">
        <v>82</v>
      </c>
    </row>
    <row r="8" spans="1:9" s="15" customFormat="1" ht="15" customHeight="1">
      <c r="A8" s="15">
        <v>2</v>
      </c>
      <c r="B8" s="153" t="s">
        <v>24</v>
      </c>
      <c r="C8" s="147">
        <v>30</v>
      </c>
      <c r="D8" s="147">
        <v>12</v>
      </c>
      <c r="E8" s="147">
        <f>+Plazo_en_Años*D8</f>
        <v>60</v>
      </c>
      <c r="F8" s="147" t="s">
        <v>83</v>
      </c>
    </row>
    <row r="9" spans="1:9" s="15" customFormat="1" ht="15" customHeight="1">
      <c r="A9" s="15">
        <v>3</v>
      </c>
      <c r="B9" s="153" t="s">
        <v>25</v>
      </c>
      <c r="C9" s="147">
        <v>90</v>
      </c>
      <c r="D9" s="147">
        <v>4</v>
      </c>
      <c r="E9" s="147">
        <f>+Plazo_en_Años*D9</f>
        <v>20</v>
      </c>
      <c r="F9" s="147" t="s">
        <v>84</v>
      </c>
    </row>
    <row r="10" spans="1:9" s="15" customFormat="1" ht="15" customHeight="1">
      <c r="A10" s="15">
        <v>4</v>
      </c>
      <c r="B10" s="153" t="s">
        <v>26</v>
      </c>
      <c r="C10" s="147">
        <v>180</v>
      </c>
      <c r="D10" s="147">
        <v>2</v>
      </c>
      <c r="E10" s="147">
        <f>+Plazo_en_Años*D10</f>
        <v>10</v>
      </c>
      <c r="F10" s="147" t="s">
        <v>85</v>
      </c>
    </row>
    <row r="11" spans="1:9" s="15" customFormat="1" ht="15" customHeight="1">
      <c r="A11" s="48" t="s">
        <v>37</v>
      </c>
      <c r="B11" s="52">
        <v>5</v>
      </c>
    </row>
    <row r="12" spans="1:9" s="15" customFormat="1" ht="15" customHeight="1">
      <c r="A12" s="51">
        <v>1</v>
      </c>
      <c r="B12" s="147">
        <f t="shared" ref="B12:B21" si="0">A12*Pagos_por_año</f>
        <v>12</v>
      </c>
      <c r="D12" s="148" t="s">
        <v>70</v>
      </c>
      <c r="E12" s="148">
        <f>VLOOKUP(No._de_Pagos,$D$13:$E$38,2,FALSE)</f>
        <v>16</v>
      </c>
    </row>
    <row r="13" spans="1:9" s="15" customFormat="1" ht="15" customHeight="1">
      <c r="A13" s="51">
        <v>2</v>
      </c>
      <c r="B13" s="147">
        <f t="shared" si="0"/>
        <v>24</v>
      </c>
      <c r="D13" s="147">
        <v>2</v>
      </c>
      <c r="E13" s="15">
        <v>1</v>
      </c>
    </row>
    <row r="14" spans="1:9" s="15" customFormat="1" ht="15" customHeight="1">
      <c r="A14" s="51">
        <v>3</v>
      </c>
      <c r="B14" s="147">
        <f t="shared" si="0"/>
        <v>36</v>
      </c>
      <c r="D14" s="147">
        <v>4</v>
      </c>
      <c r="E14" s="15">
        <v>1</v>
      </c>
    </row>
    <row r="15" spans="1:9" s="15" customFormat="1" ht="15" customHeight="1">
      <c r="A15" s="51">
        <v>4</v>
      </c>
      <c r="B15" s="147">
        <f t="shared" si="0"/>
        <v>48</v>
      </c>
      <c r="D15" s="147">
        <v>6</v>
      </c>
      <c r="E15" s="15">
        <v>3</v>
      </c>
    </row>
    <row r="16" spans="1:9" s="15" customFormat="1" ht="15" customHeight="1">
      <c r="A16" s="51">
        <v>5</v>
      </c>
      <c r="B16" s="147">
        <f t="shared" si="0"/>
        <v>60</v>
      </c>
      <c r="C16" s="149"/>
      <c r="D16" s="147">
        <v>8</v>
      </c>
      <c r="E16" s="15">
        <v>4</v>
      </c>
    </row>
    <row r="17" spans="1:10" s="15" customFormat="1" ht="15" customHeight="1">
      <c r="A17" s="51">
        <v>6</v>
      </c>
      <c r="B17" s="147">
        <f t="shared" si="0"/>
        <v>72</v>
      </c>
      <c r="C17" s="149"/>
      <c r="D17" s="147">
        <v>10</v>
      </c>
      <c r="E17" s="15">
        <v>5</v>
      </c>
    </row>
    <row r="18" spans="1:10" s="15" customFormat="1" ht="15" customHeight="1">
      <c r="A18" s="51">
        <v>7</v>
      </c>
      <c r="B18" s="147">
        <f t="shared" si="0"/>
        <v>84</v>
      </c>
      <c r="C18" s="149"/>
      <c r="D18" s="147">
        <v>12</v>
      </c>
      <c r="E18" s="15">
        <v>6</v>
      </c>
    </row>
    <row r="19" spans="1:10" s="15" customFormat="1" ht="15" customHeight="1">
      <c r="A19" s="51">
        <v>8</v>
      </c>
      <c r="B19" s="147">
        <f t="shared" si="0"/>
        <v>96</v>
      </c>
      <c r="C19" s="149"/>
      <c r="D19" s="147">
        <v>14</v>
      </c>
      <c r="E19" s="15">
        <v>7</v>
      </c>
    </row>
    <row r="20" spans="1:10" s="15" customFormat="1" ht="15" customHeight="1">
      <c r="A20" s="51">
        <v>9</v>
      </c>
      <c r="B20" s="147">
        <f t="shared" si="0"/>
        <v>108</v>
      </c>
      <c r="C20" s="149"/>
      <c r="D20" s="147">
        <v>16</v>
      </c>
      <c r="E20" s="15">
        <v>8</v>
      </c>
    </row>
    <row r="21" spans="1:10" s="15" customFormat="1" ht="15" customHeight="1">
      <c r="A21" s="51">
        <v>10</v>
      </c>
      <c r="B21" s="147">
        <f t="shared" si="0"/>
        <v>120</v>
      </c>
      <c r="C21" s="149"/>
      <c r="D21" s="147">
        <v>18</v>
      </c>
      <c r="E21" s="15">
        <v>9</v>
      </c>
    </row>
    <row r="22" spans="1:10" s="15" customFormat="1" ht="15" customHeight="1">
      <c r="A22" s="48" t="s">
        <v>41</v>
      </c>
      <c r="B22" s="140">
        <f>+'Menu Principal'!$E$13-1</f>
        <v>0</v>
      </c>
      <c r="C22" s="149"/>
      <c r="D22" s="147">
        <v>20</v>
      </c>
      <c r="E22" s="15">
        <v>10</v>
      </c>
    </row>
    <row r="23" spans="1:10" s="15" customFormat="1" ht="15" customHeight="1">
      <c r="A23" s="15">
        <v>1</v>
      </c>
      <c r="B23" s="147">
        <v>0</v>
      </c>
      <c r="D23" s="147">
        <v>24</v>
      </c>
      <c r="E23" s="15">
        <v>11</v>
      </c>
    </row>
    <row r="24" spans="1:10" s="15" customFormat="1" ht="15" customHeight="1">
      <c r="A24" s="15">
        <v>2</v>
      </c>
      <c r="B24" s="147">
        <v>1</v>
      </c>
      <c r="D24" s="147">
        <v>28</v>
      </c>
      <c r="E24" s="15">
        <v>12</v>
      </c>
    </row>
    <row r="25" spans="1:10" s="15" customFormat="1" ht="15" customHeight="1">
      <c r="A25" s="15">
        <v>3</v>
      </c>
      <c r="B25" s="147">
        <v>2</v>
      </c>
      <c r="D25" s="147">
        <v>32</v>
      </c>
      <c r="E25" s="15">
        <v>13</v>
      </c>
    </row>
    <row r="26" spans="1:10" s="15" customFormat="1" ht="15" customHeight="1">
      <c r="A26" s="15">
        <v>4</v>
      </c>
      <c r="B26" s="147">
        <v>3</v>
      </c>
      <c r="D26" s="147">
        <v>36</v>
      </c>
      <c r="E26" s="15">
        <v>14</v>
      </c>
    </row>
    <row r="27" spans="1:10" s="15" customFormat="1" ht="15" customHeight="1">
      <c r="A27" s="15">
        <v>5</v>
      </c>
      <c r="B27" s="147">
        <v>4</v>
      </c>
      <c r="D27" s="147">
        <v>48</v>
      </c>
      <c r="E27" s="15">
        <v>15</v>
      </c>
    </row>
    <row r="28" spans="1:10" s="15" customFormat="1" ht="15" customHeight="1">
      <c r="A28" s="15">
        <v>6</v>
      </c>
      <c r="B28" s="147">
        <v>5</v>
      </c>
      <c r="D28" s="147">
        <v>60</v>
      </c>
      <c r="E28" s="15">
        <v>16</v>
      </c>
    </row>
    <row r="29" spans="1:10" s="15" customFormat="1" ht="15" customHeight="1">
      <c r="A29" s="15">
        <v>7</v>
      </c>
      <c r="B29" s="147">
        <v>6</v>
      </c>
      <c r="D29" s="147">
        <v>72</v>
      </c>
      <c r="E29" s="15">
        <v>17</v>
      </c>
    </row>
    <row r="30" spans="1:10" s="15" customFormat="1" ht="15" customHeight="1">
      <c r="A30" s="48" t="s">
        <v>48</v>
      </c>
      <c r="B30" s="136">
        <f>VLOOKUP('Menu Principal'!$E$14,Parámetros!$A$31:$C$32,3,FALSE)</f>
        <v>0.16</v>
      </c>
      <c r="D30" s="147">
        <v>84</v>
      </c>
      <c r="E30" s="15">
        <v>18</v>
      </c>
    </row>
    <row r="31" spans="1:10" s="15" customFormat="1" ht="15" customHeight="1">
      <c r="A31" s="15">
        <v>1</v>
      </c>
      <c r="B31" s="147" t="s">
        <v>50</v>
      </c>
      <c r="C31" s="154">
        <v>0.16</v>
      </c>
      <c r="D31" s="147">
        <v>96</v>
      </c>
      <c r="E31" s="15">
        <v>19</v>
      </c>
    </row>
    <row r="32" spans="1:10" s="15" customFormat="1" ht="15" customHeight="1">
      <c r="A32" s="15">
        <v>2</v>
      </c>
      <c r="B32" s="147" t="s">
        <v>49</v>
      </c>
      <c r="C32" s="154">
        <v>0.16</v>
      </c>
      <c r="D32" s="147">
        <v>108</v>
      </c>
      <c r="E32" s="15">
        <v>20</v>
      </c>
      <c r="J32" s="175" t="s">
        <v>118</v>
      </c>
    </row>
    <row r="33" spans="1:7" s="15" customFormat="1" ht="15" customHeight="1">
      <c r="A33" s="48" t="s">
        <v>46</v>
      </c>
      <c r="B33" s="140">
        <f>+Garantía_Hipotecaria</f>
        <v>1</v>
      </c>
      <c r="D33" s="147">
        <v>120</v>
      </c>
      <c r="E33" s="15">
        <v>21</v>
      </c>
    </row>
    <row r="34" spans="1:7" s="15" customFormat="1" ht="15" customHeight="1">
      <c r="A34" s="15">
        <v>1</v>
      </c>
      <c r="B34" s="147" t="s">
        <v>53</v>
      </c>
      <c r="D34" s="147">
        <v>144</v>
      </c>
      <c r="E34" s="15">
        <v>22</v>
      </c>
    </row>
    <row r="35" spans="1:7" s="15" customFormat="1" ht="15" customHeight="1">
      <c r="A35" s="15">
        <v>2</v>
      </c>
      <c r="B35" s="147" t="s">
        <v>52</v>
      </c>
      <c r="D35" s="147">
        <v>168</v>
      </c>
      <c r="E35" s="15">
        <v>23</v>
      </c>
    </row>
    <row r="36" spans="1:7" s="15" customFormat="1" ht="15" customHeight="1">
      <c r="A36" s="48" t="s">
        <v>54</v>
      </c>
      <c r="D36" s="147">
        <v>192</v>
      </c>
      <c r="E36" s="15">
        <v>24</v>
      </c>
    </row>
    <row r="37" spans="1:7" s="15" customFormat="1" ht="15" customHeight="1">
      <c r="A37" s="47" t="s">
        <v>33</v>
      </c>
      <c r="B37" s="138">
        <f>AA_077_CARACTERISTICAS_CREDITO_COMISIÓN_POR_APERTURA</f>
        <v>0.02</v>
      </c>
      <c r="D37" s="147">
        <v>216</v>
      </c>
      <c r="E37" s="15">
        <v>25</v>
      </c>
    </row>
    <row r="38" spans="1:7" s="15" customFormat="1" ht="15" customHeight="1">
      <c r="A38" s="47" t="s">
        <v>34</v>
      </c>
      <c r="B38" s="138">
        <v>3.0000000000000001E-3</v>
      </c>
      <c r="D38" s="147">
        <v>240</v>
      </c>
      <c r="E38" s="15">
        <v>26</v>
      </c>
    </row>
    <row r="39" spans="1:7" s="15" customFormat="1" ht="15" customHeight="1">
      <c r="A39" s="47" t="s">
        <v>35</v>
      </c>
      <c r="B39" s="139">
        <v>4825.97</v>
      </c>
      <c r="C39" s="47" t="s">
        <v>106</v>
      </c>
      <c r="D39" s="158">
        <f>+Seguro_Anual/Tipo_de_cambio</f>
        <v>366.17246481277743</v>
      </c>
      <c r="E39" s="170" t="s">
        <v>116</v>
      </c>
    </row>
    <row r="40" spans="1:7" s="15" customFormat="1" ht="15" customHeight="1">
      <c r="A40" s="47" t="s">
        <v>101</v>
      </c>
      <c r="B40" s="139">
        <v>4160.32</v>
      </c>
      <c r="C40" s="47" t="s">
        <v>107</v>
      </c>
      <c r="D40" s="158">
        <f>Seguro_Anual_CAT/Tipo_de_cambio</f>
        <v>315.66599643385558</v>
      </c>
      <c r="E40" s="170" t="s">
        <v>116</v>
      </c>
    </row>
    <row r="41" spans="1:7" s="15" customFormat="1" ht="15" customHeight="1">
      <c r="A41" s="51" t="s">
        <v>108</v>
      </c>
      <c r="B41" s="171">
        <v>13.179500000000001</v>
      </c>
      <c r="C41" s="170" t="s">
        <v>116</v>
      </c>
    </row>
    <row r="42" spans="1:7" s="15" customFormat="1" ht="15" customHeight="1">
      <c r="A42" s="51" t="s">
        <v>109</v>
      </c>
      <c r="B42" s="172">
        <v>41708</v>
      </c>
      <c r="C42" s="170" t="s">
        <v>116</v>
      </c>
    </row>
    <row r="43" spans="1:7" s="15" customFormat="1" ht="15" customHeight="1">
      <c r="A43" s="49" t="s">
        <v>32</v>
      </c>
      <c r="B43" s="475">
        <f>IF(AA_109_CARACTERISTICAS_CREDITO_TIPO_DE_TASA=1,AA_079_CARACTERISTICAS_CREDITO_PORCENTAJE_DE_INTERÉS_TASA_FIJA,TIIE+B47)</f>
        <v>0.15</v>
      </c>
    </row>
    <row r="44" spans="1:7" s="15" customFormat="1" ht="15" customHeight="1">
      <c r="A44" s="48" t="s">
        <v>55</v>
      </c>
      <c r="B44" s="173">
        <f>AA_107_CARACTERISTICAS_CREDITO_VALOR_DE_TIIE</f>
        <v>3.8005999999999998E-2</v>
      </c>
    </row>
    <row r="45" spans="1:7" s="15" customFormat="1" ht="15" customHeight="1">
      <c r="A45" s="48" t="s">
        <v>102</v>
      </c>
      <c r="B45" s="174">
        <f>AA_108_CARACTERISTICAS_CREDITO_FECHA_DE_TIIE</f>
        <v>41708</v>
      </c>
    </row>
    <row r="46" spans="1:7" s="15" customFormat="1" ht="15" customHeight="1">
      <c r="A46" s="48" t="s">
        <v>103</v>
      </c>
      <c r="B46" s="161">
        <v>0</v>
      </c>
      <c r="C46" s="166" t="s">
        <v>115</v>
      </c>
      <c r="D46" s="167"/>
    </row>
    <row r="47" spans="1:7" s="15" customFormat="1" ht="15" customHeight="1">
      <c r="A47" s="16" t="s">
        <v>104</v>
      </c>
      <c r="B47" s="137">
        <f>AA_080_CARACTERISTICAS_CREDITO_DIFERENCIAL_TASA_VARIABLE_TIIE/100</f>
        <v>0.11</v>
      </c>
    </row>
    <row r="48" spans="1:7" s="15" customFormat="1" ht="15" customHeight="1">
      <c r="A48" s="50" t="s">
        <v>59</v>
      </c>
      <c r="B48" s="164" t="s">
        <v>110</v>
      </c>
      <c r="C48" s="165" t="s">
        <v>111</v>
      </c>
      <c r="D48" s="150" t="s">
        <v>60</v>
      </c>
      <c r="E48" s="166" t="s">
        <v>113</v>
      </c>
      <c r="F48" s="167"/>
      <c r="G48" s="167"/>
    </row>
    <row r="49" spans="1:7" s="15" customFormat="1" ht="15" customHeight="1">
      <c r="A49" s="151">
        <v>0</v>
      </c>
      <c r="B49" s="155">
        <v>0.12</v>
      </c>
      <c r="C49" s="155">
        <v>0.125</v>
      </c>
      <c r="D49" s="155">
        <v>0.13</v>
      </c>
      <c r="E49" s="166" t="s">
        <v>114</v>
      </c>
      <c r="F49" s="167"/>
      <c r="G49" s="167"/>
    </row>
    <row r="50" spans="1:7" s="15" customFormat="1" ht="15" customHeight="1">
      <c r="A50" s="151">
        <v>100001</v>
      </c>
      <c r="B50" s="155">
        <v>0.115</v>
      </c>
      <c r="C50" s="155">
        <v>0.12</v>
      </c>
      <c r="D50" s="155">
        <v>0.125</v>
      </c>
    </row>
    <row r="51" spans="1:7" s="15" customFormat="1" ht="15" customHeight="1">
      <c r="A51" s="151">
        <v>300001</v>
      </c>
      <c r="B51" s="155">
        <v>0.11</v>
      </c>
      <c r="C51" s="155">
        <v>0.115</v>
      </c>
      <c r="D51" s="155">
        <v>0.12</v>
      </c>
    </row>
    <row r="52" spans="1:7" s="15" customFormat="1" ht="15" customHeight="1">
      <c r="A52" s="151">
        <v>500001</v>
      </c>
      <c r="B52" s="155">
        <v>9.5000000000000001E-2</v>
      </c>
      <c r="C52" s="155">
        <v>0.1</v>
      </c>
      <c r="D52" s="155">
        <v>0.105</v>
      </c>
    </row>
    <row r="53" spans="1:7" s="15" customFormat="1" ht="15" customHeight="1">
      <c r="A53" s="152">
        <v>1000001</v>
      </c>
      <c r="B53" s="155">
        <v>8.5000000000000006E-2</v>
      </c>
      <c r="C53" s="155">
        <v>0.09</v>
      </c>
      <c r="D53" s="155">
        <v>0.09</v>
      </c>
    </row>
    <row r="54" spans="1:7" s="15" customFormat="1" ht="15" customHeight="1">
      <c r="A54" s="152">
        <v>2000001</v>
      </c>
      <c r="B54" s="155">
        <v>7.4999999999999997E-2</v>
      </c>
      <c r="C54" s="155">
        <v>0.08</v>
      </c>
      <c r="D54" s="155">
        <v>8.5000000000000006E-2</v>
      </c>
    </row>
    <row r="55" spans="1:7" s="15" customFormat="1" ht="15" customHeight="1">
      <c r="A55" s="162">
        <v>4000001</v>
      </c>
      <c r="B55" s="163">
        <v>7.0000000000000007E-2</v>
      </c>
      <c r="C55" s="163">
        <v>7.4999999999999997E-2</v>
      </c>
      <c r="D55" s="163">
        <v>0.08</v>
      </c>
      <c r="E55" s="166" t="s">
        <v>112</v>
      </c>
      <c r="F55" s="167"/>
    </row>
    <row r="56" spans="1:7" s="15" customFormat="1" ht="15" customHeight="1">
      <c r="A56" s="152">
        <v>10000001</v>
      </c>
      <c r="B56" s="155">
        <v>6.5000000000000002E-2</v>
      </c>
      <c r="C56" s="155">
        <v>7.0000000000000007E-2</v>
      </c>
      <c r="D56" s="155">
        <v>7.4999999999999997E-2</v>
      </c>
    </row>
    <row r="57" spans="1:7">
      <c r="C57" s="6"/>
      <c r="D57" s="6"/>
      <c r="E57" s="6"/>
      <c r="F57" s="6"/>
    </row>
  </sheetData>
  <phoneticPr fontId="3" type="noConversion"/>
  <dataValidations count="1">
    <dataValidation errorStyle="information" allowBlank="1" promptTitle="CAPTURA" prompt="SOLO EN CASO DE QUE EL MONTO DEL CRÉDITO DESEADO NO _x000a_ESTE DENTRO DEL COMBO" sqref="B39:B40"/>
  </dataValidations>
  <pageMargins left="0.75" right="0.75" top="1" bottom="1" header="0" footer="0"/>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0" r:id="rId4" name="Drop Down 4">
              <controlPr defaultSize="0" autoFill="0" autoLine="0" autoPict="0">
                <anchor moveWithCells="1">
                  <from>
                    <xdr:col>7</xdr:col>
                    <xdr:colOff>60960</xdr:colOff>
                    <xdr:row>31</xdr:row>
                    <xdr:rowOff>7620</xdr:rowOff>
                  </from>
                  <to>
                    <xdr:col>8</xdr:col>
                    <xdr:colOff>601980</xdr:colOff>
                    <xdr:row>32</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Q258"/>
  <sheetViews>
    <sheetView workbookViewId="0">
      <selection activeCell="C3" sqref="C3"/>
    </sheetView>
  </sheetViews>
  <sheetFormatPr defaultColWidth="11.44140625" defaultRowHeight="10.199999999999999"/>
  <cols>
    <col min="1" max="1" width="2.6640625" style="6" bestFit="1" customWidth="1"/>
    <col min="2" max="3" width="15.5546875" style="6" customWidth="1"/>
    <col min="4" max="4" width="4.33203125" style="23" bestFit="1" customWidth="1"/>
    <col min="5" max="5" width="2.6640625" style="6" bestFit="1" customWidth="1"/>
    <col min="6" max="7" width="15.5546875" style="6" customWidth="1"/>
    <col min="8" max="8" width="5.44140625" style="6" customWidth="1"/>
    <col min="9" max="9" width="4.5546875" style="6" customWidth="1"/>
    <col min="10" max="11" width="15.5546875" style="6" customWidth="1"/>
    <col min="12" max="12" width="3.33203125" style="23" customWidth="1"/>
    <col min="13" max="13" width="2.6640625" style="6" bestFit="1" customWidth="1"/>
    <col min="14" max="15" width="15.5546875" style="6" customWidth="1"/>
    <col min="16" max="16384" width="11.44140625" style="6"/>
  </cols>
  <sheetData>
    <row r="1" spans="1:17" ht="11.25" customHeight="1">
      <c r="B1" s="535" t="s">
        <v>90</v>
      </c>
      <c r="C1" s="535"/>
      <c r="F1" s="535" t="s">
        <v>91</v>
      </c>
      <c r="G1" s="535"/>
      <c r="H1" s="37"/>
      <c r="J1" s="537" t="s">
        <v>88</v>
      </c>
      <c r="K1" s="537"/>
      <c r="N1" s="537" t="s">
        <v>89</v>
      </c>
      <c r="O1" s="537"/>
    </row>
    <row r="2" spans="1:17">
      <c r="B2" s="536"/>
      <c r="C2" s="536"/>
      <c r="D2" s="24"/>
      <c r="F2" s="536"/>
      <c r="G2" s="536"/>
      <c r="H2" s="37"/>
      <c r="J2" s="538"/>
      <c r="K2" s="538"/>
      <c r="L2" s="24"/>
      <c r="N2" s="538"/>
      <c r="O2" s="538"/>
    </row>
    <row r="3" spans="1:17">
      <c r="B3" s="25" t="str">
        <f>+'Menu Principal'!B9</f>
        <v>Monto del Crédito:</v>
      </c>
      <c r="C3" s="26">
        <f>'Menu Principal'!E9*-1</f>
        <v>-1000000</v>
      </c>
      <c r="D3" s="80" t="str">
        <f>IF(Simulación_crediactivo=1,"M.N.","USD")</f>
        <v>M.N.</v>
      </c>
      <c r="F3" s="25" t="str">
        <f>+B3</f>
        <v>Monto del Crédito:</v>
      </c>
      <c r="G3" s="26">
        <f>+Monto_Crédito*-1</f>
        <v>-1000000</v>
      </c>
      <c r="H3" s="80" t="str">
        <f>IF(Simulación_crediactivo=1,"M.N.","USD")</f>
        <v>M.N.</v>
      </c>
      <c r="J3" s="25" t="str">
        <f>+'Menu Principal'!B9</f>
        <v>Monto del Crédito:</v>
      </c>
      <c r="K3" s="26">
        <f>'Menu Principal'!E9*-1</f>
        <v>-1000000</v>
      </c>
      <c r="L3" s="27"/>
      <c r="N3" s="25" t="str">
        <f>+J3</f>
        <v>Monto del Crédito:</v>
      </c>
      <c r="O3" s="26">
        <f>+Monto_Crédito*-1</f>
        <v>-1000000</v>
      </c>
    </row>
    <row r="4" spans="1:17">
      <c r="B4" s="28" t="s">
        <v>7</v>
      </c>
      <c r="C4" s="26">
        <f>(Monto_Crédito*Com_por_apertura)</f>
        <v>20000</v>
      </c>
      <c r="D4" s="80" t="str">
        <f>IF(Simulación_crediactivo=1,"M.N.","USD")</f>
        <v>M.N.</v>
      </c>
      <c r="F4" s="28" t="s">
        <v>7</v>
      </c>
      <c r="G4" s="26">
        <f>(Monto_Crédito*Com_por_apertura)</f>
        <v>20000</v>
      </c>
      <c r="H4" s="80" t="str">
        <f>IF(Simulación_crediactivo=1,"M.N.","USD")</f>
        <v>M.N.</v>
      </c>
      <c r="J4" s="28" t="s">
        <v>7</v>
      </c>
      <c r="K4" s="26">
        <f>(Monto_Crédito*Com_por_apertura)*(1+I.V.A.)</f>
        <v>23200</v>
      </c>
      <c r="L4" s="27"/>
      <c r="N4" s="28" t="s">
        <v>7</v>
      </c>
      <c r="O4" s="26">
        <f>(Monto_Crédito*Com_por_apertura)*(1+I.V.A.)</f>
        <v>23200</v>
      </c>
    </row>
    <row r="5" spans="1:17">
      <c r="B5" s="29" t="s">
        <v>5</v>
      </c>
      <c r="C5" s="26">
        <f>IF(Garantía_Hipotecaria=1,0,Valor_Propiedad*Com_por_avalúo)</f>
        <v>0</v>
      </c>
      <c r="D5" s="80" t="str">
        <f>IF(Simulación_crediactivo=1,"M.N.","USD")</f>
        <v>M.N.</v>
      </c>
      <c r="F5" s="29" t="s">
        <v>5</v>
      </c>
      <c r="G5" s="26">
        <f>IF(Garantía_Hipotecaria=1,0,Valor_Propiedad*Com_por_avalúo)</f>
        <v>0</v>
      </c>
      <c r="H5" s="80" t="str">
        <f>IF(Simulación_crediactivo=1,"M.N.","USD")</f>
        <v>M.N.</v>
      </c>
      <c r="J5" s="29" t="s">
        <v>5</v>
      </c>
      <c r="K5" s="26">
        <f>IF(Garantía_Hipotecaria=1,0,Valor_Propiedad*Com_por_avalúo)*(1+I.V.A.)</f>
        <v>0</v>
      </c>
      <c r="L5" s="27"/>
      <c r="N5" s="29" t="s">
        <v>5</v>
      </c>
      <c r="O5" s="26">
        <f>IF(Garantía_Hipotecaria=1,0,Valor_Propiedad*Com_por_avalúo)*(1+I.V.A.)</f>
        <v>0</v>
      </c>
    </row>
    <row r="6" spans="1:17">
      <c r="B6" s="28" t="s">
        <v>6</v>
      </c>
      <c r="C6" s="26">
        <f>IF(Garantía_Hipotecaria=1,0,(No._de_Pagos/Pagos_por_año)*Seguro_Anual_CAT)</f>
        <v>0</v>
      </c>
      <c r="D6" s="80" t="str">
        <f>IF(Simulación_crediactivo=1,"M.N.","USD")</f>
        <v>M.N.</v>
      </c>
      <c r="F6" s="28" t="s">
        <v>6</v>
      </c>
      <c r="G6" s="26">
        <f>IF(Garantía_Hipotecaria=1,0,(No._de_Pagos/Pagos_por_año)*Seguro_Anual_CAT)</f>
        <v>0</v>
      </c>
      <c r="H6" s="80" t="str">
        <f>IF(Simulación_crediactivo=1,"M.N.","USD")</f>
        <v>M.N.</v>
      </c>
      <c r="J6" s="28" t="s">
        <v>6</v>
      </c>
      <c r="K6" s="26">
        <f>IF(Garantía_Hipotecaria=1,0,(No._de_Pagos/Pagos_por_año)*Seguro_Anual)</f>
        <v>0</v>
      </c>
      <c r="L6" s="27"/>
      <c r="N6" s="28" t="s">
        <v>6</v>
      </c>
      <c r="O6" s="26">
        <f>IF(Garantía_Hipotecaria=1,0,(No._de_Pagos/Pagos_por_año)*Seguro_Anual)</f>
        <v>0</v>
      </c>
    </row>
    <row r="7" spans="1:17">
      <c r="B7" s="25" t="s">
        <v>0</v>
      </c>
      <c r="C7" s="26">
        <f>SUM(C3:C6)</f>
        <v>-980000</v>
      </c>
      <c r="D7" s="27"/>
      <c r="F7" s="25" t="s">
        <v>0</v>
      </c>
      <c r="G7" s="26">
        <f>SUM(G3:G6)</f>
        <v>-980000</v>
      </c>
      <c r="H7" s="37"/>
      <c r="J7" s="25" t="s">
        <v>0</v>
      </c>
      <c r="K7" s="26">
        <f>SUM(K3:K6)</f>
        <v>-976800</v>
      </c>
      <c r="L7" s="27"/>
      <c r="N7" s="25" t="s">
        <v>0</v>
      </c>
      <c r="O7" s="26">
        <f>SUM(O3:O6)</f>
        <v>-976800</v>
      </c>
    </row>
    <row r="8" spans="1:17">
      <c r="A8" s="8"/>
      <c r="B8" s="30" t="s">
        <v>1</v>
      </c>
      <c r="C8" s="31">
        <f>IRR($B$15:$B$255,0)</f>
        <v>1.3255332039191492E-2</v>
      </c>
      <c r="D8" s="32"/>
      <c r="E8" s="8"/>
      <c r="F8" s="30" t="s">
        <v>1</v>
      </c>
      <c r="G8" s="31">
        <f>IRR($F$15:$F$255,0)</f>
        <v>1.3347752840662475E-2</v>
      </c>
      <c r="H8" s="32"/>
      <c r="J8" s="30" t="s">
        <v>1</v>
      </c>
      <c r="K8" s="31">
        <f>IRR($J$15:$J$255,0)</f>
        <v>1.5412622874799276E-2</v>
      </c>
      <c r="L8" s="32"/>
      <c r="M8" s="8"/>
      <c r="N8" s="30" t="s">
        <v>1</v>
      </c>
      <c r="O8" s="31">
        <f>IRR($N$15:$N$255,0)</f>
        <v>1.5521924695578448E-2</v>
      </c>
    </row>
    <row r="9" spans="1:17">
      <c r="A9" s="8"/>
      <c r="B9" s="33" t="s">
        <v>10</v>
      </c>
      <c r="C9" s="34">
        <f>EFFECT($C$8*Pagos_por_año,Pagos_por_año)</f>
        <v>0.17118843057667088</v>
      </c>
      <c r="D9" s="35"/>
      <c r="E9" s="8"/>
      <c r="F9" s="33" t="s">
        <v>10</v>
      </c>
      <c r="G9" s="34">
        <f>EFFECT($G$8*Pagos_por_año,Pagos_por_año)</f>
        <v>0.17247098775006298</v>
      </c>
      <c r="H9" s="56"/>
      <c r="J9" s="54" t="s">
        <v>10</v>
      </c>
      <c r="K9" s="55">
        <f>EFFECT($K$8*Pagos_por_año,Pagos_por_año)</f>
        <v>0.20146381427428439</v>
      </c>
      <c r="L9" s="35"/>
      <c r="M9" s="8"/>
      <c r="N9" s="54" t="s">
        <v>10</v>
      </c>
      <c r="O9" s="55">
        <f>EFFECT($O$8*Pagos_por_año,Pagos_por_año)</f>
        <v>0.20301668003306639</v>
      </c>
    </row>
    <row r="10" spans="1:17">
      <c r="A10" s="8"/>
      <c r="B10" s="33" t="s">
        <v>11</v>
      </c>
      <c r="C10" s="34">
        <f>((1+$C$8)^Pagos_por_año)-1</f>
        <v>0.17118843057667088</v>
      </c>
      <c r="D10" s="35"/>
      <c r="E10" s="8"/>
      <c r="F10" s="33" t="s">
        <v>11</v>
      </c>
      <c r="G10" s="34">
        <f>((1+$G$8)^Pagos_por_año)-1</f>
        <v>0.17247098775006298</v>
      </c>
      <c r="H10" s="56"/>
      <c r="J10" s="54" t="s">
        <v>11</v>
      </c>
      <c r="K10" s="55">
        <f>((1+$K$8)^Pagos_por_año)-1</f>
        <v>0.20146381427428439</v>
      </c>
      <c r="L10" s="35"/>
      <c r="M10" s="8"/>
      <c r="N10" s="54" t="s">
        <v>11</v>
      </c>
      <c r="O10" s="55">
        <f>((1+$O$8)^Pagos_por_año)-1</f>
        <v>0.20301668003306639</v>
      </c>
    </row>
    <row r="11" spans="1:17">
      <c r="A11" s="8"/>
      <c r="B11" s="25" t="s">
        <v>12</v>
      </c>
      <c r="C11" s="26">
        <f>+$C$256</f>
        <v>-2.242813934572041E-9</v>
      </c>
      <c r="D11" s="27"/>
      <c r="E11" s="8"/>
      <c r="F11" s="25" t="s">
        <v>12</v>
      </c>
      <c r="G11" s="26">
        <f>+$G$256</f>
        <v>3.7519384932238609E-8</v>
      </c>
      <c r="H11" s="37"/>
      <c r="J11" s="25" t="s">
        <v>12</v>
      </c>
      <c r="K11" s="26">
        <f>+$K$256</f>
        <v>-2.2373569663614035E-9</v>
      </c>
      <c r="L11" s="27"/>
      <c r="M11" s="8"/>
      <c r="N11" s="25" t="s">
        <v>12</v>
      </c>
      <c r="O11" s="26">
        <f>+$O$256</f>
        <v>-3.4542608773335814E-9</v>
      </c>
    </row>
    <row r="12" spans="1:17">
      <c r="A12" s="8"/>
      <c r="B12" s="36"/>
      <c r="C12" s="37"/>
      <c r="D12" s="27"/>
      <c r="E12" s="8"/>
      <c r="F12" s="36"/>
      <c r="G12" s="37"/>
      <c r="H12" s="37"/>
      <c r="J12" s="36"/>
      <c r="K12" s="37"/>
      <c r="L12" s="27"/>
      <c r="M12" s="8"/>
      <c r="N12" s="36"/>
      <c r="O12" s="37"/>
    </row>
    <row r="13" spans="1:17">
      <c r="A13" s="10"/>
      <c r="B13" s="38"/>
      <c r="C13" s="27"/>
      <c r="D13" s="27"/>
      <c r="E13" s="10"/>
      <c r="F13" s="38"/>
      <c r="G13" s="27"/>
      <c r="H13" s="27"/>
      <c r="J13" s="38"/>
      <c r="K13" s="27"/>
      <c r="L13" s="27"/>
      <c r="M13" s="10"/>
      <c r="N13" s="38"/>
      <c r="O13" s="27"/>
    </row>
    <row r="14" spans="1:17" ht="20.399999999999999">
      <c r="A14" s="12" t="s">
        <v>15</v>
      </c>
      <c r="B14" s="12" t="s">
        <v>2</v>
      </c>
      <c r="C14" s="39" t="s">
        <v>3</v>
      </c>
      <c r="D14" s="40"/>
      <c r="E14" s="12" t="s">
        <v>15</v>
      </c>
      <c r="F14" s="12" t="s">
        <v>2</v>
      </c>
      <c r="G14" s="39" t="s">
        <v>3</v>
      </c>
      <c r="H14" s="39"/>
      <c r="I14" s="12" t="s">
        <v>15</v>
      </c>
      <c r="J14" s="12" t="s">
        <v>2</v>
      </c>
      <c r="K14" s="39" t="s">
        <v>3</v>
      </c>
      <c r="L14" s="40"/>
      <c r="M14" s="12" t="s">
        <v>15</v>
      </c>
      <c r="N14" s="12" t="s">
        <v>2</v>
      </c>
      <c r="O14" s="39" t="s">
        <v>3</v>
      </c>
    </row>
    <row r="15" spans="1:17">
      <c r="A15" s="41">
        <f>+Tabla!A17</f>
        <v>0</v>
      </c>
      <c r="B15" s="42">
        <f>+$C$7</f>
        <v>-980000</v>
      </c>
      <c r="C15" s="42">
        <f>IF(Tabla!A17="","",(B15/((1+$C$9)^($A15/Parámetros!$D$6))))</f>
        <v>-980000</v>
      </c>
      <c r="D15" s="43"/>
      <c r="E15" s="41">
        <f>+Tabla!A17</f>
        <v>0</v>
      </c>
      <c r="F15" s="42">
        <f>+$G$7</f>
        <v>-980000</v>
      </c>
      <c r="G15" s="42">
        <f>IF(Tabla!A17="","",(F15/((1+$G$9)^(CAT!$E15/Pagos_por_año))))</f>
        <v>-980000</v>
      </c>
      <c r="H15" s="42"/>
      <c r="I15" s="41">
        <f>+Tabla!I17</f>
        <v>0</v>
      </c>
      <c r="J15" s="42">
        <f>+$K$7</f>
        <v>-976800</v>
      </c>
      <c r="K15" s="42">
        <f>IF(Tabla!A17="","",(J15/((1+$K$9)^($I15/Parámetros!$D$6))))</f>
        <v>-976800</v>
      </c>
      <c r="L15" s="43"/>
      <c r="M15" s="41">
        <f>+Tabla!H17</f>
        <v>0</v>
      </c>
      <c r="N15" s="42">
        <f>+$O$7</f>
        <v>-976800</v>
      </c>
      <c r="O15" s="42">
        <f>IF(Tabla!A17="","",(N15/((1+$O$9)^(CAT!$L15/Pagos_por_año))))</f>
        <v>-976800</v>
      </c>
    </row>
    <row r="16" spans="1:17">
      <c r="A16" s="41">
        <f>+Tabla!A18</f>
        <v>1</v>
      </c>
      <c r="B16" s="44">
        <f>+Tabla!AK18</f>
        <v>23068.159832028912</v>
      </c>
      <c r="C16" s="42">
        <f>IF(Tabla!A18="","",(B16/((1+$C$9)^($A16/Parámetros!$D$6))))</f>
        <v>22766.383854703134</v>
      </c>
      <c r="D16" s="43"/>
      <c r="E16" s="41">
        <f>+Tabla!A18</f>
        <v>1</v>
      </c>
      <c r="F16" s="44">
        <f>Tabla!AL18</f>
        <v>29166.666666666664</v>
      </c>
      <c r="G16" s="42">
        <f>IF(Tabla!A18="","",(F16/((1+$G$9)^(CAT!$E16/Pagos_por_año))))</f>
        <v>28782.485168497526</v>
      </c>
      <c r="H16" s="42"/>
      <c r="I16" s="41">
        <f>+Tabla!A18</f>
        <v>1</v>
      </c>
      <c r="J16" s="44">
        <f>+Tabla!AA18</f>
        <v>25068.159832028912</v>
      </c>
      <c r="K16" s="42">
        <f>IF(Tabla!A18="","",(J16/((1+$K$9)^($I16/Parámetros!$D$6))))</f>
        <v>24687.658265520524</v>
      </c>
      <c r="L16" s="43"/>
      <c r="M16" s="41">
        <f>+Tabla!A18</f>
        <v>1</v>
      </c>
      <c r="N16" s="44">
        <f>Tabla!AI18</f>
        <v>31166.666666666664</v>
      </c>
      <c r="O16" s="42">
        <f>IF(Tabla!A18="","",(N16/((1+$O$9)^(CAT!$M16/Pagos_por_año))))</f>
        <v>30690.294230732095</v>
      </c>
      <c r="P16" s="53"/>
      <c r="Q16" s="53"/>
    </row>
    <row r="17" spans="1:17">
      <c r="A17" s="41">
        <f>+Tabla!A19</f>
        <v>2</v>
      </c>
      <c r="B17" s="44">
        <f>+Tabla!AK19</f>
        <v>23089.296151692972</v>
      </c>
      <c r="C17" s="42">
        <f>IF(Tabla!A19="","",(B17/((1+$C$9)^($A17/Parámetros!$D$6))))</f>
        <v>22489.142617904396</v>
      </c>
      <c r="D17" s="43"/>
      <c r="E17" s="41">
        <f>+Tabla!A19</f>
        <v>2</v>
      </c>
      <c r="F17" s="44">
        <f>Tabla!AL19</f>
        <v>28958.333333333336</v>
      </c>
      <c r="G17" s="42">
        <f>IF(Tabla!A19="","",(F17/((1+$G$9)^(CAT!$E17/Pagos_por_año))))</f>
        <v>28200.482912814969</v>
      </c>
      <c r="H17" s="42"/>
      <c r="I17" s="41">
        <f>+Tabla!A19</f>
        <v>2</v>
      </c>
      <c r="J17" s="44">
        <f>+Tabla!AA19</f>
        <v>25068.159832028912</v>
      </c>
      <c r="K17" s="42">
        <f>IF(Tabla!A19="","",(J17/((1+$K$9)^($I17/Parámetros!$D$6))))</f>
        <v>24312.932210381354</v>
      </c>
      <c r="L17" s="43"/>
      <c r="M17" s="41">
        <f>+Tabla!A19</f>
        <v>2</v>
      </c>
      <c r="N17" s="44">
        <f>Tabla!AI19</f>
        <v>30925.000000000004</v>
      </c>
      <c r="O17" s="42">
        <f>IF(Tabla!A19="","",(N17/((1+$O$9)^(CAT!$M17/Pagos_por_año))))</f>
        <v>29986.867462420581</v>
      </c>
      <c r="P17" s="53"/>
      <c r="Q17" s="53"/>
    </row>
    <row r="18" spans="1:17">
      <c r="A18" s="41">
        <f>+Tabla!A20</f>
        <v>3</v>
      </c>
      <c r="B18" s="44">
        <f>+Tabla!AK20</f>
        <v>23110.738947992155</v>
      </c>
      <c r="C18" s="42">
        <f>IF(Tabla!A20="","",(B18/((1+$C$9)^($A18/Parámetros!$D$6))))</f>
        <v>22215.55351934072</v>
      </c>
      <c r="D18" s="43"/>
      <c r="E18" s="41">
        <f>+Tabla!A20</f>
        <v>3</v>
      </c>
      <c r="F18" s="44">
        <f>Tabla!AL20</f>
        <v>28750</v>
      </c>
      <c r="G18" s="42">
        <f>IF(Tabla!A20="","",(F18/((1+$G$9)^(CAT!$E18/Pagos_por_año))))</f>
        <v>27628.819092257498</v>
      </c>
      <c r="H18" s="42"/>
      <c r="I18" s="41">
        <f>+Tabla!A20</f>
        <v>3</v>
      </c>
      <c r="J18" s="44">
        <f>+Tabla!AA20</f>
        <v>25068.159832028909</v>
      </c>
      <c r="K18" s="42">
        <f>IF(Tabla!A20="","",(J18/((1+$K$9)^($I18/Parámetros!$D$6))))</f>
        <v>23943.894001974746</v>
      </c>
      <c r="L18" s="43"/>
      <c r="M18" s="41">
        <f>+Tabla!A20</f>
        <v>3</v>
      </c>
      <c r="N18" s="44">
        <f>Tabla!AI20</f>
        <v>30683.333333333332</v>
      </c>
      <c r="O18" s="42">
        <f>IF(Tabla!A20="","",(N18/((1+$O$9)^(CAT!$M18/Pagos_por_año))))</f>
        <v>29297.774088043672</v>
      </c>
      <c r="P18" s="53"/>
      <c r="Q18" s="53"/>
    </row>
    <row r="19" spans="1:17">
      <c r="A19" s="41">
        <f>+Tabla!A21</f>
        <v>4</v>
      </c>
      <c r="B19" s="44">
        <f>+Tabla!AK21</f>
        <v>23132.492664837679</v>
      </c>
      <c r="C19" s="42">
        <f>IF(Tabla!A21="","",(B19/((1+$C$9)^($A19/Parámetros!$D$6))))</f>
        <v>21945.568813071466</v>
      </c>
      <c r="D19" s="43"/>
      <c r="E19" s="41">
        <f>+Tabla!A21</f>
        <v>4</v>
      </c>
      <c r="F19" s="44">
        <f>Tabla!AL21</f>
        <v>28541.666666666668</v>
      </c>
      <c r="G19" s="42">
        <f>IF(Tabla!A21="","",(F19/((1+$G$9)^(CAT!$E19/Pagos_por_año))))</f>
        <v>27067.322329739724</v>
      </c>
      <c r="H19" s="42"/>
      <c r="I19" s="41">
        <f>+Tabla!A21</f>
        <v>4</v>
      </c>
      <c r="J19" s="44">
        <f>+Tabla!AA21</f>
        <v>25068.159832028909</v>
      </c>
      <c r="K19" s="42">
        <f>IF(Tabla!A21="","",(J19/((1+$K$9)^($I19/Parámetros!$D$6))))</f>
        <v>23580.457306297478</v>
      </c>
      <c r="L19" s="43"/>
      <c r="M19" s="41">
        <f>+Tabla!A21</f>
        <v>4</v>
      </c>
      <c r="N19" s="44">
        <f>Tabla!AI21</f>
        <v>30441.666666666668</v>
      </c>
      <c r="O19" s="42">
        <f>IF(Tabla!A21="","",(N19/((1+$O$9)^(CAT!$M19/Pagos_por_año))))</f>
        <v>28622.74028051948</v>
      </c>
      <c r="P19" s="53"/>
      <c r="Q19" s="53"/>
    </row>
    <row r="20" spans="1:17">
      <c r="A20" s="41">
        <f>+Tabla!A22</f>
        <v>5</v>
      </c>
      <c r="B20" s="44">
        <f>+Tabla!AK22</f>
        <v>23154.561810577463</v>
      </c>
      <c r="C20" s="42">
        <f>IF(Tabla!A22="","",(B20/((1+$C$9)^($A20/Parámetros!$D$6))))</f>
        <v>21679.14137780304</v>
      </c>
      <c r="D20" s="43"/>
      <c r="E20" s="41">
        <f>+Tabla!A22</f>
        <v>5</v>
      </c>
      <c r="F20" s="44">
        <f>Tabla!AL22</f>
        <v>28333.333333333336</v>
      </c>
      <c r="G20" s="42">
        <f>IF(Tabla!A22="","",(F20/((1+$G$9)^(CAT!$E20/Pagos_por_año))))</f>
        <v>26515.823969194884</v>
      </c>
      <c r="H20" s="42"/>
      <c r="I20" s="41">
        <f>+Tabla!A22</f>
        <v>5</v>
      </c>
      <c r="J20" s="44">
        <f>+Tabla!AA22</f>
        <v>25068.159832028909</v>
      </c>
      <c r="K20" s="42">
        <f>IF(Tabla!A22="","",(J20/((1+$K$9)^($I20/Parámetros!$D$6))))</f>
        <v>23222.537099782498</v>
      </c>
      <c r="L20" s="43"/>
      <c r="M20" s="41">
        <f>+Tabla!A22</f>
        <v>5</v>
      </c>
      <c r="N20" s="44">
        <f>Tabla!AI22</f>
        <v>30200.000000000004</v>
      </c>
      <c r="O20" s="42">
        <f>IF(Tabla!A22="","",(N20/((1+$O$9)^(CAT!$M20/Pagos_por_año))))</f>
        <v>27961.497234896251</v>
      </c>
      <c r="P20" s="53"/>
      <c r="Q20" s="53"/>
    </row>
    <row r="21" spans="1:17">
      <c r="A21" s="41">
        <f>+Tabla!A23</f>
        <v>6</v>
      </c>
      <c r="B21" s="44">
        <f>+Tabla!AK23</f>
        <v>23176.950958930473</v>
      </c>
      <c r="C21" s="42">
        <f>IF(Tabla!A23="","",(B21/((1+$C$9)^($A21/Parámetros!$D$6))))</f>
        <v>21416.224708717356</v>
      </c>
      <c r="D21" s="43"/>
      <c r="E21" s="41">
        <f>+Tabla!A23</f>
        <v>6</v>
      </c>
      <c r="F21" s="44">
        <f>Tabla!AL23</f>
        <v>28125</v>
      </c>
      <c r="G21" s="42">
        <f>IF(Tabla!A23="","",(F21/((1+$G$9)^(CAT!$E21/Pagos_por_año))))</f>
        <v>25974.158033626587</v>
      </c>
      <c r="H21" s="42"/>
      <c r="I21" s="41">
        <f>+Tabla!A23</f>
        <v>6</v>
      </c>
      <c r="J21" s="44">
        <f>+Tabla!AA23</f>
        <v>25068.159832028905</v>
      </c>
      <c r="K21" s="42">
        <f>IF(Tabla!A23="","",(J21/((1+$K$9)^($I21/Parámetros!$D$6))))</f>
        <v>22870.049649408229</v>
      </c>
      <c r="L21" s="43"/>
      <c r="M21" s="41">
        <f>+Tabla!A23</f>
        <v>6</v>
      </c>
      <c r="N21" s="44">
        <f>Tabla!AI23</f>
        <v>29958.333333333332</v>
      </c>
      <c r="O21" s="42">
        <f>IF(Tabla!A23="","",(N21/((1+$O$9)^(CAT!$M21/Pagos_por_año))))</f>
        <v>27313.781078800956</v>
      </c>
      <c r="P21" s="53"/>
      <c r="Q21" s="53"/>
    </row>
    <row r="22" spans="1:17">
      <c r="A22" s="41">
        <f>+Tabla!A24</f>
        <v>7</v>
      </c>
      <c r="B22" s="44">
        <f>+Tabla!AK24</f>
        <v>23199.664749934607</v>
      </c>
      <c r="C22" s="42">
        <f>IF(Tabla!A24="","",(B22/((1+$C$9)^($A22/Parámetros!$D$6))))</f>
        <v>21156.772909407235</v>
      </c>
      <c r="D22" s="43"/>
      <c r="E22" s="41">
        <f>+Tabla!A24</f>
        <v>7</v>
      </c>
      <c r="F22" s="44">
        <f>Tabla!AL24</f>
        <v>27916.666666666672</v>
      </c>
      <c r="G22" s="42">
        <f>IF(Tabla!A24="","",(F22/((1+$G$9)^(CAT!$E22/Pagos_por_año))))</f>
        <v>25442.161183793563</v>
      </c>
      <c r="H22" s="42"/>
      <c r="I22" s="41">
        <f>+Tabla!A24</f>
        <v>7</v>
      </c>
      <c r="J22" s="44">
        <f>+Tabla!AA24</f>
        <v>25068.159832028912</v>
      </c>
      <c r="K22" s="42">
        <f>IF(Tabla!A24="","",(J22/((1+$K$9)^($I22/Parámetros!$D$6))))</f>
        <v>22522.91249310983</v>
      </c>
      <c r="L22" s="43"/>
      <c r="M22" s="41">
        <f>+Tabla!A24</f>
        <v>7</v>
      </c>
      <c r="N22" s="44">
        <f>Tabla!AI24</f>
        <v>29716.666666666672</v>
      </c>
      <c r="O22" s="42">
        <f>IF(Tabla!A24="","",(N22/((1+$O$9)^(CAT!$M22/Pagos_por_año))))</f>
        <v>26679.332784452159</v>
      </c>
      <c r="P22" s="53"/>
      <c r="Q22" s="53"/>
    </row>
    <row r="23" spans="1:17">
      <c r="A23" s="41">
        <f>+Tabla!A25</f>
        <v>8</v>
      </c>
      <c r="B23" s="44">
        <f>+Tabla!AK25</f>
        <v>23222.707890908292</v>
      </c>
      <c r="C23" s="42">
        <f>IF(Tabla!A25="","",(B23/((1+$C$9)^($A23/Parámetros!$D$6))))</f>
        <v>20900.740683917189</v>
      </c>
      <c r="D23" s="43"/>
      <c r="E23" s="41">
        <f>+Tabla!A25</f>
        <v>8</v>
      </c>
      <c r="F23" s="44">
        <f>Tabla!AL25</f>
        <v>27708.333333333336</v>
      </c>
      <c r="G23" s="42">
        <f>IF(Tabla!A25="","",(F23/((1+$G$9)^(CAT!$E23/Pagos_por_año))))</f>
        <v>24919.67267751792</v>
      </c>
      <c r="H23" s="42"/>
      <c r="I23" s="41">
        <f>+Tabla!A25</f>
        <v>8</v>
      </c>
      <c r="J23" s="44">
        <f>+Tabla!AA25</f>
        <v>25068.159832028905</v>
      </c>
      <c r="K23" s="42">
        <f>IF(Tabla!A25="","",(J23/((1+$K$9)^($I23/Parámetros!$D$6))))</f>
        <v>22181.044420487677</v>
      </c>
      <c r="L23" s="43"/>
      <c r="M23" s="41">
        <f>+Tabla!A25</f>
        <v>8</v>
      </c>
      <c r="N23" s="44">
        <f>Tabla!AI25</f>
        <v>29475.000000000004</v>
      </c>
      <c r="O23" s="42">
        <f>IF(Tabla!A25="","",(N23/((1+$O$9)^(CAT!$M23/Pagos_por_año))))</f>
        <v>26057.898082210148</v>
      </c>
      <c r="P23" s="53"/>
      <c r="Q23" s="53"/>
    </row>
    <row r="24" spans="1:17">
      <c r="A24" s="41">
        <f>+Tabla!A26</f>
        <v>9</v>
      </c>
      <c r="B24" s="44">
        <f>+Tabla!AK26</f>
        <v>23246.085157426103</v>
      </c>
      <c r="C24" s="42">
        <f>IF(Tabla!A26="","",(B24/((1+$C$9)^($A24/Parámetros!$D$6))))</f>
        <v>20648.083328888497</v>
      </c>
      <c r="D24" s="43"/>
      <c r="E24" s="41">
        <f>+Tabla!A26</f>
        <v>9</v>
      </c>
      <c r="F24" s="44">
        <f>Tabla!AL26</f>
        <v>27500.000000000004</v>
      </c>
      <c r="G24" s="42">
        <f>IF(Tabla!A26="","",(F24/((1+$G$9)^(CAT!$E24/Pagos_por_año))))</f>
        <v>24406.534329607835</v>
      </c>
      <c r="H24" s="42"/>
      <c r="I24" s="41">
        <f>+Tabla!A26</f>
        <v>9</v>
      </c>
      <c r="J24" s="44">
        <f>+Tabla!AA26</f>
        <v>25068.159832028905</v>
      </c>
      <c r="K24" s="42">
        <f>IF(Tabla!A26="","",(J24/((1+$K$9)^($I24/Parámetros!$D$6))))</f>
        <v>21844.365453808827</v>
      </c>
      <c r="L24" s="43"/>
      <c r="M24" s="41">
        <f>+Tabla!A26</f>
        <v>9</v>
      </c>
      <c r="N24" s="44">
        <f>Tabla!AI26</f>
        <v>29233.333333333336</v>
      </c>
      <c r="O24" s="42">
        <f>IF(Tabla!A26="","",(N24/((1+$O$9)^(CAT!$M24/Pagos_por_año))))</f>
        <v>25449.227375638071</v>
      </c>
      <c r="P24" s="53"/>
      <c r="Q24" s="53"/>
    </row>
    <row r="25" spans="1:17">
      <c r="A25" s="41">
        <f>+Tabla!A27</f>
        <v>10</v>
      </c>
      <c r="B25" s="44">
        <f>+Tabla!AK27</f>
        <v>23269.801394308426</v>
      </c>
      <c r="C25" s="42">
        <f>IF(Tabla!A27="","",(B25/((1+$C$9)^($A25/Parámetros!$D$6))))</f>
        <v>20398.756725806867</v>
      </c>
      <c r="D25" s="43"/>
      <c r="E25" s="41">
        <f>+Tabla!A27</f>
        <v>10</v>
      </c>
      <c r="F25" s="44">
        <f>Tabla!AL27</f>
        <v>27291.666666666672</v>
      </c>
      <c r="G25" s="42">
        <f>IF(Tabla!A27="","",(F25/((1+$G$9)^(CAT!$E25/Pagos_por_año))))</f>
        <v>23902.590472385349</v>
      </c>
      <c r="H25" s="42"/>
      <c r="I25" s="41">
        <f>+Tabla!A27</f>
        <v>10</v>
      </c>
      <c r="J25" s="44">
        <f>+Tabla!AA27</f>
        <v>25068.159832028912</v>
      </c>
      <c r="K25" s="42">
        <f>IF(Tabla!A27="","",(J25/((1+$K$9)^($I25/Parámetros!$D$6))))</f>
        <v>21512.796829296705</v>
      </c>
      <c r="L25" s="43"/>
      <c r="M25" s="41">
        <f>+Tabla!A27</f>
        <v>10</v>
      </c>
      <c r="N25" s="44">
        <f>Tabla!AI27</f>
        <v>28991.666666666672</v>
      </c>
      <c r="O25" s="42">
        <f>IF(Tabla!A27="","",(N25/((1+$O$9)^(CAT!$M25/Pagos_por_año))))</f>
        <v>24853.075658047961</v>
      </c>
      <c r="P25" s="53"/>
      <c r="Q25" s="53"/>
    </row>
    <row r="26" spans="1:17">
      <c r="A26" s="41">
        <f>+Tabla!A28</f>
        <v>11</v>
      </c>
      <c r="B26" s="44">
        <f>+Tabla!AK28</f>
        <v>23293.861516625537</v>
      </c>
      <c r="C26" s="42">
        <f>IF(Tabla!A28="","",(B26/((1+$C$9)^($A26/Parámetros!$D$6))))</f>
        <v>20152.717333351615</v>
      </c>
      <c r="D26" s="43"/>
      <c r="E26" s="41">
        <f>+Tabla!A28</f>
        <v>11</v>
      </c>
      <c r="F26" s="44">
        <f>Tabla!AL28</f>
        <v>27083.333333333339</v>
      </c>
      <c r="G26" s="42">
        <f>IF(Tabla!A28="","",(F26/((1+$G$9)^(CAT!$E26/Pagos_por_año))))</f>
        <v>23407.687916810435</v>
      </c>
      <c r="H26" s="42"/>
      <c r="I26" s="41">
        <f>+Tabla!A28</f>
        <v>11</v>
      </c>
      <c r="J26" s="44">
        <f>+Tabla!AA28</f>
        <v>25068.159832028912</v>
      </c>
      <c r="K26" s="42">
        <f>IF(Tabla!A28="","",(J26/((1+$K$9)^($I26/Parámetros!$D$6))))</f>
        <v>21186.26097870485</v>
      </c>
      <c r="L26" s="43"/>
      <c r="M26" s="41">
        <f>+Tabla!A28</f>
        <v>11</v>
      </c>
      <c r="N26" s="44">
        <f>Tabla!AI28</f>
        <v>28750.000000000007</v>
      </c>
      <c r="O26" s="42">
        <f>IF(Tabla!A28="","",(N26/((1+$O$9)^(CAT!$M26/Pagos_por_año))))</f>
        <v>24269.202430506113</v>
      </c>
      <c r="P26" s="53"/>
      <c r="Q26" s="53"/>
    </row>
    <row r="27" spans="1:17">
      <c r="A27" s="41">
        <f>+Tabla!A29</f>
        <v>12</v>
      </c>
      <c r="B27" s="44">
        <f>+Tabla!AK29</f>
        <v>23318.27051071624</v>
      </c>
      <c r="C27" s="42">
        <f>IF(Tabla!A29="","",(B27/((1+$C$9)^($A27/Parámetros!$D$6))))</f>
        <v>19909.922179844936</v>
      </c>
      <c r="D27" s="43"/>
      <c r="E27" s="41">
        <f>+Tabla!A29</f>
        <v>12</v>
      </c>
      <c r="F27" s="44">
        <f>Tabla!AL29</f>
        <v>26875.000000000007</v>
      </c>
      <c r="G27" s="42">
        <f>IF(Tabla!A29="","",(F27/((1+$G$9)^(CAT!$E27/Pagos_por_año))))</f>
        <v>22921.675914192412</v>
      </c>
      <c r="H27" s="42"/>
      <c r="I27" s="41">
        <f>+Tabla!A29</f>
        <v>12</v>
      </c>
      <c r="J27" s="44">
        <f>+Tabla!AA29</f>
        <v>25068.159832028909</v>
      </c>
      <c r="K27" s="42">
        <f>IF(Tabla!A29="","",(J27/((1+$K$9)^($I27/Parámetros!$D$6))))</f>
        <v>20864.681511170384</v>
      </c>
      <c r="L27" s="43"/>
      <c r="M27" s="41">
        <f>+Tabla!A29</f>
        <v>12</v>
      </c>
      <c r="N27" s="44">
        <f>Tabla!AI29</f>
        <v>28508.333333333343</v>
      </c>
      <c r="O27" s="42">
        <f>IF(Tabla!A29="","",(N27/((1+$O$9)^(CAT!$M27/Pagos_por_año))))</f>
        <v>23697.371621272745</v>
      </c>
      <c r="P27" s="53"/>
      <c r="Q27" s="53"/>
    </row>
    <row r="28" spans="1:17">
      <c r="A28" s="41">
        <f>+Tabla!A30</f>
        <v>13</v>
      </c>
      <c r="B28" s="44">
        <f>+Tabla!AK30</f>
        <v>23343.033435221267</v>
      </c>
      <c r="C28" s="42">
        <f>IF(Tabla!A30="","",(B28/((1+$C$9)^($A28/Parámetros!$D$6))))</f>
        <v>19670.328855799889</v>
      </c>
      <c r="D28" s="43"/>
      <c r="E28" s="41">
        <f>+Tabla!A30</f>
        <v>13</v>
      </c>
      <c r="F28" s="44">
        <f>Tabla!AL30</f>
        <v>26666.666666666672</v>
      </c>
      <c r="G28" s="42">
        <f>IF(Tabla!A30="","",(F28/((1+$G$9)^(CAT!$E28/Pagos_por_año))))</f>
        <v>22444.40611847995</v>
      </c>
      <c r="H28" s="42"/>
      <c r="I28" s="41">
        <f>+Tabla!A30</f>
        <v>13</v>
      </c>
      <c r="J28" s="44">
        <f>+Tabla!AA30</f>
        <v>25068.159832028909</v>
      </c>
      <c r="K28" s="42">
        <f>IF(Tabla!A30="","",(J28/((1+$K$9)^($I28/Parámetros!$D$6))))</f>
        <v>20547.983195342851</v>
      </c>
      <c r="L28" s="43"/>
      <c r="M28" s="41">
        <f>+Tabla!A30</f>
        <v>13</v>
      </c>
      <c r="N28" s="44">
        <f>Tabla!AI30</f>
        <v>28266.666666666672</v>
      </c>
      <c r="O28" s="42">
        <f>IF(Tabla!A30="","",(N28/((1+$O$9)^(CAT!$M28/Pagos_por_año))))</f>
        <v>23137.351506651248</v>
      </c>
      <c r="P28" s="53"/>
      <c r="Q28" s="53"/>
    </row>
    <row r="29" spans="1:17">
      <c r="A29" s="41">
        <f>+Tabla!A31</f>
        <v>14</v>
      </c>
      <c r="B29" s="44">
        <f>+Tabla!AK31</f>
        <v>23368.155422131618</v>
      </c>
      <c r="C29" s="42">
        <f>IF(Tabla!A31="","",(B29/((1+$C$9)^($A29/Parámetros!$D$6))))</f>
        <v>19433.895506565932</v>
      </c>
      <c r="D29" s="43"/>
      <c r="E29" s="41">
        <f>+Tabla!A31</f>
        <v>14</v>
      </c>
      <c r="F29" s="44">
        <f>Tabla!AL31</f>
        <v>26458.333333333339</v>
      </c>
      <c r="G29" s="42">
        <f>IF(Tabla!A31="","",(F29/((1+$G$9)^(CAT!$E29/Pagos_por_año))))</f>
        <v>21975.732549121156</v>
      </c>
      <c r="H29" s="42"/>
      <c r="I29" s="41">
        <f>+Tabla!A31</f>
        <v>14</v>
      </c>
      <c r="J29" s="44">
        <f>+Tabla!AA31</f>
        <v>25068.159832028916</v>
      </c>
      <c r="K29" s="42">
        <f>IF(Tabla!A31="","",(J29/((1+$K$9)^($I29/Parámetros!$D$6))))</f>
        <v>20236.091941784369</v>
      </c>
      <c r="L29" s="43"/>
      <c r="M29" s="41">
        <f>+Tabla!A31</f>
        <v>14</v>
      </c>
      <c r="N29" s="44">
        <f>Tabla!AI31</f>
        <v>28025.000000000007</v>
      </c>
      <c r="O29" s="42">
        <f>IF(Tabla!A31="","",(N29/((1+$O$9)^(CAT!$M29/Pagos_por_año))))</f>
        <v>22588.914633222703</v>
      </c>
      <c r="P29" s="53"/>
      <c r="Q29" s="53"/>
    </row>
    <row r="30" spans="1:17">
      <c r="A30" s="41">
        <f>+Tabla!A32</f>
        <v>15</v>
      </c>
      <c r="B30" s="44">
        <f>+Tabla!AK32</f>
        <v>23393.641677852163</v>
      </c>
      <c r="C30" s="42">
        <f>IF(Tabla!A32="","",(B30/((1+$C$9)^($A30/Parámetros!$D$6))))</f>
        <v>19200.580825070592</v>
      </c>
      <c r="D30" s="43"/>
      <c r="E30" s="41">
        <f>+Tabla!A32</f>
        <v>15</v>
      </c>
      <c r="F30" s="44">
        <f>Tabla!AL32</f>
        <v>26250.000000000007</v>
      </c>
      <c r="G30" s="42">
        <f>IF(Tabla!A32="","",(F30/((1+$G$9)^(CAT!$E30/Pagos_por_año))))</f>
        <v>21515.511554485165</v>
      </c>
      <c r="H30" s="42"/>
      <c r="I30" s="41">
        <f>+Tabla!A32</f>
        <v>15</v>
      </c>
      <c r="J30" s="44">
        <f>+Tabla!AA32</f>
        <v>25068.159832028912</v>
      </c>
      <c r="K30" s="42">
        <f>IF(Tabla!A32="","",(J30/((1+$K$9)^($I30/Parámetros!$D$6))))</f>
        <v>19928.93478563688</v>
      </c>
      <c r="L30" s="43"/>
      <c r="M30" s="41">
        <f>+Tabla!A32</f>
        <v>15</v>
      </c>
      <c r="N30" s="44">
        <f>Tabla!AI32</f>
        <v>27783.333333333343</v>
      </c>
      <c r="O30" s="42">
        <f>IF(Tabla!A32="","",(N30/((1+$O$9)^(CAT!$M30/Pagos_por_año))))</f>
        <v>22051.837741441825</v>
      </c>
      <c r="P30" s="53"/>
      <c r="Q30" s="53"/>
    </row>
    <row r="31" spans="1:17">
      <c r="A31" s="41">
        <f>+Tabla!A33</f>
        <v>16</v>
      </c>
      <c r="B31" s="44">
        <f>+Tabla!AK33</f>
        <v>23419.497484280659</v>
      </c>
      <c r="C31" s="42">
        <f>IF(Tabla!A33="","",(B31/((1+$C$9)^($A31/Parámetros!$D$6))))</f>
        <v>18970.344044656205</v>
      </c>
      <c r="D31" s="43"/>
      <c r="E31" s="41">
        <f>+Tabla!A33</f>
        <v>16</v>
      </c>
      <c r="F31" s="44">
        <f>Tabla!AL33</f>
        <v>26041.666666666675</v>
      </c>
      <c r="G31" s="42">
        <f>IF(Tabla!A33="","",(F31/((1+$G$9)^(CAT!$E31/Pagos_por_año))))</f>
        <v>21063.601775836956</v>
      </c>
      <c r="H31" s="42"/>
      <c r="I31" s="41">
        <f>+Tabla!A33</f>
        <v>16</v>
      </c>
      <c r="J31" s="44">
        <f>+Tabla!AA33</f>
        <v>25068.159832028912</v>
      </c>
      <c r="K31" s="42">
        <f>IF(Tabla!A33="","",(J31/((1+$K$9)^($I31/Parámetros!$D$6))))</f>
        <v>19626.439869552538</v>
      </c>
      <c r="L31" s="43"/>
      <c r="M31" s="41">
        <f>+Tabla!A33</f>
        <v>16</v>
      </c>
      <c r="N31" s="44">
        <f>Tabla!AI33</f>
        <v>27541.666666666675</v>
      </c>
      <c r="O31" s="42">
        <f>IF(Tabla!A33="","",(N31/((1+$O$9)^(CAT!$M31/Pagos_por_año))))</f>
        <v>21525.90169057098</v>
      </c>
      <c r="P31" s="53"/>
      <c r="Q31" s="53"/>
    </row>
    <row r="32" spans="1:17">
      <c r="A32" s="41">
        <f>+Tabla!A34</f>
        <v>17</v>
      </c>
      <c r="B32" s="44">
        <f>+Tabla!AK34</f>
        <v>23445.728199902362</v>
      </c>
      <c r="C32" s="42">
        <f>IF(Tabla!A34="","",(B32/((1+$C$9)^($A32/Parámetros!$D$6))))</f>
        <v>18743.144932010244</v>
      </c>
      <c r="D32" s="43"/>
      <c r="E32" s="41">
        <f>+Tabla!A34</f>
        <v>17</v>
      </c>
      <c r="F32" s="44">
        <f>Tabla!AL34</f>
        <v>25833.333333333343</v>
      </c>
      <c r="G32" s="42">
        <f>IF(Tabla!A34="","",(F32/((1+$G$9)^(CAT!$E32/Pagos_por_año))))</f>
        <v>20619.864111857147</v>
      </c>
      <c r="H32" s="42"/>
      <c r="I32" s="41">
        <f>+Tabla!A34</f>
        <v>17</v>
      </c>
      <c r="J32" s="44">
        <f>+Tabla!AA34</f>
        <v>25068.159832028909</v>
      </c>
      <c r="K32" s="42">
        <f>IF(Tabla!A34="","",(J32/((1+$K$9)^($I32/Parámetros!$D$6))))</f>
        <v>19328.536426883165</v>
      </c>
      <c r="L32" s="43"/>
      <c r="M32" s="41">
        <f>+Tabla!A34</f>
        <v>17</v>
      </c>
      <c r="N32" s="44">
        <f>Tabla!AI34</f>
        <v>27300.000000000011</v>
      </c>
      <c r="O32" s="42">
        <f>IF(Tabla!A34="","",(N32/((1+$O$9)^(CAT!$M32/Pagos_por_año))))</f>
        <v>21010.891384929055</v>
      </c>
      <c r="P32" s="53"/>
      <c r="Q32" s="53"/>
    </row>
    <row r="33" spans="1:17">
      <c r="A33" s="41">
        <f>+Tabla!A35</f>
        <v>18</v>
      </c>
      <c r="B33" s="44">
        <f>+Tabla!AK35</f>
        <v>23472.33926090059</v>
      </c>
      <c r="C33" s="42">
        <f>IF(Tabla!A35="","",(B33/((1+$C$9)^($A33/Parámetros!$D$6))))</f>
        <v>18518.94378018822</v>
      </c>
      <c r="D33" s="43"/>
      <c r="E33" s="41">
        <f>+Tabla!A35</f>
        <v>18</v>
      </c>
      <c r="F33" s="44">
        <f>Tabla!AL35</f>
        <v>25625.000000000007</v>
      </c>
      <c r="G33" s="42">
        <f>IF(Tabla!A35="","",(F33/((1+$G$9)^(CAT!$E33/Pagos_por_año))))</f>
        <v>20184.16168369864</v>
      </c>
      <c r="H33" s="42"/>
      <c r="I33" s="41">
        <f>+Tabla!A35</f>
        <v>18</v>
      </c>
      <c r="J33" s="44">
        <f>+Tabla!AA35</f>
        <v>25068.159832028912</v>
      </c>
      <c r="K33" s="42">
        <f>IF(Tabla!A35="","",(J33/((1+$K$9)^($I33/Parámetros!$D$6))))</f>
        <v>19035.154765124862</v>
      </c>
      <c r="L33" s="43"/>
      <c r="M33" s="41">
        <f>+Tabla!A35</f>
        <v>18</v>
      </c>
      <c r="N33" s="44">
        <f>Tabla!AI35</f>
        <v>27058.333333333343</v>
      </c>
      <c r="O33" s="42">
        <f>IF(Tabla!A35="","",(N33/((1+$O$9)^(CAT!$M33/Pagos_por_año))))</f>
        <v>20506.59570143266</v>
      </c>
      <c r="P33" s="53"/>
      <c r="Q33" s="53"/>
    </row>
    <row r="34" spans="1:17">
      <c r="A34" s="41">
        <f>+Tabla!A36</f>
        <v>19</v>
      </c>
      <c r="B34" s="44">
        <f>+Tabla!AK36</f>
        <v>23499.336182283289</v>
      </c>
      <c r="C34" s="42">
        <f>IF(Tabla!A36="","",(B34/((1+$C$9)^($A34/Parámetros!$D$6))))</f>
        <v>18297.701401727783</v>
      </c>
      <c r="D34" s="43"/>
      <c r="E34" s="41">
        <f>+Tabla!A36</f>
        <v>19</v>
      </c>
      <c r="F34" s="44">
        <f>Tabla!AL36</f>
        <v>25416.666666666675</v>
      </c>
      <c r="G34" s="42">
        <f>IF(Tabla!A36="","",(F34/((1+$G$9)^(CAT!$E34/Pagos_por_año))))</f>
        <v>19756.35980057218</v>
      </c>
      <c r="H34" s="42"/>
      <c r="I34" s="41">
        <f>+Tabla!A36</f>
        <v>19</v>
      </c>
      <c r="J34" s="44">
        <f>+Tabla!AA36</f>
        <v>25068.159832028916</v>
      </c>
      <c r="K34" s="42">
        <f>IF(Tabla!A36="","",(J34/((1+$K$9)^($I34/Parámetros!$D$6))))</f>
        <v>18746.226249613905</v>
      </c>
      <c r="L34" s="43"/>
      <c r="M34" s="41">
        <f>+Tabla!A36</f>
        <v>19</v>
      </c>
      <c r="N34" s="44">
        <f>Tabla!AI36</f>
        <v>26816.666666666675</v>
      </c>
      <c r="O34" s="42">
        <f>IF(Tabla!A36="","",(N34/((1+$O$9)^(CAT!$M34/Pagos_por_año))))</f>
        <v>20012.807418407323</v>
      </c>
      <c r="P34" s="53"/>
      <c r="Q34" s="53"/>
    </row>
    <row r="35" spans="1:17">
      <c r="A35" s="41">
        <f>+Tabla!A37</f>
        <v>20</v>
      </c>
      <c r="B35" s="44">
        <f>+Tabla!AK37</f>
        <v>23526.724559026035</v>
      </c>
      <c r="C35" s="42">
        <f>IF(Tabla!A37="","",(B35/((1+$C$9)^($A35/Parámetros!$D$6))))</f>
        <v>18079.37912185297</v>
      </c>
      <c r="D35" s="43"/>
      <c r="E35" s="41">
        <f>+Tabla!A37</f>
        <v>20</v>
      </c>
      <c r="F35" s="44">
        <f>Tabla!AL37</f>
        <v>25208.333333333343</v>
      </c>
      <c r="G35" s="42">
        <f>IF(Tabla!A37="","",(F35/((1+$G$9)^(CAT!$E35/Pagos_por_año))))</f>
        <v>19336.325925852878</v>
      </c>
      <c r="H35" s="42"/>
      <c r="I35" s="41">
        <f>+Tabla!A37</f>
        <v>20</v>
      </c>
      <c r="J35" s="44">
        <f>+Tabla!AA37</f>
        <v>25068.159832028916</v>
      </c>
      <c r="K35" s="42">
        <f>IF(Tabla!A37="","",(J35/((1+$K$9)^($I35/Parámetros!$D$6))))</f>
        <v>18461.683287470143</v>
      </c>
      <c r="L35" s="43"/>
      <c r="M35" s="41">
        <f>+Tabla!A37</f>
        <v>20</v>
      </c>
      <c r="N35" s="44">
        <f>Tabla!AI37</f>
        <v>26575.000000000011</v>
      </c>
      <c r="O35" s="42">
        <f>IF(Tabla!A37="","",(N35/((1+$O$9)^(CAT!$M35/Pagos_por_año))))</f>
        <v>19529.323145646813</v>
      </c>
      <c r="P35" s="53"/>
      <c r="Q35" s="53"/>
    </row>
    <row r="36" spans="1:17">
      <c r="A36" s="41">
        <f>+Tabla!A38</f>
        <v>21</v>
      </c>
      <c r="B36" s="44">
        <f>+Tabla!AK38</f>
        <v>23554.510067231549</v>
      </c>
      <c r="C36" s="42">
        <f>IF(Tabla!A38="","",(B36/((1+$C$9)^($A36/Parámetros!$D$6))))</f>
        <v>17863.938771767323</v>
      </c>
      <c r="D36" s="43"/>
      <c r="E36" s="41">
        <f>+Tabla!A38</f>
        <v>21</v>
      </c>
      <c r="F36" s="44">
        <f>Tabla!AL38</f>
        <v>25000.000000000011</v>
      </c>
      <c r="G36" s="42">
        <f>IF(Tabla!A38="","",(F36/((1+$G$9)^(CAT!$E36/Pagos_por_año))))</f>
        <v>18923.92964370003</v>
      </c>
      <c r="H36" s="42"/>
      <c r="I36" s="41">
        <f>+Tabla!A38</f>
        <v>21</v>
      </c>
      <c r="J36" s="44">
        <f>+Tabla!AA38</f>
        <v>25068.159832028912</v>
      </c>
      <c r="K36" s="42">
        <f>IF(Tabla!A38="","",(J36/((1+$K$9)^($I36/Parámetros!$D$6))))</f>
        <v>18181.459311784103</v>
      </c>
      <c r="L36" s="43"/>
      <c r="M36" s="41">
        <f>+Tabla!A38</f>
        <v>21</v>
      </c>
      <c r="N36" s="44">
        <f>Tabla!AI38</f>
        <v>26333.333333333347</v>
      </c>
      <c r="O36" s="42">
        <f>IF(Tabla!A38="","",(N36/((1+$O$9)^(CAT!$M36/Pagos_por_año))))</f>
        <v>19055.943255699021</v>
      </c>
      <c r="P36" s="53"/>
      <c r="Q36" s="53"/>
    </row>
    <row r="37" spans="1:17">
      <c r="A37" s="41">
        <f>+Tabla!A39</f>
        <v>22</v>
      </c>
      <c r="B37" s="44">
        <f>+Tabla!AK39</f>
        <v>23582.698465306043</v>
      </c>
      <c r="C37" s="42">
        <f>IF(Tabla!A39="","",(B37/((1+$C$9)^($A37/Parámetros!$D$6))))</f>
        <v>17651.342682034749</v>
      </c>
      <c r="D37" s="43"/>
      <c r="E37" s="41">
        <f>+Tabla!A39</f>
        <v>22</v>
      </c>
      <c r="F37" s="44">
        <f>Tabla!AL39</f>
        <v>24791.666666666679</v>
      </c>
      <c r="G37" s="42">
        <f>IF(Tabla!A39="","",(F37/((1+$G$9)^(CAT!$E37/Pagos_por_año))))</f>
        <v>18519.042626182556</v>
      </c>
      <c r="H37" s="42"/>
      <c r="I37" s="41">
        <f>+Tabla!A39</f>
        <v>22</v>
      </c>
      <c r="J37" s="44">
        <f>+Tabla!AA39</f>
        <v>25068.159832028912</v>
      </c>
      <c r="K37" s="42">
        <f>IF(Tabla!A39="","",(J37/((1+$K$9)^($I37/Parámetros!$D$6))))</f>
        <v>17905.488766044109</v>
      </c>
      <c r="L37" s="43"/>
      <c r="M37" s="41">
        <f>+Tabla!A39</f>
        <v>22</v>
      </c>
      <c r="N37" s="44">
        <f>Tabla!AI39</f>
        <v>26091.666666666679</v>
      </c>
      <c r="O37" s="42">
        <f>IF(Tabla!A39="","",(N37/((1+$O$9)^(CAT!$M37/Pagos_por_año))))</f>
        <v>18592.471816357291</v>
      </c>
      <c r="P37" s="53"/>
      <c r="Q37" s="53"/>
    </row>
    <row r="38" spans="1:17">
      <c r="A38" s="41">
        <f>+Tabla!A40</f>
        <v>23</v>
      </c>
      <c r="B38" s="44">
        <f>+Tabla!AK40</f>
        <v>23611.295595152624</v>
      </c>
      <c r="C38" s="42">
        <f>IF(Tabla!A40="","",(B38/((1+$C$9)^($A38/Parámetros!$D$6))))</f>
        <v>17441.553676046966</v>
      </c>
      <c r="D38" s="43"/>
      <c r="E38" s="41">
        <f>+Tabla!A40</f>
        <v>23</v>
      </c>
      <c r="F38" s="44">
        <f>Tabla!AL40</f>
        <v>24583.333333333343</v>
      </c>
      <c r="G38" s="42">
        <f>IF(Tabla!A40="","",(F38/((1+$G$9)^(CAT!$E38/Pagos_por_año))))</f>
        <v>18121.538600902473</v>
      </c>
      <c r="H38" s="42"/>
      <c r="I38" s="41">
        <f>+Tabla!A40</f>
        <v>23</v>
      </c>
      <c r="J38" s="44">
        <f>+Tabla!AA40</f>
        <v>25068.159832028916</v>
      </c>
      <c r="K38" s="42">
        <f>IF(Tabla!A40="","",(J38/((1+$K$9)^($I38/Parámetros!$D$6))))</f>
        <v>17633.707088799765</v>
      </c>
      <c r="L38" s="43"/>
      <c r="M38" s="41">
        <f>+Tabla!A40</f>
        <v>23</v>
      </c>
      <c r="N38" s="44">
        <f>Tabla!AI40</f>
        <v>25850.000000000011</v>
      </c>
      <c r="O38" s="42">
        <f>IF(Tabla!A40="","",(N38/((1+$O$9)^(CAT!$M38/Pagos_por_año))))</f>
        <v>18138.716524336407</v>
      </c>
      <c r="P38" s="53"/>
      <c r="Q38" s="53"/>
    </row>
    <row r="39" spans="1:17">
      <c r="A39" s="41">
        <f>+Tabla!A41</f>
        <v>24</v>
      </c>
      <c r="B39" s="44">
        <f>+Tabla!AK41</f>
        <v>23640.307383381973</v>
      </c>
      <c r="C39" s="42">
        <f>IF(Tabla!A41="","",(B39/((1+$C$9)^($A39/Parámetros!$D$6))))</f>
        <v>17234.535063576419</v>
      </c>
      <c r="D39" s="43"/>
      <c r="E39" s="41">
        <f>+Tabla!A41</f>
        <v>24</v>
      </c>
      <c r="F39" s="44">
        <f>Tabla!AL41</f>
        <v>24375.000000000011</v>
      </c>
      <c r="G39" s="42">
        <f>IF(Tabla!A41="","",(F39/((1+$G$9)^(CAT!$E39/Pagos_por_año))))</f>
        <v>17731.293319109118</v>
      </c>
      <c r="H39" s="42"/>
      <c r="I39" s="41">
        <f>+Tabla!A41</f>
        <v>24</v>
      </c>
      <c r="J39" s="44">
        <f>+Tabla!AA41</f>
        <v>25068.159832028912</v>
      </c>
      <c r="K39" s="42">
        <f>IF(Tabla!A41="","",(J39/((1+$K$9)^($I39/Parámetros!$D$6))))</f>
        <v>17366.050698558243</v>
      </c>
      <c r="L39" s="43"/>
      <c r="M39" s="41">
        <f>+Tabla!A41</f>
        <v>24</v>
      </c>
      <c r="N39" s="44">
        <f>Tabla!AI41</f>
        <v>25608.333333333347</v>
      </c>
      <c r="O39" s="42">
        <f>IF(Tabla!A41="","",(N39/((1+$O$9)^(CAT!$M39/Pagos_por_año))))</f>
        <v>17694.488640112748</v>
      </c>
      <c r="P39" s="53"/>
      <c r="Q39" s="53"/>
    </row>
    <row r="40" spans="1:17">
      <c r="A40" s="41">
        <f>+Tabla!A42</f>
        <v>25</v>
      </c>
      <c r="B40" s="44">
        <f>+Tabla!AK42</f>
        <v>23669.73984254065</v>
      </c>
      <c r="C40" s="42">
        <f>IF(Tabla!A42="","",(B40/((1+$C$9)^($A40/Parámetros!$D$6))))</f>
        <v>17030.250634413529</v>
      </c>
      <c r="D40" s="43"/>
      <c r="E40" s="41">
        <f>+Tabla!A42</f>
        <v>25</v>
      </c>
      <c r="F40" s="44">
        <f>Tabla!AL42</f>
        <v>24166.666666666679</v>
      </c>
      <c r="G40" s="42">
        <f>IF(Tabla!A42="","",(F40/((1+$G$9)^(CAT!$E40/Pagos_por_año))))</f>
        <v>17348.184524296663</v>
      </c>
      <c r="H40" s="42"/>
      <c r="I40" s="41">
        <f>+Tabla!A42</f>
        <v>25</v>
      </c>
      <c r="J40" s="44">
        <f>+Tabla!AA42</f>
        <v>25068.159832028912</v>
      </c>
      <c r="K40" s="42">
        <f>IF(Tabla!A42="","",(J40/((1+$K$9)^($I40/Parámetros!$D$6))))</f>
        <v>17102.456978909824</v>
      </c>
      <c r="L40" s="43"/>
      <c r="M40" s="41">
        <f>+Tabla!A42</f>
        <v>25</v>
      </c>
      <c r="N40" s="44">
        <f>Tabla!AI42</f>
        <v>25366.666666666679</v>
      </c>
      <c r="O40" s="42">
        <f>IF(Tabla!A42="","",(N40/((1+$O$9)^(CAT!$M40/Pagos_por_año))))</f>
        <v>17259.602923908526</v>
      </c>
      <c r="P40" s="53"/>
      <c r="Q40" s="53"/>
    </row>
    <row r="41" spans="1:17">
      <c r="A41" s="41">
        <f>+Tabla!A43</f>
        <v>26</v>
      </c>
      <c r="B41" s="44">
        <f>+Tabla!AK43</f>
        <v>23699.59907235713</v>
      </c>
      <c r="C41" s="42">
        <f>IF(Tabla!A43="","",(B41/((1+$C$9)^($A41/Parámetros!$D$6))))</f>
        <v>16828.664652087191</v>
      </c>
      <c r="D41" s="43"/>
      <c r="E41" s="41">
        <f>+Tabla!A43</f>
        <v>26</v>
      </c>
      <c r="F41" s="44">
        <f>Tabla!AL43</f>
        <v>23958.333333333347</v>
      </c>
      <c r="G41" s="42">
        <f>IF(Tabla!A43="","",(F41/((1+$G$9)^(CAT!$E41/Pagos_por_año))))</f>
        <v>16972.091921277817</v>
      </c>
      <c r="H41" s="42"/>
      <c r="I41" s="41">
        <f>+Tabla!A43</f>
        <v>26</v>
      </c>
      <c r="J41" s="44">
        <f>+Tabla!AA43</f>
        <v>25068.159832028916</v>
      </c>
      <c r="K41" s="42">
        <f>IF(Tabla!A43="","",(J41/((1+$K$9)^($I41/Parámetros!$D$6))))</f>
        <v>16842.864263879226</v>
      </c>
      <c r="L41" s="43"/>
      <c r="M41" s="41">
        <f>+Tabla!A43</f>
        <v>26</v>
      </c>
      <c r="N41" s="44">
        <f>Tabla!AI43</f>
        <v>25125.000000000015</v>
      </c>
      <c r="O41" s="42">
        <f>IF(Tabla!A43="","",(N41/((1+$O$9)^(CAT!$M41/Pagos_por_año))))</f>
        <v>16833.877572800448</v>
      </c>
      <c r="P41" s="53"/>
      <c r="Q41" s="53"/>
    </row>
    <row r="42" spans="1:17">
      <c r="A42" s="41">
        <f>+Tabla!A44</f>
        <v>27</v>
      </c>
      <c r="B42" s="44">
        <f>+Tabla!AK44</f>
        <v>23729.891261005949</v>
      </c>
      <c r="C42" s="42">
        <f>IF(Tabla!A44="","",(B42/((1+$C$9)^($A42/Parámetros!$D$6))))</f>
        <v>16629.741847667388</v>
      </c>
      <c r="D42" s="43"/>
      <c r="E42" s="41">
        <f>+Tabla!A44</f>
        <v>27</v>
      </c>
      <c r="F42" s="44">
        <f>Tabla!AL44</f>
        <v>23750.000000000015</v>
      </c>
      <c r="G42" s="42">
        <f>IF(Tabla!A44="","",(F42/((1+$G$9)^(CAT!$E42/Pagos_por_año))))</f>
        <v>16602.897145726605</v>
      </c>
      <c r="H42" s="42"/>
      <c r="I42" s="41">
        <f>+Tabla!A44</f>
        <v>27</v>
      </c>
      <c r="J42" s="44">
        <f>+Tabla!AA44</f>
        <v>25068.159832028916</v>
      </c>
      <c r="K42" s="42">
        <f>IF(Tabla!A44="","",(J42/((1+$K$9)^($I42/Parámetros!$D$6))))</f>
        <v>16587.211823499219</v>
      </c>
      <c r="L42" s="43"/>
      <c r="M42" s="41">
        <f>+Tabla!A44</f>
        <v>27</v>
      </c>
      <c r="N42" s="44">
        <f>Tabla!AI44</f>
        <v>24883.33333333335</v>
      </c>
      <c r="O42" s="42">
        <f>IF(Tabla!A44="","",(N42/((1+$O$9)^(CAT!$M42/Pagos_por_año))))</f>
        <v>16417.134158933219</v>
      </c>
      <c r="P42" s="53"/>
      <c r="Q42" s="53"/>
    </row>
    <row r="43" spans="1:17">
      <c r="A43" s="41">
        <f>+Tabla!A45</f>
        <v>28</v>
      </c>
      <c r="B43" s="44">
        <f>+Tabla!AK45</f>
        <v>23760.622686390168</v>
      </c>
      <c r="C43" s="42">
        <f>IF(Tabla!A45="","",(B43/((1+$C$9)^($A43/Parámetros!$D$6))))</f>
        <v>16433.447413648919</v>
      </c>
      <c r="D43" s="43"/>
      <c r="E43" s="41">
        <f>+Tabla!A45</f>
        <v>28</v>
      </c>
      <c r="F43" s="44">
        <f>Tabla!AL45</f>
        <v>23541.666666666679</v>
      </c>
      <c r="G43" s="42">
        <f>IF(Tabla!A45="","",(F43/((1+$G$9)^(CAT!$E43/Pagos_por_año))))</f>
        <v>16240.483734183203</v>
      </c>
      <c r="H43" s="42"/>
      <c r="I43" s="41">
        <f>+Tabla!A45</f>
        <v>28</v>
      </c>
      <c r="J43" s="44">
        <f>+Tabla!AA45</f>
        <v>25068.159832028912</v>
      </c>
      <c r="K43" s="42">
        <f>IF(Tabla!A45="","",(J43/((1+$K$9)^($I43/Parámetros!$D$6))))</f>
        <v>16335.439849603312</v>
      </c>
      <c r="L43" s="43"/>
      <c r="M43" s="41">
        <f>+Tabla!A45</f>
        <v>28</v>
      </c>
      <c r="N43" s="44">
        <f>Tabla!AI45</f>
        <v>24641.666666666682</v>
      </c>
      <c r="O43" s="42">
        <f>IF(Tabla!A45="","",(N43/((1+$O$9)^(CAT!$M43/Pagos_por_año))))</f>
        <v>16009.197568818952</v>
      </c>
      <c r="P43" s="53"/>
      <c r="Q43" s="53"/>
    </row>
    <row r="44" spans="1:17">
      <c r="A44" s="41">
        <f>+Tabla!A46</f>
        <v>29</v>
      </c>
      <c r="B44" s="44">
        <f>+Tabla!AK46</f>
        <v>23791.799717442467</v>
      </c>
      <c r="C44" s="42">
        <f>IF(Tabla!A46="","",(B44/((1+$C$9)^($A44/Parámetros!$D$6))))</f>
        <v>16239.746997915119</v>
      </c>
      <c r="D44" s="43"/>
      <c r="E44" s="41">
        <f>+Tabla!A46</f>
        <v>29</v>
      </c>
      <c r="F44" s="44">
        <f>Tabla!AL46</f>
        <v>23333.333333333347</v>
      </c>
      <c r="G44" s="42">
        <f>IF(Tabla!A46="","",(F44/((1+$G$9)^(CAT!$E44/Pagos_por_año))))</f>
        <v>15884.737094513957</v>
      </c>
      <c r="H44" s="42"/>
      <c r="I44" s="41">
        <f>+Tabla!A46</f>
        <v>29</v>
      </c>
      <c r="J44" s="44">
        <f>+Tabla!AA46</f>
        <v>25068.159832028916</v>
      </c>
      <c r="K44" s="42">
        <f>IF(Tabla!A46="","",(J44/((1+$K$9)^($I44/Parámetros!$D$6))))</f>
        <v>16087.489441834014</v>
      </c>
      <c r="L44" s="43"/>
      <c r="M44" s="41">
        <f>+Tabla!A46</f>
        <v>29</v>
      </c>
      <c r="N44" s="44">
        <f>Tabla!AI46</f>
        <v>24400.000000000015</v>
      </c>
      <c r="O44" s="42">
        <f>IF(Tabla!A46="","",(N44/((1+$O$9)^(CAT!$M44/Pagos_por_año))))</f>
        <v>15609.895943703663</v>
      </c>
      <c r="P44" s="53"/>
      <c r="Q44" s="53"/>
    </row>
    <row r="45" spans="1:17">
      <c r="A45" s="41">
        <f>+Tabla!A47</f>
        <v>30</v>
      </c>
      <c r="B45" s="44">
        <f>+Tabla!AK47</f>
        <v>23823.428815445019</v>
      </c>
      <c r="C45" s="42">
        <f>IF(Tabla!A47="","",(B45/((1+$C$9)^($A45/Parámetros!$D$6))))</f>
        <v>16048.606697780539</v>
      </c>
      <c r="D45" s="43"/>
      <c r="E45" s="41">
        <f>+Tabla!A47</f>
        <v>30</v>
      </c>
      <c r="F45" s="44">
        <f>Tabla!AL47</f>
        <v>23125.000000000015</v>
      </c>
      <c r="G45" s="42">
        <f>IF(Tabla!A47="","",(F45/((1+$G$9)^(CAT!$E45/Pagos_por_año))))</f>
        <v>15535.544476819803</v>
      </c>
      <c r="H45" s="42"/>
      <c r="I45" s="41">
        <f>+Tabla!A47</f>
        <v>30</v>
      </c>
      <c r="J45" s="44">
        <f>+Tabla!AA47</f>
        <v>25068.159832028912</v>
      </c>
      <c r="K45" s="42">
        <f>IF(Tabla!A47="","",(J45/((1+$K$9)^($I45/Parámetros!$D$6))))</f>
        <v>15843.302593863466</v>
      </c>
      <c r="L45" s="43"/>
      <c r="M45" s="41">
        <f>+Tabla!A47</f>
        <v>30</v>
      </c>
      <c r="N45" s="44">
        <f>Tabla!AI47</f>
        <v>24158.33333333335</v>
      </c>
      <c r="O45" s="42">
        <f>IF(Tabla!A47="","",(N45/((1+$O$9)^(CAT!$M45/Pagos_por_año))))</f>
        <v>15219.060620982398</v>
      </c>
      <c r="P45" s="53"/>
      <c r="Q45" s="53"/>
    </row>
    <row r="46" spans="1:17">
      <c r="A46" s="41">
        <f>+Tabla!A48</f>
        <v>31</v>
      </c>
      <c r="B46" s="44">
        <f>+Tabla!AK48</f>
        <v>23855.51653536861</v>
      </c>
      <c r="C46" s="42">
        <f>IF(Tabla!A48="","",(B46/((1+$C$9)^($A46/Parámetros!$D$6))))</f>
        <v>15859.993054111583</v>
      </c>
      <c r="D46" s="43"/>
      <c r="E46" s="41">
        <f>+Tabla!A48</f>
        <v>31</v>
      </c>
      <c r="F46" s="44">
        <f>Tabla!AL48</f>
        <v>22916.666666666679</v>
      </c>
      <c r="G46" s="42">
        <f>IF(Tabla!A48="","",(F46/((1+$G$9)^(CAT!$E46/Pagos_por_año))))</f>
        <v>15192.794944786398</v>
      </c>
      <c r="H46" s="42"/>
      <c r="I46" s="41">
        <f>+Tabla!A48</f>
        <v>31</v>
      </c>
      <c r="J46" s="44">
        <f>+Tabla!AA48</f>
        <v>25068.159832028912</v>
      </c>
      <c r="K46" s="42">
        <f>IF(Tabla!A48="","",(J46/((1+$K$9)^($I46/Parámetros!$D$6))))</f>
        <v>15602.822179823293</v>
      </c>
      <c r="L46" s="43"/>
      <c r="M46" s="41">
        <f>+Tabla!A48</f>
        <v>31</v>
      </c>
      <c r="N46" s="44">
        <f>Tabla!AI48</f>
        <v>23916.666666666682</v>
      </c>
      <c r="O46" s="42">
        <f>IF(Tabla!A48="","",(N46/((1+$O$9)^(CAT!$M46/Pagos_por_año))))</f>
        <v>14836.526076644896</v>
      </c>
      <c r="P46" s="53"/>
      <c r="Q46" s="53"/>
    </row>
    <row r="47" spans="1:17">
      <c r="A47" s="41">
        <f>+Tabla!A49</f>
        <v>32</v>
      </c>
      <c r="B47" s="44">
        <f>+Tabla!AK49</f>
        <v>23888.069527231099</v>
      </c>
      <c r="C47" s="42">
        <f>IF(Tabla!A49="","",(B47/((1+$C$9)^($A47/Parámetros!$D$6))))</f>
        <v>15673.873045524037</v>
      </c>
      <c r="D47" s="43"/>
      <c r="E47" s="41">
        <f>+Tabla!A49</f>
        <v>32</v>
      </c>
      <c r="F47" s="44">
        <f>Tabla!AL49</f>
        <v>22708.333333333347</v>
      </c>
      <c r="G47" s="42">
        <f>IF(Tabla!A49="","",(F47/((1+$G$9)^(CAT!$E47/Pagos_por_año))))</f>
        <v>14856.379347469378</v>
      </c>
      <c r="H47" s="42"/>
      <c r="I47" s="41">
        <f>+Tabla!A49</f>
        <v>32</v>
      </c>
      <c r="J47" s="44">
        <f>+Tabla!AA49</f>
        <v>25068.159832028916</v>
      </c>
      <c r="K47" s="42">
        <f>IF(Tabla!A49="","",(J47/((1+$K$9)^($I47/Parámetros!$D$6))))</f>
        <v>15365.991940940379</v>
      </c>
      <c r="L47" s="43"/>
      <c r="M47" s="41">
        <f>+Tabla!A49</f>
        <v>32</v>
      </c>
      <c r="N47" s="44">
        <f>Tabla!AI49</f>
        <v>23675.000000000015</v>
      </c>
      <c r="O47" s="42">
        <f>IF(Tabla!A49="","",(N47/((1+$O$9)^(CAT!$M47/Pagos_por_año))))</f>
        <v>14462.129868733962</v>
      </c>
      <c r="P47" s="53"/>
      <c r="Q47" s="53"/>
    </row>
    <row r="48" spans="1:17">
      <c r="A48" s="41">
        <f>+Tabla!A50</f>
        <v>33</v>
      </c>
      <c r="B48" s="44">
        <f>+Tabla!AK50</f>
        <v>23921.094537475583</v>
      </c>
      <c r="C48" s="42">
        <f>IF(Tabla!A50="","",(B48/((1+$C$9)^($A48/Parámetros!$D$6))))</f>
        <v>15490.214082656485</v>
      </c>
      <c r="D48" s="43"/>
      <c r="E48" s="41">
        <f>+Tabla!A50</f>
        <v>33</v>
      </c>
      <c r="F48" s="44">
        <f>Tabla!AL50</f>
        <v>22500.000000000015</v>
      </c>
      <c r="G48" s="42">
        <f>IF(Tabla!A50="","",(F48/((1+$G$9)^(CAT!$E48/Pagos_por_año))))</f>
        <v>14526.190291508234</v>
      </c>
      <c r="H48" s="42"/>
      <c r="I48" s="41">
        <f>+Tabla!A50</f>
        <v>33</v>
      </c>
      <c r="J48" s="44">
        <f>+Tabla!AA50</f>
        <v>25068.159832028912</v>
      </c>
      <c r="K48" s="42">
        <f>IF(Tabla!A50="","",(J48/((1+$K$9)^($I48/Parámetros!$D$6))))</f>
        <v>15132.756472375475</v>
      </c>
      <c r="L48" s="43"/>
      <c r="M48" s="41">
        <f>+Tabla!A50</f>
        <v>33</v>
      </c>
      <c r="N48" s="44">
        <f>Tabla!AI50</f>
        <v>23433.33333333335</v>
      </c>
      <c r="O48" s="42">
        <f>IF(Tabla!A50="","",(N48/((1+$O$9)^(CAT!$M48/Pagos_por_año))))</f>
        <v>14095.712581799053</v>
      </c>
      <c r="P48" s="53"/>
      <c r="Q48" s="53"/>
    </row>
    <row r="49" spans="1:17">
      <c r="A49" s="41">
        <f>+Tabla!A51</f>
        <v>34</v>
      </c>
      <c r="B49" s="44">
        <f>+Tabla!AK51</f>
        <v>23954.598410368617</v>
      </c>
      <c r="C49" s="42">
        <f>IF(Tabla!A51="","",(B49/((1+$C$9)^($A49/Parámetros!$D$6))))</f>
        <v>15308.984002518726</v>
      </c>
      <c r="D49" s="43"/>
      <c r="E49" s="41">
        <f>+Tabla!A51</f>
        <v>34</v>
      </c>
      <c r="F49" s="44">
        <f>Tabla!AL51</f>
        <v>22291.666666666679</v>
      </c>
      <c r="G49" s="42">
        <f>IF(Tabla!A51="","",(F49/((1+$G$9)^(CAT!$E49/Pagos_por_año))))</f>
        <v>14202.122113762412</v>
      </c>
      <c r="H49" s="42"/>
      <c r="I49" s="41">
        <f>+Tabla!A51</f>
        <v>34</v>
      </c>
      <c r="J49" s="44">
        <f>+Tabla!AA51</f>
        <v>25068.159832028912</v>
      </c>
      <c r="K49" s="42">
        <f>IF(Tabla!A51="","",(J49/((1+$K$9)^($I49/Parámetros!$D$6))))</f>
        <v>14903.061210261663</v>
      </c>
      <c r="L49" s="43"/>
      <c r="M49" s="41">
        <f>+Tabla!A51</f>
        <v>34</v>
      </c>
      <c r="N49" s="44">
        <f>Tabla!AI51</f>
        <v>23191.666666666682</v>
      </c>
      <c r="O49" s="42">
        <f>IF(Tabla!A51="","",(N49/((1+$O$9)^(CAT!$M49/Pagos_por_año))))</f>
        <v>13737.117772327805</v>
      </c>
      <c r="P49" s="53"/>
      <c r="Q49" s="53"/>
    </row>
    <row r="50" spans="1:17">
      <c r="A50" s="41">
        <f>+Tabla!A52</f>
        <v>35</v>
      </c>
      <c r="B50" s="44">
        <f>+Tabla!AK52</f>
        <v>23988.588089418601</v>
      </c>
      <c r="C50" s="42">
        <f>IF(Tabla!A52="","",(B50/((1+$C$9)^($A50/Parámetros!$D$6))))</f>
        <v>15130.151062914012</v>
      </c>
      <c r="D50" s="43"/>
      <c r="E50" s="41">
        <f>+Tabla!A52</f>
        <v>35</v>
      </c>
      <c r="F50" s="44">
        <f>Tabla!AL52</f>
        <v>22083.333333333347</v>
      </c>
      <c r="G50" s="42">
        <f>IF(Tabla!A52="","",(F50/((1+$G$9)^(CAT!$E50/Pagos_por_año))))</f>
        <v>13884.070854363395</v>
      </c>
      <c r="H50" s="42"/>
      <c r="I50" s="41">
        <f>+Tabla!A52</f>
        <v>35</v>
      </c>
      <c r="J50" s="44">
        <f>+Tabla!AA52</f>
        <v>25068.159832028912</v>
      </c>
      <c r="K50" s="42">
        <f>IF(Tabla!A52="","",(J50/((1+$K$9)^($I50/Parámetros!$D$6))))</f>
        <v>14676.852418939463</v>
      </c>
      <c r="L50" s="43"/>
      <c r="M50" s="41">
        <f>+Tabla!A52</f>
        <v>35</v>
      </c>
      <c r="N50" s="44">
        <f>Tabla!AI52</f>
        <v>22950.000000000015</v>
      </c>
      <c r="O50" s="42">
        <f>IF(Tabla!A52="","",(N50/((1+$O$9)^(CAT!$M50/Pagos_por_año))))</f>
        <v>13386.191915138686</v>
      </c>
      <c r="P50" s="53"/>
      <c r="Q50" s="53"/>
    </row>
    <row r="51" spans="1:17">
      <c r="A51" s="41">
        <f>+Tabla!A53</f>
        <v>36</v>
      </c>
      <c r="B51" s="44">
        <f>+Tabla!AK53</f>
        <v>24023.070618814811</v>
      </c>
      <c r="C51" s="42">
        <f>IF(Tabla!A53="","",(B51/((1+$C$9)^($A51/Parámetros!$D$6))))</f>
        <v>14953.683936934332</v>
      </c>
      <c r="D51" s="43"/>
      <c r="E51" s="41">
        <f>+Tabla!A53</f>
        <v>36</v>
      </c>
      <c r="F51" s="44">
        <f>Tabla!AL53</f>
        <v>21875.000000000015</v>
      </c>
      <c r="G51" s="42">
        <f>IF(Tabla!A53="","",(F51/((1+$G$9)^(CAT!$E51/Pagos_por_año))))</f>
        <v>13571.934230176412</v>
      </c>
      <c r="H51" s="42"/>
      <c r="I51" s="41">
        <f>+Tabla!A53</f>
        <v>36</v>
      </c>
      <c r="J51" s="44">
        <f>+Tabla!AA53</f>
        <v>25068.159832028912</v>
      </c>
      <c r="K51" s="42">
        <f>IF(Tabla!A53="","",(J51/((1+$K$9)^($I51/Parámetros!$D$6))))</f>
        <v>14454.077178385762</v>
      </c>
      <c r="L51" s="43"/>
      <c r="M51" s="41">
        <f>+Tabla!A53</f>
        <v>36</v>
      </c>
      <c r="N51" s="44">
        <f>Tabla!AI53</f>
        <v>22708.33333333335</v>
      </c>
      <c r="O51" s="42">
        <f>IF(Tabla!A53="","",(N51/((1+$O$9)^(CAT!$M51/Pagos_por_año))))</f>
        <v>13042.784350718031</v>
      </c>
      <c r="P51" s="53"/>
      <c r="Q51" s="53"/>
    </row>
    <row r="52" spans="1:17">
      <c r="A52" s="41">
        <f>+Tabla!A54</f>
        <v>37</v>
      </c>
      <c r="B52" s="44">
        <f>+Tabla!AK54</f>
        <v>24058.053144887268</v>
      </c>
      <c r="C52" s="42">
        <f>IF(Tabla!A54="","",(B52/((1+$C$9)^($A52/Parámetros!$D$6))))</f>
        <v>14779.551707527673</v>
      </c>
      <c r="D52" s="43"/>
      <c r="E52" s="41">
        <f>+Tabla!A54</f>
        <v>37</v>
      </c>
      <c r="F52" s="44">
        <f>Tabla!AL54</f>
        <v>21666.666666666679</v>
      </c>
      <c r="G52" s="42">
        <f>IF(Tabla!A54="","",(F52/((1+$G$9)^(CAT!$E52/Pagos_por_año))))</f>
        <v>13265.611608665844</v>
      </c>
      <c r="H52" s="42"/>
      <c r="I52" s="41">
        <f>+Tabla!A54</f>
        <v>37</v>
      </c>
      <c r="J52" s="44">
        <f>+Tabla!AA54</f>
        <v>25068.159832028916</v>
      </c>
      <c r="K52" s="42">
        <f>IF(Tabla!A54="","",(J52/((1+$K$9)^($I52/Parámetros!$D$6))))</f>
        <v>14234.683371833515</v>
      </c>
      <c r="L52" s="43"/>
      <c r="M52" s="41">
        <f>+Tabla!A54</f>
        <v>37</v>
      </c>
      <c r="N52" s="44">
        <f>Tabla!AI54</f>
        <v>22466.666666666679</v>
      </c>
      <c r="O52" s="42">
        <f>IF(Tabla!A54="","",(N52/((1+$O$9)^(CAT!$M52/Pagos_por_año))))</f>
        <v>12706.747233485195</v>
      </c>
      <c r="P52" s="53"/>
      <c r="Q52" s="53"/>
    </row>
    <row r="53" spans="1:17">
      <c r="A53" s="41">
        <f>+Tabla!A55</f>
        <v>38</v>
      </c>
      <c r="B53" s="44">
        <f>+Tabla!AK55</f>
        <v>24093.542917587765</v>
      </c>
      <c r="C53" s="42">
        <f>IF(Tabla!A55="","",(B53/((1+$C$9)^($A53/Parámetros!$D$6))))</f>
        <v>14607.723862136376</v>
      </c>
      <c r="D53" s="43"/>
      <c r="E53" s="41">
        <f>+Tabla!A55</f>
        <v>38</v>
      </c>
      <c r="F53" s="44">
        <f>Tabla!AL55</f>
        <v>21458.333333333347</v>
      </c>
      <c r="G53" s="42">
        <f>IF(Tabla!A55="","",(F53/((1+$G$9)^(CAT!$E53/Pagos_por_año))))</f>
        <v>12965.003982158161</v>
      </c>
      <c r="H53" s="42"/>
      <c r="I53" s="41">
        <f>+Tabla!A55</f>
        <v>38</v>
      </c>
      <c r="J53" s="44">
        <f>+Tabla!AA55</f>
        <v>25068.159832028909</v>
      </c>
      <c r="K53" s="42">
        <f>IF(Tabla!A55="","",(J53/((1+$K$9)^($I53/Parámetros!$D$6))))</f>
        <v>14018.619673579393</v>
      </c>
      <c r="L53" s="43"/>
      <c r="M53" s="41">
        <f>+Tabla!A55</f>
        <v>38</v>
      </c>
      <c r="N53" s="44">
        <f>Tabla!AI55</f>
        <v>22225.000000000015</v>
      </c>
      <c r="O53" s="42">
        <f>IF(Tabla!A55="","",(N53/((1+$O$9)^(CAT!$M53/Pagos_por_año))))</f>
        <v>12377.935480969731</v>
      </c>
      <c r="P53" s="53"/>
      <c r="Q53" s="53"/>
    </row>
    <row r="54" spans="1:17">
      <c r="A54" s="41">
        <f>+Tabla!A56</f>
        <v>39</v>
      </c>
      <c r="B54" s="44">
        <f>+Tabla!AK56</f>
        <v>24129.547291992429</v>
      </c>
      <c r="C54" s="42">
        <f>IF(Tabla!A56="","",(B54/((1+$C$9)^($A54/Parámetros!$D$6))))</f>
        <v>14438.170287405608</v>
      </c>
      <c r="D54" s="43"/>
      <c r="E54" s="41">
        <f>+Tabla!A56</f>
        <v>39</v>
      </c>
      <c r="F54" s="44">
        <f>Tabla!AL56</f>
        <v>21250.000000000011</v>
      </c>
      <c r="G54" s="42">
        <f>IF(Tabla!A56="","",(F54/((1+$G$9)^(CAT!$E54/Pagos_por_año))))</f>
        <v>12670.013942496473</v>
      </c>
      <c r="H54" s="42"/>
      <c r="I54" s="41">
        <f>+Tabla!A56</f>
        <v>39</v>
      </c>
      <c r="J54" s="44">
        <f>+Tabla!AA56</f>
        <v>25068.159832028912</v>
      </c>
      <c r="K54" s="42">
        <f>IF(Tabla!A56="","",(J54/((1+$K$9)^($I54/Parámetros!$D$6))))</f>
        <v>13805.835536976472</v>
      </c>
      <c r="L54" s="43"/>
      <c r="M54" s="41">
        <f>+Tabla!A56</f>
        <v>39</v>
      </c>
      <c r="N54" s="44">
        <f>Tabla!AI56</f>
        <v>21983.333333333347</v>
      </c>
      <c r="O54" s="42">
        <f>IF(Tabla!A56="","",(N54/((1+$O$9)^(CAT!$M54/Pagos_por_año))))</f>
        <v>12056.206723884745</v>
      </c>
      <c r="P54" s="53"/>
      <c r="Q54" s="53"/>
    </row>
    <row r="55" spans="1:17">
      <c r="A55" s="41">
        <f>+Tabla!A57</f>
        <v>40</v>
      </c>
      <c r="B55" s="44">
        <f>+Tabla!AK57</f>
        <v>24166.073729825956</v>
      </c>
      <c r="C55" s="42">
        <f>IF(Tabla!A57="","",(B55/((1+$C$9)^($A55/Parámetros!$D$6))))</f>
        <v>14270.861263961073</v>
      </c>
      <c r="D55" s="43"/>
      <c r="E55" s="41">
        <f>+Tabla!A57</f>
        <v>40</v>
      </c>
      <c r="F55" s="44">
        <f>Tabla!AL57</f>
        <v>21041.666666666679</v>
      </c>
      <c r="G55" s="42">
        <f>IF(Tabla!A57="","",(F55/((1+$G$9)^(CAT!$E55/Pagos_por_año))))</f>
        <v>12380.545656080916</v>
      </c>
      <c r="H55" s="42"/>
      <c r="I55" s="41">
        <f>+Tabla!A57</f>
        <v>40</v>
      </c>
      <c r="J55" s="44">
        <f>+Tabla!AA57</f>
        <v>25068.159832028909</v>
      </c>
      <c r="K55" s="42">
        <f>IF(Tabla!A57="","",(J55/((1+$K$9)^($I55/Parámetros!$D$6))))</f>
        <v>13596.281182609186</v>
      </c>
      <c r="L55" s="43"/>
      <c r="M55" s="41">
        <f>+Tabla!A57</f>
        <v>40</v>
      </c>
      <c r="N55" s="44">
        <f>Tabla!AI57</f>
        <v>21741.666666666679</v>
      </c>
      <c r="O55" s="42">
        <f>IF(Tabla!A57="","",(N55/((1+$O$9)^(CAT!$M55/Pagos_por_año))))</f>
        <v>11741.421257081023</v>
      </c>
      <c r="P55" s="53"/>
      <c r="Q55" s="53"/>
    </row>
    <row r="56" spans="1:17">
      <c r="A56" s="41">
        <f>+Tabla!A58</f>
        <v>41</v>
      </c>
      <c r="B56" s="44">
        <f>+Tabla!AK58</f>
        <v>24203.129801008072</v>
      </c>
      <c r="C56" s="42">
        <f>IF(Tabla!A58="","",(B56/((1+$C$9)^($A56/Parámetros!$D$6))))</f>
        <v>14105.767461255044</v>
      </c>
      <c r="D56" s="43"/>
      <c r="E56" s="41">
        <f>+Tabla!A58</f>
        <v>41</v>
      </c>
      <c r="F56" s="44">
        <f>Tabla!AL58</f>
        <v>20833.333333333343</v>
      </c>
      <c r="G56" s="42">
        <f>IF(Tabla!A58="","",(F56/((1+$G$9)^(CAT!$E56/Pagos_por_año))))</f>
        <v>12096.504839289011</v>
      </c>
      <c r="H56" s="42"/>
      <c r="I56" s="41">
        <f>+Tabla!A58</f>
        <v>41</v>
      </c>
      <c r="J56" s="44">
        <f>+Tabla!AA58</f>
        <v>25068.159832028912</v>
      </c>
      <c r="K56" s="42">
        <f>IF(Tabla!A58="","",(J56/((1+$K$9)^($I56/Parámetros!$D$6))))</f>
        <v>13389.907586647772</v>
      </c>
      <c r="L56" s="43"/>
      <c r="M56" s="41">
        <f>+Tabla!A58</f>
        <v>41</v>
      </c>
      <c r="N56" s="44">
        <f>Tabla!AI58</f>
        <v>21500.000000000011</v>
      </c>
      <c r="O56" s="42">
        <f>IF(Tabla!A58="","",(N56/((1+$O$9)^(CAT!$M56/Pagos_por_año))))</f>
        <v>11433.441991366564</v>
      </c>
      <c r="P56" s="53"/>
      <c r="Q56" s="53"/>
    </row>
    <row r="57" spans="1:17">
      <c r="A57" s="41">
        <f>+Tabla!A59</f>
        <v>42</v>
      </c>
      <c r="B57" s="44">
        <f>+Tabla!AK59</f>
        <v>24240.723185222327</v>
      </c>
      <c r="C57" s="42">
        <f>IF(Tabla!A59="","",(B57/((1+$C$9)^($A57/Parámetros!$D$6))))</f>
        <v>13942.859932479785</v>
      </c>
      <c r="D57" s="43"/>
      <c r="E57" s="41">
        <f>+Tabla!A59</f>
        <v>42</v>
      </c>
      <c r="F57" s="44">
        <f>Tabla!AL59</f>
        <v>20625.000000000011</v>
      </c>
      <c r="G57" s="42">
        <f>IF(Tabla!A59="","",(F57/((1+$G$9)^(CAT!$E57/Pagos_por_año))))</f>
        <v>11817.798734270387</v>
      </c>
      <c r="H57" s="42"/>
      <c r="I57" s="41">
        <f>+Tabla!A59</f>
        <v>42</v>
      </c>
      <c r="J57" s="44">
        <f>+Tabla!AA59</f>
        <v>25068.159832028912</v>
      </c>
      <c r="K57" s="42">
        <f>IF(Tabla!A59="","",(J57/((1+$K$9)^($I57/Parámetros!$D$6))))</f>
        <v>13186.666469379466</v>
      </c>
      <c r="L57" s="43"/>
      <c r="M57" s="41">
        <f>+Tabla!A59</f>
        <v>42</v>
      </c>
      <c r="N57" s="44">
        <f>Tabla!AI59</f>
        <v>21258.333333333347</v>
      </c>
      <c r="O57" s="42">
        <f>IF(Tabla!A59="","",(N57/((1+$O$9)^(CAT!$M57/Pagos_por_año))))</f>
        <v>11132.134406176545</v>
      </c>
      <c r="P57" s="53"/>
      <c r="Q57" s="53"/>
    </row>
    <row r="58" spans="1:17">
      <c r="A58" s="41">
        <f>+Tabla!A60</f>
        <v>43</v>
      </c>
      <c r="B58" s="44">
        <f>+Tabla!AK60</f>
        <v>24278.86167350769</v>
      </c>
      <c r="C58" s="42">
        <f>IF(Tabla!A60="","",(B58/((1+$C$9)^($A58/Parámetros!$D$6))))</f>
        <v>13782.110109547575</v>
      </c>
      <c r="D58" s="43"/>
      <c r="E58" s="41">
        <f>+Tabla!A60</f>
        <v>43</v>
      </c>
      <c r="F58" s="44">
        <f>Tabla!AL60</f>
        <v>20416.666666666679</v>
      </c>
      <c r="G58" s="42">
        <f>IF(Tabla!A60="","",(F58/((1+$G$9)^(CAT!$E58/Pagos_por_año))))</f>
        <v>11544.336085110224</v>
      </c>
      <c r="H58" s="42"/>
      <c r="I58" s="41">
        <f>+Tabla!A60</f>
        <v>43</v>
      </c>
      <c r="J58" s="44">
        <f>+Tabla!AA60</f>
        <v>25068.159832028912</v>
      </c>
      <c r="K58" s="42">
        <f>IF(Tabla!A60="","",(J58/((1+$K$9)^($I58/Parámetros!$D$6))))</f>
        <v>12986.5102839138</v>
      </c>
      <c r="L58" s="43"/>
      <c r="M58" s="41">
        <f>+Tabla!A60</f>
        <v>43</v>
      </c>
      <c r="N58" s="44">
        <f>Tabla!AI60</f>
        <v>21016.666666666679</v>
      </c>
      <c r="O58" s="42">
        <f>IF(Tabla!A60="","",(N58/((1+$O$9)^(CAT!$M58/Pagos_por_año))))</f>
        <v>10837.366503079022</v>
      </c>
      <c r="P58" s="53"/>
      <c r="Q58" s="53"/>
    </row>
    <row r="59" spans="1:17">
      <c r="A59" s="41">
        <f>+Tabla!A61</f>
        <v>44</v>
      </c>
      <c r="B59" s="44">
        <f>+Tabla!AK61</f>
        <v>24317.553169873187</v>
      </c>
      <c r="C59" s="42">
        <f>IF(Tabla!A61="","",(B59/((1+$C$9)^($A59/Parámetros!$D$6))))</f>
        <v>13623.489798136347</v>
      </c>
      <c r="D59" s="43"/>
      <c r="E59" s="41">
        <f>+Tabla!A61</f>
        <v>44</v>
      </c>
      <c r="F59" s="44">
        <f>Tabla!AL61</f>
        <v>20208.333333333343</v>
      </c>
      <c r="G59" s="42">
        <f>IF(Tabla!A61="","",(F59/((1+$G$9)^(CAT!$E59/Pagos_por_año))))</f>
        <v>11276.027114355946</v>
      </c>
      <c r="H59" s="42"/>
      <c r="I59" s="41">
        <f>+Tabla!A61</f>
        <v>44</v>
      </c>
      <c r="J59" s="44">
        <f>+Tabla!AA61</f>
        <v>25068.159832028909</v>
      </c>
      <c r="K59" s="42">
        <f>IF(Tabla!A61="","",(J59/((1+$K$9)^($I59/Parámetros!$D$6))))</f>
        <v>12789.392205059323</v>
      </c>
      <c r="L59" s="43"/>
      <c r="M59" s="41">
        <f>+Tabla!A61</f>
        <v>44</v>
      </c>
      <c r="N59" s="44">
        <f>Tabla!AI61</f>
        <v>20775.000000000011</v>
      </c>
      <c r="O59" s="42">
        <f>IF(Tabla!A61="","",(N59/((1+$O$9)^(CAT!$M59/Pagos_por_año))))</f>
        <v>10549.008760101839</v>
      </c>
      <c r="P59" s="53"/>
      <c r="Q59" s="53"/>
    </row>
    <row r="60" spans="1:17">
      <c r="A60" s="41">
        <f>+Tabla!A62</f>
        <v>45</v>
      </c>
      <c r="B60" s="44">
        <f>+Tabla!AK62</f>
        <v>24356.805692935992</v>
      </c>
      <c r="C60" s="42">
        <f>IF(Tabla!A62="","",(B60/((1+$C$9)^($A60/Parámetros!$D$6))))</f>
        <v>13466.971172800178</v>
      </c>
      <c r="D60" s="43"/>
      <c r="E60" s="41">
        <f>+Tabla!A62</f>
        <v>45</v>
      </c>
      <c r="F60" s="44">
        <f>Tabla!AL62</f>
        <v>20000.000000000011</v>
      </c>
      <c r="G60" s="42">
        <f>IF(Tabla!A62="","",(F60/((1+$G$9)^(CAT!$E60/Pagos_por_año))))</f>
        <v>11012.78349990168</v>
      </c>
      <c r="H60" s="42"/>
      <c r="I60" s="41">
        <f>+Tabla!A62</f>
        <v>45</v>
      </c>
      <c r="J60" s="44">
        <f>+Tabla!AA62</f>
        <v>25068.159832028912</v>
      </c>
      <c r="K60" s="42">
        <f>IF(Tabla!A62="","",(J60/((1+$K$9)^($I60/Parámetros!$D$6))))</f>
        <v>12595.266118369163</v>
      </c>
      <c r="L60" s="43"/>
      <c r="M60" s="41">
        <f>+Tabla!A62</f>
        <v>45</v>
      </c>
      <c r="N60" s="44">
        <f>Tabla!AI62</f>
        <v>20533.333333333347</v>
      </c>
      <c r="O60" s="42">
        <f>IF(Tabla!A62="","",(N60/((1+$O$9)^(CAT!$M60/Pagos_por_año))))</f>
        <v>10266.934086866491</v>
      </c>
      <c r="P60" s="53"/>
      <c r="Q60" s="53"/>
    </row>
    <row r="61" spans="1:17">
      <c r="A61" s="41">
        <f>+Tabla!A63</f>
        <v>46</v>
      </c>
      <c r="B61" s="44">
        <f>+Tabla!AK63</f>
        <v>24396.627377583201</v>
      </c>
      <c r="C61" s="42">
        <f>IF(Tabla!A63="","",(B61/((1+$C$9)^($A61/Parámetros!$D$6))))</f>
        <v>13312.526772143707</v>
      </c>
      <c r="D61" s="43"/>
      <c r="E61" s="41">
        <f>+Tabla!A63</f>
        <v>46</v>
      </c>
      <c r="F61" s="44">
        <f>Tabla!AL63</f>
        <v>19791.666666666679</v>
      </c>
      <c r="G61" s="42">
        <f>IF(Tabla!A63="","",(F61/((1+$G$9)^(CAT!$E61/Pagos_por_año))))</f>
        <v>10754.518352225166</v>
      </c>
      <c r="H61" s="42"/>
      <c r="I61" s="41">
        <f>+Tabla!A63</f>
        <v>46</v>
      </c>
      <c r="J61" s="44">
        <f>+Tabla!AA63</f>
        <v>25068.159832028912</v>
      </c>
      <c r="K61" s="42">
        <f>IF(Tabla!A63="","",(J61/((1+$K$9)^($I61/Parámetros!$D$6))))</f>
        <v>12404.086609352858</v>
      </c>
      <c r="L61" s="43"/>
      <c r="M61" s="41">
        <f>+Tabla!A63</f>
        <v>46</v>
      </c>
      <c r="N61" s="44">
        <f>Tabla!AI63</f>
        <v>20291.666666666679</v>
      </c>
      <c r="O61" s="42">
        <f>IF(Tabla!A63="","",(N61/((1+$O$9)^(CAT!$M61/Pagos_por_año))))</f>
        <v>9991.0177805149888</v>
      </c>
      <c r="P61" s="53"/>
      <c r="Q61" s="53"/>
    </row>
    <row r="62" spans="1:17">
      <c r="A62" s="41">
        <f>+Tabla!A64</f>
        <v>47</v>
      </c>
      <c r="B62" s="44">
        <f>+Tabla!AK64</f>
        <v>24437.026476657797</v>
      </c>
      <c r="C62" s="42">
        <f>IF(Tabla!A64="","",(B62/((1+$C$9)^($A62/Parámetros!$D$6))))</f>
        <v>13160.129494059724</v>
      </c>
      <c r="D62" s="43"/>
      <c r="E62" s="41">
        <f>+Tabla!A64</f>
        <v>47</v>
      </c>
      <c r="F62" s="44">
        <f>Tabla!AL64</f>
        <v>19583.333333333343</v>
      </c>
      <c r="G62" s="42">
        <f>IF(Tabla!A64="","",(F62/((1+$G$9)^(CAT!$E62/Pagos_por_año))))</f>
        <v>10501.146191971849</v>
      </c>
      <c r="H62" s="42"/>
      <c r="I62" s="41">
        <f>+Tabla!A64</f>
        <v>47</v>
      </c>
      <c r="J62" s="44">
        <f>+Tabla!AA64</f>
        <v>25068.159832028912</v>
      </c>
      <c r="K62" s="42">
        <f>IF(Tabla!A64="","",(J62/((1+$K$9)^($I62/Parámetros!$D$6))))</f>
        <v>12215.808952851958</v>
      </c>
      <c r="L62" s="43"/>
      <c r="M62" s="41">
        <f>+Tabla!A64</f>
        <v>47</v>
      </c>
      <c r="N62" s="44">
        <f>Tabla!AI64</f>
        <v>20050.000000000011</v>
      </c>
      <c r="O62" s="42">
        <f>IF(Tabla!A64="","",(N62/((1+$O$9)^(CAT!$M62/Pagos_por_año))))</f>
        <v>9721.1374824159047</v>
      </c>
      <c r="P62" s="53"/>
      <c r="Q62" s="53"/>
    </row>
    <row r="63" spans="1:17">
      <c r="A63" s="41">
        <f>+Tabla!A65</f>
        <v>48</v>
      </c>
      <c r="B63" s="44">
        <f>+Tabla!AK65</f>
        <v>24478.011362668971</v>
      </c>
      <c r="C63" s="42">
        <f>IF(Tabla!A65="","",(B63/((1+$C$9)^($A63/Parámetros!$D$6))))</f>
        <v>13009.752591029024</v>
      </c>
      <c r="D63" s="43"/>
      <c r="E63" s="41">
        <f>+Tabla!A65</f>
        <v>48</v>
      </c>
      <c r="F63" s="44">
        <f>Tabla!AL65</f>
        <v>19375.000000000011</v>
      </c>
      <c r="G63" s="42">
        <f>IF(Tabla!A65="","",(F63/((1+$G$9)^(CAT!$E63/Pagos_por_año))))</f>
        <v>10252.582927880911</v>
      </c>
      <c r="H63" s="42"/>
      <c r="I63" s="41">
        <f>+Tabla!A65</f>
        <v>48</v>
      </c>
      <c r="J63" s="44">
        <f>+Tabla!AA65</f>
        <v>25068.159832028909</v>
      </c>
      <c r="K63" s="42">
        <f>IF(Tabla!A65="","",(J63/((1+$K$9)^($I63/Parámetros!$D$6))))</f>
        <v>12030.389102576843</v>
      </c>
      <c r="L63" s="43"/>
      <c r="M63" s="41">
        <f>+Tabla!A65</f>
        <v>48</v>
      </c>
      <c r="N63" s="44">
        <f>Tabla!AI65</f>
        <v>19808.333333333347</v>
      </c>
      <c r="O63" s="42">
        <f>IF(Tabla!A65="","",(N63/((1+$O$9)^(CAT!$M63/Pagos_por_año))))</f>
        <v>9457.1731356361615</v>
      </c>
      <c r="P63" s="53"/>
      <c r="Q63" s="53"/>
    </row>
    <row r="64" spans="1:17">
      <c r="A64" s="41">
        <f>+Tabla!A66</f>
        <v>49</v>
      </c>
      <c r="B64" s="44">
        <f>+Tabla!AK66</f>
        <v>24519.590529527308</v>
      </c>
      <c r="C64" s="42">
        <f>IF(Tabla!A66="","",(B64/((1+$C$9)^($A64/Parámetros!$D$6))))</f>
        <v>12861.369665481761</v>
      </c>
      <c r="D64" s="43"/>
      <c r="E64" s="41">
        <f>+Tabla!A66</f>
        <v>49</v>
      </c>
      <c r="F64" s="44">
        <f>Tabla!AL66</f>
        <v>19166.666666666679</v>
      </c>
      <c r="G64" s="42">
        <f>IF(Tabla!A66="","",(F64/((1+$G$9)^(CAT!$E64/Pagos_por_año))))</f>
        <v>10008.745835048165</v>
      </c>
      <c r="H64" s="42"/>
      <c r="I64" s="41">
        <f>+Tabla!A66</f>
        <v>49</v>
      </c>
      <c r="J64" s="44">
        <f>+Tabla!AA66</f>
        <v>25068.159832028909</v>
      </c>
      <c r="K64" s="42">
        <f>IF(Tabla!A66="","",(J64/((1+$K$9)^($I64/Parámetros!$D$6))))</f>
        <v>11847.783680802433</v>
      </c>
      <c r="L64" s="43"/>
      <c r="M64" s="41">
        <f>+Tabla!A66</f>
        <v>49</v>
      </c>
      <c r="N64" s="44">
        <f>Tabla!AI66</f>
        <v>19566.666666666679</v>
      </c>
      <c r="O64" s="42">
        <f>IF(Tabla!A66="","",(N64/((1+$O$9)^(CAT!$M64/Pagos_por_año))))</f>
        <v>9199.0069431651536</v>
      </c>
      <c r="P64" s="53"/>
      <c r="Q64" s="53"/>
    </row>
    <row r="65" spans="1:17">
      <c r="A65" s="41">
        <f>+Tabla!A67</f>
        <v>50</v>
      </c>
      <c r="B65" s="44">
        <f>+Tabla!AK67</f>
        <v>24561.772594305094</v>
      </c>
      <c r="C65" s="42">
        <f>IF(Tabla!A67="","",(B65/((1+$C$9)^($A65/Parámetros!$D$6))))</f>
        <v>12714.9546652195</v>
      </c>
      <c r="D65" s="43"/>
      <c r="E65" s="41">
        <f>+Tabla!A67</f>
        <v>50</v>
      </c>
      <c r="F65" s="44">
        <f>Tabla!AL67</f>
        <v>18958.333333333343</v>
      </c>
      <c r="G65" s="42">
        <f>IF(Tabla!A67="","",(F65/((1+$G$9)^(CAT!$E65/Pagos_por_año))))</f>
        <v>9769.5535335207569</v>
      </c>
      <c r="H65" s="42"/>
      <c r="I65" s="41">
        <f>+Tabla!A67</f>
        <v>50</v>
      </c>
      <c r="J65" s="44">
        <f>+Tabla!AA67</f>
        <v>25068.159832028909</v>
      </c>
      <c r="K65" s="42">
        <f>IF(Tabla!A67="","",(J65/((1+$K$9)^($I65/Parámetros!$D$6))))</f>
        <v>11667.949968220229</v>
      </c>
      <c r="L65" s="43"/>
      <c r="M65" s="41">
        <f>+Tabla!A67</f>
        <v>50</v>
      </c>
      <c r="N65" s="44">
        <f>Tabla!AI67</f>
        <v>19325.000000000011</v>
      </c>
      <c r="O65" s="42">
        <f>IF(Tabla!A67="","",(N65/((1+$O$9)^(CAT!$M65/Pagos_por_año))))</f>
        <v>8946.5233268782722</v>
      </c>
      <c r="P65" s="53"/>
      <c r="Q65" s="53"/>
    </row>
    <row r="66" spans="1:17">
      <c r="A66" s="41">
        <f>+Tabla!A68</f>
        <v>51</v>
      </c>
      <c r="B66" s="44">
        <f>+Tabla!AK68</f>
        <v>24604.566299022154</v>
      </c>
      <c r="C66" s="42">
        <f>IF(Tabla!A68="","",(B66/((1+$C$9)^($A66/Parámetros!$D$6))))</f>
        <v>12570.481878897128</v>
      </c>
      <c r="D66" s="43"/>
      <c r="E66" s="41">
        <f>+Tabla!A68</f>
        <v>51</v>
      </c>
      <c r="F66" s="44">
        <f>Tabla!AL68</f>
        <v>18750.000000000011</v>
      </c>
      <c r="G66" s="42">
        <f>IF(Tabla!A68="","",(F66/((1+$G$9)^(CAT!$E66/Pagos_por_año))))</f>
        <v>9534.9259672187181</v>
      </c>
      <c r="H66" s="42"/>
      <c r="I66" s="41">
        <f>+Tabla!A68</f>
        <v>51</v>
      </c>
      <c r="J66" s="44">
        <f>+Tabla!AA68</f>
        <v>25068.159832028909</v>
      </c>
      <c r="K66" s="42">
        <f>IF(Tabla!A68="","",(J66/((1+$K$9)^($I66/Parámetros!$D$6))))</f>
        <v>11490.845893944428</v>
      </c>
      <c r="L66" s="43"/>
      <c r="M66" s="41">
        <f>+Tabla!A68</f>
        <v>51</v>
      </c>
      <c r="N66" s="44">
        <f>Tabla!AI68</f>
        <v>19083.333333333347</v>
      </c>
      <c r="O66" s="42">
        <f>IF(Tabla!A68="","",(N66/((1+$O$9)^(CAT!$M66/Pagos_por_año))))</f>
        <v>8699.6088872268701</v>
      </c>
      <c r="P66" s="53"/>
      <c r="Q66" s="53"/>
    </row>
    <row r="67" spans="1:17">
      <c r="A67" s="41">
        <f>+Tabla!A69</f>
        <v>52</v>
      </c>
      <c r="B67" s="44">
        <f>+Tabla!AK69</f>
        <v>24647.980512457616</v>
      </c>
      <c r="C67" s="42">
        <f>IF(Tabla!A69="","",(B67/((1+$C$9)^($A67/Parámetros!$D$6))))</f>
        <v>12427.925931563896</v>
      </c>
      <c r="D67" s="43"/>
      <c r="E67" s="41">
        <f>+Tabla!A69</f>
        <v>52</v>
      </c>
      <c r="F67" s="44">
        <f>Tabla!AL69</f>
        <v>18541.666666666679</v>
      </c>
      <c r="G67" s="42">
        <f>IF(Tabla!A69="","",(F67/((1+$G$9)^(CAT!$E67/Pagos_por_año))))</f>
        <v>9304.7843831784121</v>
      </c>
      <c r="H67" s="42"/>
      <c r="I67" s="41">
        <f>+Tabla!A69</f>
        <v>52</v>
      </c>
      <c r="J67" s="44">
        <f>+Tabla!AA69</f>
        <v>25068.159832028909</v>
      </c>
      <c r="K67" s="42">
        <f>IF(Tabla!A69="","",(J67/((1+$K$9)^($I67/Parámetros!$D$6))))</f>
        <v>11316.430025669728</v>
      </c>
      <c r="L67" s="43"/>
      <c r="M67" s="41">
        <f>+Tabla!A69</f>
        <v>52</v>
      </c>
      <c r="N67" s="44">
        <f>Tabla!AI69</f>
        <v>18841.666666666679</v>
      </c>
      <c r="O67" s="42">
        <f>IF(Tabla!A69="","",(N67/((1+$O$9)^(CAT!$M67/Pagos_por_año))))</f>
        <v>8458.1523636421189</v>
      </c>
      <c r="P67" s="53"/>
      <c r="Q67" s="53"/>
    </row>
    <row r="68" spans="1:17">
      <c r="A68" s="41">
        <f>+Tabla!A70</f>
        <v>53</v>
      </c>
      <c r="B68" s="44">
        <f>+Tabla!AK70</f>
        <v>24692.024231987889</v>
      </c>
      <c r="C68" s="42">
        <f>IF(Tabla!A70="","",(B68/((1+$C$9)^($A68/Parámetros!$D$6))))</f>
        <v>12287.261780262763</v>
      </c>
      <c r="D68" s="43"/>
      <c r="E68" s="41">
        <f>+Tabla!A70</f>
        <v>53</v>
      </c>
      <c r="F68" s="44">
        <f>Tabla!AL70</f>
        <v>18333.333333333347</v>
      </c>
      <c r="G68" s="42">
        <f>IF(Tabla!A70="","",(F68/((1+$G$9)^(CAT!$E68/Pagos_por_año))))</f>
        <v>9079.051311113144</v>
      </c>
      <c r="H68" s="42"/>
      <c r="I68" s="41">
        <f>+Tabla!A70</f>
        <v>53</v>
      </c>
      <c r="J68" s="44">
        <f>+Tabla!AA70</f>
        <v>25068.159832028909</v>
      </c>
      <c r="K68" s="42">
        <f>IF(Tabla!A70="","",(J68/((1+$K$9)^($I68/Parámetros!$D$6))))</f>
        <v>11144.661559978504</v>
      </c>
      <c r="L68" s="43"/>
      <c r="M68" s="41">
        <f>+Tabla!A70</f>
        <v>53</v>
      </c>
      <c r="N68" s="44">
        <f>Tabla!AI70</f>
        <v>18600.000000000015</v>
      </c>
      <c r="O68" s="42">
        <f>IF(Tabla!A70="","",(N68/((1+$O$9)^(CAT!$M68/Pagos_por_año))))</f>
        <v>8222.0445956403546</v>
      </c>
      <c r="P68" s="53"/>
      <c r="Q68" s="53"/>
    </row>
    <row r="69" spans="1:17">
      <c r="A69" s="41">
        <f>+Tabla!A71</f>
        <v>54</v>
      </c>
      <c r="B69" s="44">
        <f>+Tabla!AK71</f>
        <v>24736.706585451353</v>
      </c>
      <c r="C69" s="42">
        <f>IF(Tabla!A71="","",(B69/((1+$C$9)^($A69/Parámetros!$D$6))))</f>
        <v>12148.464709687361</v>
      </c>
      <c r="D69" s="43"/>
      <c r="E69" s="41">
        <f>+Tabla!A71</f>
        <v>54</v>
      </c>
      <c r="F69" s="44">
        <f>Tabla!AL71</f>
        <v>18125.000000000011</v>
      </c>
      <c r="G69" s="42">
        <f>IF(Tabla!A71="","",(F69/((1+$G$9)^(CAT!$E69/Pagos_por_año))))</f>
        <v>8857.6505432861159</v>
      </c>
      <c r="H69" s="42"/>
      <c r="I69" s="41">
        <f>+Tabla!A71</f>
        <v>54</v>
      </c>
      <c r="J69" s="44">
        <f>+Tabla!AA71</f>
        <v>25068.159832028909</v>
      </c>
      <c r="K69" s="42">
        <f>IF(Tabla!A71="","",(J69/((1+$K$9)^($I69/Parámetros!$D$6))))</f>
        <v>10975.500312795151</v>
      </c>
      <c r="L69" s="43"/>
      <c r="M69" s="41">
        <f>+Tabla!A71</f>
        <v>54</v>
      </c>
      <c r="N69" s="44">
        <f>Tabla!AI71</f>
        <v>18358.333333333347</v>
      </c>
      <c r="O69" s="42">
        <f>IF(Tabla!A71="","",(N69/((1+$O$9)^(CAT!$M69/Pagos_por_año))))</f>
        <v>7991.1784846176515</v>
      </c>
      <c r="P69" s="53"/>
      <c r="Q69" s="53"/>
    </row>
    <row r="70" spans="1:17">
      <c r="A70" s="41">
        <f>+Tabla!A72</f>
        <v>55</v>
      </c>
      <c r="B70" s="44">
        <f>+Tabla!AK72</f>
        <v>24782.036833040038</v>
      </c>
      <c r="C70" s="42">
        <f>IF(Tabla!A72="","",(B70/((1+$C$9)^($A70/Parámetros!$D$6))))</f>
        <v>12011.510327895712</v>
      </c>
      <c r="D70" s="43"/>
      <c r="E70" s="41">
        <f>+Tabla!A72</f>
        <v>55</v>
      </c>
      <c r="F70" s="44">
        <f>Tabla!AL72</f>
        <v>17916.666666666679</v>
      </c>
      <c r="G70" s="42">
        <f>IF(Tabla!A72="","",(F70/((1+$G$9)^(CAT!$E70/Pagos_por_año))))</f>
        <v>8640.5071146910486</v>
      </c>
      <c r="H70" s="42"/>
      <c r="I70" s="41">
        <f>+Tabla!A72</f>
        <v>55</v>
      </c>
      <c r="J70" s="44">
        <f>+Tabla!AA72</f>
        <v>25068.159832028912</v>
      </c>
      <c r="K70" s="42">
        <f>IF(Tabla!A72="","",(J70/((1+$K$9)^($I70/Parámetros!$D$6))))</f>
        <v>10808.906709985264</v>
      </c>
      <c r="L70" s="43"/>
      <c r="M70" s="41">
        <f>+Tabla!A72</f>
        <v>55</v>
      </c>
      <c r="N70" s="44">
        <f>Tabla!AI72</f>
        <v>18116.666666666679</v>
      </c>
      <c r="O70" s="42">
        <f>IF(Tabla!A72="","",(N70/((1+$O$9)^(CAT!$M70/Pagos_por_año))))</f>
        <v>7765.4489563217203</v>
      </c>
      <c r="P70" s="53"/>
      <c r="Q70" s="53"/>
    </row>
    <row r="71" spans="1:17">
      <c r="A71" s="41">
        <f>+Tabla!A73</f>
        <v>56</v>
      </c>
      <c r="B71" s="44">
        <f>+Tabla!AK73</f>
        <v>24828.024369218758</v>
      </c>
      <c r="C71" s="42">
        <f>IF(Tabla!A73="","",(B71/((1+$C$9)^($A71/Parámetros!$D$6))))</f>
        <v>11876.374562080064</v>
      </c>
      <c r="D71" s="43"/>
      <c r="E71" s="41">
        <f>+Tabla!A73</f>
        <v>56</v>
      </c>
      <c r="F71" s="44">
        <f>Tabla!AL73</f>
        <v>17708.333333333343</v>
      </c>
      <c r="G71" s="42">
        <f>IF(Tabla!A73="","",(F71/((1+$G$9)^(CAT!$E71/Pagos_por_año))))</f>
        <v>8427.5472835358905</v>
      </c>
      <c r="H71" s="42"/>
      <c r="I71" s="41">
        <f>+Tabla!A73</f>
        <v>56</v>
      </c>
      <c r="J71" s="44">
        <f>+Tabla!AA73</f>
        <v>25068.159832028912</v>
      </c>
      <c r="K71" s="42">
        <f>IF(Tabla!A73="","",(J71/((1+$K$9)^($I71/Parámetros!$D$6))))</f>
        <v>10644.841778097536</v>
      </c>
      <c r="L71" s="43"/>
      <c r="M71" s="41">
        <f>+Tabla!A73</f>
        <v>56</v>
      </c>
      <c r="N71" s="44">
        <f>Tabla!AI73</f>
        <v>17875.000000000011</v>
      </c>
      <c r="O71" s="42">
        <f>IF(Tabla!A73="","",(N71/((1+$O$9)^(CAT!$M71/Pagos_por_año))))</f>
        <v>7544.7529239893038</v>
      </c>
      <c r="P71" s="53"/>
      <c r="Q71" s="53"/>
    </row>
    <row r="72" spans="1:17">
      <c r="A72" s="41">
        <f>+Tabla!A74</f>
        <v>57</v>
      </c>
      <c r="B72" s="44">
        <f>+Tabla!AK74</f>
        <v>24874.678724672067</v>
      </c>
      <c r="C72" s="42">
        <f>IF(Tabla!A74="","",(B72/((1+$C$9)^($A72/Parámetros!$D$6))))</f>
        <v>11743.033654392049</v>
      </c>
      <c r="D72" s="43"/>
      <c r="E72" s="41">
        <f>+Tabla!A74</f>
        <v>57</v>
      </c>
      <c r="F72" s="44">
        <f>Tabla!AL74</f>
        <v>17500.000000000011</v>
      </c>
      <c r="G72" s="42">
        <f>IF(Tabla!A74="","",(F72/((1+$G$9)^(CAT!$E72/Pagos_por_año))))</f>
        <v>8218.6985120250392</v>
      </c>
      <c r="H72" s="42"/>
      <c r="I72" s="41">
        <f>+Tabla!A74</f>
        <v>57</v>
      </c>
      <c r="J72" s="44">
        <f>+Tabla!AA74</f>
        <v>25068.159832028912</v>
      </c>
      <c r="K72" s="42">
        <f>IF(Tabla!A74="","",(J72/((1+$K$9)^($I72/Parámetros!$D$6))))</f>
        <v>10483.267135246211</v>
      </c>
      <c r="L72" s="43"/>
      <c r="M72" s="41">
        <f>+Tabla!A74</f>
        <v>57</v>
      </c>
      <c r="N72" s="44">
        <f>Tabla!AI74</f>
        <v>17633.333333333347</v>
      </c>
      <c r="O72" s="42">
        <f>IF(Tabla!A74="","",(N72/((1+$O$9)^(CAT!$M72/Pagos_por_año))))</f>
        <v>7328.9892521375195</v>
      </c>
      <c r="P72" s="53"/>
      <c r="Q72" s="53"/>
    </row>
    <row r="73" spans="1:17">
      <c r="A73" s="41">
        <f>+Tabla!A75</f>
        <v>58</v>
      </c>
      <c r="B73" s="44">
        <f>+Tabla!AK75</f>
        <v>24922.009568279449</v>
      </c>
      <c r="C73" s="42">
        <f>IF(Tabla!A75="","",(B73/((1+$C$9)^($A73/Parámetros!$D$6))))</f>
        <v>11611.464157822451</v>
      </c>
      <c r="D73" s="43"/>
      <c r="E73" s="41">
        <f>+Tabla!A75</f>
        <v>58</v>
      </c>
      <c r="F73" s="44">
        <f>Tabla!AL75</f>
        <v>17291.666666666679</v>
      </c>
      <c r="G73" s="42">
        <f>IF(Tabla!A75="","",(F73/((1+$G$9)^(CAT!$E73/Pagos_por_año))))</f>
        <v>8013.8894474355966</v>
      </c>
      <c r="H73" s="42"/>
      <c r="I73" s="41">
        <f>+Tabla!A75</f>
        <v>58</v>
      </c>
      <c r="J73" s="44">
        <f>+Tabla!AA75</f>
        <v>25068.159832028909</v>
      </c>
      <c r="K73" s="42">
        <f>IF(Tabla!A75="","",(J73/((1+$K$9)^($I73/Parámetros!$D$6))))</f>
        <v>10324.144982131862</v>
      </c>
      <c r="L73" s="43"/>
      <c r="M73" s="41">
        <f>+Tabla!A75</f>
        <v>58</v>
      </c>
      <c r="N73" s="44">
        <f>Tabla!AI75</f>
        <v>17391.666666666679</v>
      </c>
      <c r="O73" s="42">
        <f>IF(Tabla!A75="","",(N73/((1+$O$9)^(CAT!$M73/Pagos_por_año))))</f>
        <v>7118.0587209977311</v>
      </c>
      <c r="P73" s="53"/>
      <c r="Q73" s="53"/>
    </row>
    <row r="74" spans="1:17">
      <c r="A74" s="41">
        <f>+Tabla!A76</f>
        <v>59</v>
      </c>
      <c r="B74" s="44">
        <f>+Tabla!AK76</f>
        <v>24970.026709119142</v>
      </c>
      <c r="C74" s="42">
        <f>IF(Tabla!A76="","",(B74/((1+$C$9)^($A74/Parámetros!$D$6))))</f>
        <v>11481.64293213489</v>
      </c>
      <c r="D74" s="43"/>
      <c r="E74" s="41">
        <f>+Tabla!A76</f>
        <v>59</v>
      </c>
      <c r="F74" s="44">
        <f>Tabla!AL76</f>
        <v>17083.333333333343</v>
      </c>
      <c r="G74" s="42">
        <f>IF(Tabla!A76="","",(F74/((1+$G$9)^(CAT!$E74/Pagos_por_año))))</f>
        <v>7813.0499034832756</v>
      </c>
      <c r="H74" s="42"/>
      <c r="I74" s="41">
        <f>+Tabla!A76</f>
        <v>59</v>
      </c>
      <c r="J74" s="44">
        <f>+Tabla!AA76</f>
        <v>25068.159832028912</v>
      </c>
      <c r="K74" s="42">
        <f>IF(Tabla!A76="","",(J74/((1+$K$9)^($I74/Parámetros!$D$6))))</f>
        <v>10167.438093198525</v>
      </c>
      <c r="L74" s="43"/>
      <c r="M74" s="41">
        <f>+Tabla!A76</f>
        <v>59</v>
      </c>
      <c r="N74" s="44">
        <f>Tabla!AI76</f>
        <v>17150.000000000011</v>
      </c>
      <c r="O74" s="42">
        <f>IF(Tabla!A76="","",(N74/((1+$O$9)^(CAT!$M74/Pagos_por_año))))</f>
        <v>6911.8639915808235</v>
      </c>
      <c r="P74" s="53"/>
      <c r="Q74" s="53"/>
    </row>
    <row r="75" spans="1:17">
      <c r="A75" s="41">
        <f>+Tabla!A77</f>
        <v>60</v>
      </c>
      <c r="B75" s="44">
        <f>+Tabla!AK77</f>
        <v>25018.740098501006</v>
      </c>
      <c r="C75" s="42">
        <f>IF(Tabla!A77="","",(B75/((1+$C$9)^($A75/Parámetros!$D$6))))</f>
        <v>11353.54713985269</v>
      </c>
      <c r="D75" s="43"/>
      <c r="E75" s="41">
        <f>+Tabla!A77</f>
        <v>60</v>
      </c>
      <c r="F75" s="44">
        <f>Tabla!AL77</f>
        <v>16875.000000000011</v>
      </c>
      <c r="G75" s="42">
        <f>IF(Tabla!A77="","",(F75/((1+$G$9)^(CAT!$E75/Pagos_por_año))))</f>
        <v>7616.110841973582</v>
      </c>
      <c r="H75" s="42"/>
      <c r="I75" s="41">
        <f>+Tabla!A77</f>
        <v>60</v>
      </c>
      <c r="J75" s="44">
        <f>+Tabla!AA77</f>
        <v>25068.159832028909</v>
      </c>
      <c r="K75" s="42">
        <f>IF(Tabla!A77="","",(J75/((1+$K$9)^($I75/Parámetros!$D$6))))</f>
        <v>10013.109807925022</v>
      </c>
      <c r="L75" s="43"/>
      <c r="M75" s="41">
        <f>+Tabla!A77</f>
        <v>60</v>
      </c>
      <c r="N75" s="44">
        <f>Tabla!AI77</f>
        <v>16908.333333333347</v>
      </c>
      <c r="O75" s="42">
        <f>IF(Tabla!A77="","",(N75/((1+$O$9)^(CAT!$M75/Pagos_por_año))))</f>
        <v>6710.3095713628409</v>
      </c>
      <c r="P75" s="53"/>
      <c r="Q75" s="53"/>
    </row>
    <row r="76" spans="1:17">
      <c r="A76" s="41" t="str">
        <f>+Tabla!A78</f>
        <v/>
      </c>
      <c r="B76" s="44" t="str">
        <f>+Tabla!AK78</f>
        <v/>
      </c>
      <c r="C76" s="42" t="str">
        <f>IF(Tabla!A78="","",(B76/((1+$C$9)^($A76/Parámetros!$D$6))))</f>
        <v/>
      </c>
      <c r="D76" s="43"/>
      <c r="E76" s="41" t="str">
        <f>+Tabla!A78</f>
        <v/>
      </c>
      <c r="F76" s="44" t="str">
        <f>Tabla!AL78</f>
        <v/>
      </c>
      <c r="G76" s="42" t="str">
        <f>IF(Tabla!A78="","",(F76/((1+$G$9)^(CAT!$E76/Pagos_por_año))))</f>
        <v/>
      </c>
      <c r="H76" s="42"/>
      <c r="I76" s="41" t="str">
        <f>+Tabla!A78</f>
        <v/>
      </c>
      <c r="J76" s="44" t="str">
        <f>+Tabla!AA78</f>
        <v/>
      </c>
      <c r="K76" s="42" t="str">
        <f>IF(Tabla!A78="","",(J76/((1+$K$9)^($I76/Parámetros!$D$6))))</f>
        <v/>
      </c>
      <c r="L76" s="43"/>
      <c r="M76" s="41" t="str">
        <f>+Tabla!A78</f>
        <v/>
      </c>
      <c r="N76" s="44" t="str">
        <f>Tabla!AI78</f>
        <v/>
      </c>
      <c r="O76" s="42" t="str">
        <f>IF(Tabla!A78="","",(N76/((1+$O$9)^(CAT!$M76/Pagos_por_año))))</f>
        <v/>
      </c>
      <c r="P76" s="53"/>
      <c r="Q76" s="53"/>
    </row>
    <row r="77" spans="1:17">
      <c r="A77" s="41" t="str">
        <f>+Tabla!A79</f>
        <v/>
      </c>
      <c r="B77" s="44" t="str">
        <f>+Tabla!AK79</f>
        <v/>
      </c>
      <c r="C77" s="42" t="str">
        <f>IF(Tabla!A79="","",(B77/((1+$C$9)^($A77/Parámetros!$D$6))))</f>
        <v/>
      </c>
      <c r="D77" s="43"/>
      <c r="E77" s="41" t="str">
        <f>+Tabla!A79</f>
        <v/>
      </c>
      <c r="F77" s="44" t="str">
        <f>Tabla!AL79</f>
        <v/>
      </c>
      <c r="G77" s="42" t="str">
        <f>IF(Tabla!A79="","",(F77/((1+$G$9)^(CAT!$E77/Pagos_por_año))))</f>
        <v/>
      </c>
      <c r="H77" s="42"/>
      <c r="I77" s="41" t="str">
        <f>+Tabla!A79</f>
        <v/>
      </c>
      <c r="J77" s="44" t="str">
        <f>+Tabla!AA79</f>
        <v/>
      </c>
      <c r="K77" s="42" t="str">
        <f>IF(Tabla!A79="","",(J77/((1+$K$9)^($I77/Parámetros!$D$6))))</f>
        <v/>
      </c>
      <c r="L77" s="43"/>
      <c r="M77" s="41" t="str">
        <f>+Tabla!A79</f>
        <v/>
      </c>
      <c r="N77" s="44" t="str">
        <f>Tabla!AI79</f>
        <v/>
      </c>
      <c r="O77" s="42" t="str">
        <f>IF(Tabla!A79="","",(N77/((1+$O$9)^(CAT!$M77/Pagos_por_año))))</f>
        <v/>
      </c>
      <c r="P77" s="53"/>
      <c r="Q77" s="53"/>
    </row>
    <row r="78" spans="1:17">
      <c r="A78" s="41" t="str">
        <f>+Tabla!A80</f>
        <v/>
      </c>
      <c r="B78" s="44" t="str">
        <f>+Tabla!AK80</f>
        <v/>
      </c>
      <c r="C78" s="42" t="str">
        <f>IF(Tabla!A80="","",(B78/((1+$C$9)^($A78/Parámetros!$D$6))))</f>
        <v/>
      </c>
      <c r="D78" s="43"/>
      <c r="E78" s="41" t="str">
        <f>+Tabla!A80</f>
        <v/>
      </c>
      <c r="F78" s="44" t="str">
        <f>Tabla!AL80</f>
        <v/>
      </c>
      <c r="G78" s="42" t="str">
        <f>IF(Tabla!A80="","",(F78/((1+$G$9)^(CAT!$E78/Pagos_por_año))))</f>
        <v/>
      </c>
      <c r="H78" s="42"/>
      <c r="I78" s="41" t="str">
        <f>+Tabla!A80</f>
        <v/>
      </c>
      <c r="J78" s="44" t="str">
        <f>+Tabla!AA80</f>
        <v/>
      </c>
      <c r="K78" s="42" t="str">
        <f>IF(Tabla!A80="","",(J78/((1+$K$9)^($I78/Parámetros!$D$6))))</f>
        <v/>
      </c>
      <c r="L78" s="43"/>
      <c r="M78" s="41" t="str">
        <f>+Tabla!A80</f>
        <v/>
      </c>
      <c r="N78" s="44" t="str">
        <f>Tabla!AI80</f>
        <v/>
      </c>
      <c r="O78" s="42" t="str">
        <f>IF(Tabla!A80="","",(N78/((1+$O$9)^(CAT!$M78/Pagos_por_año))))</f>
        <v/>
      </c>
      <c r="P78" s="53"/>
      <c r="Q78" s="53"/>
    </row>
    <row r="79" spans="1:17">
      <c r="A79" s="41" t="str">
        <f>+Tabla!A81</f>
        <v/>
      </c>
      <c r="B79" s="44" t="str">
        <f>+Tabla!AK81</f>
        <v/>
      </c>
      <c r="C79" s="42" t="str">
        <f>IF(Tabla!A81="","",(B79/((1+$C$9)^($A79/Parámetros!$D$6))))</f>
        <v/>
      </c>
      <c r="D79" s="43"/>
      <c r="E79" s="41" t="str">
        <f>+Tabla!A81</f>
        <v/>
      </c>
      <c r="F79" s="44" t="str">
        <f>Tabla!AL81</f>
        <v/>
      </c>
      <c r="G79" s="42" t="str">
        <f>IF(Tabla!A81="","",(F79/((1+$G$9)^(CAT!$E79/Pagos_por_año))))</f>
        <v/>
      </c>
      <c r="H79" s="42"/>
      <c r="I79" s="41" t="str">
        <f>+Tabla!A81</f>
        <v/>
      </c>
      <c r="J79" s="44" t="str">
        <f>+Tabla!AA81</f>
        <v/>
      </c>
      <c r="K79" s="42" t="str">
        <f>IF(Tabla!A81="","",(J79/((1+$K$9)^($I79/Parámetros!$D$6))))</f>
        <v/>
      </c>
      <c r="L79" s="43"/>
      <c r="M79" s="41" t="str">
        <f>+Tabla!A81</f>
        <v/>
      </c>
      <c r="N79" s="44" t="str">
        <f>Tabla!AI81</f>
        <v/>
      </c>
      <c r="O79" s="42" t="str">
        <f>IF(Tabla!A81="","",(N79/((1+$O$9)^(CAT!$M79/Pagos_por_año))))</f>
        <v/>
      </c>
      <c r="P79" s="53"/>
      <c r="Q79" s="53"/>
    </row>
    <row r="80" spans="1:17">
      <c r="A80" s="41" t="str">
        <f>+Tabla!A82</f>
        <v/>
      </c>
      <c r="B80" s="44" t="str">
        <f>+Tabla!AK82</f>
        <v/>
      </c>
      <c r="C80" s="42" t="str">
        <f>IF(Tabla!A82="","",(B80/((1+$C$9)^($A80/Parámetros!$D$6))))</f>
        <v/>
      </c>
      <c r="D80" s="43"/>
      <c r="E80" s="41" t="str">
        <f>+Tabla!A82</f>
        <v/>
      </c>
      <c r="F80" s="44" t="str">
        <f>Tabla!AL82</f>
        <v/>
      </c>
      <c r="G80" s="42" t="str">
        <f>IF(Tabla!A82="","",(F80/((1+$G$9)^(CAT!$E80/Pagos_por_año))))</f>
        <v/>
      </c>
      <c r="H80" s="42"/>
      <c r="I80" s="41" t="str">
        <f>+Tabla!A82</f>
        <v/>
      </c>
      <c r="J80" s="44" t="str">
        <f>+Tabla!AA82</f>
        <v/>
      </c>
      <c r="K80" s="42" t="str">
        <f>IF(Tabla!A82="","",(J80/((1+$K$9)^($I80/Parámetros!$D$6))))</f>
        <v/>
      </c>
      <c r="L80" s="43"/>
      <c r="M80" s="41" t="str">
        <f>+Tabla!A82</f>
        <v/>
      </c>
      <c r="N80" s="44" t="str">
        <f>Tabla!AI82</f>
        <v/>
      </c>
      <c r="O80" s="42" t="str">
        <f>IF(Tabla!A82="","",(N80/((1+$O$9)^(CAT!$M80/Pagos_por_año))))</f>
        <v/>
      </c>
      <c r="P80" s="53"/>
      <c r="Q80" s="53"/>
    </row>
    <row r="81" spans="1:17">
      <c r="A81" s="41" t="str">
        <f>+Tabla!A83</f>
        <v/>
      </c>
      <c r="B81" s="44" t="str">
        <f>+Tabla!AK83</f>
        <v/>
      </c>
      <c r="C81" s="42" t="str">
        <f>IF(Tabla!A83="","",(B81/((1+$C$9)^($A81/Parámetros!$D$6))))</f>
        <v/>
      </c>
      <c r="D81" s="43"/>
      <c r="E81" s="41" t="str">
        <f>+Tabla!A83</f>
        <v/>
      </c>
      <c r="F81" s="44" t="str">
        <f>Tabla!AL83</f>
        <v/>
      </c>
      <c r="G81" s="42" t="str">
        <f>IF(Tabla!A83="","",(F81/((1+$G$9)^(CAT!$E81/Pagos_por_año))))</f>
        <v/>
      </c>
      <c r="H81" s="42"/>
      <c r="I81" s="41" t="str">
        <f>+Tabla!A83</f>
        <v/>
      </c>
      <c r="J81" s="44" t="str">
        <f>+Tabla!AA83</f>
        <v/>
      </c>
      <c r="K81" s="42" t="str">
        <f>IF(Tabla!A83="","",(J81/((1+$K$9)^($I81/Parámetros!$D$6))))</f>
        <v/>
      </c>
      <c r="L81" s="43"/>
      <c r="M81" s="41" t="str">
        <f>+Tabla!A83</f>
        <v/>
      </c>
      <c r="N81" s="44" t="str">
        <f>Tabla!AI83</f>
        <v/>
      </c>
      <c r="O81" s="42" t="str">
        <f>IF(Tabla!A83="","",(N81/((1+$O$9)^(CAT!$M81/Pagos_por_año))))</f>
        <v/>
      </c>
      <c r="P81" s="53"/>
      <c r="Q81" s="53"/>
    </row>
    <row r="82" spans="1:17">
      <c r="A82" s="41" t="str">
        <f>+Tabla!A84</f>
        <v/>
      </c>
      <c r="B82" s="44" t="str">
        <f>+Tabla!AK84</f>
        <v/>
      </c>
      <c r="C82" s="42" t="str">
        <f>IF(Tabla!A84="","",(B82/((1+$C$9)^($A82/Parámetros!$D$6))))</f>
        <v/>
      </c>
      <c r="D82" s="43"/>
      <c r="E82" s="41" t="str">
        <f>+Tabla!A84</f>
        <v/>
      </c>
      <c r="F82" s="44" t="str">
        <f>Tabla!AL84</f>
        <v/>
      </c>
      <c r="G82" s="42" t="str">
        <f>IF(Tabla!A84="","",(F82/((1+$G$9)^(CAT!$E82/Pagos_por_año))))</f>
        <v/>
      </c>
      <c r="H82" s="42"/>
      <c r="I82" s="41" t="str">
        <f>+Tabla!A84</f>
        <v/>
      </c>
      <c r="J82" s="44" t="str">
        <f>+Tabla!AA84</f>
        <v/>
      </c>
      <c r="K82" s="42" t="str">
        <f>IF(Tabla!A84="","",(J82/((1+$K$9)^($I82/Parámetros!$D$6))))</f>
        <v/>
      </c>
      <c r="L82" s="43"/>
      <c r="M82" s="41" t="str">
        <f>+Tabla!A84</f>
        <v/>
      </c>
      <c r="N82" s="44" t="str">
        <f>Tabla!AI84</f>
        <v/>
      </c>
      <c r="O82" s="42" t="str">
        <f>IF(Tabla!A84="","",(N82/((1+$O$9)^(CAT!$M82/Pagos_por_año))))</f>
        <v/>
      </c>
      <c r="P82" s="53"/>
      <c r="Q82" s="53"/>
    </row>
    <row r="83" spans="1:17">
      <c r="A83" s="41" t="str">
        <f>+Tabla!A85</f>
        <v/>
      </c>
      <c r="B83" s="44" t="str">
        <f>+Tabla!AK85</f>
        <v/>
      </c>
      <c r="C83" s="42" t="str">
        <f>IF(Tabla!A85="","",(B83/((1+$C$9)^($A83/Parámetros!$D$6))))</f>
        <v/>
      </c>
      <c r="D83" s="43"/>
      <c r="E83" s="41" t="str">
        <f>+Tabla!A85</f>
        <v/>
      </c>
      <c r="F83" s="44" t="str">
        <f>Tabla!AL85</f>
        <v/>
      </c>
      <c r="G83" s="42" t="str">
        <f>IF(Tabla!A85="","",(F83/((1+$G$9)^(CAT!$E83/Pagos_por_año))))</f>
        <v/>
      </c>
      <c r="H83" s="42"/>
      <c r="I83" s="41" t="str">
        <f>+Tabla!A85</f>
        <v/>
      </c>
      <c r="J83" s="44" t="str">
        <f>+Tabla!AA85</f>
        <v/>
      </c>
      <c r="K83" s="42" t="str">
        <f>IF(Tabla!A85="","",(J83/((1+$K$9)^($I83/Parámetros!$D$6))))</f>
        <v/>
      </c>
      <c r="L83" s="43"/>
      <c r="M83" s="41" t="str">
        <f>+Tabla!A85</f>
        <v/>
      </c>
      <c r="N83" s="44" t="str">
        <f>Tabla!AI85</f>
        <v/>
      </c>
      <c r="O83" s="42" t="str">
        <f>IF(Tabla!A85="","",(N83/((1+$O$9)^(CAT!$M83/Pagos_por_año))))</f>
        <v/>
      </c>
      <c r="P83" s="53"/>
      <c r="Q83" s="53"/>
    </row>
    <row r="84" spans="1:17">
      <c r="A84" s="41" t="str">
        <f>+Tabla!A86</f>
        <v/>
      </c>
      <c r="B84" s="44" t="str">
        <f>+Tabla!AK86</f>
        <v/>
      </c>
      <c r="C84" s="42" t="str">
        <f>IF(Tabla!A86="","",(B84/((1+$C$9)^($A84/Parámetros!$D$6))))</f>
        <v/>
      </c>
      <c r="D84" s="43"/>
      <c r="E84" s="41" t="str">
        <f>+Tabla!A86</f>
        <v/>
      </c>
      <c r="F84" s="44" t="str">
        <f>Tabla!AL86</f>
        <v/>
      </c>
      <c r="G84" s="42" t="str">
        <f>IF(Tabla!A86="","",(F84/((1+$G$9)^(CAT!$E84/Pagos_por_año))))</f>
        <v/>
      </c>
      <c r="H84" s="42"/>
      <c r="I84" s="41" t="str">
        <f>+Tabla!A86</f>
        <v/>
      </c>
      <c r="J84" s="44" t="str">
        <f>+Tabla!AA86</f>
        <v/>
      </c>
      <c r="K84" s="42" t="str">
        <f>IF(Tabla!A86="","",(J84/((1+$K$9)^($I84/Parámetros!$D$6))))</f>
        <v/>
      </c>
      <c r="L84" s="43"/>
      <c r="M84" s="41" t="str">
        <f>+Tabla!A86</f>
        <v/>
      </c>
      <c r="N84" s="44" t="str">
        <f>Tabla!AI86</f>
        <v/>
      </c>
      <c r="O84" s="42" t="str">
        <f>IF(Tabla!A86="","",(N84/((1+$O$9)^(CAT!$M84/Pagos_por_año))))</f>
        <v/>
      </c>
      <c r="P84" s="53"/>
      <c r="Q84" s="53"/>
    </row>
    <row r="85" spans="1:17">
      <c r="A85" s="41" t="str">
        <f>+Tabla!A87</f>
        <v/>
      </c>
      <c r="B85" s="44" t="str">
        <f>+Tabla!AK87</f>
        <v/>
      </c>
      <c r="C85" s="42" t="str">
        <f>IF(Tabla!A87="","",(B85/((1+$C$9)^($A85/Parámetros!$D$6))))</f>
        <v/>
      </c>
      <c r="D85" s="43"/>
      <c r="E85" s="41" t="str">
        <f>+Tabla!A87</f>
        <v/>
      </c>
      <c r="F85" s="44" t="str">
        <f>Tabla!AL87</f>
        <v/>
      </c>
      <c r="G85" s="42" t="str">
        <f>IF(Tabla!A87="","",(F85/((1+$G$9)^(CAT!$E85/Pagos_por_año))))</f>
        <v/>
      </c>
      <c r="H85" s="42"/>
      <c r="I85" s="41" t="str">
        <f>+Tabla!A87</f>
        <v/>
      </c>
      <c r="J85" s="44" t="str">
        <f>+Tabla!AA87</f>
        <v/>
      </c>
      <c r="K85" s="42" t="str">
        <f>IF(Tabla!A87="","",(J85/((1+$K$9)^($I85/Parámetros!$D$6))))</f>
        <v/>
      </c>
      <c r="L85" s="43"/>
      <c r="M85" s="41" t="str">
        <f>+Tabla!A87</f>
        <v/>
      </c>
      <c r="N85" s="44" t="str">
        <f>Tabla!AI87</f>
        <v/>
      </c>
      <c r="O85" s="42" t="str">
        <f>IF(Tabla!A87="","",(N85/((1+$O$9)^(CAT!$M85/Pagos_por_año))))</f>
        <v/>
      </c>
      <c r="P85" s="53"/>
      <c r="Q85" s="53"/>
    </row>
    <row r="86" spans="1:17">
      <c r="A86" s="41" t="str">
        <f>+Tabla!A88</f>
        <v/>
      </c>
      <c r="B86" s="44" t="str">
        <f>+Tabla!AK88</f>
        <v/>
      </c>
      <c r="C86" s="42" t="str">
        <f>IF(Tabla!A88="","",(B86/((1+$C$9)^($A86/Parámetros!$D$6))))</f>
        <v/>
      </c>
      <c r="D86" s="43"/>
      <c r="E86" s="41" t="str">
        <f>+Tabla!A88</f>
        <v/>
      </c>
      <c r="F86" s="44" t="str">
        <f>Tabla!AL88</f>
        <v/>
      </c>
      <c r="G86" s="42" t="str">
        <f>IF(Tabla!A88="","",(F86/((1+$G$9)^(CAT!$E86/Pagos_por_año))))</f>
        <v/>
      </c>
      <c r="H86" s="42"/>
      <c r="I86" s="41" t="str">
        <f>+Tabla!A88</f>
        <v/>
      </c>
      <c r="J86" s="44" t="str">
        <f>+Tabla!AA88</f>
        <v/>
      </c>
      <c r="K86" s="42" t="str">
        <f>IF(Tabla!A88="","",(J86/((1+$K$9)^($I86/Parámetros!$D$6))))</f>
        <v/>
      </c>
      <c r="L86" s="43"/>
      <c r="M86" s="41" t="str">
        <f>+Tabla!A88</f>
        <v/>
      </c>
      <c r="N86" s="44" t="str">
        <f>Tabla!AI88</f>
        <v/>
      </c>
      <c r="O86" s="42" t="str">
        <f>IF(Tabla!A88="","",(N86/((1+$O$9)^(CAT!$M86/Pagos_por_año))))</f>
        <v/>
      </c>
      <c r="P86" s="53"/>
      <c r="Q86" s="53"/>
    </row>
    <row r="87" spans="1:17">
      <c r="A87" s="41" t="str">
        <f>+Tabla!A89</f>
        <v/>
      </c>
      <c r="B87" s="44" t="str">
        <f>+Tabla!AK89</f>
        <v/>
      </c>
      <c r="C87" s="42" t="str">
        <f>IF(Tabla!A89="","",(B87/((1+$C$9)^($A87/Parámetros!$D$6))))</f>
        <v/>
      </c>
      <c r="D87" s="43"/>
      <c r="E87" s="41" t="str">
        <f>+Tabla!A89</f>
        <v/>
      </c>
      <c r="F87" s="44" t="str">
        <f>Tabla!AL89</f>
        <v/>
      </c>
      <c r="G87" s="42" t="str">
        <f>IF(Tabla!A89="","",(F87/((1+$G$9)^(CAT!$E87/Pagos_por_año))))</f>
        <v/>
      </c>
      <c r="H87" s="42"/>
      <c r="I87" s="41" t="str">
        <f>+Tabla!A89</f>
        <v/>
      </c>
      <c r="J87" s="44" t="str">
        <f>+Tabla!AA89</f>
        <v/>
      </c>
      <c r="K87" s="42" t="str">
        <f>IF(Tabla!A89="","",(J87/((1+$K$9)^($I87/Parámetros!$D$6))))</f>
        <v/>
      </c>
      <c r="L87" s="43"/>
      <c r="M87" s="41" t="str">
        <f>+Tabla!A89</f>
        <v/>
      </c>
      <c r="N87" s="44" t="str">
        <f>Tabla!AI89</f>
        <v/>
      </c>
      <c r="O87" s="42" t="str">
        <f>IF(Tabla!A89="","",(N87/((1+$O$9)^(CAT!$M87/Pagos_por_año))))</f>
        <v/>
      </c>
      <c r="P87" s="53"/>
      <c r="Q87" s="53"/>
    </row>
    <row r="88" spans="1:17">
      <c r="A88" s="41" t="str">
        <f>+Tabla!A90</f>
        <v/>
      </c>
      <c r="B88" s="44" t="str">
        <f>+Tabla!AK90</f>
        <v/>
      </c>
      <c r="C88" s="42" t="str">
        <f>IF(Tabla!A90="","",(B88/((1+$C$9)^($A88/Parámetros!$D$6))))</f>
        <v/>
      </c>
      <c r="D88" s="43"/>
      <c r="E88" s="41" t="str">
        <f>+Tabla!A90</f>
        <v/>
      </c>
      <c r="F88" s="44" t="str">
        <f>Tabla!AL90</f>
        <v/>
      </c>
      <c r="G88" s="42" t="str">
        <f>IF(Tabla!A90="","",(F88/((1+$G$9)^(CAT!$E88/Pagos_por_año))))</f>
        <v/>
      </c>
      <c r="H88" s="42"/>
      <c r="I88" s="41" t="str">
        <f>+Tabla!A90</f>
        <v/>
      </c>
      <c r="J88" s="44" t="str">
        <f>+Tabla!AA90</f>
        <v/>
      </c>
      <c r="K88" s="42" t="str">
        <f>IF(Tabla!A90="","",(J88/((1+$K$9)^($I88/Parámetros!$D$6))))</f>
        <v/>
      </c>
      <c r="L88" s="43"/>
      <c r="M88" s="41" t="str">
        <f>+Tabla!A90</f>
        <v/>
      </c>
      <c r="N88" s="44" t="str">
        <f>Tabla!AI90</f>
        <v/>
      </c>
      <c r="O88" s="42" t="str">
        <f>IF(Tabla!A90="","",(N88/((1+$O$9)^(CAT!$M88/Pagos_por_año))))</f>
        <v/>
      </c>
      <c r="P88" s="53"/>
      <c r="Q88" s="53"/>
    </row>
    <row r="89" spans="1:17">
      <c r="A89" s="41" t="str">
        <f>+Tabla!A91</f>
        <v/>
      </c>
      <c r="B89" s="44" t="str">
        <f>+Tabla!AK91</f>
        <v/>
      </c>
      <c r="C89" s="42" t="str">
        <f>IF(Tabla!A91="","",(B89/((1+$C$9)^($A89/Parámetros!$D$6))))</f>
        <v/>
      </c>
      <c r="D89" s="43"/>
      <c r="E89" s="41" t="str">
        <f>+Tabla!A91</f>
        <v/>
      </c>
      <c r="F89" s="44" t="str">
        <f>Tabla!AL91</f>
        <v/>
      </c>
      <c r="G89" s="42" t="str">
        <f>IF(Tabla!A91="","",(F89/((1+$G$9)^(CAT!$E89/Pagos_por_año))))</f>
        <v/>
      </c>
      <c r="H89" s="42"/>
      <c r="I89" s="41" t="str">
        <f>+Tabla!A91</f>
        <v/>
      </c>
      <c r="J89" s="44" t="str">
        <f>+Tabla!AA91</f>
        <v/>
      </c>
      <c r="K89" s="42" t="str">
        <f>IF(Tabla!A91="","",(J89/((1+$K$9)^($I89/Parámetros!$D$6))))</f>
        <v/>
      </c>
      <c r="L89" s="43"/>
      <c r="M89" s="41" t="str">
        <f>+Tabla!A91</f>
        <v/>
      </c>
      <c r="N89" s="44" t="str">
        <f>Tabla!AI91</f>
        <v/>
      </c>
      <c r="O89" s="42" t="str">
        <f>IF(Tabla!A91="","",(N89/((1+$O$9)^(CAT!$M89/Pagos_por_año))))</f>
        <v/>
      </c>
      <c r="P89" s="53"/>
      <c r="Q89" s="53"/>
    </row>
    <row r="90" spans="1:17">
      <c r="A90" s="41" t="str">
        <f>+Tabla!A92</f>
        <v/>
      </c>
      <c r="B90" s="44" t="str">
        <f>+Tabla!AK92</f>
        <v/>
      </c>
      <c r="C90" s="42" t="str">
        <f>IF(Tabla!A92="","",(B90/((1+$C$9)^($A90/Parámetros!$D$6))))</f>
        <v/>
      </c>
      <c r="D90" s="43"/>
      <c r="E90" s="41" t="str">
        <f>+Tabla!A92</f>
        <v/>
      </c>
      <c r="F90" s="44" t="str">
        <f>Tabla!AL92</f>
        <v/>
      </c>
      <c r="G90" s="42" t="str">
        <f>IF(Tabla!A92="","",(F90/((1+$G$9)^(CAT!$E90/Pagos_por_año))))</f>
        <v/>
      </c>
      <c r="H90" s="42"/>
      <c r="I90" s="41" t="str">
        <f>+Tabla!A92</f>
        <v/>
      </c>
      <c r="J90" s="44" t="str">
        <f>+Tabla!AA92</f>
        <v/>
      </c>
      <c r="K90" s="42" t="str">
        <f>IF(Tabla!A92="","",(J90/((1+$K$9)^($I90/Parámetros!$D$6))))</f>
        <v/>
      </c>
      <c r="L90" s="43"/>
      <c r="M90" s="41" t="str">
        <f>+Tabla!A92</f>
        <v/>
      </c>
      <c r="N90" s="44" t="str">
        <f>Tabla!AI92</f>
        <v/>
      </c>
      <c r="O90" s="42" t="str">
        <f>IF(Tabla!A92="","",(N90/((1+$O$9)^(CAT!$M90/Pagos_por_año))))</f>
        <v/>
      </c>
      <c r="P90" s="53"/>
      <c r="Q90" s="53"/>
    </row>
    <row r="91" spans="1:17">
      <c r="A91" s="41" t="str">
        <f>+Tabla!A93</f>
        <v/>
      </c>
      <c r="B91" s="44" t="str">
        <f>+Tabla!AK93</f>
        <v/>
      </c>
      <c r="C91" s="42" t="str">
        <f>IF(Tabla!A93="","",(B91/((1+$C$9)^($A91/Parámetros!$D$6))))</f>
        <v/>
      </c>
      <c r="D91" s="43"/>
      <c r="E91" s="41" t="str">
        <f>+Tabla!A93</f>
        <v/>
      </c>
      <c r="F91" s="44" t="str">
        <f>Tabla!AL93</f>
        <v/>
      </c>
      <c r="G91" s="42" t="str">
        <f>IF(Tabla!A93="","",(F91/((1+$G$9)^(CAT!$E91/Pagos_por_año))))</f>
        <v/>
      </c>
      <c r="H91" s="42"/>
      <c r="I91" s="41" t="str">
        <f>+Tabla!A93</f>
        <v/>
      </c>
      <c r="J91" s="44" t="str">
        <f>+Tabla!AA93</f>
        <v/>
      </c>
      <c r="K91" s="42" t="str">
        <f>IF(Tabla!A93="","",(J91/((1+$K$9)^($I91/Parámetros!$D$6))))</f>
        <v/>
      </c>
      <c r="L91" s="43"/>
      <c r="M91" s="41" t="str">
        <f>+Tabla!A93</f>
        <v/>
      </c>
      <c r="N91" s="44" t="str">
        <f>Tabla!AI93</f>
        <v/>
      </c>
      <c r="O91" s="42" t="str">
        <f>IF(Tabla!A93="","",(N91/((1+$O$9)^(CAT!$M91/Pagos_por_año))))</f>
        <v/>
      </c>
      <c r="P91" s="53"/>
      <c r="Q91" s="53"/>
    </row>
    <row r="92" spans="1:17">
      <c r="A92" s="41" t="str">
        <f>+Tabla!A94</f>
        <v/>
      </c>
      <c r="B92" s="44" t="str">
        <f>+Tabla!AK94</f>
        <v/>
      </c>
      <c r="C92" s="42" t="str">
        <f>IF(Tabla!A94="","",(B92/((1+$C$9)^($A92/Parámetros!$D$6))))</f>
        <v/>
      </c>
      <c r="D92" s="43"/>
      <c r="E92" s="41" t="str">
        <f>+Tabla!A94</f>
        <v/>
      </c>
      <c r="F92" s="44" t="str">
        <f>Tabla!AL94</f>
        <v/>
      </c>
      <c r="G92" s="42" t="str">
        <f>IF(Tabla!A94="","",(F92/((1+$G$9)^(CAT!$E92/Pagos_por_año))))</f>
        <v/>
      </c>
      <c r="H92" s="42"/>
      <c r="I92" s="41" t="str">
        <f>+Tabla!A94</f>
        <v/>
      </c>
      <c r="J92" s="44" t="str">
        <f>+Tabla!AA94</f>
        <v/>
      </c>
      <c r="K92" s="42" t="str">
        <f>IF(Tabla!A94="","",(J92/((1+$K$9)^($I92/Parámetros!$D$6))))</f>
        <v/>
      </c>
      <c r="L92" s="43"/>
      <c r="M92" s="41" t="str">
        <f>+Tabla!A94</f>
        <v/>
      </c>
      <c r="N92" s="44" t="str">
        <f>Tabla!AI94</f>
        <v/>
      </c>
      <c r="O92" s="42" t="str">
        <f>IF(Tabla!A94="","",(N92/((1+$O$9)^(CAT!$M92/Pagos_por_año))))</f>
        <v/>
      </c>
      <c r="P92" s="53"/>
      <c r="Q92" s="53"/>
    </row>
    <row r="93" spans="1:17">
      <c r="A93" s="41" t="str">
        <f>+Tabla!A95</f>
        <v/>
      </c>
      <c r="B93" s="44" t="str">
        <f>+Tabla!AK95</f>
        <v/>
      </c>
      <c r="C93" s="42" t="str">
        <f>IF(Tabla!A95="","",(B93/((1+$C$9)^($A93/Parámetros!$D$6))))</f>
        <v/>
      </c>
      <c r="D93" s="43"/>
      <c r="E93" s="41" t="str">
        <f>+Tabla!A95</f>
        <v/>
      </c>
      <c r="F93" s="44" t="str">
        <f>Tabla!AL95</f>
        <v/>
      </c>
      <c r="G93" s="42" t="str">
        <f>IF(Tabla!A95="","",(F93/((1+$G$9)^(CAT!$E93/Pagos_por_año))))</f>
        <v/>
      </c>
      <c r="H93" s="42"/>
      <c r="I93" s="41" t="str">
        <f>+Tabla!A95</f>
        <v/>
      </c>
      <c r="J93" s="44" t="str">
        <f>+Tabla!AA95</f>
        <v/>
      </c>
      <c r="K93" s="42" t="str">
        <f>IF(Tabla!A95="","",(J93/((1+$K$9)^($I93/Parámetros!$D$6))))</f>
        <v/>
      </c>
      <c r="L93" s="43"/>
      <c r="M93" s="41" t="str">
        <f>+Tabla!A95</f>
        <v/>
      </c>
      <c r="N93" s="44" t="str">
        <f>Tabla!AI95</f>
        <v/>
      </c>
      <c r="O93" s="42" t="str">
        <f>IF(Tabla!A95="","",(N93/((1+$O$9)^(CAT!$M93/Pagos_por_año))))</f>
        <v/>
      </c>
      <c r="P93" s="53"/>
      <c r="Q93" s="53"/>
    </row>
    <row r="94" spans="1:17">
      <c r="A94" s="41" t="str">
        <f>+Tabla!A96</f>
        <v/>
      </c>
      <c r="B94" s="44" t="str">
        <f>+Tabla!AK96</f>
        <v/>
      </c>
      <c r="C94" s="42" t="str">
        <f>IF(Tabla!A96="","",(B94/((1+$C$9)^($A94/Parámetros!$D$6))))</f>
        <v/>
      </c>
      <c r="D94" s="43"/>
      <c r="E94" s="41" t="str">
        <f>+Tabla!A96</f>
        <v/>
      </c>
      <c r="F94" s="44" t="str">
        <f>Tabla!AL96</f>
        <v/>
      </c>
      <c r="G94" s="42" t="str">
        <f>IF(Tabla!A96="","",(F94/((1+$G$9)^(CAT!$E94/Pagos_por_año))))</f>
        <v/>
      </c>
      <c r="H94" s="42"/>
      <c r="I94" s="41" t="str">
        <f>+Tabla!A96</f>
        <v/>
      </c>
      <c r="J94" s="44" t="str">
        <f>+Tabla!AA96</f>
        <v/>
      </c>
      <c r="K94" s="42" t="str">
        <f>IF(Tabla!A96="","",(J94/((1+$K$9)^($I94/Parámetros!$D$6))))</f>
        <v/>
      </c>
      <c r="L94" s="43"/>
      <c r="M94" s="41" t="str">
        <f>+Tabla!A96</f>
        <v/>
      </c>
      <c r="N94" s="44" t="str">
        <f>Tabla!AI96</f>
        <v/>
      </c>
      <c r="O94" s="42" t="str">
        <f>IF(Tabla!A96="","",(N94/((1+$O$9)^(CAT!$M94/Pagos_por_año))))</f>
        <v/>
      </c>
      <c r="P94" s="53"/>
      <c r="Q94" s="53"/>
    </row>
    <row r="95" spans="1:17">
      <c r="A95" s="41" t="str">
        <f>+Tabla!A97</f>
        <v/>
      </c>
      <c r="B95" s="44" t="str">
        <f>+Tabla!AK97</f>
        <v/>
      </c>
      <c r="C95" s="42" t="str">
        <f>IF(Tabla!A97="","",(B95/((1+$C$9)^($A95/Parámetros!$D$6))))</f>
        <v/>
      </c>
      <c r="D95" s="43"/>
      <c r="E95" s="41" t="str">
        <f>+Tabla!A97</f>
        <v/>
      </c>
      <c r="F95" s="44" t="str">
        <f>Tabla!AL97</f>
        <v/>
      </c>
      <c r="G95" s="42" t="str">
        <f>IF(Tabla!A97="","",(F95/((1+$G$9)^(CAT!$E95/Pagos_por_año))))</f>
        <v/>
      </c>
      <c r="H95" s="42"/>
      <c r="I95" s="41" t="str">
        <f>+Tabla!A97</f>
        <v/>
      </c>
      <c r="J95" s="44" t="str">
        <f>+Tabla!AA97</f>
        <v/>
      </c>
      <c r="K95" s="42" t="str">
        <f>IF(Tabla!A97="","",(J95/((1+$K$9)^($I95/Parámetros!$D$6))))</f>
        <v/>
      </c>
      <c r="L95" s="43"/>
      <c r="M95" s="41" t="str">
        <f>+Tabla!A97</f>
        <v/>
      </c>
      <c r="N95" s="44" t="str">
        <f>Tabla!AI97</f>
        <v/>
      </c>
      <c r="O95" s="42" t="str">
        <f>IF(Tabla!A97="","",(N95/((1+$O$9)^(CAT!$M95/Pagos_por_año))))</f>
        <v/>
      </c>
      <c r="P95" s="53"/>
      <c r="Q95" s="53"/>
    </row>
    <row r="96" spans="1:17">
      <c r="A96" s="41" t="str">
        <f>+Tabla!A98</f>
        <v/>
      </c>
      <c r="B96" s="44" t="str">
        <f>+Tabla!AK98</f>
        <v/>
      </c>
      <c r="C96" s="42" t="str">
        <f>IF(Tabla!A98="","",(B96/((1+$C$9)^($A96/Parámetros!$D$6))))</f>
        <v/>
      </c>
      <c r="D96" s="43"/>
      <c r="E96" s="41" t="str">
        <f>+Tabla!A98</f>
        <v/>
      </c>
      <c r="F96" s="44" t="str">
        <f>Tabla!AL98</f>
        <v/>
      </c>
      <c r="G96" s="42" t="str">
        <f>IF(Tabla!A98="","",(F96/((1+$G$9)^(CAT!$E96/Pagos_por_año))))</f>
        <v/>
      </c>
      <c r="H96" s="42"/>
      <c r="I96" s="41" t="str">
        <f>+Tabla!A98</f>
        <v/>
      </c>
      <c r="J96" s="44" t="str">
        <f>+Tabla!AA98</f>
        <v/>
      </c>
      <c r="K96" s="42" t="str">
        <f>IF(Tabla!A98="","",(J96/((1+$K$9)^($I96/Parámetros!$D$6))))</f>
        <v/>
      </c>
      <c r="L96" s="43"/>
      <c r="M96" s="41" t="str">
        <f>+Tabla!A98</f>
        <v/>
      </c>
      <c r="N96" s="44" t="str">
        <f>Tabla!AI98</f>
        <v/>
      </c>
      <c r="O96" s="42" t="str">
        <f>IF(Tabla!A98="","",(N96/((1+$O$9)^(CAT!$M96/Pagos_por_año))))</f>
        <v/>
      </c>
      <c r="P96" s="53"/>
      <c r="Q96" s="53"/>
    </row>
    <row r="97" spans="1:17">
      <c r="A97" s="41" t="str">
        <f>+Tabla!A99</f>
        <v/>
      </c>
      <c r="B97" s="44" t="str">
        <f>+Tabla!AK99</f>
        <v/>
      </c>
      <c r="C97" s="42" t="str">
        <f>IF(Tabla!A99="","",(B97/((1+$C$9)^($A97/Parámetros!$D$6))))</f>
        <v/>
      </c>
      <c r="D97" s="43"/>
      <c r="E97" s="41" t="str">
        <f>+Tabla!A99</f>
        <v/>
      </c>
      <c r="F97" s="44" t="str">
        <f>Tabla!AL99</f>
        <v/>
      </c>
      <c r="G97" s="42" t="str">
        <f>IF(Tabla!A99="","",(F97/((1+$G$9)^(CAT!$E97/Pagos_por_año))))</f>
        <v/>
      </c>
      <c r="H97" s="42"/>
      <c r="I97" s="41" t="str">
        <f>+Tabla!A99</f>
        <v/>
      </c>
      <c r="J97" s="44" t="str">
        <f>+Tabla!AA99</f>
        <v/>
      </c>
      <c r="K97" s="42" t="str">
        <f>IF(Tabla!A99="","",(J97/((1+$K$9)^($I97/Parámetros!$D$6))))</f>
        <v/>
      </c>
      <c r="L97" s="43"/>
      <c r="M97" s="41" t="str">
        <f>+Tabla!A99</f>
        <v/>
      </c>
      <c r="N97" s="44" t="str">
        <f>Tabla!AI99</f>
        <v/>
      </c>
      <c r="O97" s="42" t="str">
        <f>IF(Tabla!A99="","",(N97/((1+$O$9)^(CAT!$M97/Pagos_por_año))))</f>
        <v/>
      </c>
      <c r="P97" s="53"/>
      <c r="Q97" s="53"/>
    </row>
    <row r="98" spans="1:17">
      <c r="A98" s="41" t="str">
        <f>+Tabla!A100</f>
        <v/>
      </c>
      <c r="B98" s="44" t="str">
        <f>+Tabla!AK100</f>
        <v/>
      </c>
      <c r="C98" s="42" t="str">
        <f>IF(Tabla!A100="","",(B98/((1+$C$9)^($A98/Parámetros!$D$6))))</f>
        <v/>
      </c>
      <c r="D98" s="43"/>
      <c r="E98" s="41" t="str">
        <f>+Tabla!A100</f>
        <v/>
      </c>
      <c r="F98" s="44" t="str">
        <f>Tabla!AL100</f>
        <v/>
      </c>
      <c r="G98" s="42" t="str">
        <f>IF(Tabla!A100="","",(F98/((1+$G$9)^(CAT!$E98/Pagos_por_año))))</f>
        <v/>
      </c>
      <c r="H98" s="42"/>
      <c r="I98" s="41" t="str">
        <f>+Tabla!A100</f>
        <v/>
      </c>
      <c r="J98" s="44" t="str">
        <f>+Tabla!AA100</f>
        <v/>
      </c>
      <c r="K98" s="42" t="str">
        <f>IF(Tabla!A100="","",(J98/((1+$K$9)^($I98/Parámetros!$D$6))))</f>
        <v/>
      </c>
      <c r="L98" s="43"/>
      <c r="M98" s="41" t="str">
        <f>+Tabla!A100</f>
        <v/>
      </c>
      <c r="N98" s="44" t="str">
        <f>Tabla!AI100</f>
        <v/>
      </c>
      <c r="O98" s="42" t="str">
        <f>IF(Tabla!A100="","",(N98/((1+$O$9)^(CAT!$M98/Pagos_por_año))))</f>
        <v/>
      </c>
      <c r="P98" s="53"/>
      <c r="Q98" s="53"/>
    </row>
    <row r="99" spans="1:17">
      <c r="A99" s="41" t="str">
        <f>+Tabla!A101</f>
        <v/>
      </c>
      <c r="B99" s="44" t="str">
        <f>+Tabla!AK101</f>
        <v/>
      </c>
      <c r="C99" s="42" t="str">
        <f>IF(Tabla!A101="","",(B99/((1+$C$9)^($A99/Parámetros!$D$6))))</f>
        <v/>
      </c>
      <c r="D99" s="43"/>
      <c r="E99" s="41" t="str">
        <f>+Tabla!A101</f>
        <v/>
      </c>
      <c r="F99" s="44" t="str">
        <f>Tabla!AL101</f>
        <v/>
      </c>
      <c r="G99" s="42" t="str">
        <f>IF(Tabla!A101="","",(F99/((1+$G$9)^(CAT!$E99/Pagos_por_año))))</f>
        <v/>
      </c>
      <c r="H99" s="42"/>
      <c r="I99" s="41" t="str">
        <f>+Tabla!A101</f>
        <v/>
      </c>
      <c r="J99" s="44" t="str">
        <f>+Tabla!AA101</f>
        <v/>
      </c>
      <c r="K99" s="42" t="str">
        <f>IF(Tabla!A101="","",(J99/((1+$K$9)^($I99/Parámetros!$D$6))))</f>
        <v/>
      </c>
      <c r="L99" s="43"/>
      <c r="M99" s="41" t="str">
        <f>+Tabla!A101</f>
        <v/>
      </c>
      <c r="N99" s="44" t="str">
        <f>Tabla!AI101</f>
        <v/>
      </c>
      <c r="O99" s="42" t="str">
        <f>IF(Tabla!A101="","",(N99/((1+$O$9)^(CAT!$M99/Pagos_por_año))))</f>
        <v/>
      </c>
      <c r="P99" s="53"/>
      <c r="Q99" s="53"/>
    </row>
    <row r="100" spans="1:17">
      <c r="A100" s="41" t="str">
        <f>+Tabla!A102</f>
        <v/>
      </c>
      <c r="B100" s="44" t="str">
        <f>+Tabla!AK102</f>
        <v/>
      </c>
      <c r="C100" s="42" t="str">
        <f>IF(Tabla!A102="","",(B100/((1+$C$9)^($A100/Parámetros!$D$6))))</f>
        <v/>
      </c>
      <c r="D100" s="43"/>
      <c r="E100" s="41" t="str">
        <f>+Tabla!A102</f>
        <v/>
      </c>
      <c r="F100" s="44" t="str">
        <f>Tabla!AL102</f>
        <v/>
      </c>
      <c r="G100" s="42" t="str">
        <f>IF(Tabla!A102="","",(F100/((1+$G$9)^(CAT!$E100/Pagos_por_año))))</f>
        <v/>
      </c>
      <c r="H100" s="42"/>
      <c r="I100" s="41" t="str">
        <f>+Tabla!A102</f>
        <v/>
      </c>
      <c r="J100" s="44" t="str">
        <f>+Tabla!AA102</f>
        <v/>
      </c>
      <c r="K100" s="42" t="str">
        <f>IF(Tabla!A102="","",(J100/((1+$K$9)^($I100/Parámetros!$D$6))))</f>
        <v/>
      </c>
      <c r="L100" s="43"/>
      <c r="M100" s="41" t="str">
        <f>+Tabla!A102</f>
        <v/>
      </c>
      <c r="N100" s="44" t="str">
        <f>Tabla!AI102</f>
        <v/>
      </c>
      <c r="O100" s="42" t="str">
        <f>IF(Tabla!A102="","",(N100/((1+$O$9)^(CAT!$M100/Pagos_por_año))))</f>
        <v/>
      </c>
      <c r="P100" s="53"/>
      <c r="Q100" s="53"/>
    </row>
    <row r="101" spans="1:17">
      <c r="A101" s="41" t="str">
        <f>+Tabla!A103</f>
        <v/>
      </c>
      <c r="B101" s="44" t="str">
        <f>+Tabla!AK103</f>
        <v/>
      </c>
      <c r="C101" s="42" t="str">
        <f>IF(Tabla!A103="","",(B101/((1+$C$9)^($A101/Parámetros!$D$6))))</f>
        <v/>
      </c>
      <c r="D101" s="43"/>
      <c r="E101" s="41" t="str">
        <f>+Tabla!A103</f>
        <v/>
      </c>
      <c r="F101" s="44" t="str">
        <f>Tabla!AL103</f>
        <v/>
      </c>
      <c r="G101" s="42" t="str">
        <f>IF(Tabla!A103="","",(F101/((1+$G$9)^(CAT!$E101/Pagos_por_año))))</f>
        <v/>
      </c>
      <c r="H101" s="42"/>
      <c r="I101" s="41" t="str">
        <f>+Tabla!A103</f>
        <v/>
      </c>
      <c r="J101" s="44" t="str">
        <f>+Tabla!AA103</f>
        <v/>
      </c>
      <c r="K101" s="42" t="str">
        <f>IF(Tabla!A103="","",(J101/((1+$K$9)^($I101/Parámetros!$D$6))))</f>
        <v/>
      </c>
      <c r="L101" s="43"/>
      <c r="M101" s="41" t="str">
        <f>+Tabla!A103</f>
        <v/>
      </c>
      <c r="N101" s="44" t="str">
        <f>Tabla!AI103</f>
        <v/>
      </c>
      <c r="O101" s="42" t="str">
        <f>IF(Tabla!A103="","",(N101/((1+$O$9)^(CAT!$M101/Pagos_por_año))))</f>
        <v/>
      </c>
      <c r="P101" s="53"/>
      <c r="Q101" s="53"/>
    </row>
    <row r="102" spans="1:17">
      <c r="A102" s="41" t="str">
        <f>+Tabla!A104</f>
        <v/>
      </c>
      <c r="B102" s="44" t="str">
        <f>+Tabla!AK104</f>
        <v/>
      </c>
      <c r="C102" s="42" t="str">
        <f>IF(Tabla!A104="","",(B102/((1+$C$9)^($A102/Parámetros!$D$6))))</f>
        <v/>
      </c>
      <c r="D102" s="43"/>
      <c r="E102" s="41" t="str">
        <f>+Tabla!A104</f>
        <v/>
      </c>
      <c r="F102" s="44" t="str">
        <f>Tabla!AL104</f>
        <v/>
      </c>
      <c r="G102" s="42" t="str">
        <f>IF(Tabla!A104="","",(F102/((1+$G$9)^(CAT!$E102/Pagos_por_año))))</f>
        <v/>
      </c>
      <c r="H102" s="42"/>
      <c r="I102" s="41" t="str">
        <f>+Tabla!A104</f>
        <v/>
      </c>
      <c r="J102" s="44" t="str">
        <f>+Tabla!AA104</f>
        <v/>
      </c>
      <c r="K102" s="42" t="str">
        <f>IF(Tabla!A104="","",(J102/((1+$K$9)^($I102/Parámetros!$D$6))))</f>
        <v/>
      </c>
      <c r="L102" s="43"/>
      <c r="M102" s="41" t="str">
        <f>+Tabla!A104</f>
        <v/>
      </c>
      <c r="N102" s="44" t="str">
        <f>Tabla!AI104</f>
        <v/>
      </c>
      <c r="O102" s="42" t="str">
        <f>IF(Tabla!A104="","",(N102/((1+$O$9)^(CAT!$M102/Pagos_por_año))))</f>
        <v/>
      </c>
      <c r="P102" s="53"/>
      <c r="Q102" s="53"/>
    </row>
    <row r="103" spans="1:17">
      <c r="A103" s="41" t="str">
        <f>+Tabla!A105</f>
        <v/>
      </c>
      <c r="B103" s="44" t="str">
        <f>+Tabla!AK105</f>
        <v/>
      </c>
      <c r="C103" s="42" t="str">
        <f>IF(Tabla!A105="","",(B103/((1+$C$9)^($A103/Parámetros!$D$6))))</f>
        <v/>
      </c>
      <c r="D103" s="43"/>
      <c r="E103" s="41" t="str">
        <f>+Tabla!A105</f>
        <v/>
      </c>
      <c r="F103" s="44" t="str">
        <f>Tabla!AL105</f>
        <v/>
      </c>
      <c r="G103" s="42" t="str">
        <f>IF(Tabla!A105="","",(F103/((1+$G$9)^(CAT!$E103/Pagos_por_año))))</f>
        <v/>
      </c>
      <c r="H103" s="42"/>
      <c r="I103" s="41" t="str">
        <f>+Tabla!A105</f>
        <v/>
      </c>
      <c r="J103" s="44" t="str">
        <f>+Tabla!AA105</f>
        <v/>
      </c>
      <c r="K103" s="42" t="str">
        <f>IF(Tabla!A105="","",(J103/((1+$K$9)^($I103/Parámetros!$D$6))))</f>
        <v/>
      </c>
      <c r="L103" s="43"/>
      <c r="M103" s="41" t="str">
        <f>+Tabla!A105</f>
        <v/>
      </c>
      <c r="N103" s="44" t="str">
        <f>Tabla!AI105</f>
        <v/>
      </c>
      <c r="O103" s="42" t="str">
        <f>IF(Tabla!A105="","",(N103/((1+$O$9)^(CAT!$M103/Pagos_por_año))))</f>
        <v/>
      </c>
      <c r="P103" s="53"/>
      <c r="Q103" s="53"/>
    </row>
    <row r="104" spans="1:17">
      <c r="A104" s="41" t="str">
        <f>+Tabla!A106</f>
        <v/>
      </c>
      <c r="B104" s="44" t="str">
        <f>+Tabla!AK106</f>
        <v/>
      </c>
      <c r="C104" s="42" t="str">
        <f>IF(Tabla!A106="","",(B104/((1+$C$9)^($A104/Parámetros!$D$6))))</f>
        <v/>
      </c>
      <c r="D104" s="43"/>
      <c r="E104" s="41" t="str">
        <f>+Tabla!A106</f>
        <v/>
      </c>
      <c r="F104" s="44" t="str">
        <f>Tabla!AL106</f>
        <v/>
      </c>
      <c r="G104" s="42" t="str">
        <f>IF(Tabla!A106="","",(F104/((1+$G$9)^(CAT!$E104/Pagos_por_año))))</f>
        <v/>
      </c>
      <c r="H104" s="42"/>
      <c r="I104" s="41" t="str">
        <f>+Tabla!A106</f>
        <v/>
      </c>
      <c r="J104" s="44" t="str">
        <f>+Tabla!AA106</f>
        <v/>
      </c>
      <c r="K104" s="42" t="str">
        <f>IF(Tabla!A106="","",(J104/((1+$K$9)^($I104/Parámetros!$D$6))))</f>
        <v/>
      </c>
      <c r="L104" s="43"/>
      <c r="M104" s="41" t="str">
        <f>+Tabla!A106</f>
        <v/>
      </c>
      <c r="N104" s="44" t="str">
        <f>Tabla!AI106</f>
        <v/>
      </c>
      <c r="O104" s="42" t="str">
        <f>IF(Tabla!A106="","",(N104/((1+$O$9)^(CAT!$M104/Pagos_por_año))))</f>
        <v/>
      </c>
      <c r="P104" s="53"/>
      <c r="Q104" s="53"/>
    </row>
    <row r="105" spans="1:17">
      <c r="A105" s="41" t="str">
        <f>+Tabla!A107</f>
        <v/>
      </c>
      <c r="B105" s="44" t="str">
        <f>+Tabla!AK107</f>
        <v/>
      </c>
      <c r="C105" s="42" t="str">
        <f>IF(Tabla!A107="","",(B105/((1+$C$9)^($A105/Parámetros!$D$6))))</f>
        <v/>
      </c>
      <c r="D105" s="43"/>
      <c r="E105" s="41" t="str">
        <f>+Tabla!A107</f>
        <v/>
      </c>
      <c r="F105" s="44" t="str">
        <f>Tabla!AL107</f>
        <v/>
      </c>
      <c r="G105" s="42" t="str">
        <f>IF(Tabla!A107="","",(F105/((1+$G$9)^(CAT!$E105/Pagos_por_año))))</f>
        <v/>
      </c>
      <c r="H105" s="42"/>
      <c r="I105" s="41" t="str">
        <f>+Tabla!A107</f>
        <v/>
      </c>
      <c r="J105" s="44" t="str">
        <f>+Tabla!AA107</f>
        <v/>
      </c>
      <c r="K105" s="42" t="str">
        <f>IF(Tabla!A107="","",(J105/((1+$K$9)^($I105/Parámetros!$D$6))))</f>
        <v/>
      </c>
      <c r="L105" s="43"/>
      <c r="M105" s="41" t="str">
        <f>+Tabla!A107</f>
        <v/>
      </c>
      <c r="N105" s="44" t="str">
        <f>Tabla!AI107</f>
        <v/>
      </c>
      <c r="O105" s="42" t="str">
        <f>IF(Tabla!A107="","",(N105/((1+$O$9)^(CAT!$M105/Pagos_por_año))))</f>
        <v/>
      </c>
      <c r="P105" s="53"/>
      <c r="Q105" s="53"/>
    </row>
    <row r="106" spans="1:17">
      <c r="A106" s="41" t="str">
        <f>+Tabla!A108</f>
        <v/>
      </c>
      <c r="B106" s="44" t="str">
        <f>+Tabla!AK108</f>
        <v/>
      </c>
      <c r="C106" s="42" t="str">
        <f>IF(Tabla!A108="","",(B106/((1+$C$9)^($A106/Parámetros!$D$6))))</f>
        <v/>
      </c>
      <c r="D106" s="43"/>
      <c r="E106" s="41" t="str">
        <f>+Tabla!A108</f>
        <v/>
      </c>
      <c r="F106" s="44" t="str">
        <f>Tabla!AL108</f>
        <v/>
      </c>
      <c r="G106" s="42" t="str">
        <f>IF(Tabla!A108="","",(F106/((1+$G$9)^(CAT!$E106/Pagos_por_año))))</f>
        <v/>
      </c>
      <c r="H106" s="42"/>
      <c r="I106" s="41" t="str">
        <f>+Tabla!A108</f>
        <v/>
      </c>
      <c r="J106" s="44" t="str">
        <f>+Tabla!AA108</f>
        <v/>
      </c>
      <c r="K106" s="42" t="str">
        <f>IF(Tabla!A108="","",(J106/((1+$K$9)^($I106/Parámetros!$D$6))))</f>
        <v/>
      </c>
      <c r="L106" s="43"/>
      <c r="M106" s="41" t="str">
        <f>+Tabla!A108</f>
        <v/>
      </c>
      <c r="N106" s="44" t="str">
        <f>Tabla!AI108</f>
        <v/>
      </c>
      <c r="O106" s="42" t="str">
        <f>IF(Tabla!A108="","",(N106/((1+$O$9)^(CAT!$M106/Pagos_por_año))))</f>
        <v/>
      </c>
      <c r="P106" s="53"/>
      <c r="Q106" s="53"/>
    </row>
    <row r="107" spans="1:17">
      <c r="A107" s="41" t="str">
        <f>+Tabla!A109</f>
        <v/>
      </c>
      <c r="B107" s="44" t="str">
        <f>+Tabla!AK109</f>
        <v/>
      </c>
      <c r="C107" s="42" t="str">
        <f>IF(Tabla!A109="","",(B107/((1+$C$9)^($A107/Parámetros!$D$6))))</f>
        <v/>
      </c>
      <c r="D107" s="43"/>
      <c r="E107" s="41" t="str">
        <f>+Tabla!A109</f>
        <v/>
      </c>
      <c r="F107" s="44" t="str">
        <f>Tabla!AL109</f>
        <v/>
      </c>
      <c r="G107" s="42" t="str">
        <f>IF(Tabla!A109="","",(F107/((1+$G$9)^(CAT!$E107/Pagos_por_año))))</f>
        <v/>
      </c>
      <c r="H107" s="42"/>
      <c r="I107" s="41" t="str">
        <f>+Tabla!A109</f>
        <v/>
      </c>
      <c r="J107" s="44" t="str">
        <f>+Tabla!AA109</f>
        <v/>
      </c>
      <c r="K107" s="42" t="str">
        <f>IF(Tabla!A109="","",(J107/((1+$K$9)^($I107/Parámetros!$D$6))))</f>
        <v/>
      </c>
      <c r="L107" s="43"/>
      <c r="M107" s="41" t="str">
        <f>+Tabla!A109</f>
        <v/>
      </c>
      <c r="N107" s="44" t="str">
        <f>Tabla!AI109</f>
        <v/>
      </c>
      <c r="O107" s="42" t="str">
        <f>IF(Tabla!A109="","",(N107/((1+$O$9)^(CAT!$M107/Pagos_por_año))))</f>
        <v/>
      </c>
      <c r="P107" s="53"/>
      <c r="Q107" s="53"/>
    </row>
    <row r="108" spans="1:17">
      <c r="A108" s="41" t="str">
        <f>+Tabla!A110</f>
        <v/>
      </c>
      <c r="B108" s="44" t="str">
        <f>+Tabla!AK110</f>
        <v/>
      </c>
      <c r="C108" s="42" t="str">
        <f>IF(Tabla!A110="","",(B108/((1+$C$9)^($A108/Parámetros!$D$6))))</f>
        <v/>
      </c>
      <c r="D108" s="43"/>
      <c r="E108" s="41" t="str">
        <f>+Tabla!A110</f>
        <v/>
      </c>
      <c r="F108" s="44" t="str">
        <f>Tabla!AL110</f>
        <v/>
      </c>
      <c r="G108" s="42" t="str">
        <f>IF(Tabla!A110="","",(F108/((1+$G$9)^(CAT!$E108/Pagos_por_año))))</f>
        <v/>
      </c>
      <c r="H108" s="42"/>
      <c r="I108" s="41" t="str">
        <f>+Tabla!A110</f>
        <v/>
      </c>
      <c r="J108" s="44" t="str">
        <f>+Tabla!AA110</f>
        <v/>
      </c>
      <c r="K108" s="42" t="str">
        <f>IF(Tabla!A110="","",(J108/((1+$K$9)^($I108/Parámetros!$D$6))))</f>
        <v/>
      </c>
      <c r="L108" s="43"/>
      <c r="M108" s="41" t="str">
        <f>+Tabla!A110</f>
        <v/>
      </c>
      <c r="N108" s="44" t="str">
        <f>Tabla!AI110</f>
        <v/>
      </c>
      <c r="O108" s="42" t="str">
        <f>IF(Tabla!A110="","",(N108/((1+$O$9)^(CAT!$M108/Pagos_por_año))))</f>
        <v/>
      </c>
      <c r="P108" s="53"/>
      <c r="Q108" s="53"/>
    </row>
    <row r="109" spans="1:17">
      <c r="A109" s="41" t="str">
        <f>+Tabla!A111</f>
        <v/>
      </c>
      <c r="B109" s="44" t="str">
        <f>+Tabla!AK111</f>
        <v/>
      </c>
      <c r="C109" s="42" t="str">
        <f>IF(Tabla!A111="","",(B109/((1+$C$9)^($A109/Parámetros!$D$6))))</f>
        <v/>
      </c>
      <c r="D109" s="43"/>
      <c r="E109" s="41" t="str">
        <f>+Tabla!A111</f>
        <v/>
      </c>
      <c r="F109" s="44" t="str">
        <f>Tabla!AL111</f>
        <v/>
      </c>
      <c r="G109" s="42" t="str">
        <f>IF(Tabla!A111="","",(F109/((1+$G$9)^(CAT!$E109/Pagos_por_año))))</f>
        <v/>
      </c>
      <c r="H109" s="42"/>
      <c r="I109" s="41" t="str">
        <f>+Tabla!A111</f>
        <v/>
      </c>
      <c r="J109" s="44" t="str">
        <f>+Tabla!AA111</f>
        <v/>
      </c>
      <c r="K109" s="42" t="str">
        <f>IF(Tabla!A111="","",(J109/((1+$K$9)^($I109/Parámetros!$D$6))))</f>
        <v/>
      </c>
      <c r="L109" s="43"/>
      <c r="M109" s="41" t="str">
        <f>+Tabla!A111</f>
        <v/>
      </c>
      <c r="N109" s="44" t="str">
        <f>Tabla!AI111</f>
        <v/>
      </c>
      <c r="O109" s="42" t="str">
        <f>IF(Tabla!A111="","",(N109/((1+$O$9)^(CAT!$M109/Pagos_por_año))))</f>
        <v/>
      </c>
      <c r="P109" s="53"/>
      <c r="Q109" s="53"/>
    </row>
    <row r="110" spans="1:17">
      <c r="A110" s="41" t="str">
        <f>+Tabla!A112</f>
        <v/>
      </c>
      <c r="B110" s="44" t="str">
        <f>+Tabla!AK112</f>
        <v/>
      </c>
      <c r="C110" s="42" t="str">
        <f>IF(Tabla!A112="","",(B110/((1+$C$9)^($A110/Parámetros!$D$6))))</f>
        <v/>
      </c>
      <c r="D110" s="43"/>
      <c r="E110" s="41" t="str">
        <f>+Tabla!A112</f>
        <v/>
      </c>
      <c r="F110" s="44" t="str">
        <f>Tabla!AL112</f>
        <v/>
      </c>
      <c r="G110" s="42" t="str">
        <f>IF(Tabla!A112="","",(F110/((1+$G$9)^(CAT!$E110/Pagos_por_año))))</f>
        <v/>
      </c>
      <c r="H110" s="42"/>
      <c r="I110" s="41" t="str">
        <f>+Tabla!A112</f>
        <v/>
      </c>
      <c r="J110" s="44" t="str">
        <f>+Tabla!AA112</f>
        <v/>
      </c>
      <c r="K110" s="42" t="str">
        <f>IF(Tabla!A112="","",(J110/((1+$K$9)^($I110/Parámetros!$D$6))))</f>
        <v/>
      </c>
      <c r="L110" s="43"/>
      <c r="M110" s="41" t="str">
        <f>+Tabla!A112</f>
        <v/>
      </c>
      <c r="N110" s="44" t="str">
        <f>Tabla!AI112</f>
        <v/>
      </c>
      <c r="O110" s="42" t="str">
        <f>IF(Tabla!A112="","",(N110/((1+$O$9)^(CAT!$M110/Pagos_por_año))))</f>
        <v/>
      </c>
      <c r="P110" s="53"/>
      <c r="Q110" s="53"/>
    </row>
    <row r="111" spans="1:17">
      <c r="A111" s="41" t="str">
        <f>+Tabla!A113</f>
        <v/>
      </c>
      <c r="B111" s="44" t="str">
        <f>+Tabla!AK113</f>
        <v/>
      </c>
      <c r="C111" s="42" t="str">
        <f>IF(Tabla!A113="","",(B111/((1+$C$9)^($A111/Parámetros!$D$6))))</f>
        <v/>
      </c>
      <c r="D111" s="43"/>
      <c r="E111" s="41" t="str">
        <f>+Tabla!A113</f>
        <v/>
      </c>
      <c r="F111" s="44" t="str">
        <f>Tabla!AL113</f>
        <v/>
      </c>
      <c r="G111" s="42" t="str">
        <f>IF(Tabla!A113="","",(F111/((1+$G$9)^(CAT!$E111/Pagos_por_año))))</f>
        <v/>
      </c>
      <c r="H111" s="42"/>
      <c r="I111" s="41" t="str">
        <f>+Tabla!A113</f>
        <v/>
      </c>
      <c r="J111" s="44" t="str">
        <f>+Tabla!AA113</f>
        <v/>
      </c>
      <c r="K111" s="42" t="str">
        <f>IF(Tabla!A113="","",(J111/((1+$K$9)^($I111/Parámetros!$D$6))))</f>
        <v/>
      </c>
      <c r="L111" s="43"/>
      <c r="M111" s="41" t="str">
        <f>+Tabla!A113</f>
        <v/>
      </c>
      <c r="N111" s="44" t="str">
        <f>Tabla!AI113</f>
        <v/>
      </c>
      <c r="O111" s="42" t="str">
        <f>IF(Tabla!A113="","",(N111/((1+$O$9)^(CAT!$M111/Pagos_por_año))))</f>
        <v/>
      </c>
      <c r="P111" s="53"/>
      <c r="Q111" s="53"/>
    </row>
    <row r="112" spans="1:17">
      <c r="A112" s="41" t="str">
        <f>+Tabla!A114</f>
        <v/>
      </c>
      <c r="B112" s="44" t="str">
        <f>+Tabla!AK114</f>
        <v/>
      </c>
      <c r="C112" s="42" t="str">
        <f>IF(Tabla!A114="","",(B112/((1+$C$9)^($A112/Parámetros!$D$6))))</f>
        <v/>
      </c>
      <c r="D112" s="43"/>
      <c r="E112" s="41" t="str">
        <f>+Tabla!A114</f>
        <v/>
      </c>
      <c r="F112" s="44" t="str">
        <f>Tabla!AL114</f>
        <v/>
      </c>
      <c r="G112" s="42" t="str">
        <f>IF(Tabla!A114="","",(F112/((1+$G$9)^(CAT!$E112/Pagos_por_año))))</f>
        <v/>
      </c>
      <c r="H112" s="42"/>
      <c r="I112" s="41" t="str">
        <f>+Tabla!A114</f>
        <v/>
      </c>
      <c r="J112" s="44" t="str">
        <f>+Tabla!AA114</f>
        <v/>
      </c>
      <c r="K112" s="42" t="str">
        <f>IF(Tabla!A114="","",(J112/((1+$K$9)^($I112/Parámetros!$D$6))))</f>
        <v/>
      </c>
      <c r="L112" s="43"/>
      <c r="M112" s="41" t="str">
        <f>+Tabla!A114</f>
        <v/>
      </c>
      <c r="N112" s="44" t="str">
        <f>Tabla!AI114</f>
        <v/>
      </c>
      <c r="O112" s="42" t="str">
        <f>IF(Tabla!A114="","",(N112/((1+$O$9)^(CAT!$M112/Pagos_por_año))))</f>
        <v/>
      </c>
      <c r="P112" s="53"/>
      <c r="Q112" s="53"/>
    </row>
    <row r="113" spans="1:17">
      <c r="A113" s="41" t="str">
        <f>+Tabla!A115</f>
        <v/>
      </c>
      <c r="B113" s="44" t="str">
        <f>+Tabla!AK115</f>
        <v/>
      </c>
      <c r="C113" s="42" t="str">
        <f>IF(Tabla!A115="","",(B113/((1+$C$9)^($A113/Parámetros!$D$6))))</f>
        <v/>
      </c>
      <c r="D113" s="43"/>
      <c r="E113" s="41" t="str">
        <f>+Tabla!A115</f>
        <v/>
      </c>
      <c r="F113" s="44" t="str">
        <f>Tabla!AL115</f>
        <v/>
      </c>
      <c r="G113" s="42" t="str">
        <f>IF(Tabla!A115="","",(F113/((1+$G$9)^(CAT!$E113/Pagos_por_año))))</f>
        <v/>
      </c>
      <c r="H113" s="42"/>
      <c r="I113" s="41" t="str">
        <f>+Tabla!A115</f>
        <v/>
      </c>
      <c r="J113" s="44" t="str">
        <f>+Tabla!AA115</f>
        <v/>
      </c>
      <c r="K113" s="42" t="str">
        <f>IF(Tabla!A115="","",(J113/((1+$K$9)^($I113/Parámetros!$D$6))))</f>
        <v/>
      </c>
      <c r="L113" s="43"/>
      <c r="M113" s="41" t="str">
        <f>+Tabla!A115</f>
        <v/>
      </c>
      <c r="N113" s="44" t="str">
        <f>Tabla!AI115</f>
        <v/>
      </c>
      <c r="O113" s="42" t="str">
        <f>IF(Tabla!A115="","",(N113/((1+$O$9)^(CAT!$M113/Pagos_por_año))))</f>
        <v/>
      </c>
      <c r="P113" s="53"/>
      <c r="Q113" s="53"/>
    </row>
    <row r="114" spans="1:17">
      <c r="A114" s="41" t="str">
        <f>+Tabla!A116</f>
        <v/>
      </c>
      <c r="B114" s="44" t="str">
        <f>+Tabla!AK116</f>
        <v/>
      </c>
      <c r="C114" s="42" t="str">
        <f>IF(Tabla!A116="","",(B114/((1+$C$9)^($A114/Parámetros!$D$6))))</f>
        <v/>
      </c>
      <c r="D114" s="43"/>
      <c r="E114" s="41" t="str">
        <f>+Tabla!A116</f>
        <v/>
      </c>
      <c r="F114" s="44" t="str">
        <f>Tabla!AL116</f>
        <v/>
      </c>
      <c r="G114" s="42" t="str">
        <f>IF(Tabla!A116="","",(F114/((1+$G$9)^(CAT!$E114/Pagos_por_año))))</f>
        <v/>
      </c>
      <c r="H114" s="42"/>
      <c r="I114" s="41" t="str">
        <f>+Tabla!A116</f>
        <v/>
      </c>
      <c r="J114" s="44" t="str">
        <f>+Tabla!AA116</f>
        <v/>
      </c>
      <c r="K114" s="42" t="str">
        <f>IF(Tabla!A116="","",(J114/((1+$K$9)^($I114/Parámetros!$D$6))))</f>
        <v/>
      </c>
      <c r="L114" s="43"/>
      <c r="M114" s="41" t="str">
        <f>+Tabla!A116</f>
        <v/>
      </c>
      <c r="N114" s="44" t="str">
        <f>Tabla!AI116</f>
        <v/>
      </c>
      <c r="O114" s="42" t="str">
        <f>IF(Tabla!A116="","",(N114/((1+$O$9)^(CAT!$M114/Pagos_por_año))))</f>
        <v/>
      </c>
      <c r="P114" s="53"/>
      <c r="Q114" s="53"/>
    </row>
    <row r="115" spans="1:17">
      <c r="A115" s="41" t="str">
        <f>+Tabla!A117</f>
        <v/>
      </c>
      <c r="B115" s="44" t="str">
        <f>+Tabla!AK117</f>
        <v/>
      </c>
      <c r="C115" s="42" t="str">
        <f>IF(Tabla!A117="","",(B115/((1+$C$9)^($A115/Parámetros!$D$6))))</f>
        <v/>
      </c>
      <c r="D115" s="43"/>
      <c r="E115" s="41" t="str">
        <f>+Tabla!A117</f>
        <v/>
      </c>
      <c r="F115" s="44" t="str">
        <f>Tabla!AL117</f>
        <v/>
      </c>
      <c r="G115" s="42" t="str">
        <f>IF(Tabla!A117="","",(F115/((1+$G$9)^(CAT!$E115/Pagos_por_año))))</f>
        <v/>
      </c>
      <c r="H115" s="42"/>
      <c r="I115" s="41" t="str">
        <f>+Tabla!A117</f>
        <v/>
      </c>
      <c r="J115" s="44" t="str">
        <f>+Tabla!AA117</f>
        <v/>
      </c>
      <c r="K115" s="42" t="str">
        <f>IF(Tabla!A117="","",(J115/((1+$K$9)^($I115/Parámetros!$D$6))))</f>
        <v/>
      </c>
      <c r="L115" s="43"/>
      <c r="M115" s="41" t="str">
        <f>+Tabla!A117</f>
        <v/>
      </c>
      <c r="N115" s="44" t="str">
        <f>Tabla!AI117</f>
        <v/>
      </c>
      <c r="O115" s="42" t="str">
        <f>IF(Tabla!A117="","",(N115/((1+$O$9)^(CAT!$M115/Pagos_por_año))))</f>
        <v/>
      </c>
      <c r="P115" s="53"/>
      <c r="Q115" s="53"/>
    </row>
    <row r="116" spans="1:17">
      <c r="A116" s="41" t="str">
        <f>+Tabla!A118</f>
        <v/>
      </c>
      <c r="B116" s="44" t="str">
        <f>+Tabla!AK118</f>
        <v/>
      </c>
      <c r="C116" s="42" t="str">
        <f>IF(Tabla!A118="","",(B116/((1+$C$9)^($A116/Parámetros!$D$6))))</f>
        <v/>
      </c>
      <c r="D116" s="43"/>
      <c r="E116" s="41" t="str">
        <f>+Tabla!A118</f>
        <v/>
      </c>
      <c r="F116" s="44" t="str">
        <f>Tabla!AL118</f>
        <v/>
      </c>
      <c r="G116" s="42" t="str">
        <f>IF(Tabla!A118="","",(F116/((1+$G$9)^(CAT!$E116/Pagos_por_año))))</f>
        <v/>
      </c>
      <c r="H116" s="42"/>
      <c r="I116" s="41" t="str">
        <f>+Tabla!A118</f>
        <v/>
      </c>
      <c r="J116" s="44" t="str">
        <f>+Tabla!AA118</f>
        <v/>
      </c>
      <c r="K116" s="42" t="str">
        <f>IF(Tabla!A118="","",(J116/((1+$K$9)^($I116/Parámetros!$D$6))))</f>
        <v/>
      </c>
      <c r="L116" s="43"/>
      <c r="M116" s="41" t="str">
        <f>+Tabla!A118</f>
        <v/>
      </c>
      <c r="N116" s="44" t="str">
        <f>Tabla!AI118</f>
        <v/>
      </c>
      <c r="O116" s="42" t="str">
        <f>IF(Tabla!A118="","",(N116/((1+$O$9)^(CAT!$M116/Pagos_por_año))))</f>
        <v/>
      </c>
      <c r="P116" s="53"/>
      <c r="Q116" s="53"/>
    </row>
    <row r="117" spans="1:17">
      <c r="A117" s="41" t="str">
        <f>+Tabla!A119</f>
        <v/>
      </c>
      <c r="B117" s="44" t="str">
        <f>+Tabla!AK119</f>
        <v/>
      </c>
      <c r="C117" s="42" t="str">
        <f>IF(Tabla!A119="","",(B117/((1+$C$9)^($A117/Parámetros!$D$6))))</f>
        <v/>
      </c>
      <c r="D117" s="43"/>
      <c r="E117" s="41" t="str">
        <f>+Tabla!A119</f>
        <v/>
      </c>
      <c r="F117" s="44" t="str">
        <f>Tabla!AL119</f>
        <v/>
      </c>
      <c r="G117" s="42" t="str">
        <f>IF(Tabla!A119="","",(F117/((1+$G$9)^(CAT!$E117/Pagos_por_año))))</f>
        <v/>
      </c>
      <c r="H117" s="42"/>
      <c r="I117" s="41" t="str">
        <f>+Tabla!A119</f>
        <v/>
      </c>
      <c r="J117" s="44" t="str">
        <f>+Tabla!AA119</f>
        <v/>
      </c>
      <c r="K117" s="42" t="str">
        <f>IF(Tabla!A119="","",(J117/((1+$K$9)^($I117/Parámetros!$D$6))))</f>
        <v/>
      </c>
      <c r="L117" s="43"/>
      <c r="M117" s="41" t="str">
        <f>+Tabla!A119</f>
        <v/>
      </c>
      <c r="N117" s="44" t="str">
        <f>Tabla!AI119</f>
        <v/>
      </c>
      <c r="O117" s="42" t="str">
        <f>IF(Tabla!A119="","",(N117/((1+$O$9)^(CAT!$M117/Pagos_por_año))))</f>
        <v/>
      </c>
      <c r="P117" s="53"/>
      <c r="Q117" s="53"/>
    </row>
    <row r="118" spans="1:17">
      <c r="A118" s="41" t="str">
        <f>+Tabla!A120</f>
        <v/>
      </c>
      <c r="B118" s="44" t="str">
        <f>+Tabla!AK120</f>
        <v/>
      </c>
      <c r="C118" s="42" t="str">
        <f>IF(Tabla!A120="","",(B118/((1+$C$9)^($A118/Parámetros!$D$6))))</f>
        <v/>
      </c>
      <c r="D118" s="43"/>
      <c r="E118" s="41" t="str">
        <f>+Tabla!A120</f>
        <v/>
      </c>
      <c r="F118" s="44" t="str">
        <f>Tabla!AL120</f>
        <v/>
      </c>
      <c r="G118" s="42" t="str">
        <f>IF(Tabla!A120="","",(F118/((1+$G$9)^(CAT!$E118/Pagos_por_año))))</f>
        <v/>
      </c>
      <c r="H118" s="42"/>
      <c r="I118" s="41" t="str">
        <f>+Tabla!A120</f>
        <v/>
      </c>
      <c r="J118" s="44" t="str">
        <f>+Tabla!AA120</f>
        <v/>
      </c>
      <c r="K118" s="42" t="str">
        <f>IF(Tabla!A120="","",(J118/((1+$K$9)^($I118/Parámetros!$D$6))))</f>
        <v/>
      </c>
      <c r="L118" s="43"/>
      <c r="M118" s="41" t="str">
        <f>+Tabla!A120</f>
        <v/>
      </c>
      <c r="N118" s="44" t="str">
        <f>Tabla!AI120</f>
        <v/>
      </c>
      <c r="O118" s="42" t="str">
        <f>IF(Tabla!A120="","",(N118/((1+$O$9)^(CAT!$M118/Pagos_por_año))))</f>
        <v/>
      </c>
      <c r="P118" s="53"/>
      <c r="Q118" s="53"/>
    </row>
    <row r="119" spans="1:17">
      <c r="A119" s="41" t="str">
        <f>+Tabla!A121</f>
        <v/>
      </c>
      <c r="B119" s="44" t="str">
        <f>+Tabla!AK121</f>
        <v/>
      </c>
      <c r="C119" s="42" t="str">
        <f>IF(Tabla!A121="","",(B119/((1+$C$9)^($A119/Parámetros!$D$6))))</f>
        <v/>
      </c>
      <c r="D119" s="43"/>
      <c r="E119" s="41" t="str">
        <f>+Tabla!A121</f>
        <v/>
      </c>
      <c r="F119" s="44" t="str">
        <f>Tabla!AL121</f>
        <v/>
      </c>
      <c r="G119" s="42" t="str">
        <f>IF(Tabla!A121="","",(F119/((1+$G$9)^(CAT!$E119/Pagos_por_año))))</f>
        <v/>
      </c>
      <c r="H119" s="42"/>
      <c r="I119" s="41" t="str">
        <f>+Tabla!A121</f>
        <v/>
      </c>
      <c r="J119" s="44" t="str">
        <f>+Tabla!AA121</f>
        <v/>
      </c>
      <c r="K119" s="42" t="str">
        <f>IF(Tabla!A121="","",(J119/((1+$K$9)^($I119/Parámetros!$D$6))))</f>
        <v/>
      </c>
      <c r="L119" s="43"/>
      <c r="M119" s="41" t="str">
        <f>+Tabla!A121</f>
        <v/>
      </c>
      <c r="N119" s="44" t="str">
        <f>Tabla!AI121</f>
        <v/>
      </c>
      <c r="O119" s="42" t="str">
        <f>IF(Tabla!A121="","",(N119/((1+$O$9)^(CAT!$M119/Pagos_por_año))))</f>
        <v/>
      </c>
      <c r="P119" s="53"/>
      <c r="Q119" s="53"/>
    </row>
    <row r="120" spans="1:17">
      <c r="A120" s="41" t="str">
        <f>+Tabla!A122</f>
        <v/>
      </c>
      <c r="B120" s="44" t="str">
        <f>+Tabla!AK122</f>
        <v/>
      </c>
      <c r="C120" s="42" t="str">
        <f>IF(Tabla!A122="","",(B120/((1+$C$9)^($A120/Parámetros!$D$6))))</f>
        <v/>
      </c>
      <c r="D120" s="43"/>
      <c r="E120" s="41" t="str">
        <f>+Tabla!A122</f>
        <v/>
      </c>
      <c r="F120" s="44" t="str">
        <f>Tabla!AL122</f>
        <v/>
      </c>
      <c r="G120" s="42" t="str">
        <f>IF(Tabla!A122="","",(F120/((1+$G$9)^(CAT!$E120/Pagos_por_año))))</f>
        <v/>
      </c>
      <c r="H120" s="42"/>
      <c r="I120" s="41" t="str">
        <f>+Tabla!A122</f>
        <v/>
      </c>
      <c r="J120" s="44" t="str">
        <f>+Tabla!AA122</f>
        <v/>
      </c>
      <c r="K120" s="42" t="str">
        <f>IF(Tabla!A122="","",(J120/((1+$K$9)^($I120/Parámetros!$D$6))))</f>
        <v/>
      </c>
      <c r="L120" s="43"/>
      <c r="M120" s="41" t="str">
        <f>+Tabla!A122</f>
        <v/>
      </c>
      <c r="N120" s="44" t="str">
        <f>Tabla!AI122</f>
        <v/>
      </c>
      <c r="O120" s="42" t="str">
        <f>IF(Tabla!A122="","",(N120/((1+$O$9)^(CAT!$M120/Pagos_por_año))))</f>
        <v/>
      </c>
      <c r="P120" s="53"/>
      <c r="Q120" s="53"/>
    </row>
    <row r="121" spans="1:17">
      <c r="A121" s="41" t="str">
        <f>+Tabla!A123</f>
        <v/>
      </c>
      <c r="B121" s="44" t="str">
        <f>+Tabla!AK123</f>
        <v/>
      </c>
      <c r="C121" s="42" t="str">
        <f>IF(Tabla!A123="","",(B121/((1+$C$9)^($A121/Parámetros!$D$6))))</f>
        <v/>
      </c>
      <c r="D121" s="43"/>
      <c r="E121" s="41" t="str">
        <f>+Tabla!A123</f>
        <v/>
      </c>
      <c r="F121" s="44" t="str">
        <f>Tabla!AL123</f>
        <v/>
      </c>
      <c r="G121" s="42" t="str">
        <f>IF(Tabla!A123="","",(F121/((1+$G$9)^(CAT!$E121/Pagos_por_año))))</f>
        <v/>
      </c>
      <c r="H121" s="42"/>
      <c r="I121" s="41" t="str">
        <f>+Tabla!A123</f>
        <v/>
      </c>
      <c r="J121" s="44" t="str">
        <f>+Tabla!AA123</f>
        <v/>
      </c>
      <c r="K121" s="42" t="str">
        <f>IF(Tabla!A123="","",(J121/((1+$K$9)^($I121/Parámetros!$D$6))))</f>
        <v/>
      </c>
      <c r="L121" s="43"/>
      <c r="M121" s="41" t="str">
        <f>+Tabla!A123</f>
        <v/>
      </c>
      <c r="N121" s="44" t="str">
        <f>Tabla!AI123</f>
        <v/>
      </c>
      <c r="O121" s="42" t="str">
        <f>IF(Tabla!A123="","",(N121/((1+$O$9)^(CAT!$M121/Pagos_por_año))))</f>
        <v/>
      </c>
      <c r="P121" s="53"/>
      <c r="Q121" s="53"/>
    </row>
    <row r="122" spans="1:17">
      <c r="A122" s="41" t="str">
        <f>+Tabla!A124</f>
        <v/>
      </c>
      <c r="B122" s="44" t="str">
        <f>+Tabla!AK124</f>
        <v/>
      </c>
      <c r="C122" s="42" t="str">
        <f>IF(Tabla!A124="","",(B122/((1+$C$9)^($A122/Parámetros!$D$6))))</f>
        <v/>
      </c>
      <c r="D122" s="43"/>
      <c r="E122" s="41" t="str">
        <f>+Tabla!A124</f>
        <v/>
      </c>
      <c r="F122" s="44" t="str">
        <f>Tabla!AL124</f>
        <v/>
      </c>
      <c r="G122" s="42" t="str">
        <f>IF(Tabla!A124="","",(F122/((1+$G$9)^(CAT!$E122/Pagos_por_año))))</f>
        <v/>
      </c>
      <c r="H122" s="42"/>
      <c r="I122" s="41" t="str">
        <f>+Tabla!A124</f>
        <v/>
      </c>
      <c r="J122" s="44" t="str">
        <f>+Tabla!AA124</f>
        <v/>
      </c>
      <c r="K122" s="42" t="str">
        <f>IF(Tabla!A124="","",(J122/((1+$K$9)^($I122/Parámetros!$D$6))))</f>
        <v/>
      </c>
      <c r="L122" s="43"/>
      <c r="M122" s="41" t="str">
        <f>+Tabla!A124</f>
        <v/>
      </c>
      <c r="N122" s="44" t="str">
        <f>Tabla!AI124</f>
        <v/>
      </c>
      <c r="O122" s="42" t="str">
        <f>IF(Tabla!A124="","",(N122/((1+$O$9)^(CAT!$M122/Pagos_por_año))))</f>
        <v/>
      </c>
      <c r="P122" s="53"/>
      <c r="Q122" s="53"/>
    </row>
    <row r="123" spans="1:17">
      <c r="A123" s="41" t="str">
        <f>+Tabla!A125</f>
        <v/>
      </c>
      <c r="B123" s="44" t="str">
        <f>+Tabla!AK125</f>
        <v/>
      </c>
      <c r="C123" s="42" t="str">
        <f>IF(Tabla!A125="","",(B123/((1+$C$9)^($A123/Parámetros!$D$6))))</f>
        <v/>
      </c>
      <c r="D123" s="43"/>
      <c r="E123" s="41" t="str">
        <f>+Tabla!A125</f>
        <v/>
      </c>
      <c r="F123" s="44" t="str">
        <f>Tabla!AL125</f>
        <v/>
      </c>
      <c r="G123" s="42" t="str">
        <f>IF(Tabla!A125="","",(F123/((1+$G$9)^(CAT!$E123/Pagos_por_año))))</f>
        <v/>
      </c>
      <c r="H123" s="42"/>
      <c r="I123" s="41" t="str">
        <f>+Tabla!A125</f>
        <v/>
      </c>
      <c r="J123" s="44" t="str">
        <f>+Tabla!AA125</f>
        <v/>
      </c>
      <c r="K123" s="42" t="str">
        <f>IF(Tabla!A125="","",(J123/((1+$K$9)^($I123/Parámetros!$D$6))))</f>
        <v/>
      </c>
      <c r="L123" s="43"/>
      <c r="M123" s="41" t="str">
        <f>+Tabla!A125</f>
        <v/>
      </c>
      <c r="N123" s="44" t="str">
        <f>Tabla!AI125</f>
        <v/>
      </c>
      <c r="O123" s="42" t="str">
        <f>IF(Tabla!A125="","",(N123/((1+$O$9)^(CAT!$M123/Pagos_por_año))))</f>
        <v/>
      </c>
      <c r="P123" s="53"/>
      <c r="Q123" s="53"/>
    </row>
    <row r="124" spans="1:17">
      <c r="A124" s="41" t="str">
        <f>+Tabla!A126</f>
        <v/>
      </c>
      <c r="B124" s="44" t="str">
        <f>+Tabla!AK126</f>
        <v/>
      </c>
      <c r="C124" s="42" t="str">
        <f>IF(Tabla!A126="","",(B124/((1+$C$9)^($A124/Parámetros!$D$6))))</f>
        <v/>
      </c>
      <c r="D124" s="43"/>
      <c r="E124" s="41" t="str">
        <f>+Tabla!A126</f>
        <v/>
      </c>
      <c r="F124" s="44" t="str">
        <f>Tabla!AL126</f>
        <v/>
      </c>
      <c r="G124" s="42" t="str">
        <f>IF(Tabla!A126="","",(F124/((1+$G$9)^(CAT!$E124/Pagos_por_año))))</f>
        <v/>
      </c>
      <c r="H124" s="42"/>
      <c r="I124" s="41" t="str">
        <f>+Tabla!A126</f>
        <v/>
      </c>
      <c r="J124" s="44" t="str">
        <f>+Tabla!AA126</f>
        <v/>
      </c>
      <c r="K124" s="42" t="str">
        <f>IF(Tabla!A126="","",(J124/((1+$K$9)^($I124/Parámetros!$D$6))))</f>
        <v/>
      </c>
      <c r="L124" s="43"/>
      <c r="M124" s="41" t="str">
        <f>+Tabla!A126</f>
        <v/>
      </c>
      <c r="N124" s="44" t="str">
        <f>Tabla!AI126</f>
        <v/>
      </c>
      <c r="O124" s="42" t="str">
        <f>IF(Tabla!A126="","",(N124/((1+$O$9)^(CAT!$M124/Pagos_por_año))))</f>
        <v/>
      </c>
      <c r="P124" s="53"/>
      <c r="Q124" s="53"/>
    </row>
    <row r="125" spans="1:17">
      <c r="A125" s="41" t="str">
        <f>+Tabla!A127</f>
        <v/>
      </c>
      <c r="B125" s="44" t="str">
        <f>+Tabla!AK127</f>
        <v/>
      </c>
      <c r="C125" s="42" t="str">
        <f>IF(Tabla!A127="","",(B125/((1+$C$9)^($A125/Parámetros!$D$6))))</f>
        <v/>
      </c>
      <c r="D125" s="43"/>
      <c r="E125" s="41" t="str">
        <f>+Tabla!A127</f>
        <v/>
      </c>
      <c r="F125" s="44" t="str">
        <f>Tabla!AL127</f>
        <v/>
      </c>
      <c r="G125" s="42" t="str">
        <f>IF(Tabla!A127="","",(F125/((1+$G$9)^(CAT!$E125/Pagos_por_año))))</f>
        <v/>
      </c>
      <c r="H125" s="42"/>
      <c r="I125" s="41" t="str">
        <f>+Tabla!A127</f>
        <v/>
      </c>
      <c r="J125" s="44" t="str">
        <f>+Tabla!AA127</f>
        <v/>
      </c>
      <c r="K125" s="42" t="str">
        <f>IF(Tabla!A127="","",(J125/((1+$K$9)^($I125/Parámetros!$D$6))))</f>
        <v/>
      </c>
      <c r="L125" s="43"/>
      <c r="M125" s="41" t="str">
        <f>+Tabla!A127</f>
        <v/>
      </c>
      <c r="N125" s="44" t="str">
        <f>Tabla!AI127</f>
        <v/>
      </c>
      <c r="O125" s="42" t="str">
        <f>IF(Tabla!A127="","",(N125/((1+$O$9)^(CAT!$M125/Pagos_por_año))))</f>
        <v/>
      </c>
      <c r="P125" s="53"/>
      <c r="Q125" s="53"/>
    </row>
    <row r="126" spans="1:17">
      <c r="A126" s="41" t="str">
        <f>+Tabla!A128</f>
        <v/>
      </c>
      <c r="B126" s="44" t="str">
        <f>+Tabla!AK128</f>
        <v/>
      </c>
      <c r="C126" s="42" t="str">
        <f>IF(Tabla!A128="","",(B126/((1+$C$9)^($A126/Parámetros!$D$6))))</f>
        <v/>
      </c>
      <c r="D126" s="43"/>
      <c r="E126" s="41" t="str">
        <f>+Tabla!A128</f>
        <v/>
      </c>
      <c r="F126" s="44" t="str">
        <f>Tabla!AL128</f>
        <v/>
      </c>
      <c r="G126" s="42" t="str">
        <f>IF(Tabla!A128="","",(F126/((1+$G$9)^(CAT!$E126/Pagos_por_año))))</f>
        <v/>
      </c>
      <c r="H126" s="42"/>
      <c r="I126" s="41" t="str">
        <f>+Tabla!A128</f>
        <v/>
      </c>
      <c r="J126" s="44" t="str">
        <f>+Tabla!AA128</f>
        <v/>
      </c>
      <c r="K126" s="42" t="str">
        <f>IF(Tabla!A128="","",(J126/((1+$K$9)^($I126/Parámetros!$D$6))))</f>
        <v/>
      </c>
      <c r="L126" s="43"/>
      <c r="M126" s="41" t="str">
        <f>+Tabla!A128</f>
        <v/>
      </c>
      <c r="N126" s="44" t="str">
        <f>Tabla!AI128</f>
        <v/>
      </c>
      <c r="O126" s="42" t="str">
        <f>IF(Tabla!A128="","",(N126/((1+$O$9)^(CAT!$M126/Pagos_por_año))))</f>
        <v/>
      </c>
      <c r="P126" s="53"/>
      <c r="Q126" s="53"/>
    </row>
    <row r="127" spans="1:17">
      <c r="A127" s="41" t="str">
        <f>+Tabla!A129</f>
        <v/>
      </c>
      <c r="B127" s="44" t="str">
        <f>+Tabla!AK129</f>
        <v/>
      </c>
      <c r="C127" s="42" t="str">
        <f>IF(Tabla!A129="","",(B127/((1+$C$9)^($A127/Parámetros!$D$6))))</f>
        <v/>
      </c>
      <c r="D127" s="43"/>
      <c r="E127" s="41" t="str">
        <f>+Tabla!A129</f>
        <v/>
      </c>
      <c r="F127" s="44" t="str">
        <f>Tabla!AL129</f>
        <v/>
      </c>
      <c r="G127" s="42" t="str">
        <f>IF(Tabla!A129="","",(F127/((1+$G$9)^(CAT!$E127/Pagos_por_año))))</f>
        <v/>
      </c>
      <c r="H127" s="42"/>
      <c r="I127" s="41" t="str">
        <f>+Tabla!A129</f>
        <v/>
      </c>
      <c r="J127" s="44" t="str">
        <f>+Tabla!AA129</f>
        <v/>
      </c>
      <c r="K127" s="42" t="str">
        <f>IF(Tabla!A129="","",(J127/((1+$K$9)^($I127/Parámetros!$D$6))))</f>
        <v/>
      </c>
      <c r="L127" s="43"/>
      <c r="M127" s="41" t="str">
        <f>+Tabla!A129</f>
        <v/>
      </c>
      <c r="N127" s="44" t="str">
        <f>Tabla!AI129</f>
        <v/>
      </c>
      <c r="O127" s="42" t="str">
        <f>IF(Tabla!A129="","",(N127/((1+$O$9)^(CAT!$M127/Pagos_por_año))))</f>
        <v/>
      </c>
      <c r="P127" s="53"/>
      <c r="Q127" s="53"/>
    </row>
    <row r="128" spans="1:17">
      <c r="A128" s="41" t="str">
        <f>+Tabla!A130</f>
        <v/>
      </c>
      <c r="B128" s="44" t="str">
        <f>+Tabla!AK130</f>
        <v/>
      </c>
      <c r="C128" s="42" t="str">
        <f>IF(Tabla!A130="","",(B128/((1+$C$9)^($A128/Parámetros!$D$6))))</f>
        <v/>
      </c>
      <c r="D128" s="43"/>
      <c r="E128" s="41" t="str">
        <f>+Tabla!A130</f>
        <v/>
      </c>
      <c r="F128" s="44" t="str">
        <f>Tabla!AL130</f>
        <v/>
      </c>
      <c r="G128" s="42" t="str">
        <f>IF(Tabla!A130="","",(F128/((1+$G$9)^(CAT!$E128/Pagos_por_año))))</f>
        <v/>
      </c>
      <c r="H128" s="42"/>
      <c r="I128" s="41" t="str">
        <f>+Tabla!A130</f>
        <v/>
      </c>
      <c r="J128" s="44" t="str">
        <f>+Tabla!AA130</f>
        <v/>
      </c>
      <c r="K128" s="42" t="str">
        <f>IF(Tabla!A130="","",(J128/((1+$K$9)^($I128/Parámetros!$D$6))))</f>
        <v/>
      </c>
      <c r="L128" s="43"/>
      <c r="M128" s="41" t="str">
        <f>+Tabla!A130</f>
        <v/>
      </c>
      <c r="N128" s="44" t="str">
        <f>Tabla!AI130</f>
        <v/>
      </c>
      <c r="O128" s="42" t="str">
        <f>IF(Tabla!A130="","",(N128/((1+$O$9)^(CAT!$M128/Pagos_por_año))))</f>
        <v/>
      </c>
      <c r="P128" s="53"/>
      <c r="Q128" s="53"/>
    </row>
    <row r="129" spans="1:17">
      <c r="A129" s="41" t="str">
        <f>+Tabla!A131</f>
        <v/>
      </c>
      <c r="B129" s="44" t="str">
        <f>+Tabla!AK131</f>
        <v/>
      </c>
      <c r="C129" s="42" t="str">
        <f>IF(Tabla!A131="","",(B129/((1+$C$9)^($A129/Parámetros!$D$6))))</f>
        <v/>
      </c>
      <c r="D129" s="43"/>
      <c r="E129" s="41" t="str">
        <f>+Tabla!A131</f>
        <v/>
      </c>
      <c r="F129" s="44" t="str">
        <f>Tabla!AL131</f>
        <v/>
      </c>
      <c r="G129" s="42" t="str">
        <f>IF(Tabla!A131="","",(F129/((1+$G$9)^(CAT!$E129/Pagos_por_año))))</f>
        <v/>
      </c>
      <c r="H129" s="42"/>
      <c r="I129" s="41" t="str">
        <f>+Tabla!A131</f>
        <v/>
      </c>
      <c r="J129" s="44" t="str">
        <f>+Tabla!AA131</f>
        <v/>
      </c>
      <c r="K129" s="42" t="str">
        <f>IF(Tabla!A131="","",(J129/((1+$K$9)^($I129/Parámetros!$D$6))))</f>
        <v/>
      </c>
      <c r="L129" s="43"/>
      <c r="M129" s="41" t="str">
        <f>+Tabla!A131</f>
        <v/>
      </c>
      <c r="N129" s="44" t="str">
        <f>Tabla!AI131</f>
        <v/>
      </c>
      <c r="O129" s="42" t="str">
        <f>IF(Tabla!A131="","",(N129/((1+$O$9)^(CAT!$M129/Pagos_por_año))))</f>
        <v/>
      </c>
      <c r="P129" s="53"/>
      <c r="Q129" s="53"/>
    </row>
    <row r="130" spans="1:17">
      <c r="A130" s="41" t="str">
        <f>+Tabla!A132</f>
        <v/>
      </c>
      <c r="B130" s="44" t="str">
        <f>+Tabla!AK132</f>
        <v/>
      </c>
      <c r="C130" s="42" t="str">
        <f>IF(Tabla!A132="","",(B130/((1+$C$9)^($A130/Parámetros!$D$6))))</f>
        <v/>
      </c>
      <c r="D130" s="43"/>
      <c r="E130" s="41" t="str">
        <f>+Tabla!A132</f>
        <v/>
      </c>
      <c r="F130" s="44" t="str">
        <f>Tabla!AL132</f>
        <v/>
      </c>
      <c r="G130" s="42" t="str">
        <f>IF(Tabla!A132="","",(F130/((1+$G$9)^(CAT!$E130/Pagos_por_año))))</f>
        <v/>
      </c>
      <c r="H130" s="42"/>
      <c r="I130" s="41" t="str">
        <f>+Tabla!A132</f>
        <v/>
      </c>
      <c r="J130" s="44" t="str">
        <f>+Tabla!AA132</f>
        <v/>
      </c>
      <c r="K130" s="42" t="str">
        <f>IF(Tabla!A132="","",(J130/((1+$K$9)^($I130/Parámetros!$D$6))))</f>
        <v/>
      </c>
      <c r="L130" s="43"/>
      <c r="M130" s="41" t="str">
        <f>+Tabla!A132</f>
        <v/>
      </c>
      <c r="N130" s="44" t="str">
        <f>Tabla!AI132</f>
        <v/>
      </c>
      <c r="O130" s="42" t="str">
        <f>IF(Tabla!A132="","",(N130/((1+$O$9)^(CAT!$M130/Pagos_por_año))))</f>
        <v/>
      </c>
      <c r="P130" s="53"/>
      <c r="Q130" s="53"/>
    </row>
    <row r="131" spans="1:17">
      <c r="A131" s="41" t="str">
        <f>+Tabla!A133</f>
        <v/>
      </c>
      <c r="B131" s="44" t="str">
        <f>+Tabla!AK133</f>
        <v/>
      </c>
      <c r="C131" s="42" t="str">
        <f>IF(Tabla!A133="","",(B131/((1+$C$9)^($A131/Parámetros!$D$6))))</f>
        <v/>
      </c>
      <c r="D131" s="43"/>
      <c r="E131" s="41" t="str">
        <f>+Tabla!A133</f>
        <v/>
      </c>
      <c r="F131" s="44" t="str">
        <f>Tabla!AL133</f>
        <v/>
      </c>
      <c r="G131" s="42" t="str">
        <f>IF(Tabla!A133="","",(F131/((1+$G$9)^(CAT!$E131/Pagos_por_año))))</f>
        <v/>
      </c>
      <c r="H131" s="42"/>
      <c r="I131" s="41" t="str">
        <f>+Tabla!A133</f>
        <v/>
      </c>
      <c r="J131" s="44" t="str">
        <f>+Tabla!AA133</f>
        <v/>
      </c>
      <c r="K131" s="42" t="str">
        <f>IF(Tabla!A133="","",(J131/((1+$K$9)^($I131/Parámetros!$D$6))))</f>
        <v/>
      </c>
      <c r="L131" s="43"/>
      <c r="M131" s="41" t="str">
        <f>+Tabla!A133</f>
        <v/>
      </c>
      <c r="N131" s="44" t="str">
        <f>Tabla!AI133</f>
        <v/>
      </c>
      <c r="O131" s="42" t="str">
        <f>IF(Tabla!A133="","",(N131/((1+$O$9)^(CAT!$M131/Pagos_por_año))))</f>
        <v/>
      </c>
      <c r="P131" s="53"/>
      <c r="Q131" s="53"/>
    </row>
    <row r="132" spans="1:17">
      <c r="A132" s="41" t="str">
        <f>+Tabla!A134</f>
        <v/>
      </c>
      <c r="B132" s="44" t="str">
        <f>+Tabla!AK134</f>
        <v/>
      </c>
      <c r="C132" s="42" t="str">
        <f>IF(Tabla!A134="","",(B132/((1+$C$9)^($A132/Parámetros!$D$6))))</f>
        <v/>
      </c>
      <c r="D132" s="43"/>
      <c r="E132" s="41" t="str">
        <f>+Tabla!A134</f>
        <v/>
      </c>
      <c r="F132" s="44" t="str">
        <f>Tabla!AL134</f>
        <v/>
      </c>
      <c r="G132" s="42" t="str">
        <f>IF(Tabla!A134="","",(F132/((1+$G$9)^(CAT!$E132/Pagos_por_año))))</f>
        <v/>
      </c>
      <c r="H132" s="42"/>
      <c r="I132" s="41" t="str">
        <f>+Tabla!A134</f>
        <v/>
      </c>
      <c r="J132" s="44" t="str">
        <f>+Tabla!AA134</f>
        <v/>
      </c>
      <c r="K132" s="42" t="str">
        <f>IF(Tabla!A134="","",(J132/((1+$K$9)^($I132/Parámetros!$D$6))))</f>
        <v/>
      </c>
      <c r="L132" s="43"/>
      <c r="M132" s="41" t="str">
        <f>+Tabla!A134</f>
        <v/>
      </c>
      <c r="N132" s="44" t="str">
        <f>Tabla!AI134</f>
        <v/>
      </c>
      <c r="O132" s="42" t="str">
        <f>IF(Tabla!A134="","",(N132/((1+$O$9)^(CAT!$M132/Pagos_por_año))))</f>
        <v/>
      </c>
      <c r="P132" s="53"/>
      <c r="Q132" s="53"/>
    </row>
    <row r="133" spans="1:17">
      <c r="A133" s="41" t="str">
        <f>+Tabla!A135</f>
        <v/>
      </c>
      <c r="B133" s="44" t="str">
        <f>+Tabla!AK135</f>
        <v/>
      </c>
      <c r="C133" s="42" t="str">
        <f>IF(Tabla!A135="","",(B133/((1+$C$9)^($A133/Parámetros!$D$6))))</f>
        <v/>
      </c>
      <c r="D133" s="43"/>
      <c r="E133" s="41" t="str">
        <f>+Tabla!A135</f>
        <v/>
      </c>
      <c r="F133" s="44" t="str">
        <f>Tabla!AL135</f>
        <v/>
      </c>
      <c r="G133" s="42" t="str">
        <f>IF(Tabla!A135="","",(F133/((1+$G$9)^(CAT!$E133/Pagos_por_año))))</f>
        <v/>
      </c>
      <c r="H133" s="42"/>
      <c r="I133" s="41" t="str">
        <f>+Tabla!A135</f>
        <v/>
      </c>
      <c r="J133" s="44" t="str">
        <f>+Tabla!AA135</f>
        <v/>
      </c>
      <c r="K133" s="42" t="str">
        <f>IF(Tabla!A135="","",(J133/((1+$K$9)^($I133/Parámetros!$D$6))))</f>
        <v/>
      </c>
      <c r="L133" s="43"/>
      <c r="M133" s="41" t="str">
        <f>+Tabla!A135</f>
        <v/>
      </c>
      <c r="N133" s="44" t="str">
        <f>Tabla!AI135</f>
        <v/>
      </c>
      <c r="O133" s="42" t="str">
        <f>IF(Tabla!A135="","",(N133/((1+$O$9)^(CAT!$M133/Pagos_por_año))))</f>
        <v/>
      </c>
      <c r="P133" s="53"/>
      <c r="Q133" s="53"/>
    </row>
    <row r="134" spans="1:17">
      <c r="A134" s="41" t="str">
        <f>+Tabla!A136</f>
        <v/>
      </c>
      <c r="B134" s="44" t="str">
        <f>+Tabla!AK136</f>
        <v/>
      </c>
      <c r="C134" s="42" t="str">
        <f>IF(Tabla!A136="","",(B134/((1+$C$9)^($A134/Parámetros!$D$6))))</f>
        <v/>
      </c>
      <c r="D134" s="43"/>
      <c r="E134" s="41" t="str">
        <f>+Tabla!A136</f>
        <v/>
      </c>
      <c r="F134" s="44" t="str">
        <f>Tabla!AL136</f>
        <v/>
      </c>
      <c r="G134" s="42" t="str">
        <f>IF(Tabla!A136="","",(F134/((1+$G$9)^(CAT!$E134/Pagos_por_año))))</f>
        <v/>
      </c>
      <c r="H134" s="42"/>
      <c r="I134" s="41" t="str">
        <f>+Tabla!A136</f>
        <v/>
      </c>
      <c r="J134" s="44" t="str">
        <f>+Tabla!AA136</f>
        <v/>
      </c>
      <c r="K134" s="42" t="str">
        <f>IF(Tabla!A136="","",(J134/((1+$K$9)^($I134/Parámetros!$D$6))))</f>
        <v/>
      </c>
      <c r="L134" s="43"/>
      <c r="M134" s="41" t="str">
        <f>+Tabla!A136</f>
        <v/>
      </c>
      <c r="N134" s="44" t="str">
        <f>Tabla!AI136</f>
        <v/>
      </c>
      <c r="O134" s="42" t="str">
        <f>IF(Tabla!A136="","",(N134/((1+$O$9)^(CAT!$M134/Pagos_por_año))))</f>
        <v/>
      </c>
      <c r="P134" s="53"/>
      <c r="Q134" s="53"/>
    </row>
    <row r="135" spans="1:17">
      <c r="A135" s="41" t="str">
        <f>+Tabla!A137</f>
        <v/>
      </c>
      <c r="B135" s="44" t="str">
        <f>+Tabla!AK137</f>
        <v/>
      </c>
      <c r="C135" s="42" t="str">
        <f>IF(Tabla!A137="","",(B135/((1+$C$9)^($A135/Parámetros!$D$6))))</f>
        <v/>
      </c>
      <c r="D135" s="43"/>
      <c r="E135" s="41" t="str">
        <f>+Tabla!A137</f>
        <v/>
      </c>
      <c r="F135" s="44" t="str">
        <f>Tabla!AL137</f>
        <v/>
      </c>
      <c r="G135" s="42" t="str">
        <f>IF(Tabla!A137="","",(F135/((1+$G$9)^(CAT!$E135/Pagos_por_año))))</f>
        <v/>
      </c>
      <c r="H135" s="42"/>
      <c r="I135" s="41" t="str">
        <f>+Tabla!A137</f>
        <v/>
      </c>
      <c r="J135" s="44" t="str">
        <f>+Tabla!AA137</f>
        <v/>
      </c>
      <c r="K135" s="42" t="str">
        <f>IF(Tabla!A137="","",(J135/((1+$K$9)^($I135/Parámetros!$D$6))))</f>
        <v/>
      </c>
      <c r="L135" s="43"/>
      <c r="M135" s="41" t="str">
        <f>+Tabla!A137</f>
        <v/>
      </c>
      <c r="N135" s="44" t="str">
        <f>Tabla!AI137</f>
        <v/>
      </c>
      <c r="O135" s="42" t="str">
        <f>IF(Tabla!A137="","",(N135/((1+$O$9)^(CAT!$M135/Pagos_por_año))))</f>
        <v/>
      </c>
      <c r="P135" s="53"/>
      <c r="Q135" s="53"/>
    </row>
    <row r="136" spans="1:17">
      <c r="A136" s="41" t="str">
        <f>+Tabla!A138</f>
        <v/>
      </c>
      <c r="B136" s="44" t="str">
        <f>+Tabla!AK138</f>
        <v/>
      </c>
      <c r="C136" s="42" t="str">
        <f>IF(Tabla!A138="","",(B136/((1+$C$9)^($A136/Parámetros!$D$6))))</f>
        <v/>
      </c>
      <c r="D136" s="43"/>
      <c r="E136" s="41" t="str">
        <f>+Tabla!A138</f>
        <v/>
      </c>
      <c r="F136" s="44" t="str">
        <f>Tabla!AL138</f>
        <v/>
      </c>
      <c r="G136" s="42" t="str">
        <f>IF(Tabla!A138="","",(F136/((1+$G$9)^(CAT!$E136/Pagos_por_año))))</f>
        <v/>
      </c>
      <c r="H136" s="42"/>
      <c r="I136" s="41" t="str">
        <f>+Tabla!A138</f>
        <v/>
      </c>
      <c r="J136" s="44" t="str">
        <f>+Tabla!AA138</f>
        <v/>
      </c>
      <c r="K136" s="42" t="str">
        <f>IF(Tabla!A138="","",(J136/((1+$K$9)^($I136/Parámetros!$D$6))))</f>
        <v/>
      </c>
      <c r="L136" s="43"/>
      <c r="M136" s="41" t="str">
        <f>+Tabla!A138</f>
        <v/>
      </c>
      <c r="N136" s="44" t="str">
        <f>Tabla!AI138</f>
        <v/>
      </c>
      <c r="O136" s="42" t="str">
        <f>IF(Tabla!A138="","",(N136/((1+$O$9)^(CAT!$M136/Pagos_por_año))))</f>
        <v/>
      </c>
      <c r="P136" s="53"/>
      <c r="Q136" s="53"/>
    </row>
    <row r="137" spans="1:17">
      <c r="A137" s="41" t="str">
        <f>+Tabla!A139</f>
        <v/>
      </c>
      <c r="B137" s="44" t="str">
        <f>+Tabla!AK139</f>
        <v/>
      </c>
      <c r="C137" s="42" t="str">
        <f>IF(Tabla!A139="","",(B137/((1+$C$9)^($A137/Parámetros!$D$6))))</f>
        <v/>
      </c>
      <c r="D137" s="43"/>
      <c r="E137" s="41" t="str">
        <f>+Tabla!A139</f>
        <v/>
      </c>
      <c r="F137" s="44" t="str">
        <f>Tabla!AL139</f>
        <v/>
      </c>
      <c r="G137" s="42" t="str">
        <f>IF(Tabla!A139="","",(F137/((1+$G$9)^(CAT!$E137/Pagos_por_año))))</f>
        <v/>
      </c>
      <c r="H137" s="42"/>
      <c r="I137" s="41" t="str">
        <f>+Tabla!A139</f>
        <v/>
      </c>
      <c r="J137" s="44" t="str">
        <f>+Tabla!AA139</f>
        <v/>
      </c>
      <c r="K137" s="42" t="str">
        <f>IF(Tabla!A139="","",(J137/((1+$K$9)^($I137/Parámetros!$D$6))))</f>
        <v/>
      </c>
      <c r="L137" s="43"/>
      <c r="M137" s="41" t="str">
        <f>+Tabla!A139</f>
        <v/>
      </c>
      <c r="N137" s="44" t="str">
        <f>Tabla!AI139</f>
        <v/>
      </c>
      <c r="O137" s="42" t="str">
        <f>IF(Tabla!A139="","",(N137/((1+$O$9)^(CAT!$M137/Pagos_por_año))))</f>
        <v/>
      </c>
      <c r="P137" s="53"/>
      <c r="Q137" s="53"/>
    </row>
    <row r="138" spans="1:17">
      <c r="A138" s="41" t="str">
        <f>+Tabla!A140</f>
        <v/>
      </c>
      <c r="B138" s="44" t="str">
        <f>+Tabla!AK140</f>
        <v/>
      </c>
      <c r="C138" s="42" t="str">
        <f>IF(Tabla!A140="","",(B138/((1+$C$9)^($A138/Parámetros!$D$6))))</f>
        <v/>
      </c>
      <c r="D138" s="43"/>
      <c r="E138" s="41" t="str">
        <f>+Tabla!A140</f>
        <v/>
      </c>
      <c r="F138" s="44" t="str">
        <f>Tabla!AL140</f>
        <v/>
      </c>
      <c r="G138" s="42" t="str">
        <f>IF(Tabla!A140="","",(F138/((1+$G$9)^(CAT!$E138/Pagos_por_año))))</f>
        <v/>
      </c>
      <c r="H138" s="42"/>
      <c r="I138" s="41" t="str">
        <f>+Tabla!A140</f>
        <v/>
      </c>
      <c r="J138" s="44" t="str">
        <f>+Tabla!AA140</f>
        <v/>
      </c>
      <c r="K138" s="42" t="str">
        <f>IF(Tabla!A140="","",(J138/((1+$K$9)^($I138/Parámetros!$D$6))))</f>
        <v/>
      </c>
      <c r="L138" s="43"/>
      <c r="M138" s="41" t="str">
        <f>+Tabla!A140</f>
        <v/>
      </c>
      <c r="N138" s="44" t="str">
        <f>Tabla!AI140</f>
        <v/>
      </c>
      <c r="O138" s="42" t="str">
        <f>IF(Tabla!A140="","",(N138/((1+$O$9)^(CAT!$M138/Pagos_por_año))))</f>
        <v/>
      </c>
      <c r="P138" s="53"/>
      <c r="Q138" s="53"/>
    </row>
    <row r="139" spans="1:17">
      <c r="A139" s="41" t="str">
        <f>+Tabla!A141</f>
        <v/>
      </c>
      <c r="B139" s="44" t="str">
        <f>+Tabla!AK141</f>
        <v/>
      </c>
      <c r="C139" s="42" t="str">
        <f>IF(Tabla!A141="","",(B139/((1+$C$9)^($A139/Parámetros!$D$6))))</f>
        <v/>
      </c>
      <c r="D139" s="43"/>
      <c r="E139" s="41" t="str">
        <f>+Tabla!A141</f>
        <v/>
      </c>
      <c r="F139" s="44" t="str">
        <f>Tabla!AL141</f>
        <v/>
      </c>
      <c r="G139" s="42" t="str">
        <f>IF(Tabla!A141="","",(F139/((1+$G$9)^(CAT!$E139/Pagos_por_año))))</f>
        <v/>
      </c>
      <c r="H139" s="42"/>
      <c r="I139" s="41" t="str">
        <f>+Tabla!A141</f>
        <v/>
      </c>
      <c r="J139" s="44" t="str">
        <f>+Tabla!AA141</f>
        <v/>
      </c>
      <c r="K139" s="42" t="str">
        <f>IF(Tabla!A141="","",(J139/((1+$K$9)^($I139/Parámetros!$D$6))))</f>
        <v/>
      </c>
      <c r="L139" s="43"/>
      <c r="M139" s="41" t="str">
        <f>+Tabla!A141</f>
        <v/>
      </c>
      <c r="N139" s="44" t="str">
        <f>Tabla!AI141</f>
        <v/>
      </c>
      <c r="O139" s="42" t="str">
        <f>IF(Tabla!A141="","",(N139/((1+$O$9)^(CAT!$M139/Pagos_por_año))))</f>
        <v/>
      </c>
      <c r="P139" s="53"/>
      <c r="Q139" s="53"/>
    </row>
    <row r="140" spans="1:17">
      <c r="A140" s="41" t="str">
        <f>+Tabla!A142</f>
        <v/>
      </c>
      <c r="B140" s="44" t="str">
        <f>+Tabla!AK142</f>
        <v/>
      </c>
      <c r="C140" s="42" t="str">
        <f>IF(Tabla!A142="","",(B140/((1+$C$9)^($A140/Parámetros!$D$6))))</f>
        <v/>
      </c>
      <c r="D140" s="43"/>
      <c r="E140" s="41" t="str">
        <f>+Tabla!A142</f>
        <v/>
      </c>
      <c r="F140" s="44" t="str">
        <f>Tabla!AL142</f>
        <v/>
      </c>
      <c r="G140" s="42" t="str">
        <f>IF(Tabla!A142="","",(F140/((1+$G$9)^(CAT!$E140/Pagos_por_año))))</f>
        <v/>
      </c>
      <c r="H140" s="42"/>
      <c r="I140" s="41" t="str">
        <f>+Tabla!A142</f>
        <v/>
      </c>
      <c r="J140" s="44" t="str">
        <f>+Tabla!AA142</f>
        <v/>
      </c>
      <c r="K140" s="42" t="str">
        <f>IF(Tabla!A142="","",(J140/((1+$K$9)^($I140/Parámetros!$D$6))))</f>
        <v/>
      </c>
      <c r="L140" s="43"/>
      <c r="M140" s="41" t="str">
        <f>+Tabla!A142</f>
        <v/>
      </c>
      <c r="N140" s="44" t="str">
        <f>Tabla!AI142</f>
        <v/>
      </c>
      <c r="O140" s="42" t="str">
        <f>IF(Tabla!A142="","",(N140/((1+$O$9)^(CAT!$M140/Pagos_por_año))))</f>
        <v/>
      </c>
      <c r="P140" s="53"/>
      <c r="Q140" s="53"/>
    </row>
    <row r="141" spans="1:17">
      <c r="A141" s="41" t="str">
        <f>+Tabla!A143</f>
        <v/>
      </c>
      <c r="B141" s="44" t="str">
        <f>+Tabla!AK143</f>
        <v/>
      </c>
      <c r="C141" s="42" t="str">
        <f>IF(Tabla!A143="","",(B141/((1+$C$9)^($A141/Parámetros!$D$6))))</f>
        <v/>
      </c>
      <c r="D141" s="43"/>
      <c r="E141" s="41" t="str">
        <f>+Tabla!A143</f>
        <v/>
      </c>
      <c r="F141" s="44" t="str">
        <f>Tabla!AL143</f>
        <v/>
      </c>
      <c r="G141" s="42" t="str">
        <f>IF(Tabla!A143="","",(F141/((1+$G$9)^(CAT!$E141/Pagos_por_año))))</f>
        <v/>
      </c>
      <c r="H141" s="42"/>
      <c r="I141" s="41" t="str">
        <f>+Tabla!A143</f>
        <v/>
      </c>
      <c r="J141" s="44" t="str">
        <f>+Tabla!AA143</f>
        <v/>
      </c>
      <c r="K141" s="42" t="str">
        <f>IF(Tabla!A143="","",(J141/((1+$K$9)^($I141/Parámetros!$D$6))))</f>
        <v/>
      </c>
      <c r="L141" s="43"/>
      <c r="M141" s="41" t="str">
        <f>+Tabla!A143</f>
        <v/>
      </c>
      <c r="N141" s="44" t="str">
        <f>Tabla!AI143</f>
        <v/>
      </c>
      <c r="O141" s="42" t="str">
        <f>IF(Tabla!A143="","",(N141/((1+$O$9)^(CAT!$M141/Pagos_por_año))))</f>
        <v/>
      </c>
      <c r="P141" s="53"/>
      <c r="Q141" s="53"/>
    </row>
    <row r="142" spans="1:17">
      <c r="A142" s="41" t="str">
        <f>+Tabla!A144</f>
        <v/>
      </c>
      <c r="B142" s="44" t="str">
        <f>+Tabla!AK144</f>
        <v/>
      </c>
      <c r="C142" s="42" t="str">
        <f>IF(Tabla!A144="","",(B142/((1+$C$9)^($A142/Parámetros!$D$6))))</f>
        <v/>
      </c>
      <c r="D142" s="43"/>
      <c r="E142" s="41" t="str">
        <f>+Tabla!A144</f>
        <v/>
      </c>
      <c r="F142" s="44" t="str">
        <f>Tabla!AL144</f>
        <v/>
      </c>
      <c r="G142" s="42" t="str">
        <f>IF(Tabla!A144="","",(F142/((1+$G$9)^(CAT!$E142/Pagos_por_año))))</f>
        <v/>
      </c>
      <c r="H142" s="42"/>
      <c r="I142" s="41" t="str">
        <f>+Tabla!A144</f>
        <v/>
      </c>
      <c r="J142" s="44" t="str">
        <f>+Tabla!AA144</f>
        <v/>
      </c>
      <c r="K142" s="42" t="str">
        <f>IF(Tabla!A144="","",(J142/((1+$K$9)^($I142/Parámetros!$D$6))))</f>
        <v/>
      </c>
      <c r="L142" s="43"/>
      <c r="M142" s="41" t="str">
        <f>+Tabla!A144</f>
        <v/>
      </c>
      <c r="N142" s="44" t="str">
        <f>Tabla!AI144</f>
        <v/>
      </c>
      <c r="O142" s="42" t="str">
        <f>IF(Tabla!A144="","",(N142/((1+$O$9)^(CAT!$M142/Pagos_por_año))))</f>
        <v/>
      </c>
      <c r="P142" s="53"/>
      <c r="Q142" s="53"/>
    </row>
    <row r="143" spans="1:17">
      <c r="A143" s="41" t="str">
        <f>+Tabla!A145</f>
        <v/>
      </c>
      <c r="B143" s="44" t="str">
        <f>+Tabla!AK145</f>
        <v/>
      </c>
      <c r="C143" s="42" t="str">
        <f>IF(Tabla!A145="","",(B143/((1+$C$9)^($A143/Parámetros!$D$6))))</f>
        <v/>
      </c>
      <c r="D143" s="43"/>
      <c r="E143" s="41" t="str">
        <f>+Tabla!A145</f>
        <v/>
      </c>
      <c r="F143" s="44" t="str">
        <f>Tabla!AL145</f>
        <v/>
      </c>
      <c r="G143" s="42" t="str">
        <f>IF(Tabla!A145="","",(F143/((1+$G$9)^(CAT!$E143/Pagos_por_año))))</f>
        <v/>
      </c>
      <c r="H143" s="42"/>
      <c r="I143" s="41" t="str">
        <f>+Tabla!A145</f>
        <v/>
      </c>
      <c r="J143" s="44" t="str">
        <f>+Tabla!AA145</f>
        <v/>
      </c>
      <c r="K143" s="42" t="str">
        <f>IF(Tabla!A145="","",(J143/((1+$K$9)^($I143/Parámetros!$D$6))))</f>
        <v/>
      </c>
      <c r="L143" s="43"/>
      <c r="M143" s="41" t="str">
        <f>+Tabla!A145</f>
        <v/>
      </c>
      <c r="N143" s="44" t="str">
        <f>Tabla!AI145</f>
        <v/>
      </c>
      <c r="O143" s="42" t="str">
        <f>IF(Tabla!A145="","",(N143/((1+$O$9)^(CAT!$M143/Pagos_por_año))))</f>
        <v/>
      </c>
      <c r="P143" s="53"/>
      <c r="Q143" s="53"/>
    </row>
    <row r="144" spans="1:17">
      <c r="A144" s="41" t="str">
        <f>+Tabla!A146</f>
        <v/>
      </c>
      <c r="B144" s="44" t="str">
        <f>+Tabla!AK146</f>
        <v/>
      </c>
      <c r="C144" s="42" t="str">
        <f>IF(Tabla!A146="","",(B144/((1+$C$9)^($A144/Parámetros!$D$6))))</f>
        <v/>
      </c>
      <c r="D144" s="43"/>
      <c r="E144" s="41" t="str">
        <f>+Tabla!A146</f>
        <v/>
      </c>
      <c r="F144" s="44" t="str">
        <f>Tabla!AL146</f>
        <v/>
      </c>
      <c r="G144" s="42" t="str">
        <f>IF(Tabla!A146="","",(F144/((1+$G$9)^(CAT!$E144/Pagos_por_año))))</f>
        <v/>
      </c>
      <c r="H144" s="42"/>
      <c r="I144" s="41" t="str">
        <f>+Tabla!A146</f>
        <v/>
      </c>
      <c r="J144" s="44" t="str">
        <f>+Tabla!AA146</f>
        <v/>
      </c>
      <c r="K144" s="42" t="str">
        <f>IF(Tabla!A146="","",(J144/((1+$K$9)^($I144/Parámetros!$D$6))))</f>
        <v/>
      </c>
      <c r="L144" s="43"/>
      <c r="M144" s="41" t="str">
        <f>+Tabla!A146</f>
        <v/>
      </c>
      <c r="N144" s="44" t="str">
        <f>Tabla!AI146</f>
        <v/>
      </c>
      <c r="O144" s="42" t="str">
        <f>IF(Tabla!A146="","",(N144/((1+$O$9)^(CAT!$M144/Pagos_por_año))))</f>
        <v/>
      </c>
      <c r="P144" s="53"/>
      <c r="Q144" s="53"/>
    </row>
    <row r="145" spans="1:17">
      <c r="A145" s="41" t="str">
        <f>+Tabla!A147</f>
        <v/>
      </c>
      <c r="B145" s="44" t="str">
        <f>+Tabla!AK147</f>
        <v/>
      </c>
      <c r="C145" s="42" t="str">
        <f>IF(Tabla!A147="","",(B145/((1+$C$9)^($A145/Parámetros!$D$6))))</f>
        <v/>
      </c>
      <c r="D145" s="43"/>
      <c r="E145" s="41" t="str">
        <f>+Tabla!A147</f>
        <v/>
      </c>
      <c r="F145" s="44" t="str">
        <f>Tabla!AL147</f>
        <v/>
      </c>
      <c r="G145" s="42" t="str">
        <f>IF(Tabla!A147="","",(F145/((1+$G$9)^(CAT!$E145/Pagos_por_año))))</f>
        <v/>
      </c>
      <c r="H145" s="42"/>
      <c r="I145" s="41" t="str">
        <f>+Tabla!A147</f>
        <v/>
      </c>
      <c r="J145" s="44" t="str">
        <f>+Tabla!AA147</f>
        <v/>
      </c>
      <c r="K145" s="42" t="str">
        <f>IF(Tabla!A147="","",(J145/((1+$K$9)^($I145/Parámetros!$D$6))))</f>
        <v/>
      </c>
      <c r="L145" s="43"/>
      <c r="M145" s="41" t="str">
        <f>+Tabla!A147</f>
        <v/>
      </c>
      <c r="N145" s="44" t="str">
        <f>Tabla!AI147</f>
        <v/>
      </c>
      <c r="O145" s="42" t="str">
        <f>IF(Tabla!A147="","",(N145/((1+$O$9)^(CAT!$M145/Pagos_por_año))))</f>
        <v/>
      </c>
      <c r="P145" s="53"/>
      <c r="Q145" s="53"/>
    </row>
    <row r="146" spans="1:17">
      <c r="A146" s="41" t="str">
        <f>+Tabla!A148</f>
        <v/>
      </c>
      <c r="B146" s="44" t="str">
        <f>+Tabla!AK148</f>
        <v/>
      </c>
      <c r="C146" s="42" t="str">
        <f>IF(Tabla!A148="","",(B146/((1+$C$9)^($A146/Parámetros!$D$6))))</f>
        <v/>
      </c>
      <c r="D146" s="43"/>
      <c r="E146" s="41" t="str">
        <f>+Tabla!A148</f>
        <v/>
      </c>
      <c r="F146" s="44" t="str">
        <f>Tabla!AL148</f>
        <v/>
      </c>
      <c r="G146" s="42" t="str">
        <f>IF(Tabla!A148="","",(F146/((1+$G$9)^(CAT!$E146/Pagos_por_año))))</f>
        <v/>
      </c>
      <c r="H146" s="42"/>
      <c r="I146" s="41" t="str">
        <f>+Tabla!A148</f>
        <v/>
      </c>
      <c r="J146" s="44" t="str">
        <f>+Tabla!AA148</f>
        <v/>
      </c>
      <c r="K146" s="42" t="str">
        <f>IF(Tabla!A148="","",(J146/((1+$K$9)^($I146/Parámetros!$D$6))))</f>
        <v/>
      </c>
      <c r="L146" s="43"/>
      <c r="M146" s="41" t="str">
        <f>+Tabla!A148</f>
        <v/>
      </c>
      <c r="N146" s="44" t="str">
        <f>Tabla!AI148</f>
        <v/>
      </c>
      <c r="O146" s="42" t="str">
        <f>IF(Tabla!A148="","",(N146/((1+$O$9)^(CAT!$M146/Pagos_por_año))))</f>
        <v/>
      </c>
      <c r="P146" s="53"/>
      <c r="Q146" s="53"/>
    </row>
    <row r="147" spans="1:17">
      <c r="A147" s="41" t="str">
        <f>+Tabla!A149</f>
        <v/>
      </c>
      <c r="B147" s="44" t="str">
        <f>+Tabla!AK149</f>
        <v/>
      </c>
      <c r="C147" s="42" t="str">
        <f>IF(Tabla!A149="","",(B147/((1+$C$9)^($A147/Parámetros!$D$6))))</f>
        <v/>
      </c>
      <c r="D147" s="43"/>
      <c r="E147" s="41" t="str">
        <f>+Tabla!A149</f>
        <v/>
      </c>
      <c r="F147" s="44" t="str">
        <f>Tabla!AL149</f>
        <v/>
      </c>
      <c r="G147" s="42" t="str">
        <f>IF(Tabla!A149="","",(F147/((1+$G$9)^(CAT!$E147/Pagos_por_año))))</f>
        <v/>
      </c>
      <c r="H147" s="42"/>
      <c r="I147" s="41" t="str">
        <f>+Tabla!A149</f>
        <v/>
      </c>
      <c r="J147" s="44" t="str">
        <f>+Tabla!AA149</f>
        <v/>
      </c>
      <c r="K147" s="42" t="str">
        <f>IF(Tabla!A149="","",(J147/((1+$K$9)^($I147/Parámetros!$D$6))))</f>
        <v/>
      </c>
      <c r="L147" s="43"/>
      <c r="M147" s="41" t="str">
        <f>+Tabla!A149</f>
        <v/>
      </c>
      <c r="N147" s="44" t="str">
        <f>Tabla!AI149</f>
        <v/>
      </c>
      <c r="O147" s="42" t="str">
        <f>IF(Tabla!A149="","",(N147/((1+$O$9)^(CAT!$M147/Pagos_por_año))))</f>
        <v/>
      </c>
      <c r="P147" s="53"/>
      <c r="Q147" s="53"/>
    </row>
    <row r="148" spans="1:17">
      <c r="A148" s="41" t="str">
        <f>+Tabla!A150</f>
        <v/>
      </c>
      <c r="B148" s="44" t="str">
        <f>+Tabla!AK150</f>
        <v/>
      </c>
      <c r="C148" s="42" t="str">
        <f>IF(Tabla!A150="","",(B148/((1+$C$9)^($A148/Parámetros!$D$6))))</f>
        <v/>
      </c>
      <c r="D148" s="43"/>
      <c r="E148" s="41" t="str">
        <f>+Tabla!A150</f>
        <v/>
      </c>
      <c r="F148" s="44" t="str">
        <f>Tabla!AL150</f>
        <v/>
      </c>
      <c r="G148" s="42" t="str">
        <f>IF(Tabla!A150="","",(F148/((1+$G$9)^(CAT!$E148/Pagos_por_año))))</f>
        <v/>
      </c>
      <c r="H148" s="42"/>
      <c r="I148" s="41" t="str">
        <f>+Tabla!A150</f>
        <v/>
      </c>
      <c r="J148" s="44" t="str">
        <f>+Tabla!AA150</f>
        <v/>
      </c>
      <c r="K148" s="42" t="str">
        <f>IF(Tabla!A150="","",(J148/((1+$K$9)^($I148/Parámetros!$D$6))))</f>
        <v/>
      </c>
      <c r="L148" s="43"/>
      <c r="M148" s="41" t="str">
        <f>+Tabla!A150</f>
        <v/>
      </c>
      <c r="N148" s="44" t="str">
        <f>Tabla!AI150</f>
        <v/>
      </c>
      <c r="O148" s="42" t="str">
        <f>IF(Tabla!A150="","",(N148/((1+$O$9)^(CAT!$M148/Pagos_por_año))))</f>
        <v/>
      </c>
      <c r="P148" s="53"/>
      <c r="Q148" s="53"/>
    </row>
    <row r="149" spans="1:17">
      <c r="A149" s="41" t="str">
        <f>+Tabla!A151</f>
        <v/>
      </c>
      <c r="B149" s="44" t="str">
        <f>+Tabla!AK151</f>
        <v/>
      </c>
      <c r="C149" s="42" t="str">
        <f>IF(Tabla!A151="","",(B149/((1+$C$9)^($A149/Parámetros!$D$6))))</f>
        <v/>
      </c>
      <c r="D149" s="43"/>
      <c r="E149" s="41" t="str">
        <f>+Tabla!A151</f>
        <v/>
      </c>
      <c r="F149" s="44" t="str">
        <f>Tabla!AL151</f>
        <v/>
      </c>
      <c r="G149" s="42" t="str">
        <f>IF(Tabla!A151="","",(F149/((1+$G$9)^(CAT!$E149/Pagos_por_año))))</f>
        <v/>
      </c>
      <c r="H149" s="42"/>
      <c r="I149" s="41" t="str">
        <f>+Tabla!A151</f>
        <v/>
      </c>
      <c r="J149" s="44" t="str">
        <f>+Tabla!AA151</f>
        <v/>
      </c>
      <c r="K149" s="42" t="str">
        <f>IF(Tabla!A151="","",(J149/((1+$K$9)^($I149/Parámetros!$D$6))))</f>
        <v/>
      </c>
      <c r="L149" s="43"/>
      <c r="M149" s="41" t="str">
        <f>+Tabla!A151</f>
        <v/>
      </c>
      <c r="N149" s="44" t="str">
        <f>Tabla!AI151</f>
        <v/>
      </c>
      <c r="O149" s="42" t="str">
        <f>IF(Tabla!A151="","",(N149/((1+$O$9)^(CAT!$M149/Pagos_por_año))))</f>
        <v/>
      </c>
      <c r="P149" s="53"/>
      <c r="Q149" s="53"/>
    </row>
    <row r="150" spans="1:17">
      <c r="A150" s="41" t="str">
        <f>+Tabla!A152</f>
        <v/>
      </c>
      <c r="B150" s="44" t="str">
        <f>+Tabla!AK152</f>
        <v/>
      </c>
      <c r="C150" s="42" t="str">
        <f>IF(Tabla!A152="","",(B150/((1+$C$9)^($A150/Parámetros!$D$6))))</f>
        <v/>
      </c>
      <c r="D150" s="43"/>
      <c r="E150" s="41" t="str">
        <f>+Tabla!A152</f>
        <v/>
      </c>
      <c r="F150" s="44" t="str">
        <f>Tabla!AL152</f>
        <v/>
      </c>
      <c r="G150" s="42" t="str">
        <f>IF(Tabla!A152="","",(F150/((1+$G$9)^(CAT!$E150/Pagos_por_año))))</f>
        <v/>
      </c>
      <c r="H150" s="42"/>
      <c r="I150" s="41" t="str">
        <f>+Tabla!A152</f>
        <v/>
      </c>
      <c r="J150" s="44" t="str">
        <f>+Tabla!AA152</f>
        <v/>
      </c>
      <c r="K150" s="42" t="str">
        <f>IF(Tabla!A152="","",(J150/((1+$K$9)^($I150/Parámetros!$D$6))))</f>
        <v/>
      </c>
      <c r="L150" s="43"/>
      <c r="M150" s="41" t="str">
        <f>+Tabla!A152</f>
        <v/>
      </c>
      <c r="N150" s="44" t="str">
        <f>Tabla!AI152</f>
        <v/>
      </c>
      <c r="O150" s="42" t="str">
        <f>IF(Tabla!A152="","",(N150/((1+$O$9)^(CAT!$M150/Pagos_por_año))))</f>
        <v/>
      </c>
      <c r="P150" s="53"/>
      <c r="Q150" s="53"/>
    </row>
    <row r="151" spans="1:17">
      <c r="A151" s="41" t="str">
        <f>+Tabla!A153</f>
        <v/>
      </c>
      <c r="B151" s="44" t="str">
        <f>+Tabla!AK153</f>
        <v/>
      </c>
      <c r="C151" s="42" t="str">
        <f>IF(Tabla!A153="","",(B151/((1+$C$9)^($A151/Parámetros!$D$6))))</f>
        <v/>
      </c>
      <c r="D151" s="43"/>
      <c r="E151" s="41" t="str">
        <f>+Tabla!A153</f>
        <v/>
      </c>
      <c r="F151" s="44" t="str">
        <f>Tabla!AL153</f>
        <v/>
      </c>
      <c r="G151" s="42" t="str">
        <f>IF(Tabla!A153="","",(F151/((1+$G$9)^(CAT!$E151/Pagos_por_año))))</f>
        <v/>
      </c>
      <c r="H151" s="42"/>
      <c r="I151" s="41" t="str">
        <f>+Tabla!A153</f>
        <v/>
      </c>
      <c r="J151" s="44" t="str">
        <f>+Tabla!AA153</f>
        <v/>
      </c>
      <c r="K151" s="42" t="str">
        <f>IF(Tabla!A153="","",(J151/((1+$K$9)^($I151/Parámetros!$D$6))))</f>
        <v/>
      </c>
      <c r="L151" s="43"/>
      <c r="M151" s="41" t="str">
        <f>+Tabla!A153</f>
        <v/>
      </c>
      <c r="N151" s="44" t="str">
        <f>Tabla!AI153</f>
        <v/>
      </c>
      <c r="O151" s="42" t="str">
        <f>IF(Tabla!A153="","",(N151/((1+$O$9)^(CAT!$M151/Pagos_por_año))))</f>
        <v/>
      </c>
      <c r="P151" s="53"/>
      <c r="Q151" s="53"/>
    </row>
    <row r="152" spans="1:17">
      <c r="A152" s="41" t="str">
        <f>+Tabla!A154</f>
        <v/>
      </c>
      <c r="B152" s="44" t="str">
        <f>+Tabla!AK154</f>
        <v/>
      </c>
      <c r="C152" s="42" t="str">
        <f>IF(Tabla!A154="","",(B152/((1+$C$9)^($A152/Parámetros!$D$6))))</f>
        <v/>
      </c>
      <c r="D152" s="43"/>
      <c r="E152" s="41" t="str">
        <f>+Tabla!A154</f>
        <v/>
      </c>
      <c r="F152" s="44" t="str">
        <f>Tabla!AL154</f>
        <v/>
      </c>
      <c r="G152" s="42" t="str">
        <f>IF(Tabla!A154="","",(F152/((1+$G$9)^(CAT!$E152/Pagos_por_año))))</f>
        <v/>
      </c>
      <c r="H152" s="42"/>
      <c r="I152" s="41" t="str">
        <f>+Tabla!A154</f>
        <v/>
      </c>
      <c r="J152" s="44" t="str">
        <f>+Tabla!AA154</f>
        <v/>
      </c>
      <c r="K152" s="42" t="str">
        <f>IF(Tabla!A154="","",(J152/((1+$K$9)^($I152/Parámetros!$D$6))))</f>
        <v/>
      </c>
      <c r="L152" s="43"/>
      <c r="M152" s="41" t="str">
        <f>+Tabla!A154</f>
        <v/>
      </c>
      <c r="N152" s="44" t="str">
        <f>Tabla!AI154</f>
        <v/>
      </c>
      <c r="O152" s="42" t="str">
        <f>IF(Tabla!A154="","",(N152/((1+$O$9)^(CAT!$M152/Pagos_por_año))))</f>
        <v/>
      </c>
      <c r="P152" s="53"/>
      <c r="Q152" s="53"/>
    </row>
    <row r="153" spans="1:17">
      <c r="A153" s="41" t="str">
        <f>+Tabla!A155</f>
        <v/>
      </c>
      <c r="B153" s="44" t="str">
        <f>+Tabla!AK155</f>
        <v/>
      </c>
      <c r="C153" s="42" t="str">
        <f>IF(Tabla!A155="","",(B153/((1+$C$9)^($A153/Parámetros!$D$6))))</f>
        <v/>
      </c>
      <c r="D153" s="43"/>
      <c r="E153" s="41" t="str">
        <f>+Tabla!A155</f>
        <v/>
      </c>
      <c r="F153" s="44" t="str">
        <f>Tabla!AL155</f>
        <v/>
      </c>
      <c r="G153" s="42" t="str">
        <f>IF(Tabla!A155="","",(F153/((1+$G$9)^(CAT!$E153/Pagos_por_año))))</f>
        <v/>
      </c>
      <c r="H153" s="42"/>
      <c r="I153" s="41" t="str">
        <f>+Tabla!A155</f>
        <v/>
      </c>
      <c r="J153" s="44" t="str">
        <f>+Tabla!AA155</f>
        <v/>
      </c>
      <c r="K153" s="42" t="str">
        <f>IF(Tabla!A155="","",(J153/((1+$K$9)^($I153/Parámetros!$D$6))))</f>
        <v/>
      </c>
      <c r="L153" s="43"/>
      <c r="M153" s="41" t="str">
        <f>+Tabla!A155</f>
        <v/>
      </c>
      <c r="N153" s="44" t="str">
        <f>Tabla!AI155</f>
        <v/>
      </c>
      <c r="O153" s="42" t="str">
        <f>IF(Tabla!A155="","",(N153/((1+$O$9)^(CAT!$M153/Pagos_por_año))))</f>
        <v/>
      </c>
      <c r="P153" s="53"/>
      <c r="Q153" s="53"/>
    </row>
    <row r="154" spans="1:17">
      <c r="A154" s="41" t="str">
        <f>+Tabla!A156</f>
        <v/>
      </c>
      <c r="B154" s="44" t="str">
        <f>+Tabla!AK156</f>
        <v/>
      </c>
      <c r="C154" s="42" t="str">
        <f>IF(Tabla!A156="","",(B154/((1+$C$9)^($A154/Parámetros!$D$6))))</f>
        <v/>
      </c>
      <c r="D154" s="43"/>
      <c r="E154" s="41" t="str">
        <f>+Tabla!A156</f>
        <v/>
      </c>
      <c r="F154" s="44" t="str">
        <f>Tabla!AL156</f>
        <v/>
      </c>
      <c r="G154" s="42" t="str">
        <f>IF(Tabla!A156="","",(F154/((1+$G$9)^(CAT!$E154/Pagos_por_año))))</f>
        <v/>
      </c>
      <c r="H154" s="42"/>
      <c r="I154" s="41" t="str">
        <f>+Tabla!A156</f>
        <v/>
      </c>
      <c r="J154" s="44" t="str">
        <f>+Tabla!AA156</f>
        <v/>
      </c>
      <c r="K154" s="42" t="str">
        <f>IF(Tabla!A156="","",(J154/((1+$K$9)^($I154/Parámetros!$D$6))))</f>
        <v/>
      </c>
      <c r="L154" s="43"/>
      <c r="M154" s="41" t="str">
        <f>+Tabla!A156</f>
        <v/>
      </c>
      <c r="N154" s="44" t="str">
        <f>Tabla!AI156</f>
        <v/>
      </c>
      <c r="O154" s="42" t="str">
        <f>IF(Tabla!A156="","",(N154/((1+$O$9)^(CAT!$M154/Pagos_por_año))))</f>
        <v/>
      </c>
      <c r="P154" s="53"/>
      <c r="Q154" s="53"/>
    </row>
    <row r="155" spans="1:17">
      <c r="A155" s="41" t="str">
        <f>+Tabla!A157</f>
        <v/>
      </c>
      <c r="B155" s="44" t="str">
        <f>+Tabla!AK157</f>
        <v/>
      </c>
      <c r="C155" s="42" t="str">
        <f>IF(Tabla!A157="","",(B155/((1+$C$9)^($A155/Parámetros!$D$6))))</f>
        <v/>
      </c>
      <c r="D155" s="43"/>
      <c r="E155" s="41" t="str">
        <f>+Tabla!A157</f>
        <v/>
      </c>
      <c r="F155" s="44" t="str">
        <f>Tabla!AL157</f>
        <v/>
      </c>
      <c r="G155" s="42" t="str">
        <f>IF(Tabla!A157="","",(F155/((1+$G$9)^(CAT!$E155/Pagos_por_año))))</f>
        <v/>
      </c>
      <c r="H155" s="42"/>
      <c r="I155" s="41" t="str">
        <f>+Tabla!A157</f>
        <v/>
      </c>
      <c r="J155" s="44" t="str">
        <f>+Tabla!AA157</f>
        <v/>
      </c>
      <c r="K155" s="42" t="str">
        <f>IF(Tabla!A157="","",(J155/((1+$K$9)^($I155/Parámetros!$D$6))))</f>
        <v/>
      </c>
      <c r="L155" s="43"/>
      <c r="M155" s="41" t="str">
        <f>+Tabla!A157</f>
        <v/>
      </c>
      <c r="N155" s="44" t="str">
        <f>Tabla!AI157</f>
        <v/>
      </c>
      <c r="O155" s="42" t="str">
        <f>IF(Tabla!A157="","",(N155/((1+$O$9)^(CAT!$M155/Pagos_por_año))))</f>
        <v/>
      </c>
      <c r="P155" s="53"/>
      <c r="Q155" s="53"/>
    </row>
    <row r="156" spans="1:17">
      <c r="A156" s="41" t="str">
        <f>+Tabla!A158</f>
        <v/>
      </c>
      <c r="B156" s="44" t="str">
        <f>+Tabla!AK158</f>
        <v/>
      </c>
      <c r="C156" s="42" t="str">
        <f>IF(Tabla!A158="","",(B156/((1+$C$9)^($A156/Parámetros!$D$6))))</f>
        <v/>
      </c>
      <c r="D156" s="43"/>
      <c r="E156" s="41" t="str">
        <f>+Tabla!A158</f>
        <v/>
      </c>
      <c r="F156" s="44" t="str">
        <f>Tabla!AL158</f>
        <v/>
      </c>
      <c r="G156" s="42" t="str">
        <f>IF(Tabla!A158="","",(F156/((1+$G$9)^(CAT!$E156/Pagos_por_año))))</f>
        <v/>
      </c>
      <c r="H156" s="42"/>
      <c r="I156" s="41" t="str">
        <f>+Tabla!A158</f>
        <v/>
      </c>
      <c r="J156" s="44" t="str">
        <f>+Tabla!AA158</f>
        <v/>
      </c>
      <c r="K156" s="42" t="str">
        <f>IF(Tabla!A158="","",(J156/((1+$K$9)^($I156/Parámetros!$D$6))))</f>
        <v/>
      </c>
      <c r="L156" s="43"/>
      <c r="M156" s="41" t="str">
        <f>+Tabla!A158</f>
        <v/>
      </c>
      <c r="N156" s="44" t="str">
        <f>Tabla!AI158</f>
        <v/>
      </c>
      <c r="O156" s="42" t="str">
        <f>IF(Tabla!A158="","",(N156/((1+$O$9)^(CAT!$M156/Pagos_por_año))))</f>
        <v/>
      </c>
      <c r="P156" s="53"/>
      <c r="Q156" s="53"/>
    </row>
    <row r="157" spans="1:17">
      <c r="A157" s="41" t="str">
        <f>+Tabla!A159</f>
        <v/>
      </c>
      <c r="B157" s="44" t="str">
        <f>+Tabla!AK159</f>
        <v/>
      </c>
      <c r="C157" s="42" t="str">
        <f>IF(Tabla!A159="","",(B157/((1+$C$9)^($A157/Parámetros!$D$6))))</f>
        <v/>
      </c>
      <c r="D157" s="43"/>
      <c r="E157" s="41" t="str">
        <f>+Tabla!A159</f>
        <v/>
      </c>
      <c r="F157" s="44" t="str">
        <f>Tabla!AL159</f>
        <v/>
      </c>
      <c r="G157" s="42" t="str">
        <f>IF(Tabla!A159="","",(F157/((1+$G$9)^(CAT!$E157/Pagos_por_año))))</f>
        <v/>
      </c>
      <c r="H157" s="42"/>
      <c r="I157" s="41" t="str">
        <f>+Tabla!A159</f>
        <v/>
      </c>
      <c r="J157" s="44" t="str">
        <f>+Tabla!AA159</f>
        <v/>
      </c>
      <c r="K157" s="42" t="str">
        <f>IF(Tabla!A159="","",(J157/((1+$K$9)^($I157/Parámetros!$D$6))))</f>
        <v/>
      </c>
      <c r="L157" s="43"/>
      <c r="M157" s="41" t="str">
        <f>+Tabla!A159</f>
        <v/>
      </c>
      <c r="N157" s="44" t="str">
        <f>Tabla!AI159</f>
        <v/>
      </c>
      <c r="O157" s="42" t="str">
        <f>IF(Tabla!A159="","",(N157/((1+$O$9)^(CAT!$M157/Pagos_por_año))))</f>
        <v/>
      </c>
      <c r="P157" s="53"/>
      <c r="Q157" s="53"/>
    </row>
    <row r="158" spans="1:17">
      <c r="A158" s="41" t="str">
        <f>+Tabla!A160</f>
        <v/>
      </c>
      <c r="B158" s="44" t="str">
        <f>+Tabla!AK160</f>
        <v/>
      </c>
      <c r="C158" s="42" t="str">
        <f>IF(Tabla!A160="","",(B158/((1+$C$9)^($A158/Parámetros!$D$6))))</f>
        <v/>
      </c>
      <c r="D158" s="43"/>
      <c r="E158" s="41" t="str">
        <f>+Tabla!A160</f>
        <v/>
      </c>
      <c r="F158" s="44" t="str">
        <f>Tabla!AL160</f>
        <v/>
      </c>
      <c r="G158" s="42" t="str">
        <f>IF(Tabla!A160="","",(F158/((1+$G$9)^(CAT!$E158/Pagos_por_año))))</f>
        <v/>
      </c>
      <c r="H158" s="42"/>
      <c r="I158" s="41" t="str">
        <f>+Tabla!A160</f>
        <v/>
      </c>
      <c r="J158" s="44" t="str">
        <f>+Tabla!AA160</f>
        <v/>
      </c>
      <c r="K158" s="42" t="str">
        <f>IF(Tabla!A160="","",(J158/((1+$K$9)^($I158/Parámetros!$D$6))))</f>
        <v/>
      </c>
      <c r="L158" s="43"/>
      <c r="M158" s="41" t="str">
        <f>+Tabla!A160</f>
        <v/>
      </c>
      <c r="N158" s="44" t="str">
        <f>Tabla!AI160</f>
        <v/>
      </c>
      <c r="O158" s="42" t="str">
        <f>IF(Tabla!A160="","",(N158/((1+$O$9)^(CAT!$M158/Pagos_por_año))))</f>
        <v/>
      </c>
      <c r="P158" s="53"/>
      <c r="Q158" s="53"/>
    </row>
    <row r="159" spans="1:17">
      <c r="A159" s="41" t="str">
        <f>+Tabla!A161</f>
        <v/>
      </c>
      <c r="B159" s="44" t="str">
        <f>+Tabla!AK161</f>
        <v/>
      </c>
      <c r="C159" s="42" t="str">
        <f>IF(Tabla!A161="","",(B159/((1+$C$9)^($A159/Parámetros!$D$6))))</f>
        <v/>
      </c>
      <c r="D159" s="43"/>
      <c r="E159" s="41" t="str">
        <f>+Tabla!A161</f>
        <v/>
      </c>
      <c r="F159" s="44" t="str">
        <f>Tabla!AL161</f>
        <v/>
      </c>
      <c r="G159" s="42" t="str">
        <f>IF(Tabla!A161="","",(F159/((1+$G$9)^(CAT!$E159/Pagos_por_año))))</f>
        <v/>
      </c>
      <c r="H159" s="42"/>
      <c r="I159" s="41" t="str">
        <f>+Tabla!A161</f>
        <v/>
      </c>
      <c r="J159" s="44" t="str">
        <f>+Tabla!AA161</f>
        <v/>
      </c>
      <c r="K159" s="42" t="str">
        <f>IF(Tabla!A161="","",(J159/((1+$K$9)^($I159/Parámetros!$D$6))))</f>
        <v/>
      </c>
      <c r="L159" s="43"/>
      <c r="M159" s="41" t="str">
        <f>+Tabla!A161</f>
        <v/>
      </c>
      <c r="N159" s="44" t="str">
        <f>Tabla!AI161</f>
        <v/>
      </c>
      <c r="O159" s="42" t="str">
        <f>IF(Tabla!A161="","",(N159/((1+$O$9)^(CAT!$M159/Pagos_por_año))))</f>
        <v/>
      </c>
      <c r="P159" s="53"/>
      <c r="Q159" s="53"/>
    </row>
    <row r="160" spans="1:17">
      <c r="A160" s="41" t="str">
        <f>+Tabla!A162</f>
        <v/>
      </c>
      <c r="B160" s="44" t="str">
        <f>+Tabla!AK162</f>
        <v/>
      </c>
      <c r="C160" s="42" t="str">
        <f>IF(Tabla!A162="","",(B160/((1+$C$9)^($A160/Parámetros!$D$6))))</f>
        <v/>
      </c>
      <c r="D160" s="43"/>
      <c r="E160" s="41" t="str">
        <f>+Tabla!A162</f>
        <v/>
      </c>
      <c r="F160" s="44" t="str">
        <f>Tabla!AL162</f>
        <v/>
      </c>
      <c r="G160" s="42" t="str">
        <f>IF(Tabla!A162="","",(F160/((1+$G$9)^(CAT!$E160/Pagos_por_año))))</f>
        <v/>
      </c>
      <c r="H160" s="42"/>
      <c r="I160" s="41" t="str">
        <f>+Tabla!A162</f>
        <v/>
      </c>
      <c r="J160" s="44" t="str">
        <f>+Tabla!AA162</f>
        <v/>
      </c>
      <c r="K160" s="42" t="str">
        <f>IF(Tabla!A162="","",(J160/((1+$K$9)^($I160/Parámetros!$D$6))))</f>
        <v/>
      </c>
      <c r="L160" s="43"/>
      <c r="M160" s="41" t="str">
        <f>+Tabla!A162</f>
        <v/>
      </c>
      <c r="N160" s="44" t="str">
        <f>Tabla!AI162</f>
        <v/>
      </c>
      <c r="O160" s="42" t="str">
        <f>IF(Tabla!A162="","",(N160/((1+$O$9)^(CAT!$M160/Pagos_por_año))))</f>
        <v/>
      </c>
      <c r="P160" s="53"/>
      <c r="Q160" s="53"/>
    </row>
    <row r="161" spans="1:17">
      <c r="A161" s="41" t="str">
        <f>+Tabla!A163</f>
        <v/>
      </c>
      <c r="B161" s="44" t="str">
        <f>+Tabla!AK163</f>
        <v/>
      </c>
      <c r="C161" s="42" t="str">
        <f>IF(Tabla!A163="","",(B161/((1+$C$9)^($A161/Parámetros!$D$6))))</f>
        <v/>
      </c>
      <c r="D161" s="43"/>
      <c r="E161" s="41" t="str">
        <f>+Tabla!A163</f>
        <v/>
      </c>
      <c r="F161" s="44" t="str">
        <f>Tabla!AL163</f>
        <v/>
      </c>
      <c r="G161" s="42" t="str">
        <f>IF(Tabla!A163="","",(F161/((1+$G$9)^(CAT!$E161/Pagos_por_año))))</f>
        <v/>
      </c>
      <c r="H161" s="42"/>
      <c r="I161" s="41" t="str">
        <f>+Tabla!A163</f>
        <v/>
      </c>
      <c r="J161" s="44" t="str">
        <f>+Tabla!AA163</f>
        <v/>
      </c>
      <c r="K161" s="42" t="str">
        <f>IF(Tabla!A163="","",(J161/((1+$K$9)^($I161/Parámetros!$D$6))))</f>
        <v/>
      </c>
      <c r="L161" s="43"/>
      <c r="M161" s="41" t="str">
        <f>+Tabla!A163</f>
        <v/>
      </c>
      <c r="N161" s="44" t="str">
        <f>Tabla!AI163</f>
        <v/>
      </c>
      <c r="O161" s="42" t="str">
        <f>IF(Tabla!A163="","",(N161/((1+$O$9)^(CAT!$M161/Pagos_por_año))))</f>
        <v/>
      </c>
      <c r="P161" s="53"/>
      <c r="Q161" s="53"/>
    </row>
    <row r="162" spans="1:17">
      <c r="A162" s="41" t="str">
        <f>+Tabla!A164</f>
        <v/>
      </c>
      <c r="B162" s="44" t="str">
        <f>+Tabla!AK164</f>
        <v/>
      </c>
      <c r="C162" s="42" t="str">
        <f>IF(Tabla!A164="","",(B162/((1+$C$9)^($A162/Parámetros!$D$6))))</f>
        <v/>
      </c>
      <c r="D162" s="43"/>
      <c r="E162" s="41" t="str">
        <f>+Tabla!A164</f>
        <v/>
      </c>
      <c r="F162" s="44" t="str">
        <f>Tabla!AL164</f>
        <v/>
      </c>
      <c r="G162" s="42" t="str">
        <f>IF(Tabla!A164="","",(F162/((1+$G$9)^(CAT!$E162/Pagos_por_año))))</f>
        <v/>
      </c>
      <c r="H162" s="42"/>
      <c r="I162" s="41" t="str">
        <f>+Tabla!A164</f>
        <v/>
      </c>
      <c r="J162" s="44" t="str">
        <f>+Tabla!AA164</f>
        <v/>
      </c>
      <c r="K162" s="42" t="str">
        <f>IF(Tabla!A164="","",(J162/((1+$K$9)^($I162/Parámetros!$D$6))))</f>
        <v/>
      </c>
      <c r="L162" s="43"/>
      <c r="M162" s="41" t="str">
        <f>+Tabla!A164</f>
        <v/>
      </c>
      <c r="N162" s="44" t="str">
        <f>Tabla!AI164</f>
        <v/>
      </c>
      <c r="O162" s="42" t="str">
        <f>IF(Tabla!A164="","",(N162/((1+$O$9)^(CAT!$M162/Pagos_por_año))))</f>
        <v/>
      </c>
      <c r="P162" s="53"/>
      <c r="Q162" s="53"/>
    </row>
    <row r="163" spans="1:17">
      <c r="A163" s="41" t="str">
        <f>+Tabla!A165</f>
        <v/>
      </c>
      <c r="B163" s="44" t="str">
        <f>+Tabla!AK165</f>
        <v/>
      </c>
      <c r="C163" s="42" t="str">
        <f>IF(Tabla!A165="","",(B163/((1+$C$9)^($A163/Parámetros!$D$6))))</f>
        <v/>
      </c>
      <c r="D163" s="43"/>
      <c r="E163" s="41" t="str">
        <f>+Tabla!A165</f>
        <v/>
      </c>
      <c r="F163" s="44" t="str">
        <f>Tabla!AL165</f>
        <v/>
      </c>
      <c r="G163" s="42" t="str">
        <f>IF(Tabla!A165="","",(F163/((1+$G$9)^(CAT!$E163/Pagos_por_año))))</f>
        <v/>
      </c>
      <c r="H163" s="42"/>
      <c r="I163" s="41" t="str">
        <f>+Tabla!A165</f>
        <v/>
      </c>
      <c r="J163" s="44" t="str">
        <f>+Tabla!AA165</f>
        <v/>
      </c>
      <c r="K163" s="42" t="str">
        <f>IF(Tabla!A165="","",(J163/((1+$K$9)^($I163/Parámetros!$D$6))))</f>
        <v/>
      </c>
      <c r="L163" s="43"/>
      <c r="M163" s="41" t="str">
        <f>+Tabla!A165</f>
        <v/>
      </c>
      <c r="N163" s="44" t="str">
        <f>Tabla!AI165</f>
        <v/>
      </c>
      <c r="O163" s="42" t="str">
        <f>IF(Tabla!A165="","",(N163/((1+$O$9)^(CAT!$M163/Pagos_por_año))))</f>
        <v/>
      </c>
      <c r="P163" s="53"/>
      <c r="Q163" s="53"/>
    </row>
    <row r="164" spans="1:17">
      <c r="A164" s="41" t="str">
        <f>+Tabla!A166</f>
        <v/>
      </c>
      <c r="B164" s="44" t="str">
        <f>+Tabla!AK166</f>
        <v/>
      </c>
      <c r="C164" s="42" t="str">
        <f>IF(Tabla!A166="","",(B164/((1+$C$9)^($A164/Parámetros!$D$6))))</f>
        <v/>
      </c>
      <c r="D164" s="43"/>
      <c r="E164" s="41" t="str">
        <f>+Tabla!A166</f>
        <v/>
      </c>
      <c r="F164" s="44" t="str">
        <f>Tabla!AL166</f>
        <v/>
      </c>
      <c r="G164" s="42" t="str">
        <f>IF(Tabla!A166="","",(F164/((1+$G$9)^(CAT!$E164/Pagos_por_año))))</f>
        <v/>
      </c>
      <c r="H164" s="42"/>
      <c r="I164" s="41" t="str">
        <f>+Tabla!A166</f>
        <v/>
      </c>
      <c r="J164" s="44" t="str">
        <f>+Tabla!AA166</f>
        <v/>
      </c>
      <c r="K164" s="42" t="str">
        <f>IF(Tabla!A166="","",(J164/((1+$K$9)^($I164/Parámetros!$D$6))))</f>
        <v/>
      </c>
      <c r="L164" s="43"/>
      <c r="M164" s="41" t="str">
        <f>+Tabla!A166</f>
        <v/>
      </c>
      <c r="N164" s="44" t="str">
        <f>Tabla!AI166</f>
        <v/>
      </c>
      <c r="O164" s="42" t="str">
        <f>IF(Tabla!A166="","",(N164/((1+$O$9)^(CAT!$M164/Pagos_por_año))))</f>
        <v/>
      </c>
      <c r="P164" s="53"/>
      <c r="Q164" s="53"/>
    </row>
    <row r="165" spans="1:17">
      <c r="A165" s="41" t="str">
        <f>+Tabla!A167</f>
        <v/>
      </c>
      <c r="B165" s="44" t="str">
        <f>+Tabla!AK167</f>
        <v/>
      </c>
      <c r="C165" s="42" t="str">
        <f>IF(Tabla!A167="","",(B165/((1+$C$9)^($A165/Parámetros!$D$6))))</f>
        <v/>
      </c>
      <c r="D165" s="43"/>
      <c r="E165" s="41" t="str">
        <f>+Tabla!A167</f>
        <v/>
      </c>
      <c r="F165" s="44" t="str">
        <f>Tabla!AL167</f>
        <v/>
      </c>
      <c r="G165" s="42" t="str">
        <f>IF(Tabla!A167="","",(F165/((1+$G$9)^(CAT!$E165/Pagos_por_año))))</f>
        <v/>
      </c>
      <c r="H165" s="42"/>
      <c r="I165" s="41" t="str">
        <f>+Tabla!A167</f>
        <v/>
      </c>
      <c r="J165" s="44" t="str">
        <f>+Tabla!AA167</f>
        <v/>
      </c>
      <c r="K165" s="42" t="str">
        <f>IF(Tabla!A167="","",(J165/((1+$K$9)^($I165/Parámetros!$D$6))))</f>
        <v/>
      </c>
      <c r="L165" s="43"/>
      <c r="M165" s="41" t="str">
        <f>+Tabla!A167</f>
        <v/>
      </c>
      <c r="N165" s="44" t="str">
        <f>Tabla!AI167</f>
        <v/>
      </c>
      <c r="O165" s="42" t="str">
        <f>IF(Tabla!A167="","",(N165/((1+$O$9)^(CAT!$M165/Pagos_por_año))))</f>
        <v/>
      </c>
      <c r="P165" s="53"/>
      <c r="Q165" s="53"/>
    </row>
    <row r="166" spans="1:17">
      <c r="A166" s="41" t="str">
        <f>+Tabla!A168</f>
        <v/>
      </c>
      <c r="B166" s="44" t="str">
        <f>+Tabla!AK168</f>
        <v/>
      </c>
      <c r="C166" s="42" t="str">
        <f>IF(Tabla!A168="","",(B166/((1+$C$9)^($A166/Parámetros!$D$6))))</f>
        <v/>
      </c>
      <c r="D166" s="43"/>
      <c r="E166" s="41" t="str">
        <f>+Tabla!A168</f>
        <v/>
      </c>
      <c r="F166" s="44" t="str">
        <f>Tabla!AL168</f>
        <v/>
      </c>
      <c r="G166" s="42" t="str">
        <f>IF(Tabla!A168="","",(F166/((1+$G$9)^(CAT!$E166/Pagos_por_año))))</f>
        <v/>
      </c>
      <c r="H166" s="42"/>
      <c r="I166" s="41" t="str">
        <f>+Tabla!A168</f>
        <v/>
      </c>
      <c r="J166" s="44" t="str">
        <f>+Tabla!AA168</f>
        <v/>
      </c>
      <c r="K166" s="42" t="str">
        <f>IF(Tabla!A168="","",(J166/((1+$K$9)^($I166/Parámetros!$D$6))))</f>
        <v/>
      </c>
      <c r="L166" s="43"/>
      <c r="M166" s="41" t="str">
        <f>+Tabla!A168</f>
        <v/>
      </c>
      <c r="N166" s="44" t="str">
        <f>Tabla!AI168</f>
        <v/>
      </c>
      <c r="O166" s="42" t="str">
        <f>IF(Tabla!A168="","",(N166/((1+$O$9)^(CAT!$M166/Pagos_por_año))))</f>
        <v/>
      </c>
      <c r="P166" s="53"/>
      <c r="Q166" s="53"/>
    </row>
    <row r="167" spans="1:17">
      <c r="A167" s="41" t="str">
        <f>+Tabla!A169</f>
        <v/>
      </c>
      <c r="B167" s="44" t="str">
        <f>+Tabla!AK169</f>
        <v/>
      </c>
      <c r="C167" s="42" t="str">
        <f>IF(Tabla!A169="","",(B167/((1+$C$9)^($A167/Parámetros!$D$6))))</f>
        <v/>
      </c>
      <c r="D167" s="43"/>
      <c r="E167" s="41" t="str">
        <f>+Tabla!A169</f>
        <v/>
      </c>
      <c r="F167" s="44" t="str">
        <f>Tabla!AL169</f>
        <v/>
      </c>
      <c r="G167" s="42" t="str">
        <f>IF(Tabla!A169="","",(F167/((1+$G$9)^(CAT!$E167/Pagos_por_año))))</f>
        <v/>
      </c>
      <c r="H167" s="42"/>
      <c r="I167" s="41" t="str">
        <f>+Tabla!A169</f>
        <v/>
      </c>
      <c r="J167" s="44" t="str">
        <f>+Tabla!AA169</f>
        <v/>
      </c>
      <c r="K167" s="42" t="str">
        <f>IF(Tabla!A169="","",(J167/((1+$K$9)^($I167/Parámetros!$D$6))))</f>
        <v/>
      </c>
      <c r="L167" s="43"/>
      <c r="M167" s="41" t="str">
        <f>+Tabla!A169</f>
        <v/>
      </c>
      <c r="N167" s="44" t="str">
        <f>Tabla!AI169</f>
        <v/>
      </c>
      <c r="O167" s="42" t="str">
        <f>IF(Tabla!A169="","",(N167/((1+$O$9)^(CAT!$M167/Pagos_por_año))))</f>
        <v/>
      </c>
      <c r="P167" s="53"/>
      <c r="Q167" s="53"/>
    </row>
    <row r="168" spans="1:17">
      <c r="A168" s="41" t="str">
        <f>+Tabla!A170</f>
        <v/>
      </c>
      <c r="B168" s="44" t="str">
        <f>+Tabla!AK170</f>
        <v/>
      </c>
      <c r="C168" s="42" t="str">
        <f>IF(Tabla!A170="","",(B168/((1+$C$9)^($A168/Parámetros!$D$6))))</f>
        <v/>
      </c>
      <c r="D168" s="43"/>
      <c r="E168" s="41" t="str">
        <f>+Tabla!A170</f>
        <v/>
      </c>
      <c r="F168" s="44" t="str">
        <f>Tabla!AL170</f>
        <v/>
      </c>
      <c r="G168" s="42" t="str">
        <f>IF(Tabla!A170="","",(F168/((1+$G$9)^(CAT!$E168/Pagos_por_año))))</f>
        <v/>
      </c>
      <c r="H168" s="42"/>
      <c r="I168" s="41" t="str">
        <f>+Tabla!A170</f>
        <v/>
      </c>
      <c r="J168" s="44" t="str">
        <f>+Tabla!AA170</f>
        <v/>
      </c>
      <c r="K168" s="42" t="str">
        <f>IF(Tabla!A170="","",(J168/((1+$K$9)^($I168/Parámetros!$D$6))))</f>
        <v/>
      </c>
      <c r="L168" s="43"/>
      <c r="M168" s="41" t="str">
        <f>+Tabla!A170</f>
        <v/>
      </c>
      <c r="N168" s="44" t="str">
        <f>Tabla!AI170</f>
        <v/>
      </c>
      <c r="O168" s="42" t="str">
        <f>IF(Tabla!A170="","",(N168/((1+$O$9)^(CAT!$M168/Pagos_por_año))))</f>
        <v/>
      </c>
      <c r="P168" s="53"/>
      <c r="Q168" s="53"/>
    </row>
    <row r="169" spans="1:17">
      <c r="A169" s="41" t="str">
        <f>+Tabla!A171</f>
        <v/>
      </c>
      <c r="B169" s="44" t="str">
        <f>+Tabla!AK171</f>
        <v/>
      </c>
      <c r="C169" s="42" t="str">
        <f>IF(Tabla!A171="","",(B169/((1+$C$9)^($A169/Parámetros!$D$6))))</f>
        <v/>
      </c>
      <c r="D169" s="43"/>
      <c r="E169" s="41" t="str">
        <f>+Tabla!A171</f>
        <v/>
      </c>
      <c r="F169" s="44" t="str">
        <f>Tabla!AL171</f>
        <v/>
      </c>
      <c r="G169" s="42" t="str">
        <f>IF(Tabla!A171="","",(F169/((1+$G$9)^(CAT!$E169/Pagos_por_año))))</f>
        <v/>
      </c>
      <c r="H169" s="42"/>
      <c r="I169" s="41" t="str">
        <f>+Tabla!A171</f>
        <v/>
      </c>
      <c r="J169" s="44" t="str">
        <f>+Tabla!AA171</f>
        <v/>
      </c>
      <c r="K169" s="42" t="str">
        <f>IF(Tabla!A171="","",(J169/((1+$K$9)^($I169/Parámetros!$D$6))))</f>
        <v/>
      </c>
      <c r="L169" s="43"/>
      <c r="M169" s="41" t="str">
        <f>+Tabla!A171</f>
        <v/>
      </c>
      <c r="N169" s="44" t="str">
        <f>Tabla!AI171</f>
        <v/>
      </c>
      <c r="O169" s="42" t="str">
        <f>IF(Tabla!A171="","",(N169/((1+$O$9)^(CAT!$M169/Pagos_por_año))))</f>
        <v/>
      </c>
      <c r="P169" s="53"/>
      <c r="Q169" s="53"/>
    </row>
    <row r="170" spans="1:17">
      <c r="A170" s="41" t="str">
        <f>+Tabla!A172</f>
        <v/>
      </c>
      <c r="B170" s="44" t="str">
        <f>+Tabla!AK172</f>
        <v/>
      </c>
      <c r="C170" s="42" t="str">
        <f>IF(Tabla!A172="","",(B170/((1+$C$9)^($A170/Parámetros!$D$6))))</f>
        <v/>
      </c>
      <c r="D170" s="43"/>
      <c r="E170" s="41" t="str">
        <f>+Tabla!A172</f>
        <v/>
      </c>
      <c r="F170" s="44" t="str">
        <f>Tabla!AL172</f>
        <v/>
      </c>
      <c r="G170" s="42" t="str">
        <f>IF(Tabla!A172="","",(F170/((1+$G$9)^(CAT!$E170/Pagos_por_año))))</f>
        <v/>
      </c>
      <c r="H170" s="42"/>
      <c r="I170" s="41" t="str">
        <f>+Tabla!A172</f>
        <v/>
      </c>
      <c r="J170" s="44" t="str">
        <f>+Tabla!AA172</f>
        <v/>
      </c>
      <c r="K170" s="42" t="str">
        <f>IF(Tabla!A172="","",(J170/((1+$K$9)^($I170/Parámetros!$D$6))))</f>
        <v/>
      </c>
      <c r="L170" s="43"/>
      <c r="M170" s="41" t="str">
        <f>+Tabla!A172</f>
        <v/>
      </c>
      <c r="N170" s="44" t="str">
        <f>Tabla!AI172</f>
        <v/>
      </c>
      <c r="O170" s="42" t="str">
        <f>IF(Tabla!A172="","",(N170/((1+$O$9)^(CAT!$M170/Pagos_por_año))))</f>
        <v/>
      </c>
      <c r="P170" s="53"/>
      <c r="Q170" s="53"/>
    </row>
    <row r="171" spans="1:17">
      <c r="A171" s="41" t="str">
        <f>+Tabla!A173</f>
        <v/>
      </c>
      <c r="B171" s="44" t="str">
        <f>+Tabla!AK173</f>
        <v/>
      </c>
      <c r="C171" s="42" t="str">
        <f>IF(Tabla!A173="","",(B171/((1+$C$9)^($A171/Parámetros!$D$6))))</f>
        <v/>
      </c>
      <c r="D171" s="43"/>
      <c r="E171" s="41" t="str">
        <f>+Tabla!A173</f>
        <v/>
      </c>
      <c r="F171" s="44" t="str">
        <f>Tabla!AL173</f>
        <v/>
      </c>
      <c r="G171" s="42" t="str">
        <f>IF(Tabla!A173="","",(F171/((1+$G$9)^(CAT!$E171/Pagos_por_año))))</f>
        <v/>
      </c>
      <c r="H171" s="42"/>
      <c r="I171" s="41" t="str">
        <f>+Tabla!A173</f>
        <v/>
      </c>
      <c r="J171" s="44" t="str">
        <f>+Tabla!AA173</f>
        <v/>
      </c>
      <c r="K171" s="42" t="str">
        <f>IF(Tabla!A173="","",(J171/((1+$K$9)^($I171/Parámetros!$D$6))))</f>
        <v/>
      </c>
      <c r="L171" s="43"/>
      <c r="M171" s="41" t="str">
        <f>+Tabla!A173</f>
        <v/>
      </c>
      <c r="N171" s="44" t="str">
        <f>Tabla!AI173</f>
        <v/>
      </c>
      <c r="O171" s="42" t="str">
        <f>IF(Tabla!A173="","",(N171/((1+$O$9)^(CAT!$M171/Pagos_por_año))))</f>
        <v/>
      </c>
      <c r="P171" s="53"/>
      <c r="Q171" s="53"/>
    </row>
    <row r="172" spans="1:17">
      <c r="A172" s="41" t="str">
        <f>+Tabla!A174</f>
        <v/>
      </c>
      <c r="B172" s="44" t="str">
        <f>+Tabla!AK174</f>
        <v/>
      </c>
      <c r="C172" s="42" t="str">
        <f>IF(Tabla!A174="","",(B172/((1+$C$9)^($A172/Parámetros!$D$6))))</f>
        <v/>
      </c>
      <c r="D172" s="43"/>
      <c r="E172" s="41" t="str">
        <f>+Tabla!A174</f>
        <v/>
      </c>
      <c r="F172" s="44" t="str">
        <f>Tabla!AL174</f>
        <v/>
      </c>
      <c r="G172" s="42" t="str">
        <f>IF(Tabla!A174="","",(F172/((1+$G$9)^(CAT!$E172/Pagos_por_año))))</f>
        <v/>
      </c>
      <c r="H172" s="42"/>
      <c r="I172" s="41" t="str">
        <f>+Tabla!A174</f>
        <v/>
      </c>
      <c r="J172" s="44" t="str">
        <f>+Tabla!AA174</f>
        <v/>
      </c>
      <c r="K172" s="42" t="str">
        <f>IF(Tabla!A174="","",(J172/((1+$K$9)^($I172/Parámetros!$D$6))))</f>
        <v/>
      </c>
      <c r="L172" s="43"/>
      <c r="M172" s="41" t="str">
        <f>+Tabla!A174</f>
        <v/>
      </c>
      <c r="N172" s="44" t="str">
        <f>Tabla!AI174</f>
        <v/>
      </c>
      <c r="O172" s="42" t="str">
        <f>IF(Tabla!A174="","",(N172/((1+$O$9)^(CAT!$M172/Pagos_por_año))))</f>
        <v/>
      </c>
      <c r="P172" s="53"/>
      <c r="Q172" s="53"/>
    </row>
    <row r="173" spans="1:17">
      <c r="A173" s="41" t="str">
        <f>+Tabla!A175</f>
        <v/>
      </c>
      <c r="B173" s="44" t="str">
        <f>+Tabla!AK175</f>
        <v/>
      </c>
      <c r="C173" s="42" t="str">
        <f>IF(Tabla!A175="","",(B173/((1+$C$9)^($A173/Parámetros!$D$6))))</f>
        <v/>
      </c>
      <c r="D173" s="43"/>
      <c r="E173" s="41" t="str">
        <f>+Tabla!A175</f>
        <v/>
      </c>
      <c r="F173" s="44" t="str">
        <f>Tabla!AL175</f>
        <v/>
      </c>
      <c r="G173" s="42" t="str">
        <f>IF(Tabla!A175="","",(F173/((1+$G$9)^(CAT!$E173/Pagos_por_año))))</f>
        <v/>
      </c>
      <c r="H173" s="42"/>
      <c r="I173" s="41" t="str">
        <f>+Tabla!A175</f>
        <v/>
      </c>
      <c r="J173" s="44" t="str">
        <f>+Tabla!AA175</f>
        <v/>
      </c>
      <c r="K173" s="42" t="str">
        <f>IF(Tabla!A175="","",(J173/((1+$K$9)^($I173/Parámetros!$D$6))))</f>
        <v/>
      </c>
      <c r="L173" s="43"/>
      <c r="M173" s="41" t="str">
        <f>+Tabla!A175</f>
        <v/>
      </c>
      <c r="N173" s="44" t="str">
        <f>Tabla!AI175</f>
        <v/>
      </c>
      <c r="O173" s="42" t="str">
        <f>IF(Tabla!A175="","",(N173/((1+$O$9)^(CAT!$M173/Pagos_por_año))))</f>
        <v/>
      </c>
      <c r="P173" s="53"/>
      <c r="Q173" s="53"/>
    </row>
    <row r="174" spans="1:17">
      <c r="A174" s="41" t="str">
        <f>+Tabla!A176</f>
        <v/>
      </c>
      <c r="B174" s="44" t="str">
        <f>+Tabla!AK176</f>
        <v/>
      </c>
      <c r="C174" s="42" t="str">
        <f>IF(Tabla!A176="","",(B174/((1+$C$9)^($A174/Parámetros!$D$6))))</f>
        <v/>
      </c>
      <c r="D174" s="43"/>
      <c r="E174" s="41" t="str">
        <f>+Tabla!A176</f>
        <v/>
      </c>
      <c r="F174" s="44" t="str">
        <f>Tabla!AL176</f>
        <v/>
      </c>
      <c r="G174" s="42" t="str">
        <f>IF(Tabla!A176="","",(F174/((1+$G$9)^(CAT!$E174/Pagos_por_año))))</f>
        <v/>
      </c>
      <c r="H174" s="42"/>
      <c r="I174" s="41" t="str">
        <f>+Tabla!A176</f>
        <v/>
      </c>
      <c r="J174" s="44" t="str">
        <f>+Tabla!AA176</f>
        <v/>
      </c>
      <c r="K174" s="42" t="str">
        <f>IF(Tabla!A176="","",(J174/((1+$K$9)^($I174/Parámetros!$D$6))))</f>
        <v/>
      </c>
      <c r="L174" s="43"/>
      <c r="M174" s="41" t="str">
        <f>+Tabla!A176</f>
        <v/>
      </c>
      <c r="N174" s="44" t="str">
        <f>Tabla!AI176</f>
        <v/>
      </c>
      <c r="O174" s="42" t="str">
        <f>IF(Tabla!A176="","",(N174/((1+$O$9)^(CAT!$M174/Pagos_por_año))))</f>
        <v/>
      </c>
      <c r="P174" s="53"/>
      <c r="Q174" s="53"/>
    </row>
    <row r="175" spans="1:17">
      <c r="A175" s="41" t="str">
        <f>+Tabla!A177</f>
        <v/>
      </c>
      <c r="B175" s="44" t="str">
        <f>+Tabla!AK177</f>
        <v/>
      </c>
      <c r="C175" s="42" t="str">
        <f>IF(Tabla!A177="","",(B175/((1+$C$9)^($A175/Parámetros!$D$6))))</f>
        <v/>
      </c>
      <c r="D175" s="43"/>
      <c r="E175" s="41" t="str">
        <f>+Tabla!A177</f>
        <v/>
      </c>
      <c r="F175" s="44" t="str">
        <f>Tabla!AL177</f>
        <v/>
      </c>
      <c r="G175" s="42" t="str">
        <f>IF(Tabla!A177="","",(F175/((1+$G$9)^(CAT!$E175/Pagos_por_año))))</f>
        <v/>
      </c>
      <c r="H175" s="42"/>
      <c r="I175" s="41" t="str">
        <f>+Tabla!A177</f>
        <v/>
      </c>
      <c r="J175" s="44" t="str">
        <f>+Tabla!AA177</f>
        <v/>
      </c>
      <c r="K175" s="42" t="str">
        <f>IF(Tabla!A177="","",(J175/((1+$K$9)^($I175/Parámetros!$D$6))))</f>
        <v/>
      </c>
      <c r="L175" s="43"/>
      <c r="M175" s="41" t="str">
        <f>+Tabla!A177</f>
        <v/>
      </c>
      <c r="N175" s="44" t="str">
        <f>Tabla!AI177</f>
        <v/>
      </c>
      <c r="O175" s="42" t="str">
        <f>IF(Tabla!A177="","",(N175/((1+$O$9)^(CAT!$M175/Pagos_por_año))))</f>
        <v/>
      </c>
      <c r="P175" s="53"/>
      <c r="Q175" s="53"/>
    </row>
    <row r="176" spans="1:17">
      <c r="A176" s="41" t="str">
        <f>+Tabla!A178</f>
        <v/>
      </c>
      <c r="B176" s="44" t="str">
        <f>+Tabla!AK178</f>
        <v/>
      </c>
      <c r="C176" s="42" t="str">
        <f>IF(Tabla!A178="","",(B176/((1+$C$9)^($A176/Parámetros!$D$6))))</f>
        <v/>
      </c>
      <c r="D176" s="43"/>
      <c r="E176" s="41" t="str">
        <f>+Tabla!A178</f>
        <v/>
      </c>
      <c r="F176" s="44" t="str">
        <f>Tabla!AL178</f>
        <v/>
      </c>
      <c r="G176" s="42" t="str">
        <f>IF(Tabla!A178="","",(F176/((1+$G$9)^(CAT!$E176/Pagos_por_año))))</f>
        <v/>
      </c>
      <c r="H176" s="42"/>
      <c r="I176" s="41" t="str">
        <f>+Tabla!A178</f>
        <v/>
      </c>
      <c r="J176" s="44" t="str">
        <f>+Tabla!AA178</f>
        <v/>
      </c>
      <c r="K176" s="42" t="str">
        <f>IF(Tabla!A178="","",(J176/((1+$K$9)^($I176/Parámetros!$D$6))))</f>
        <v/>
      </c>
      <c r="L176" s="43"/>
      <c r="M176" s="41" t="str">
        <f>+Tabla!A178</f>
        <v/>
      </c>
      <c r="N176" s="44" t="str">
        <f>Tabla!AI178</f>
        <v/>
      </c>
      <c r="O176" s="42" t="str">
        <f>IF(Tabla!A178="","",(N176/((1+$O$9)^(CAT!$M176/Pagos_por_año))))</f>
        <v/>
      </c>
      <c r="P176" s="53"/>
      <c r="Q176" s="53"/>
    </row>
    <row r="177" spans="1:17">
      <c r="A177" s="41" t="str">
        <f>+Tabla!A179</f>
        <v/>
      </c>
      <c r="B177" s="44" t="str">
        <f>+Tabla!AK179</f>
        <v/>
      </c>
      <c r="C177" s="42" t="str">
        <f>IF(Tabla!A179="","",(B177/((1+$C$9)^($A177/Parámetros!$D$6))))</f>
        <v/>
      </c>
      <c r="D177" s="43"/>
      <c r="E177" s="41" t="str">
        <f>+Tabla!A179</f>
        <v/>
      </c>
      <c r="F177" s="44" t="str">
        <f>Tabla!AL179</f>
        <v/>
      </c>
      <c r="G177" s="42" t="str">
        <f>IF(Tabla!A179="","",(F177/((1+$G$9)^(CAT!$E177/Pagos_por_año))))</f>
        <v/>
      </c>
      <c r="H177" s="42"/>
      <c r="I177" s="41" t="str">
        <f>+Tabla!A179</f>
        <v/>
      </c>
      <c r="J177" s="44" t="str">
        <f>+Tabla!AA179</f>
        <v/>
      </c>
      <c r="K177" s="42" t="str">
        <f>IF(Tabla!A179="","",(J177/((1+$K$9)^($I177/Parámetros!$D$6))))</f>
        <v/>
      </c>
      <c r="L177" s="43"/>
      <c r="M177" s="41" t="str">
        <f>+Tabla!A179</f>
        <v/>
      </c>
      <c r="N177" s="44" t="str">
        <f>Tabla!AI179</f>
        <v/>
      </c>
      <c r="O177" s="42" t="str">
        <f>IF(Tabla!A179="","",(N177/((1+$O$9)^(CAT!$M177/Pagos_por_año))))</f>
        <v/>
      </c>
      <c r="P177" s="53"/>
      <c r="Q177" s="53"/>
    </row>
    <row r="178" spans="1:17">
      <c r="A178" s="41" t="str">
        <f>+Tabla!A180</f>
        <v/>
      </c>
      <c r="B178" s="44" t="str">
        <f>+Tabla!AK180</f>
        <v/>
      </c>
      <c r="C178" s="42" t="str">
        <f>IF(Tabla!A180="","",(B178/((1+$C$9)^($A178/Parámetros!$D$6))))</f>
        <v/>
      </c>
      <c r="D178" s="43"/>
      <c r="E178" s="41" t="str">
        <f>+Tabla!A180</f>
        <v/>
      </c>
      <c r="F178" s="44" t="str">
        <f>Tabla!AL180</f>
        <v/>
      </c>
      <c r="G178" s="42" t="str">
        <f>IF(Tabla!A180="","",(F178/((1+$G$9)^(CAT!$E178/Pagos_por_año))))</f>
        <v/>
      </c>
      <c r="H178" s="42"/>
      <c r="I178" s="41" t="str">
        <f>+Tabla!A180</f>
        <v/>
      </c>
      <c r="J178" s="44" t="str">
        <f>+Tabla!AA180</f>
        <v/>
      </c>
      <c r="K178" s="42" t="str">
        <f>IF(Tabla!A180="","",(J178/((1+$K$9)^($I178/Parámetros!$D$6))))</f>
        <v/>
      </c>
      <c r="L178" s="43"/>
      <c r="M178" s="41" t="str">
        <f>+Tabla!A180</f>
        <v/>
      </c>
      <c r="N178" s="44" t="str">
        <f>Tabla!AI180</f>
        <v/>
      </c>
      <c r="O178" s="42" t="str">
        <f>IF(Tabla!A180="","",(N178/((1+$O$9)^(CAT!$M178/Pagos_por_año))))</f>
        <v/>
      </c>
      <c r="P178" s="53"/>
      <c r="Q178" s="53"/>
    </row>
    <row r="179" spans="1:17">
      <c r="A179" s="41" t="str">
        <f>+Tabla!A181</f>
        <v/>
      </c>
      <c r="B179" s="44" t="str">
        <f>+Tabla!AK181</f>
        <v/>
      </c>
      <c r="C179" s="42" t="str">
        <f>IF(Tabla!A181="","",(B179/((1+$C$9)^($A179/Parámetros!$D$6))))</f>
        <v/>
      </c>
      <c r="D179" s="43"/>
      <c r="E179" s="41" t="str">
        <f>+Tabla!A181</f>
        <v/>
      </c>
      <c r="F179" s="44" t="str">
        <f>Tabla!AL181</f>
        <v/>
      </c>
      <c r="G179" s="42" t="str">
        <f>IF(Tabla!A181="","",(F179/((1+$G$9)^(CAT!$E179/Pagos_por_año))))</f>
        <v/>
      </c>
      <c r="H179" s="42"/>
      <c r="I179" s="41" t="str">
        <f>+Tabla!A181</f>
        <v/>
      </c>
      <c r="J179" s="44" t="str">
        <f>+Tabla!AA181</f>
        <v/>
      </c>
      <c r="K179" s="42" t="str">
        <f>IF(Tabla!A181="","",(J179/((1+$K$9)^($I179/Parámetros!$D$6))))</f>
        <v/>
      </c>
      <c r="L179" s="43"/>
      <c r="M179" s="41" t="str">
        <f>+Tabla!A181</f>
        <v/>
      </c>
      <c r="N179" s="44" t="str">
        <f>Tabla!AI181</f>
        <v/>
      </c>
      <c r="O179" s="42" t="str">
        <f>IF(Tabla!A181="","",(N179/((1+$O$9)^(CAT!$M179/Pagos_por_año))))</f>
        <v/>
      </c>
      <c r="P179" s="53"/>
      <c r="Q179" s="53"/>
    </row>
    <row r="180" spans="1:17">
      <c r="A180" s="41" t="str">
        <f>+Tabla!A182</f>
        <v/>
      </c>
      <c r="B180" s="44" t="str">
        <f>+Tabla!AK182</f>
        <v/>
      </c>
      <c r="C180" s="42" t="str">
        <f>IF(Tabla!A182="","",(B180/((1+$C$9)^($A180/Parámetros!$D$6))))</f>
        <v/>
      </c>
      <c r="D180" s="43"/>
      <c r="E180" s="41" t="str">
        <f>+Tabla!A182</f>
        <v/>
      </c>
      <c r="F180" s="44" t="str">
        <f>Tabla!AL182</f>
        <v/>
      </c>
      <c r="G180" s="42" t="str">
        <f>IF(Tabla!A182="","",(F180/((1+$G$9)^(CAT!$E180/Pagos_por_año))))</f>
        <v/>
      </c>
      <c r="H180" s="42"/>
      <c r="I180" s="41" t="str">
        <f>+Tabla!A182</f>
        <v/>
      </c>
      <c r="J180" s="44" t="str">
        <f>+Tabla!AA182</f>
        <v/>
      </c>
      <c r="K180" s="42" t="str">
        <f>IF(Tabla!A182="","",(J180/((1+$K$9)^($I180/Parámetros!$D$6))))</f>
        <v/>
      </c>
      <c r="L180" s="43"/>
      <c r="M180" s="41" t="str">
        <f>+Tabla!A182</f>
        <v/>
      </c>
      <c r="N180" s="44" t="str">
        <f>Tabla!AI182</f>
        <v/>
      </c>
      <c r="O180" s="42" t="str">
        <f>IF(Tabla!A182="","",(N180/((1+$O$9)^(CAT!$M180/Pagos_por_año))))</f>
        <v/>
      </c>
      <c r="P180" s="53"/>
      <c r="Q180" s="53"/>
    </row>
    <row r="181" spans="1:17">
      <c r="A181" s="41" t="str">
        <f>+Tabla!A183</f>
        <v/>
      </c>
      <c r="B181" s="44" t="str">
        <f>+Tabla!AK183</f>
        <v/>
      </c>
      <c r="C181" s="42" t="str">
        <f>IF(Tabla!A183="","",(B181/((1+$C$9)^($A181/Parámetros!$D$6))))</f>
        <v/>
      </c>
      <c r="D181" s="43"/>
      <c r="E181" s="41" t="str">
        <f>+Tabla!A183</f>
        <v/>
      </c>
      <c r="F181" s="44" t="str">
        <f>Tabla!AL183</f>
        <v/>
      </c>
      <c r="G181" s="42" t="str">
        <f>IF(Tabla!A183="","",(F181/((1+$G$9)^(CAT!$E181/Pagos_por_año))))</f>
        <v/>
      </c>
      <c r="H181" s="42"/>
      <c r="I181" s="41" t="str">
        <f>+Tabla!A183</f>
        <v/>
      </c>
      <c r="J181" s="44" t="str">
        <f>+Tabla!AA183</f>
        <v/>
      </c>
      <c r="K181" s="42" t="str">
        <f>IF(Tabla!A183="","",(J181/((1+$K$9)^($I181/Parámetros!$D$6))))</f>
        <v/>
      </c>
      <c r="L181" s="43"/>
      <c r="M181" s="41" t="str">
        <f>+Tabla!A183</f>
        <v/>
      </c>
      <c r="N181" s="44" t="str">
        <f>Tabla!AI183</f>
        <v/>
      </c>
      <c r="O181" s="42" t="str">
        <f>IF(Tabla!A183="","",(N181/((1+$O$9)^(CAT!$M181/Pagos_por_año))))</f>
        <v/>
      </c>
      <c r="P181" s="53"/>
      <c r="Q181" s="53"/>
    </row>
    <row r="182" spans="1:17">
      <c r="A182" s="41" t="str">
        <f>+Tabla!A184</f>
        <v/>
      </c>
      <c r="B182" s="44" t="str">
        <f>+Tabla!AK184</f>
        <v/>
      </c>
      <c r="C182" s="42" t="str">
        <f>IF(Tabla!A184="","",(B182/((1+$C$9)^($A182/Parámetros!$D$6))))</f>
        <v/>
      </c>
      <c r="D182" s="43"/>
      <c r="E182" s="41" t="str">
        <f>+Tabla!A184</f>
        <v/>
      </c>
      <c r="F182" s="44" t="str">
        <f>Tabla!AL184</f>
        <v/>
      </c>
      <c r="G182" s="42" t="str">
        <f>IF(Tabla!A184="","",(F182/((1+$G$9)^(CAT!$E182/Pagos_por_año))))</f>
        <v/>
      </c>
      <c r="H182" s="42"/>
      <c r="I182" s="41" t="str">
        <f>+Tabla!A184</f>
        <v/>
      </c>
      <c r="J182" s="44" t="str">
        <f>+Tabla!AA184</f>
        <v/>
      </c>
      <c r="K182" s="42" t="str">
        <f>IF(Tabla!A184="","",(J182/((1+$K$9)^($I182/Parámetros!$D$6))))</f>
        <v/>
      </c>
      <c r="L182" s="43"/>
      <c r="M182" s="41" t="str">
        <f>+Tabla!A184</f>
        <v/>
      </c>
      <c r="N182" s="44" t="str">
        <f>Tabla!AI184</f>
        <v/>
      </c>
      <c r="O182" s="42" t="str">
        <f>IF(Tabla!A184="","",(N182/((1+$O$9)^(CAT!$M182/Pagos_por_año))))</f>
        <v/>
      </c>
      <c r="P182" s="53"/>
      <c r="Q182" s="53"/>
    </row>
    <row r="183" spans="1:17">
      <c r="A183" s="41" t="str">
        <f>+Tabla!A185</f>
        <v/>
      </c>
      <c r="B183" s="44" t="str">
        <f>+Tabla!AK185</f>
        <v/>
      </c>
      <c r="C183" s="42" t="str">
        <f>IF(Tabla!A185="","",(B183/((1+$C$9)^($A183/Parámetros!$D$6))))</f>
        <v/>
      </c>
      <c r="D183" s="43"/>
      <c r="E183" s="41" t="str">
        <f>+Tabla!A185</f>
        <v/>
      </c>
      <c r="F183" s="44" t="str">
        <f>Tabla!AL185</f>
        <v/>
      </c>
      <c r="G183" s="42" t="str">
        <f>IF(Tabla!A185="","",(F183/((1+$G$9)^(CAT!$E183/Pagos_por_año))))</f>
        <v/>
      </c>
      <c r="H183" s="42"/>
      <c r="I183" s="41" t="str">
        <f>+Tabla!A185</f>
        <v/>
      </c>
      <c r="J183" s="44" t="str">
        <f>+Tabla!AA185</f>
        <v/>
      </c>
      <c r="K183" s="42" t="str">
        <f>IF(Tabla!A185="","",(J183/((1+$K$9)^($I183/Parámetros!$D$6))))</f>
        <v/>
      </c>
      <c r="L183" s="43"/>
      <c r="M183" s="41" t="str">
        <f>+Tabla!A185</f>
        <v/>
      </c>
      <c r="N183" s="44" t="str">
        <f>Tabla!AI185</f>
        <v/>
      </c>
      <c r="O183" s="42" t="str">
        <f>IF(Tabla!A185="","",(N183/((1+$O$9)^(CAT!$M183/Pagos_por_año))))</f>
        <v/>
      </c>
      <c r="P183" s="53"/>
      <c r="Q183" s="53"/>
    </row>
    <row r="184" spans="1:17">
      <c r="A184" s="41" t="str">
        <f>+Tabla!A186</f>
        <v/>
      </c>
      <c r="B184" s="44" t="str">
        <f>+Tabla!AK186</f>
        <v/>
      </c>
      <c r="C184" s="42" t="str">
        <f>IF(Tabla!A186="","",(B184/((1+$C$9)^($A184/Parámetros!$D$6))))</f>
        <v/>
      </c>
      <c r="D184" s="43"/>
      <c r="E184" s="41" t="str">
        <f>+Tabla!A186</f>
        <v/>
      </c>
      <c r="F184" s="44" t="str">
        <f>Tabla!AL186</f>
        <v/>
      </c>
      <c r="G184" s="42" t="str">
        <f>IF(Tabla!A186="","",(F184/((1+$G$9)^(CAT!$E184/Pagos_por_año))))</f>
        <v/>
      </c>
      <c r="H184" s="42"/>
      <c r="I184" s="41" t="str">
        <f>+Tabla!A186</f>
        <v/>
      </c>
      <c r="J184" s="44" t="str">
        <f>+Tabla!AA186</f>
        <v/>
      </c>
      <c r="K184" s="42" t="str">
        <f>IF(Tabla!A186="","",(J184/((1+$K$9)^($I184/Parámetros!$D$6))))</f>
        <v/>
      </c>
      <c r="L184" s="43"/>
      <c r="M184" s="41" t="str">
        <f>+Tabla!A186</f>
        <v/>
      </c>
      <c r="N184" s="44" t="str">
        <f>Tabla!AI186</f>
        <v/>
      </c>
      <c r="O184" s="42" t="str">
        <f>IF(Tabla!A186="","",(N184/((1+$O$9)^(CAT!$M184/Pagos_por_año))))</f>
        <v/>
      </c>
      <c r="P184" s="53"/>
      <c r="Q184" s="53"/>
    </row>
    <row r="185" spans="1:17">
      <c r="A185" s="41" t="str">
        <f>+Tabla!A187</f>
        <v/>
      </c>
      <c r="B185" s="44" t="str">
        <f>+Tabla!AK187</f>
        <v/>
      </c>
      <c r="C185" s="42" t="str">
        <f>IF(Tabla!A187="","",(B185/((1+$C$9)^($A185/Parámetros!$D$6))))</f>
        <v/>
      </c>
      <c r="D185" s="43"/>
      <c r="E185" s="41" t="str">
        <f>+Tabla!A187</f>
        <v/>
      </c>
      <c r="F185" s="44" t="str">
        <f>Tabla!AL187</f>
        <v/>
      </c>
      <c r="G185" s="42" t="str">
        <f>IF(Tabla!A187="","",(F185/((1+$G$9)^(CAT!$E185/Pagos_por_año))))</f>
        <v/>
      </c>
      <c r="H185" s="42"/>
      <c r="I185" s="41" t="str">
        <f>+Tabla!A187</f>
        <v/>
      </c>
      <c r="J185" s="44" t="str">
        <f>+Tabla!AA187</f>
        <v/>
      </c>
      <c r="K185" s="42" t="str">
        <f>IF(Tabla!A187="","",(J185/((1+$K$9)^($I185/Parámetros!$D$6))))</f>
        <v/>
      </c>
      <c r="L185" s="43"/>
      <c r="M185" s="41" t="str">
        <f>+Tabla!A187</f>
        <v/>
      </c>
      <c r="N185" s="44" t="str">
        <f>Tabla!AI187</f>
        <v/>
      </c>
      <c r="O185" s="42" t="str">
        <f>IF(Tabla!A187="","",(N185/((1+$O$9)^(CAT!$M185/Pagos_por_año))))</f>
        <v/>
      </c>
      <c r="P185" s="53"/>
      <c r="Q185" s="53"/>
    </row>
    <row r="186" spans="1:17">
      <c r="A186" s="41" t="str">
        <f>+Tabla!A188</f>
        <v/>
      </c>
      <c r="B186" s="44" t="str">
        <f>+Tabla!AK188</f>
        <v/>
      </c>
      <c r="C186" s="42" t="str">
        <f>IF(Tabla!A188="","",(B186/((1+$C$9)^($A186/Parámetros!$D$6))))</f>
        <v/>
      </c>
      <c r="D186" s="43"/>
      <c r="E186" s="41" t="str">
        <f>+Tabla!A188</f>
        <v/>
      </c>
      <c r="F186" s="44" t="str">
        <f>Tabla!AL188</f>
        <v/>
      </c>
      <c r="G186" s="42" t="str">
        <f>IF(Tabla!A188="","",(F186/((1+$G$9)^(CAT!$E186/Pagos_por_año))))</f>
        <v/>
      </c>
      <c r="H186" s="42"/>
      <c r="I186" s="41" t="str">
        <f>+Tabla!A188</f>
        <v/>
      </c>
      <c r="J186" s="44" t="str">
        <f>+Tabla!AA188</f>
        <v/>
      </c>
      <c r="K186" s="42" t="str">
        <f>IF(Tabla!A188="","",(J186/((1+$K$9)^($I186/Parámetros!$D$6))))</f>
        <v/>
      </c>
      <c r="L186" s="43"/>
      <c r="M186" s="41" t="str">
        <f>+Tabla!A188</f>
        <v/>
      </c>
      <c r="N186" s="44" t="str">
        <f>Tabla!AI188</f>
        <v/>
      </c>
      <c r="O186" s="42" t="str">
        <f>IF(Tabla!A188="","",(N186/((1+$O$9)^(CAT!$M186/Pagos_por_año))))</f>
        <v/>
      </c>
      <c r="P186" s="53"/>
      <c r="Q186" s="53"/>
    </row>
    <row r="187" spans="1:17">
      <c r="A187" s="41" t="str">
        <f>+Tabla!A189</f>
        <v/>
      </c>
      <c r="B187" s="44" t="str">
        <f>+Tabla!AK189</f>
        <v/>
      </c>
      <c r="C187" s="42" t="str">
        <f>IF(Tabla!A189="","",(B187/((1+$C$9)^($A187/Parámetros!$D$6))))</f>
        <v/>
      </c>
      <c r="D187" s="43"/>
      <c r="E187" s="41" t="str">
        <f>+Tabla!A189</f>
        <v/>
      </c>
      <c r="F187" s="44" t="str">
        <f>Tabla!AL189</f>
        <v/>
      </c>
      <c r="G187" s="42" t="str">
        <f>IF(Tabla!A189="","",(F187/((1+$G$9)^(CAT!$E187/Pagos_por_año))))</f>
        <v/>
      </c>
      <c r="H187" s="42"/>
      <c r="I187" s="41" t="str">
        <f>+Tabla!A189</f>
        <v/>
      </c>
      <c r="J187" s="44" t="str">
        <f>+Tabla!AA189</f>
        <v/>
      </c>
      <c r="K187" s="42" t="str">
        <f>IF(Tabla!A189="","",(J187/((1+$K$9)^($I187/Parámetros!$D$6))))</f>
        <v/>
      </c>
      <c r="L187" s="43"/>
      <c r="M187" s="41" t="str">
        <f>+Tabla!A189</f>
        <v/>
      </c>
      <c r="N187" s="44" t="str">
        <f>Tabla!AI189</f>
        <v/>
      </c>
      <c r="O187" s="42" t="str">
        <f>IF(Tabla!A189="","",(N187/((1+$O$9)^(CAT!$M187/Pagos_por_año))))</f>
        <v/>
      </c>
      <c r="P187" s="53"/>
      <c r="Q187" s="53"/>
    </row>
    <row r="188" spans="1:17">
      <c r="A188" s="41" t="str">
        <f>+Tabla!A190</f>
        <v/>
      </c>
      <c r="B188" s="44" t="str">
        <f>+Tabla!AK190</f>
        <v/>
      </c>
      <c r="C188" s="42" t="str">
        <f>IF(Tabla!A190="","",(B188/((1+$C$9)^($A188/Parámetros!$D$6))))</f>
        <v/>
      </c>
      <c r="D188" s="43"/>
      <c r="E188" s="41" t="str">
        <f>+Tabla!A190</f>
        <v/>
      </c>
      <c r="F188" s="44" t="str">
        <f>Tabla!AL190</f>
        <v/>
      </c>
      <c r="G188" s="42" t="str">
        <f>IF(Tabla!A190="","",(F188/((1+$G$9)^(CAT!$E188/Pagos_por_año))))</f>
        <v/>
      </c>
      <c r="H188" s="42"/>
      <c r="I188" s="41" t="str">
        <f>+Tabla!A190</f>
        <v/>
      </c>
      <c r="J188" s="44" t="str">
        <f>+Tabla!AA190</f>
        <v/>
      </c>
      <c r="K188" s="42" t="str">
        <f>IF(Tabla!A190="","",(J188/((1+$K$9)^($I188/Parámetros!$D$6))))</f>
        <v/>
      </c>
      <c r="L188" s="43"/>
      <c r="M188" s="41" t="str">
        <f>+Tabla!A190</f>
        <v/>
      </c>
      <c r="N188" s="44" t="str">
        <f>Tabla!AI190</f>
        <v/>
      </c>
      <c r="O188" s="42" t="str">
        <f>IF(Tabla!A190="","",(N188/((1+$O$9)^(CAT!$M188/Pagos_por_año))))</f>
        <v/>
      </c>
      <c r="P188" s="53"/>
      <c r="Q188" s="53"/>
    </row>
    <row r="189" spans="1:17">
      <c r="A189" s="41" t="str">
        <f>+Tabla!A191</f>
        <v/>
      </c>
      <c r="B189" s="44" t="str">
        <f>+Tabla!AK191</f>
        <v/>
      </c>
      <c r="C189" s="42" t="str">
        <f>IF(Tabla!A191="","",(B189/((1+$C$9)^($A189/Parámetros!$D$6))))</f>
        <v/>
      </c>
      <c r="D189" s="43"/>
      <c r="E189" s="41" t="str">
        <f>+Tabla!A191</f>
        <v/>
      </c>
      <c r="F189" s="44" t="str">
        <f>Tabla!AL191</f>
        <v/>
      </c>
      <c r="G189" s="42" t="str">
        <f>IF(Tabla!A191="","",(F189/((1+$G$9)^(CAT!$E189/Pagos_por_año))))</f>
        <v/>
      </c>
      <c r="H189" s="42"/>
      <c r="I189" s="41" t="str">
        <f>+Tabla!A191</f>
        <v/>
      </c>
      <c r="J189" s="44" t="str">
        <f>+Tabla!AA191</f>
        <v/>
      </c>
      <c r="K189" s="42" t="str">
        <f>IF(Tabla!A191="","",(J189/((1+$K$9)^($I189/Parámetros!$D$6))))</f>
        <v/>
      </c>
      <c r="L189" s="43"/>
      <c r="M189" s="41" t="str">
        <f>+Tabla!A191</f>
        <v/>
      </c>
      <c r="N189" s="44" t="str">
        <f>Tabla!AI191</f>
        <v/>
      </c>
      <c r="O189" s="42" t="str">
        <f>IF(Tabla!A191="","",(N189/((1+$O$9)^(CAT!$M189/Pagos_por_año))))</f>
        <v/>
      </c>
      <c r="P189" s="53"/>
      <c r="Q189" s="53"/>
    </row>
    <row r="190" spans="1:17">
      <c r="A190" s="41" t="str">
        <f>+Tabla!A192</f>
        <v/>
      </c>
      <c r="B190" s="44" t="str">
        <f>+Tabla!AK192</f>
        <v/>
      </c>
      <c r="C190" s="42" t="str">
        <f>IF(Tabla!A192="","",(B190/((1+$C$9)^($A190/Parámetros!$D$6))))</f>
        <v/>
      </c>
      <c r="D190" s="43"/>
      <c r="E190" s="41" t="str">
        <f>+Tabla!A192</f>
        <v/>
      </c>
      <c r="F190" s="44" t="str">
        <f>Tabla!AL192</f>
        <v/>
      </c>
      <c r="G190" s="42" t="str">
        <f>IF(Tabla!A192="","",(F190/((1+$G$9)^(CAT!$E190/Pagos_por_año))))</f>
        <v/>
      </c>
      <c r="H190" s="42"/>
      <c r="I190" s="41" t="str">
        <f>+Tabla!A192</f>
        <v/>
      </c>
      <c r="J190" s="44" t="str">
        <f>+Tabla!AA192</f>
        <v/>
      </c>
      <c r="K190" s="42" t="str">
        <f>IF(Tabla!A192="","",(J190/((1+$K$9)^($I190/Parámetros!$D$6))))</f>
        <v/>
      </c>
      <c r="L190" s="43"/>
      <c r="M190" s="41" t="str">
        <f>+Tabla!A192</f>
        <v/>
      </c>
      <c r="N190" s="44" t="str">
        <f>Tabla!AI192</f>
        <v/>
      </c>
      <c r="O190" s="42" t="str">
        <f>IF(Tabla!A192="","",(N190/((1+$O$9)^(CAT!$M190/Pagos_por_año))))</f>
        <v/>
      </c>
      <c r="P190" s="53"/>
      <c r="Q190" s="53"/>
    </row>
    <row r="191" spans="1:17">
      <c r="A191" s="41" t="str">
        <f>+Tabla!A193</f>
        <v/>
      </c>
      <c r="B191" s="44" t="str">
        <f>+Tabla!AK193</f>
        <v/>
      </c>
      <c r="C191" s="42" t="str">
        <f>IF(Tabla!A193="","",(B191/((1+$C$9)^($A191/Parámetros!$D$6))))</f>
        <v/>
      </c>
      <c r="D191" s="43"/>
      <c r="E191" s="41" t="str">
        <f>+Tabla!A193</f>
        <v/>
      </c>
      <c r="F191" s="44" t="str">
        <f>Tabla!AL193</f>
        <v/>
      </c>
      <c r="G191" s="42" t="str">
        <f>IF(Tabla!A193="","",(F191/((1+$G$9)^(CAT!$E191/Pagos_por_año))))</f>
        <v/>
      </c>
      <c r="H191" s="42"/>
      <c r="I191" s="41" t="str">
        <f>+Tabla!A193</f>
        <v/>
      </c>
      <c r="J191" s="44" t="str">
        <f>+Tabla!AA193</f>
        <v/>
      </c>
      <c r="K191" s="42" t="str">
        <f>IF(Tabla!A193="","",(J191/((1+$K$9)^($I191/Parámetros!$D$6))))</f>
        <v/>
      </c>
      <c r="L191" s="43"/>
      <c r="M191" s="41" t="str">
        <f>+Tabla!A193</f>
        <v/>
      </c>
      <c r="N191" s="44" t="str">
        <f>Tabla!AI193</f>
        <v/>
      </c>
      <c r="O191" s="42" t="str">
        <f>IF(Tabla!A193="","",(N191/((1+$O$9)^(CAT!$M191/Pagos_por_año))))</f>
        <v/>
      </c>
      <c r="P191" s="53"/>
      <c r="Q191" s="53"/>
    </row>
    <row r="192" spans="1:17">
      <c r="A192" s="41" t="str">
        <f>+Tabla!A194</f>
        <v/>
      </c>
      <c r="B192" s="44" t="str">
        <f>+Tabla!AK194</f>
        <v/>
      </c>
      <c r="C192" s="42" t="str">
        <f>IF(Tabla!A194="","",(B192/((1+$C$9)^($A192/Parámetros!$D$6))))</f>
        <v/>
      </c>
      <c r="D192" s="43"/>
      <c r="E192" s="41" t="str">
        <f>+Tabla!A194</f>
        <v/>
      </c>
      <c r="F192" s="44" t="str">
        <f>Tabla!AL194</f>
        <v/>
      </c>
      <c r="G192" s="42" t="str">
        <f>IF(Tabla!A194="","",(F192/((1+$G$9)^(CAT!$E192/Pagos_por_año))))</f>
        <v/>
      </c>
      <c r="H192" s="42"/>
      <c r="I192" s="41" t="str">
        <f>+Tabla!A194</f>
        <v/>
      </c>
      <c r="J192" s="44" t="str">
        <f>+Tabla!AA194</f>
        <v/>
      </c>
      <c r="K192" s="42" t="str">
        <f>IF(Tabla!A194="","",(J192/((1+$K$9)^($I192/Parámetros!$D$6))))</f>
        <v/>
      </c>
      <c r="L192" s="43"/>
      <c r="M192" s="41" t="str">
        <f>+Tabla!A194</f>
        <v/>
      </c>
      <c r="N192" s="44" t="str">
        <f>Tabla!AI194</f>
        <v/>
      </c>
      <c r="O192" s="42" t="str">
        <f>IF(Tabla!A194="","",(N192/((1+$O$9)^(CAT!$M192/Pagos_por_año))))</f>
        <v/>
      </c>
      <c r="P192" s="53"/>
      <c r="Q192" s="53"/>
    </row>
    <row r="193" spans="1:17">
      <c r="A193" s="41" t="str">
        <f>+Tabla!A195</f>
        <v/>
      </c>
      <c r="B193" s="44" t="str">
        <f>+Tabla!AK195</f>
        <v/>
      </c>
      <c r="C193" s="42" t="str">
        <f>IF(Tabla!A195="","",(B193/((1+$C$9)^($A193/Parámetros!$D$6))))</f>
        <v/>
      </c>
      <c r="D193" s="43"/>
      <c r="E193" s="41" t="str">
        <f>+Tabla!A195</f>
        <v/>
      </c>
      <c r="F193" s="44" t="str">
        <f>Tabla!AL195</f>
        <v/>
      </c>
      <c r="G193" s="42" t="str">
        <f>IF(Tabla!A195="","",(F193/((1+$G$9)^(CAT!$E193/Pagos_por_año))))</f>
        <v/>
      </c>
      <c r="H193" s="42"/>
      <c r="I193" s="41" t="str">
        <f>+Tabla!A195</f>
        <v/>
      </c>
      <c r="J193" s="44" t="str">
        <f>+Tabla!AA195</f>
        <v/>
      </c>
      <c r="K193" s="42" t="str">
        <f>IF(Tabla!A195="","",(J193/((1+$K$9)^($I193/Parámetros!$D$6))))</f>
        <v/>
      </c>
      <c r="L193" s="43"/>
      <c r="M193" s="41" t="str">
        <f>+Tabla!A195</f>
        <v/>
      </c>
      <c r="N193" s="44" t="str">
        <f>Tabla!AI195</f>
        <v/>
      </c>
      <c r="O193" s="42" t="str">
        <f>IF(Tabla!A195="","",(N193/((1+$O$9)^(CAT!$M193/Pagos_por_año))))</f>
        <v/>
      </c>
      <c r="P193" s="53"/>
      <c r="Q193" s="53"/>
    </row>
    <row r="194" spans="1:17">
      <c r="A194" s="41" t="str">
        <f>+Tabla!A196</f>
        <v/>
      </c>
      <c r="B194" s="44" t="str">
        <f>+Tabla!AK196</f>
        <v/>
      </c>
      <c r="C194" s="42" t="str">
        <f>IF(Tabla!A196="","",(B194/((1+$C$9)^($A194/Parámetros!$D$6))))</f>
        <v/>
      </c>
      <c r="D194" s="43"/>
      <c r="E194" s="41" t="str">
        <f>+Tabla!A196</f>
        <v/>
      </c>
      <c r="F194" s="44" t="str">
        <f>Tabla!AL196</f>
        <v/>
      </c>
      <c r="G194" s="42" t="str">
        <f>IF(Tabla!A196="","",(F194/((1+$G$9)^(CAT!$E194/Pagos_por_año))))</f>
        <v/>
      </c>
      <c r="H194" s="42"/>
      <c r="I194" s="41" t="str">
        <f>+Tabla!A196</f>
        <v/>
      </c>
      <c r="J194" s="44" t="str">
        <f>+Tabla!AA196</f>
        <v/>
      </c>
      <c r="K194" s="42" t="str">
        <f>IF(Tabla!A196="","",(J194/((1+$K$9)^($I194/Parámetros!$D$6))))</f>
        <v/>
      </c>
      <c r="L194" s="43"/>
      <c r="M194" s="41" t="str">
        <f>+Tabla!A196</f>
        <v/>
      </c>
      <c r="N194" s="44" t="str">
        <f>Tabla!AI196</f>
        <v/>
      </c>
      <c r="O194" s="42" t="str">
        <f>IF(Tabla!A196="","",(N194/((1+$O$9)^(CAT!$M194/Pagos_por_año))))</f>
        <v/>
      </c>
      <c r="P194" s="53"/>
      <c r="Q194" s="53"/>
    </row>
    <row r="195" spans="1:17">
      <c r="A195" s="41" t="str">
        <f>+Tabla!A197</f>
        <v/>
      </c>
      <c r="B195" s="44" t="str">
        <f>+Tabla!AK197</f>
        <v/>
      </c>
      <c r="C195" s="42" t="str">
        <f>IF(Tabla!A197="","",(B195/((1+$C$9)^($A195/Parámetros!$D$6))))</f>
        <v/>
      </c>
      <c r="D195" s="43"/>
      <c r="E195" s="41" t="str">
        <f>+Tabla!A197</f>
        <v/>
      </c>
      <c r="F195" s="44" t="str">
        <f>Tabla!AL197</f>
        <v/>
      </c>
      <c r="G195" s="42" t="str">
        <f>IF(Tabla!A197="","",(F195/((1+$G$9)^(CAT!$E195/Pagos_por_año))))</f>
        <v/>
      </c>
      <c r="H195" s="42"/>
      <c r="I195" s="41" t="str">
        <f>+Tabla!A197</f>
        <v/>
      </c>
      <c r="J195" s="44" t="str">
        <f>+Tabla!AA197</f>
        <v/>
      </c>
      <c r="K195" s="42" t="str">
        <f>IF(Tabla!A197="","",(J195/((1+$K$9)^($I195/Parámetros!$D$6))))</f>
        <v/>
      </c>
      <c r="L195" s="43"/>
      <c r="M195" s="41" t="str">
        <f>+Tabla!A197</f>
        <v/>
      </c>
      <c r="N195" s="44" t="str">
        <f>Tabla!AI197</f>
        <v/>
      </c>
      <c r="O195" s="42" t="str">
        <f>IF(Tabla!A197="","",(N195/((1+$O$9)^(CAT!$M195/Pagos_por_año))))</f>
        <v/>
      </c>
      <c r="P195" s="53"/>
      <c r="Q195" s="53"/>
    </row>
    <row r="196" spans="1:17">
      <c r="A196" s="41" t="str">
        <f>+Tabla!A198</f>
        <v/>
      </c>
      <c r="B196" s="44" t="str">
        <f>+Tabla!AK198</f>
        <v/>
      </c>
      <c r="C196" s="42" t="str">
        <f>IF(Tabla!A198="","",(B196/((1+$C$9)^($A196/Parámetros!$D$6))))</f>
        <v/>
      </c>
      <c r="D196" s="43"/>
      <c r="E196" s="41" t="str">
        <f>+Tabla!A198</f>
        <v/>
      </c>
      <c r="F196" s="44" t="str">
        <f>Tabla!AL198</f>
        <v/>
      </c>
      <c r="G196" s="42" t="str">
        <f>IF(Tabla!A198="","",(F196/((1+$G$9)^(CAT!$E196/Pagos_por_año))))</f>
        <v/>
      </c>
      <c r="H196" s="42"/>
      <c r="I196" s="41" t="str">
        <f>+Tabla!A198</f>
        <v/>
      </c>
      <c r="J196" s="44" t="str">
        <f>+Tabla!AA198</f>
        <v/>
      </c>
      <c r="K196" s="42" t="str">
        <f>IF(Tabla!A198="","",(J196/((1+$K$9)^($I196/Parámetros!$D$6))))</f>
        <v/>
      </c>
      <c r="L196" s="43"/>
      <c r="M196" s="41" t="str">
        <f>+Tabla!A198</f>
        <v/>
      </c>
      <c r="N196" s="44" t="str">
        <f>Tabla!AI198</f>
        <v/>
      </c>
      <c r="O196" s="42" t="str">
        <f>IF(Tabla!A198="","",(N196/((1+$O$9)^(CAT!$M196/Pagos_por_año))))</f>
        <v/>
      </c>
      <c r="P196" s="53"/>
      <c r="Q196" s="53"/>
    </row>
    <row r="197" spans="1:17">
      <c r="A197" s="41" t="str">
        <f>+Tabla!A199</f>
        <v/>
      </c>
      <c r="B197" s="44" t="str">
        <f>+Tabla!AK199</f>
        <v/>
      </c>
      <c r="C197" s="42" t="str">
        <f>IF(Tabla!A199="","",(B197/((1+$C$9)^($A197/Parámetros!$D$6))))</f>
        <v/>
      </c>
      <c r="D197" s="43"/>
      <c r="E197" s="41" t="str">
        <f>+Tabla!A199</f>
        <v/>
      </c>
      <c r="F197" s="44" t="str">
        <f>Tabla!AL199</f>
        <v/>
      </c>
      <c r="G197" s="42" t="str">
        <f>IF(Tabla!A199="","",(F197/((1+$G$9)^(CAT!$E197/Pagos_por_año))))</f>
        <v/>
      </c>
      <c r="H197" s="42"/>
      <c r="I197" s="41" t="str">
        <f>+Tabla!A199</f>
        <v/>
      </c>
      <c r="J197" s="44" t="str">
        <f>+Tabla!AA199</f>
        <v/>
      </c>
      <c r="K197" s="42" t="str">
        <f>IF(Tabla!A199="","",(J197/((1+$K$9)^($I197/Parámetros!$D$6))))</f>
        <v/>
      </c>
      <c r="L197" s="43"/>
      <c r="M197" s="41" t="str">
        <f>+Tabla!A199</f>
        <v/>
      </c>
      <c r="N197" s="44" t="str">
        <f>Tabla!AI199</f>
        <v/>
      </c>
      <c r="O197" s="42" t="str">
        <f>IF(Tabla!A199="","",(N197/((1+$O$9)^(CAT!$M197/Pagos_por_año))))</f>
        <v/>
      </c>
      <c r="P197" s="53"/>
      <c r="Q197" s="53"/>
    </row>
    <row r="198" spans="1:17">
      <c r="A198" s="41" t="str">
        <f>+Tabla!A200</f>
        <v/>
      </c>
      <c r="B198" s="44" t="str">
        <f>+Tabla!AK200</f>
        <v/>
      </c>
      <c r="C198" s="42" t="str">
        <f>IF(Tabla!A200="","",(B198/((1+$C$9)^($A198/Parámetros!$D$6))))</f>
        <v/>
      </c>
      <c r="D198" s="43"/>
      <c r="E198" s="41" t="str">
        <f>+Tabla!A200</f>
        <v/>
      </c>
      <c r="F198" s="44" t="str">
        <f>Tabla!AL200</f>
        <v/>
      </c>
      <c r="G198" s="42" t="str">
        <f>IF(Tabla!A200="","",(F198/((1+$G$9)^(CAT!$E198/Pagos_por_año))))</f>
        <v/>
      </c>
      <c r="H198" s="42"/>
      <c r="I198" s="41" t="str">
        <f>+Tabla!A200</f>
        <v/>
      </c>
      <c r="J198" s="44" t="str">
        <f>+Tabla!AA200</f>
        <v/>
      </c>
      <c r="K198" s="42" t="str">
        <f>IF(Tabla!A200="","",(J198/((1+$K$9)^($I198/Parámetros!$D$6))))</f>
        <v/>
      </c>
      <c r="L198" s="43"/>
      <c r="M198" s="41" t="str">
        <f>+Tabla!A200</f>
        <v/>
      </c>
      <c r="N198" s="44" t="str">
        <f>Tabla!AI200</f>
        <v/>
      </c>
      <c r="O198" s="42" t="str">
        <f>IF(Tabla!A200="","",(N198/((1+$O$9)^(CAT!$M198/Pagos_por_año))))</f>
        <v/>
      </c>
      <c r="P198" s="53"/>
      <c r="Q198" s="53"/>
    </row>
    <row r="199" spans="1:17">
      <c r="A199" s="41" t="str">
        <f>+Tabla!A201</f>
        <v/>
      </c>
      <c r="B199" s="44" t="str">
        <f>+Tabla!AK201</f>
        <v/>
      </c>
      <c r="C199" s="42" t="str">
        <f>IF(Tabla!A201="","",(B199/((1+$C$9)^($A199/Parámetros!$D$6))))</f>
        <v/>
      </c>
      <c r="D199" s="43"/>
      <c r="E199" s="41" t="str">
        <f>+Tabla!A201</f>
        <v/>
      </c>
      <c r="F199" s="44" t="str">
        <f>Tabla!AL201</f>
        <v/>
      </c>
      <c r="G199" s="42" t="str">
        <f>IF(Tabla!A201="","",(F199/((1+$G$9)^(CAT!$E199/Pagos_por_año))))</f>
        <v/>
      </c>
      <c r="H199" s="42"/>
      <c r="I199" s="41" t="str">
        <f>+Tabla!A201</f>
        <v/>
      </c>
      <c r="J199" s="44" t="str">
        <f>+Tabla!AA201</f>
        <v/>
      </c>
      <c r="K199" s="42" t="str">
        <f>IF(Tabla!A201="","",(J199/((1+$K$9)^($I199/Parámetros!$D$6))))</f>
        <v/>
      </c>
      <c r="L199" s="43"/>
      <c r="M199" s="41" t="str">
        <f>+Tabla!A201</f>
        <v/>
      </c>
      <c r="N199" s="44" t="str">
        <f>Tabla!AI201</f>
        <v/>
      </c>
      <c r="O199" s="42" t="str">
        <f>IF(Tabla!A201="","",(N199/((1+$O$9)^(CAT!$M199/Pagos_por_año))))</f>
        <v/>
      </c>
      <c r="P199" s="53"/>
      <c r="Q199" s="53"/>
    </row>
    <row r="200" spans="1:17">
      <c r="A200" s="41" t="str">
        <f>+Tabla!A202</f>
        <v/>
      </c>
      <c r="B200" s="44" t="str">
        <f>+Tabla!AK202</f>
        <v/>
      </c>
      <c r="C200" s="42" t="str">
        <f>IF(Tabla!A202="","",(B200/((1+$C$9)^($A200/Parámetros!$D$6))))</f>
        <v/>
      </c>
      <c r="D200" s="43"/>
      <c r="E200" s="41" t="str">
        <f>+Tabla!A202</f>
        <v/>
      </c>
      <c r="F200" s="44" t="str">
        <f>Tabla!AL202</f>
        <v/>
      </c>
      <c r="G200" s="42" t="str">
        <f>IF(Tabla!A202="","",(F200/((1+$G$9)^(CAT!$E200/Pagos_por_año))))</f>
        <v/>
      </c>
      <c r="H200" s="42"/>
      <c r="I200" s="41" t="str">
        <f>+Tabla!A202</f>
        <v/>
      </c>
      <c r="J200" s="44" t="str">
        <f>+Tabla!AA202</f>
        <v/>
      </c>
      <c r="K200" s="42" t="str">
        <f>IF(Tabla!A202="","",(J200/((1+$K$9)^($I200/Parámetros!$D$6))))</f>
        <v/>
      </c>
      <c r="L200" s="43"/>
      <c r="M200" s="41" t="str">
        <f>+Tabla!A202</f>
        <v/>
      </c>
      <c r="N200" s="44" t="str">
        <f>Tabla!AI202</f>
        <v/>
      </c>
      <c r="O200" s="42" t="str">
        <f>IF(Tabla!A202="","",(N200/((1+$O$9)^(CAT!$M200/Pagos_por_año))))</f>
        <v/>
      </c>
      <c r="P200" s="53"/>
      <c r="Q200" s="53"/>
    </row>
    <row r="201" spans="1:17">
      <c r="A201" s="41" t="str">
        <f>+Tabla!A203</f>
        <v/>
      </c>
      <c r="B201" s="44" t="str">
        <f>+Tabla!AK203</f>
        <v/>
      </c>
      <c r="C201" s="42" t="str">
        <f>IF(Tabla!A203="","",(B201/((1+$C$9)^($A201/Parámetros!$D$6))))</f>
        <v/>
      </c>
      <c r="D201" s="43"/>
      <c r="E201" s="41" t="str">
        <f>+Tabla!A203</f>
        <v/>
      </c>
      <c r="F201" s="44" t="str">
        <f>Tabla!AL203</f>
        <v/>
      </c>
      <c r="G201" s="42" t="str">
        <f>IF(Tabla!A203="","",(F201/((1+$G$9)^(CAT!$E201/Pagos_por_año))))</f>
        <v/>
      </c>
      <c r="H201" s="42"/>
      <c r="I201" s="41" t="str">
        <f>+Tabla!A203</f>
        <v/>
      </c>
      <c r="J201" s="44" t="str">
        <f>+Tabla!AA203</f>
        <v/>
      </c>
      <c r="K201" s="42" t="str">
        <f>IF(Tabla!A203="","",(J201/((1+$K$9)^($I201/Parámetros!$D$6))))</f>
        <v/>
      </c>
      <c r="L201" s="43"/>
      <c r="M201" s="41" t="str">
        <f>+Tabla!A203</f>
        <v/>
      </c>
      <c r="N201" s="44" t="str">
        <f>Tabla!AI203</f>
        <v/>
      </c>
      <c r="O201" s="42" t="str">
        <f>IF(Tabla!A203="","",(N201/((1+$O$9)^(CAT!$M201/Pagos_por_año))))</f>
        <v/>
      </c>
      <c r="P201" s="53"/>
      <c r="Q201" s="53"/>
    </row>
    <row r="202" spans="1:17">
      <c r="A202" s="41" t="str">
        <f>+Tabla!A204</f>
        <v/>
      </c>
      <c r="B202" s="44" t="str">
        <f>+Tabla!AK204</f>
        <v/>
      </c>
      <c r="C202" s="42" t="str">
        <f>IF(Tabla!A204="","",(B202/((1+$C$9)^($A202/Parámetros!$D$6))))</f>
        <v/>
      </c>
      <c r="D202" s="43"/>
      <c r="E202" s="41" t="str">
        <f>+Tabla!A204</f>
        <v/>
      </c>
      <c r="F202" s="44" t="str">
        <f>Tabla!AL204</f>
        <v/>
      </c>
      <c r="G202" s="42" t="str">
        <f>IF(Tabla!A204="","",(F202/((1+$G$9)^(CAT!$E202/Pagos_por_año))))</f>
        <v/>
      </c>
      <c r="H202" s="42"/>
      <c r="I202" s="41" t="str">
        <f>+Tabla!A204</f>
        <v/>
      </c>
      <c r="J202" s="44" t="str">
        <f>+Tabla!AA204</f>
        <v/>
      </c>
      <c r="K202" s="42" t="str">
        <f>IF(Tabla!A204="","",(J202/((1+$K$9)^($I202/Parámetros!$D$6))))</f>
        <v/>
      </c>
      <c r="L202" s="43"/>
      <c r="M202" s="41" t="str">
        <f>+Tabla!A204</f>
        <v/>
      </c>
      <c r="N202" s="44" t="str">
        <f>Tabla!AI204</f>
        <v/>
      </c>
      <c r="O202" s="42" t="str">
        <f>IF(Tabla!A204="","",(N202/((1+$O$9)^(CAT!$M202/Pagos_por_año))))</f>
        <v/>
      </c>
      <c r="P202" s="53"/>
      <c r="Q202" s="53"/>
    </row>
    <row r="203" spans="1:17">
      <c r="A203" s="41" t="str">
        <f>+Tabla!A205</f>
        <v/>
      </c>
      <c r="B203" s="44" t="str">
        <f>+Tabla!AK205</f>
        <v/>
      </c>
      <c r="C203" s="42" t="str">
        <f>IF(Tabla!A205="","",(B203/((1+$C$9)^($A203/Parámetros!$D$6))))</f>
        <v/>
      </c>
      <c r="D203" s="43"/>
      <c r="E203" s="41" t="str">
        <f>+Tabla!A205</f>
        <v/>
      </c>
      <c r="F203" s="44" t="str">
        <f>Tabla!AL205</f>
        <v/>
      </c>
      <c r="G203" s="42" t="str">
        <f>IF(Tabla!A205="","",(F203/((1+$G$9)^(CAT!$E203/Pagos_por_año))))</f>
        <v/>
      </c>
      <c r="H203" s="42"/>
      <c r="I203" s="41" t="str">
        <f>+Tabla!A205</f>
        <v/>
      </c>
      <c r="J203" s="44" t="str">
        <f>+Tabla!AA205</f>
        <v/>
      </c>
      <c r="K203" s="42" t="str">
        <f>IF(Tabla!A205="","",(J203/((1+$K$9)^($I203/Parámetros!$D$6))))</f>
        <v/>
      </c>
      <c r="L203" s="43"/>
      <c r="M203" s="41" t="str">
        <f>+Tabla!A205</f>
        <v/>
      </c>
      <c r="N203" s="44" t="str">
        <f>Tabla!AI205</f>
        <v/>
      </c>
      <c r="O203" s="42" t="str">
        <f>IF(Tabla!A205="","",(N203/((1+$O$9)^(CAT!$M203/Pagos_por_año))))</f>
        <v/>
      </c>
      <c r="P203" s="53"/>
      <c r="Q203" s="53"/>
    </row>
    <row r="204" spans="1:17">
      <c r="A204" s="41" t="str">
        <f>+Tabla!A206</f>
        <v/>
      </c>
      <c r="B204" s="44" t="str">
        <f>+Tabla!AK206</f>
        <v/>
      </c>
      <c r="C204" s="42" t="str">
        <f>IF(Tabla!A206="","",(B204/((1+$C$9)^($A204/Parámetros!$D$6))))</f>
        <v/>
      </c>
      <c r="D204" s="43"/>
      <c r="E204" s="41" t="str">
        <f>+Tabla!A206</f>
        <v/>
      </c>
      <c r="F204" s="44" t="str">
        <f>Tabla!AL206</f>
        <v/>
      </c>
      <c r="G204" s="42" t="str">
        <f>IF(Tabla!A206="","",(F204/((1+$G$9)^(CAT!$E204/Pagos_por_año))))</f>
        <v/>
      </c>
      <c r="H204" s="42"/>
      <c r="I204" s="41" t="str">
        <f>+Tabla!A206</f>
        <v/>
      </c>
      <c r="J204" s="44" t="str">
        <f>+Tabla!AA206</f>
        <v/>
      </c>
      <c r="K204" s="42" t="str">
        <f>IF(Tabla!A206="","",(J204/((1+$K$9)^($I204/Parámetros!$D$6))))</f>
        <v/>
      </c>
      <c r="L204" s="43"/>
      <c r="M204" s="41" t="str">
        <f>+Tabla!A206</f>
        <v/>
      </c>
      <c r="N204" s="44" t="str">
        <f>Tabla!AI206</f>
        <v/>
      </c>
      <c r="O204" s="42" t="str">
        <f>IF(Tabla!A206="","",(N204/((1+$O$9)^(CAT!$M204/Pagos_por_año))))</f>
        <v/>
      </c>
      <c r="P204" s="53"/>
      <c r="Q204" s="53"/>
    </row>
    <row r="205" spans="1:17">
      <c r="A205" s="41" t="str">
        <f>+Tabla!A207</f>
        <v/>
      </c>
      <c r="B205" s="44" t="str">
        <f>+Tabla!AK207</f>
        <v/>
      </c>
      <c r="C205" s="42" t="str">
        <f>IF(Tabla!A207="","",(B205/((1+$C$9)^($A205/Parámetros!$D$6))))</f>
        <v/>
      </c>
      <c r="D205" s="43"/>
      <c r="E205" s="41" t="str">
        <f>+Tabla!A207</f>
        <v/>
      </c>
      <c r="F205" s="44" t="str">
        <f>Tabla!AL207</f>
        <v/>
      </c>
      <c r="G205" s="42" t="str">
        <f>IF(Tabla!A207="","",(F205/((1+$G$9)^(CAT!$E205/Pagos_por_año))))</f>
        <v/>
      </c>
      <c r="H205" s="42"/>
      <c r="I205" s="41" t="str">
        <f>+Tabla!A207</f>
        <v/>
      </c>
      <c r="J205" s="44" t="str">
        <f>+Tabla!AA207</f>
        <v/>
      </c>
      <c r="K205" s="42" t="str">
        <f>IF(Tabla!A207="","",(J205/((1+$K$9)^($I205/Parámetros!$D$6))))</f>
        <v/>
      </c>
      <c r="L205" s="43"/>
      <c r="M205" s="41" t="str">
        <f>+Tabla!A207</f>
        <v/>
      </c>
      <c r="N205" s="44" t="str">
        <f>Tabla!AI207</f>
        <v/>
      </c>
      <c r="O205" s="42" t="str">
        <f>IF(Tabla!A207="","",(N205/((1+$O$9)^(CAT!$M205/Pagos_por_año))))</f>
        <v/>
      </c>
      <c r="P205" s="53"/>
      <c r="Q205" s="53"/>
    </row>
    <row r="206" spans="1:17">
      <c r="A206" s="41" t="str">
        <f>+Tabla!A208</f>
        <v/>
      </c>
      <c r="B206" s="44" t="str">
        <f>+Tabla!AK208</f>
        <v/>
      </c>
      <c r="C206" s="42" t="str">
        <f>IF(Tabla!A208="","",(B206/((1+$C$9)^($A206/Parámetros!$D$6))))</f>
        <v/>
      </c>
      <c r="D206" s="43"/>
      <c r="E206" s="41" t="str">
        <f>+Tabla!A208</f>
        <v/>
      </c>
      <c r="F206" s="44" t="str">
        <f>Tabla!AL208</f>
        <v/>
      </c>
      <c r="G206" s="42" t="str">
        <f>IF(Tabla!A208="","",(F206/((1+$G$9)^(CAT!$E206/Pagos_por_año))))</f>
        <v/>
      </c>
      <c r="H206" s="42"/>
      <c r="I206" s="41" t="str">
        <f>+Tabla!A208</f>
        <v/>
      </c>
      <c r="J206" s="44" t="str">
        <f>+Tabla!AA208</f>
        <v/>
      </c>
      <c r="K206" s="42" t="str">
        <f>IF(Tabla!A208="","",(J206/((1+$K$9)^($I206/Parámetros!$D$6))))</f>
        <v/>
      </c>
      <c r="L206" s="43"/>
      <c r="M206" s="41" t="str">
        <f>+Tabla!A208</f>
        <v/>
      </c>
      <c r="N206" s="44" t="str">
        <f>Tabla!AI208</f>
        <v/>
      </c>
      <c r="O206" s="42" t="str">
        <f>IF(Tabla!A208="","",(N206/((1+$O$9)^(CAT!$M206/Pagos_por_año))))</f>
        <v/>
      </c>
      <c r="P206" s="53"/>
      <c r="Q206" s="53"/>
    </row>
    <row r="207" spans="1:17">
      <c r="A207" s="41" t="str">
        <f>+Tabla!A209</f>
        <v/>
      </c>
      <c r="B207" s="44" t="str">
        <f>+Tabla!AK209</f>
        <v/>
      </c>
      <c r="C207" s="42" t="str">
        <f>IF(Tabla!A209="","",(B207/((1+$C$9)^($A207/Parámetros!$D$6))))</f>
        <v/>
      </c>
      <c r="D207" s="43"/>
      <c r="E207" s="41" t="str">
        <f>+Tabla!A209</f>
        <v/>
      </c>
      <c r="F207" s="44" t="str">
        <f>Tabla!AL209</f>
        <v/>
      </c>
      <c r="G207" s="42" t="str">
        <f>IF(Tabla!A209="","",(F207/((1+$G$9)^(CAT!$E207/Pagos_por_año))))</f>
        <v/>
      </c>
      <c r="H207" s="42"/>
      <c r="I207" s="41" t="str">
        <f>+Tabla!A209</f>
        <v/>
      </c>
      <c r="J207" s="44" t="str">
        <f>+Tabla!AA209</f>
        <v/>
      </c>
      <c r="K207" s="42" t="str">
        <f>IF(Tabla!A209="","",(J207/((1+$K$9)^($I207/Parámetros!$D$6))))</f>
        <v/>
      </c>
      <c r="L207" s="43"/>
      <c r="M207" s="41" t="str">
        <f>+Tabla!A209</f>
        <v/>
      </c>
      <c r="N207" s="44" t="str">
        <f>Tabla!AI209</f>
        <v/>
      </c>
      <c r="O207" s="42" t="str">
        <f>IF(Tabla!A209="","",(N207/((1+$O$9)^(CAT!$M207/Pagos_por_año))))</f>
        <v/>
      </c>
      <c r="P207" s="53"/>
      <c r="Q207" s="53"/>
    </row>
    <row r="208" spans="1:17">
      <c r="A208" s="41" t="str">
        <f>+Tabla!A210</f>
        <v/>
      </c>
      <c r="B208" s="44" t="str">
        <f>+Tabla!AK210</f>
        <v/>
      </c>
      <c r="C208" s="42" t="str">
        <f>IF(Tabla!A210="","",(B208/((1+$C$9)^($A208/Parámetros!$D$6))))</f>
        <v/>
      </c>
      <c r="D208" s="43"/>
      <c r="E208" s="41" t="str">
        <f>+Tabla!A210</f>
        <v/>
      </c>
      <c r="F208" s="44" t="str">
        <f>Tabla!AL210</f>
        <v/>
      </c>
      <c r="G208" s="42" t="str">
        <f>IF(Tabla!A210="","",(F208/((1+$G$9)^(CAT!$E208/Pagos_por_año))))</f>
        <v/>
      </c>
      <c r="H208" s="42"/>
      <c r="I208" s="41" t="str">
        <f>+Tabla!A210</f>
        <v/>
      </c>
      <c r="J208" s="44" t="str">
        <f>+Tabla!AA210</f>
        <v/>
      </c>
      <c r="K208" s="42" t="str">
        <f>IF(Tabla!A210="","",(J208/((1+$K$9)^($I208/Parámetros!$D$6))))</f>
        <v/>
      </c>
      <c r="L208" s="43"/>
      <c r="M208" s="41" t="str">
        <f>+Tabla!A210</f>
        <v/>
      </c>
      <c r="N208" s="44" t="str">
        <f>Tabla!AI210</f>
        <v/>
      </c>
      <c r="O208" s="42" t="str">
        <f>IF(Tabla!A210="","",(N208/((1+$O$9)^(CAT!$M208/Pagos_por_año))))</f>
        <v/>
      </c>
      <c r="P208" s="53"/>
      <c r="Q208" s="53"/>
    </row>
    <row r="209" spans="1:17">
      <c r="A209" s="41" t="str">
        <f>+Tabla!A211</f>
        <v/>
      </c>
      <c r="B209" s="44" t="str">
        <f>+Tabla!AK211</f>
        <v/>
      </c>
      <c r="C209" s="42" t="str">
        <f>IF(Tabla!A211="","",(B209/((1+$C$9)^($A209/Parámetros!$D$6))))</f>
        <v/>
      </c>
      <c r="D209" s="43"/>
      <c r="E209" s="41" t="str">
        <f>+Tabla!A211</f>
        <v/>
      </c>
      <c r="F209" s="44" t="str">
        <f>Tabla!AL211</f>
        <v/>
      </c>
      <c r="G209" s="42" t="str">
        <f>IF(Tabla!A211="","",(F209/((1+$G$9)^(CAT!$E209/Pagos_por_año))))</f>
        <v/>
      </c>
      <c r="H209" s="42"/>
      <c r="I209" s="41" t="str">
        <f>+Tabla!A211</f>
        <v/>
      </c>
      <c r="J209" s="44" t="str">
        <f>+Tabla!AA211</f>
        <v/>
      </c>
      <c r="K209" s="42" t="str">
        <f>IF(Tabla!A211="","",(J209/((1+$K$9)^($I209/Parámetros!$D$6))))</f>
        <v/>
      </c>
      <c r="L209" s="43"/>
      <c r="M209" s="41" t="str">
        <f>+Tabla!A211</f>
        <v/>
      </c>
      <c r="N209" s="44" t="str">
        <f>Tabla!AI211</f>
        <v/>
      </c>
      <c r="O209" s="42" t="str">
        <f>IF(Tabla!A211="","",(N209/((1+$O$9)^(CAT!$M209/Pagos_por_año))))</f>
        <v/>
      </c>
      <c r="P209" s="53"/>
      <c r="Q209" s="53"/>
    </row>
    <row r="210" spans="1:17">
      <c r="A210" s="41" t="str">
        <f>+Tabla!A212</f>
        <v/>
      </c>
      <c r="B210" s="44" t="str">
        <f>+Tabla!AK212</f>
        <v/>
      </c>
      <c r="C210" s="42" t="str">
        <f>IF(Tabla!A212="","",(B210/((1+$C$9)^($A210/Parámetros!$D$6))))</f>
        <v/>
      </c>
      <c r="D210" s="43"/>
      <c r="E210" s="41" t="str">
        <f>+Tabla!A212</f>
        <v/>
      </c>
      <c r="F210" s="44" t="str">
        <f>Tabla!AL212</f>
        <v/>
      </c>
      <c r="G210" s="42" t="str">
        <f>IF(Tabla!A212="","",(F210/((1+$G$9)^(CAT!$E210/Pagos_por_año))))</f>
        <v/>
      </c>
      <c r="H210" s="42"/>
      <c r="I210" s="41" t="str">
        <f>+Tabla!A212</f>
        <v/>
      </c>
      <c r="J210" s="44" t="str">
        <f>+Tabla!AA212</f>
        <v/>
      </c>
      <c r="K210" s="42" t="str">
        <f>IF(Tabla!A212="","",(J210/((1+$K$9)^($I210/Parámetros!$D$6))))</f>
        <v/>
      </c>
      <c r="L210" s="43"/>
      <c r="M210" s="41" t="str">
        <f>+Tabla!A212</f>
        <v/>
      </c>
      <c r="N210" s="44" t="str">
        <f>Tabla!AI212</f>
        <v/>
      </c>
      <c r="O210" s="42" t="str">
        <f>IF(Tabla!A212="","",(N210/((1+$O$9)^(CAT!$M210/Pagos_por_año))))</f>
        <v/>
      </c>
      <c r="P210" s="53"/>
      <c r="Q210" s="53"/>
    </row>
    <row r="211" spans="1:17">
      <c r="A211" s="41" t="str">
        <f>+Tabla!A213</f>
        <v/>
      </c>
      <c r="B211" s="44" t="str">
        <f>+Tabla!AK213</f>
        <v/>
      </c>
      <c r="C211" s="42" t="str">
        <f>IF(Tabla!A213="","",(B211/((1+$C$9)^($A211/Parámetros!$D$6))))</f>
        <v/>
      </c>
      <c r="D211" s="43"/>
      <c r="E211" s="41" t="str">
        <f>+Tabla!A213</f>
        <v/>
      </c>
      <c r="F211" s="44" t="str">
        <f>Tabla!AL213</f>
        <v/>
      </c>
      <c r="G211" s="42" t="str">
        <f>IF(Tabla!A213="","",(F211/((1+$G$9)^(CAT!$E211/Pagos_por_año))))</f>
        <v/>
      </c>
      <c r="H211" s="42"/>
      <c r="I211" s="41" t="str">
        <f>+Tabla!A213</f>
        <v/>
      </c>
      <c r="J211" s="44" t="str">
        <f>+Tabla!AA213</f>
        <v/>
      </c>
      <c r="K211" s="42" t="str">
        <f>IF(Tabla!A213="","",(J211/((1+$K$9)^($I211/Parámetros!$D$6))))</f>
        <v/>
      </c>
      <c r="L211" s="43"/>
      <c r="M211" s="41" t="str">
        <f>+Tabla!A213</f>
        <v/>
      </c>
      <c r="N211" s="44" t="str">
        <f>Tabla!AI213</f>
        <v/>
      </c>
      <c r="O211" s="42" t="str">
        <f>IF(Tabla!A213="","",(N211/((1+$O$9)^(CAT!$M211/Pagos_por_año))))</f>
        <v/>
      </c>
      <c r="P211" s="53"/>
      <c r="Q211" s="53"/>
    </row>
    <row r="212" spans="1:17">
      <c r="A212" s="41" t="str">
        <f>+Tabla!A214</f>
        <v/>
      </c>
      <c r="B212" s="44" t="str">
        <f>+Tabla!AK214</f>
        <v/>
      </c>
      <c r="C212" s="42" t="str">
        <f>IF(Tabla!A214="","",(B212/((1+$C$9)^($A212/Parámetros!$D$6))))</f>
        <v/>
      </c>
      <c r="D212" s="43"/>
      <c r="E212" s="41" t="str">
        <f>+Tabla!A214</f>
        <v/>
      </c>
      <c r="F212" s="44" t="str">
        <f>Tabla!AL214</f>
        <v/>
      </c>
      <c r="G212" s="42" t="str">
        <f>IF(Tabla!A214="","",(F212/((1+$G$9)^(CAT!$E212/Pagos_por_año))))</f>
        <v/>
      </c>
      <c r="H212" s="42"/>
      <c r="I212" s="41" t="str">
        <f>+Tabla!A214</f>
        <v/>
      </c>
      <c r="J212" s="44" t="str">
        <f>+Tabla!AA214</f>
        <v/>
      </c>
      <c r="K212" s="42" t="str">
        <f>IF(Tabla!A214="","",(J212/((1+$K$9)^($I212/Parámetros!$D$6))))</f>
        <v/>
      </c>
      <c r="L212" s="43"/>
      <c r="M212" s="41" t="str">
        <f>+Tabla!A214</f>
        <v/>
      </c>
      <c r="N212" s="44" t="str">
        <f>Tabla!AI214</f>
        <v/>
      </c>
      <c r="O212" s="42" t="str">
        <f>IF(Tabla!A214="","",(N212/((1+$O$9)^(CAT!$M212/Pagos_por_año))))</f>
        <v/>
      </c>
      <c r="P212" s="53"/>
      <c r="Q212" s="53"/>
    </row>
    <row r="213" spans="1:17">
      <c r="A213" s="41" t="str">
        <f>+Tabla!A215</f>
        <v/>
      </c>
      <c r="B213" s="44" t="str">
        <f>+Tabla!AK215</f>
        <v/>
      </c>
      <c r="C213" s="42" t="str">
        <f>IF(Tabla!A215="","",(B213/((1+$C$9)^($A213/Parámetros!$D$6))))</f>
        <v/>
      </c>
      <c r="D213" s="43"/>
      <c r="E213" s="41" t="str">
        <f>+Tabla!A215</f>
        <v/>
      </c>
      <c r="F213" s="44" t="str">
        <f>Tabla!AL215</f>
        <v/>
      </c>
      <c r="G213" s="42" t="str">
        <f>IF(Tabla!A215="","",(F213/((1+$G$9)^(CAT!$E213/Pagos_por_año))))</f>
        <v/>
      </c>
      <c r="H213" s="42"/>
      <c r="I213" s="41" t="str">
        <f>+Tabla!A215</f>
        <v/>
      </c>
      <c r="J213" s="44" t="str">
        <f>+Tabla!AA215</f>
        <v/>
      </c>
      <c r="K213" s="42" t="str">
        <f>IF(Tabla!A215="","",(J213/((1+$K$9)^($I213/Parámetros!$D$6))))</f>
        <v/>
      </c>
      <c r="L213" s="43"/>
      <c r="M213" s="41" t="str">
        <f>+Tabla!A215</f>
        <v/>
      </c>
      <c r="N213" s="44" t="str">
        <f>Tabla!AI215</f>
        <v/>
      </c>
      <c r="O213" s="42" t="str">
        <f>IF(Tabla!A215="","",(N213/((1+$O$9)^(CAT!$M213/Pagos_por_año))))</f>
        <v/>
      </c>
      <c r="P213" s="53"/>
      <c r="Q213" s="53"/>
    </row>
    <row r="214" spans="1:17">
      <c r="A214" s="41" t="str">
        <f>+Tabla!A216</f>
        <v/>
      </c>
      <c r="B214" s="44" t="str">
        <f>+Tabla!AK216</f>
        <v/>
      </c>
      <c r="C214" s="42" t="str">
        <f>IF(Tabla!A216="","",(B214/((1+$C$9)^($A214/Parámetros!$D$6))))</f>
        <v/>
      </c>
      <c r="D214" s="43"/>
      <c r="E214" s="41" t="str">
        <f>+Tabla!A216</f>
        <v/>
      </c>
      <c r="F214" s="44" t="str">
        <f>Tabla!AL216</f>
        <v/>
      </c>
      <c r="G214" s="42" t="str">
        <f>IF(Tabla!A216="","",(F214/((1+$G$9)^(CAT!$E214/Pagos_por_año))))</f>
        <v/>
      </c>
      <c r="H214" s="42"/>
      <c r="I214" s="41" t="str">
        <f>+Tabla!A216</f>
        <v/>
      </c>
      <c r="J214" s="44" t="str">
        <f>+Tabla!AA216</f>
        <v/>
      </c>
      <c r="K214" s="42" t="str">
        <f>IF(Tabla!A216="","",(J214/((1+$K$9)^($I214/Parámetros!$D$6))))</f>
        <v/>
      </c>
      <c r="L214" s="43"/>
      <c r="M214" s="41" t="str">
        <f>+Tabla!A216</f>
        <v/>
      </c>
      <c r="N214" s="44" t="str">
        <f>Tabla!AI216</f>
        <v/>
      </c>
      <c r="O214" s="42" t="str">
        <f>IF(Tabla!A216="","",(N214/((1+$O$9)^(CAT!$M214/Pagos_por_año))))</f>
        <v/>
      </c>
      <c r="P214" s="53"/>
      <c r="Q214" s="53"/>
    </row>
    <row r="215" spans="1:17">
      <c r="A215" s="41" t="str">
        <f>+Tabla!A217</f>
        <v/>
      </c>
      <c r="B215" s="44" t="str">
        <f>+Tabla!AK217</f>
        <v/>
      </c>
      <c r="C215" s="42" t="str">
        <f>IF(Tabla!A217="","",(B215/((1+$C$9)^($A215/Parámetros!$D$6))))</f>
        <v/>
      </c>
      <c r="D215" s="43"/>
      <c r="E215" s="41" t="str">
        <f>+Tabla!A217</f>
        <v/>
      </c>
      <c r="F215" s="44" t="str">
        <f>Tabla!AL217</f>
        <v/>
      </c>
      <c r="G215" s="42" t="str">
        <f>IF(Tabla!A217="","",(F215/((1+$G$9)^(CAT!$E215/Pagos_por_año))))</f>
        <v/>
      </c>
      <c r="H215" s="42"/>
      <c r="I215" s="41" t="str">
        <f>+Tabla!A217</f>
        <v/>
      </c>
      <c r="J215" s="44" t="str">
        <f>+Tabla!AA217</f>
        <v/>
      </c>
      <c r="K215" s="42" t="str">
        <f>IF(Tabla!A217="","",(J215/((1+$K$9)^($I215/Parámetros!$D$6))))</f>
        <v/>
      </c>
      <c r="L215" s="43"/>
      <c r="M215" s="41" t="str">
        <f>+Tabla!A217</f>
        <v/>
      </c>
      <c r="N215" s="44" t="str">
        <f>Tabla!AI217</f>
        <v/>
      </c>
      <c r="O215" s="42" t="str">
        <f>IF(Tabla!A217="","",(N215/((1+$O$9)^(CAT!$M215/Pagos_por_año))))</f>
        <v/>
      </c>
      <c r="P215" s="53"/>
      <c r="Q215" s="53"/>
    </row>
    <row r="216" spans="1:17">
      <c r="A216" s="41" t="str">
        <f>+Tabla!A218</f>
        <v/>
      </c>
      <c r="B216" s="44" t="str">
        <f>+Tabla!AK218</f>
        <v/>
      </c>
      <c r="C216" s="42" t="str">
        <f>IF(Tabla!A218="","",(B216/((1+$C$9)^($A216/Parámetros!$D$6))))</f>
        <v/>
      </c>
      <c r="D216" s="43"/>
      <c r="E216" s="41" t="str">
        <f>+Tabla!A218</f>
        <v/>
      </c>
      <c r="F216" s="44" t="str">
        <f>Tabla!AL218</f>
        <v/>
      </c>
      <c r="G216" s="42" t="str">
        <f>IF(Tabla!A218="","",(F216/((1+$G$9)^(CAT!$E216/Pagos_por_año))))</f>
        <v/>
      </c>
      <c r="H216" s="42"/>
      <c r="I216" s="41" t="str">
        <f>+Tabla!A218</f>
        <v/>
      </c>
      <c r="J216" s="44" t="str">
        <f>+Tabla!AA218</f>
        <v/>
      </c>
      <c r="K216" s="42" t="str">
        <f>IF(Tabla!A218="","",(J216/((1+$K$9)^($I216/Parámetros!$D$6))))</f>
        <v/>
      </c>
      <c r="L216" s="43"/>
      <c r="M216" s="41" t="str">
        <f>+Tabla!A218</f>
        <v/>
      </c>
      <c r="N216" s="44" t="str">
        <f>Tabla!AI218</f>
        <v/>
      </c>
      <c r="O216" s="42" t="str">
        <f>IF(Tabla!A218="","",(N216/((1+$O$9)^(CAT!$M216/Pagos_por_año))))</f>
        <v/>
      </c>
      <c r="P216" s="53"/>
      <c r="Q216" s="53"/>
    </row>
    <row r="217" spans="1:17">
      <c r="A217" s="41" t="str">
        <f>+Tabla!A219</f>
        <v/>
      </c>
      <c r="B217" s="44" t="str">
        <f>+Tabla!AK219</f>
        <v/>
      </c>
      <c r="C217" s="42" t="str">
        <f>IF(Tabla!A219="","",(B217/((1+$C$9)^($A217/Parámetros!$D$6))))</f>
        <v/>
      </c>
      <c r="D217" s="43"/>
      <c r="E217" s="41" t="str">
        <f>+Tabla!A219</f>
        <v/>
      </c>
      <c r="F217" s="44" t="str">
        <f>Tabla!AL219</f>
        <v/>
      </c>
      <c r="G217" s="42" t="str">
        <f>IF(Tabla!A219="","",(F217/((1+$G$9)^(CAT!$E217/Pagos_por_año))))</f>
        <v/>
      </c>
      <c r="H217" s="42"/>
      <c r="I217" s="41" t="str">
        <f>+Tabla!A219</f>
        <v/>
      </c>
      <c r="J217" s="44" t="str">
        <f>+Tabla!AA219</f>
        <v/>
      </c>
      <c r="K217" s="42" t="str">
        <f>IF(Tabla!A219="","",(J217/((1+$K$9)^($I217/Parámetros!$D$6))))</f>
        <v/>
      </c>
      <c r="L217" s="43"/>
      <c r="M217" s="41" t="str">
        <f>+Tabla!A219</f>
        <v/>
      </c>
      <c r="N217" s="44" t="str">
        <f>Tabla!AI219</f>
        <v/>
      </c>
      <c r="O217" s="42" t="str">
        <f>IF(Tabla!A219="","",(N217/((1+$O$9)^(CAT!$M217/Pagos_por_año))))</f>
        <v/>
      </c>
      <c r="P217" s="53"/>
      <c r="Q217" s="53"/>
    </row>
    <row r="218" spans="1:17">
      <c r="A218" s="41" t="str">
        <f>+Tabla!A220</f>
        <v/>
      </c>
      <c r="B218" s="44" t="str">
        <f>+Tabla!AK220</f>
        <v/>
      </c>
      <c r="C218" s="42" t="str">
        <f>IF(Tabla!A220="","",(B218/((1+$C$9)^($A218/Parámetros!$D$6))))</f>
        <v/>
      </c>
      <c r="D218" s="43"/>
      <c r="E218" s="41" t="str">
        <f>+Tabla!A220</f>
        <v/>
      </c>
      <c r="F218" s="44" t="str">
        <f>Tabla!AL220</f>
        <v/>
      </c>
      <c r="G218" s="42" t="str">
        <f>IF(Tabla!A220="","",(F218/((1+$G$9)^(CAT!$E218/Pagos_por_año))))</f>
        <v/>
      </c>
      <c r="H218" s="42"/>
      <c r="I218" s="41" t="str">
        <f>+Tabla!A220</f>
        <v/>
      </c>
      <c r="J218" s="44" t="str">
        <f>+Tabla!AA220</f>
        <v/>
      </c>
      <c r="K218" s="42" t="str">
        <f>IF(Tabla!A220="","",(J218/((1+$K$9)^($I218/Parámetros!$D$6))))</f>
        <v/>
      </c>
      <c r="L218" s="43"/>
      <c r="M218" s="41" t="str">
        <f>+Tabla!A220</f>
        <v/>
      </c>
      <c r="N218" s="44" t="str">
        <f>Tabla!AI220</f>
        <v/>
      </c>
      <c r="O218" s="42" t="str">
        <f>IF(Tabla!A220="","",(N218/((1+$O$9)^(CAT!$M218/Pagos_por_año))))</f>
        <v/>
      </c>
      <c r="P218" s="53"/>
      <c r="Q218" s="53"/>
    </row>
    <row r="219" spans="1:17">
      <c r="A219" s="41" t="str">
        <f>+Tabla!A221</f>
        <v/>
      </c>
      <c r="B219" s="44" t="str">
        <f>+Tabla!AK221</f>
        <v/>
      </c>
      <c r="C219" s="42" t="str">
        <f>IF(Tabla!A221="","",(B219/((1+$C$9)^($A219/Parámetros!$D$6))))</f>
        <v/>
      </c>
      <c r="D219" s="43"/>
      <c r="E219" s="41" t="str">
        <f>+Tabla!A221</f>
        <v/>
      </c>
      <c r="F219" s="44" t="str">
        <f>Tabla!AL221</f>
        <v/>
      </c>
      <c r="G219" s="42" t="str">
        <f>IF(Tabla!A221="","",(F219/((1+$G$9)^(CAT!$E219/Pagos_por_año))))</f>
        <v/>
      </c>
      <c r="H219" s="42"/>
      <c r="I219" s="41" t="str">
        <f>+Tabla!A221</f>
        <v/>
      </c>
      <c r="J219" s="44" t="str">
        <f>+Tabla!AA221</f>
        <v/>
      </c>
      <c r="K219" s="42" t="str">
        <f>IF(Tabla!A221="","",(J219/((1+$K$9)^($I219/Parámetros!$D$6))))</f>
        <v/>
      </c>
      <c r="L219" s="43"/>
      <c r="M219" s="41" t="str">
        <f>+Tabla!A221</f>
        <v/>
      </c>
      <c r="N219" s="44" t="str">
        <f>Tabla!AI221</f>
        <v/>
      </c>
      <c r="O219" s="42" t="str">
        <f>IF(Tabla!A221="","",(N219/((1+$O$9)^(CAT!$M219/Pagos_por_año))))</f>
        <v/>
      </c>
      <c r="P219" s="53"/>
      <c r="Q219" s="53"/>
    </row>
    <row r="220" spans="1:17">
      <c r="A220" s="41" t="str">
        <f>+Tabla!A222</f>
        <v/>
      </c>
      <c r="B220" s="44" t="str">
        <f>+Tabla!AK222</f>
        <v/>
      </c>
      <c r="C220" s="42" t="str">
        <f>IF(Tabla!A222="","",(B220/((1+$C$9)^($A220/Parámetros!$D$6))))</f>
        <v/>
      </c>
      <c r="D220" s="43"/>
      <c r="E220" s="41" t="str">
        <f>+Tabla!A222</f>
        <v/>
      </c>
      <c r="F220" s="44" t="str">
        <f>Tabla!AL222</f>
        <v/>
      </c>
      <c r="G220" s="42" t="str">
        <f>IF(Tabla!A222="","",(F220/((1+$G$9)^(CAT!$E220/Pagos_por_año))))</f>
        <v/>
      </c>
      <c r="H220" s="42"/>
      <c r="I220" s="41" t="str">
        <f>+Tabla!A222</f>
        <v/>
      </c>
      <c r="J220" s="44" t="str">
        <f>+Tabla!AA222</f>
        <v/>
      </c>
      <c r="K220" s="42" t="str">
        <f>IF(Tabla!A222="","",(J220/((1+$K$9)^($I220/Parámetros!$D$6))))</f>
        <v/>
      </c>
      <c r="L220" s="43"/>
      <c r="M220" s="41" t="str">
        <f>+Tabla!A222</f>
        <v/>
      </c>
      <c r="N220" s="44" t="str">
        <f>Tabla!AI222</f>
        <v/>
      </c>
      <c r="O220" s="42" t="str">
        <f>IF(Tabla!A222="","",(N220/((1+$O$9)^(CAT!$M220/Pagos_por_año))))</f>
        <v/>
      </c>
      <c r="P220" s="53"/>
      <c r="Q220" s="53"/>
    </row>
    <row r="221" spans="1:17">
      <c r="A221" s="41" t="str">
        <f>+Tabla!A223</f>
        <v/>
      </c>
      <c r="B221" s="44" t="str">
        <f>+Tabla!AK223</f>
        <v/>
      </c>
      <c r="C221" s="42" t="str">
        <f>IF(Tabla!A223="","",(B221/((1+$C$9)^($A221/Parámetros!$D$6))))</f>
        <v/>
      </c>
      <c r="D221" s="43"/>
      <c r="E221" s="41" t="str">
        <f>+Tabla!A223</f>
        <v/>
      </c>
      <c r="F221" s="44" t="str">
        <f>Tabla!AL223</f>
        <v/>
      </c>
      <c r="G221" s="42" t="str">
        <f>IF(Tabla!A223="","",(F221/((1+$G$9)^(CAT!$E221/Pagos_por_año))))</f>
        <v/>
      </c>
      <c r="H221" s="42"/>
      <c r="I221" s="41" t="str">
        <f>+Tabla!A223</f>
        <v/>
      </c>
      <c r="J221" s="44" t="str">
        <f>+Tabla!AA223</f>
        <v/>
      </c>
      <c r="K221" s="42" t="str">
        <f>IF(Tabla!A223="","",(J221/((1+$K$9)^($I221/Parámetros!$D$6))))</f>
        <v/>
      </c>
      <c r="L221" s="43"/>
      <c r="M221" s="41" t="str">
        <f>+Tabla!A223</f>
        <v/>
      </c>
      <c r="N221" s="44" t="str">
        <f>Tabla!AI223</f>
        <v/>
      </c>
      <c r="O221" s="42" t="str">
        <f>IF(Tabla!A223="","",(N221/((1+$O$9)^(CAT!$M221/Pagos_por_año))))</f>
        <v/>
      </c>
      <c r="P221" s="53"/>
      <c r="Q221" s="53"/>
    </row>
    <row r="222" spans="1:17">
      <c r="A222" s="41" t="str">
        <f>+Tabla!A224</f>
        <v/>
      </c>
      <c r="B222" s="44" t="str">
        <f>+Tabla!AK224</f>
        <v/>
      </c>
      <c r="C222" s="42" t="str">
        <f>IF(Tabla!A224="","",(B222/((1+$C$9)^($A222/Parámetros!$D$6))))</f>
        <v/>
      </c>
      <c r="D222" s="43"/>
      <c r="E222" s="41" t="str">
        <f>+Tabla!A224</f>
        <v/>
      </c>
      <c r="F222" s="44" t="str">
        <f>Tabla!AL224</f>
        <v/>
      </c>
      <c r="G222" s="42" t="str">
        <f>IF(Tabla!A224="","",(F222/((1+$G$9)^(CAT!$E222/Pagos_por_año))))</f>
        <v/>
      </c>
      <c r="H222" s="42"/>
      <c r="I222" s="41" t="str">
        <f>+Tabla!A224</f>
        <v/>
      </c>
      <c r="J222" s="44" t="str">
        <f>+Tabla!AA224</f>
        <v/>
      </c>
      <c r="K222" s="42" t="str">
        <f>IF(Tabla!A224="","",(J222/((1+$K$9)^($I222/Parámetros!$D$6))))</f>
        <v/>
      </c>
      <c r="L222" s="43"/>
      <c r="M222" s="41" t="str">
        <f>+Tabla!A224</f>
        <v/>
      </c>
      <c r="N222" s="44" t="str">
        <f>Tabla!AI224</f>
        <v/>
      </c>
      <c r="O222" s="42" t="str">
        <f>IF(Tabla!A224="","",(N222/((1+$O$9)^(CAT!$M222/Pagos_por_año))))</f>
        <v/>
      </c>
      <c r="P222" s="53"/>
      <c r="Q222" s="53"/>
    </row>
    <row r="223" spans="1:17">
      <c r="A223" s="41" t="str">
        <f>+Tabla!A225</f>
        <v/>
      </c>
      <c r="B223" s="44" t="str">
        <f>+Tabla!AK225</f>
        <v/>
      </c>
      <c r="C223" s="42" t="str">
        <f>IF(Tabla!A225="","",(B223/((1+$C$9)^($A223/Parámetros!$D$6))))</f>
        <v/>
      </c>
      <c r="D223" s="43"/>
      <c r="E223" s="41" t="str">
        <f>+Tabla!A225</f>
        <v/>
      </c>
      <c r="F223" s="44" t="str">
        <f>Tabla!AL225</f>
        <v/>
      </c>
      <c r="G223" s="42" t="str">
        <f>IF(Tabla!A225="","",(F223/((1+$G$9)^(CAT!$E223/Pagos_por_año))))</f>
        <v/>
      </c>
      <c r="H223" s="42"/>
      <c r="I223" s="41" t="str">
        <f>+Tabla!A225</f>
        <v/>
      </c>
      <c r="J223" s="44" t="str">
        <f>+Tabla!AA225</f>
        <v/>
      </c>
      <c r="K223" s="42" t="str">
        <f>IF(Tabla!A225="","",(J223/((1+$K$9)^($I223/Parámetros!$D$6))))</f>
        <v/>
      </c>
      <c r="L223" s="43"/>
      <c r="M223" s="41" t="str">
        <f>+Tabla!A225</f>
        <v/>
      </c>
      <c r="N223" s="44" t="str">
        <f>Tabla!AI225</f>
        <v/>
      </c>
      <c r="O223" s="42" t="str">
        <f>IF(Tabla!A225="","",(N223/((1+$O$9)^(CAT!$M223/Pagos_por_año))))</f>
        <v/>
      </c>
      <c r="P223" s="53"/>
      <c r="Q223" s="53"/>
    </row>
    <row r="224" spans="1:17">
      <c r="A224" s="41" t="str">
        <f>+Tabla!A226</f>
        <v/>
      </c>
      <c r="B224" s="44" t="str">
        <f>+Tabla!AK226</f>
        <v/>
      </c>
      <c r="C224" s="42" t="str">
        <f>IF(Tabla!A226="","",(B224/((1+$C$9)^($A224/Parámetros!$D$6))))</f>
        <v/>
      </c>
      <c r="D224" s="43"/>
      <c r="E224" s="41" t="str">
        <f>+Tabla!A226</f>
        <v/>
      </c>
      <c r="F224" s="44" t="str">
        <f>Tabla!AL226</f>
        <v/>
      </c>
      <c r="G224" s="42" t="str">
        <f>IF(Tabla!A226="","",(F224/((1+$G$9)^(CAT!$E224/Pagos_por_año))))</f>
        <v/>
      </c>
      <c r="H224" s="42"/>
      <c r="I224" s="41" t="str">
        <f>+Tabla!A226</f>
        <v/>
      </c>
      <c r="J224" s="44" t="str">
        <f>+Tabla!AA226</f>
        <v/>
      </c>
      <c r="K224" s="42" t="str">
        <f>IF(Tabla!A226="","",(J224/((1+$K$9)^($I224/Parámetros!$D$6))))</f>
        <v/>
      </c>
      <c r="L224" s="43"/>
      <c r="M224" s="41" t="str">
        <f>+Tabla!A226</f>
        <v/>
      </c>
      <c r="N224" s="44" t="str">
        <f>Tabla!AI226</f>
        <v/>
      </c>
      <c r="O224" s="42" t="str">
        <f>IF(Tabla!A226="","",(N224/((1+$O$9)^(CAT!$M224/Pagos_por_año))))</f>
        <v/>
      </c>
      <c r="P224" s="53"/>
      <c r="Q224" s="53"/>
    </row>
    <row r="225" spans="1:17">
      <c r="A225" s="41" t="str">
        <f>+Tabla!A227</f>
        <v/>
      </c>
      <c r="B225" s="44" t="str">
        <f>+Tabla!AK227</f>
        <v/>
      </c>
      <c r="C225" s="42" t="str">
        <f>IF(Tabla!A227="","",(B225/((1+$C$9)^($A225/Parámetros!$D$6))))</f>
        <v/>
      </c>
      <c r="D225" s="43"/>
      <c r="E225" s="41" t="str">
        <f>+Tabla!A227</f>
        <v/>
      </c>
      <c r="F225" s="44" t="str">
        <f>Tabla!AL227</f>
        <v/>
      </c>
      <c r="G225" s="42" t="str">
        <f>IF(Tabla!A227="","",(F225/((1+$G$9)^(CAT!$E225/Pagos_por_año))))</f>
        <v/>
      </c>
      <c r="H225" s="42"/>
      <c r="I225" s="41" t="str">
        <f>+Tabla!A227</f>
        <v/>
      </c>
      <c r="J225" s="44" t="str">
        <f>+Tabla!AA227</f>
        <v/>
      </c>
      <c r="K225" s="42" t="str">
        <f>IF(Tabla!A227="","",(J225/((1+$K$9)^($I225/Parámetros!$D$6))))</f>
        <v/>
      </c>
      <c r="L225" s="43"/>
      <c r="M225" s="41" t="str">
        <f>+Tabla!A227</f>
        <v/>
      </c>
      <c r="N225" s="44" t="str">
        <f>Tabla!AI227</f>
        <v/>
      </c>
      <c r="O225" s="42" t="str">
        <f>IF(Tabla!A227="","",(N225/((1+$O$9)^(CAT!$M225/Pagos_por_año))))</f>
        <v/>
      </c>
      <c r="P225" s="53"/>
      <c r="Q225" s="53"/>
    </row>
    <row r="226" spans="1:17">
      <c r="A226" s="41" t="str">
        <f>+Tabla!A228</f>
        <v/>
      </c>
      <c r="B226" s="44" t="str">
        <f>+Tabla!AK228</f>
        <v/>
      </c>
      <c r="C226" s="42" t="str">
        <f>IF(Tabla!A228="","",(B226/((1+$C$9)^($A226/Parámetros!$D$6))))</f>
        <v/>
      </c>
      <c r="D226" s="43"/>
      <c r="E226" s="41" t="str">
        <f>+Tabla!A228</f>
        <v/>
      </c>
      <c r="F226" s="44" t="str">
        <f>Tabla!AL228</f>
        <v/>
      </c>
      <c r="G226" s="42" t="str">
        <f>IF(Tabla!A228="","",(F226/((1+$G$9)^(CAT!$E226/Pagos_por_año))))</f>
        <v/>
      </c>
      <c r="H226" s="42"/>
      <c r="I226" s="41" t="str">
        <f>+Tabla!A228</f>
        <v/>
      </c>
      <c r="J226" s="44" t="str">
        <f>+Tabla!AA228</f>
        <v/>
      </c>
      <c r="K226" s="42" t="str">
        <f>IF(Tabla!A228="","",(J226/((1+$K$9)^($I226/Parámetros!$D$6))))</f>
        <v/>
      </c>
      <c r="L226" s="43"/>
      <c r="M226" s="41" t="str">
        <f>+Tabla!A228</f>
        <v/>
      </c>
      <c r="N226" s="44" t="str">
        <f>Tabla!AI228</f>
        <v/>
      </c>
      <c r="O226" s="42" t="str">
        <f>IF(Tabla!A228="","",(N226/((1+$O$9)^(CAT!$M226/Pagos_por_año))))</f>
        <v/>
      </c>
      <c r="P226" s="53"/>
      <c r="Q226" s="53"/>
    </row>
    <row r="227" spans="1:17">
      <c r="A227" s="41" t="str">
        <f>+Tabla!A229</f>
        <v/>
      </c>
      <c r="B227" s="44" t="str">
        <f>+Tabla!AK229</f>
        <v/>
      </c>
      <c r="C227" s="42" t="str">
        <f>IF(Tabla!A229="","",(B227/((1+$C$9)^($A227/Parámetros!$D$6))))</f>
        <v/>
      </c>
      <c r="D227" s="43"/>
      <c r="E227" s="41" t="str">
        <f>+Tabla!A229</f>
        <v/>
      </c>
      <c r="F227" s="44" t="str">
        <f>Tabla!AL229</f>
        <v/>
      </c>
      <c r="G227" s="42" t="str">
        <f>IF(Tabla!A229="","",(F227/((1+$G$9)^(CAT!$E227/Pagos_por_año))))</f>
        <v/>
      </c>
      <c r="H227" s="42"/>
      <c r="I227" s="41" t="str">
        <f>+Tabla!A229</f>
        <v/>
      </c>
      <c r="J227" s="44" t="str">
        <f>+Tabla!AA229</f>
        <v/>
      </c>
      <c r="K227" s="42" t="str">
        <f>IF(Tabla!A229="","",(J227/((1+$K$9)^($I227/Parámetros!$D$6))))</f>
        <v/>
      </c>
      <c r="L227" s="43"/>
      <c r="M227" s="41" t="str">
        <f>+Tabla!A229</f>
        <v/>
      </c>
      <c r="N227" s="44" t="str">
        <f>Tabla!AI229</f>
        <v/>
      </c>
      <c r="O227" s="42" t="str">
        <f>IF(Tabla!A229="","",(N227/((1+$O$9)^(CAT!$M227/Pagos_por_año))))</f>
        <v/>
      </c>
      <c r="P227" s="53"/>
      <c r="Q227" s="53"/>
    </row>
    <row r="228" spans="1:17">
      <c r="A228" s="41" t="str">
        <f>+Tabla!A230</f>
        <v/>
      </c>
      <c r="B228" s="44" t="str">
        <f>+Tabla!AK230</f>
        <v/>
      </c>
      <c r="C228" s="42" t="str">
        <f>IF(Tabla!A230="","",(B228/((1+$C$9)^($A228/Parámetros!$D$6))))</f>
        <v/>
      </c>
      <c r="D228" s="43"/>
      <c r="E228" s="41" t="str">
        <f>+Tabla!A230</f>
        <v/>
      </c>
      <c r="F228" s="44" t="str">
        <f>Tabla!AL230</f>
        <v/>
      </c>
      <c r="G228" s="42" t="str">
        <f>IF(Tabla!A230="","",(F228/((1+$G$9)^(CAT!$E228/Pagos_por_año))))</f>
        <v/>
      </c>
      <c r="H228" s="42"/>
      <c r="I228" s="41" t="str">
        <f>+Tabla!A230</f>
        <v/>
      </c>
      <c r="J228" s="44" t="str">
        <f>+Tabla!AA230</f>
        <v/>
      </c>
      <c r="K228" s="42" t="str">
        <f>IF(Tabla!A230="","",(J228/((1+$K$9)^($I228/Parámetros!$D$6))))</f>
        <v/>
      </c>
      <c r="L228" s="43"/>
      <c r="M228" s="41" t="str">
        <f>+Tabla!A230</f>
        <v/>
      </c>
      <c r="N228" s="44" t="str">
        <f>Tabla!AI230</f>
        <v/>
      </c>
      <c r="O228" s="42" t="str">
        <f>IF(Tabla!A230="","",(N228/((1+$O$9)^(CAT!$M228/Pagos_por_año))))</f>
        <v/>
      </c>
      <c r="P228" s="53"/>
      <c r="Q228" s="53"/>
    </row>
    <row r="229" spans="1:17">
      <c r="A229" s="41" t="str">
        <f>+Tabla!A231</f>
        <v/>
      </c>
      <c r="B229" s="44" t="str">
        <f>+Tabla!AK231</f>
        <v/>
      </c>
      <c r="C229" s="42" t="str">
        <f>IF(Tabla!A231="","",(B229/((1+$C$9)^($A229/Parámetros!$D$6))))</f>
        <v/>
      </c>
      <c r="D229" s="43"/>
      <c r="E229" s="41" t="str">
        <f>+Tabla!A231</f>
        <v/>
      </c>
      <c r="F229" s="44" t="str">
        <f>Tabla!AL231</f>
        <v/>
      </c>
      <c r="G229" s="42" t="str">
        <f>IF(Tabla!A231="","",(F229/((1+$G$9)^(CAT!$E229/Pagos_por_año))))</f>
        <v/>
      </c>
      <c r="H229" s="42"/>
      <c r="I229" s="41" t="str">
        <f>+Tabla!A231</f>
        <v/>
      </c>
      <c r="J229" s="44" t="str">
        <f>+Tabla!AA231</f>
        <v/>
      </c>
      <c r="K229" s="42" t="str">
        <f>IF(Tabla!A231="","",(J229/((1+$K$9)^($I229/Parámetros!$D$6))))</f>
        <v/>
      </c>
      <c r="L229" s="43"/>
      <c r="M229" s="41" t="str">
        <f>+Tabla!A231</f>
        <v/>
      </c>
      <c r="N229" s="44" t="str">
        <f>Tabla!AI231</f>
        <v/>
      </c>
      <c r="O229" s="42" t="str">
        <f>IF(Tabla!A231="","",(N229/((1+$O$9)^(CAT!$M229/Pagos_por_año))))</f>
        <v/>
      </c>
      <c r="P229" s="53"/>
      <c r="Q229" s="53"/>
    </row>
    <row r="230" spans="1:17">
      <c r="A230" s="41" t="str">
        <f>+Tabla!A232</f>
        <v/>
      </c>
      <c r="B230" s="44" t="str">
        <f>+Tabla!AK232</f>
        <v/>
      </c>
      <c r="C230" s="42" t="str">
        <f>IF(Tabla!A232="","",(B230/((1+$C$9)^($A230/Parámetros!$D$6))))</f>
        <v/>
      </c>
      <c r="D230" s="43"/>
      <c r="E230" s="41" t="str">
        <f>+Tabla!A232</f>
        <v/>
      </c>
      <c r="F230" s="44" t="str">
        <f>Tabla!AL232</f>
        <v/>
      </c>
      <c r="G230" s="42" t="str">
        <f>IF(Tabla!A232="","",(F230/((1+$G$9)^(CAT!$E230/Pagos_por_año))))</f>
        <v/>
      </c>
      <c r="H230" s="42"/>
      <c r="I230" s="41" t="str">
        <f>+Tabla!A232</f>
        <v/>
      </c>
      <c r="J230" s="44" t="str">
        <f>+Tabla!AA232</f>
        <v/>
      </c>
      <c r="K230" s="42" t="str">
        <f>IF(Tabla!A232="","",(J230/((1+$K$9)^($I230/Parámetros!$D$6))))</f>
        <v/>
      </c>
      <c r="L230" s="43"/>
      <c r="M230" s="41" t="str">
        <f>+Tabla!A232</f>
        <v/>
      </c>
      <c r="N230" s="44" t="str">
        <f>Tabla!AI232</f>
        <v/>
      </c>
      <c r="O230" s="42" t="str">
        <f>IF(Tabla!A232="","",(N230/((1+$O$9)^(CAT!$M230/Pagos_por_año))))</f>
        <v/>
      </c>
      <c r="P230" s="53"/>
      <c r="Q230" s="53"/>
    </row>
    <row r="231" spans="1:17">
      <c r="A231" s="41" t="str">
        <f>+Tabla!A233</f>
        <v/>
      </c>
      <c r="B231" s="44" t="str">
        <f>+Tabla!AK233</f>
        <v/>
      </c>
      <c r="C231" s="42" t="str">
        <f>IF(Tabla!A233="","",(B231/((1+$C$9)^($A231/Parámetros!$D$6))))</f>
        <v/>
      </c>
      <c r="D231" s="43"/>
      <c r="E231" s="41" t="str">
        <f>+Tabla!A233</f>
        <v/>
      </c>
      <c r="F231" s="44" t="str">
        <f>Tabla!AL233</f>
        <v/>
      </c>
      <c r="G231" s="42" t="str">
        <f>IF(Tabla!A233="","",(F231/((1+$G$9)^(CAT!$E231/Pagos_por_año))))</f>
        <v/>
      </c>
      <c r="H231" s="42"/>
      <c r="I231" s="41" t="str">
        <f>+Tabla!A233</f>
        <v/>
      </c>
      <c r="J231" s="44" t="str">
        <f>+Tabla!AA233</f>
        <v/>
      </c>
      <c r="K231" s="42" t="str">
        <f>IF(Tabla!A233="","",(J231/((1+$K$9)^($I231/Parámetros!$D$6))))</f>
        <v/>
      </c>
      <c r="L231" s="43"/>
      <c r="M231" s="41" t="str">
        <f>+Tabla!A233</f>
        <v/>
      </c>
      <c r="N231" s="44" t="str">
        <f>Tabla!AI233</f>
        <v/>
      </c>
      <c r="O231" s="42" t="str">
        <f>IF(Tabla!A233="","",(N231/((1+$O$9)^(CAT!$M231/Pagos_por_año))))</f>
        <v/>
      </c>
      <c r="P231" s="53"/>
      <c r="Q231" s="53"/>
    </row>
    <row r="232" spans="1:17">
      <c r="A232" s="41" t="str">
        <f>+Tabla!A234</f>
        <v/>
      </c>
      <c r="B232" s="44" t="str">
        <f>+Tabla!AK234</f>
        <v/>
      </c>
      <c r="C232" s="42" t="str">
        <f>IF(Tabla!A234="","",(B232/((1+$C$9)^($A232/Parámetros!$D$6))))</f>
        <v/>
      </c>
      <c r="D232" s="43"/>
      <c r="E232" s="41" t="str">
        <f>+Tabla!A234</f>
        <v/>
      </c>
      <c r="F232" s="44" t="str">
        <f>Tabla!AL234</f>
        <v/>
      </c>
      <c r="G232" s="42" t="str">
        <f>IF(Tabla!A234="","",(F232/((1+$G$9)^(CAT!$E232/Pagos_por_año))))</f>
        <v/>
      </c>
      <c r="H232" s="42"/>
      <c r="I232" s="41" t="str">
        <f>+Tabla!A234</f>
        <v/>
      </c>
      <c r="J232" s="44" t="str">
        <f>+Tabla!AA234</f>
        <v/>
      </c>
      <c r="K232" s="42" t="str">
        <f>IF(Tabla!A234="","",(J232/((1+$K$9)^($I232/Parámetros!$D$6))))</f>
        <v/>
      </c>
      <c r="L232" s="43"/>
      <c r="M232" s="41" t="str">
        <f>+Tabla!A234</f>
        <v/>
      </c>
      <c r="N232" s="44" t="str">
        <f>Tabla!AI234</f>
        <v/>
      </c>
      <c r="O232" s="42" t="str">
        <f>IF(Tabla!A234="","",(N232/((1+$O$9)^(CAT!$M232/Pagos_por_año))))</f>
        <v/>
      </c>
      <c r="P232" s="53"/>
      <c r="Q232" s="53"/>
    </row>
    <row r="233" spans="1:17">
      <c r="A233" s="41" t="str">
        <f>+Tabla!A235</f>
        <v/>
      </c>
      <c r="B233" s="44" t="str">
        <f>+Tabla!AK235</f>
        <v/>
      </c>
      <c r="C233" s="42" t="str">
        <f>IF(Tabla!A235="","",(B233/((1+$C$9)^($A233/Parámetros!$D$6))))</f>
        <v/>
      </c>
      <c r="D233" s="43"/>
      <c r="E233" s="41" t="str">
        <f>+Tabla!A235</f>
        <v/>
      </c>
      <c r="F233" s="44" t="str">
        <f>Tabla!AL235</f>
        <v/>
      </c>
      <c r="G233" s="42" t="str">
        <f>IF(Tabla!A235="","",(F233/((1+$G$9)^(CAT!$E233/Pagos_por_año))))</f>
        <v/>
      </c>
      <c r="H233" s="42"/>
      <c r="I233" s="41" t="str">
        <f>+Tabla!A235</f>
        <v/>
      </c>
      <c r="J233" s="44" t="str">
        <f>+Tabla!AA235</f>
        <v/>
      </c>
      <c r="K233" s="42" t="str">
        <f>IF(Tabla!A235="","",(J233/((1+$K$9)^($I233/Parámetros!$D$6))))</f>
        <v/>
      </c>
      <c r="L233" s="43"/>
      <c r="M233" s="41" t="str">
        <f>+Tabla!A235</f>
        <v/>
      </c>
      <c r="N233" s="44" t="str">
        <f>Tabla!AI235</f>
        <v/>
      </c>
      <c r="O233" s="42" t="str">
        <f>IF(Tabla!A235="","",(N233/((1+$O$9)^(CAT!$M233/Pagos_por_año))))</f>
        <v/>
      </c>
      <c r="P233" s="53"/>
      <c r="Q233" s="53"/>
    </row>
    <row r="234" spans="1:17">
      <c r="A234" s="41" t="str">
        <f>+Tabla!A236</f>
        <v/>
      </c>
      <c r="B234" s="44" t="str">
        <f>+Tabla!AK236</f>
        <v/>
      </c>
      <c r="C234" s="42" t="str">
        <f>IF(Tabla!A236="","",(B234/((1+$C$9)^($A234/Parámetros!$D$6))))</f>
        <v/>
      </c>
      <c r="D234" s="43"/>
      <c r="E234" s="41" t="str">
        <f>+Tabla!A236</f>
        <v/>
      </c>
      <c r="F234" s="44" t="str">
        <f>Tabla!AL236</f>
        <v/>
      </c>
      <c r="G234" s="42" t="str">
        <f>IF(Tabla!A236="","",(F234/((1+$G$9)^(CAT!$E234/Pagos_por_año))))</f>
        <v/>
      </c>
      <c r="H234" s="42"/>
      <c r="I234" s="41" t="str">
        <f>+Tabla!A236</f>
        <v/>
      </c>
      <c r="J234" s="44" t="str">
        <f>+Tabla!AA236</f>
        <v/>
      </c>
      <c r="K234" s="42" t="str">
        <f>IF(Tabla!A236="","",(J234/((1+$K$9)^($I234/Parámetros!$D$6))))</f>
        <v/>
      </c>
      <c r="L234" s="43"/>
      <c r="M234" s="41" t="str">
        <f>+Tabla!A236</f>
        <v/>
      </c>
      <c r="N234" s="44" t="str">
        <f>Tabla!AI236</f>
        <v/>
      </c>
      <c r="O234" s="42" t="str">
        <f>IF(Tabla!A236="","",(N234/((1+$O$9)^(CAT!$M234/Pagos_por_año))))</f>
        <v/>
      </c>
      <c r="P234" s="53"/>
      <c r="Q234" s="53"/>
    </row>
    <row r="235" spans="1:17">
      <c r="A235" s="41" t="str">
        <f>+Tabla!A237</f>
        <v/>
      </c>
      <c r="B235" s="44" t="str">
        <f>+Tabla!AK237</f>
        <v/>
      </c>
      <c r="C235" s="42" t="str">
        <f>IF(Tabla!A237="","",(B235/((1+$C$9)^($A235/Parámetros!$D$6))))</f>
        <v/>
      </c>
      <c r="D235" s="43"/>
      <c r="E235" s="41" t="str">
        <f>+Tabla!A237</f>
        <v/>
      </c>
      <c r="F235" s="44" t="str">
        <f>Tabla!AL237</f>
        <v/>
      </c>
      <c r="G235" s="42" t="str">
        <f>IF(Tabla!A237="","",(F235/((1+$G$9)^(CAT!$E235/Pagos_por_año))))</f>
        <v/>
      </c>
      <c r="H235" s="42"/>
      <c r="I235" s="41" t="str">
        <f>+Tabla!A237</f>
        <v/>
      </c>
      <c r="J235" s="44" t="str">
        <f>+Tabla!AA237</f>
        <v/>
      </c>
      <c r="K235" s="42" t="str">
        <f>IF(Tabla!A237="","",(J235/((1+$K$9)^($I235/Parámetros!$D$6))))</f>
        <v/>
      </c>
      <c r="L235" s="43"/>
      <c r="M235" s="41" t="str">
        <f>+Tabla!A237</f>
        <v/>
      </c>
      <c r="N235" s="44" t="str">
        <f>Tabla!AI237</f>
        <v/>
      </c>
      <c r="O235" s="42" t="str">
        <f>IF(Tabla!A237="","",(N235/((1+$O$9)^(CAT!$M235/Pagos_por_año))))</f>
        <v/>
      </c>
      <c r="P235" s="53"/>
      <c r="Q235" s="53"/>
    </row>
    <row r="236" spans="1:17">
      <c r="A236" s="41" t="str">
        <f>+Tabla!A238</f>
        <v/>
      </c>
      <c r="B236" s="44" t="str">
        <f>+Tabla!AK238</f>
        <v/>
      </c>
      <c r="C236" s="42" t="str">
        <f>IF(Tabla!A238="","",(B236/((1+$C$9)^($A236/Parámetros!$D$6))))</f>
        <v/>
      </c>
      <c r="D236" s="43"/>
      <c r="E236" s="41" t="str">
        <f>+Tabla!A238</f>
        <v/>
      </c>
      <c r="F236" s="44" t="str">
        <f>Tabla!AL238</f>
        <v/>
      </c>
      <c r="G236" s="42" t="str">
        <f>IF(Tabla!A238="","",(F236/((1+$G$9)^(CAT!$E236/Pagos_por_año))))</f>
        <v/>
      </c>
      <c r="H236" s="42"/>
      <c r="I236" s="41" t="str">
        <f>+Tabla!A238</f>
        <v/>
      </c>
      <c r="J236" s="44" t="str">
        <f>+Tabla!AA238</f>
        <v/>
      </c>
      <c r="K236" s="42" t="str">
        <f>IF(Tabla!A238="","",(J236/((1+$K$9)^($I236/Parámetros!$D$6))))</f>
        <v/>
      </c>
      <c r="L236" s="43"/>
      <c r="M236" s="41" t="str">
        <f>+Tabla!A238</f>
        <v/>
      </c>
      <c r="N236" s="44" t="str">
        <f>Tabla!AI238</f>
        <v/>
      </c>
      <c r="O236" s="42" t="str">
        <f>IF(Tabla!A238="","",(N236/((1+$O$9)^(CAT!$M236/Pagos_por_año))))</f>
        <v/>
      </c>
      <c r="P236" s="53"/>
      <c r="Q236" s="53"/>
    </row>
    <row r="237" spans="1:17">
      <c r="A237" s="41" t="str">
        <f>+Tabla!A239</f>
        <v/>
      </c>
      <c r="B237" s="44" t="str">
        <f>+Tabla!AK239</f>
        <v/>
      </c>
      <c r="C237" s="42" t="str">
        <f>IF(Tabla!A239="","",(B237/((1+$C$9)^($A237/Parámetros!$D$6))))</f>
        <v/>
      </c>
      <c r="D237" s="43"/>
      <c r="E237" s="41" t="str">
        <f>+Tabla!A239</f>
        <v/>
      </c>
      <c r="F237" s="44" t="str">
        <f>Tabla!AL239</f>
        <v/>
      </c>
      <c r="G237" s="42" t="str">
        <f>IF(Tabla!A239="","",(F237/((1+$G$9)^(CAT!$E237/Pagos_por_año))))</f>
        <v/>
      </c>
      <c r="H237" s="42"/>
      <c r="I237" s="41" t="str">
        <f>+Tabla!A239</f>
        <v/>
      </c>
      <c r="J237" s="44" t="str">
        <f>+Tabla!AA239</f>
        <v/>
      </c>
      <c r="K237" s="42" t="str">
        <f>IF(Tabla!A239="","",(J237/((1+$K$9)^($I237/Parámetros!$D$6))))</f>
        <v/>
      </c>
      <c r="L237" s="43"/>
      <c r="M237" s="41" t="str">
        <f>+Tabla!A239</f>
        <v/>
      </c>
      <c r="N237" s="44" t="str">
        <f>Tabla!AI239</f>
        <v/>
      </c>
      <c r="O237" s="42" t="str">
        <f>IF(Tabla!A239="","",(N237/((1+$O$9)^(CAT!$M237/Pagos_por_año))))</f>
        <v/>
      </c>
      <c r="P237" s="53"/>
      <c r="Q237" s="53"/>
    </row>
    <row r="238" spans="1:17">
      <c r="A238" s="41" t="str">
        <f>+Tabla!A240</f>
        <v/>
      </c>
      <c r="B238" s="44" t="str">
        <f>+Tabla!AK240</f>
        <v/>
      </c>
      <c r="C238" s="42" t="str">
        <f>IF(Tabla!A240="","",(B238/((1+$C$9)^($A238/Parámetros!$D$6))))</f>
        <v/>
      </c>
      <c r="D238" s="43"/>
      <c r="E238" s="41" t="str">
        <f>+Tabla!A240</f>
        <v/>
      </c>
      <c r="F238" s="44" t="str">
        <f>Tabla!AL240</f>
        <v/>
      </c>
      <c r="G238" s="42" t="str">
        <f>IF(Tabla!A240="","",(F238/((1+$G$9)^(CAT!$E238/Pagos_por_año))))</f>
        <v/>
      </c>
      <c r="H238" s="42"/>
      <c r="I238" s="41" t="str">
        <f>+Tabla!A240</f>
        <v/>
      </c>
      <c r="J238" s="44" t="str">
        <f>+Tabla!AA240</f>
        <v/>
      </c>
      <c r="K238" s="42" t="str">
        <f>IF(Tabla!A240="","",(J238/((1+$K$9)^($I238/Parámetros!$D$6))))</f>
        <v/>
      </c>
      <c r="L238" s="43"/>
      <c r="M238" s="41" t="str">
        <f>+Tabla!A240</f>
        <v/>
      </c>
      <c r="N238" s="44" t="str">
        <f>Tabla!AI240</f>
        <v/>
      </c>
      <c r="O238" s="42" t="str">
        <f>IF(Tabla!A240="","",(N238/((1+$O$9)^(CAT!$M238/Pagos_por_año))))</f>
        <v/>
      </c>
      <c r="P238" s="53"/>
      <c r="Q238" s="53"/>
    </row>
    <row r="239" spans="1:17">
      <c r="A239" s="41" t="str">
        <f>+Tabla!A241</f>
        <v/>
      </c>
      <c r="B239" s="44" t="str">
        <f>+Tabla!AK241</f>
        <v/>
      </c>
      <c r="C239" s="42" t="str">
        <f>IF(Tabla!A241="","",(B239/((1+$C$9)^($A239/Parámetros!$D$6))))</f>
        <v/>
      </c>
      <c r="D239" s="43"/>
      <c r="E239" s="41" t="str">
        <f>+Tabla!A241</f>
        <v/>
      </c>
      <c r="F239" s="44" t="str">
        <f>Tabla!AL241</f>
        <v/>
      </c>
      <c r="G239" s="42" t="str">
        <f>IF(Tabla!A241="","",(F239/((1+$G$9)^(CAT!$E239/Pagos_por_año))))</f>
        <v/>
      </c>
      <c r="H239" s="42"/>
      <c r="I239" s="41" t="str">
        <f>+Tabla!A241</f>
        <v/>
      </c>
      <c r="J239" s="44" t="str">
        <f>+Tabla!AA241</f>
        <v/>
      </c>
      <c r="K239" s="42" t="str">
        <f>IF(Tabla!A241="","",(J239/((1+$K$9)^($I239/Parámetros!$D$6))))</f>
        <v/>
      </c>
      <c r="L239" s="43"/>
      <c r="M239" s="41" t="str">
        <f>+Tabla!A241</f>
        <v/>
      </c>
      <c r="N239" s="44" t="str">
        <f>Tabla!AI241</f>
        <v/>
      </c>
      <c r="O239" s="42" t="str">
        <f>IF(Tabla!A241="","",(N239/((1+$O$9)^(CAT!$M239/Pagos_por_año))))</f>
        <v/>
      </c>
      <c r="P239" s="53"/>
      <c r="Q239" s="53"/>
    </row>
    <row r="240" spans="1:17">
      <c r="A240" s="41" t="str">
        <f>+Tabla!A242</f>
        <v/>
      </c>
      <c r="B240" s="44" t="str">
        <f>+Tabla!AK242</f>
        <v/>
      </c>
      <c r="C240" s="42" t="str">
        <f>IF(Tabla!A242="","",(B240/((1+$C$9)^($A240/Parámetros!$D$6))))</f>
        <v/>
      </c>
      <c r="D240" s="43"/>
      <c r="E240" s="41" t="str">
        <f>+Tabla!A242</f>
        <v/>
      </c>
      <c r="F240" s="44" t="str">
        <f>Tabla!AL242</f>
        <v/>
      </c>
      <c r="G240" s="42" t="str">
        <f>IF(Tabla!A242="","",(F240/((1+$G$9)^(CAT!$E240/Pagos_por_año))))</f>
        <v/>
      </c>
      <c r="H240" s="42"/>
      <c r="I240" s="41" t="str">
        <f>+Tabla!A242</f>
        <v/>
      </c>
      <c r="J240" s="44" t="str">
        <f>+Tabla!AA242</f>
        <v/>
      </c>
      <c r="K240" s="42" t="str">
        <f>IF(Tabla!A242="","",(J240/((1+$K$9)^($I240/Parámetros!$D$6))))</f>
        <v/>
      </c>
      <c r="L240" s="43"/>
      <c r="M240" s="41" t="str">
        <f>+Tabla!A242</f>
        <v/>
      </c>
      <c r="N240" s="44" t="str">
        <f>Tabla!AI242</f>
        <v/>
      </c>
      <c r="O240" s="42" t="str">
        <f>IF(Tabla!A242="","",(N240/((1+$O$9)^(CAT!$M240/Pagos_por_año))))</f>
        <v/>
      </c>
      <c r="P240" s="53"/>
      <c r="Q240" s="53"/>
    </row>
    <row r="241" spans="1:17">
      <c r="A241" s="41" t="str">
        <f>+Tabla!A243</f>
        <v/>
      </c>
      <c r="B241" s="44" t="str">
        <f>+Tabla!AK243</f>
        <v/>
      </c>
      <c r="C241" s="42" t="str">
        <f>IF(Tabla!A243="","",(B241/((1+$C$9)^($A241/Parámetros!$D$6))))</f>
        <v/>
      </c>
      <c r="D241" s="43"/>
      <c r="E241" s="41" t="str">
        <f>+Tabla!A243</f>
        <v/>
      </c>
      <c r="F241" s="44" t="str">
        <f>Tabla!AL243</f>
        <v/>
      </c>
      <c r="G241" s="42" t="str">
        <f>IF(Tabla!A243="","",(F241/((1+$G$9)^(CAT!$E241/Pagos_por_año))))</f>
        <v/>
      </c>
      <c r="H241" s="42"/>
      <c r="I241" s="41" t="str">
        <f>+Tabla!A243</f>
        <v/>
      </c>
      <c r="J241" s="44" t="str">
        <f>+Tabla!AA243</f>
        <v/>
      </c>
      <c r="K241" s="42" t="str">
        <f>IF(Tabla!A243="","",(J241/((1+$K$9)^($I241/Parámetros!$D$6))))</f>
        <v/>
      </c>
      <c r="L241" s="43"/>
      <c r="M241" s="41" t="str">
        <f>+Tabla!A243</f>
        <v/>
      </c>
      <c r="N241" s="44" t="str">
        <f>Tabla!AI243</f>
        <v/>
      </c>
      <c r="O241" s="42" t="str">
        <f>IF(Tabla!A243="","",(N241/((1+$O$9)^(CAT!$M241/Pagos_por_año))))</f>
        <v/>
      </c>
      <c r="P241" s="53"/>
      <c r="Q241" s="53"/>
    </row>
    <row r="242" spans="1:17">
      <c r="A242" s="41" t="str">
        <f>+Tabla!A244</f>
        <v/>
      </c>
      <c r="B242" s="44" t="str">
        <f>+Tabla!AK244</f>
        <v/>
      </c>
      <c r="C242" s="42" t="str">
        <f>IF(Tabla!A244="","",(B242/((1+$C$9)^($A242/Parámetros!$D$6))))</f>
        <v/>
      </c>
      <c r="D242" s="43"/>
      <c r="E242" s="41" t="str">
        <f>+Tabla!A244</f>
        <v/>
      </c>
      <c r="F242" s="44" t="str">
        <f>Tabla!AL244</f>
        <v/>
      </c>
      <c r="G242" s="42" t="str">
        <f>IF(Tabla!A244="","",(F242/((1+$G$9)^(CAT!$E242/Pagos_por_año))))</f>
        <v/>
      </c>
      <c r="H242" s="42"/>
      <c r="I242" s="41" t="str">
        <f>+Tabla!A244</f>
        <v/>
      </c>
      <c r="J242" s="44" t="str">
        <f>+Tabla!AA244</f>
        <v/>
      </c>
      <c r="K242" s="42" t="str">
        <f>IF(Tabla!A244="","",(J242/((1+$K$9)^($I242/Parámetros!$D$6))))</f>
        <v/>
      </c>
      <c r="L242" s="43"/>
      <c r="M242" s="41" t="str">
        <f>+Tabla!A244</f>
        <v/>
      </c>
      <c r="N242" s="44" t="str">
        <f>Tabla!AI244</f>
        <v/>
      </c>
      <c r="O242" s="42" t="str">
        <f>IF(Tabla!A244="","",(N242/((1+$O$9)^(CAT!$M242/Pagos_por_año))))</f>
        <v/>
      </c>
      <c r="P242" s="53"/>
      <c r="Q242" s="53"/>
    </row>
    <row r="243" spans="1:17">
      <c r="A243" s="41" t="str">
        <f>+Tabla!A245</f>
        <v/>
      </c>
      <c r="B243" s="44" t="str">
        <f>+Tabla!AK245</f>
        <v/>
      </c>
      <c r="C243" s="42" t="str">
        <f>IF(Tabla!A245="","",(B243/((1+$C$9)^($A243/Parámetros!$D$6))))</f>
        <v/>
      </c>
      <c r="D243" s="43"/>
      <c r="E243" s="41" t="str">
        <f>+Tabla!A245</f>
        <v/>
      </c>
      <c r="F243" s="44" t="str">
        <f>Tabla!AL245</f>
        <v/>
      </c>
      <c r="G243" s="42" t="str">
        <f>IF(Tabla!A245="","",(F243/((1+$G$9)^(CAT!$E243/Pagos_por_año))))</f>
        <v/>
      </c>
      <c r="H243" s="42"/>
      <c r="I243" s="41" t="str">
        <f>+Tabla!A245</f>
        <v/>
      </c>
      <c r="J243" s="44" t="str">
        <f>+Tabla!AA245</f>
        <v/>
      </c>
      <c r="K243" s="42" t="str">
        <f>IF(Tabla!A245="","",(J243/((1+$K$9)^($I243/Parámetros!$D$6))))</f>
        <v/>
      </c>
      <c r="L243" s="43"/>
      <c r="M243" s="41" t="str">
        <f>+Tabla!A245</f>
        <v/>
      </c>
      <c r="N243" s="44" t="str">
        <f>Tabla!AI245</f>
        <v/>
      </c>
      <c r="O243" s="42" t="str">
        <f>IF(Tabla!A245="","",(N243/((1+$O$9)^(CAT!$M243/Pagos_por_año))))</f>
        <v/>
      </c>
      <c r="P243" s="53"/>
      <c r="Q243" s="53"/>
    </row>
    <row r="244" spans="1:17">
      <c r="A244" s="41" t="str">
        <f>+Tabla!A246</f>
        <v/>
      </c>
      <c r="B244" s="44" t="str">
        <f>+Tabla!AK246</f>
        <v/>
      </c>
      <c r="C244" s="42" t="str">
        <f>IF(Tabla!A246="","",(B244/((1+$C$9)^($A244/Parámetros!$D$6))))</f>
        <v/>
      </c>
      <c r="D244" s="43"/>
      <c r="E244" s="41" t="str">
        <f>+Tabla!A246</f>
        <v/>
      </c>
      <c r="F244" s="44" t="str">
        <f>Tabla!AL246</f>
        <v/>
      </c>
      <c r="G244" s="42" t="str">
        <f>IF(Tabla!A246="","",(F244/((1+$G$9)^(CAT!$E244/Pagos_por_año))))</f>
        <v/>
      </c>
      <c r="H244" s="42"/>
      <c r="I244" s="41" t="str">
        <f>+Tabla!A246</f>
        <v/>
      </c>
      <c r="J244" s="44" t="str">
        <f>+Tabla!AA246</f>
        <v/>
      </c>
      <c r="K244" s="42" t="str">
        <f>IF(Tabla!A246="","",(J244/((1+$K$9)^($I244/Parámetros!$D$6))))</f>
        <v/>
      </c>
      <c r="L244" s="43"/>
      <c r="M244" s="41" t="str">
        <f>+Tabla!A246</f>
        <v/>
      </c>
      <c r="N244" s="44" t="str">
        <f>Tabla!AI246</f>
        <v/>
      </c>
      <c r="O244" s="42" t="str">
        <f>IF(Tabla!A246="","",(N244/((1+$O$9)^(CAT!$M244/Pagos_por_año))))</f>
        <v/>
      </c>
      <c r="P244" s="53"/>
      <c r="Q244" s="53"/>
    </row>
    <row r="245" spans="1:17">
      <c r="A245" s="41" t="str">
        <f>+Tabla!A247</f>
        <v/>
      </c>
      <c r="B245" s="44" t="str">
        <f>+Tabla!AK247</f>
        <v/>
      </c>
      <c r="C245" s="42" t="str">
        <f>IF(Tabla!A247="","",(B245/((1+$C$9)^($A245/Parámetros!$D$6))))</f>
        <v/>
      </c>
      <c r="D245" s="43"/>
      <c r="E245" s="41" t="str">
        <f>+Tabla!A247</f>
        <v/>
      </c>
      <c r="F245" s="44" t="str">
        <f>Tabla!AL247</f>
        <v/>
      </c>
      <c r="G245" s="42" t="str">
        <f>IF(Tabla!A247="","",(F245/((1+$G$9)^(CAT!$E245/Pagos_por_año))))</f>
        <v/>
      </c>
      <c r="H245" s="42"/>
      <c r="I245" s="41" t="str">
        <f>+Tabla!A247</f>
        <v/>
      </c>
      <c r="J245" s="44" t="str">
        <f>+Tabla!AA247</f>
        <v/>
      </c>
      <c r="K245" s="42" t="str">
        <f>IF(Tabla!A247="","",(J245/((1+$K$9)^($I245/Parámetros!$D$6))))</f>
        <v/>
      </c>
      <c r="L245" s="43"/>
      <c r="M245" s="41" t="str">
        <f>+Tabla!A247</f>
        <v/>
      </c>
      <c r="N245" s="44" t="str">
        <f>Tabla!AI247</f>
        <v/>
      </c>
      <c r="O245" s="42" t="str">
        <f>IF(Tabla!A247="","",(N245/((1+$O$9)^(CAT!$M245/Pagos_por_año))))</f>
        <v/>
      </c>
      <c r="P245" s="53"/>
      <c r="Q245" s="53"/>
    </row>
    <row r="246" spans="1:17">
      <c r="A246" s="41" t="str">
        <f>+Tabla!A248</f>
        <v/>
      </c>
      <c r="B246" s="44" t="str">
        <f>+Tabla!AK248</f>
        <v/>
      </c>
      <c r="C246" s="42" t="str">
        <f>IF(Tabla!A248="","",(B246/((1+$C$9)^($A246/Parámetros!$D$6))))</f>
        <v/>
      </c>
      <c r="D246" s="43"/>
      <c r="E246" s="41" t="str">
        <f>+Tabla!A248</f>
        <v/>
      </c>
      <c r="F246" s="44" t="str">
        <f>Tabla!AL248</f>
        <v/>
      </c>
      <c r="G246" s="42" t="str">
        <f>IF(Tabla!A248="","",(F246/((1+$G$9)^(CAT!$E246/Pagos_por_año))))</f>
        <v/>
      </c>
      <c r="H246" s="42"/>
      <c r="I246" s="41" t="str">
        <f>+Tabla!A248</f>
        <v/>
      </c>
      <c r="J246" s="44" t="str">
        <f>+Tabla!AA248</f>
        <v/>
      </c>
      <c r="K246" s="42" t="str">
        <f>IF(Tabla!A248="","",(J246/((1+$K$9)^($I246/Parámetros!$D$6))))</f>
        <v/>
      </c>
      <c r="L246" s="43"/>
      <c r="M246" s="41" t="str">
        <f>+Tabla!A248</f>
        <v/>
      </c>
      <c r="N246" s="44" t="str">
        <f>Tabla!AI248</f>
        <v/>
      </c>
      <c r="O246" s="42" t="str">
        <f>IF(Tabla!A248="","",(N246/((1+$O$9)^(CAT!$M246/Pagos_por_año))))</f>
        <v/>
      </c>
      <c r="P246" s="53"/>
      <c r="Q246" s="53"/>
    </row>
    <row r="247" spans="1:17">
      <c r="A247" s="41" t="str">
        <f>+Tabla!A249</f>
        <v/>
      </c>
      <c r="B247" s="44" t="str">
        <f>+Tabla!AK249</f>
        <v/>
      </c>
      <c r="C247" s="42" t="str">
        <f>IF(Tabla!A249="","",(B247/((1+$C$9)^($A247/Parámetros!$D$6))))</f>
        <v/>
      </c>
      <c r="D247" s="43"/>
      <c r="E247" s="41" t="str">
        <f>+Tabla!A249</f>
        <v/>
      </c>
      <c r="F247" s="44" t="str">
        <f>Tabla!AL249</f>
        <v/>
      </c>
      <c r="G247" s="42" t="str">
        <f>IF(Tabla!A249="","",(F247/((1+$G$9)^(CAT!$E247/Pagos_por_año))))</f>
        <v/>
      </c>
      <c r="H247" s="42"/>
      <c r="I247" s="41" t="str">
        <f>+Tabla!A249</f>
        <v/>
      </c>
      <c r="J247" s="44" t="str">
        <f>+Tabla!AA249</f>
        <v/>
      </c>
      <c r="K247" s="42" t="str">
        <f>IF(Tabla!A249="","",(J247/((1+$K$9)^($I247/Parámetros!$D$6))))</f>
        <v/>
      </c>
      <c r="L247" s="43"/>
      <c r="M247" s="41" t="str">
        <f>+Tabla!A249</f>
        <v/>
      </c>
      <c r="N247" s="44" t="str">
        <f>Tabla!AI249</f>
        <v/>
      </c>
      <c r="O247" s="42" t="str">
        <f>IF(Tabla!A249="","",(N247/((1+$O$9)^(CAT!$M247/Pagos_por_año))))</f>
        <v/>
      </c>
      <c r="P247" s="53"/>
      <c r="Q247" s="53"/>
    </row>
    <row r="248" spans="1:17">
      <c r="A248" s="41" t="str">
        <f>+Tabla!A250</f>
        <v/>
      </c>
      <c r="B248" s="44" t="str">
        <f>+Tabla!AK250</f>
        <v/>
      </c>
      <c r="C248" s="42" t="str">
        <f>IF(Tabla!A250="","",(B248/((1+$C$9)^($A248/Parámetros!$D$6))))</f>
        <v/>
      </c>
      <c r="D248" s="43"/>
      <c r="E248" s="41" t="str">
        <f>+Tabla!A250</f>
        <v/>
      </c>
      <c r="F248" s="44" t="str">
        <f>Tabla!AL250</f>
        <v/>
      </c>
      <c r="G248" s="42" t="str">
        <f>IF(Tabla!A250="","",(F248/((1+$G$9)^(CAT!$E248/Pagos_por_año))))</f>
        <v/>
      </c>
      <c r="H248" s="42"/>
      <c r="I248" s="41" t="str">
        <f>+Tabla!A250</f>
        <v/>
      </c>
      <c r="J248" s="44" t="str">
        <f>+Tabla!AA250</f>
        <v/>
      </c>
      <c r="K248" s="42" t="str">
        <f>IF(Tabla!A250="","",(J248/((1+$K$9)^($I248/Parámetros!$D$6))))</f>
        <v/>
      </c>
      <c r="L248" s="43"/>
      <c r="M248" s="41" t="str">
        <f>+Tabla!A250</f>
        <v/>
      </c>
      <c r="N248" s="44" t="str">
        <f>Tabla!AI250</f>
        <v/>
      </c>
      <c r="O248" s="42" t="str">
        <f>IF(Tabla!A250="","",(N248/((1+$O$9)^(CAT!$M248/Pagos_por_año))))</f>
        <v/>
      </c>
      <c r="P248" s="53"/>
      <c r="Q248" s="53"/>
    </row>
    <row r="249" spans="1:17">
      <c r="A249" s="41" t="str">
        <f>+Tabla!A251</f>
        <v/>
      </c>
      <c r="B249" s="44" t="str">
        <f>+Tabla!AK251</f>
        <v/>
      </c>
      <c r="C249" s="42" t="str">
        <f>IF(Tabla!A251="","",(B249/((1+$C$9)^($A249/Parámetros!$D$6))))</f>
        <v/>
      </c>
      <c r="D249" s="43"/>
      <c r="E249" s="41" t="str">
        <f>+Tabla!A251</f>
        <v/>
      </c>
      <c r="F249" s="44" t="str">
        <f>Tabla!AL251</f>
        <v/>
      </c>
      <c r="G249" s="42" t="str">
        <f>IF(Tabla!A251="","",(F249/((1+$G$9)^(CAT!$E249/Pagos_por_año))))</f>
        <v/>
      </c>
      <c r="H249" s="42"/>
      <c r="I249" s="41" t="str">
        <f>+Tabla!A251</f>
        <v/>
      </c>
      <c r="J249" s="44" t="str">
        <f>+Tabla!AA251</f>
        <v/>
      </c>
      <c r="K249" s="42" t="str">
        <f>IF(Tabla!A251="","",(J249/((1+$K$9)^($I249/Parámetros!$D$6))))</f>
        <v/>
      </c>
      <c r="L249" s="43"/>
      <c r="M249" s="41" t="str">
        <f>+Tabla!A251</f>
        <v/>
      </c>
      <c r="N249" s="44" t="str">
        <f>Tabla!AI251</f>
        <v/>
      </c>
      <c r="O249" s="42" t="str">
        <f>IF(Tabla!A251="","",(N249/((1+$O$9)^(CAT!$M249/Pagos_por_año))))</f>
        <v/>
      </c>
      <c r="P249" s="53"/>
      <c r="Q249" s="53"/>
    </row>
    <row r="250" spans="1:17">
      <c r="A250" s="41" t="str">
        <f>+Tabla!A252</f>
        <v/>
      </c>
      <c r="B250" s="44" t="str">
        <f>+Tabla!AK252</f>
        <v/>
      </c>
      <c r="C250" s="42" t="str">
        <f>IF(Tabla!A252="","",(B250/((1+$C$9)^($A250/Parámetros!$D$6))))</f>
        <v/>
      </c>
      <c r="D250" s="43"/>
      <c r="E250" s="41" t="str">
        <f>+Tabla!A252</f>
        <v/>
      </c>
      <c r="F250" s="44" t="str">
        <f>Tabla!AL252</f>
        <v/>
      </c>
      <c r="G250" s="42" t="str">
        <f>IF(Tabla!A252="","",(F250/((1+$G$9)^(CAT!$E250/Pagos_por_año))))</f>
        <v/>
      </c>
      <c r="H250" s="42"/>
      <c r="I250" s="41" t="str">
        <f>+Tabla!A252</f>
        <v/>
      </c>
      <c r="J250" s="44" t="str">
        <f>+Tabla!AA252</f>
        <v/>
      </c>
      <c r="K250" s="42" t="str">
        <f>IF(Tabla!A252="","",(J250/((1+$K$9)^($I250/Parámetros!$D$6))))</f>
        <v/>
      </c>
      <c r="L250" s="43"/>
      <c r="M250" s="41" t="str">
        <f>+Tabla!A252</f>
        <v/>
      </c>
      <c r="N250" s="44" t="str">
        <f>Tabla!AI252</f>
        <v/>
      </c>
      <c r="O250" s="42" t="str">
        <f>IF(Tabla!A252="","",(N250/((1+$O$9)^(CAT!$M250/Pagos_por_año))))</f>
        <v/>
      </c>
      <c r="P250" s="53"/>
      <c r="Q250" s="53"/>
    </row>
    <row r="251" spans="1:17">
      <c r="A251" s="41" t="str">
        <f>+Tabla!A253</f>
        <v/>
      </c>
      <c r="B251" s="44" t="str">
        <f>+Tabla!AK253</f>
        <v/>
      </c>
      <c r="C251" s="42" t="str">
        <f>IF(Tabla!A253="","",(B251/((1+$C$9)^($A251/Parámetros!$D$6))))</f>
        <v/>
      </c>
      <c r="D251" s="43"/>
      <c r="E251" s="41" t="str">
        <f>+Tabla!A253</f>
        <v/>
      </c>
      <c r="F251" s="44" t="str">
        <f>Tabla!AL253</f>
        <v/>
      </c>
      <c r="G251" s="42" t="str">
        <f>IF(Tabla!A253="","",(F251/((1+$G$9)^(CAT!$E251/Pagos_por_año))))</f>
        <v/>
      </c>
      <c r="H251" s="42"/>
      <c r="I251" s="41" t="str">
        <f>+Tabla!A253</f>
        <v/>
      </c>
      <c r="J251" s="44" t="str">
        <f>+Tabla!AA253</f>
        <v/>
      </c>
      <c r="K251" s="42" t="str">
        <f>IF(Tabla!A253="","",(J251/((1+$K$9)^($I251/Parámetros!$D$6))))</f>
        <v/>
      </c>
      <c r="L251" s="43"/>
      <c r="M251" s="41" t="str">
        <f>+Tabla!A253</f>
        <v/>
      </c>
      <c r="N251" s="44" t="str">
        <f>Tabla!AI253</f>
        <v/>
      </c>
      <c r="O251" s="42" t="str">
        <f>IF(Tabla!A253="","",(N251/((1+$O$9)^(CAT!$M251/Pagos_por_año))))</f>
        <v/>
      </c>
      <c r="P251" s="53"/>
      <c r="Q251" s="53"/>
    </row>
    <row r="252" spans="1:17">
      <c r="A252" s="41" t="str">
        <f>+Tabla!A254</f>
        <v/>
      </c>
      <c r="B252" s="44" t="str">
        <f>+Tabla!AK254</f>
        <v/>
      </c>
      <c r="C252" s="42" t="str">
        <f>IF(Tabla!A254="","",(B252/((1+$C$9)^($A252/Parámetros!$D$6))))</f>
        <v/>
      </c>
      <c r="D252" s="43"/>
      <c r="E252" s="41" t="str">
        <f>+Tabla!A254</f>
        <v/>
      </c>
      <c r="F252" s="44" t="str">
        <f>Tabla!AL254</f>
        <v/>
      </c>
      <c r="G252" s="42" t="str">
        <f>IF(Tabla!A254="","",(F252/((1+$G$9)^(CAT!$E252/Pagos_por_año))))</f>
        <v/>
      </c>
      <c r="H252" s="42"/>
      <c r="I252" s="41" t="str">
        <f>+Tabla!A254</f>
        <v/>
      </c>
      <c r="J252" s="44" t="str">
        <f>+Tabla!AA254</f>
        <v/>
      </c>
      <c r="K252" s="42" t="str">
        <f>IF(Tabla!A254="","",(J252/((1+$K$9)^($I252/Parámetros!$D$6))))</f>
        <v/>
      </c>
      <c r="L252" s="43"/>
      <c r="M252" s="41" t="str">
        <f>+Tabla!A254</f>
        <v/>
      </c>
      <c r="N252" s="44" t="str">
        <f>Tabla!AI254</f>
        <v/>
      </c>
      <c r="O252" s="42" t="str">
        <f>IF(Tabla!A254="","",(N252/((1+$O$9)^(CAT!$M252/Pagos_por_año))))</f>
        <v/>
      </c>
      <c r="P252" s="53"/>
      <c r="Q252" s="53"/>
    </row>
    <row r="253" spans="1:17">
      <c r="A253" s="41" t="str">
        <f>+Tabla!A255</f>
        <v/>
      </c>
      <c r="B253" s="44" t="str">
        <f>+Tabla!AK255</f>
        <v/>
      </c>
      <c r="C253" s="42" t="str">
        <f>IF(Tabla!A255="","",(B253/((1+$C$9)^($A253/Parámetros!$D$6))))</f>
        <v/>
      </c>
      <c r="D253" s="43"/>
      <c r="E253" s="41" t="str">
        <f>+Tabla!A255</f>
        <v/>
      </c>
      <c r="F253" s="44" t="str">
        <f>Tabla!AL255</f>
        <v/>
      </c>
      <c r="G253" s="42" t="str">
        <f>IF(Tabla!A255="","",(F253/((1+$G$9)^(CAT!$E253/Pagos_por_año))))</f>
        <v/>
      </c>
      <c r="H253" s="42"/>
      <c r="I253" s="41" t="str">
        <f>+Tabla!A255</f>
        <v/>
      </c>
      <c r="J253" s="44" t="str">
        <f>+Tabla!AA255</f>
        <v/>
      </c>
      <c r="K253" s="42" t="str">
        <f>IF(Tabla!A255="","",(J253/((1+$K$9)^($I253/Parámetros!$D$6))))</f>
        <v/>
      </c>
      <c r="L253" s="43"/>
      <c r="M253" s="41" t="str">
        <f>+Tabla!A255</f>
        <v/>
      </c>
      <c r="N253" s="44" t="str">
        <f>Tabla!AI255</f>
        <v/>
      </c>
      <c r="O253" s="42" t="str">
        <f>IF(Tabla!A255="","",(N253/((1+$O$9)^(CAT!$M253/Pagos_por_año))))</f>
        <v/>
      </c>
      <c r="P253" s="53"/>
      <c r="Q253" s="53"/>
    </row>
    <row r="254" spans="1:17">
      <c r="A254" s="41" t="str">
        <f>+Tabla!A256</f>
        <v/>
      </c>
      <c r="B254" s="44" t="str">
        <f>+Tabla!AK256</f>
        <v/>
      </c>
      <c r="C254" s="42" t="str">
        <f>IF(Tabla!A256="","",(B254/((1+$C$9)^($A254/Parámetros!$D$6))))</f>
        <v/>
      </c>
      <c r="D254" s="43"/>
      <c r="E254" s="41" t="str">
        <f>+Tabla!A256</f>
        <v/>
      </c>
      <c r="F254" s="44" t="str">
        <f>Tabla!AL256</f>
        <v/>
      </c>
      <c r="G254" s="42" t="str">
        <f>IF(Tabla!A256="","",(F254/((1+$G$9)^(CAT!$E254/Pagos_por_año))))</f>
        <v/>
      </c>
      <c r="H254" s="42"/>
      <c r="I254" s="41" t="str">
        <f>+Tabla!A256</f>
        <v/>
      </c>
      <c r="J254" s="44" t="str">
        <f>+Tabla!AA256</f>
        <v/>
      </c>
      <c r="K254" s="42" t="str">
        <f>IF(Tabla!A256="","",(J254/((1+$K$9)^($I254/Parámetros!$D$6))))</f>
        <v/>
      </c>
      <c r="L254" s="43"/>
      <c r="M254" s="41" t="str">
        <f>+Tabla!A256</f>
        <v/>
      </c>
      <c r="N254" s="44" t="str">
        <f>Tabla!AI256</f>
        <v/>
      </c>
      <c r="O254" s="42" t="str">
        <f>IF(Tabla!A256="","",(N254/((1+$O$9)^(CAT!$M254/Pagos_por_año))))</f>
        <v/>
      </c>
      <c r="P254" s="53"/>
      <c r="Q254" s="53"/>
    </row>
    <row r="255" spans="1:17">
      <c r="A255" s="41" t="str">
        <f>+Tabla!A257</f>
        <v/>
      </c>
      <c r="B255" s="44" t="str">
        <f>+Tabla!AK257</f>
        <v/>
      </c>
      <c r="C255" s="42" t="str">
        <f>IF(Tabla!A257="","",(B255/((1+$C$9)^($A255/Parámetros!$D$6))))</f>
        <v/>
      </c>
      <c r="D255" s="43"/>
      <c r="E255" s="41" t="str">
        <f>+Tabla!A257</f>
        <v/>
      </c>
      <c r="F255" s="44" t="str">
        <f>Tabla!AL257</f>
        <v/>
      </c>
      <c r="G255" s="42" t="str">
        <f>IF(Tabla!A257="","",(F255/((1+$G$9)^(CAT!$E255/Pagos_por_año))))</f>
        <v/>
      </c>
      <c r="H255" s="42"/>
      <c r="I255" s="41" t="str">
        <f>+Tabla!A257</f>
        <v/>
      </c>
      <c r="J255" s="44" t="str">
        <f>+Tabla!AA257</f>
        <v/>
      </c>
      <c r="K255" s="42" t="str">
        <f>IF(Tabla!A257="","",(J255/((1+$K$9)^($I255/Parámetros!$D$6))))</f>
        <v/>
      </c>
      <c r="L255" s="43"/>
      <c r="M255" s="41" t="str">
        <f>+Tabla!A257</f>
        <v/>
      </c>
      <c r="N255" s="44" t="str">
        <f>Tabla!AI257</f>
        <v/>
      </c>
      <c r="O255" s="42" t="str">
        <f>IF(Tabla!A257="","",(N255/((1+$O$9)^(CAT!$M255/Pagos_por_año))))</f>
        <v/>
      </c>
      <c r="P255" s="53"/>
      <c r="Q255" s="53"/>
    </row>
    <row r="256" spans="1:17" ht="10.8" thickBot="1">
      <c r="B256" s="45">
        <f>SUM(B15:B255)</f>
        <v>454559.99131183996</v>
      </c>
      <c r="C256" s="45">
        <f>SUM(C15:C255)</f>
        <v>-2.242813934572041E-9</v>
      </c>
      <c r="D256" s="46"/>
      <c r="F256" s="45">
        <f>SUM(F15:F255)</f>
        <v>401250.00000000047</v>
      </c>
      <c r="G256" s="45">
        <f>SUM(G15:G255)</f>
        <v>3.7519384932238609E-8</v>
      </c>
      <c r="H256" s="11"/>
      <c r="J256" s="45">
        <f>SUM(J15:J255)</f>
        <v>527289.58992173441</v>
      </c>
      <c r="K256" s="45">
        <f>SUM(K15:K255)</f>
        <v>-2.2373569663614035E-9</v>
      </c>
      <c r="L256" s="46"/>
      <c r="N256" s="45">
        <f>SUM(N15:N255)</f>
        <v>465450.00000000064</v>
      </c>
      <c r="O256" s="45">
        <f>SUM(O15:O255)</f>
        <v>-3.4542608773335814E-9</v>
      </c>
      <c r="P256" s="53"/>
      <c r="Q256" s="53"/>
    </row>
    <row r="257" spans="1:15" ht="10.8" thickTop="1">
      <c r="A257" s="11"/>
      <c r="B257" s="11"/>
      <c r="E257" s="11"/>
      <c r="F257" s="11"/>
      <c r="G257" s="42"/>
      <c r="H257" s="42"/>
      <c r="J257" s="11"/>
      <c r="M257" s="11"/>
      <c r="N257" s="11"/>
      <c r="O257" s="42"/>
    </row>
    <row r="258" spans="1:15">
      <c r="A258" s="13"/>
      <c r="B258" s="13"/>
      <c r="E258" s="13"/>
      <c r="F258" s="13"/>
      <c r="G258" s="42"/>
      <c r="H258" s="42"/>
      <c r="J258" s="13"/>
      <c r="M258" s="13"/>
      <c r="N258" s="13"/>
      <c r="O258" s="42"/>
    </row>
  </sheetData>
  <mergeCells count="4">
    <mergeCell ref="B1:C2"/>
    <mergeCell ref="F1:G2"/>
    <mergeCell ref="J1:K2"/>
    <mergeCell ref="N1:O2"/>
  </mergeCells>
  <phoneticPr fontId="3" type="noConversion"/>
  <pageMargins left="0.75" right="0.75" top="1" bottom="1" header="0" footer="0"/>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D5"/>
  <sheetViews>
    <sheetView workbookViewId="0">
      <selection activeCell="A4" sqref="A4"/>
    </sheetView>
  </sheetViews>
  <sheetFormatPr defaultColWidth="11.5546875" defaultRowHeight="13.2"/>
  <cols>
    <col min="1" max="1" width="10.109375" customWidth="1"/>
    <col min="2" max="2" width="9" customWidth="1"/>
    <col min="3" max="3" width="16.5546875" bestFit="1" customWidth="1"/>
    <col min="4" max="4" width="68.5546875" bestFit="1" customWidth="1"/>
  </cols>
  <sheetData>
    <row r="1" spans="1:4">
      <c r="A1" s="176" t="s">
        <v>126</v>
      </c>
    </row>
    <row r="3" spans="1:4">
      <c r="A3" t="s">
        <v>127</v>
      </c>
      <c r="B3" t="s">
        <v>128</v>
      </c>
      <c r="C3" t="s">
        <v>129</v>
      </c>
      <c r="D3" t="s">
        <v>130</v>
      </c>
    </row>
    <row r="4" spans="1:4">
      <c r="A4" s="177">
        <v>41989</v>
      </c>
      <c r="B4" t="s">
        <v>131</v>
      </c>
      <c r="C4" t="s">
        <v>132</v>
      </c>
      <c r="D4" t="s">
        <v>125</v>
      </c>
    </row>
    <row r="5" spans="1:4">
      <c r="A5" s="177">
        <v>41989</v>
      </c>
      <c r="B5" t="s">
        <v>131</v>
      </c>
      <c r="C5" t="s">
        <v>132</v>
      </c>
      <c r="D5" t="s">
        <v>134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M1256"/>
  <sheetViews>
    <sheetView showZeros="0" topLeftCell="A43" zoomScale="115" zoomScaleNormal="115" workbookViewId="0">
      <selection activeCell="AA4" sqref="AA4:AK4"/>
    </sheetView>
  </sheetViews>
  <sheetFormatPr defaultColWidth="0" defaultRowHeight="12.75" customHeight="1" zeroHeight="1"/>
  <cols>
    <col min="1" max="1" width="1.109375" style="179" customWidth="1"/>
    <col min="2" max="37" width="3" style="179" customWidth="1"/>
    <col min="38" max="39" width="0.5546875" style="179" customWidth="1"/>
    <col min="40" max="40" width="2.88671875" style="179" hidden="1" customWidth="1"/>
    <col min="41" max="16384" width="2.88671875" style="179" hidden="1"/>
  </cols>
  <sheetData>
    <row r="1" spans="1:37" ht="12.75" customHeight="1"/>
    <row r="2" spans="1:37" ht="12.75" customHeight="1">
      <c r="R2" s="487"/>
    </row>
    <row r="3" spans="1:37" ht="7.5" customHeight="1">
      <c r="A3" s="178"/>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row>
    <row r="4" spans="1:37" ht="13.8">
      <c r="A4" s="178"/>
      <c r="B4" s="178"/>
      <c r="C4" s="178"/>
      <c r="D4" s="178"/>
      <c r="E4" s="178"/>
      <c r="F4" s="178"/>
      <c r="G4" s="178"/>
      <c r="H4" s="178"/>
      <c r="I4" s="178"/>
      <c r="J4" s="178"/>
      <c r="K4" s="178"/>
      <c r="L4" s="178"/>
      <c r="M4" s="178"/>
      <c r="N4" s="178"/>
      <c r="O4" s="178"/>
      <c r="P4" s="178"/>
      <c r="Q4" s="178"/>
      <c r="R4" s="178"/>
      <c r="S4" s="178"/>
      <c r="T4" s="178"/>
      <c r="V4" s="180"/>
      <c r="W4" s="180"/>
      <c r="Y4" s="180"/>
      <c r="Z4" s="180"/>
      <c r="AA4" s="548" t="s">
        <v>135</v>
      </c>
      <c r="AB4" s="548"/>
      <c r="AC4" s="548"/>
      <c r="AD4" s="548"/>
      <c r="AE4" s="548"/>
      <c r="AF4" s="548"/>
      <c r="AG4" s="548"/>
      <c r="AH4" s="548"/>
      <c r="AI4" s="548"/>
      <c r="AJ4" s="548"/>
      <c r="AK4" s="548"/>
    </row>
    <row r="5" spans="1:37" ht="13.8">
      <c r="A5" s="178"/>
      <c r="B5" s="178"/>
      <c r="C5" s="178"/>
      <c r="D5" s="178"/>
      <c r="E5" s="178"/>
      <c r="F5" s="178"/>
      <c r="G5" s="178"/>
      <c r="H5" s="178"/>
      <c r="I5" s="178"/>
      <c r="J5" s="178"/>
      <c r="K5" s="178"/>
      <c r="L5" s="178"/>
      <c r="M5" s="178"/>
      <c r="N5" s="178"/>
      <c r="O5" s="178"/>
      <c r="P5" s="178"/>
      <c r="Q5" s="178"/>
      <c r="R5" s="178"/>
      <c r="S5" s="178"/>
      <c r="T5" s="178"/>
      <c r="U5" s="181"/>
      <c r="V5" s="181"/>
      <c r="X5" s="180"/>
      <c r="Y5" s="180"/>
      <c r="Z5" s="180"/>
      <c r="AA5" s="180"/>
      <c r="AB5" s="180"/>
      <c r="AC5" s="180"/>
      <c r="AD5" s="180"/>
      <c r="AE5" s="180"/>
      <c r="AF5" s="549" t="s">
        <v>136</v>
      </c>
      <c r="AG5" s="549"/>
      <c r="AH5" s="549"/>
      <c r="AI5" s="549"/>
      <c r="AJ5" s="549"/>
      <c r="AK5" s="549"/>
    </row>
    <row r="6" spans="1:37" ht="17.25" customHeight="1">
      <c r="A6" s="178"/>
      <c r="B6" s="182" t="s">
        <v>137</v>
      </c>
      <c r="C6" s="178"/>
      <c r="D6" s="178"/>
      <c r="E6" s="178"/>
      <c r="F6" s="178"/>
      <c r="G6" s="178"/>
      <c r="H6" s="178"/>
      <c r="I6" s="178"/>
      <c r="J6" s="178"/>
      <c r="K6" s="178"/>
      <c r="L6" s="178"/>
      <c r="M6" s="178"/>
      <c r="N6" s="178"/>
      <c r="O6" s="178"/>
      <c r="P6" s="178"/>
      <c r="Q6" s="178"/>
      <c r="R6" s="178"/>
      <c r="S6" s="178"/>
      <c r="T6" s="178"/>
      <c r="U6" s="181"/>
      <c r="V6" s="181"/>
      <c r="W6" s="183"/>
      <c r="X6" s="184"/>
      <c r="Y6" s="184"/>
      <c r="Z6" s="184"/>
      <c r="AB6" s="185"/>
      <c r="AC6" s="185"/>
      <c r="AD6" s="185"/>
      <c r="AE6" s="185"/>
      <c r="AF6" s="550" t="s">
        <v>8</v>
      </c>
      <c r="AG6" s="550"/>
      <c r="AH6" s="550"/>
      <c r="AI6" s="550"/>
      <c r="AJ6" s="550"/>
      <c r="AK6" s="550"/>
    </row>
    <row r="7" spans="1:37" s="187" customFormat="1" ht="2.25" customHeight="1">
      <c r="A7" s="186"/>
      <c r="B7" s="186"/>
      <c r="C7" s="186"/>
      <c r="D7" s="186"/>
      <c r="E7" s="186"/>
      <c r="F7" s="186"/>
      <c r="G7" s="186"/>
      <c r="H7" s="186"/>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row>
    <row r="8" spans="1:37" s="193" customFormat="1" ht="10.5" customHeight="1">
      <c r="A8" s="188"/>
      <c r="B8" s="551" t="s">
        <v>138</v>
      </c>
      <c r="C8" s="552"/>
      <c r="D8" s="552"/>
      <c r="E8" s="552"/>
      <c r="F8" s="552"/>
      <c r="G8" s="189" t="s">
        <v>139</v>
      </c>
      <c r="H8" s="190"/>
      <c r="I8" s="190"/>
      <c r="J8" s="190"/>
      <c r="K8" s="190"/>
      <c r="L8" s="190"/>
      <c r="M8" s="190"/>
      <c r="N8" s="190"/>
      <c r="O8" s="190"/>
      <c r="P8" s="190"/>
      <c r="Q8" s="190"/>
      <c r="R8" s="190"/>
      <c r="S8" s="190"/>
      <c r="T8" s="190"/>
      <c r="U8" s="191"/>
      <c r="V8" s="190" t="s">
        <v>140</v>
      </c>
      <c r="W8" s="190"/>
      <c r="X8" s="190"/>
      <c r="Y8" s="190"/>
      <c r="Z8" s="190"/>
      <c r="AA8" s="190"/>
      <c r="AB8" s="190"/>
      <c r="AC8" s="190"/>
      <c r="AD8" s="190"/>
      <c r="AE8" s="190"/>
      <c r="AF8" s="190"/>
      <c r="AG8" s="190"/>
      <c r="AH8" s="190"/>
      <c r="AI8" s="190"/>
      <c r="AJ8" s="190"/>
      <c r="AK8" s="192"/>
    </row>
    <row r="9" spans="1:37" s="193" customFormat="1" ht="10.5" customHeight="1">
      <c r="A9" s="188"/>
      <c r="B9" s="553" t="s">
        <v>141</v>
      </c>
      <c r="C9" s="554"/>
      <c r="D9" s="554"/>
      <c r="E9" s="554"/>
      <c r="F9" s="554"/>
      <c r="G9" s="194"/>
      <c r="H9" s="195"/>
      <c r="I9" s="195"/>
      <c r="J9" s="195"/>
      <c r="K9" s="195"/>
      <c r="L9" s="195"/>
      <c r="M9" s="195"/>
      <c r="N9" s="195"/>
      <c r="O9" s="195"/>
      <c r="P9" s="195"/>
      <c r="Q9" s="195"/>
      <c r="R9" s="195"/>
      <c r="S9" s="195"/>
      <c r="T9" s="195"/>
      <c r="U9" s="196"/>
      <c r="V9" s="195"/>
      <c r="W9" s="195"/>
      <c r="X9" s="195"/>
      <c r="Y9" s="195"/>
      <c r="Z9" s="195"/>
      <c r="AA9" s="195"/>
      <c r="AB9" s="195"/>
      <c r="AC9" s="195"/>
      <c r="AD9" s="195"/>
      <c r="AE9" s="195"/>
      <c r="AF9" s="195"/>
      <c r="AG9" s="195"/>
      <c r="AH9" s="195"/>
      <c r="AI9" s="195"/>
      <c r="AJ9" s="195"/>
      <c r="AK9" s="197"/>
    </row>
    <row r="10" spans="1:37" s="193" customFormat="1" ht="10.5" customHeight="1">
      <c r="A10" s="188"/>
      <c r="B10" s="555">
        <f ca="1">AA_002_GENERALES_FECHA</f>
        <v>42625</v>
      </c>
      <c r="C10" s="556"/>
      <c r="D10" s="556"/>
      <c r="E10" s="556"/>
      <c r="F10" s="557"/>
      <c r="G10" s="558" t="str">
        <f>AA_003_GENERALES_DIA</f>
        <v>Monterrey, Nuevo León</v>
      </c>
      <c r="H10" s="559"/>
      <c r="I10" s="559"/>
      <c r="J10" s="559"/>
      <c r="K10" s="559"/>
      <c r="L10" s="559"/>
      <c r="M10" s="559"/>
      <c r="N10" s="559"/>
      <c r="O10" s="559"/>
      <c r="P10" s="559"/>
      <c r="Q10" s="559"/>
      <c r="R10" s="559"/>
      <c r="S10" s="559"/>
      <c r="T10" s="559"/>
      <c r="U10" s="560"/>
      <c r="V10" s="558" t="str">
        <f>AA_007_GENERALES_NOMBRE_Y_NÚMERO_DE_SUCURSAL</f>
        <v>161 Morones Prieto</v>
      </c>
      <c r="W10" s="559"/>
      <c r="X10" s="559"/>
      <c r="Y10" s="559"/>
      <c r="Z10" s="559"/>
      <c r="AA10" s="559"/>
      <c r="AB10" s="559"/>
      <c r="AC10" s="559"/>
      <c r="AD10" s="559"/>
      <c r="AE10" s="559"/>
      <c r="AF10" s="559"/>
      <c r="AG10" s="559"/>
      <c r="AH10" s="559"/>
      <c r="AI10" s="559"/>
      <c r="AJ10" s="559"/>
      <c r="AK10" s="561"/>
    </row>
    <row r="11" spans="1:37" s="199" customFormat="1" ht="2.25" customHeight="1">
      <c r="A11" s="198"/>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row>
    <row r="12" spans="1:37" s="199" customFormat="1" ht="9.6">
      <c r="A12" s="198"/>
      <c r="B12" s="200" t="s">
        <v>142</v>
      </c>
      <c r="C12" s="18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row>
    <row r="13" spans="1:37" s="193" customFormat="1" ht="10.5" customHeight="1">
      <c r="A13" s="188"/>
      <c r="B13" s="201" t="s">
        <v>143</v>
      </c>
      <c r="C13" s="202"/>
      <c r="D13" s="202"/>
      <c r="E13" s="202" t="s">
        <v>144</v>
      </c>
      <c r="F13" s="202"/>
      <c r="G13" s="202"/>
      <c r="H13" s="202"/>
      <c r="I13" s="202"/>
      <c r="J13" s="202"/>
      <c r="K13" s="202"/>
      <c r="L13" s="203"/>
      <c r="M13" s="201" t="s">
        <v>145</v>
      </c>
      <c r="N13" s="202"/>
      <c r="O13" s="202"/>
      <c r="P13" s="202"/>
      <c r="Q13" s="202"/>
      <c r="R13" s="202"/>
      <c r="S13" s="203"/>
      <c r="T13" s="202" t="s">
        <v>146</v>
      </c>
      <c r="U13" s="202"/>
      <c r="V13" s="202"/>
      <c r="W13" s="202"/>
      <c r="X13" s="202"/>
      <c r="Y13" s="202"/>
      <c r="Z13" s="202"/>
      <c r="AA13" s="201" t="s">
        <v>147</v>
      </c>
      <c r="AB13" s="202"/>
      <c r="AC13" s="202"/>
      <c r="AD13" s="202"/>
      <c r="AE13" s="202"/>
      <c r="AF13" s="202"/>
      <c r="AG13" s="203"/>
      <c r="AH13" s="202" t="s">
        <v>148</v>
      </c>
      <c r="AI13" s="202"/>
      <c r="AJ13" s="202"/>
      <c r="AK13" s="203"/>
    </row>
    <row r="14" spans="1:37" s="193" customFormat="1" ht="10.5" customHeight="1">
      <c r="A14" s="188"/>
      <c r="B14" s="539">
        <f>AA_008_DATOS_DE_BANCO_DOMICILIO_CALLE_NÚMERO</f>
        <v>0</v>
      </c>
      <c r="C14" s="540"/>
      <c r="D14" s="540"/>
      <c r="E14" s="540"/>
      <c r="F14" s="540"/>
      <c r="G14" s="540"/>
      <c r="H14" s="540"/>
      <c r="I14" s="540"/>
      <c r="J14" s="540"/>
      <c r="K14" s="540"/>
      <c r="L14" s="541"/>
      <c r="M14" s="539">
        <f>AA_009_DATOS_DE_BANCO_COLONIA</f>
        <v>0</v>
      </c>
      <c r="N14" s="540"/>
      <c r="O14" s="540"/>
      <c r="P14" s="540"/>
      <c r="Q14" s="540"/>
      <c r="R14" s="540"/>
      <c r="S14" s="541"/>
      <c r="T14" s="539">
        <f>AA_010_DATOS_DE_BANCO_POBLACIÓN</f>
        <v>0</v>
      </c>
      <c r="U14" s="540"/>
      <c r="V14" s="540"/>
      <c r="W14" s="540"/>
      <c r="X14" s="540"/>
      <c r="Y14" s="540"/>
      <c r="Z14" s="541"/>
      <c r="AA14" s="539">
        <f>AA_011_DATOS_DE_BANCO_ESTADO</f>
        <v>0</v>
      </c>
      <c r="AB14" s="540"/>
      <c r="AC14" s="540"/>
      <c r="AD14" s="540"/>
      <c r="AE14" s="540"/>
      <c r="AF14" s="540"/>
      <c r="AG14" s="541"/>
      <c r="AH14" s="539">
        <f>AA_012_DATOS_DE_BANCO_CODIGO_POSTAL</f>
        <v>0</v>
      </c>
      <c r="AI14" s="540"/>
      <c r="AJ14" s="540"/>
      <c r="AK14" s="541"/>
    </row>
    <row r="15" spans="1:37" s="193" customFormat="1" ht="10.5" customHeight="1">
      <c r="A15" s="188"/>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row>
    <row r="16" spans="1:37" s="193" customFormat="1" ht="10.5" customHeight="1">
      <c r="A16" s="188"/>
      <c r="B16" s="204" t="s">
        <v>149</v>
      </c>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row>
    <row r="17" spans="1:37" s="193" customFormat="1" ht="10.5" customHeight="1">
      <c r="A17" s="188"/>
      <c r="B17" s="201" t="s">
        <v>150</v>
      </c>
      <c r="C17" s="202"/>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202"/>
      <c r="AF17" s="202"/>
      <c r="AG17" s="201" t="s">
        <v>151</v>
      </c>
      <c r="AH17" s="202"/>
      <c r="AI17" s="202"/>
      <c r="AJ17" s="202"/>
      <c r="AK17" s="203"/>
    </row>
    <row r="18" spans="1:37" s="193" customFormat="1" ht="10.5" customHeight="1">
      <c r="A18" s="188"/>
      <c r="B18" s="539">
        <f>AA_013_DATOS_DE_LA_PARTE_ACREDITADA_NOMBRE_DEL_ACREDITADO</f>
        <v>0</v>
      </c>
      <c r="C18" s="540"/>
      <c r="D18" s="540"/>
      <c r="E18" s="540"/>
      <c r="F18" s="540"/>
      <c r="G18" s="540"/>
      <c r="H18" s="540"/>
      <c r="I18" s="540"/>
      <c r="J18" s="540"/>
      <c r="K18" s="540"/>
      <c r="L18" s="540"/>
      <c r="M18" s="540"/>
      <c r="N18" s="540"/>
      <c r="O18" s="540"/>
      <c r="P18" s="540"/>
      <c r="Q18" s="540"/>
      <c r="R18" s="540"/>
      <c r="S18" s="540"/>
      <c r="T18" s="540"/>
      <c r="U18" s="540"/>
      <c r="V18" s="540"/>
      <c r="W18" s="540"/>
      <c r="X18" s="540"/>
      <c r="Y18" s="540"/>
      <c r="Z18" s="540"/>
      <c r="AA18" s="540"/>
      <c r="AB18" s="540"/>
      <c r="AC18" s="540"/>
      <c r="AD18" s="540"/>
      <c r="AE18" s="540"/>
      <c r="AF18" s="541"/>
      <c r="AG18" s="539">
        <f>AA_014_DATOS_DE_LA_PARTE_ACREDITADA_R_F_C_</f>
        <v>0</v>
      </c>
      <c r="AH18" s="540"/>
      <c r="AI18" s="540"/>
      <c r="AJ18" s="540"/>
      <c r="AK18" s="541"/>
    </row>
    <row r="19" spans="1:37" s="193" customFormat="1" ht="10.5" customHeight="1">
      <c r="A19" s="188"/>
      <c r="B19" s="201" t="s">
        <v>143</v>
      </c>
      <c r="C19" s="202"/>
      <c r="D19" s="202"/>
      <c r="E19" s="202" t="s">
        <v>144</v>
      </c>
      <c r="F19" s="202"/>
      <c r="G19" s="202"/>
      <c r="H19" s="202"/>
      <c r="I19" s="202"/>
      <c r="J19" s="202"/>
      <c r="K19" s="202"/>
      <c r="L19" s="202"/>
      <c r="M19" s="202"/>
      <c r="N19" s="202"/>
      <c r="O19" s="202"/>
      <c r="P19" s="202"/>
      <c r="Q19" s="202"/>
      <c r="R19" s="202"/>
      <c r="S19" s="202"/>
      <c r="T19" s="202"/>
      <c r="U19" s="202"/>
      <c r="V19" s="202"/>
      <c r="W19" s="202"/>
      <c r="X19" s="201" t="s">
        <v>145</v>
      </c>
      <c r="Y19" s="202"/>
      <c r="Z19" s="202"/>
      <c r="AA19" s="202"/>
      <c r="AB19" s="202"/>
      <c r="AC19" s="202"/>
      <c r="AD19" s="202"/>
      <c r="AE19" s="202"/>
      <c r="AF19" s="202"/>
      <c r="AG19" s="202"/>
      <c r="AH19" s="202"/>
      <c r="AI19" s="202"/>
      <c r="AJ19" s="202"/>
      <c r="AK19" s="203"/>
    </row>
    <row r="20" spans="1:37" s="193" customFormat="1" ht="10.5" customHeight="1">
      <c r="A20" s="188"/>
      <c r="B20" s="539">
        <f>AA_015_DATOS_DE_LA_PARTE_ACREDITADA_DOMICILIO_CALLE_NÚMERO</f>
        <v>0</v>
      </c>
      <c r="C20" s="540"/>
      <c r="D20" s="540"/>
      <c r="E20" s="540"/>
      <c r="F20" s="540"/>
      <c r="G20" s="540"/>
      <c r="H20" s="540"/>
      <c r="I20" s="540"/>
      <c r="J20" s="540"/>
      <c r="K20" s="540"/>
      <c r="L20" s="540"/>
      <c r="M20" s="540"/>
      <c r="N20" s="540"/>
      <c r="O20" s="540"/>
      <c r="P20" s="540"/>
      <c r="Q20" s="540"/>
      <c r="R20" s="540"/>
      <c r="S20" s="540"/>
      <c r="T20" s="540"/>
      <c r="U20" s="540"/>
      <c r="V20" s="540"/>
      <c r="W20" s="541"/>
      <c r="X20" s="539">
        <f>AA_016_DATOS_DE_LA_PARTE_ACREDITADA_COLONIA</f>
        <v>0</v>
      </c>
      <c r="Y20" s="540"/>
      <c r="Z20" s="540"/>
      <c r="AA20" s="540"/>
      <c r="AB20" s="540"/>
      <c r="AC20" s="540"/>
      <c r="AD20" s="540"/>
      <c r="AE20" s="540"/>
      <c r="AF20" s="540"/>
      <c r="AG20" s="540"/>
      <c r="AH20" s="540"/>
      <c r="AI20" s="540"/>
      <c r="AJ20" s="540"/>
      <c r="AK20" s="541"/>
    </row>
    <row r="21" spans="1:37" s="193" customFormat="1" ht="10.5" customHeight="1">
      <c r="A21" s="188"/>
      <c r="B21" s="201" t="s">
        <v>146</v>
      </c>
      <c r="C21" s="202"/>
      <c r="D21" s="202"/>
      <c r="E21" s="202"/>
      <c r="F21" s="202"/>
      <c r="G21" s="202"/>
      <c r="H21" s="202"/>
      <c r="I21" s="195"/>
      <c r="J21" s="201" t="s">
        <v>147</v>
      </c>
      <c r="K21" s="195"/>
      <c r="L21" s="195"/>
      <c r="P21" s="202"/>
      <c r="Q21" s="194" t="s">
        <v>152</v>
      </c>
      <c r="S21" s="202"/>
      <c r="T21" s="202"/>
      <c r="V21" s="201" t="s">
        <v>153</v>
      </c>
      <c r="W21" s="202"/>
      <c r="X21" s="202"/>
      <c r="Y21" s="202"/>
      <c r="AA21" s="201" t="s">
        <v>154</v>
      </c>
      <c r="AB21" s="202"/>
      <c r="AC21" s="203"/>
      <c r="AD21" s="194" t="s">
        <v>155</v>
      </c>
      <c r="AE21" s="195"/>
      <c r="AF21" s="195"/>
      <c r="AG21" s="203"/>
      <c r="AH21" s="202" t="s">
        <v>156</v>
      </c>
      <c r="AI21" s="202"/>
      <c r="AJ21" s="202"/>
      <c r="AK21" s="203"/>
    </row>
    <row r="22" spans="1:37" s="193" customFormat="1" ht="10.5" customHeight="1">
      <c r="A22" s="188"/>
      <c r="B22" s="539">
        <f>AA_017_DATOS_DE_LA_PARTE_ACREDITADA_POBLACION</f>
        <v>0</v>
      </c>
      <c r="C22" s="540"/>
      <c r="D22" s="540"/>
      <c r="E22" s="540"/>
      <c r="F22" s="540"/>
      <c r="G22" s="540"/>
      <c r="H22" s="540"/>
      <c r="I22" s="541"/>
      <c r="J22" s="539">
        <f>AA_018_DATOS_DE_LA_PARTE_ACREDITADA_ESTADO</f>
        <v>0</v>
      </c>
      <c r="K22" s="540"/>
      <c r="L22" s="540"/>
      <c r="M22" s="540"/>
      <c r="N22" s="540"/>
      <c r="O22" s="540"/>
      <c r="P22" s="541"/>
      <c r="Q22" s="539">
        <f>AA_019_DATOS_DE_LA_PARTE_ACREDITADA_NACIONALIDAD</f>
        <v>0</v>
      </c>
      <c r="R22" s="540"/>
      <c r="S22" s="540"/>
      <c r="T22" s="540"/>
      <c r="U22" s="541"/>
      <c r="V22" s="539">
        <f>AA_020_DATOS_DE_LA_PARTE_ACREDITADA_ORIGINARIO</f>
        <v>0</v>
      </c>
      <c r="W22" s="540"/>
      <c r="X22" s="540"/>
      <c r="Y22" s="540"/>
      <c r="Z22" s="541"/>
      <c r="AA22" s="542">
        <f>AA_021_DATOS_DE_LA_PARTE_ACREDITADA_EDAD</f>
        <v>0</v>
      </c>
      <c r="AB22" s="543"/>
      <c r="AC22" s="544"/>
      <c r="AD22" s="539">
        <f>AA_022_DATOS_DE_LA_PARTE_ACREDITADA_ESTADO_CIVIL</f>
        <v>0</v>
      </c>
      <c r="AE22" s="540"/>
      <c r="AF22" s="540"/>
      <c r="AG22" s="541"/>
      <c r="AH22" s="539">
        <f>AA_023_DATOS_DE_LA_PARTE_ACREDITADA_TELEFONO</f>
        <v>0</v>
      </c>
      <c r="AI22" s="540"/>
      <c r="AJ22" s="540"/>
      <c r="AK22" s="541"/>
    </row>
    <row r="23" spans="1:37" s="193" customFormat="1" ht="10.5" customHeight="1">
      <c r="A23" s="188"/>
      <c r="B23" s="201" t="s">
        <v>157</v>
      </c>
      <c r="C23" s="202"/>
      <c r="D23" s="202"/>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202"/>
      <c r="AF23" s="202"/>
      <c r="AG23" s="201" t="s">
        <v>151</v>
      </c>
      <c r="AH23" s="202"/>
      <c r="AI23" s="202"/>
      <c r="AJ23" s="202"/>
      <c r="AK23" s="203"/>
    </row>
    <row r="24" spans="1:37" s="193" customFormat="1" ht="10.5" customHeight="1">
      <c r="A24" s="188"/>
      <c r="B24" s="545">
        <f>AA_024_DATOS_DE_LA_PARTE_ACREDITADA_NOMBRE_DEL_ACREDITADO_2</f>
        <v>0</v>
      </c>
      <c r="C24" s="546"/>
      <c r="D24" s="546"/>
      <c r="E24" s="546"/>
      <c r="F24" s="546"/>
      <c r="G24" s="546"/>
      <c r="H24" s="546"/>
      <c r="I24" s="546"/>
      <c r="J24" s="546"/>
      <c r="K24" s="546"/>
      <c r="L24" s="546"/>
      <c r="M24" s="546"/>
      <c r="N24" s="546"/>
      <c r="O24" s="546"/>
      <c r="P24" s="546"/>
      <c r="Q24" s="546"/>
      <c r="R24" s="546"/>
      <c r="S24" s="546"/>
      <c r="T24" s="546"/>
      <c r="U24" s="546"/>
      <c r="V24" s="546"/>
      <c r="W24" s="546"/>
      <c r="X24" s="546"/>
      <c r="Y24" s="546"/>
      <c r="Z24" s="546"/>
      <c r="AA24" s="546"/>
      <c r="AB24" s="546"/>
      <c r="AC24" s="546"/>
      <c r="AD24" s="546"/>
      <c r="AE24" s="546"/>
      <c r="AF24" s="547"/>
      <c r="AG24" s="545">
        <f>AA_025_DATOS_DE_LA_PARTE_ACREDITADA_R_F_C_</f>
        <v>0</v>
      </c>
      <c r="AH24" s="546"/>
      <c r="AI24" s="546"/>
      <c r="AJ24" s="546"/>
      <c r="AK24" s="547"/>
    </row>
    <row r="25" spans="1:37" s="193" customFormat="1" ht="10.5" customHeight="1">
      <c r="A25" s="188"/>
      <c r="B25" s="194" t="s">
        <v>143</v>
      </c>
      <c r="C25" s="195"/>
      <c r="D25" s="195"/>
      <c r="E25" s="195" t="s">
        <v>144</v>
      </c>
      <c r="F25" s="195"/>
      <c r="G25" s="195"/>
      <c r="H25" s="195"/>
      <c r="I25" s="195"/>
      <c r="J25" s="195"/>
      <c r="K25" s="195"/>
      <c r="L25" s="195"/>
      <c r="M25" s="195"/>
      <c r="N25" s="195"/>
      <c r="O25" s="195"/>
      <c r="P25" s="195"/>
      <c r="Q25" s="195"/>
      <c r="R25" s="195"/>
      <c r="S25" s="195"/>
      <c r="T25" s="195"/>
      <c r="U25" s="188"/>
      <c r="V25" s="188"/>
      <c r="W25" s="196"/>
      <c r="X25" s="194" t="s">
        <v>145</v>
      </c>
      <c r="Y25" s="195"/>
      <c r="Z25" s="195"/>
      <c r="AA25" s="195"/>
      <c r="AB25" s="195"/>
      <c r="AC25" s="195"/>
      <c r="AD25" s="195"/>
      <c r="AE25" s="195"/>
      <c r="AF25" s="195"/>
      <c r="AG25" s="195"/>
      <c r="AH25" s="195"/>
      <c r="AI25" s="195"/>
      <c r="AJ25" s="195"/>
      <c r="AK25" s="196"/>
    </row>
    <row r="26" spans="1:37" s="193" customFormat="1" ht="10.5" customHeight="1">
      <c r="A26" s="188"/>
      <c r="B26" s="545">
        <f>AA_026_DATOS_DE_LA_PARTE_ACREDITADA_DOMICILIO_CALLE_NÚMERO</f>
        <v>0</v>
      </c>
      <c r="C26" s="546"/>
      <c r="D26" s="546"/>
      <c r="E26" s="546"/>
      <c r="F26" s="546"/>
      <c r="G26" s="546"/>
      <c r="H26" s="546"/>
      <c r="I26" s="546"/>
      <c r="J26" s="546"/>
      <c r="K26" s="546"/>
      <c r="L26" s="546"/>
      <c r="M26" s="546"/>
      <c r="N26" s="546"/>
      <c r="O26" s="546"/>
      <c r="P26" s="546"/>
      <c r="Q26" s="546"/>
      <c r="R26" s="546"/>
      <c r="S26" s="546"/>
      <c r="T26" s="546"/>
      <c r="U26" s="546"/>
      <c r="V26" s="546"/>
      <c r="W26" s="547"/>
      <c r="X26" s="539">
        <f>AA_027_DATOS_DE_LA_PARTE_ACREDITADA_COLONIA</f>
        <v>0</v>
      </c>
      <c r="Y26" s="540"/>
      <c r="Z26" s="540"/>
      <c r="AA26" s="540"/>
      <c r="AB26" s="540"/>
      <c r="AC26" s="540"/>
      <c r="AD26" s="540"/>
      <c r="AE26" s="540"/>
      <c r="AF26" s="540"/>
      <c r="AG26" s="540"/>
      <c r="AH26" s="540"/>
      <c r="AI26" s="540"/>
      <c r="AJ26" s="540"/>
      <c r="AK26" s="541"/>
    </row>
    <row r="27" spans="1:37" s="193" customFormat="1" ht="10.5" customHeight="1">
      <c r="A27" s="188"/>
      <c r="B27" s="194" t="s">
        <v>146</v>
      </c>
      <c r="C27" s="195"/>
      <c r="D27" s="195"/>
      <c r="E27" s="195"/>
      <c r="F27" s="195"/>
      <c r="G27" s="195"/>
      <c r="H27" s="195"/>
      <c r="I27" s="195"/>
      <c r="J27" s="194" t="s">
        <v>147</v>
      </c>
      <c r="K27" s="195"/>
      <c r="L27" s="195"/>
      <c r="M27" s="188"/>
      <c r="N27" s="188"/>
      <c r="O27" s="188"/>
      <c r="P27" s="195"/>
      <c r="Q27" s="194" t="s">
        <v>152</v>
      </c>
      <c r="R27" s="188"/>
      <c r="S27" s="195"/>
      <c r="T27" s="195"/>
      <c r="U27" s="188"/>
      <c r="V27" s="194" t="s">
        <v>153</v>
      </c>
      <c r="W27" s="195"/>
      <c r="X27" s="202"/>
      <c r="Y27" s="202"/>
      <c r="Z27" s="188"/>
      <c r="AA27" s="201" t="s">
        <v>154</v>
      </c>
      <c r="AB27" s="202"/>
      <c r="AC27" s="203"/>
      <c r="AD27" s="194" t="s">
        <v>155</v>
      </c>
      <c r="AE27" s="195"/>
      <c r="AF27" s="195"/>
      <c r="AG27" s="203"/>
      <c r="AH27" s="202" t="s">
        <v>156</v>
      </c>
      <c r="AI27" s="202"/>
      <c r="AJ27" s="202"/>
      <c r="AK27" s="203"/>
    </row>
    <row r="28" spans="1:37" s="193" customFormat="1" ht="10.5" customHeight="1">
      <c r="A28" s="188"/>
      <c r="B28" s="539">
        <f>AA_028_DATOS_DE_LA_PARTE_ACREDITADA_POBLACION</f>
        <v>0</v>
      </c>
      <c r="C28" s="540"/>
      <c r="D28" s="540"/>
      <c r="E28" s="540"/>
      <c r="F28" s="540"/>
      <c r="G28" s="540"/>
      <c r="H28" s="540"/>
      <c r="I28" s="541"/>
      <c r="J28" s="539">
        <f>AA_029_DATOS_DE_LA_PARTE_ACREDITADA_ESTADO</f>
        <v>0</v>
      </c>
      <c r="K28" s="540"/>
      <c r="L28" s="540"/>
      <c r="M28" s="540"/>
      <c r="N28" s="540"/>
      <c r="O28" s="540"/>
      <c r="P28" s="541"/>
      <c r="Q28" s="539">
        <f>AA_030_DATOS_DE_LA_PARTE_ACREDITADA_NACIONALIDAD</f>
        <v>0</v>
      </c>
      <c r="R28" s="540"/>
      <c r="S28" s="540"/>
      <c r="T28" s="540"/>
      <c r="U28" s="541"/>
      <c r="V28" s="539">
        <f>AA_031_DATOS_DE_LA_PARTE_ACREDITADA_ORIGINARIO</f>
        <v>0</v>
      </c>
      <c r="W28" s="540"/>
      <c r="X28" s="540"/>
      <c r="Y28" s="540"/>
      <c r="Z28" s="541"/>
      <c r="AA28" s="542">
        <f>AA_032_DATOS_DE_LA_PARTE_ACREDITADA_EDAD</f>
        <v>0</v>
      </c>
      <c r="AB28" s="543"/>
      <c r="AC28" s="544"/>
      <c r="AD28" s="539">
        <f>AA_033_DATOS_DE_LA_PARTE_ACREDITADA_ESTADO_CIVIL</f>
        <v>0</v>
      </c>
      <c r="AE28" s="540"/>
      <c r="AF28" s="540"/>
      <c r="AG28" s="541"/>
      <c r="AH28" s="540">
        <f>AA_034_DATOS_DE_LA_PARTE_ACREDITADA_TELEFONO</f>
        <v>0</v>
      </c>
      <c r="AI28" s="540"/>
      <c r="AJ28" s="540"/>
      <c r="AK28" s="541"/>
    </row>
    <row r="29" spans="1:37" s="199" customFormat="1" ht="2.25" customHeight="1">
      <c r="A29" s="198"/>
      <c r="B29" s="182"/>
      <c r="C29" s="18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row>
    <row r="30" spans="1:37" s="199" customFormat="1" ht="9.6">
      <c r="A30" s="198"/>
      <c r="B30" s="200" t="s">
        <v>158</v>
      </c>
      <c r="C30" s="18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row>
    <row r="31" spans="1:37" s="193" customFormat="1" ht="10.5" customHeight="1">
      <c r="A31" s="188"/>
      <c r="B31" s="201" t="s">
        <v>159</v>
      </c>
      <c r="C31" s="202"/>
      <c r="D31" s="202"/>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202"/>
      <c r="AF31" s="202"/>
      <c r="AG31" s="202"/>
      <c r="AH31" s="202"/>
      <c r="AI31" s="202"/>
      <c r="AJ31" s="202"/>
      <c r="AK31" s="203"/>
    </row>
    <row r="32" spans="1:37" s="193" customFormat="1" ht="10.5" customHeight="1">
      <c r="A32" s="188"/>
      <c r="B32" s="539">
        <f>AA_035_DATOS_APODERADOS_ACREDITADO_NOMBRE_APODERADO_DEL_ACREDITADO_UNO</f>
        <v>0</v>
      </c>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c r="AE32" s="540"/>
      <c r="AF32" s="540"/>
      <c r="AG32" s="540"/>
      <c r="AH32" s="540"/>
      <c r="AI32" s="540"/>
      <c r="AJ32" s="540"/>
      <c r="AK32" s="541"/>
    </row>
    <row r="33" spans="1:37" s="193" customFormat="1" ht="10.5" customHeight="1">
      <c r="A33" s="188"/>
      <c r="B33" s="201" t="str">
        <f>B31</f>
        <v>NOMBRE  (Nombre(s) Apellidos Paterno y Materno)</v>
      </c>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202"/>
      <c r="AG33" s="202"/>
      <c r="AH33" s="202"/>
      <c r="AI33" s="202"/>
      <c r="AJ33" s="202"/>
      <c r="AK33" s="203"/>
    </row>
    <row r="34" spans="1:37" s="193" customFormat="1" ht="10.5" customHeight="1">
      <c r="A34" s="188"/>
      <c r="B34" s="539">
        <f>AA_036_DATOS_APODERADOS_ACREDITADO_NOMBRE_APODERADO_DEL_ACREDITADO_DOS</f>
        <v>0</v>
      </c>
      <c r="C34" s="540"/>
      <c r="D34" s="540"/>
      <c r="E34" s="540"/>
      <c r="F34" s="540"/>
      <c r="G34" s="540"/>
      <c r="H34" s="540"/>
      <c r="I34" s="540"/>
      <c r="J34" s="540"/>
      <c r="K34" s="540"/>
      <c r="L34" s="540"/>
      <c r="M34" s="540"/>
      <c r="N34" s="540"/>
      <c r="O34" s="540"/>
      <c r="P34" s="540"/>
      <c r="Q34" s="540"/>
      <c r="R34" s="540"/>
      <c r="S34" s="540"/>
      <c r="T34" s="540"/>
      <c r="U34" s="540"/>
      <c r="V34" s="540"/>
      <c r="W34" s="540"/>
      <c r="X34" s="540"/>
      <c r="Y34" s="540"/>
      <c r="Z34" s="540"/>
      <c r="AA34" s="540"/>
      <c r="AB34" s="540"/>
      <c r="AC34" s="540"/>
      <c r="AD34" s="540"/>
      <c r="AE34" s="540"/>
      <c r="AF34" s="540"/>
      <c r="AG34" s="540"/>
      <c r="AH34" s="540"/>
      <c r="AI34" s="540"/>
      <c r="AJ34" s="540"/>
      <c r="AK34" s="541"/>
    </row>
    <row r="35" spans="1:37" s="193" customFormat="1" ht="10.5" customHeight="1">
      <c r="A35" s="188"/>
      <c r="B35" s="201" t="str">
        <f>B33</f>
        <v>NOMBRE  (Nombre(s) Apellidos Paterno y Materno)</v>
      </c>
      <c r="C35" s="202"/>
      <c r="D35" s="202"/>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202"/>
      <c r="AF35" s="202"/>
      <c r="AG35" s="202"/>
      <c r="AH35" s="202"/>
      <c r="AI35" s="202"/>
      <c r="AJ35" s="202"/>
      <c r="AK35" s="203"/>
    </row>
    <row r="36" spans="1:37" s="193" customFormat="1" ht="10.5" customHeight="1">
      <c r="A36" s="188"/>
      <c r="B36" s="539">
        <f>AA_036a_DATOS_APODERADOS_ACREDITADO_NOMBRE_APODERADO_DEL_ACREDITADO_TRES</f>
        <v>0</v>
      </c>
      <c r="C36" s="540"/>
      <c r="D36" s="540"/>
      <c r="E36" s="540"/>
      <c r="F36" s="540"/>
      <c r="G36" s="540"/>
      <c r="H36" s="540"/>
      <c r="I36" s="540"/>
      <c r="J36" s="540"/>
      <c r="K36" s="540"/>
      <c r="L36" s="540"/>
      <c r="M36" s="540"/>
      <c r="N36" s="540"/>
      <c r="O36" s="540"/>
      <c r="P36" s="540"/>
      <c r="Q36" s="540"/>
      <c r="R36" s="540"/>
      <c r="S36" s="540"/>
      <c r="T36" s="540"/>
      <c r="U36" s="540"/>
      <c r="V36" s="540"/>
      <c r="W36" s="540"/>
      <c r="X36" s="540"/>
      <c r="Y36" s="540"/>
      <c r="Z36" s="540"/>
      <c r="AA36" s="540"/>
      <c r="AB36" s="540"/>
      <c r="AC36" s="540"/>
      <c r="AD36" s="540"/>
      <c r="AE36" s="540"/>
      <c r="AF36" s="540"/>
      <c r="AG36" s="540"/>
      <c r="AH36" s="540"/>
      <c r="AI36" s="540"/>
      <c r="AJ36" s="540"/>
      <c r="AK36" s="541"/>
    </row>
    <row r="37" spans="1:37" s="199" customFormat="1" ht="2.25" customHeight="1">
      <c r="A37" s="198"/>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row>
    <row r="38" spans="1:37" s="199" customFormat="1" ht="2.25" customHeight="1">
      <c r="A38" s="198"/>
      <c r="B38" s="182"/>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row>
    <row r="39" spans="1:37" s="199" customFormat="1" ht="2.25" customHeight="1">
      <c r="A39" s="198"/>
      <c r="B39" s="182"/>
      <c r="C39" s="18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row>
    <row r="40" spans="1:37" s="199" customFormat="1" ht="9.6">
      <c r="A40" s="198"/>
      <c r="B40" s="200" t="s">
        <v>160</v>
      </c>
      <c r="C40" s="18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82"/>
      <c r="AI40" s="182"/>
      <c r="AJ40" s="182"/>
      <c r="AK40" s="182"/>
    </row>
    <row r="41" spans="1:37" s="193" customFormat="1" ht="10.5" customHeight="1">
      <c r="A41" s="188"/>
      <c r="B41" s="201" t="s">
        <v>157</v>
      </c>
      <c r="C41" s="202"/>
      <c r="D41" s="202"/>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202"/>
      <c r="AF41" s="202"/>
      <c r="AG41" s="201" t="s">
        <v>151</v>
      </c>
      <c r="AH41" s="202"/>
      <c r="AI41" s="202"/>
      <c r="AJ41" s="202"/>
      <c r="AK41" s="203"/>
    </row>
    <row r="42" spans="1:37" s="193" customFormat="1" ht="10.5" customHeight="1">
      <c r="A42" s="188"/>
      <c r="B42" s="539">
        <f>AA_037_DATOS_FIADORES_NOMBRE_DEL_FIADOR_SOLIDARIO_UNO</f>
        <v>0</v>
      </c>
      <c r="C42" s="540"/>
      <c r="D42" s="540"/>
      <c r="E42" s="540"/>
      <c r="F42" s="540"/>
      <c r="G42" s="540"/>
      <c r="H42" s="540"/>
      <c r="I42" s="540"/>
      <c r="J42" s="540"/>
      <c r="K42" s="540"/>
      <c r="L42" s="540"/>
      <c r="M42" s="540"/>
      <c r="N42" s="540"/>
      <c r="O42" s="540"/>
      <c r="P42" s="540"/>
      <c r="Q42" s="540"/>
      <c r="R42" s="540"/>
      <c r="S42" s="540"/>
      <c r="T42" s="540"/>
      <c r="U42" s="540"/>
      <c r="V42" s="540"/>
      <c r="W42" s="540"/>
      <c r="X42" s="540"/>
      <c r="Y42" s="540"/>
      <c r="Z42" s="540"/>
      <c r="AA42" s="540"/>
      <c r="AB42" s="540"/>
      <c r="AC42" s="540"/>
      <c r="AD42" s="540"/>
      <c r="AE42" s="540"/>
      <c r="AF42" s="541"/>
      <c r="AG42" s="539">
        <f>AA_038_DATOS_FIADORES_RFC</f>
        <v>0</v>
      </c>
      <c r="AH42" s="540"/>
      <c r="AI42" s="540"/>
      <c r="AJ42" s="540"/>
      <c r="AK42" s="541"/>
    </row>
    <row r="43" spans="1:37" s="193" customFormat="1" ht="10.5" customHeight="1">
      <c r="A43" s="188"/>
      <c r="B43" s="201" t="s">
        <v>143</v>
      </c>
      <c r="C43" s="202"/>
      <c r="D43" s="202"/>
      <c r="E43" s="202" t="s">
        <v>144</v>
      </c>
      <c r="F43" s="202"/>
      <c r="G43" s="202"/>
      <c r="H43" s="202"/>
      <c r="I43" s="202"/>
      <c r="J43" s="202"/>
      <c r="K43" s="202"/>
      <c r="L43" s="202"/>
      <c r="M43" s="202"/>
      <c r="N43" s="202"/>
      <c r="O43" s="202"/>
      <c r="P43" s="202"/>
      <c r="Q43" s="202"/>
      <c r="R43" s="202"/>
      <c r="S43" s="202"/>
      <c r="T43" s="202"/>
      <c r="U43" s="201" t="s">
        <v>145</v>
      </c>
      <c r="V43" s="202"/>
      <c r="W43" s="202"/>
      <c r="X43" s="202"/>
      <c r="Y43" s="202"/>
      <c r="Z43" s="202"/>
      <c r="AA43" s="202"/>
      <c r="AB43" s="202"/>
      <c r="AC43" s="202"/>
      <c r="AD43" s="202"/>
      <c r="AE43" s="202"/>
      <c r="AF43" s="202"/>
      <c r="AG43" s="202"/>
      <c r="AH43" s="202"/>
      <c r="AI43" s="202"/>
      <c r="AJ43" s="202"/>
      <c r="AK43" s="203"/>
    </row>
    <row r="44" spans="1:37" s="193" customFormat="1" ht="10.5" customHeight="1">
      <c r="A44" s="188"/>
      <c r="B44" s="539">
        <f>AA_039_DATOS_FIADORES_DOMICILIO_CALLE_NÚMERO</f>
        <v>0</v>
      </c>
      <c r="C44" s="540"/>
      <c r="D44" s="540"/>
      <c r="E44" s="540"/>
      <c r="F44" s="540"/>
      <c r="G44" s="540"/>
      <c r="H44" s="540"/>
      <c r="I44" s="540"/>
      <c r="J44" s="540"/>
      <c r="K44" s="540"/>
      <c r="L44" s="540"/>
      <c r="M44" s="540"/>
      <c r="N44" s="540"/>
      <c r="O44" s="540"/>
      <c r="P44" s="540"/>
      <c r="Q44" s="540"/>
      <c r="R44" s="540"/>
      <c r="S44" s="540"/>
      <c r="T44" s="541"/>
      <c r="U44" s="539">
        <f>AA_040_DATOS_FIADORES_COLONIA</f>
        <v>0</v>
      </c>
      <c r="V44" s="540"/>
      <c r="W44" s="540"/>
      <c r="X44" s="540"/>
      <c r="Y44" s="540"/>
      <c r="Z44" s="540"/>
      <c r="AA44" s="540"/>
      <c r="AB44" s="540"/>
      <c r="AC44" s="540"/>
      <c r="AD44" s="540"/>
      <c r="AE44" s="540"/>
      <c r="AF44" s="540"/>
      <c r="AG44" s="540"/>
      <c r="AH44" s="540"/>
      <c r="AI44" s="540"/>
      <c r="AJ44" s="540"/>
      <c r="AK44" s="541"/>
    </row>
    <row r="45" spans="1:37" s="193" customFormat="1" ht="10.5" customHeight="1">
      <c r="A45" s="188"/>
      <c r="B45" s="201" t="s">
        <v>146</v>
      </c>
      <c r="C45" s="202"/>
      <c r="D45" s="202"/>
      <c r="E45" s="202"/>
      <c r="F45" s="202"/>
      <c r="G45" s="202"/>
      <c r="H45" s="202"/>
      <c r="I45" s="195"/>
      <c r="J45" s="201" t="s">
        <v>147</v>
      </c>
      <c r="K45" s="195"/>
      <c r="L45" s="195"/>
      <c r="P45" s="202"/>
      <c r="Q45" s="194" t="s">
        <v>152</v>
      </c>
      <c r="S45" s="202"/>
      <c r="T45" s="202"/>
      <c r="V45" s="201" t="s">
        <v>153</v>
      </c>
      <c r="W45" s="202"/>
      <c r="X45" s="202"/>
      <c r="Y45" s="202"/>
      <c r="AA45" s="201" t="s">
        <v>154</v>
      </c>
      <c r="AB45" s="202"/>
      <c r="AC45" s="203"/>
      <c r="AD45" s="194" t="s">
        <v>155</v>
      </c>
      <c r="AE45" s="195"/>
      <c r="AF45" s="195"/>
      <c r="AG45" s="203"/>
      <c r="AH45" s="202" t="s">
        <v>156</v>
      </c>
      <c r="AI45" s="202"/>
      <c r="AJ45" s="202"/>
      <c r="AK45" s="203"/>
    </row>
    <row r="46" spans="1:37" s="193" customFormat="1" ht="10.5" customHeight="1">
      <c r="A46" s="188"/>
      <c r="B46" s="539">
        <f>AA_041_DATOS_FIADORES_POBLACIÓN</f>
        <v>0</v>
      </c>
      <c r="C46" s="540"/>
      <c r="D46" s="540"/>
      <c r="E46" s="540"/>
      <c r="F46" s="540"/>
      <c r="G46" s="540"/>
      <c r="H46" s="540"/>
      <c r="I46" s="541"/>
      <c r="J46" s="539">
        <f>AA_042_DATOS_FIADORES_ESTADO</f>
        <v>0</v>
      </c>
      <c r="K46" s="540"/>
      <c r="L46" s="540"/>
      <c r="M46" s="540"/>
      <c r="N46" s="540"/>
      <c r="O46" s="540"/>
      <c r="P46" s="541"/>
      <c r="Q46" s="539">
        <f>AA_043_DATOS_FIADORES_NACIONALIDAD</f>
        <v>0</v>
      </c>
      <c r="R46" s="540"/>
      <c r="S46" s="540"/>
      <c r="T46" s="540"/>
      <c r="U46" s="541"/>
      <c r="V46" s="539">
        <f>AA_044_DATOS_FIADORES_ORIGINARIO</f>
        <v>0</v>
      </c>
      <c r="W46" s="540"/>
      <c r="X46" s="540"/>
      <c r="Y46" s="540"/>
      <c r="Z46" s="541"/>
      <c r="AA46" s="542">
        <f>AA_045_DATOS_FIADORES_EDAD</f>
        <v>0</v>
      </c>
      <c r="AB46" s="543"/>
      <c r="AC46" s="544"/>
      <c r="AD46" s="539">
        <f>AA_046_DATOS_FIADORES_ESTADO_CIVIL</f>
        <v>0</v>
      </c>
      <c r="AE46" s="540"/>
      <c r="AF46" s="540"/>
      <c r="AG46" s="541"/>
      <c r="AH46" s="540">
        <f>AA_047_DATOS_FIADORES_TELEFONO</f>
        <v>0</v>
      </c>
      <c r="AI46" s="540"/>
      <c r="AJ46" s="540"/>
      <c r="AK46" s="541"/>
    </row>
    <row r="47" spans="1:37" s="193" customFormat="1" ht="10.5" customHeight="1">
      <c r="A47" s="188"/>
      <c r="B47" s="201" t="s">
        <v>157</v>
      </c>
      <c r="C47" s="202"/>
      <c r="D47" s="202"/>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202"/>
      <c r="AF47" s="202"/>
      <c r="AG47" s="201" t="s">
        <v>151</v>
      </c>
      <c r="AH47" s="202"/>
      <c r="AI47" s="202"/>
      <c r="AJ47" s="202"/>
      <c r="AK47" s="203"/>
    </row>
    <row r="48" spans="1:37" s="193" customFormat="1" ht="10.5" customHeight="1">
      <c r="A48" s="188"/>
      <c r="B48" s="539">
        <f>AA_048_DATOS_FIADORES_NOMBRE_DEL_FIADOR_SOLIDARIO_DOS</f>
        <v>0</v>
      </c>
      <c r="C48" s="540"/>
      <c r="D48" s="540"/>
      <c r="E48" s="540"/>
      <c r="F48" s="540"/>
      <c r="G48" s="540"/>
      <c r="H48" s="540"/>
      <c r="I48" s="540"/>
      <c r="J48" s="540"/>
      <c r="K48" s="540"/>
      <c r="L48" s="540"/>
      <c r="M48" s="540"/>
      <c r="N48" s="540"/>
      <c r="O48" s="540"/>
      <c r="P48" s="540"/>
      <c r="Q48" s="540"/>
      <c r="R48" s="540"/>
      <c r="S48" s="540"/>
      <c r="T48" s="540"/>
      <c r="U48" s="540"/>
      <c r="V48" s="540"/>
      <c r="W48" s="540"/>
      <c r="X48" s="540"/>
      <c r="Y48" s="540"/>
      <c r="Z48" s="540"/>
      <c r="AA48" s="540"/>
      <c r="AB48" s="540"/>
      <c r="AC48" s="540"/>
      <c r="AD48" s="540"/>
      <c r="AE48" s="540"/>
      <c r="AF48" s="541"/>
      <c r="AG48" s="539">
        <f>AA_049_DATOS_FIADORES_RFC</f>
        <v>0</v>
      </c>
      <c r="AH48" s="540"/>
      <c r="AI48" s="540"/>
      <c r="AJ48" s="540"/>
      <c r="AK48" s="541"/>
    </row>
    <row r="49" spans="1:37" s="193" customFormat="1" ht="10.5" customHeight="1">
      <c r="A49" s="188"/>
      <c r="B49" s="201" t="s">
        <v>143</v>
      </c>
      <c r="C49" s="202"/>
      <c r="D49" s="202"/>
      <c r="E49" s="202" t="s">
        <v>144</v>
      </c>
      <c r="F49" s="202"/>
      <c r="G49" s="202"/>
      <c r="H49" s="202"/>
      <c r="I49" s="202"/>
      <c r="J49" s="202"/>
      <c r="K49" s="202"/>
      <c r="L49" s="202"/>
      <c r="M49" s="202"/>
      <c r="N49" s="202"/>
      <c r="O49" s="202"/>
      <c r="P49" s="202"/>
      <c r="Q49" s="202"/>
      <c r="R49" s="202"/>
      <c r="S49" s="202"/>
      <c r="T49" s="202"/>
      <c r="U49" s="201" t="s">
        <v>145</v>
      </c>
      <c r="V49" s="202"/>
      <c r="W49" s="202"/>
      <c r="X49" s="202"/>
      <c r="Y49" s="202"/>
      <c r="Z49" s="202"/>
      <c r="AA49" s="202"/>
      <c r="AB49" s="202"/>
      <c r="AC49" s="202"/>
      <c r="AD49" s="202"/>
      <c r="AE49" s="202"/>
      <c r="AF49" s="202"/>
      <c r="AG49" s="202"/>
      <c r="AH49" s="202"/>
      <c r="AI49" s="202"/>
      <c r="AJ49" s="202"/>
      <c r="AK49" s="203"/>
    </row>
    <row r="50" spans="1:37" s="193" customFormat="1" ht="10.5" customHeight="1">
      <c r="A50" s="188"/>
      <c r="B50" s="539">
        <f>AA_050_DATOS_FIADORES_DOMICILIO_CALLE_NÚMERO</f>
        <v>0</v>
      </c>
      <c r="C50" s="540"/>
      <c r="D50" s="540"/>
      <c r="E50" s="540"/>
      <c r="F50" s="540"/>
      <c r="G50" s="540"/>
      <c r="H50" s="540"/>
      <c r="I50" s="540"/>
      <c r="J50" s="540"/>
      <c r="K50" s="540"/>
      <c r="L50" s="540"/>
      <c r="M50" s="540"/>
      <c r="N50" s="540"/>
      <c r="O50" s="540"/>
      <c r="P50" s="540"/>
      <c r="Q50" s="540"/>
      <c r="R50" s="540"/>
      <c r="S50" s="540"/>
      <c r="T50" s="541"/>
      <c r="U50" s="539">
        <f>AA_051_DATOS_FIADORES_COLONIA</f>
        <v>0</v>
      </c>
      <c r="V50" s="540"/>
      <c r="W50" s="540"/>
      <c r="X50" s="540"/>
      <c r="Y50" s="540"/>
      <c r="Z50" s="540"/>
      <c r="AA50" s="540"/>
      <c r="AB50" s="540"/>
      <c r="AC50" s="540"/>
      <c r="AD50" s="540"/>
      <c r="AE50" s="540"/>
      <c r="AF50" s="540"/>
      <c r="AG50" s="540"/>
      <c r="AH50" s="540"/>
      <c r="AI50" s="540"/>
      <c r="AJ50" s="540"/>
      <c r="AK50" s="541"/>
    </row>
    <row r="51" spans="1:37" s="193" customFormat="1" ht="10.5" customHeight="1">
      <c r="A51" s="188"/>
      <c r="B51" s="201" t="s">
        <v>146</v>
      </c>
      <c r="C51" s="202"/>
      <c r="D51" s="202"/>
      <c r="E51" s="202"/>
      <c r="F51" s="202"/>
      <c r="G51" s="202"/>
      <c r="H51" s="202"/>
      <c r="I51" s="195"/>
      <c r="J51" s="201" t="s">
        <v>147</v>
      </c>
      <c r="K51" s="195"/>
      <c r="L51" s="195"/>
      <c r="P51" s="202"/>
      <c r="Q51" s="194" t="s">
        <v>152</v>
      </c>
      <c r="S51" s="202"/>
      <c r="T51" s="202"/>
      <c r="V51" s="201" t="s">
        <v>153</v>
      </c>
      <c r="W51" s="202"/>
      <c r="X51" s="202"/>
      <c r="Y51" s="202"/>
      <c r="AA51" s="201" t="s">
        <v>154</v>
      </c>
      <c r="AB51" s="202"/>
      <c r="AC51" s="203"/>
      <c r="AD51" s="194" t="s">
        <v>155</v>
      </c>
      <c r="AE51" s="442"/>
      <c r="AF51" s="195"/>
      <c r="AG51" s="203"/>
      <c r="AH51" s="202" t="s">
        <v>156</v>
      </c>
      <c r="AI51" s="202"/>
      <c r="AJ51" s="202"/>
      <c r="AK51" s="203"/>
    </row>
    <row r="52" spans="1:37" s="193" customFormat="1" ht="10.5" customHeight="1">
      <c r="A52" s="188"/>
      <c r="B52" s="539">
        <f>AA_052_DATOS_FIADORES_POBLACIÓN</f>
        <v>0</v>
      </c>
      <c r="C52" s="540"/>
      <c r="D52" s="540"/>
      <c r="E52" s="540"/>
      <c r="F52" s="540"/>
      <c r="G52" s="540"/>
      <c r="H52" s="540"/>
      <c r="I52" s="541"/>
      <c r="J52" s="539">
        <f>AA_053_DATOS_FIADORES_ESTADO</f>
        <v>0</v>
      </c>
      <c r="K52" s="540"/>
      <c r="L52" s="540"/>
      <c r="M52" s="540"/>
      <c r="N52" s="540"/>
      <c r="O52" s="540"/>
      <c r="P52" s="541"/>
      <c r="Q52" s="539">
        <f>AA_054_DATOS_FIADORES_NACIONALIDAD</f>
        <v>0</v>
      </c>
      <c r="R52" s="540"/>
      <c r="S52" s="540"/>
      <c r="T52" s="540"/>
      <c r="U52" s="541"/>
      <c r="V52" s="539">
        <f>AA_055_DATOS_FIADORES_ORIGINARIO</f>
        <v>0</v>
      </c>
      <c r="W52" s="540"/>
      <c r="X52" s="540"/>
      <c r="Y52" s="540"/>
      <c r="Z52" s="541"/>
      <c r="AA52" s="542">
        <f>AA_056_DATOS_FIADORES_EDAD</f>
        <v>0</v>
      </c>
      <c r="AB52" s="543"/>
      <c r="AC52" s="544"/>
      <c r="AD52" s="539">
        <f>AA_057_DATOS_FIADORES_ESTADO_CIVIL</f>
        <v>0</v>
      </c>
      <c r="AE52" s="540"/>
      <c r="AF52" s="540"/>
      <c r="AG52" s="541"/>
      <c r="AH52" s="540">
        <f>AA_058_DATOS_FIADORES_TELEFONO</f>
        <v>0</v>
      </c>
      <c r="AI52" s="540"/>
      <c r="AJ52" s="540"/>
      <c r="AK52" s="541"/>
    </row>
    <row r="53" spans="1:37" s="193" customFormat="1" ht="10.5" customHeight="1">
      <c r="A53" s="188"/>
      <c r="B53" s="201" t="s">
        <v>157</v>
      </c>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1" t="s">
        <v>151</v>
      </c>
      <c r="AH53" s="202"/>
      <c r="AI53" s="202"/>
      <c r="AJ53" s="202"/>
      <c r="AK53" s="203"/>
    </row>
    <row r="54" spans="1:37" s="193" customFormat="1" ht="10.5" customHeight="1">
      <c r="A54" s="188"/>
      <c r="B54" s="539">
        <f>AA_059_DATOS_FIADORES_NOMBRE_DEL_FIADOR_SOLIDARIO_TRES</f>
        <v>0</v>
      </c>
      <c r="C54" s="540"/>
      <c r="D54" s="540"/>
      <c r="E54" s="540"/>
      <c r="F54" s="540"/>
      <c r="G54" s="540"/>
      <c r="H54" s="540"/>
      <c r="I54" s="540"/>
      <c r="J54" s="540"/>
      <c r="K54" s="540"/>
      <c r="L54" s="540"/>
      <c r="M54" s="540"/>
      <c r="N54" s="540"/>
      <c r="O54" s="540"/>
      <c r="P54" s="540"/>
      <c r="Q54" s="540"/>
      <c r="R54" s="540"/>
      <c r="S54" s="540"/>
      <c r="T54" s="540"/>
      <c r="U54" s="540"/>
      <c r="V54" s="540"/>
      <c r="W54" s="540"/>
      <c r="X54" s="540"/>
      <c r="Y54" s="540"/>
      <c r="Z54" s="540"/>
      <c r="AA54" s="540"/>
      <c r="AB54" s="540"/>
      <c r="AC54" s="540"/>
      <c r="AD54" s="540"/>
      <c r="AE54" s="540"/>
      <c r="AF54" s="541"/>
      <c r="AG54" s="539">
        <f>AA_060_DATOS_FIADORES_RFC</f>
        <v>0</v>
      </c>
      <c r="AH54" s="540"/>
      <c r="AI54" s="540"/>
      <c r="AJ54" s="540"/>
      <c r="AK54" s="541"/>
    </row>
    <row r="55" spans="1:37" s="193" customFormat="1" ht="10.5" customHeight="1">
      <c r="A55" s="188"/>
      <c r="B55" s="201" t="s">
        <v>143</v>
      </c>
      <c r="C55" s="202"/>
      <c r="D55" s="202"/>
      <c r="E55" s="202" t="s">
        <v>144</v>
      </c>
      <c r="F55" s="202"/>
      <c r="G55" s="202"/>
      <c r="H55" s="202"/>
      <c r="I55" s="202"/>
      <c r="J55" s="202"/>
      <c r="K55" s="202"/>
      <c r="L55" s="202"/>
      <c r="M55" s="202"/>
      <c r="N55" s="202"/>
      <c r="O55" s="202"/>
      <c r="P55" s="202"/>
      <c r="Q55" s="202"/>
      <c r="R55" s="202"/>
      <c r="S55" s="202"/>
      <c r="T55" s="202"/>
      <c r="U55" s="201" t="s">
        <v>145</v>
      </c>
      <c r="V55" s="202"/>
      <c r="W55" s="202"/>
      <c r="X55" s="202"/>
      <c r="Y55" s="202"/>
      <c r="Z55" s="202"/>
      <c r="AA55" s="202"/>
      <c r="AB55" s="202"/>
      <c r="AC55" s="202"/>
      <c r="AD55" s="202"/>
      <c r="AE55" s="202"/>
      <c r="AF55" s="202"/>
      <c r="AG55" s="202"/>
      <c r="AH55" s="202"/>
      <c r="AI55" s="202"/>
      <c r="AJ55" s="202"/>
      <c r="AK55" s="203"/>
    </row>
    <row r="56" spans="1:37" s="193" customFormat="1" ht="10.5" customHeight="1">
      <c r="A56" s="188"/>
      <c r="B56" s="622">
        <f>AA_061_DATOS_FIADORES_DOMICILIO_CALLE_NÚMERO</f>
        <v>0</v>
      </c>
      <c r="C56" s="623"/>
      <c r="D56" s="623"/>
      <c r="E56" s="623"/>
      <c r="F56" s="623"/>
      <c r="G56" s="623"/>
      <c r="H56" s="623"/>
      <c r="I56" s="623"/>
      <c r="J56" s="623"/>
      <c r="K56" s="623"/>
      <c r="L56" s="623"/>
      <c r="M56" s="623"/>
      <c r="N56" s="623"/>
      <c r="O56" s="623"/>
      <c r="P56" s="623"/>
      <c r="Q56" s="623"/>
      <c r="R56" s="623"/>
      <c r="S56" s="623"/>
      <c r="T56" s="624"/>
      <c r="U56" s="622">
        <f>AA_062_DATOS_FIADORES_COLONIA</f>
        <v>0</v>
      </c>
      <c r="V56" s="623"/>
      <c r="W56" s="623"/>
      <c r="X56" s="623"/>
      <c r="Y56" s="623"/>
      <c r="Z56" s="623"/>
      <c r="AA56" s="623"/>
      <c r="AB56" s="623"/>
      <c r="AC56" s="623"/>
      <c r="AD56" s="623"/>
      <c r="AE56" s="623"/>
      <c r="AF56" s="623"/>
      <c r="AG56" s="623"/>
      <c r="AH56" s="623"/>
      <c r="AI56" s="623"/>
      <c r="AJ56" s="623"/>
      <c r="AK56" s="624"/>
    </row>
    <row r="57" spans="1:37" s="193" customFormat="1" ht="10.5" customHeight="1">
      <c r="A57" s="188"/>
      <c r="B57" s="206" t="s">
        <v>146</v>
      </c>
      <c r="C57" s="207"/>
      <c r="D57" s="207"/>
      <c r="E57" s="207"/>
      <c r="F57" s="207"/>
      <c r="G57" s="207"/>
      <c r="H57" s="207"/>
      <c r="I57" s="207"/>
      <c r="J57" s="208" t="s">
        <v>147</v>
      </c>
      <c r="K57" s="207"/>
      <c r="L57" s="207"/>
      <c r="M57" s="209"/>
      <c r="N57" s="209"/>
      <c r="O57" s="209"/>
      <c r="P57" s="207"/>
      <c r="Q57" s="208" t="s">
        <v>152</v>
      </c>
      <c r="R57" s="209"/>
      <c r="S57" s="207"/>
      <c r="T57" s="207"/>
      <c r="U57" s="209"/>
      <c r="V57" s="208" t="s">
        <v>153</v>
      </c>
      <c r="W57" s="207"/>
      <c r="X57" s="207"/>
      <c r="Y57" s="207"/>
      <c r="Z57" s="209"/>
      <c r="AA57" s="208" t="s">
        <v>154</v>
      </c>
      <c r="AB57" s="207"/>
      <c r="AC57" s="210"/>
      <c r="AD57" s="208" t="s">
        <v>155</v>
      </c>
      <c r="AE57" s="207"/>
      <c r="AF57" s="207"/>
      <c r="AG57" s="210"/>
      <c r="AH57" s="207" t="s">
        <v>156</v>
      </c>
      <c r="AI57" s="207"/>
      <c r="AJ57" s="207"/>
      <c r="AK57" s="211"/>
    </row>
    <row r="58" spans="1:37" s="193" customFormat="1" ht="10.5" customHeight="1">
      <c r="A58" s="188"/>
      <c r="B58" s="625">
        <f>AA_063_DATOS_FIADORES_POBLACIÓN</f>
        <v>0</v>
      </c>
      <c r="C58" s="623"/>
      <c r="D58" s="623"/>
      <c r="E58" s="623"/>
      <c r="F58" s="623"/>
      <c r="G58" s="623"/>
      <c r="H58" s="623"/>
      <c r="I58" s="624"/>
      <c r="J58" s="622">
        <f>AA_064_DATOS_FIADORES_ESTADO</f>
        <v>0</v>
      </c>
      <c r="K58" s="623"/>
      <c r="L58" s="623"/>
      <c r="M58" s="623"/>
      <c r="N58" s="623"/>
      <c r="O58" s="623"/>
      <c r="P58" s="624"/>
      <c r="Q58" s="622">
        <f>AA_065_DATOS_FIADORES_NACIONALIDAD</f>
        <v>0</v>
      </c>
      <c r="R58" s="623"/>
      <c r="S58" s="623"/>
      <c r="T58" s="623"/>
      <c r="U58" s="624"/>
      <c r="V58" s="622">
        <f>AA_066_DATOS_FIADORES_ORIGINARIO</f>
        <v>0</v>
      </c>
      <c r="W58" s="623"/>
      <c r="X58" s="623"/>
      <c r="Y58" s="623"/>
      <c r="Z58" s="624"/>
      <c r="AA58" s="626">
        <f>AA_067_DATOS_FIADORES_EDAD</f>
        <v>0</v>
      </c>
      <c r="AB58" s="627"/>
      <c r="AC58" s="628"/>
      <c r="AD58" s="622">
        <f>AA_068_DATOS_FIADORES_ESTADO_CIVIL</f>
        <v>0</v>
      </c>
      <c r="AE58" s="623"/>
      <c r="AF58" s="623"/>
      <c r="AG58" s="624"/>
      <c r="AH58" s="622">
        <f>AA_069_DATOS_FIADORES_TELEFONO</f>
        <v>0</v>
      </c>
      <c r="AI58" s="623"/>
      <c r="AJ58" s="623"/>
      <c r="AK58" s="629"/>
    </row>
    <row r="59" spans="1:37" s="199" customFormat="1" ht="2.25" customHeight="1">
      <c r="B59" s="182"/>
      <c r="C59" s="182"/>
      <c r="D59" s="182"/>
      <c r="E59" s="182"/>
      <c r="F59" s="182"/>
      <c r="G59" s="182"/>
      <c r="H59" s="182"/>
      <c r="I59" s="182"/>
      <c r="J59" s="182"/>
      <c r="K59" s="182"/>
      <c r="L59" s="182"/>
      <c r="M59" s="182"/>
      <c r="N59" s="182"/>
      <c r="O59" s="182"/>
      <c r="P59" s="182"/>
      <c r="Q59" s="182"/>
      <c r="R59" s="182"/>
      <c r="S59" s="182"/>
      <c r="T59" s="182"/>
      <c r="U59" s="182"/>
      <c r="V59" s="182"/>
      <c r="W59" s="182"/>
      <c r="X59" s="182"/>
      <c r="Y59" s="182"/>
      <c r="Z59" s="182"/>
      <c r="AA59" s="182"/>
      <c r="AB59" s="182"/>
      <c r="AC59" s="182"/>
      <c r="AD59" s="182"/>
      <c r="AE59" s="182"/>
      <c r="AF59" s="182"/>
      <c r="AG59" s="182"/>
      <c r="AH59" s="182"/>
      <c r="AI59" s="182"/>
      <c r="AJ59" s="182"/>
      <c r="AK59" s="182"/>
    </row>
    <row r="60" spans="1:37" s="199" customFormat="1" ht="9.6">
      <c r="B60" s="200" t="s">
        <v>161</v>
      </c>
      <c r="C60" s="182"/>
      <c r="D60" s="182"/>
      <c r="E60" s="182"/>
      <c r="F60" s="182"/>
      <c r="G60" s="182"/>
      <c r="H60" s="182"/>
      <c r="I60" s="182"/>
      <c r="J60" s="182"/>
      <c r="K60" s="182"/>
      <c r="L60" s="182"/>
      <c r="M60" s="182"/>
      <c r="N60" s="182"/>
      <c r="O60" s="182"/>
      <c r="P60" s="182"/>
      <c r="Q60" s="182"/>
      <c r="R60" s="182"/>
      <c r="S60" s="182"/>
      <c r="T60" s="182"/>
      <c r="U60" s="182"/>
      <c r="V60" s="182"/>
      <c r="W60" s="182"/>
      <c r="X60" s="182"/>
      <c r="Y60" s="182"/>
      <c r="Z60" s="182"/>
      <c r="AA60" s="182"/>
      <c r="AB60" s="182"/>
      <c r="AC60" s="182"/>
      <c r="AD60" s="182"/>
      <c r="AE60" s="182"/>
      <c r="AF60" s="182"/>
      <c r="AG60" s="182"/>
      <c r="AH60" s="182"/>
      <c r="AI60" s="182"/>
      <c r="AJ60" s="182"/>
      <c r="AK60" s="182"/>
    </row>
    <row r="61" spans="1:37" s="193" customFormat="1" ht="10.5" customHeight="1">
      <c r="A61" s="188"/>
      <c r="B61" s="201" t="str">
        <f>B31</f>
        <v>NOMBRE  (Nombre(s) Apellidos Paterno y Materno)</v>
      </c>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3"/>
    </row>
    <row r="62" spans="1:37" s="193" customFormat="1" ht="10.5" customHeight="1">
      <c r="A62" s="188"/>
      <c r="B62" s="539">
        <f>AA_070_DATOS_APODERADOS_FIADOR_NOMBRE_APODERADO_DEL_FIADOR_SOLIDARIO_UNO</f>
        <v>0</v>
      </c>
      <c r="C62" s="540"/>
      <c r="D62" s="540"/>
      <c r="E62" s="540"/>
      <c r="F62" s="540"/>
      <c r="G62" s="540"/>
      <c r="H62" s="540"/>
      <c r="I62" s="540"/>
      <c r="J62" s="540"/>
      <c r="K62" s="540"/>
      <c r="L62" s="540"/>
      <c r="M62" s="540"/>
      <c r="N62" s="540"/>
      <c r="O62" s="540"/>
      <c r="P62" s="540"/>
      <c r="Q62" s="540"/>
      <c r="R62" s="540"/>
      <c r="S62" s="540"/>
      <c r="T62" s="540"/>
      <c r="U62" s="540"/>
      <c r="V62" s="540"/>
      <c r="W62" s="540"/>
      <c r="X62" s="540"/>
      <c r="Y62" s="540"/>
      <c r="Z62" s="540"/>
      <c r="AA62" s="540"/>
      <c r="AB62" s="540"/>
      <c r="AC62" s="540"/>
      <c r="AD62" s="540"/>
      <c r="AE62" s="540"/>
      <c r="AF62" s="540"/>
      <c r="AG62" s="540"/>
      <c r="AH62" s="540"/>
      <c r="AI62" s="540"/>
      <c r="AJ62" s="540"/>
      <c r="AK62" s="541"/>
    </row>
    <row r="63" spans="1:37" s="193" customFormat="1" ht="10.5" customHeight="1">
      <c r="A63" s="188"/>
      <c r="B63" s="201" t="str">
        <f>B61</f>
        <v>NOMBRE  (Nombre(s) Apellidos Paterno y Materno)</v>
      </c>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3"/>
    </row>
    <row r="64" spans="1:37" s="193" customFormat="1" ht="10.5" customHeight="1">
      <c r="A64" s="188"/>
      <c r="B64" s="539">
        <f>AA_071_DATOS_APODERADOS_FIADOR_NOMBRE_APODERADO_DEL_FIADOR_SOLIDARIO_DOS</f>
        <v>0</v>
      </c>
      <c r="C64" s="540"/>
      <c r="D64" s="540"/>
      <c r="E64" s="540"/>
      <c r="F64" s="540"/>
      <c r="G64" s="540"/>
      <c r="H64" s="540"/>
      <c r="I64" s="540"/>
      <c r="J64" s="540"/>
      <c r="K64" s="540"/>
      <c r="L64" s="540"/>
      <c r="M64" s="540"/>
      <c r="N64" s="540"/>
      <c r="O64" s="540"/>
      <c r="P64" s="540"/>
      <c r="Q64" s="540"/>
      <c r="R64" s="540"/>
      <c r="S64" s="540"/>
      <c r="T64" s="540"/>
      <c r="U64" s="540"/>
      <c r="V64" s="540"/>
      <c r="W64" s="540"/>
      <c r="X64" s="540"/>
      <c r="Y64" s="540"/>
      <c r="Z64" s="540"/>
      <c r="AA64" s="540"/>
      <c r="AB64" s="540"/>
      <c r="AC64" s="540"/>
      <c r="AD64" s="540"/>
      <c r="AE64" s="540"/>
      <c r="AF64" s="540"/>
      <c r="AG64" s="540"/>
      <c r="AH64" s="540"/>
      <c r="AI64" s="540"/>
      <c r="AJ64" s="540"/>
      <c r="AK64" s="541"/>
    </row>
    <row r="65" spans="1:37" s="193" customFormat="1" ht="10.5" customHeight="1">
      <c r="A65" s="188"/>
      <c r="B65" s="201" t="str">
        <f>B63</f>
        <v>NOMBRE  (Nombre(s) Apellidos Paterno y Materno)</v>
      </c>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3"/>
    </row>
    <row r="66" spans="1:37" s="193" customFormat="1" ht="10.5" customHeight="1">
      <c r="A66" s="188"/>
      <c r="B66" s="539">
        <f>AA_072_DATOS_APODERADOS_FIADOR_NOMBRE_APODERADO_DEL_FIADOR_SOLIDARIO_TRES</f>
        <v>0</v>
      </c>
      <c r="C66" s="540"/>
      <c r="D66" s="540"/>
      <c r="E66" s="540"/>
      <c r="F66" s="540"/>
      <c r="G66" s="540"/>
      <c r="H66" s="540"/>
      <c r="I66" s="540"/>
      <c r="J66" s="540"/>
      <c r="K66" s="540"/>
      <c r="L66" s="540"/>
      <c r="M66" s="540"/>
      <c r="N66" s="540"/>
      <c r="O66" s="540"/>
      <c r="P66" s="540"/>
      <c r="Q66" s="540"/>
      <c r="R66" s="540"/>
      <c r="S66" s="540"/>
      <c r="T66" s="540"/>
      <c r="U66" s="540"/>
      <c r="V66" s="540"/>
      <c r="W66" s="540"/>
      <c r="X66" s="540"/>
      <c r="Y66" s="540"/>
      <c r="Z66" s="540"/>
      <c r="AA66" s="540"/>
      <c r="AB66" s="540"/>
      <c r="AC66" s="540"/>
      <c r="AD66" s="540"/>
      <c r="AE66" s="540"/>
      <c r="AF66" s="540"/>
      <c r="AG66" s="540"/>
      <c r="AH66" s="540"/>
      <c r="AI66" s="540"/>
      <c r="AJ66" s="540"/>
      <c r="AK66" s="541"/>
    </row>
    <row r="67" spans="1:37" s="199" customFormat="1" ht="2.25" customHeight="1">
      <c r="B67" s="182"/>
      <c r="C67" s="182"/>
      <c r="D67" s="182"/>
      <c r="E67" s="182"/>
      <c r="F67" s="182"/>
      <c r="G67" s="182"/>
      <c r="H67" s="182"/>
      <c r="I67" s="182"/>
      <c r="J67" s="182"/>
      <c r="K67" s="182"/>
      <c r="L67" s="182"/>
      <c r="M67" s="182"/>
      <c r="N67" s="182"/>
      <c r="O67" s="182"/>
      <c r="P67" s="182"/>
      <c r="Q67" s="182"/>
      <c r="R67" s="182"/>
      <c r="S67" s="182"/>
      <c r="T67" s="182"/>
      <c r="U67" s="182"/>
      <c r="V67" s="182"/>
      <c r="W67" s="182"/>
      <c r="X67" s="182"/>
      <c r="Y67" s="182"/>
      <c r="Z67" s="182"/>
      <c r="AA67" s="182"/>
      <c r="AB67" s="182"/>
      <c r="AC67" s="182"/>
      <c r="AD67" s="182"/>
      <c r="AE67" s="182"/>
      <c r="AF67" s="182"/>
      <c r="AG67" s="182"/>
      <c r="AH67" s="182"/>
      <c r="AI67" s="182"/>
      <c r="AJ67" s="182"/>
      <c r="AK67" s="182"/>
    </row>
    <row r="68" spans="1:37" s="199" customFormat="1" ht="9.6">
      <c r="B68" s="200" t="s">
        <v>162</v>
      </c>
      <c r="C68" s="182"/>
      <c r="D68" s="182"/>
      <c r="E68" s="182"/>
      <c r="F68" s="182"/>
      <c r="G68" s="182"/>
      <c r="H68" s="182"/>
      <c r="I68" s="182"/>
      <c r="J68" s="182"/>
      <c r="K68" s="182"/>
      <c r="L68" s="182"/>
      <c r="M68" s="182"/>
      <c r="N68" s="182"/>
      <c r="O68" s="182"/>
      <c r="P68" s="182"/>
      <c r="Q68" s="182"/>
      <c r="R68" s="182"/>
      <c r="S68" s="182"/>
      <c r="T68" s="182"/>
      <c r="U68" s="182"/>
      <c r="V68" s="182"/>
      <c r="W68" s="182"/>
      <c r="X68" s="182"/>
      <c r="Y68" s="182"/>
      <c r="Z68" s="182"/>
      <c r="AA68" s="182"/>
      <c r="AB68" s="182"/>
      <c r="AC68" s="182"/>
      <c r="AD68" s="182"/>
      <c r="AE68" s="182"/>
      <c r="AF68" s="182"/>
      <c r="AG68" s="182"/>
      <c r="AH68" s="182"/>
      <c r="AI68" s="182"/>
      <c r="AJ68" s="182"/>
      <c r="AK68" s="182"/>
    </row>
    <row r="69" spans="1:37" s="193" customFormat="1" ht="10.5" customHeight="1">
      <c r="B69" s="201" t="s">
        <v>163</v>
      </c>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202"/>
      <c r="AF69" s="202"/>
      <c r="AG69" s="202"/>
      <c r="AH69" s="202"/>
      <c r="AI69" s="202"/>
      <c r="AJ69" s="202"/>
      <c r="AK69" s="214"/>
    </row>
    <row r="70" spans="1:37" s="216" customFormat="1" ht="10.5" customHeight="1">
      <c r="B70" s="679">
        <f>AA_073_CARACTERISTICAS_CREDITO_IMPORTE_NÚMERO_LETRA</f>
        <v>1000000</v>
      </c>
      <c r="C70" s="680"/>
      <c r="D70" s="680"/>
      <c r="E70" s="680"/>
      <c r="F70" s="680"/>
      <c r="G70" s="680"/>
      <c r="H70" s="680"/>
      <c r="I70" s="680"/>
      <c r="J70" s="680"/>
      <c r="K70" s="680"/>
      <c r="L70" s="680"/>
      <c r="M70" s="681" t="str">
        <f>AA_106_CARACTERISTICAS_CREDITO_IMPORTE_NÚMERO_LETRA</f>
        <v>(UN MILLON DE PESOS 00/100 M.N.)</v>
      </c>
      <c r="N70" s="681"/>
      <c r="O70" s="681"/>
      <c r="P70" s="681"/>
      <c r="Q70" s="681"/>
      <c r="R70" s="681"/>
      <c r="S70" s="681"/>
      <c r="T70" s="681"/>
      <c r="U70" s="681"/>
      <c r="V70" s="681"/>
      <c r="W70" s="681"/>
      <c r="X70" s="681"/>
      <c r="Y70" s="681"/>
      <c r="Z70" s="681"/>
      <c r="AA70" s="681"/>
      <c r="AB70" s="681"/>
      <c r="AC70" s="681"/>
      <c r="AD70" s="681"/>
      <c r="AE70" s="681"/>
      <c r="AF70" s="681"/>
      <c r="AG70" s="681"/>
      <c r="AH70" s="681"/>
      <c r="AI70" s="681"/>
      <c r="AJ70" s="681"/>
      <c r="AK70" s="682"/>
    </row>
    <row r="71" spans="1:37" s="193" customFormat="1" ht="10.5" customHeight="1">
      <c r="B71" s="649" t="s">
        <v>164</v>
      </c>
      <c r="C71" s="650"/>
      <c r="D71" s="650"/>
      <c r="E71" s="650"/>
      <c r="F71" s="650"/>
      <c r="G71" s="650"/>
      <c r="H71" s="662"/>
      <c r="I71" s="649" t="s">
        <v>165</v>
      </c>
      <c r="J71" s="650"/>
      <c r="K71" s="650"/>
      <c r="L71" s="650"/>
      <c r="M71" s="650"/>
      <c r="N71" s="650"/>
      <c r="O71" s="650"/>
      <c r="P71" s="662"/>
      <c r="Q71" s="649" t="s">
        <v>166</v>
      </c>
      <c r="R71" s="650"/>
      <c r="S71" s="650"/>
      <c r="T71" s="650"/>
      <c r="U71" s="650"/>
      <c r="V71" s="650"/>
      <c r="W71" s="650"/>
      <c r="X71" s="662"/>
      <c r="Y71" s="649" t="s">
        <v>167</v>
      </c>
      <c r="Z71" s="650"/>
      <c r="AA71" s="650"/>
      <c r="AB71" s="650"/>
      <c r="AC71" s="650"/>
      <c r="AD71" s="650"/>
      <c r="AE71" s="650"/>
      <c r="AF71" s="662"/>
      <c r="AG71" s="649" t="s">
        <v>168</v>
      </c>
      <c r="AH71" s="650"/>
      <c r="AI71" s="650"/>
      <c r="AJ71" s="650"/>
      <c r="AK71" s="651"/>
    </row>
    <row r="72" spans="1:37" s="193" customFormat="1" ht="10.5" customHeight="1">
      <c r="B72" s="217"/>
      <c r="C72" s="195"/>
      <c r="D72" s="195"/>
      <c r="E72" s="195"/>
      <c r="F72" s="195"/>
      <c r="G72" s="188"/>
      <c r="H72" s="218"/>
      <c r="I72" s="663" t="s">
        <v>169</v>
      </c>
      <c r="J72" s="664"/>
      <c r="K72" s="664"/>
      <c r="L72" s="664"/>
      <c r="M72" s="664"/>
      <c r="N72" s="664"/>
      <c r="O72" s="664"/>
      <c r="P72" s="665"/>
      <c r="Q72" s="217"/>
      <c r="R72" s="195"/>
      <c r="S72" s="188"/>
      <c r="T72" s="188"/>
      <c r="U72" s="188"/>
      <c r="V72" s="188"/>
      <c r="W72" s="188"/>
      <c r="X72" s="218"/>
      <c r="Y72" s="655">
        <f>IF(AA_077_CARACTERISTICAS_CREDITO_COMISIÓN_POR_APERTURA=0,"0",AA_077_CARACTERISTICAS_CREDITO_COMISIÓN_POR_APERTURA)</f>
        <v>0.02</v>
      </c>
      <c r="Z72" s="656"/>
      <c r="AA72" s="656"/>
      <c r="AB72" s="656"/>
      <c r="AC72" s="656"/>
      <c r="AD72" s="656"/>
      <c r="AE72" s="656"/>
      <c r="AF72" s="657"/>
      <c r="AG72" s="643">
        <f>AA_078_CARACTERISTICAS_CREDITO_CAT_SIN_IVA</f>
        <v>0.17247098775006298</v>
      </c>
      <c r="AH72" s="644"/>
      <c r="AI72" s="453"/>
      <c r="AJ72" s="453"/>
      <c r="AK72" s="454"/>
    </row>
    <row r="73" spans="1:37" s="193" customFormat="1" ht="10.5" customHeight="1">
      <c r="B73" s="630">
        <f>AA_074_CARACTERISTICAS_CREDITO_PLAZO_DEL_CRÉDITO_MESES</f>
        <v>60</v>
      </c>
      <c r="C73" s="631"/>
      <c r="D73" s="631"/>
      <c r="E73" s="631"/>
      <c r="F73" s="631"/>
      <c r="G73" s="195" t="s">
        <v>170</v>
      </c>
      <c r="H73" s="219"/>
      <c r="I73" s="632">
        <f>AA_075_CARACTERISTICAS_CREDITO_FECHA_DE_VENCIMIENTO</f>
        <v>42614</v>
      </c>
      <c r="J73" s="574"/>
      <c r="K73" s="574"/>
      <c r="L73" s="574"/>
      <c r="M73" s="574"/>
      <c r="N73" s="574"/>
      <c r="O73" s="574"/>
      <c r="P73" s="633"/>
      <c r="Q73" s="634" t="str">
        <f>AA_076_CARACTERISTICAS_CREDITO_CUENTA_DE_CHEQUES</f>
        <v>161-25351-5</v>
      </c>
      <c r="R73" s="635"/>
      <c r="S73" s="635"/>
      <c r="T73" s="635"/>
      <c r="U73" s="635"/>
      <c r="V73" s="635"/>
      <c r="W73" s="635"/>
      <c r="X73" s="636"/>
      <c r="Y73" s="658"/>
      <c r="Z73" s="659"/>
      <c r="AA73" s="659"/>
      <c r="AB73" s="659"/>
      <c r="AC73" s="659"/>
      <c r="AD73" s="659"/>
      <c r="AE73" s="659"/>
      <c r="AF73" s="660"/>
      <c r="AG73" s="645"/>
      <c r="AH73" s="646"/>
      <c r="AI73" s="647" t="s">
        <v>96</v>
      </c>
      <c r="AJ73" s="647"/>
      <c r="AK73" s="648"/>
    </row>
    <row r="74" spans="1:37" s="193" customFormat="1" ht="10.5" customHeight="1">
      <c r="B74" s="571" t="s">
        <v>171</v>
      </c>
      <c r="C74" s="572"/>
      <c r="D74" s="572"/>
      <c r="E74" s="572"/>
      <c r="F74" s="572"/>
      <c r="G74" s="572"/>
      <c r="H74" s="572"/>
      <c r="I74" s="676"/>
      <c r="J74" s="571" t="s">
        <v>172</v>
      </c>
      <c r="K74" s="572"/>
      <c r="L74" s="572"/>
      <c r="M74" s="572"/>
      <c r="N74" s="572"/>
      <c r="O74" s="572"/>
      <c r="P74" s="677"/>
      <c r="Q74" s="678" t="s">
        <v>173</v>
      </c>
      <c r="R74" s="572"/>
      <c r="S74" s="572"/>
      <c r="T74" s="572"/>
      <c r="U74" s="572"/>
      <c r="V74" s="572"/>
      <c r="W74" s="572"/>
      <c r="X74" s="572"/>
      <c r="Y74" s="678" t="s">
        <v>174</v>
      </c>
      <c r="Z74" s="572"/>
      <c r="AA74" s="572"/>
      <c r="AB74" s="572"/>
      <c r="AC74" s="572"/>
      <c r="AD74" s="572"/>
      <c r="AE74" s="572"/>
      <c r="AF74" s="572"/>
      <c r="AG74" s="572"/>
      <c r="AH74" s="572"/>
      <c r="AI74" s="572"/>
      <c r="AJ74" s="572"/>
      <c r="AK74" s="676"/>
    </row>
    <row r="75" spans="1:37" s="193" customFormat="1" ht="13.5" customHeight="1">
      <c r="B75" s="652">
        <f>IF(Combos!$C$22=2,"",AA_079_CARACTERISTICAS_CREDITO_PORCENTAJE_DE_INTERÉS_TASA_FIJA)</f>
        <v>0.15</v>
      </c>
      <c r="C75" s="653"/>
      <c r="D75" s="653"/>
      <c r="E75" s="653"/>
      <c r="F75" s="653"/>
      <c r="G75" s="653"/>
      <c r="H75" s="653"/>
      <c r="I75" s="654"/>
      <c r="J75" s="637" t="str">
        <f>IF(Combos!$C$22=1,"",IF(AA_080_CARACTERISTICAS_CREDITO_DIFERENCIAL_TASA_VARIABLE_TIIE=0,"0",AA_080_CARACTERISTICAS_CREDITO_DIFERENCIAL_TASA_VARIABLE_TIIE))</f>
        <v/>
      </c>
      <c r="K75" s="638"/>
      <c r="L75" s="638"/>
      <c r="M75" s="638"/>
      <c r="N75" s="638"/>
      <c r="O75" s="638"/>
      <c r="P75" s="639"/>
      <c r="Q75" s="640" t="str">
        <f>IF(AA_081_CARACTERISTICAS_CREDITO_MESES_DE_GRACIA_DE_CAPITAL=0,"0",AA_081_CARACTERISTICAS_CREDITO_MESES_DE_GRACIA_DE_CAPITAL)</f>
        <v>0</v>
      </c>
      <c r="R75" s="627"/>
      <c r="S75" s="627"/>
      <c r="T75" s="627"/>
      <c r="U75" s="627"/>
      <c r="V75" s="627"/>
      <c r="W75" s="627"/>
      <c r="X75" s="641"/>
      <c r="Y75" s="661">
        <f>AA_082_CARACTERISTICAS_CREDITO_DÍA_DE_PAGO_DE_CAPITAL_E_INTERESES_ORDINARIOS</f>
        <v>3</v>
      </c>
      <c r="Z75" s="631"/>
      <c r="AA75" s="631"/>
      <c r="AB75" s="631"/>
      <c r="AC75" s="631"/>
      <c r="AD75" s="631"/>
      <c r="AE75" s="631"/>
      <c r="AF75" s="631"/>
      <c r="AG75" s="546" t="s">
        <v>175</v>
      </c>
      <c r="AH75" s="546"/>
      <c r="AI75" s="546"/>
      <c r="AJ75" s="546"/>
      <c r="AK75" s="642"/>
    </row>
    <row r="76" spans="1:37" s="193" customFormat="1" ht="13.5" customHeight="1">
      <c r="B76" s="670" t="s">
        <v>176</v>
      </c>
      <c r="C76" s="671"/>
      <c r="D76" s="671"/>
      <c r="E76" s="671"/>
      <c r="F76" s="671"/>
      <c r="G76" s="671"/>
      <c r="H76" s="671"/>
      <c r="I76" s="671"/>
      <c r="J76" s="671"/>
      <c r="K76" s="666" t="str">
        <f>AA_083_CARACTERISTICAS_CREDITO_DESTINO_DEL_CRÉDITO</f>
        <v>Capital de Trabajo</v>
      </c>
      <c r="L76" s="666"/>
      <c r="M76" s="666"/>
      <c r="N76" s="666"/>
      <c r="O76" s="666"/>
      <c r="P76" s="666"/>
      <c r="Q76" s="666"/>
      <c r="R76" s="666"/>
      <c r="S76" s="666"/>
      <c r="T76" s="666"/>
      <c r="U76" s="666"/>
      <c r="V76" s="666"/>
      <c r="W76" s="666"/>
      <c r="X76" s="666"/>
      <c r="Y76" s="666"/>
      <c r="Z76" s="666"/>
      <c r="AA76" s="666"/>
      <c r="AB76" s="666"/>
      <c r="AC76" s="666"/>
      <c r="AD76" s="666"/>
      <c r="AE76" s="666"/>
      <c r="AF76" s="666"/>
      <c r="AG76" s="666"/>
      <c r="AH76" s="666"/>
      <c r="AI76" s="666"/>
      <c r="AJ76" s="666"/>
      <c r="AK76" s="667"/>
    </row>
    <row r="77" spans="1:37" s="193" customFormat="1" ht="13.5" customHeight="1">
      <c r="B77" s="672"/>
      <c r="C77" s="673"/>
      <c r="D77" s="673"/>
      <c r="E77" s="673"/>
      <c r="F77" s="673"/>
      <c r="G77" s="673"/>
      <c r="H77" s="673"/>
      <c r="I77" s="673"/>
      <c r="J77" s="673"/>
      <c r="K77" s="668"/>
      <c r="L77" s="668"/>
      <c r="M77" s="668"/>
      <c r="N77" s="668"/>
      <c r="O77" s="668"/>
      <c r="P77" s="668"/>
      <c r="Q77" s="668"/>
      <c r="R77" s="668"/>
      <c r="S77" s="668"/>
      <c r="T77" s="668"/>
      <c r="U77" s="668"/>
      <c r="V77" s="668"/>
      <c r="W77" s="668"/>
      <c r="X77" s="668"/>
      <c r="Y77" s="668"/>
      <c r="Z77" s="668"/>
      <c r="AA77" s="668"/>
      <c r="AB77" s="668"/>
      <c r="AC77" s="668"/>
      <c r="AD77" s="668"/>
      <c r="AE77" s="668"/>
      <c r="AF77" s="668"/>
      <c r="AG77" s="668"/>
      <c r="AH77" s="668"/>
      <c r="AI77" s="668"/>
      <c r="AJ77" s="668"/>
      <c r="AK77" s="669"/>
    </row>
    <row r="78" spans="1:37" s="199" customFormat="1" ht="11.25" customHeight="1">
      <c r="B78" s="182"/>
      <c r="C78" s="182"/>
      <c r="D78" s="182"/>
      <c r="E78" s="182"/>
      <c r="F78" s="182"/>
      <c r="G78" s="182"/>
      <c r="H78" s="182"/>
      <c r="I78" s="182"/>
      <c r="J78" s="182"/>
      <c r="K78" s="182"/>
      <c r="L78" s="182"/>
      <c r="M78" s="182"/>
      <c r="N78" s="182"/>
      <c r="O78" s="182"/>
      <c r="P78" s="182"/>
      <c r="Q78" s="182"/>
      <c r="R78" s="182"/>
      <c r="S78" s="182"/>
      <c r="T78" s="182"/>
      <c r="U78" s="182"/>
      <c r="V78" s="182"/>
      <c r="W78" s="182"/>
      <c r="X78" s="182"/>
      <c r="Y78" s="182"/>
      <c r="Z78" s="182"/>
      <c r="AA78" s="182"/>
      <c r="AB78" s="182"/>
      <c r="AI78" s="182"/>
      <c r="AJ78" s="182"/>
      <c r="AK78" s="182"/>
    </row>
    <row r="79" spans="1:37" s="199" customFormat="1" ht="9.6">
      <c r="B79" s="200" t="s">
        <v>177</v>
      </c>
      <c r="C79" s="182"/>
      <c r="D79" s="182"/>
      <c r="E79" s="182"/>
      <c r="F79" s="182"/>
      <c r="G79" s="182"/>
      <c r="H79" s="182"/>
      <c r="I79" s="182"/>
      <c r="J79" s="182"/>
      <c r="K79" s="182"/>
      <c r="L79" s="182"/>
      <c r="M79" s="182"/>
      <c r="N79" s="182"/>
      <c r="O79" s="182"/>
      <c r="P79" s="182"/>
      <c r="Q79" s="182"/>
      <c r="R79" s="182"/>
      <c r="S79" s="182"/>
      <c r="T79" s="182"/>
      <c r="U79" s="182"/>
      <c r="V79" s="182"/>
      <c r="W79" s="182"/>
      <c r="X79" s="182"/>
      <c r="Y79" s="182"/>
      <c r="Z79" s="182"/>
      <c r="AA79" s="182"/>
      <c r="AB79" s="182"/>
      <c r="AC79" s="182"/>
      <c r="AD79" s="182"/>
      <c r="AE79" s="182"/>
      <c r="AF79" s="182"/>
      <c r="AG79" s="182"/>
      <c r="AH79" s="182"/>
      <c r="AI79" s="182"/>
      <c r="AJ79" s="182"/>
      <c r="AK79" s="182"/>
    </row>
    <row r="80" spans="1:37" s="199" customFormat="1" ht="15.75" customHeight="1">
      <c r="B80" s="674" t="s">
        <v>178</v>
      </c>
      <c r="C80" s="675"/>
      <c r="D80" s="675"/>
      <c r="E80" s="675"/>
      <c r="F80" s="675"/>
      <c r="G80" s="675"/>
      <c r="H80" s="675"/>
      <c r="I80" s="675"/>
      <c r="J80" s="675"/>
      <c r="K80" s="675"/>
      <c r="L80" s="675"/>
      <c r="M80" s="675"/>
      <c r="N80" s="675"/>
      <c r="O80" s="675"/>
      <c r="P80" s="675"/>
      <c r="Q80" s="675"/>
      <c r="R80" s="675"/>
      <c r="S80" s="675"/>
      <c r="T80" s="675"/>
      <c r="U80" s="675"/>
      <c r="V80" s="675"/>
      <c r="W80" s="675"/>
      <c r="X80" s="675"/>
      <c r="Y80" s="675"/>
      <c r="Z80" s="675"/>
      <c r="AA80" s="675"/>
      <c r="AB80" s="675"/>
      <c r="AC80" s="675"/>
      <c r="AD80" s="675"/>
      <c r="AE80" s="675"/>
      <c r="AF80" s="675"/>
      <c r="AG80" s="675"/>
      <c r="AH80" s="675"/>
      <c r="AI80" s="675"/>
      <c r="AJ80" s="675"/>
      <c r="AK80" s="675"/>
    </row>
    <row r="81" spans="1:37" s="199" customFormat="1" ht="9.6">
      <c r="B81" s="675"/>
      <c r="C81" s="675"/>
      <c r="D81" s="675"/>
      <c r="E81" s="675"/>
      <c r="F81" s="675"/>
      <c r="G81" s="675"/>
      <c r="H81" s="675"/>
      <c r="I81" s="675"/>
      <c r="J81" s="675"/>
      <c r="K81" s="675"/>
      <c r="L81" s="675"/>
      <c r="M81" s="675"/>
      <c r="N81" s="675"/>
      <c r="O81" s="675"/>
      <c r="P81" s="675"/>
      <c r="Q81" s="675"/>
      <c r="R81" s="675"/>
      <c r="S81" s="675"/>
      <c r="T81" s="675"/>
      <c r="U81" s="675"/>
      <c r="V81" s="675"/>
      <c r="W81" s="675"/>
      <c r="X81" s="675"/>
      <c r="Y81" s="675"/>
      <c r="Z81" s="675"/>
      <c r="AA81" s="675"/>
      <c r="AB81" s="675"/>
      <c r="AC81" s="675"/>
      <c r="AD81" s="675"/>
      <c r="AE81" s="675"/>
      <c r="AF81" s="675"/>
      <c r="AG81" s="675"/>
      <c r="AH81" s="675"/>
      <c r="AI81" s="675"/>
      <c r="AJ81" s="675"/>
      <c r="AK81" s="675"/>
    </row>
    <row r="82" spans="1:37" s="193" customFormat="1" ht="10.5" customHeight="1">
      <c r="B82" s="567" t="s">
        <v>179</v>
      </c>
      <c r="C82" s="568"/>
      <c r="D82" s="568"/>
      <c r="E82" s="568"/>
      <c r="F82" s="568"/>
      <c r="G82" s="568"/>
      <c r="H82" s="568"/>
      <c r="I82" s="568"/>
      <c r="J82" s="568"/>
      <c r="K82" s="568"/>
      <c r="L82" s="568"/>
      <c r="M82" s="568"/>
      <c r="N82" s="568"/>
      <c r="O82" s="569"/>
      <c r="P82" s="570" t="s">
        <v>180</v>
      </c>
      <c r="Q82" s="563"/>
      <c r="R82" s="563"/>
      <c r="S82" s="563"/>
      <c r="T82" s="564"/>
      <c r="U82" s="570" t="s">
        <v>180</v>
      </c>
      <c r="V82" s="563"/>
      <c r="W82" s="563"/>
      <c r="X82" s="563"/>
      <c r="Y82" s="564"/>
      <c r="Z82" s="570" t="s">
        <v>181</v>
      </c>
      <c r="AA82" s="563"/>
      <c r="AB82" s="563"/>
      <c r="AC82" s="564"/>
      <c r="AD82" s="563" t="s">
        <v>181</v>
      </c>
      <c r="AE82" s="563"/>
      <c r="AF82" s="563"/>
      <c r="AG82" s="564"/>
      <c r="AH82" s="563" t="s">
        <v>181</v>
      </c>
      <c r="AI82" s="563"/>
      <c r="AJ82" s="563"/>
      <c r="AK82" s="564"/>
    </row>
    <row r="83" spans="1:37" s="193" customFormat="1" ht="12.75" customHeight="1">
      <c r="A83" s="254"/>
      <c r="B83" s="571">
        <f>AA_089_DATOS_APODERADOS_BANCO_NOMBRE_APODERADO_DEL_BANCO_UNO</f>
        <v>0</v>
      </c>
      <c r="C83" s="572"/>
      <c r="D83" s="572"/>
      <c r="E83" s="572"/>
      <c r="F83" s="572"/>
      <c r="G83" s="572"/>
      <c r="H83" s="572"/>
      <c r="I83" s="572"/>
      <c r="J83" s="572"/>
      <c r="K83" s="572"/>
      <c r="L83" s="572"/>
      <c r="M83" s="572"/>
      <c r="N83" s="572"/>
      <c r="O83" s="572"/>
      <c r="P83" s="439"/>
      <c r="Q83" s="433"/>
      <c r="R83" s="433"/>
      <c r="S83" s="433"/>
      <c r="T83" s="436"/>
      <c r="U83" s="432"/>
      <c r="V83" s="433"/>
      <c r="W83" s="433"/>
      <c r="X83" s="433"/>
      <c r="Y83" s="436"/>
      <c r="Z83" s="437"/>
      <c r="AA83" s="434"/>
      <c r="AB83" s="434"/>
      <c r="AC83" s="438"/>
      <c r="AD83" s="434"/>
      <c r="AE83" s="434"/>
      <c r="AF83" s="434"/>
      <c r="AG83" s="438"/>
      <c r="AH83" s="434"/>
      <c r="AI83" s="434"/>
      <c r="AJ83" s="434"/>
      <c r="AK83" s="438"/>
    </row>
    <row r="84" spans="1:37" s="193" customFormat="1" ht="12.75" customHeight="1">
      <c r="A84" s="254"/>
      <c r="B84" s="573"/>
      <c r="C84" s="574"/>
      <c r="D84" s="574"/>
      <c r="E84" s="574"/>
      <c r="F84" s="574"/>
      <c r="G84" s="574"/>
      <c r="H84" s="574"/>
      <c r="I84" s="574"/>
      <c r="J84" s="574"/>
      <c r="K84" s="574"/>
      <c r="L84" s="574"/>
      <c r="M84" s="574"/>
      <c r="N84" s="574"/>
      <c r="O84" s="574"/>
      <c r="P84" s="226"/>
      <c r="Q84" s="188"/>
      <c r="R84" s="188"/>
      <c r="S84" s="188"/>
      <c r="T84" s="218"/>
      <c r="U84" s="226"/>
      <c r="V84" s="188"/>
      <c r="W84" s="188"/>
      <c r="X84" s="188"/>
      <c r="Y84" s="218"/>
      <c r="Z84" s="226"/>
      <c r="AA84" s="188"/>
      <c r="AB84" s="188"/>
      <c r="AC84" s="218"/>
      <c r="AD84" s="188"/>
      <c r="AE84" s="188"/>
      <c r="AF84" s="188"/>
      <c r="AG84" s="218"/>
      <c r="AH84" s="188"/>
      <c r="AI84" s="188"/>
      <c r="AJ84" s="188"/>
      <c r="AK84" s="218"/>
    </row>
    <row r="85" spans="1:37" s="193" customFormat="1" ht="12.75" customHeight="1">
      <c r="B85" s="575">
        <f>AA_090_DATOS_APODERADOS_BANCO_NOMBRE_APODERADO_DEL_BANCO_DOS</f>
        <v>0</v>
      </c>
      <c r="C85" s="576"/>
      <c r="D85" s="576"/>
      <c r="E85" s="576"/>
      <c r="F85" s="576"/>
      <c r="G85" s="576"/>
      <c r="H85" s="576"/>
      <c r="I85" s="576"/>
      <c r="J85" s="576"/>
      <c r="K85" s="576"/>
      <c r="L85" s="576"/>
      <c r="M85" s="576"/>
      <c r="N85" s="576"/>
      <c r="O85" s="577"/>
      <c r="P85" s="226"/>
      <c r="Q85" s="188"/>
      <c r="R85" s="188"/>
      <c r="S85" s="188"/>
      <c r="T85" s="218"/>
      <c r="U85" s="226"/>
      <c r="V85" s="188"/>
      <c r="W85" s="188"/>
      <c r="X85" s="188"/>
      <c r="Y85" s="218"/>
      <c r="Z85" s="226"/>
      <c r="AA85" s="188"/>
      <c r="AB85" s="188"/>
      <c r="AC85" s="218"/>
      <c r="AD85" s="188"/>
      <c r="AE85" s="188"/>
      <c r="AF85" s="188"/>
      <c r="AG85" s="218"/>
      <c r="AH85" s="188"/>
      <c r="AI85" s="188"/>
      <c r="AJ85" s="188"/>
      <c r="AK85" s="218"/>
    </row>
    <row r="86" spans="1:37" s="193" customFormat="1" ht="12.75" customHeight="1">
      <c r="B86" s="578"/>
      <c r="C86" s="579"/>
      <c r="D86" s="579"/>
      <c r="E86" s="579"/>
      <c r="F86" s="579"/>
      <c r="G86" s="579"/>
      <c r="H86" s="579"/>
      <c r="I86" s="579"/>
      <c r="J86" s="579"/>
      <c r="K86" s="579"/>
      <c r="L86" s="579"/>
      <c r="M86" s="579"/>
      <c r="N86" s="579"/>
      <c r="O86" s="580"/>
      <c r="P86" s="227"/>
      <c r="Q86" s="213"/>
      <c r="R86" s="213"/>
      <c r="S86" s="213"/>
      <c r="T86" s="224"/>
      <c r="U86" s="227"/>
      <c r="V86" s="213"/>
      <c r="W86" s="213"/>
      <c r="X86" s="213"/>
      <c r="Y86" s="224"/>
      <c r="Z86" s="227"/>
      <c r="AA86" s="213"/>
      <c r="AB86" s="213"/>
      <c r="AC86" s="224"/>
      <c r="AD86" s="213"/>
      <c r="AE86" s="213"/>
      <c r="AF86" s="213"/>
      <c r="AG86" s="224"/>
      <c r="AH86" s="213"/>
      <c r="AI86" s="213"/>
      <c r="AJ86" s="213"/>
      <c r="AK86" s="224"/>
    </row>
    <row r="87" spans="1:37" s="187" customFormat="1" ht="7.8">
      <c r="B87" s="228"/>
      <c r="C87" s="228"/>
      <c r="D87" s="228"/>
      <c r="E87" s="228"/>
      <c r="F87" s="228"/>
      <c r="G87" s="228"/>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228"/>
    </row>
    <row r="88" spans="1:37" s="187" customFormat="1" ht="2.25" customHeight="1">
      <c r="B88" s="228"/>
      <c r="C88" s="228"/>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28"/>
      <c r="AC88" s="228"/>
      <c r="AD88" s="228"/>
      <c r="AE88" s="228"/>
      <c r="AF88" s="228"/>
      <c r="AG88" s="228"/>
      <c r="AH88" s="228"/>
      <c r="AI88" s="228"/>
      <c r="AJ88" s="228"/>
      <c r="AK88" s="228"/>
    </row>
    <row r="89" spans="1:37" s="187" customFormat="1" ht="10.199999999999999">
      <c r="B89" s="229" t="s">
        <v>182</v>
      </c>
      <c r="C89" s="228"/>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28"/>
      <c r="AC89" s="228"/>
      <c r="AD89" s="228"/>
      <c r="AE89" s="228"/>
      <c r="AF89" s="228"/>
      <c r="AG89" s="228" t="s">
        <v>183</v>
      </c>
      <c r="AI89" s="228"/>
      <c r="AJ89" s="228"/>
      <c r="AK89" s="228"/>
    </row>
    <row r="90" spans="1:37" s="187" customFormat="1" ht="2.25" customHeight="1"/>
    <row r="91" spans="1:37" s="187" customFormat="1" ht="7.8"/>
    <row r="92" spans="1:37" s="187" customFormat="1" ht="62.25" customHeight="1">
      <c r="B92" s="562" t="s">
        <v>184</v>
      </c>
      <c r="C92" s="562"/>
      <c r="D92" s="562"/>
      <c r="E92" s="562"/>
      <c r="F92" s="562"/>
      <c r="G92" s="562"/>
      <c r="H92" s="562"/>
      <c r="I92" s="562"/>
      <c r="J92" s="562"/>
      <c r="K92" s="562"/>
      <c r="L92" s="562"/>
      <c r="M92" s="562"/>
      <c r="N92" s="562"/>
      <c r="O92" s="562"/>
      <c r="P92" s="562"/>
      <c r="Q92" s="562"/>
      <c r="R92" s="562"/>
      <c r="S92" s="562"/>
      <c r="T92" s="562"/>
      <c r="U92" s="562"/>
      <c r="V92" s="562"/>
      <c r="W92" s="562"/>
      <c r="X92" s="562"/>
      <c r="Y92" s="562"/>
      <c r="Z92" s="562"/>
      <c r="AA92" s="562"/>
      <c r="AB92" s="562"/>
      <c r="AC92" s="562"/>
      <c r="AD92" s="562"/>
      <c r="AE92" s="562"/>
      <c r="AF92" s="562"/>
      <c r="AG92" s="562"/>
      <c r="AH92" s="562"/>
      <c r="AI92" s="562"/>
      <c r="AJ92" s="562"/>
      <c r="AK92" s="562"/>
    </row>
    <row r="93" spans="1:37" s="187" customFormat="1" ht="7.8">
      <c r="B93" s="230"/>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c r="AE93" s="230"/>
      <c r="AF93" s="230"/>
      <c r="AG93" s="230"/>
      <c r="AH93" s="230"/>
      <c r="AI93" s="230"/>
      <c r="AJ93" s="230"/>
      <c r="AK93" s="230"/>
    </row>
    <row r="94" spans="1:37" s="187" customFormat="1" ht="10.199999999999999">
      <c r="B94" s="565" t="s">
        <v>185</v>
      </c>
      <c r="C94" s="565"/>
      <c r="D94" s="565"/>
      <c r="E94" s="565"/>
      <c r="F94" s="565"/>
      <c r="G94" s="565"/>
      <c r="H94" s="565"/>
      <c r="I94" s="565"/>
      <c r="J94" s="565"/>
      <c r="K94" s="565"/>
      <c r="L94" s="565"/>
      <c r="M94" s="565"/>
      <c r="N94" s="565"/>
      <c r="O94" s="565"/>
      <c r="P94" s="565"/>
      <c r="Q94" s="565"/>
      <c r="R94" s="565"/>
      <c r="S94" s="565"/>
      <c r="T94" s="565"/>
      <c r="U94" s="565"/>
      <c r="V94" s="565"/>
      <c r="W94" s="565"/>
      <c r="X94" s="565"/>
      <c r="Y94" s="565"/>
      <c r="Z94" s="565"/>
      <c r="AA94" s="565"/>
      <c r="AB94" s="565"/>
      <c r="AC94" s="565"/>
      <c r="AD94" s="565"/>
      <c r="AE94" s="565"/>
      <c r="AF94" s="565"/>
      <c r="AG94" s="565"/>
      <c r="AH94" s="565"/>
      <c r="AI94" s="565"/>
      <c r="AJ94" s="565"/>
      <c r="AK94" s="565"/>
    </row>
    <row r="95" spans="1:37" s="187" customFormat="1" ht="10.199999999999999">
      <c r="B95" s="231"/>
      <c r="C95" s="232"/>
      <c r="D95" s="232"/>
      <c r="E95" s="232"/>
      <c r="F95" s="232"/>
      <c r="G95" s="232"/>
      <c r="H95" s="232"/>
      <c r="I95" s="232"/>
      <c r="J95" s="232"/>
      <c r="K95" s="232"/>
      <c r="L95" s="232"/>
      <c r="M95" s="232"/>
      <c r="N95" s="232"/>
      <c r="O95" s="232"/>
      <c r="P95" s="232"/>
      <c r="Q95" s="232"/>
      <c r="R95" s="232"/>
      <c r="S95" s="232"/>
      <c r="T95" s="232"/>
      <c r="U95" s="232"/>
      <c r="V95" s="232"/>
      <c r="W95" s="232"/>
      <c r="X95" s="232"/>
      <c r="Y95" s="232"/>
      <c r="Z95" s="232"/>
      <c r="AA95" s="232"/>
      <c r="AB95" s="232"/>
      <c r="AC95" s="232"/>
      <c r="AD95" s="232"/>
      <c r="AE95" s="232"/>
      <c r="AF95" s="232"/>
      <c r="AG95" s="232"/>
      <c r="AH95" s="232"/>
      <c r="AI95" s="232"/>
      <c r="AJ95" s="232"/>
      <c r="AK95" s="232"/>
    </row>
    <row r="96" spans="1:37" s="187" customFormat="1" ht="10.199999999999999">
      <c r="B96" s="566" t="s">
        <v>186</v>
      </c>
      <c r="C96" s="566"/>
      <c r="D96" s="566"/>
      <c r="E96" s="566"/>
      <c r="F96" s="566"/>
      <c r="G96" s="566"/>
      <c r="H96" s="566"/>
      <c r="I96" s="566"/>
      <c r="J96" s="566"/>
      <c r="K96" s="566"/>
      <c r="L96" s="566"/>
      <c r="M96" s="566"/>
      <c r="N96" s="566"/>
      <c r="O96" s="566"/>
      <c r="P96" s="566"/>
      <c r="Q96" s="566"/>
      <c r="R96" s="566"/>
      <c r="S96" s="566"/>
      <c r="T96" s="566"/>
      <c r="U96" s="566"/>
      <c r="V96" s="566"/>
      <c r="W96" s="566"/>
      <c r="X96" s="566"/>
      <c r="Y96" s="566"/>
      <c r="Z96" s="566"/>
      <c r="AA96" s="566"/>
      <c r="AB96" s="566"/>
      <c r="AC96" s="566"/>
      <c r="AD96" s="566"/>
      <c r="AE96" s="566"/>
      <c r="AF96" s="566"/>
      <c r="AG96" s="566"/>
      <c r="AH96" s="566"/>
      <c r="AI96" s="566"/>
      <c r="AJ96" s="566"/>
      <c r="AK96" s="566"/>
    </row>
    <row r="97" spans="2:37" s="187" customFormat="1" ht="10.199999999999999">
      <c r="B97" s="232"/>
      <c r="C97" s="232"/>
      <c r="D97" s="232"/>
      <c r="E97" s="232"/>
      <c r="F97" s="232"/>
      <c r="G97" s="232"/>
      <c r="H97" s="232"/>
      <c r="I97" s="232"/>
      <c r="J97" s="232"/>
      <c r="K97" s="232"/>
      <c r="L97" s="232"/>
      <c r="M97" s="232"/>
      <c r="N97" s="232"/>
      <c r="O97" s="232"/>
      <c r="P97" s="232"/>
      <c r="Q97" s="232"/>
      <c r="R97" s="232"/>
      <c r="S97" s="232"/>
      <c r="T97" s="232"/>
      <c r="U97" s="232"/>
      <c r="V97" s="232"/>
      <c r="W97" s="232"/>
      <c r="X97" s="232"/>
      <c r="Y97" s="232"/>
      <c r="Z97" s="232"/>
      <c r="AA97" s="232"/>
      <c r="AB97" s="232"/>
      <c r="AC97" s="232"/>
      <c r="AD97" s="232"/>
      <c r="AE97" s="232"/>
      <c r="AF97" s="232"/>
      <c r="AG97" s="232"/>
      <c r="AH97" s="232"/>
      <c r="AI97" s="232"/>
      <c r="AJ97" s="232"/>
      <c r="AK97" s="232"/>
    </row>
    <row r="98" spans="2:37" s="187" customFormat="1" ht="83.25" customHeight="1">
      <c r="B98" s="562" t="s">
        <v>187</v>
      </c>
      <c r="C98" s="562"/>
      <c r="D98" s="562"/>
      <c r="E98" s="562"/>
      <c r="F98" s="562"/>
      <c r="G98" s="562"/>
      <c r="H98" s="562"/>
      <c r="I98" s="562"/>
      <c r="J98" s="562"/>
      <c r="K98" s="562"/>
      <c r="L98" s="562"/>
      <c r="M98" s="562"/>
      <c r="N98" s="562"/>
      <c r="O98" s="562"/>
      <c r="P98" s="562"/>
      <c r="Q98" s="562"/>
      <c r="R98" s="562"/>
      <c r="S98" s="562"/>
      <c r="T98" s="562"/>
      <c r="U98" s="562"/>
      <c r="V98" s="562"/>
      <c r="W98" s="562"/>
      <c r="X98" s="562"/>
      <c r="Y98" s="562"/>
      <c r="Z98" s="562"/>
      <c r="AA98" s="562"/>
      <c r="AB98" s="562"/>
      <c r="AC98" s="562"/>
      <c r="AD98" s="562"/>
      <c r="AE98" s="562"/>
      <c r="AF98" s="562"/>
      <c r="AG98" s="562"/>
      <c r="AH98" s="562"/>
      <c r="AI98" s="562"/>
      <c r="AJ98" s="562"/>
      <c r="AK98" s="562"/>
    </row>
    <row r="99" spans="2:37" s="187" customFormat="1" ht="32.25" customHeight="1">
      <c r="B99" s="562" t="s">
        <v>188</v>
      </c>
      <c r="C99" s="562"/>
      <c r="D99" s="562"/>
      <c r="E99" s="562"/>
      <c r="F99" s="562"/>
      <c r="G99" s="562"/>
      <c r="H99" s="562"/>
      <c r="I99" s="562"/>
      <c r="J99" s="562"/>
      <c r="K99" s="562"/>
      <c r="L99" s="562"/>
      <c r="M99" s="562"/>
      <c r="N99" s="562"/>
      <c r="O99" s="562"/>
      <c r="P99" s="562"/>
      <c r="Q99" s="562"/>
      <c r="R99" s="562"/>
      <c r="S99" s="562"/>
      <c r="T99" s="562"/>
      <c r="U99" s="562"/>
      <c r="V99" s="562"/>
      <c r="W99" s="562"/>
      <c r="X99" s="562"/>
      <c r="Y99" s="562"/>
      <c r="Z99" s="562"/>
      <c r="AA99" s="562"/>
      <c r="AB99" s="562"/>
      <c r="AC99" s="562"/>
      <c r="AD99" s="562"/>
      <c r="AE99" s="562"/>
      <c r="AF99" s="562"/>
      <c r="AG99" s="562"/>
      <c r="AH99" s="562"/>
      <c r="AI99" s="562"/>
      <c r="AJ99" s="562"/>
      <c r="AK99" s="562"/>
    </row>
    <row r="100" spans="2:37" s="187" customFormat="1" ht="37.5" customHeight="1">
      <c r="B100" s="562" t="s">
        <v>189</v>
      </c>
      <c r="C100" s="562"/>
      <c r="D100" s="562"/>
      <c r="E100" s="562"/>
      <c r="F100" s="562"/>
      <c r="G100" s="562"/>
      <c r="H100" s="562"/>
      <c r="I100" s="562"/>
      <c r="J100" s="562"/>
      <c r="K100" s="562"/>
      <c r="L100" s="562"/>
      <c r="M100" s="562"/>
      <c r="N100" s="562"/>
      <c r="O100" s="562"/>
      <c r="P100" s="562"/>
      <c r="Q100" s="562"/>
      <c r="R100" s="562"/>
      <c r="S100" s="562"/>
      <c r="T100" s="562"/>
      <c r="U100" s="562"/>
      <c r="V100" s="562"/>
      <c r="W100" s="562"/>
      <c r="X100" s="562"/>
      <c r="Y100" s="562"/>
      <c r="Z100" s="562"/>
      <c r="AA100" s="562"/>
      <c r="AB100" s="562"/>
      <c r="AC100" s="562"/>
      <c r="AD100" s="562"/>
      <c r="AE100" s="562"/>
      <c r="AF100" s="562"/>
      <c r="AG100" s="562"/>
      <c r="AH100" s="562"/>
      <c r="AI100" s="562"/>
      <c r="AJ100" s="562"/>
      <c r="AK100" s="562"/>
    </row>
    <row r="101" spans="2:37" s="187" customFormat="1" ht="21.75" customHeight="1">
      <c r="B101" s="562" t="s">
        <v>190</v>
      </c>
      <c r="C101" s="562"/>
      <c r="D101" s="562"/>
      <c r="E101" s="562"/>
      <c r="F101" s="562"/>
      <c r="G101" s="562"/>
      <c r="H101" s="562"/>
      <c r="I101" s="562"/>
      <c r="J101" s="562"/>
      <c r="K101" s="562"/>
      <c r="L101" s="562"/>
      <c r="M101" s="562"/>
      <c r="N101" s="562"/>
      <c r="O101" s="562"/>
      <c r="P101" s="562"/>
      <c r="Q101" s="562"/>
      <c r="R101" s="562"/>
      <c r="S101" s="562"/>
      <c r="T101" s="562"/>
      <c r="U101" s="562"/>
      <c r="V101" s="562"/>
      <c r="W101" s="562"/>
      <c r="X101" s="562"/>
      <c r="Y101" s="562"/>
      <c r="Z101" s="562"/>
      <c r="AA101" s="562"/>
      <c r="AB101" s="562"/>
      <c r="AC101" s="562"/>
      <c r="AD101" s="562"/>
      <c r="AE101" s="562"/>
      <c r="AF101" s="562"/>
      <c r="AG101" s="562"/>
      <c r="AH101" s="562"/>
      <c r="AI101" s="562"/>
      <c r="AJ101" s="562"/>
      <c r="AK101" s="562"/>
    </row>
    <row r="102" spans="2:37" s="187" customFormat="1" ht="34.5" customHeight="1">
      <c r="B102" s="562" t="s">
        <v>191</v>
      </c>
      <c r="C102" s="562"/>
      <c r="D102" s="562"/>
      <c r="E102" s="562"/>
      <c r="F102" s="562"/>
      <c r="G102" s="562"/>
      <c r="H102" s="562"/>
      <c r="I102" s="562"/>
      <c r="J102" s="562"/>
      <c r="K102" s="562"/>
      <c r="L102" s="562"/>
      <c r="M102" s="562"/>
      <c r="N102" s="562"/>
      <c r="O102" s="562"/>
      <c r="P102" s="562"/>
      <c r="Q102" s="562"/>
      <c r="R102" s="562"/>
      <c r="S102" s="562"/>
      <c r="T102" s="562"/>
      <c r="U102" s="562"/>
      <c r="V102" s="562"/>
      <c r="W102" s="562"/>
      <c r="X102" s="562"/>
      <c r="Y102" s="562"/>
      <c r="Z102" s="562"/>
      <c r="AA102" s="562"/>
      <c r="AB102" s="562"/>
      <c r="AC102" s="562"/>
      <c r="AD102" s="562"/>
      <c r="AE102" s="562"/>
      <c r="AF102" s="562"/>
      <c r="AG102" s="562"/>
      <c r="AH102" s="562"/>
      <c r="AI102" s="562"/>
      <c r="AJ102" s="562"/>
      <c r="AK102" s="562"/>
    </row>
    <row r="103" spans="2:37" s="187" customFormat="1" ht="46.5" customHeight="1">
      <c r="B103" s="562" t="s">
        <v>192</v>
      </c>
      <c r="C103" s="562"/>
      <c r="D103" s="562"/>
      <c r="E103" s="562"/>
      <c r="F103" s="562"/>
      <c r="G103" s="562"/>
      <c r="H103" s="562"/>
      <c r="I103" s="562"/>
      <c r="J103" s="562"/>
      <c r="K103" s="562"/>
      <c r="L103" s="562"/>
      <c r="M103" s="562"/>
      <c r="N103" s="562"/>
      <c r="O103" s="562"/>
      <c r="P103" s="562"/>
      <c r="Q103" s="562"/>
      <c r="R103" s="562"/>
      <c r="S103" s="562"/>
      <c r="T103" s="562"/>
      <c r="U103" s="562"/>
      <c r="V103" s="562"/>
      <c r="W103" s="562"/>
      <c r="X103" s="562"/>
      <c r="Y103" s="562"/>
      <c r="Z103" s="562"/>
      <c r="AA103" s="562"/>
      <c r="AB103" s="562"/>
      <c r="AC103" s="562"/>
      <c r="AD103" s="562"/>
      <c r="AE103" s="562"/>
      <c r="AF103" s="562"/>
      <c r="AG103" s="562"/>
      <c r="AH103" s="562"/>
      <c r="AI103" s="562"/>
      <c r="AJ103" s="562"/>
      <c r="AK103" s="562"/>
    </row>
    <row r="104" spans="2:37" s="187" customFormat="1" ht="36" customHeight="1">
      <c r="B104" s="562" t="s">
        <v>193</v>
      </c>
      <c r="C104" s="562"/>
      <c r="D104" s="562"/>
      <c r="E104" s="562"/>
      <c r="F104" s="562"/>
      <c r="G104" s="562"/>
      <c r="H104" s="562"/>
      <c r="I104" s="562"/>
      <c r="J104" s="562"/>
      <c r="K104" s="562"/>
      <c r="L104" s="562"/>
      <c r="M104" s="562"/>
      <c r="N104" s="562"/>
      <c r="O104" s="562"/>
      <c r="P104" s="562"/>
      <c r="Q104" s="562"/>
      <c r="R104" s="562"/>
      <c r="S104" s="562"/>
      <c r="T104" s="562"/>
      <c r="U104" s="562"/>
      <c r="V104" s="562"/>
      <c r="W104" s="562"/>
      <c r="X104" s="562"/>
      <c r="Y104" s="562"/>
      <c r="Z104" s="562"/>
      <c r="AA104" s="562"/>
      <c r="AB104" s="562"/>
      <c r="AC104" s="562"/>
      <c r="AD104" s="562"/>
      <c r="AE104" s="562"/>
      <c r="AF104" s="562"/>
      <c r="AG104" s="562"/>
      <c r="AH104" s="562"/>
      <c r="AI104" s="562"/>
      <c r="AJ104" s="562"/>
      <c r="AK104" s="562"/>
    </row>
    <row r="105" spans="2:37" s="187" customFormat="1" ht="24.75" customHeight="1">
      <c r="B105" s="562" t="s">
        <v>194</v>
      </c>
      <c r="C105" s="562"/>
      <c r="D105" s="562"/>
      <c r="E105" s="562"/>
      <c r="F105" s="562"/>
      <c r="G105" s="562"/>
      <c r="H105" s="562"/>
      <c r="I105" s="562"/>
      <c r="J105" s="562"/>
      <c r="K105" s="562"/>
      <c r="L105" s="562"/>
      <c r="M105" s="562"/>
      <c r="N105" s="562"/>
      <c r="O105" s="562"/>
      <c r="P105" s="562"/>
      <c r="Q105" s="562"/>
      <c r="R105" s="562"/>
      <c r="S105" s="562"/>
      <c r="T105" s="562"/>
      <c r="U105" s="562"/>
      <c r="V105" s="562"/>
      <c r="W105" s="562"/>
      <c r="X105" s="562"/>
      <c r="Y105" s="562"/>
      <c r="Z105" s="562"/>
      <c r="AA105" s="562"/>
      <c r="AB105" s="562"/>
      <c r="AC105" s="562"/>
      <c r="AD105" s="562"/>
      <c r="AE105" s="562"/>
      <c r="AF105" s="562"/>
      <c r="AG105" s="562"/>
      <c r="AH105" s="562"/>
      <c r="AI105" s="562"/>
      <c r="AJ105" s="562"/>
      <c r="AK105" s="562"/>
    </row>
    <row r="106" spans="2:37" s="187" customFormat="1" ht="10.199999999999999">
      <c r="B106" s="232"/>
      <c r="C106" s="232"/>
      <c r="D106" s="232"/>
      <c r="E106" s="232"/>
      <c r="F106" s="232"/>
      <c r="G106" s="232"/>
      <c r="H106" s="232"/>
      <c r="I106" s="232"/>
      <c r="J106" s="232"/>
      <c r="K106" s="232"/>
      <c r="L106" s="232"/>
      <c r="M106" s="232"/>
      <c r="N106" s="232"/>
      <c r="O106" s="232"/>
      <c r="P106" s="232"/>
      <c r="Q106" s="232"/>
      <c r="R106" s="232"/>
      <c r="S106" s="232"/>
      <c r="T106" s="232"/>
      <c r="U106" s="232"/>
      <c r="V106" s="232"/>
      <c r="W106" s="232"/>
      <c r="X106" s="232"/>
      <c r="Y106" s="232"/>
      <c r="Z106" s="232"/>
      <c r="AA106" s="232"/>
      <c r="AB106" s="232"/>
      <c r="AC106" s="232"/>
      <c r="AD106" s="232"/>
      <c r="AE106" s="232"/>
      <c r="AF106" s="232"/>
      <c r="AG106" s="232"/>
      <c r="AH106" s="232"/>
      <c r="AI106" s="232"/>
      <c r="AJ106" s="232"/>
      <c r="AK106" s="232"/>
    </row>
    <row r="107" spans="2:37" s="187" customFormat="1" ht="10.199999999999999">
      <c r="B107" s="566" t="s">
        <v>195</v>
      </c>
      <c r="C107" s="566"/>
      <c r="D107" s="566"/>
      <c r="E107" s="566"/>
      <c r="F107" s="566"/>
      <c r="G107" s="566"/>
      <c r="H107" s="566"/>
      <c r="I107" s="566"/>
      <c r="J107" s="566"/>
      <c r="K107" s="566"/>
      <c r="L107" s="566"/>
      <c r="M107" s="566"/>
      <c r="N107" s="566"/>
      <c r="O107" s="566"/>
      <c r="P107" s="566"/>
      <c r="Q107" s="566"/>
      <c r="R107" s="566"/>
      <c r="S107" s="566"/>
      <c r="T107" s="566"/>
      <c r="U107" s="566"/>
      <c r="V107" s="566"/>
      <c r="W107" s="566"/>
      <c r="X107" s="566"/>
      <c r="Y107" s="566"/>
      <c r="Z107" s="566"/>
      <c r="AA107" s="566"/>
      <c r="AB107" s="566"/>
      <c r="AC107" s="566"/>
      <c r="AD107" s="566"/>
      <c r="AE107" s="566"/>
      <c r="AF107" s="566"/>
      <c r="AG107" s="566"/>
      <c r="AH107" s="566"/>
      <c r="AI107" s="566"/>
      <c r="AJ107" s="566"/>
      <c r="AK107" s="566"/>
    </row>
    <row r="108" spans="2:37" s="187" customFormat="1" ht="10.199999999999999">
      <c r="B108" s="232"/>
      <c r="C108" s="232"/>
      <c r="D108" s="232"/>
      <c r="E108" s="232"/>
      <c r="F108" s="232"/>
      <c r="G108" s="232"/>
      <c r="H108" s="232"/>
      <c r="I108" s="232"/>
      <c r="J108" s="232"/>
      <c r="K108" s="232"/>
      <c r="L108" s="232"/>
      <c r="M108" s="232"/>
      <c r="N108" s="232"/>
      <c r="O108" s="232"/>
      <c r="P108" s="232"/>
      <c r="Q108" s="232"/>
      <c r="R108" s="232"/>
      <c r="S108" s="232"/>
      <c r="T108" s="232"/>
      <c r="U108" s="232"/>
      <c r="V108" s="232"/>
      <c r="W108" s="232"/>
      <c r="X108" s="232"/>
      <c r="Y108" s="232"/>
      <c r="Z108" s="232"/>
      <c r="AA108" s="232"/>
      <c r="AB108" s="232"/>
      <c r="AC108" s="232"/>
      <c r="AD108" s="232"/>
      <c r="AE108" s="232"/>
      <c r="AF108" s="232"/>
      <c r="AG108" s="232"/>
      <c r="AH108" s="232"/>
      <c r="AI108" s="232"/>
      <c r="AJ108" s="232"/>
      <c r="AK108" s="232"/>
    </row>
    <row r="109" spans="2:37" s="187" customFormat="1" ht="34.5" customHeight="1">
      <c r="B109" s="562" t="s">
        <v>196</v>
      </c>
      <c r="C109" s="562"/>
      <c r="D109" s="562"/>
      <c r="E109" s="562"/>
      <c r="F109" s="562"/>
      <c r="G109" s="562"/>
      <c r="H109" s="562"/>
      <c r="I109" s="562"/>
      <c r="J109" s="562"/>
      <c r="K109" s="562"/>
      <c r="L109" s="562"/>
      <c r="M109" s="562"/>
      <c r="N109" s="562"/>
      <c r="O109" s="562"/>
      <c r="P109" s="562"/>
      <c r="Q109" s="562"/>
      <c r="R109" s="562"/>
      <c r="S109" s="562"/>
      <c r="T109" s="562"/>
      <c r="U109" s="562"/>
      <c r="V109" s="562"/>
      <c r="W109" s="562"/>
      <c r="X109" s="562"/>
      <c r="Y109" s="562"/>
      <c r="Z109" s="562"/>
      <c r="AA109" s="562"/>
      <c r="AB109" s="562"/>
      <c r="AC109" s="562"/>
      <c r="AD109" s="562"/>
      <c r="AE109" s="562"/>
      <c r="AF109" s="562"/>
      <c r="AG109" s="562"/>
      <c r="AH109" s="562"/>
      <c r="AI109" s="562"/>
      <c r="AJ109" s="562"/>
      <c r="AK109" s="562"/>
    </row>
    <row r="110" spans="2:37" s="187" customFormat="1" ht="10.199999999999999">
      <c r="B110" s="232"/>
      <c r="C110" s="232"/>
      <c r="D110" s="232"/>
      <c r="E110" s="232"/>
      <c r="F110" s="232"/>
      <c r="G110" s="232"/>
      <c r="H110" s="232"/>
      <c r="I110" s="232"/>
      <c r="J110" s="232"/>
      <c r="K110" s="232"/>
      <c r="L110" s="232"/>
      <c r="M110" s="232"/>
      <c r="N110" s="232"/>
      <c r="O110" s="232"/>
      <c r="P110" s="232"/>
      <c r="Q110" s="232"/>
      <c r="R110" s="232"/>
      <c r="S110" s="232"/>
      <c r="T110" s="232"/>
      <c r="U110" s="232"/>
      <c r="V110" s="232"/>
      <c r="W110" s="232"/>
      <c r="X110" s="232"/>
      <c r="Y110" s="232"/>
      <c r="Z110" s="232"/>
      <c r="AA110" s="232"/>
      <c r="AB110" s="232"/>
      <c r="AC110" s="232"/>
      <c r="AD110" s="232"/>
      <c r="AE110" s="232"/>
      <c r="AF110" s="232"/>
      <c r="AG110" s="232"/>
      <c r="AH110" s="232"/>
      <c r="AI110" s="232"/>
      <c r="AJ110" s="232"/>
      <c r="AK110" s="232"/>
    </row>
    <row r="111" spans="2:37" s="187" customFormat="1" ht="10.199999999999999">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row>
    <row r="112" spans="2:37" s="187" customFormat="1" ht="10.199999999999999">
      <c r="B112" s="566" t="s">
        <v>197</v>
      </c>
      <c r="C112" s="566"/>
      <c r="D112" s="566"/>
      <c r="E112" s="566"/>
      <c r="F112" s="566"/>
      <c r="G112" s="566"/>
      <c r="H112" s="566"/>
      <c r="I112" s="566"/>
      <c r="J112" s="566"/>
      <c r="K112" s="566"/>
      <c r="L112" s="566"/>
      <c r="M112" s="566"/>
      <c r="N112" s="566"/>
      <c r="O112" s="566"/>
      <c r="P112" s="566"/>
      <c r="Q112" s="566"/>
      <c r="R112" s="566"/>
      <c r="S112" s="566"/>
      <c r="T112" s="566"/>
      <c r="U112" s="566"/>
      <c r="V112" s="566"/>
      <c r="W112" s="566"/>
      <c r="X112" s="566"/>
      <c r="Y112" s="566"/>
      <c r="Z112" s="566"/>
      <c r="AA112" s="566"/>
      <c r="AB112" s="566"/>
      <c r="AC112" s="566"/>
      <c r="AD112" s="566"/>
      <c r="AE112" s="566"/>
      <c r="AF112" s="566"/>
      <c r="AG112" s="566"/>
      <c r="AH112" s="566"/>
      <c r="AI112" s="566"/>
      <c r="AJ112" s="566"/>
      <c r="AK112" s="566"/>
    </row>
    <row r="113" spans="2:37" s="187" customFormat="1" ht="10.199999999999999">
      <c r="B113" s="232"/>
      <c r="C113" s="232"/>
      <c r="D113" s="232"/>
      <c r="E113" s="232"/>
      <c r="F113" s="232"/>
      <c r="G113" s="232"/>
      <c r="H113" s="232"/>
      <c r="I113" s="232"/>
      <c r="J113" s="232"/>
      <c r="K113" s="232"/>
      <c r="L113" s="232"/>
      <c r="M113" s="232"/>
      <c r="N113" s="232"/>
      <c r="O113" s="232"/>
      <c r="P113" s="232"/>
      <c r="Q113" s="232"/>
      <c r="R113" s="232"/>
      <c r="S113" s="232"/>
      <c r="T113" s="232"/>
      <c r="U113" s="232"/>
      <c r="V113" s="232"/>
      <c r="W113" s="232"/>
      <c r="X113" s="232"/>
      <c r="Y113" s="232"/>
      <c r="Z113" s="232"/>
      <c r="AA113" s="232"/>
      <c r="AB113" s="232"/>
      <c r="AC113" s="232"/>
      <c r="AD113" s="232"/>
      <c r="AE113" s="232"/>
      <c r="AF113" s="232"/>
      <c r="AG113" s="232"/>
      <c r="AH113" s="232"/>
      <c r="AI113" s="232"/>
      <c r="AJ113" s="232"/>
      <c r="AK113" s="232"/>
    </row>
    <row r="114" spans="2:37" s="187" customFormat="1" ht="23.25" customHeight="1">
      <c r="B114" s="562" t="s">
        <v>198</v>
      </c>
      <c r="C114" s="562"/>
      <c r="D114" s="562"/>
      <c r="E114" s="562"/>
      <c r="F114" s="562"/>
      <c r="G114" s="562"/>
      <c r="H114" s="562"/>
      <c r="I114" s="562"/>
      <c r="J114" s="562"/>
      <c r="K114" s="562"/>
      <c r="L114" s="562"/>
      <c r="M114" s="562"/>
      <c r="N114" s="562"/>
      <c r="O114" s="562"/>
      <c r="P114" s="562"/>
      <c r="Q114" s="562"/>
      <c r="R114" s="562"/>
      <c r="S114" s="562"/>
      <c r="T114" s="562"/>
      <c r="U114" s="562"/>
      <c r="V114" s="562"/>
      <c r="W114" s="562"/>
      <c r="X114" s="562"/>
      <c r="Y114" s="562"/>
      <c r="Z114" s="562"/>
      <c r="AA114" s="562"/>
      <c r="AB114" s="562"/>
      <c r="AC114" s="562"/>
      <c r="AD114" s="562"/>
      <c r="AE114" s="562"/>
      <c r="AF114" s="562"/>
      <c r="AG114" s="562"/>
      <c r="AH114" s="562"/>
      <c r="AI114" s="562"/>
      <c r="AJ114" s="562"/>
      <c r="AK114" s="562"/>
    </row>
    <row r="115" spans="2:37" s="187" customFormat="1" ht="10.199999999999999">
      <c r="B115" s="232"/>
      <c r="C115" s="232"/>
      <c r="D115" s="232"/>
      <c r="E115" s="232"/>
      <c r="F115" s="232"/>
      <c r="G115" s="232"/>
      <c r="H115" s="232"/>
      <c r="I115" s="232"/>
      <c r="J115" s="232"/>
      <c r="K115" s="232"/>
      <c r="L115" s="232"/>
      <c r="M115" s="232"/>
      <c r="N115" s="232"/>
      <c r="O115" s="232"/>
      <c r="P115" s="232"/>
      <c r="Q115" s="232"/>
      <c r="R115" s="232"/>
      <c r="S115" s="232"/>
      <c r="T115" s="232"/>
      <c r="U115" s="232"/>
      <c r="V115" s="232"/>
      <c r="W115" s="232"/>
      <c r="X115" s="232"/>
      <c r="Y115" s="232"/>
      <c r="Z115" s="232"/>
      <c r="AA115" s="232"/>
      <c r="AB115" s="232"/>
      <c r="AC115" s="232"/>
      <c r="AD115" s="232"/>
      <c r="AE115" s="232"/>
      <c r="AF115" s="232"/>
      <c r="AG115" s="232"/>
      <c r="AH115" s="232"/>
      <c r="AI115" s="232"/>
      <c r="AJ115" s="232"/>
      <c r="AK115" s="232"/>
    </row>
    <row r="116" spans="2:37" s="187" customFormat="1" ht="10.199999999999999">
      <c r="B116" s="232"/>
      <c r="C116" s="232"/>
      <c r="D116" s="232"/>
      <c r="E116" s="232"/>
      <c r="F116" s="232"/>
      <c r="G116" s="232"/>
      <c r="H116" s="232"/>
      <c r="I116" s="232"/>
      <c r="J116" s="232"/>
      <c r="K116" s="232"/>
      <c r="L116" s="232"/>
      <c r="M116" s="232"/>
      <c r="N116" s="232"/>
      <c r="O116" s="232"/>
      <c r="P116" s="232"/>
      <c r="Q116" s="232"/>
      <c r="R116" s="232"/>
      <c r="S116" s="232"/>
      <c r="T116" s="232"/>
      <c r="U116" s="232"/>
      <c r="V116" s="232"/>
      <c r="W116" s="232"/>
      <c r="X116" s="232"/>
      <c r="Y116" s="232"/>
      <c r="Z116" s="232"/>
      <c r="AA116" s="232"/>
      <c r="AB116" s="232"/>
      <c r="AC116" s="232"/>
      <c r="AD116" s="232"/>
      <c r="AE116" s="232"/>
      <c r="AF116" s="232"/>
      <c r="AG116" s="232"/>
      <c r="AH116" s="232"/>
      <c r="AI116" s="232"/>
      <c r="AJ116" s="232"/>
      <c r="AK116" s="232"/>
    </row>
    <row r="117" spans="2:37" s="187" customFormat="1" ht="10.199999999999999">
      <c r="B117" s="562" t="s">
        <v>199</v>
      </c>
      <c r="C117" s="562"/>
      <c r="D117" s="562"/>
      <c r="E117" s="562"/>
      <c r="F117" s="562"/>
      <c r="G117" s="562"/>
      <c r="H117" s="562"/>
      <c r="I117" s="562"/>
      <c r="J117" s="562"/>
      <c r="K117" s="562"/>
      <c r="L117" s="562"/>
      <c r="M117" s="562"/>
      <c r="N117" s="562"/>
      <c r="O117" s="562"/>
      <c r="P117" s="562"/>
      <c r="Q117" s="562"/>
      <c r="R117" s="562"/>
      <c r="S117" s="562"/>
      <c r="T117" s="562"/>
      <c r="U117" s="562"/>
      <c r="V117" s="562"/>
      <c r="W117" s="562"/>
      <c r="X117" s="562"/>
      <c r="Y117" s="562"/>
      <c r="Z117" s="562"/>
      <c r="AA117" s="562"/>
      <c r="AB117" s="562"/>
      <c r="AC117" s="562"/>
      <c r="AD117" s="562"/>
      <c r="AE117" s="562"/>
      <c r="AF117" s="562"/>
      <c r="AG117" s="562"/>
      <c r="AH117" s="562"/>
      <c r="AI117" s="562"/>
      <c r="AJ117" s="562"/>
      <c r="AK117" s="562"/>
    </row>
    <row r="118" spans="2:37" s="187" customFormat="1" ht="10.199999999999999">
      <c r="B118" s="232"/>
      <c r="C118" s="232"/>
      <c r="D118" s="232"/>
      <c r="E118" s="232"/>
      <c r="F118" s="232"/>
      <c r="G118" s="232"/>
      <c r="H118" s="232"/>
      <c r="I118" s="232"/>
      <c r="J118" s="232"/>
      <c r="K118" s="232"/>
      <c r="L118" s="232"/>
      <c r="M118" s="232"/>
      <c r="N118" s="232"/>
      <c r="O118" s="232"/>
      <c r="P118" s="232"/>
      <c r="Q118" s="232"/>
      <c r="R118" s="232"/>
      <c r="S118" s="232"/>
      <c r="T118" s="232"/>
      <c r="U118" s="232"/>
      <c r="V118" s="232"/>
      <c r="W118" s="232"/>
      <c r="X118" s="232"/>
      <c r="Y118" s="232"/>
      <c r="Z118" s="232"/>
      <c r="AA118" s="232"/>
      <c r="AB118" s="232"/>
      <c r="AC118" s="232"/>
      <c r="AD118" s="232"/>
      <c r="AE118" s="232"/>
      <c r="AF118" s="232"/>
      <c r="AG118" s="232"/>
      <c r="AH118" s="232"/>
      <c r="AI118" s="232"/>
      <c r="AJ118" s="232"/>
      <c r="AK118" s="232"/>
    </row>
    <row r="119" spans="2:37" s="187" customFormat="1" ht="10.199999999999999">
      <c r="B119" s="565" t="s">
        <v>200</v>
      </c>
      <c r="C119" s="565"/>
      <c r="D119" s="565"/>
      <c r="E119" s="565"/>
      <c r="F119" s="565"/>
      <c r="G119" s="565"/>
      <c r="H119" s="565"/>
      <c r="I119" s="565"/>
      <c r="J119" s="565"/>
      <c r="K119" s="565"/>
      <c r="L119" s="565"/>
      <c r="M119" s="565"/>
      <c r="N119" s="565"/>
      <c r="O119" s="565"/>
      <c r="P119" s="565"/>
      <c r="Q119" s="565"/>
      <c r="R119" s="565"/>
      <c r="S119" s="565"/>
      <c r="T119" s="565"/>
      <c r="U119" s="565"/>
      <c r="V119" s="565"/>
      <c r="W119" s="565"/>
      <c r="X119" s="565"/>
      <c r="Y119" s="565"/>
      <c r="Z119" s="565"/>
      <c r="AA119" s="565"/>
      <c r="AB119" s="565"/>
      <c r="AC119" s="565"/>
      <c r="AD119" s="565"/>
      <c r="AE119" s="565"/>
      <c r="AF119" s="565"/>
      <c r="AG119" s="565"/>
      <c r="AH119" s="565"/>
      <c r="AI119" s="565"/>
      <c r="AJ119" s="565"/>
      <c r="AK119" s="565"/>
    </row>
    <row r="120" spans="2:37" s="187" customFormat="1" ht="10.199999999999999">
      <c r="B120" s="231"/>
      <c r="C120" s="232"/>
      <c r="D120" s="232"/>
      <c r="E120" s="232"/>
      <c r="F120" s="232"/>
      <c r="G120" s="232"/>
      <c r="H120" s="232"/>
      <c r="I120" s="232"/>
      <c r="J120" s="232"/>
      <c r="K120" s="232"/>
      <c r="L120" s="232"/>
      <c r="M120" s="232"/>
      <c r="N120" s="232"/>
      <c r="O120" s="232"/>
      <c r="P120" s="232"/>
      <c r="Q120" s="232"/>
      <c r="R120" s="232"/>
      <c r="S120" s="232"/>
      <c r="T120" s="232"/>
      <c r="U120" s="232"/>
      <c r="V120" s="232"/>
      <c r="W120" s="232"/>
      <c r="X120" s="232"/>
      <c r="Y120" s="232"/>
      <c r="Z120" s="232"/>
      <c r="AA120" s="232"/>
      <c r="AB120" s="232"/>
      <c r="AC120" s="232"/>
      <c r="AD120" s="232"/>
      <c r="AE120" s="232"/>
      <c r="AF120" s="232"/>
      <c r="AG120" s="232"/>
      <c r="AH120" s="232"/>
      <c r="AI120" s="232"/>
      <c r="AJ120" s="232"/>
      <c r="AK120" s="232"/>
    </row>
    <row r="121" spans="2:37" s="187" customFormat="1" ht="38.25" customHeight="1">
      <c r="B121" s="566" t="s">
        <v>201</v>
      </c>
      <c r="C121" s="566"/>
      <c r="D121" s="566"/>
      <c r="E121" s="566"/>
      <c r="F121" s="566"/>
      <c r="G121" s="566"/>
      <c r="H121" s="566"/>
      <c r="I121" s="566"/>
      <c r="J121" s="566"/>
      <c r="K121" s="566"/>
      <c r="L121" s="566"/>
      <c r="M121" s="566"/>
      <c r="N121" s="566"/>
      <c r="O121" s="566"/>
      <c r="P121" s="566"/>
      <c r="Q121" s="566"/>
      <c r="R121" s="566"/>
      <c r="S121" s="566"/>
      <c r="T121" s="566"/>
      <c r="U121" s="566"/>
      <c r="V121" s="566"/>
      <c r="W121" s="566"/>
      <c r="X121" s="566"/>
      <c r="Y121" s="566"/>
      <c r="Z121" s="566"/>
      <c r="AA121" s="566"/>
      <c r="AB121" s="566"/>
      <c r="AC121" s="566"/>
      <c r="AD121" s="566"/>
      <c r="AE121" s="566"/>
      <c r="AF121" s="566"/>
      <c r="AG121" s="566"/>
      <c r="AH121" s="566"/>
      <c r="AI121" s="566"/>
      <c r="AJ121" s="566"/>
      <c r="AK121" s="566"/>
    </row>
    <row r="122" spans="2:37" s="187" customFormat="1" ht="10.199999999999999">
      <c r="B122" s="232"/>
      <c r="C122" s="232"/>
      <c r="D122" s="232"/>
      <c r="E122" s="232"/>
      <c r="F122" s="232"/>
      <c r="G122" s="232"/>
      <c r="H122" s="232"/>
      <c r="I122" s="232"/>
      <c r="J122" s="232"/>
      <c r="K122" s="232"/>
      <c r="L122" s="232"/>
      <c r="M122" s="232"/>
      <c r="N122" s="232"/>
      <c r="O122" s="232"/>
      <c r="P122" s="232"/>
      <c r="Q122" s="232"/>
      <c r="R122" s="232"/>
      <c r="S122" s="232"/>
      <c r="T122" s="232"/>
      <c r="U122" s="232"/>
      <c r="V122" s="232"/>
      <c r="W122" s="232"/>
      <c r="X122" s="232"/>
      <c r="Y122" s="232"/>
      <c r="Z122" s="232"/>
      <c r="AA122" s="232"/>
      <c r="AB122" s="232"/>
      <c r="AC122" s="232"/>
      <c r="AD122" s="232"/>
      <c r="AE122" s="232"/>
      <c r="AF122" s="232"/>
      <c r="AG122" s="232"/>
      <c r="AH122" s="232"/>
      <c r="AI122" s="232"/>
      <c r="AJ122" s="232"/>
      <c r="AK122" s="232"/>
    </row>
    <row r="123" spans="2:37" s="187" customFormat="1" ht="47.25" customHeight="1">
      <c r="B123" s="566" t="s">
        <v>202</v>
      </c>
      <c r="C123" s="566"/>
      <c r="D123" s="566"/>
      <c r="E123" s="566"/>
      <c r="F123" s="566"/>
      <c r="G123" s="566"/>
      <c r="H123" s="566"/>
      <c r="I123" s="566"/>
      <c r="J123" s="566"/>
      <c r="K123" s="566"/>
      <c r="L123" s="566"/>
      <c r="M123" s="566"/>
      <c r="N123" s="566"/>
      <c r="O123" s="566"/>
      <c r="P123" s="566"/>
      <c r="Q123" s="566"/>
      <c r="R123" s="566"/>
      <c r="S123" s="566"/>
      <c r="T123" s="566"/>
      <c r="U123" s="566"/>
      <c r="V123" s="566"/>
      <c r="W123" s="566"/>
      <c r="X123" s="566"/>
      <c r="Y123" s="566"/>
      <c r="Z123" s="566"/>
      <c r="AA123" s="566"/>
      <c r="AB123" s="566"/>
      <c r="AC123" s="566"/>
      <c r="AD123" s="566"/>
      <c r="AE123" s="566"/>
      <c r="AF123" s="566"/>
      <c r="AG123" s="566"/>
      <c r="AH123" s="566"/>
      <c r="AI123" s="566"/>
      <c r="AJ123" s="566"/>
      <c r="AK123" s="566"/>
    </row>
    <row r="124" spans="2:37" s="187" customFormat="1" ht="10.199999999999999">
      <c r="B124" s="232"/>
      <c r="C124" s="232"/>
      <c r="D124" s="232"/>
      <c r="E124" s="232"/>
      <c r="F124" s="232"/>
      <c r="G124" s="232"/>
      <c r="H124" s="232"/>
      <c r="I124" s="232"/>
      <c r="J124" s="232"/>
      <c r="K124" s="232"/>
      <c r="L124" s="232"/>
      <c r="M124" s="232"/>
      <c r="N124" s="232"/>
      <c r="O124" s="232"/>
      <c r="P124" s="232"/>
      <c r="Q124" s="232"/>
      <c r="R124" s="232"/>
      <c r="S124" s="232"/>
      <c r="T124" s="232"/>
      <c r="U124" s="232"/>
      <c r="V124" s="232"/>
      <c r="W124" s="232"/>
      <c r="X124" s="232"/>
      <c r="Y124" s="232"/>
      <c r="Z124" s="232"/>
      <c r="AA124" s="232"/>
      <c r="AB124" s="232"/>
      <c r="AC124" s="232"/>
      <c r="AD124" s="232"/>
      <c r="AE124" s="232"/>
      <c r="AF124" s="232"/>
      <c r="AG124" s="232"/>
      <c r="AH124" s="232"/>
      <c r="AI124" s="232"/>
      <c r="AJ124" s="232"/>
      <c r="AK124" s="232"/>
    </row>
    <row r="125" spans="2:37" s="187" customFormat="1" ht="24" customHeight="1">
      <c r="B125" s="566" t="s">
        <v>203</v>
      </c>
      <c r="C125" s="566"/>
      <c r="D125" s="566"/>
      <c r="E125" s="566"/>
      <c r="F125" s="566"/>
      <c r="G125" s="566"/>
      <c r="H125" s="566"/>
      <c r="I125" s="566"/>
      <c r="J125" s="566"/>
      <c r="K125" s="566"/>
      <c r="L125" s="566"/>
      <c r="M125" s="566"/>
      <c r="N125" s="566"/>
      <c r="O125" s="566"/>
      <c r="P125" s="566"/>
      <c r="Q125" s="566"/>
      <c r="R125" s="566"/>
      <c r="S125" s="566"/>
      <c r="T125" s="566"/>
      <c r="U125" s="566"/>
      <c r="V125" s="566"/>
      <c r="W125" s="566"/>
      <c r="X125" s="566"/>
      <c r="Y125" s="566"/>
      <c r="Z125" s="566"/>
      <c r="AA125" s="566"/>
      <c r="AB125" s="566"/>
      <c r="AC125" s="566"/>
      <c r="AD125" s="566"/>
      <c r="AE125" s="566"/>
      <c r="AF125" s="566"/>
      <c r="AG125" s="566"/>
      <c r="AH125" s="566"/>
      <c r="AI125" s="566"/>
      <c r="AJ125" s="566"/>
      <c r="AK125" s="566"/>
    </row>
    <row r="126" spans="2:37" s="187" customFormat="1" ht="10.199999999999999">
      <c r="B126" s="232"/>
      <c r="C126" s="232"/>
      <c r="D126" s="232"/>
      <c r="E126" s="232"/>
      <c r="F126" s="232"/>
      <c r="G126" s="232"/>
      <c r="H126" s="232"/>
      <c r="I126" s="232"/>
      <c r="J126" s="232"/>
      <c r="K126" s="232"/>
      <c r="L126" s="232"/>
      <c r="M126" s="232"/>
      <c r="N126" s="232"/>
      <c r="O126" s="232"/>
      <c r="P126" s="232"/>
      <c r="Q126" s="232"/>
      <c r="R126" s="232"/>
      <c r="S126" s="232"/>
      <c r="T126" s="232"/>
      <c r="U126" s="232"/>
      <c r="V126" s="232"/>
      <c r="W126" s="232"/>
      <c r="X126" s="232"/>
      <c r="Y126" s="232"/>
      <c r="Z126" s="232"/>
      <c r="AA126" s="232"/>
      <c r="AB126" s="232"/>
      <c r="AC126" s="232"/>
      <c r="AD126" s="232"/>
      <c r="AE126" s="232"/>
      <c r="AF126" s="232"/>
      <c r="AG126" s="232"/>
      <c r="AH126" s="232"/>
      <c r="AI126" s="232"/>
      <c r="AJ126" s="232"/>
      <c r="AK126" s="232"/>
    </row>
    <row r="127" spans="2:37" s="187" customFormat="1" ht="31.5" customHeight="1">
      <c r="B127" s="566" t="s">
        <v>204</v>
      </c>
      <c r="C127" s="566"/>
      <c r="D127" s="566"/>
      <c r="E127" s="566"/>
      <c r="F127" s="566"/>
      <c r="G127" s="566"/>
      <c r="H127" s="566"/>
      <c r="I127" s="566"/>
      <c r="J127" s="566"/>
      <c r="K127" s="566"/>
      <c r="L127" s="566"/>
      <c r="M127" s="566"/>
      <c r="N127" s="566"/>
      <c r="O127" s="566"/>
      <c r="P127" s="566"/>
      <c r="Q127" s="566"/>
      <c r="R127" s="566"/>
      <c r="S127" s="566"/>
      <c r="T127" s="566"/>
      <c r="U127" s="566"/>
      <c r="V127" s="566"/>
      <c r="W127" s="566"/>
      <c r="X127" s="566"/>
      <c r="Y127" s="566"/>
      <c r="Z127" s="566"/>
      <c r="AA127" s="566"/>
      <c r="AB127" s="566"/>
      <c r="AC127" s="566"/>
      <c r="AD127" s="566"/>
      <c r="AE127" s="566"/>
      <c r="AF127" s="566"/>
      <c r="AG127" s="566"/>
      <c r="AH127" s="566"/>
      <c r="AI127" s="566"/>
      <c r="AJ127" s="566"/>
      <c r="AK127" s="566"/>
    </row>
    <row r="128" spans="2:37" s="187" customFormat="1" ht="10.199999999999999">
      <c r="B128" s="232"/>
      <c r="C128" s="232"/>
      <c r="D128" s="232"/>
      <c r="E128" s="232"/>
      <c r="F128" s="232"/>
      <c r="G128" s="232"/>
      <c r="H128" s="232"/>
      <c r="I128" s="232"/>
      <c r="J128" s="232"/>
      <c r="K128" s="232"/>
      <c r="L128" s="232"/>
      <c r="M128" s="232"/>
      <c r="N128" s="232"/>
      <c r="O128" s="232"/>
      <c r="P128" s="232"/>
      <c r="Q128" s="232"/>
      <c r="R128" s="232"/>
      <c r="S128" s="232"/>
      <c r="T128" s="232"/>
      <c r="U128" s="232"/>
      <c r="V128" s="232"/>
      <c r="W128" s="232"/>
      <c r="X128" s="232"/>
      <c r="Y128" s="232"/>
      <c r="Z128" s="232"/>
      <c r="AA128" s="232"/>
      <c r="AB128" s="232"/>
      <c r="AC128" s="232"/>
      <c r="AD128" s="232"/>
      <c r="AE128" s="232"/>
      <c r="AF128" s="232"/>
      <c r="AG128" s="232"/>
      <c r="AH128" s="232"/>
      <c r="AI128" s="232"/>
      <c r="AJ128" s="232"/>
      <c r="AK128" s="232"/>
    </row>
    <row r="129" spans="2:37" s="187" customFormat="1" ht="46.5" customHeight="1">
      <c r="B129" s="566" t="s">
        <v>205</v>
      </c>
      <c r="C129" s="566"/>
      <c r="D129" s="566"/>
      <c r="E129" s="566"/>
      <c r="F129" s="566"/>
      <c r="G129" s="566"/>
      <c r="H129" s="566"/>
      <c r="I129" s="566"/>
      <c r="J129" s="566"/>
      <c r="K129" s="566"/>
      <c r="L129" s="566"/>
      <c r="M129" s="566"/>
      <c r="N129" s="566"/>
      <c r="O129" s="566"/>
      <c r="P129" s="566"/>
      <c r="Q129" s="566"/>
      <c r="R129" s="566"/>
      <c r="S129" s="566"/>
      <c r="T129" s="566"/>
      <c r="U129" s="566"/>
      <c r="V129" s="566"/>
      <c r="W129" s="566"/>
      <c r="X129" s="566"/>
      <c r="Y129" s="566"/>
      <c r="Z129" s="566"/>
      <c r="AA129" s="566"/>
      <c r="AB129" s="566"/>
      <c r="AC129" s="566"/>
      <c r="AD129" s="566"/>
      <c r="AE129" s="566"/>
      <c r="AF129" s="566"/>
      <c r="AG129" s="566"/>
      <c r="AH129" s="566"/>
      <c r="AI129" s="566"/>
      <c r="AJ129" s="566"/>
      <c r="AK129" s="566"/>
    </row>
    <row r="130" spans="2:37" s="187" customFormat="1" ht="10.199999999999999">
      <c r="B130" s="232"/>
      <c r="C130" s="232"/>
      <c r="D130" s="232"/>
      <c r="E130" s="232"/>
      <c r="F130" s="232"/>
      <c r="G130" s="232"/>
      <c r="H130" s="232"/>
      <c r="I130" s="232"/>
      <c r="J130" s="232"/>
      <c r="K130" s="232"/>
      <c r="L130" s="232"/>
      <c r="M130" s="232"/>
      <c r="N130" s="232"/>
      <c r="O130" s="232"/>
      <c r="P130" s="232"/>
      <c r="Q130" s="232"/>
      <c r="R130" s="232"/>
      <c r="S130" s="232"/>
      <c r="T130" s="232"/>
      <c r="U130" s="232"/>
      <c r="V130" s="232"/>
      <c r="W130" s="232"/>
      <c r="X130" s="232"/>
      <c r="Y130" s="232"/>
      <c r="Z130" s="232"/>
      <c r="AA130" s="232"/>
      <c r="AB130" s="232"/>
      <c r="AC130" s="232"/>
      <c r="AD130" s="232"/>
      <c r="AE130" s="232"/>
      <c r="AF130" s="232"/>
      <c r="AG130" s="232"/>
      <c r="AH130" s="232"/>
      <c r="AI130" s="232"/>
      <c r="AJ130" s="232"/>
      <c r="AK130" s="232"/>
    </row>
    <row r="131" spans="2:37" s="187" customFormat="1" ht="25.5" customHeight="1">
      <c r="B131" s="566" t="s">
        <v>206</v>
      </c>
      <c r="C131" s="566"/>
      <c r="D131" s="566"/>
      <c r="E131" s="566"/>
      <c r="F131" s="566"/>
      <c r="G131" s="566"/>
      <c r="H131" s="566"/>
      <c r="I131" s="566"/>
      <c r="J131" s="566"/>
      <c r="K131" s="566"/>
      <c r="L131" s="566"/>
      <c r="M131" s="566"/>
      <c r="N131" s="566"/>
      <c r="O131" s="566"/>
      <c r="P131" s="566"/>
      <c r="Q131" s="566"/>
      <c r="R131" s="566"/>
      <c r="S131" s="566"/>
      <c r="T131" s="566"/>
      <c r="U131" s="566"/>
      <c r="V131" s="566"/>
      <c r="W131" s="566"/>
      <c r="X131" s="566"/>
      <c r="Y131" s="566"/>
      <c r="Z131" s="566"/>
      <c r="AA131" s="566"/>
      <c r="AB131" s="566"/>
      <c r="AC131" s="566"/>
      <c r="AD131" s="566"/>
      <c r="AE131" s="566"/>
      <c r="AF131" s="566"/>
      <c r="AG131" s="566"/>
      <c r="AH131" s="566"/>
      <c r="AI131" s="566"/>
      <c r="AJ131" s="566"/>
      <c r="AK131" s="566"/>
    </row>
    <row r="132" spans="2:37" s="187" customFormat="1" ht="10.199999999999999">
      <c r="B132" s="232"/>
      <c r="C132" s="232"/>
      <c r="D132" s="232"/>
      <c r="E132" s="232"/>
      <c r="F132" s="232"/>
      <c r="G132" s="232"/>
      <c r="H132" s="232"/>
      <c r="I132" s="232"/>
      <c r="J132" s="232"/>
      <c r="K132" s="232"/>
      <c r="L132" s="232"/>
      <c r="M132" s="232"/>
      <c r="N132" s="232"/>
      <c r="O132" s="232"/>
      <c r="P132" s="232"/>
      <c r="Q132" s="232"/>
      <c r="R132" s="232"/>
      <c r="S132" s="232"/>
      <c r="T132" s="232"/>
      <c r="U132" s="232"/>
      <c r="V132" s="232"/>
      <c r="W132" s="232"/>
      <c r="X132" s="232"/>
      <c r="Y132" s="232"/>
      <c r="Z132" s="232"/>
      <c r="AA132" s="232"/>
      <c r="AB132" s="232"/>
      <c r="AC132" s="232"/>
      <c r="AD132" s="232"/>
      <c r="AE132" s="232"/>
      <c r="AF132" s="232"/>
      <c r="AG132" s="232"/>
      <c r="AH132" s="232"/>
      <c r="AI132" s="232"/>
      <c r="AJ132" s="232"/>
      <c r="AK132" s="232"/>
    </row>
    <row r="133" spans="2:37" s="187" customFormat="1" ht="10.199999999999999">
      <c r="B133" s="562" t="s">
        <v>207</v>
      </c>
      <c r="C133" s="562"/>
      <c r="D133" s="562"/>
      <c r="E133" s="562"/>
      <c r="F133" s="562"/>
      <c r="G133" s="562"/>
      <c r="H133" s="562"/>
      <c r="I133" s="562"/>
      <c r="J133" s="562"/>
      <c r="K133" s="562"/>
      <c r="L133" s="562"/>
      <c r="M133" s="562"/>
      <c r="N133" s="562"/>
      <c r="O133" s="562"/>
      <c r="P133" s="562"/>
      <c r="Q133" s="562"/>
      <c r="R133" s="562"/>
      <c r="S133" s="562"/>
      <c r="T133" s="562"/>
      <c r="U133" s="562"/>
      <c r="V133" s="562"/>
      <c r="W133" s="562"/>
      <c r="X133" s="562"/>
      <c r="Y133" s="562"/>
      <c r="Z133" s="562"/>
      <c r="AA133" s="562"/>
      <c r="AB133" s="562"/>
      <c r="AC133" s="562"/>
      <c r="AD133" s="562"/>
      <c r="AE133" s="562"/>
      <c r="AF133" s="562"/>
      <c r="AG133" s="562"/>
      <c r="AH133" s="562"/>
      <c r="AI133" s="562"/>
      <c r="AJ133" s="562"/>
      <c r="AK133" s="562"/>
    </row>
    <row r="134" spans="2:37" s="187" customFormat="1" ht="10.199999999999999">
      <c r="B134" s="232"/>
      <c r="C134" s="232"/>
      <c r="D134" s="232"/>
      <c r="E134" s="232"/>
      <c r="F134" s="232"/>
      <c r="G134" s="232"/>
      <c r="H134" s="232"/>
      <c r="I134" s="232"/>
      <c r="J134" s="232"/>
      <c r="K134" s="232"/>
      <c r="L134" s="232"/>
      <c r="M134" s="232"/>
      <c r="N134" s="232"/>
      <c r="O134" s="232"/>
      <c r="P134" s="232"/>
      <c r="Q134" s="232"/>
      <c r="R134" s="232"/>
      <c r="S134" s="232"/>
      <c r="T134" s="232"/>
      <c r="U134" s="232"/>
      <c r="V134" s="232"/>
      <c r="W134" s="232"/>
      <c r="X134" s="232"/>
      <c r="Y134" s="232"/>
      <c r="Z134" s="232"/>
      <c r="AA134" s="232"/>
      <c r="AB134" s="232"/>
      <c r="AC134" s="232"/>
      <c r="AD134" s="232"/>
      <c r="AE134" s="232"/>
      <c r="AF134" s="232"/>
      <c r="AG134" s="232"/>
      <c r="AH134" s="232"/>
      <c r="AI134" s="232"/>
      <c r="AJ134" s="232"/>
      <c r="AK134" s="232"/>
    </row>
    <row r="135" spans="2:37" s="187" customFormat="1" ht="60" customHeight="1">
      <c r="B135" s="562" t="s">
        <v>208</v>
      </c>
      <c r="C135" s="562"/>
      <c r="D135" s="562"/>
      <c r="E135" s="562"/>
      <c r="F135" s="562"/>
      <c r="G135" s="562"/>
      <c r="H135" s="562"/>
      <c r="I135" s="562"/>
      <c r="J135" s="562"/>
      <c r="K135" s="562"/>
      <c r="L135" s="562"/>
      <c r="M135" s="562"/>
      <c r="N135" s="562"/>
      <c r="O135" s="562"/>
      <c r="P135" s="562"/>
      <c r="Q135" s="562"/>
      <c r="R135" s="562"/>
      <c r="S135" s="562"/>
      <c r="T135" s="562"/>
      <c r="U135" s="562"/>
      <c r="V135" s="562"/>
      <c r="W135" s="562"/>
      <c r="X135" s="562"/>
      <c r="Y135" s="562"/>
      <c r="Z135" s="562"/>
      <c r="AA135" s="562"/>
      <c r="AB135" s="562"/>
      <c r="AC135" s="562"/>
      <c r="AD135" s="562"/>
      <c r="AE135" s="562"/>
      <c r="AF135" s="562"/>
      <c r="AG135" s="562"/>
      <c r="AH135" s="562"/>
      <c r="AI135" s="562"/>
      <c r="AJ135" s="562"/>
      <c r="AK135" s="562"/>
    </row>
    <row r="136" spans="2:37" s="187" customFormat="1" ht="10.199999999999999">
      <c r="B136" s="562"/>
      <c r="C136" s="562"/>
      <c r="D136" s="562"/>
      <c r="E136" s="562"/>
      <c r="F136" s="562"/>
      <c r="G136" s="562"/>
      <c r="H136" s="562"/>
      <c r="I136" s="562"/>
      <c r="J136" s="562"/>
      <c r="K136" s="562"/>
      <c r="L136" s="562"/>
      <c r="M136" s="562"/>
      <c r="N136" s="562"/>
      <c r="O136" s="562"/>
      <c r="P136" s="562"/>
      <c r="Q136" s="562"/>
      <c r="R136" s="562"/>
      <c r="S136" s="562"/>
      <c r="T136" s="562"/>
      <c r="U136" s="562"/>
      <c r="V136" s="562"/>
      <c r="W136" s="562"/>
      <c r="X136" s="562"/>
      <c r="Y136" s="562"/>
      <c r="Z136" s="562"/>
      <c r="AA136" s="562"/>
      <c r="AB136" s="562"/>
      <c r="AC136" s="562"/>
      <c r="AD136" s="562"/>
      <c r="AE136" s="562"/>
      <c r="AF136" s="562"/>
      <c r="AG136" s="562"/>
      <c r="AH136" s="562"/>
      <c r="AI136" s="562"/>
      <c r="AJ136" s="562"/>
      <c r="AK136" s="562"/>
    </row>
    <row r="137" spans="2:37" s="187" customFormat="1" ht="21.75" customHeight="1">
      <c r="B137" s="562" t="s">
        <v>209</v>
      </c>
      <c r="C137" s="562"/>
      <c r="D137" s="562"/>
      <c r="E137" s="562"/>
      <c r="F137" s="562"/>
      <c r="G137" s="562"/>
      <c r="H137" s="562"/>
      <c r="I137" s="562"/>
      <c r="J137" s="562"/>
      <c r="K137" s="562"/>
      <c r="L137" s="562"/>
      <c r="M137" s="562"/>
      <c r="N137" s="562"/>
      <c r="O137" s="562"/>
      <c r="P137" s="562"/>
      <c r="Q137" s="562"/>
      <c r="R137" s="562"/>
      <c r="S137" s="562"/>
      <c r="T137" s="562"/>
      <c r="U137" s="562"/>
      <c r="V137" s="562"/>
      <c r="W137" s="562"/>
      <c r="X137" s="562"/>
      <c r="Y137" s="562"/>
      <c r="Z137" s="562"/>
      <c r="AA137" s="562"/>
      <c r="AB137" s="562"/>
      <c r="AC137" s="562"/>
      <c r="AD137" s="562"/>
      <c r="AE137" s="562"/>
      <c r="AF137" s="562"/>
      <c r="AG137" s="562"/>
      <c r="AH137" s="562"/>
      <c r="AI137" s="562"/>
      <c r="AJ137" s="562"/>
      <c r="AK137" s="562"/>
    </row>
    <row r="138" spans="2:37" s="187" customFormat="1" ht="10.199999999999999">
      <c r="B138" s="232"/>
      <c r="C138" s="232"/>
      <c r="D138" s="232"/>
      <c r="E138" s="232"/>
      <c r="F138" s="232"/>
      <c r="G138" s="232"/>
      <c r="H138" s="232"/>
      <c r="I138" s="232"/>
      <c r="J138" s="232"/>
      <c r="K138" s="232"/>
      <c r="L138" s="232"/>
      <c r="M138" s="232"/>
      <c r="N138" s="232"/>
      <c r="O138" s="232"/>
      <c r="P138" s="232"/>
      <c r="Q138" s="232"/>
      <c r="R138" s="232"/>
      <c r="S138" s="232"/>
      <c r="T138" s="232"/>
      <c r="U138" s="232"/>
      <c r="V138" s="232"/>
      <c r="W138" s="232"/>
      <c r="X138" s="232"/>
      <c r="Y138" s="232"/>
      <c r="Z138" s="232"/>
      <c r="AA138" s="232"/>
      <c r="AB138" s="232"/>
      <c r="AC138" s="232"/>
      <c r="AD138" s="232"/>
      <c r="AE138" s="232"/>
      <c r="AF138" s="232"/>
      <c r="AG138" s="232"/>
      <c r="AH138" s="232"/>
      <c r="AI138" s="232"/>
      <c r="AJ138" s="232"/>
      <c r="AK138" s="232"/>
    </row>
    <row r="139" spans="2:37" s="187" customFormat="1" ht="25.5" customHeight="1">
      <c r="B139" s="562" t="s">
        <v>210</v>
      </c>
      <c r="C139" s="562"/>
      <c r="D139" s="562"/>
      <c r="E139" s="562"/>
      <c r="F139" s="562"/>
      <c r="G139" s="562"/>
      <c r="H139" s="562"/>
      <c r="I139" s="562"/>
      <c r="J139" s="562"/>
      <c r="K139" s="562"/>
      <c r="L139" s="562"/>
      <c r="M139" s="562"/>
      <c r="N139" s="562"/>
      <c r="O139" s="562"/>
      <c r="P139" s="562"/>
      <c r="Q139" s="562"/>
      <c r="R139" s="562"/>
      <c r="S139" s="562"/>
      <c r="T139" s="562"/>
      <c r="U139" s="562"/>
      <c r="V139" s="562"/>
      <c r="W139" s="562"/>
      <c r="X139" s="562"/>
      <c r="Y139" s="562"/>
      <c r="Z139" s="562"/>
      <c r="AA139" s="562"/>
      <c r="AB139" s="562"/>
      <c r="AC139" s="562"/>
      <c r="AD139" s="562"/>
      <c r="AE139" s="562"/>
      <c r="AF139" s="562"/>
      <c r="AG139" s="562"/>
      <c r="AH139" s="562"/>
      <c r="AI139" s="562"/>
      <c r="AJ139" s="562"/>
      <c r="AK139" s="562"/>
    </row>
    <row r="140" spans="2:37" s="187" customFormat="1" ht="37.5" customHeight="1">
      <c r="B140" s="562" t="s">
        <v>211</v>
      </c>
      <c r="C140" s="562"/>
      <c r="D140" s="562"/>
      <c r="E140" s="562"/>
      <c r="F140" s="562"/>
      <c r="G140" s="562"/>
      <c r="H140" s="562"/>
      <c r="I140" s="562"/>
      <c r="J140" s="562"/>
      <c r="K140" s="562"/>
      <c r="L140" s="562"/>
      <c r="M140" s="562"/>
      <c r="N140" s="562"/>
      <c r="O140" s="562"/>
      <c r="P140" s="562"/>
      <c r="Q140" s="562"/>
      <c r="R140" s="562"/>
      <c r="S140" s="562"/>
      <c r="T140" s="562"/>
      <c r="U140" s="562"/>
      <c r="V140" s="562"/>
      <c r="W140" s="562"/>
      <c r="X140" s="562"/>
      <c r="Y140" s="562"/>
      <c r="Z140" s="562"/>
      <c r="AA140" s="562"/>
      <c r="AB140" s="562"/>
      <c r="AC140" s="562"/>
      <c r="AD140" s="562"/>
      <c r="AE140" s="562"/>
      <c r="AF140" s="562"/>
      <c r="AG140" s="562"/>
      <c r="AH140" s="562"/>
      <c r="AI140" s="562"/>
      <c r="AJ140" s="562"/>
      <c r="AK140" s="562"/>
    </row>
    <row r="141" spans="2:37" s="187" customFormat="1" ht="81" customHeight="1">
      <c r="B141" s="562" t="s">
        <v>212</v>
      </c>
      <c r="C141" s="562"/>
      <c r="D141" s="562"/>
      <c r="E141" s="562"/>
      <c r="F141" s="562"/>
      <c r="G141" s="562"/>
      <c r="H141" s="562"/>
      <c r="I141" s="562"/>
      <c r="J141" s="562"/>
      <c r="K141" s="562"/>
      <c r="L141" s="562"/>
      <c r="M141" s="562"/>
      <c r="N141" s="562"/>
      <c r="O141" s="562"/>
      <c r="P141" s="562"/>
      <c r="Q141" s="562"/>
      <c r="R141" s="562"/>
      <c r="S141" s="562"/>
      <c r="T141" s="562"/>
      <c r="U141" s="562"/>
      <c r="V141" s="562"/>
      <c r="W141" s="562"/>
      <c r="X141" s="562"/>
      <c r="Y141" s="562"/>
      <c r="Z141" s="562"/>
      <c r="AA141" s="562"/>
      <c r="AB141" s="562"/>
      <c r="AC141" s="562"/>
      <c r="AD141" s="562"/>
      <c r="AE141" s="562"/>
      <c r="AF141" s="562"/>
      <c r="AG141" s="562"/>
      <c r="AH141" s="562"/>
      <c r="AI141" s="562"/>
      <c r="AJ141" s="562"/>
      <c r="AK141" s="562"/>
    </row>
    <row r="142" spans="2:37" s="187" customFormat="1" ht="10.199999999999999">
      <c r="B142" s="232"/>
      <c r="C142" s="232"/>
      <c r="D142" s="232"/>
      <c r="E142" s="232"/>
      <c r="F142" s="232"/>
      <c r="G142" s="232"/>
      <c r="H142" s="232"/>
      <c r="I142" s="232"/>
      <c r="J142" s="232"/>
      <c r="K142" s="232"/>
      <c r="L142" s="232"/>
      <c r="M142" s="232"/>
      <c r="N142" s="232"/>
      <c r="O142" s="232"/>
      <c r="P142" s="232"/>
      <c r="Q142" s="232"/>
      <c r="R142" s="232"/>
      <c r="S142" s="232"/>
      <c r="T142" s="232"/>
      <c r="U142" s="232"/>
      <c r="V142" s="232"/>
      <c r="W142" s="232"/>
      <c r="X142" s="232"/>
      <c r="Y142" s="232"/>
      <c r="Z142" s="232"/>
      <c r="AA142" s="232"/>
      <c r="AB142" s="232"/>
      <c r="AC142" s="232"/>
      <c r="AD142" s="232"/>
      <c r="AE142" s="232"/>
      <c r="AF142" s="232"/>
      <c r="AG142" s="232"/>
      <c r="AH142" s="232"/>
      <c r="AI142" s="232"/>
      <c r="AJ142" s="232"/>
      <c r="AK142" s="232"/>
    </row>
    <row r="143" spans="2:37" s="187" customFormat="1" ht="48.75" customHeight="1">
      <c r="B143" s="566" t="s">
        <v>213</v>
      </c>
      <c r="C143" s="566"/>
      <c r="D143" s="566"/>
      <c r="E143" s="566"/>
      <c r="F143" s="566"/>
      <c r="G143" s="566"/>
      <c r="H143" s="566"/>
      <c r="I143" s="566"/>
      <c r="J143" s="566"/>
      <c r="K143" s="566"/>
      <c r="L143" s="566"/>
      <c r="M143" s="566"/>
      <c r="N143" s="566"/>
      <c r="O143" s="566"/>
      <c r="P143" s="566"/>
      <c r="Q143" s="566"/>
      <c r="R143" s="566"/>
      <c r="S143" s="566"/>
      <c r="T143" s="566"/>
      <c r="U143" s="566"/>
      <c r="V143" s="566"/>
      <c r="W143" s="566"/>
      <c r="X143" s="566"/>
      <c r="Y143" s="566"/>
      <c r="Z143" s="566"/>
      <c r="AA143" s="566"/>
      <c r="AB143" s="566"/>
      <c r="AC143" s="566"/>
      <c r="AD143" s="566"/>
      <c r="AE143" s="566"/>
      <c r="AF143" s="566"/>
      <c r="AG143" s="566"/>
      <c r="AH143" s="566"/>
      <c r="AI143" s="566"/>
      <c r="AJ143" s="566"/>
      <c r="AK143" s="566"/>
    </row>
    <row r="144" spans="2:37" s="187" customFormat="1" ht="10.199999999999999">
      <c r="B144" s="232"/>
      <c r="C144" s="232"/>
      <c r="D144" s="232"/>
      <c r="E144" s="232"/>
      <c r="F144" s="232"/>
      <c r="G144" s="232"/>
      <c r="H144" s="232"/>
      <c r="I144" s="232"/>
      <c r="J144" s="232"/>
      <c r="K144" s="232"/>
      <c r="L144" s="232"/>
      <c r="M144" s="232"/>
      <c r="N144" s="232"/>
      <c r="O144" s="232"/>
      <c r="P144" s="232"/>
      <c r="Q144" s="232"/>
      <c r="R144" s="232"/>
      <c r="S144" s="232"/>
      <c r="T144" s="232"/>
      <c r="U144" s="232"/>
      <c r="V144" s="232"/>
      <c r="W144" s="232"/>
      <c r="X144" s="232"/>
      <c r="Y144" s="232"/>
      <c r="Z144" s="232"/>
      <c r="AA144" s="232"/>
      <c r="AB144" s="232"/>
      <c r="AC144" s="232"/>
      <c r="AD144" s="232"/>
      <c r="AE144" s="232"/>
      <c r="AF144" s="232"/>
      <c r="AG144" s="232"/>
      <c r="AH144" s="232"/>
      <c r="AI144" s="232"/>
      <c r="AJ144" s="232"/>
      <c r="AK144" s="232"/>
    </row>
    <row r="145" spans="2:37" s="187" customFormat="1" ht="117" customHeight="1">
      <c r="B145" s="566" t="s">
        <v>214</v>
      </c>
      <c r="C145" s="566"/>
      <c r="D145" s="566"/>
      <c r="E145" s="566"/>
      <c r="F145" s="566"/>
      <c r="G145" s="566"/>
      <c r="H145" s="566"/>
      <c r="I145" s="566"/>
      <c r="J145" s="566"/>
      <c r="K145" s="566"/>
      <c r="L145" s="566"/>
      <c r="M145" s="566"/>
      <c r="N145" s="566"/>
      <c r="O145" s="566"/>
      <c r="P145" s="566"/>
      <c r="Q145" s="566"/>
      <c r="R145" s="566"/>
      <c r="S145" s="566"/>
      <c r="T145" s="566"/>
      <c r="U145" s="566"/>
      <c r="V145" s="566"/>
      <c r="W145" s="566"/>
      <c r="X145" s="566"/>
      <c r="Y145" s="566"/>
      <c r="Z145" s="566"/>
      <c r="AA145" s="566"/>
      <c r="AB145" s="566"/>
      <c r="AC145" s="566"/>
      <c r="AD145" s="566"/>
      <c r="AE145" s="566"/>
      <c r="AF145" s="566"/>
      <c r="AG145" s="566"/>
      <c r="AH145" s="566"/>
      <c r="AI145" s="566"/>
      <c r="AJ145" s="566"/>
      <c r="AK145" s="566"/>
    </row>
    <row r="146" spans="2:37" s="187" customFormat="1" ht="114.75" customHeight="1">
      <c r="B146" s="562" t="s">
        <v>215</v>
      </c>
      <c r="C146" s="562"/>
      <c r="D146" s="562"/>
      <c r="E146" s="562"/>
      <c r="F146" s="562"/>
      <c r="G146" s="562"/>
      <c r="H146" s="562"/>
      <c r="I146" s="562"/>
      <c r="J146" s="562"/>
      <c r="K146" s="562"/>
      <c r="L146" s="562"/>
      <c r="M146" s="562"/>
      <c r="N146" s="562"/>
      <c r="O146" s="562"/>
      <c r="P146" s="562"/>
      <c r="Q146" s="562"/>
      <c r="R146" s="562"/>
      <c r="S146" s="562"/>
      <c r="T146" s="562"/>
      <c r="U146" s="562"/>
      <c r="V146" s="562"/>
      <c r="W146" s="562"/>
      <c r="X146" s="562"/>
      <c r="Y146" s="562"/>
      <c r="Z146" s="562"/>
      <c r="AA146" s="562"/>
      <c r="AB146" s="562"/>
      <c r="AC146" s="562"/>
      <c r="AD146" s="562"/>
      <c r="AE146" s="562"/>
      <c r="AF146" s="562"/>
      <c r="AG146" s="562"/>
      <c r="AH146" s="562"/>
      <c r="AI146" s="562"/>
      <c r="AJ146" s="562"/>
      <c r="AK146" s="562"/>
    </row>
    <row r="147" spans="2:37" s="187" customFormat="1" ht="10.199999999999999">
      <c r="B147" s="232"/>
      <c r="C147" s="232"/>
      <c r="D147" s="232"/>
      <c r="E147" s="232"/>
      <c r="F147" s="232"/>
      <c r="G147" s="232"/>
      <c r="H147" s="232"/>
      <c r="I147" s="232"/>
      <c r="J147" s="232"/>
      <c r="K147" s="232"/>
      <c r="L147" s="232"/>
      <c r="M147" s="232"/>
      <c r="N147" s="232"/>
      <c r="O147" s="232"/>
      <c r="P147" s="232"/>
      <c r="Q147" s="232"/>
      <c r="R147" s="232"/>
      <c r="S147" s="232"/>
      <c r="T147" s="232"/>
      <c r="U147" s="232"/>
      <c r="V147" s="232"/>
      <c r="W147" s="232"/>
      <c r="X147" s="232"/>
      <c r="Y147" s="232"/>
      <c r="Z147" s="232"/>
      <c r="AA147" s="232"/>
      <c r="AB147" s="232"/>
      <c r="AC147" s="232"/>
      <c r="AD147" s="232"/>
      <c r="AE147" s="232"/>
      <c r="AF147" s="232"/>
      <c r="AG147" s="232"/>
      <c r="AH147" s="232"/>
      <c r="AI147" s="232"/>
      <c r="AJ147" s="232"/>
      <c r="AK147" s="232"/>
    </row>
    <row r="148" spans="2:37" s="187" customFormat="1" ht="36" customHeight="1">
      <c r="B148" s="566" t="s">
        <v>216</v>
      </c>
      <c r="C148" s="566"/>
      <c r="D148" s="566"/>
      <c r="E148" s="566"/>
      <c r="F148" s="566"/>
      <c r="G148" s="566"/>
      <c r="H148" s="566"/>
      <c r="I148" s="566"/>
      <c r="J148" s="566"/>
      <c r="K148" s="566"/>
      <c r="L148" s="566"/>
      <c r="M148" s="566"/>
      <c r="N148" s="566"/>
      <c r="O148" s="566"/>
      <c r="P148" s="566"/>
      <c r="Q148" s="566"/>
      <c r="R148" s="566"/>
      <c r="S148" s="566"/>
      <c r="T148" s="566"/>
      <c r="U148" s="566"/>
      <c r="V148" s="566"/>
      <c r="W148" s="566"/>
      <c r="X148" s="566"/>
      <c r="Y148" s="566"/>
      <c r="Z148" s="566"/>
      <c r="AA148" s="566"/>
      <c r="AB148" s="566"/>
      <c r="AC148" s="566"/>
      <c r="AD148" s="566"/>
      <c r="AE148" s="566"/>
      <c r="AF148" s="566"/>
      <c r="AG148" s="566"/>
      <c r="AH148" s="566"/>
      <c r="AI148" s="566"/>
      <c r="AJ148" s="566"/>
      <c r="AK148" s="566"/>
    </row>
    <row r="149" spans="2:37" s="187" customFormat="1" ht="10.199999999999999">
      <c r="B149" s="232"/>
      <c r="C149" s="232"/>
      <c r="D149" s="232"/>
      <c r="E149" s="232"/>
      <c r="F149" s="232"/>
      <c r="G149" s="232"/>
      <c r="H149" s="232"/>
      <c r="I149" s="232"/>
      <c r="J149" s="232"/>
      <c r="K149" s="232"/>
      <c r="L149" s="232"/>
      <c r="M149" s="232"/>
      <c r="N149" s="232"/>
      <c r="O149" s="232"/>
      <c r="P149" s="232"/>
      <c r="Q149" s="232"/>
      <c r="R149" s="232"/>
      <c r="S149" s="232"/>
      <c r="T149" s="232"/>
      <c r="U149" s="232"/>
      <c r="V149" s="232"/>
      <c r="W149" s="232"/>
      <c r="X149" s="232"/>
      <c r="Y149" s="232"/>
      <c r="Z149" s="232"/>
      <c r="AA149" s="232"/>
      <c r="AB149" s="232"/>
      <c r="AC149" s="232"/>
      <c r="AD149" s="232"/>
      <c r="AE149" s="232"/>
      <c r="AF149" s="232"/>
      <c r="AG149" s="232"/>
      <c r="AH149" s="232"/>
      <c r="AI149" s="232"/>
      <c r="AJ149" s="232"/>
      <c r="AK149" s="232"/>
    </row>
    <row r="150" spans="2:37" s="187" customFormat="1" ht="51.75" customHeight="1">
      <c r="B150" s="566" t="s">
        <v>217</v>
      </c>
      <c r="C150" s="566"/>
      <c r="D150" s="566"/>
      <c r="E150" s="566"/>
      <c r="F150" s="566"/>
      <c r="G150" s="566"/>
      <c r="H150" s="566"/>
      <c r="I150" s="566"/>
      <c r="J150" s="566"/>
      <c r="K150" s="566"/>
      <c r="L150" s="566"/>
      <c r="M150" s="566"/>
      <c r="N150" s="566"/>
      <c r="O150" s="566"/>
      <c r="P150" s="566"/>
      <c r="Q150" s="566"/>
      <c r="R150" s="566"/>
      <c r="S150" s="566"/>
      <c r="T150" s="566"/>
      <c r="U150" s="566"/>
      <c r="V150" s="566"/>
      <c r="W150" s="566"/>
      <c r="X150" s="566"/>
      <c r="Y150" s="566"/>
      <c r="Z150" s="566"/>
      <c r="AA150" s="566"/>
      <c r="AB150" s="566"/>
      <c r="AC150" s="566"/>
      <c r="AD150" s="566"/>
      <c r="AE150" s="566"/>
      <c r="AF150" s="566"/>
      <c r="AG150" s="566"/>
      <c r="AH150" s="566"/>
      <c r="AI150" s="566"/>
      <c r="AJ150" s="566"/>
      <c r="AK150" s="566"/>
    </row>
    <row r="151" spans="2:37" s="187" customFormat="1" ht="10.199999999999999">
      <c r="B151" s="232"/>
      <c r="C151" s="232"/>
      <c r="D151" s="232"/>
      <c r="E151" s="232"/>
      <c r="F151" s="232"/>
      <c r="G151" s="232"/>
      <c r="H151" s="232"/>
      <c r="I151" s="232"/>
      <c r="J151" s="232"/>
      <c r="K151" s="232"/>
      <c r="L151" s="232"/>
      <c r="M151" s="232"/>
      <c r="N151" s="232"/>
      <c r="O151" s="232"/>
      <c r="P151" s="232"/>
      <c r="Q151" s="232"/>
      <c r="R151" s="232"/>
      <c r="S151" s="232"/>
      <c r="T151" s="232"/>
      <c r="U151" s="232"/>
      <c r="V151" s="232"/>
      <c r="W151" s="232"/>
      <c r="X151" s="232"/>
      <c r="Y151" s="232"/>
      <c r="Z151" s="232"/>
      <c r="AA151" s="232"/>
      <c r="AB151" s="232"/>
      <c r="AC151" s="232"/>
      <c r="AD151" s="232"/>
      <c r="AE151" s="232"/>
      <c r="AF151" s="232"/>
      <c r="AG151" s="232"/>
      <c r="AH151" s="232"/>
      <c r="AI151" s="232"/>
      <c r="AJ151" s="232"/>
      <c r="AK151" s="232"/>
    </row>
    <row r="152" spans="2:37" s="187" customFormat="1" ht="39" customHeight="1">
      <c r="B152" s="562" t="s">
        <v>218</v>
      </c>
      <c r="C152" s="562"/>
      <c r="D152" s="562"/>
      <c r="E152" s="562"/>
      <c r="F152" s="562"/>
      <c r="G152" s="562"/>
      <c r="H152" s="562"/>
      <c r="I152" s="562"/>
      <c r="J152" s="562"/>
      <c r="K152" s="562"/>
      <c r="L152" s="562"/>
      <c r="M152" s="562"/>
      <c r="N152" s="562"/>
      <c r="O152" s="562"/>
      <c r="P152" s="562"/>
      <c r="Q152" s="562"/>
      <c r="R152" s="562"/>
      <c r="S152" s="562"/>
      <c r="T152" s="562"/>
      <c r="U152" s="562"/>
      <c r="V152" s="562"/>
      <c r="W152" s="562"/>
      <c r="X152" s="562"/>
      <c r="Y152" s="562"/>
      <c r="Z152" s="562"/>
      <c r="AA152" s="562"/>
      <c r="AB152" s="562"/>
      <c r="AC152" s="562"/>
      <c r="AD152" s="562"/>
      <c r="AE152" s="562"/>
      <c r="AF152" s="562"/>
      <c r="AG152" s="562"/>
      <c r="AH152" s="562"/>
      <c r="AI152" s="562"/>
      <c r="AJ152" s="562"/>
      <c r="AK152" s="562"/>
    </row>
    <row r="153" spans="2:37" s="187" customFormat="1" ht="30" customHeight="1">
      <c r="B153" s="503"/>
      <c r="C153" s="503"/>
      <c r="D153" s="503"/>
      <c r="E153" s="503"/>
      <c r="F153" s="503"/>
      <c r="G153" s="503"/>
      <c r="H153" s="503"/>
      <c r="I153" s="503"/>
      <c r="J153" s="503"/>
      <c r="K153" s="503"/>
      <c r="L153" s="503"/>
      <c r="M153" s="503"/>
      <c r="N153" s="503"/>
      <c r="O153" s="503"/>
      <c r="P153" s="503"/>
      <c r="Q153" s="503"/>
      <c r="R153" s="503"/>
      <c r="S153" s="503"/>
      <c r="T153" s="503"/>
      <c r="U153" s="503"/>
      <c r="V153" s="503"/>
      <c r="W153" s="503"/>
      <c r="X153" s="503"/>
      <c r="Y153" s="503"/>
      <c r="Z153" s="503"/>
      <c r="AA153" s="503"/>
      <c r="AB153" s="503"/>
      <c r="AC153" s="503"/>
      <c r="AD153" s="503"/>
      <c r="AE153" s="503"/>
      <c r="AF153" s="503"/>
      <c r="AG153" s="503"/>
      <c r="AH153" s="503"/>
      <c r="AI153" s="503"/>
      <c r="AJ153" s="503"/>
      <c r="AK153" s="503"/>
    </row>
    <row r="154" spans="2:37" s="187" customFormat="1" ht="30" customHeight="1">
      <c r="B154" s="503"/>
      <c r="C154" s="503"/>
      <c r="D154" s="503"/>
      <c r="E154" s="503"/>
      <c r="F154" s="503"/>
      <c r="G154" s="503"/>
      <c r="H154" s="503"/>
      <c r="I154" s="503"/>
      <c r="J154" s="503"/>
      <c r="K154" s="503"/>
      <c r="L154" s="503"/>
      <c r="M154" s="503"/>
      <c r="N154" s="503"/>
      <c r="O154" s="503"/>
      <c r="P154" s="503"/>
      <c r="Q154" s="503"/>
      <c r="R154" s="503"/>
      <c r="S154" s="503"/>
      <c r="T154" s="503"/>
      <c r="U154" s="503"/>
      <c r="V154" s="503"/>
      <c r="W154" s="503"/>
      <c r="X154" s="503"/>
      <c r="Y154" s="503"/>
      <c r="Z154" s="503"/>
      <c r="AA154" s="503"/>
      <c r="AB154" s="503"/>
      <c r="AC154" s="503"/>
      <c r="AD154" s="503"/>
      <c r="AE154" s="503"/>
      <c r="AF154" s="503"/>
      <c r="AG154" s="503"/>
      <c r="AH154" s="503"/>
      <c r="AI154" s="503"/>
      <c r="AJ154" s="503"/>
      <c r="AK154" s="503"/>
    </row>
    <row r="155" spans="2:37" s="187" customFormat="1" ht="7.8">
      <c r="B155" s="230"/>
      <c r="C155" s="230"/>
      <c r="D155" s="230"/>
      <c r="E155" s="230"/>
      <c r="F155" s="230"/>
      <c r="G155" s="230"/>
      <c r="H155" s="230"/>
      <c r="I155" s="230"/>
      <c r="J155" s="230"/>
      <c r="K155" s="230"/>
      <c r="L155" s="230"/>
      <c r="M155" s="230"/>
      <c r="N155" s="230"/>
      <c r="O155" s="230"/>
      <c r="P155" s="230"/>
      <c r="Q155" s="230"/>
      <c r="R155" s="230"/>
      <c r="S155" s="230"/>
      <c r="T155" s="230"/>
      <c r="U155" s="230"/>
      <c r="V155" s="230"/>
      <c r="W155" s="230"/>
      <c r="X155" s="230"/>
      <c r="Y155" s="230"/>
      <c r="Z155" s="230"/>
      <c r="AA155" s="230"/>
      <c r="AB155" s="230"/>
      <c r="AC155" s="230"/>
      <c r="AD155" s="230"/>
      <c r="AE155" s="230"/>
      <c r="AF155" s="230"/>
      <c r="AG155" s="230"/>
      <c r="AH155" s="230"/>
      <c r="AI155" s="230"/>
      <c r="AJ155" s="230"/>
      <c r="AK155" s="230"/>
    </row>
    <row r="156" spans="2:37" s="187" customFormat="1" ht="7.8"/>
    <row r="157" spans="2:37" s="187" customFormat="1" ht="7.8"/>
    <row r="158" spans="2:37" s="187" customFormat="1" ht="7.8"/>
    <row r="159" spans="2:37" s="187" customFormat="1" ht="7.8"/>
    <row r="160" spans="2:37" s="187" customFormat="1" ht="7.8"/>
    <row r="161" spans="2:37" s="187" customFormat="1" ht="7.8"/>
    <row r="162" spans="2:37" s="187" customFormat="1" ht="7.8"/>
    <row r="163" spans="2:37" s="187" customFormat="1" ht="7.8"/>
    <row r="164" spans="2:37" s="187" customFormat="1" ht="7.8"/>
    <row r="165" spans="2:37" s="187" customFormat="1" ht="7.8"/>
    <row r="166" spans="2:37" s="187" customFormat="1" ht="7.8"/>
    <row r="167" spans="2:37" s="187" customFormat="1" ht="7.8"/>
    <row r="168" spans="2:37" s="187" customFormat="1" ht="7.8"/>
    <row r="169" spans="2:37" s="187" customFormat="1" ht="10.199999999999999">
      <c r="B169" s="581" t="s">
        <v>219</v>
      </c>
      <c r="C169" s="581"/>
      <c r="D169" s="581"/>
      <c r="E169" s="581"/>
      <c r="F169" s="581"/>
      <c r="G169" s="581"/>
      <c r="H169" s="581"/>
      <c r="I169" s="581"/>
      <c r="J169" s="581"/>
      <c r="K169" s="581"/>
      <c r="L169" s="581"/>
      <c r="M169" s="581"/>
      <c r="N169" s="581"/>
      <c r="O169" s="581"/>
      <c r="P169" s="581"/>
      <c r="Q169" s="581"/>
      <c r="R169" s="581"/>
      <c r="S169" s="581"/>
      <c r="T169" s="581"/>
      <c r="U169" s="581"/>
      <c r="V169" s="581"/>
      <c r="W169" s="581"/>
      <c r="X169" s="581"/>
      <c r="Y169" s="581"/>
      <c r="Z169" s="581"/>
      <c r="AA169" s="581"/>
      <c r="AB169" s="581"/>
      <c r="AC169" s="581"/>
      <c r="AD169" s="581"/>
      <c r="AE169" s="581"/>
      <c r="AF169" s="581"/>
      <c r="AG169" s="581"/>
      <c r="AH169" s="581"/>
      <c r="AI169" s="581"/>
      <c r="AJ169" s="581"/>
      <c r="AK169" s="581"/>
    </row>
    <row r="170" spans="2:37" s="187" customFormat="1" ht="10.199999999999999">
      <c r="B170" s="562" t="s">
        <v>220</v>
      </c>
      <c r="C170" s="562"/>
      <c r="D170" s="562"/>
      <c r="E170" s="562"/>
      <c r="F170" s="562"/>
      <c r="G170" s="562"/>
      <c r="H170" s="562"/>
      <c r="I170" s="562"/>
      <c r="J170" s="562"/>
      <c r="K170" s="562"/>
      <c r="L170" s="562"/>
      <c r="M170" s="562"/>
      <c r="N170" s="562"/>
      <c r="O170" s="562"/>
      <c r="P170" s="562"/>
      <c r="Q170" s="562"/>
      <c r="R170" s="562"/>
      <c r="S170" s="562"/>
      <c r="T170" s="562"/>
      <c r="U170" s="562"/>
      <c r="V170" s="562"/>
      <c r="W170" s="562"/>
      <c r="X170" s="562"/>
      <c r="Y170" s="562"/>
      <c r="Z170" s="562"/>
      <c r="AA170" s="562"/>
      <c r="AB170" s="562"/>
      <c r="AC170" s="562"/>
      <c r="AD170" s="562"/>
      <c r="AE170" s="562"/>
      <c r="AF170" s="562"/>
      <c r="AG170" s="562"/>
      <c r="AH170" s="562"/>
      <c r="AI170" s="562"/>
      <c r="AJ170" s="562"/>
      <c r="AK170" s="562"/>
    </row>
    <row r="171" spans="2:37" s="187" customFormat="1" ht="21" customHeight="1">
      <c r="B171" s="562" t="s">
        <v>221</v>
      </c>
      <c r="C171" s="562"/>
      <c r="D171" s="562"/>
      <c r="E171" s="562"/>
      <c r="F171" s="562"/>
      <c r="G171" s="562"/>
      <c r="H171" s="562"/>
      <c r="I171" s="562"/>
      <c r="J171" s="562"/>
      <c r="K171" s="562"/>
      <c r="L171" s="562"/>
      <c r="M171" s="562"/>
      <c r="N171" s="562"/>
      <c r="O171" s="562"/>
      <c r="P171" s="562"/>
      <c r="Q171" s="562"/>
      <c r="R171" s="562"/>
      <c r="S171" s="562"/>
      <c r="T171" s="562"/>
      <c r="U171" s="562"/>
      <c r="V171" s="562"/>
      <c r="W171" s="562"/>
      <c r="X171" s="562"/>
      <c r="Y171" s="562"/>
      <c r="Z171" s="562"/>
      <c r="AA171" s="562"/>
      <c r="AB171" s="562"/>
      <c r="AC171" s="562"/>
      <c r="AD171" s="562"/>
      <c r="AE171" s="562"/>
      <c r="AF171" s="562"/>
      <c r="AG171" s="562"/>
      <c r="AH171" s="562"/>
      <c r="AI171" s="562"/>
      <c r="AJ171" s="562"/>
      <c r="AK171" s="562"/>
    </row>
    <row r="172" spans="2:37" s="187" customFormat="1" ht="23.25" customHeight="1">
      <c r="B172" s="562" t="s">
        <v>222</v>
      </c>
      <c r="C172" s="562"/>
      <c r="D172" s="562"/>
      <c r="E172" s="562"/>
      <c r="F172" s="562"/>
      <c r="G172" s="562"/>
      <c r="H172" s="562"/>
      <c r="I172" s="562"/>
      <c r="J172" s="562"/>
      <c r="K172" s="562"/>
      <c r="L172" s="562"/>
      <c r="M172" s="562"/>
      <c r="N172" s="562"/>
      <c r="O172" s="562"/>
      <c r="P172" s="562"/>
      <c r="Q172" s="562"/>
      <c r="R172" s="562"/>
      <c r="S172" s="562"/>
      <c r="T172" s="562"/>
      <c r="U172" s="562"/>
      <c r="V172" s="562"/>
      <c r="W172" s="562"/>
      <c r="X172" s="562"/>
      <c r="Y172" s="562"/>
      <c r="Z172" s="562"/>
      <c r="AA172" s="562"/>
      <c r="AB172" s="562"/>
      <c r="AC172" s="562"/>
      <c r="AD172" s="562"/>
      <c r="AE172" s="562"/>
      <c r="AF172" s="562"/>
      <c r="AG172" s="562"/>
      <c r="AH172" s="562"/>
      <c r="AI172" s="562"/>
      <c r="AJ172" s="562"/>
      <c r="AK172" s="562"/>
    </row>
    <row r="173" spans="2:37" s="187" customFormat="1" ht="10.199999999999999">
      <c r="B173" s="562" t="s">
        <v>223</v>
      </c>
      <c r="C173" s="562"/>
      <c r="D173" s="562"/>
      <c r="E173" s="562"/>
      <c r="F173" s="562"/>
      <c r="G173" s="562"/>
      <c r="H173" s="562"/>
      <c r="I173" s="562"/>
      <c r="J173" s="562"/>
      <c r="K173" s="562"/>
      <c r="L173" s="562"/>
      <c r="M173" s="562"/>
      <c r="N173" s="562"/>
      <c r="O173" s="562"/>
      <c r="P173" s="562"/>
      <c r="Q173" s="562"/>
      <c r="R173" s="562"/>
      <c r="S173" s="562"/>
      <c r="T173" s="562"/>
      <c r="U173" s="562"/>
      <c r="V173" s="562"/>
      <c r="W173" s="562"/>
      <c r="X173" s="562"/>
      <c r="Y173" s="562"/>
      <c r="Z173" s="562"/>
      <c r="AA173" s="562"/>
      <c r="AB173" s="562"/>
      <c r="AC173" s="562"/>
      <c r="AD173" s="562"/>
      <c r="AE173" s="562"/>
      <c r="AF173" s="562"/>
      <c r="AG173" s="562"/>
      <c r="AH173" s="562"/>
      <c r="AI173" s="562"/>
      <c r="AJ173" s="562"/>
      <c r="AK173" s="562"/>
    </row>
    <row r="174" spans="2:37" s="187" customFormat="1" ht="37.5" customHeight="1">
      <c r="B174" s="562" t="s">
        <v>224</v>
      </c>
      <c r="C174" s="562"/>
      <c r="D174" s="562"/>
      <c r="E174" s="562"/>
      <c r="F174" s="562"/>
      <c r="G174" s="562"/>
      <c r="H174" s="562"/>
      <c r="I174" s="562"/>
      <c r="J174" s="562"/>
      <c r="K174" s="562"/>
      <c r="L174" s="562"/>
      <c r="M174" s="562"/>
      <c r="N174" s="562"/>
      <c r="O174" s="562"/>
      <c r="P174" s="562"/>
      <c r="Q174" s="562"/>
      <c r="R174" s="562"/>
      <c r="S174" s="562"/>
      <c r="T174" s="562"/>
      <c r="U174" s="562"/>
      <c r="V174" s="562"/>
      <c r="W174" s="562"/>
      <c r="X174" s="562"/>
      <c r="Y174" s="562"/>
      <c r="Z174" s="562"/>
      <c r="AA174" s="562"/>
      <c r="AB174" s="562"/>
      <c r="AC174" s="562"/>
      <c r="AD174" s="562"/>
      <c r="AE174" s="562"/>
      <c r="AF174" s="562"/>
      <c r="AG174" s="562"/>
      <c r="AH174" s="562"/>
      <c r="AI174" s="562"/>
      <c r="AJ174" s="562"/>
      <c r="AK174" s="562"/>
    </row>
    <row r="175" spans="2:37" s="187" customFormat="1" ht="10.199999999999999">
      <c r="B175" s="562" t="s">
        <v>225</v>
      </c>
      <c r="C175" s="562"/>
      <c r="D175" s="562"/>
      <c r="E175" s="562"/>
      <c r="F175" s="562"/>
      <c r="G175" s="562"/>
      <c r="H175" s="562"/>
      <c r="I175" s="562"/>
      <c r="J175" s="562"/>
      <c r="K175" s="562"/>
      <c r="L175" s="562"/>
      <c r="M175" s="562"/>
      <c r="N175" s="562"/>
      <c r="O175" s="562"/>
      <c r="P175" s="562"/>
      <c r="Q175" s="562"/>
      <c r="R175" s="562"/>
      <c r="S175" s="562"/>
      <c r="T175" s="562"/>
      <c r="U175" s="562"/>
      <c r="V175" s="562"/>
      <c r="W175" s="562"/>
      <c r="X175" s="562"/>
      <c r="Y175" s="562"/>
      <c r="Z175" s="562"/>
      <c r="AA175" s="562"/>
      <c r="AB175" s="562"/>
      <c r="AC175" s="562"/>
      <c r="AD175" s="562"/>
      <c r="AE175" s="562"/>
      <c r="AF175" s="562"/>
      <c r="AG175" s="562"/>
      <c r="AH175" s="562"/>
      <c r="AI175" s="562"/>
      <c r="AJ175" s="562"/>
      <c r="AK175" s="562"/>
    </row>
    <row r="176" spans="2:37" s="187" customFormat="1" ht="43.5" customHeight="1">
      <c r="B176" s="562" t="s">
        <v>226</v>
      </c>
      <c r="C176" s="562"/>
      <c r="D176" s="562"/>
      <c r="E176" s="562"/>
      <c r="F176" s="562"/>
      <c r="G176" s="562"/>
      <c r="H176" s="562"/>
      <c r="I176" s="562"/>
      <c r="J176" s="562"/>
      <c r="K176" s="562"/>
      <c r="L176" s="562"/>
      <c r="M176" s="562"/>
      <c r="N176" s="562"/>
      <c r="O176" s="562"/>
      <c r="P176" s="562"/>
      <c r="Q176" s="562"/>
      <c r="R176" s="562"/>
      <c r="S176" s="562"/>
      <c r="T176" s="562"/>
      <c r="U176" s="562"/>
      <c r="V176" s="562"/>
      <c r="W176" s="562"/>
      <c r="X176" s="562"/>
      <c r="Y176" s="562"/>
      <c r="Z176" s="562"/>
      <c r="AA176" s="562"/>
      <c r="AB176" s="562"/>
      <c r="AC176" s="562"/>
      <c r="AD176" s="562"/>
      <c r="AE176" s="562"/>
      <c r="AF176" s="562"/>
      <c r="AG176" s="562"/>
      <c r="AH176" s="562"/>
      <c r="AI176" s="562"/>
      <c r="AJ176" s="562"/>
      <c r="AK176" s="562"/>
    </row>
    <row r="177" spans="2:37" s="187" customFormat="1" ht="10.199999999999999">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row>
    <row r="178" spans="2:37" s="187" customFormat="1" ht="21.75" customHeight="1">
      <c r="B178" s="562" t="s">
        <v>227</v>
      </c>
      <c r="C178" s="562"/>
      <c r="D178" s="562"/>
      <c r="E178" s="562"/>
      <c r="F178" s="562"/>
      <c r="G178" s="562"/>
      <c r="H178" s="562"/>
      <c r="I178" s="562"/>
      <c r="J178" s="562"/>
      <c r="K178" s="562"/>
      <c r="L178" s="562"/>
      <c r="M178" s="562"/>
      <c r="N178" s="562"/>
      <c r="O178" s="562"/>
      <c r="P178" s="562"/>
      <c r="Q178" s="562"/>
      <c r="R178" s="562"/>
      <c r="S178" s="562"/>
      <c r="T178" s="562"/>
      <c r="U178" s="562"/>
      <c r="V178" s="562"/>
      <c r="W178" s="562"/>
      <c r="X178" s="562"/>
      <c r="Y178" s="562"/>
      <c r="Z178" s="562"/>
      <c r="AA178" s="562"/>
      <c r="AB178" s="562"/>
      <c r="AC178" s="562"/>
      <c r="AD178" s="562"/>
      <c r="AE178" s="562"/>
      <c r="AF178" s="562"/>
      <c r="AG178" s="562"/>
      <c r="AH178" s="562"/>
      <c r="AI178" s="562"/>
      <c r="AJ178" s="562"/>
      <c r="AK178" s="562"/>
    </row>
    <row r="179" spans="2:37" s="187" customFormat="1" ht="21.75" customHeight="1">
      <c r="B179" s="232"/>
      <c r="C179" s="232"/>
      <c r="D179" s="232"/>
      <c r="E179" s="232"/>
      <c r="F179" s="232"/>
      <c r="G179" s="232"/>
      <c r="H179" s="232"/>
      <c r="I179" s="232"/>
      <c r="J179" s="232"/>
      <c r="K179" s="232"/>
      <c r="L179" s="232"/>
      <c r="M179" s="232"/>
      <c r="N179" s="232"/>
      <c r="O179" s="232"/>
      <c r="P179" s="232"/>
      <c r="Q179" s="232"/>
      <c r="R179" s="232"/>
      <c r="S179" s="232"/>
      <c r="T179" s="232"/>
      <c r="U179" s="232"/>
      <c r="V179" s="232"/>
      <c r="W179" s="232"/>
      <c r="X179" s="232"/>
      <c r="Y179" s="232"/>
      <c r="Z179" s="232"/>
      <c r="AA179" s="232"/>
      <c r="AB179" s="232"/>
      <c r="AC179" s="232"/>
      <c r="AD179" s="232"/>
      <c r="AE179" s="232"/>
      <c r="AF179" s="232"/>
      <c r="AG179" s="232"/>
      <c r="AH179" s="232"/>
      <c r="AI179" s="232"/>
      <c r="AJ179" s="232"/>
      <c r="AK179" s="232"/>
    </row>
    <row r="180" spans="2:37" s="187" customFormat="1" ht="33" customHeight="1">
      <c r="B180" s="566" t="s">
        <v>228</v>
      </c>
      <c r="C180" s="566"/>
      <c r="D180" s="566"/>
      <c r="E180" s="566"/>
      <c r="F180" s="566"/>
      <c r="G180" s="566"/>
      <c r="H180" s="566"/>
      <c r="I180" s="566"/>
      <c r="J180" s="566"/>
      <c r="K180" s="566"/>
      <c r="L180" s="566"/>
      <c r="M180" s="566"/>
      <c r="N180" s="566"/>
      <c r="O180" s="566"/>
      <c r="P180" s="566"/>
      <c r="Q180" s="566"/>
      <c r="R180" s="566"/>
      <c r="S180" s="566"/>
      <c r="T180" s="566"/>
      <c r="U180" s="566"/>
      <c r="V180" s="566"/>
      <c r="W180" s="566"/>
      <c r="X180" s="566"/>
      <c r="Y180" s="566"/>
      <c r="Z180" s="566"/>
      <c r="AA180" s="566"/>
      <c r="AB180" s="566"/>
      <c r="AC180" s="566"/>
      <c r="AD180" s="566"/>
      <c r="AE180" s="566"/>
      <c r="AF180" s="566"/>
      <c r="AG180" s="566"/>
      <c r="AH180" s="566"/>
      <c r="AI180" s="566"/>
      <c r="AJ180" s="566"/>
      <c r="AK180" s="566"/>
    </row>
    <row r="181" spans="2:37" s="187" customFormat="1" ht="10.199999999999999">
      <c r="B181" s="232"/>
      <c r="C181" s="232"/>
      <c r="D181" s="232"/>
      <c r="E181" s="232"/>
      <c r="F181" s="232"/>
      <c r="G181" s="232"/>
      <c r="H181" s="232"/>
      <c r="I181" s="232"/>
      <c r="J181" s="232"/>
      <c r="K181" s="232"/>
      <c r="L181" s="232"/>
      <c r="M181" s="232"/>
      <c r="N181" s="232"/>
      <c r="O181" s="232"/>
      <c r="P181" s="232"/>
      <c r="Q181" s="232"/>
      <c r="R181" s="232"/>
      <c r="S181" s="232"/>
      <c r="T181" s="232"/>
      <c r="U181" s="232"/>
      <c r="V181" s="232"/>
      <c r="W181" s="232"/>
      <c r="X181" s="232"/>
      <c r="Y181" s="232"/>
      <c r="Z181" s="232"/>
      <c r="AA181" s="232"/>
      <c r="AB181" s="232"/>
      <c r="AC181" s="232"/>
      <c r="AD181" s="232"/>
      <c r="AE181" s="232"/>
      <c r="AF181" s="232"/>
      <c r="AG181" s="232"/>
      <c r="AH181" s="232"/>
      <c r="AI181" s="232"/>
      <c r="AJ181" s="232"/>
      <c r="AK181" s="232"/>
    </row>
    <row r="182" spans="2:37" s="187" customFormat="1" ht="56.25" customHeight="1">
      <c r="B182" s="566" t="s">
        <v>229</v>
      </c>
      <c r="C182" s="566"/>
      <c r="D182" s="566"/>
      <c r="E182" s="566"/>
      <c r="F182" s="566"/>
      <c r="G182" s="566"/>
      <c r="H182" s="566"/>
      <c r="I182" s="566"/>
      <c r="J182" s="566"/>
      <c r="K182" s="566"/>
      <c r="L182" s="566"/>
      <c r="M182" s="566"/>
      <c r="N182" s="566"/>
      <c r="O182" s="566"/>
      <c r="P182" s="566"/>
      <c r="Q182" s="566"/>
      <c r="R182" s="566"/>
      <c r="S182" s="566"/>
      <c r="T182" s="566"/>
      <c r="U182" s="566"/>
      <c r="V182" s="566"/>
      <c r="W182" s="566"/>
      <c r="X182" s="566"/>
      <c r="Y182" s="566"/>
      <c r="Z182" s="566"/>
      <c r="AA182" s="566"/>
      <c r="AB182" s="566"/>
      <c r="AC182" s="566"/>
      <c r="AD182" s="566"/>
      <c r="AE182" s="566"/>
      <c r="AF182" s="566"/>
      <c r="AG182" s="566"/>
      <c r="AH182" s="566"/>
      <c r="AI182" s="566"/>
      <c r="AJ182" s="566"/>
      <c r="AK182" s="566"/>
    </row>
    <row r="183" spans="2:37" s="187" customFormat="1" ht="10.199999999999999">
      <c r="B183" s="232"/>
      <c r="C183" s="232"/>
      <c r="D183" s="232"/>
      <c r="E183" s="232"/>
      <c r="F183" s="232"/>
      <c r="G183" s="232"/>
      <c r="H183" s="232"/>
      <c r="I183" s="232"/>
      <c r="J183" s="232"/>
      <c r="K183" s="232"/>
      <c r="L183" s="232"/>
      <c r="M183" s="232"/>
      <c r="N183" s="232"/>
      <c r="O183" s="232"/>
      <c r="P183" s="232"/>
      <c r="Q183" s="232"/>
      <c r="R183" s="232"/>
      <c r="S183" s="232"/>
      <c r="T183" s="232"/>
      <c r="U183" s="232"/>
      <c r="V183" s="232"/>
      <c r="W183" s="232"/>
      <c r="X183" s="232"/>
      <c r="Y183" s="232"/>
      <c r="Z183" s="232"/>
      <c r="AA183" s="232"/>
      <c r="AB183" s="232"/>
      <c r="AC183" s="232"/>
      <c r="AD183" s="232"/>
      <c r="AE183" s="232"/>
      <c r="AF183" s="232"/>
      <c r="AG183" s="232"/>
      <c r="AH183" s="232"/>
      <c r="AI183" s="232"/>
      <c r="AJ183" s="232"/>
      <c r="AK183" s="232"/>
    </row>
    <row r="184" spans="2:37" s="187" customFormat="1" ht="58.5" customHeight="1">
      <c r="B184" s="566" t="s">
        <v>230</v>
      </c>
      <c r="C184" s="566"/>
      <c r="D184" s="566"/>
      <c r="E184" s="566"/>
      <c r="F184" s="566"/>
      <c r="G184" s="566"/>
      <c r="H184" s="566"/>
      <c r="I184" s="566"/>
      <c r="J184" s="566"/>
      <c r="K184" s="566"/>
      <c r="L184" s="566"/>
      <c r="M184" s="566"/>
      <c r="N184" s="566"/>
      <c r="O184" s="566"/>
      <c r="P184" s="566"/>
      <c r="Q184" s="566"/>
      <c r="R184" s="566"/>
      <c r="S184" s="566"/>
      <c r="T184" s="566"/>
      <c r="U184" s="566"/>
      <c r="V184" s="566"/>
      <c r="W184" s="566"/>
      <c r="X184" s="566"/>
      <c r="Y184" s="566"/>
      <c r="Z184" s="566"/>
      <c r="AA184" s="566"/>
      <c r="AB184" s="566"/>
      <c r="AC184" s="566"/>
      <c r="AD184" s="566"/>
      <c r="AE184" s="566"/>
      <c r="AF184" s="566"/>
      <c r="AG184" s="566"/>
      <c r="AH184" s="566"/>
      <c r="AI184" s="566"/>
      <c r="AJ184" s="566"/>
      <c r="AK184" s="566"/>
    </row>
    <row r="185" spans="2:37" s="187" customFormat="1" ht="21.75" customHeight="1">
      <c r="B185" s="562" t="s">
        <v>231</v>
      </c>
      <c r="C185" s="562"/>
      <c r="D185" s="562"/>
      <c r="E185" s="562"/>
      <c r="F185" s="562"/>
      <c r="G185" s="562"/>
      <c r="H185" s="562"/>
      <c r="I185" s="562"/>
      <c r="J185" s="562"/>
      <c r="K185" s="562"/>
      <c r="L185" s="562"/>
      <c r="M185" s="562"/>
      <c r="N185" s="562"/>
      <c r="O185" s="562"/>
      <c r="P185" s="562"/>
      <c r="Q185" s="562"/>
      <c r="R185" s="562"/>
      <c r="S185" s="562"/>
      <c r="T185" s="562"/>
      <c r="U185" s="562"/>
      <c r="V185" s="562"/>
      <c r="W185" s="562"/>
      <c r="X185" s="562"/>
      <c r="Y185" s="562"/>
      <c r="Z185" s="562"/>
      <c r="AA185" s="562"/>
      <c r="AB185" s="562"/>
      <c r="AC185" s="562"/>
      <c r="AD185" s="562"/>
      <c r="AE185" s="562"/>
      <c r="AF185" s="562"/>
      <c r="AG185" s="562"/>
      <c r="AH185" s="562"/>
      <c r="AI185" s="562"/>
      <c r="AJ185" s="562"/>
      <c r="AK185" s="562"/>
    </row>
    <row r="186" spans="2:37" s="187" customFormat="1" ht="10.199999999999999">
      <c r="B186" s="232"/>
      <c r="C186" s="232"/>
      <c r="D186" s="232"/>
      <c r="E186" s="232"/>
      <c r="F186" s="232"/>
      <c r="G186" s="232"/>
      <c r="H186" s="232"/>
      <c r="I186" s="232"/>
      <c r="J186" s="232"/>
      <c r="K186" s="232"/>
      <c r="L186" s="232"/>
      <c r="M186" s="232"/>
      <c r="N186" s="232"/>
      <c r="O186" s="232"/>
      <c r="P186" s="232"/>
      <c r="Q186" s="232"/>
      <c r="R186" s="232"/>
      <c r="S186" s="232"/>
      <c r="T186" s="232"/>
      <c r="U186" s="232"/>
      <c r="V186" s="232"/>
      <c r="W186" s="232"/>
      <c r="X186" s="232"/>
      <c r="Y186" s="232"/>
      <c r="Z186" s="232"/>
      <c r="AA186" s="232"/>
      <c r="AB186" s="232"/>
      <c r="AC186" s="232"/>
      <c r="AD186" s="232"/>
      <c r="AE186" s="232"/>
      <c r="AF186" s="232"/>
      <c r="AG186" s="232"/>
      <c r="AH186" s="232"/>
      <c r="AI186" s="232"/>
      <c r="AJ186" s="232"/>
      <c r="AK186" s="232"/>
    </row>
    <row r="187" spans="2:37" s="187" customFormat="1" ht="68.25" customHeight="1">
      <c r="B187" s="566" t="s">
        <v>232</v>
      </c>
      <c r="C187" s="566"/>
      <c r="D187" s="566"/>
      <c r="E187" s="566"/>
      <c r="F187" s="566"/>
      <c r="G187" s="566"/>
      <c r="H187" s="566"/>
      <c r="I187" s="566"/>
      <c r="J187" s="566"/>
      <c r="K187" s="566"/>
      <c r="L187" s="566"/>
      <c r="M187" s="566"/>
      <c r="N187" s="566"/>
      <c r="O187" s="566"/>
      <c r="P187" s="566"/>
      <c r="Q187" s="566"/>
      <c r="R187" s="566"/>
      <c r="S187" s="566"/>
      <c r="T187" s="566"/>
      <c r="U187" s="566"/>
      <c r="V187" s="566"/>
      <c r="W187" s="566"/>
      <c r="X187" s="566"/>
      <c r="Y187" s="566"/>
      <c r="Z187" s="566"/>
      <c r="AA187" s="566"/>
      <c r="AB187" s="566"/>
      <c r="AC187" s="566"/>
      <c r="AD187" s="566"/>
      <c r="AE187" s="566"/>
      <c r="AF187" s="566"/>
      <c r="AG187" s="566"/>
      <c r="AH187" s="566"/>
      <c r="AI187" s="566"/>
      <c r="AJ187" s="566"/>
      <c r="AK187" s="566"/>
    </row>
    <row r="188" spans="2:37" s="187" customFormat="1" ht="10.199999999999999">
      <c r="B188" s="232"/>
      <c r="C188" s="232"/>
      <c r="D188" s="232"/>
      <c r="E188" s="232"/>
      <c r="F188" s="232"/>
      <c r="G188" s="232"/>
      <c r="H188" s="232"/>
      <c r="I188" s="232"/>
      <c r="J188" s="232"/>
      <c r="K188" s="232"/>
      <c r="L188" s="232"/>
      <c r="M188" s="232"/>
      <c r="N188" s="232"/>
      <c r="O188" s="232"/>
      <c r="P188" s="232"/>
      <c r="Q188" s="232"/>
      <c r="R188" s="232"/>
      <c r="S188" s="232"/>
      <c r="T188" s="232"/>
      <c r="U188" s="232"/>
      <c r="V188" s="232"/>
      <c r="W188" s="232"/>
      <c r="X188" s="232"/>
      <c r="Y188" s="232"/>
      <c r="Z188" s="232"/>
      <c r="AA188" s="232"/>
      <c r="AB188" s="232"/>
      <c r="AC188" s="232"/>
      <c r="AD188" s="232"/>
      <c r="AE188" s="232"/>
      <c r="AF188" s="232"/>
      <c r="AG188" s="232"/>
      <c r="AH188" s="232"/>
      <c r="AI188" s="232"/>
      <c r="AJ188" s="232"/>
      <c r="AK188" s="232"/>
    </row>
    <row r="189" spans="2:37" s="187" customFormat="1" ht="78.75" customHeight="1">
      <c r="B189" s="566" t="s">
        <v>233</v>
      </c>
      <c r="C189" s="566"/>
      <c r="D189" s="566"/>
      <c r="E189" s="566"/>
      <c r="F189" s="566"/>
      <c r="G189" s="566"/>
      <c r="H189" s="566"/>
      <c r="I189" s="566"/>
      <c r="J189" s="566"/>
      <c r="K189" s="566"/>
      <c r="L189" s="566"/>
      <c r="M189" s="566"/>
      <c r="N189" s="566"/>
      <c r="O189" s="566"/>
      <c r="P189" s="566"/>
      <c r="Q189" s="566"/>
      <c r="R189" s="566"/>
      <c r="S189" s="566"/>
      <c r="T189" s="566"/>
      <c r="U189" s="566"/>
      <c r="V189" s="566"/>
      <c r="W189" s="566"/>
      <c r="X189" s="566"/>
      <c r="Y189" s="566"/>
      <c r="Z189" s="566"/>
      <c r="AA189" s="566"/>
      <c r="AB189" s="566"/>
      <c r="AC189" s="566"/>
      <c r="AD189" s="566"/>
      <c r="AE189" s="566"/>
      <c r="AF189" s="566"/>
      <c r="AG189" s="566"/>
      <c r="AH189" s="566"/>
      <c r="AI189" s="566"/>
      <c r="AJ189" s="566"/>
      <c r="AK189" s="566"/>
    </row>
    <row r="190" spans="2:37" s="187" customFormat="1" ht="58.5" customHeight="1">
      <c r="B190" s="562" t="s">
        <v>234</v>
      </c>
      <c r="C190" s="562"/>
      <c r="D190" s="562"/>
      <c r="E190" s="562"/>
      <c r="F190" s="562"/>
      <c r="G190" s="562"/>
      <c r="H190" s="562"/>
      <c r="I190" s="562"/>
      <c r="J190" s="562"/>
      <c r="K190" s="562"/>
      <c r="L190" s="562"/>
      <c r="M190" s="562"/>
      <c r="N190" s="562"/>
      <c r="O190" s="562"/>
      <c r="P190" s="562"/>
      <c r="Q190" s="562"/>
      <c r="R190" s="562"/>
      <c r="S190" s="562"/>
      <c r="T190" s="562"/>
      <c r="U190" s="562"/>
      <c r="V190" s="562"/>
      <c r="W190" s="562"/>
      <c r="X190" s="562"/>
      <c r="Y190" s="562"/>
      <c r="Z190" s="562"/>
      <c r="AA190" s="562"/>
      <c r="AB190" s="562"/>
      <c r="AC190" s="562"/>
      <c r="AD190" s="562"/>
      <c r="AE190" s="562"/>
      <c r="AF190" s="562"/>
      <c r="AG190" s="562"/>
      <c r="AH190" s="562"/>
      <c r="AI190" s="562"/>
      <c r="AJ190" s="562"/>
      <c r="AK190" s="562"/>
    </row>
    <row r="191" spans="2:37" s="187" customFormat="1" ht="10.199999999999999">
      <c r="B191" s="562"/>
      <c r="C191" s="562"/>
      <c r="D191" s="562"/>
      <c r="E191" s="562"/>
      <c r="F191" s="562"/>
      <c r="G191" s="562"/>
      <c r="H191" s="562"/>
      <c r="I191" s="562"/>
      <c r="J191" s="562"/>
      <c r="K191" s="562"/>
      <c r="L191" s="562"/>
      <c r="M191" s="562"/>
      <c r="N191" s="562"/>
      <c r="O191" s="562"/>
      <c r="P191" s="562"/>
      <c r="Q191" s="562"/>
      <c r="R191" s="562"/>
      <c r="S191" s="562"/>
      <c r="T191" s="562"/>
      <c r="U191" s="562"/>
      <c r="V191" s="562"/>
      <c r="W191" s="562"/>
      <c r="X191" s="562"/>
      <c r="Y191" s="562"/>
      <c r="Z191" s="562"/>
      <c r="AA191" s="562"/>
      <c r="AB191" s="562"/>
      <c r="AC191" s="562"/>
      <c r="AD191" s="562"/>
      <c r="AE191" s="562"/>
      <c r="AF191" s="562"/>
      <c r="AG191" s="562"/>
      <c r="AH191" s="562"/>
      <c r="AI191" s="562"/>
      <c r="AJ191" s="562"/>
      <c r="AK191" s="562"/>
    </row>
    <row r="192" spans="2:37" s="187" customFormat="1" ht="25.5" customHeight="1">
      <c r="B192" s="562" t="s">
        <v>235</v>
      </c>
      <c r="C192" s="562"/>
      <c r="D192" s="562"/>
      <c r="E192" s="562"/>
      <c r="F192" s="562"/>
      <c r="G192" s="562"/>
      <c r="H192" s="562"/>
      <c r="I192" s="562"/>
      <c r="J192" s="562"/>
      <c r="K192" s="562"/>
      <c r="L192" s="562"/>
      <c r="M192" s="562"/>
      <c r="N192" s="562"/>
      <c r="O192" s="562"/>
      <c r="P192" s="562"/>
      <c r="Q192" s="562"/>
      <c r="R192" s="562"/>
      <c r="S192" s="562"/>
      <c r="T192" s="562"/>
      <c r="U192" s="562"/>
      <c r="V192" s="562"/>
      <c r="W192" s="562"/>
      <c r="X192" s="562"/>
      <c r="Y192" s="562"/>
      <c r="Z192" s="562"/>
      <c r="AA192" s="562"/>
      <c r="AB192" s="562"/>
      <c r="AC192" s="562"/>
      <c r="AD192" s="562"/>
      <c r="AE192" s="562"/>
      <c r="AF192" s="562"/>
      <c r="AG192" s="562"/>
      <c r="AH192" s="562"/>
      <c r="AI192" s="562"/>
      <c r="AJ192" s="562"/>
      <c r="AK192" s="562"/>
    </row>
    <row r="193" spans="2:37" s="187" customFormat="1" ht="10.199999999999999">
      <c r="B193" s="232"/>
      <c r="C193" s="232"/>
      <c r="D193" s="232"/>
      <c r="E193" s="232"/>
      <c r="F193" s="232"/>
      <c r="G193" s="232"/>
      <c r="H193" s="232"/>
      <c r="I193" s="232"/>
      <c r="J193" s="232"/>
      <c r="K193" s="232"/>
      <c r="L193" s="232"/>
      <c r="M193" s="232"/>
      <c r="N193" s="232"/>
      <c r="O193" s="232"/>
      <c r="P193" s="232"/>
      <c r="Q193" s="232"/>
      <c r="R193" s="232"/>
      <c r="S193" s="232"/>
      <c r="T193" s="232"/>
      <c r="U193" s="232"/>
      <c r="V193" s="232"/>
      <c r="W193" s="232"/>
      <c r="X193" s="232"/>
      <c r="Y193" s="232"/>
      <c r="Z193" s="232"/>
      <c r="AA193" s="232"/>
      <c r="AB193" s="232"/>
      <c r="AC193" s="232"/>
      <c r="AD193" s="232"/>
      <c r="AE193" s="232"/>
      <c r="AF193" s="232"/>
      <c r="AG193" s="232"/>
      <c r="AH193" s="232"/>
      <c r="AI193" s="232"/>
      <c r="AJ193" s="232"/>
      <c r="AK193" s="232"/>
    </row>
    <row r="194" spans="2:37" s="187" customFormat="1" ht="250.5" customHeight="1">
      <c r="B194" s="566" t="s">
        <v>236</v>
      </c>
      <c r="C194" s="566"/>
      <c r="D194" s="566"/>
      <c r="E194" s="566"/>
      <c r="F194" s="566"/>
      <c r="G194" s="566"/>
      <c r="H194" s="566"/>
      <c r="I194" s="566"/>
      <c r="J194" s="566"/>
      <c r="K194" s="566"/>
      <c r="L194" s="566"/>
      <c r="M194" s="566"/>
      <c r="N194" s="566"/>
      <c r="O194" s="566"/>
      <c r="P194" s="566"/>
      <c r="Q194" s="566"/>
      <c r="R194" s="566"/>
      <c r="S194" s="566"/>
      <c r="T194" s="566"/>
      <c r="U194" s="566"/>
      <c r="V194" s="566"/>
      <c r="W194" s="566"/>
      <c r="X194" s="566"/>
      <c r="Y194" s="566"/>
      <c r="Z194" s="566"/>
      <c r="AA194" s="566"/>
      <c r="AB194" s="566"/>
      <c r="AC194" s="566"/>
      <c r="AD194" s="566"/>
      <c r="AE194" s="566"/>
      <c r="AF194" s="566"/>
      <c r="AG194" s="566"/>
      <c r="AH194" s="566"/>
      <c r="AI194" s="566"/>
      <c r="AJ194" s="566"/>
      <c r="AK194" s="566"/>
    </row>
    <row r="195" spans="2:37" s="187" customFormat="1" ht="10.199999999999999">
      <c r="B195" s="562"/>
      <c r="C195" s="562"/>
      <c r="D195" s="562"/>
      <c r="E195" s="562"/>
      <c r="F195" s="562"/>
      <c r="G195" s="562"/>
      <c r="H195" s="562"/>
      <c r="I195" s="562"/>
      <c r="J195" s="562"/>
      <c r="K195" s="562"/>
      <c r="L195" s="562"/>
      <c r="M195" s="562"/>
      <c r="N195" s="562"/>
      <c r="O195" s="562"/>
      <c r="P195" s="562"/>
      <c r="Q195" s="562"/>
      <c r="R195" s="562"/>
      <c r="S195" s="562"/>
      <c r="T195" s="562"/>
      <c r="U195" s="562"/>
      <c r="V195" s="562"/>
      <c r="W195" s="562"/>
      <c r="X195" s="562"/>
      <c r="Y195" s="562"/>
      <c r="Z195" s="562"/>
      <c r="AA195" s="562"/>
      <c r="AB195" s="562"/>
      <c r="AC195" s="562"/>
      <c r="AD195" s="562"/>
      <c r="AE195" s="562"/>
      <c r="AF195" s="562"/>
      <c r="AG195" s="562"/>
      <c r="AH195" s="562"/>
      <c r="AI195" s="562"/>
      <c r="AJ195" s="562"/>
      <c r="AK195" s="562"/>
    </row>
    <row r="196" spans="2:37" s="187" customFormat="1" ht="10.199999999999999">
      <c r="B196" s="232"/>
      <c r="C196" s="232"/>
      <c r="D196" s="232"/>
      <c r="E196" s="232"/>
      <c r="F196" s="232"/>
      <c r="G196" s="232"/>
      <c r="H196" s="232"/>
      <c r="I196" s="232"/>
      <c r="J196" s="232"/>
      <c r="K196" s="232"/>
      <c r="L196" s="232"/>
      <c r="M196" s="232"/>
      <c r="N196" s="232"/>
      <c r="O196" s="232"/>
      <c r="P196" s="232"/>
      <c r="Q196" s="232"/>
      <c r="R196" s="232"/>
      <c r="S196" s="232"/>
      <c r="T196" s="232"/>
      <c r="U196" s="232"/>
      <c r="V196" s="232"/>
      <c r="W196" s="232"/>
      <c r="X196" s="232"/>
      <c r="Y196" s="232"/>
      <c r="Z196" s="232"/>
      <c r="AA196" s="232"/>
      <c r="AB196" s="232"/>
      <c r="AC196" s="232"/>
      <c r="AD196" s="232"/>
      <c r="AE196" s="232"/>
      <c r="AF196" s="232"/>
      <c r="AG196" s="232"/>
      <c r="AH196" s="232"/>
      <c r="AI196" s="232"/>
      <c r="AJ196" s="232"/>
      <c r="AK196" s="232"/>
    </row>
    <row r="197" spans="2:37" s="187" customFormat="1" ht="69.75" customHeight="1">
      <c r="B197" s="566" t="s">
        <v>237</v>
      </c>
      <c r="C197" s="566"/>
      <c r="D197" s="566"/>
      <c r="E197" s="566"/>
      <c r="F197" s="566"/>
      <c r="G197" s="566"/>
      <c r="H197" s="566"/>
      <c r="I197" s="566"/>
      <c r="J197" s="566"/>
      <c r="K197" s="566"/>
      <c r="L197" s="566"/>
      <c r="M197" s="566"/>
      <c r="N197" s="566"/>
      <c r="O197" s="566"/>
      <c r="P197" s="566"/>
      <c r="Q197" s="566"/>
      <c r="R197" s="566"/>
      <c r="S197" s="566"/>
      <c r="T197" s="566"/>
      <c r="U197" s="566"/>
      <c r="V197" s="566"/>
      <c r="W197" s="566"/>
      <c r="X197" s="566"/>
      <c r="Y197" s="566"/>
      <c r="Z197" s="566"/>
      <c r="AA197" s="566"/>
      <c r="AB197" s="566"/>
      <c r="AC197" s="566"/>
      <c r="AD197" s="566"/>
      <c r="AE197" s="566"/>
      <c r="AF197" s="566"/>
      <c r="AG197" s="566"/>
      <c r="AH197" s="566"/>
      <c r="AI197" s="566"/>
      <c r="AJ197" s="566"/>
      <c r="AK197" s="566"/>
    </row>
    <row r="198" spans="2:37" s="187" customFormat="1" ht="10.199999999999999">
      <c r="B198" s="232"/>
      <c r="C198" s="232"/>
      <c r="D198" s="232"/>
      <c r="E198" s="232"/>
      <c r="F198" s="232"/>
      <c r="G198" s="232"/>
      <c r="H198" s="232"/>
      <c r="I198" s="232"/>
      <c r="J198" s="232"/>
      <c r="K198" s="232"/>
      <c r="L198" s="232"/>
      <c r="M198" s="232"/>
      <c r="N198" s="232"/>
      <c r="O198" s="232"/>
      <c r="P198" s="232"/>
      <c r="Q198" s="232"/>
      <c r="R198" s="232"/>
      <c r="S198" s="232"/>
      <c r="T198" s="232"/>
      <c r="U198" s="232"/>
      <c r="V198" s="232"/>
      <c r="W198" s="232"/>
      <c r="X198" s="232"/>
      <c r="Y198" s="232"/>
      <c r="Z198" s="232"/>
      <c r="AA198" s="232"/>
      <c r="AB198" s="232"/>
      <c r="AC198" s="232"/>
      <c r="AD198" s="232"/>
      <c r="AE198" s="232"/>
      <c r="AF198" s="232"/>
      <c r="AG198" s="232"/>
      <c r="AH198" s="232"/>
      <c r="AI198" s="232"/>
      <c r="AJ198" s="232"/>
      <c r="AK198" s="232"/>
    </row>
    <row r="199" spans="2:37" s="187" customFormat="1" ht="354.75" customHeight="1">
      <c r="B199" s="566" t="s">
        <v>238</v>
      </c>
      <c r="C199" s="566"/>
      <c r="D199" s="566"/>
      <c r="E199" s="566"/>
      <c r="F199" s="566"/>
      <c r="G199" s="566"/>
      <c r="H199" s="566"/>
      <c r="I199" s="566"/>
      <c r="J199" s="566"/>
      <c r="K199" s="566"/>
      <c r="L199" s="566"/>
      <c r="M199" s="566"/>
      <c r="N199" s="566"/>
      <c r="O199" s="566"/>
      <c r="P199" s="566"/>
      <c r="Q199" s="566"/>
      <c r="R199" s="566"/>
      <c r="S199" s="566"/>
      <c r="T199" s="566"/>
      <c r="U199" s="566"/>
      <c r="V199" s="566"/>
      <c r="W199" s="566"/>
      <c r="X199" s="566"/>
      <c r="Y199" s="566"/>
      <c r="Z199" s="566"/>
      <c r="AA199" s="566"/>
      <c r="AB199" s="566"/>
      <c r="AC199" s="566"/>
      <c r="AD199" s="566"/>
      <c r="AE199" s="566"/>
      <c r="AF199" s="566"/>
      <c r="AG199" s="566"/>
      <c r="AH199" s="566"/>
      <c r="AI199" s="566"/>
      <c r="AJ199" s="566"/>
      <c r="AK199" s="566"/>
    </row>
    <row r="200" spans="2:37" s="187" customFormat="1" ht="10.199999999999999">
      <c r="B200" s="232"/>
      <c r="C200" s="232"/>
      <c r="D200" s="232"/>
      <c r="E200" s="232"/>
      <c r="F200" s="232"/>
      <c r="G200" s="232"/>
      <c r="H200" s="232"/>
      <c r="I200" s="232"/>
      <c r="J200" s="232"/>
      <c r="K200" s="232"/>
      <c r="L200" s="232"/>
      <c r="M200" s="232"/>
      <c r="N200" s="232"/>
      <c r="O200" s="232"/>
      <c r="P200" s="232"/>
      <c r="Q200" s="232"/>
      <c r="R200" s="232"/>
      <c r="S200" s="232"/>
      <c r="T200" s="232"/>
      <c r="U200" s="232"/>
      <c r="V200" s="232"/>
      <c r="W200" s="232"/>
      <c r="X200" s="232"/>
      <c r="Y200" s="232"/>
      <c r="Z200" s="232"/>
      <c r="AA200" s="232"/>
      <c r="AB200" s="232"/>
      <c r="AC200" s="232"/>
      <c r="AD200" s="232"/>
      <c r="AE200" s="232"/>
      <c r="AF200" s="232"/>
      <c r="AG200" s="232"/>
      <c r="AH200" s="232"/>
      <c r="AI200" s="232"/>
      <c r="AJ200" s="232"/>
      <c r="AK200" s="232"/>
    </row>
    <row r="201" spans="2:37" s="187" customFormat="1" ht="24.75" customHeight="1">
      <c r="B201" s="566" t="s">
        <v>239</v>
      </c>
      <c r="C201" s="566"/>
      <c r="D201" s="566"/>
      <c r="E201" s="566"/>
      <c r="F201" s="566"/>
      <c r="G201" s="566"/>
      <c r="H201" s="566"/>
      <c r="I201" s="566"/>
      <c r="J201" s="566"/>
      <c r="K201" s="566"/>
      <c r="L201" s="566"/>
      <c r="M201" s="566"/>
      <c r="N201" s="566"/>
      <c r="O201" s="566"/>
      <c r="P201" s="566"/>
      <c r="Q201" s="566"/>
      <c r="R201" s="566"/>
      <c r="S201" s="566"/>
      <c r="T201" s="566"/>
      <c r="U201" s="566"/>
      <c r="V201" s="566"/>
      <c r="W201" s="566"/>
      <c r="X201" s="566"/>
      <c r="Y201" s="566"/>
      <c r="Z201" s="566"/>
      <c r="AA201" s="566"/>
      <c r="AB201" s="566"/>
      <c r="AC201" s="566"/>
      <c r="AD201" s="566"/>
      <c r="AE201" s="566"/>
      <c r="AF201" s="566"/>
      <c r="AG201" s="566"/>
      <c r="AH201" s="566"/>
      <c r="AI201" s="566"/>
      <c r="AJ201" s="566"/>
      <c r="AK201" s="566"/>
    </row>
    <row r="202" spans="2:37" s="187" customFormat="1" ht="10.199999999999999">
      <c r="B202" s="232"/>
      <c r="C202" s="232"/>
      <c r="D202" s="232"/>
      <c r="E202" s="232"/>
      <c r="F202" s="232"/>
      <c r="G202" s="232"/>
      <c r="H202" s="232"/>
      <c r="I202" s="232"/>
      <c r="J202" s="232"/>
      <c r="K202" s="232"/>
      <c r="L202" s="232"/>
      <c r="M202" s="232"/>
      <c r="N202" s="232"/>
      <c r="O202" s="232"/>
      <c r="P202" s="232"/>
      <c r="Q202" s="232"/>
      <c r="R202" s="232"/>
      <c r="S202" s="232"/>
      <c r="T202" s="232"/>
      <c r="U202" s="232"/>
      <c r="V202" s="232"/>
      <c r="W202" s="232"/>
      <c r="X202" s="232"/>
      <c r="Y202" s="232"/>
      <c r="Z202" s="232"/>
      <c r="AA202" s="232"/>
      <c r="AB202" s="232"/>
      <c r="AC202" s="232"/>
      <c r="AD202" s="232"/>
      <c r="AE202" s="232"/>
      <c r="AF202" s="232"/>
      <c r="AG202" s="232"/>
      <c r="AH202" s="232"/>
      <c r="AI202" s="232"/>
      <c r="AJ202" s="232"/>
      <c r="AK202" s="232"/>
    </row>
    <row r="203" spans="2:37" s="187" customFormat="1" ht="33" customHeight="1">
      <c r="B203" s="566" t="s">
        <v>240</v>
      </c>
      <c r="C203" s="566"/>
      <c r="D203" s="566"/>
      <c r="E203" s="566"/>
      <c r="F203" s="566"/>
      <c r="G203" s="566"/>
      <c r="H203" s="566"/>
      <c r="I203" s="566"/>
      <c r="J203" s="566"/>
      <c r="K203" s="566"/>
      <c r="L203" s="566"/>
      <c r="M203" s="566"/>
      <c r="N203" s="566"/>
      <c r="O203" s="566"/>
      <c r="P203" s="566"/>
      <c r="Q203" s="566"/>
      <c r="R203" s="566"/>
      <c r="S203" s="566"/>
      <c r="T203" s="566"/>
      <c r="U203" s="566"/>
      <c r="V203" s="566"/>
      <c r="W203" s="566"/>
      <c r="X203" s="566"/>
      <c r="Y203" s="566"/>
      <c r="Z203" s="566"/>
      <c r="AA203" s="566"/>
      <c r="AB203" s="566"/>
      <c r="AC203" s="566"/>
      <c r="AD203" s="566"/>
      <c r="AE203" s="566"/>
      <c r="AF203" s="566"/>
      <c r="AG203" s="566"/>
      <c r="AH203" s="566"/>
      <c r="AI203" s="566"/>
      <c r="AJ203" s="566"/>
      <c r="AK203" s="566"/>
    </row>
    <row r="204" spans="2:37" s="187" customFormat="1" ht="10.199999999999999">
      <c r="B204" s="232"/>
      <c r="C204" s="232"/>
      <c r="D204" s="232"/>
      <c r="E204" s="232"/>
      <c r="F204" s="232"/>
      <c r="G204" s="232"/>
      <c r="H204" s="232"/>
      <c r="I204" s="232"/>
      <c r="J204" s="232"/>
      <c r="K204" s="232"/>
      <c r="L204" s="232"/>
      <c r="M204" s="232"/>
      <c r="N204" s="232"/>
      <c r="O204" s="232"/>
      <c r="P204" s="232"/>
      <c r="Q204" s="232"/>
      <c r="R204" s="232"/>
      <c r="S204" s="232"/>
      <c r="T204" s="232"/>
      <c r="U204" s="232"/>
      <c r="V204" s="232"/>
      <c r="W204" s="232"/>
      <c r="X204" s="232"/>
      <c r="Y204" s="232"/>
      <c r="Z204" s="232"/>
      <c r="AA204" s="232"/>
      <c r="AB204" s="232"/>
      <c r="AC204" s="232"/>
      <c r="AD204" s="232"/>
      <c r="AE204" s="232"/>
      <c r="AF204" s="232"/>
      <c r="AG204" s="232"/>
      <c r="AH204" s="232"/>
      <c r="AI204" s="232"/>
      <c r="AJ204" s="232"/>
      <c r="AK204" s="232"/>
    </row>
    <row r="205" spans="2:37" s="187" customFormat="1" ht="45.75" customHeight="1">
      <c r="B205" s="566" t="s">
        <v>241</v>
      </c>
      <c r="C205" s="566"/>
      <c r="D205" s="566"/>
      <c r="E205" s="566"/>
      <c r="F205" s="566"/>
      <c r="G205" s="566"/>
      <c r="H205" s="566"/>
      <c r="I205" s="566"/>
      <c r="J205" s="566"/>
      <c r="K205" s="566"/>
      <c r="L205" s="566"/>
      <c r="M205" s="566"/>
      <c r="N205" s="566"/>
      <c r="O205" s="566"/>
      <c r="P205" s="566"/>
      <c r="Q205" s="566"/>
      <c r="R205" s="566"/>
      <c r="S205" s="566"/>
      <c r="T205" s="566"/>
      <c r="U205" s="566"/>
      <c r="V205" s="566"/>
      <c r="W205" s="566"/>
      <c r="X205" s="566"/>
      <c r="Y205" s="566"/>
      <c r="Z205" s="566"/>
      <c r="AA205" s="566"/>
      <c r="AB205" s="566"/>
      <c r="AC205" s="566"/>
      <c r="AD205" s="566"/>
      <c r="AE205" s="566"/>
      <c r="AF205" s="566"/>
      <c r="AG205" s="566"/>
      <c r="AH205" s="566"/>
      <c r="AI205" s="566"/>
      <c r="AJ205" s="566"/>
      <c r="AK205" s="566"/>
    </row>
    <row r="206" spans="2:37" s="187" customFormat="1" ht="10.199999999999999">
      <c r="B206" s="232"/>
      <c r="C206" s="232"/>
      <c r="D206" s="232"/>
      <c r="E206" s="232"/>
      <c r="F206" s="232"/>
      <c r="G206" s="232"/>
      <c r="H206" s="232"/>
      <c r="I206" s="232"/>
      <c r="J206" s="232"/>
      <c r="K206" s="232"/>
      <c r="L206" s="232"/>
      <c r="M206" s="232"/>
      <c r="N206" s="232"/>
      <c r="O206" s="232"/>
      <c r="P206" s="232"/>
      <c r="Q206" s="232"/>
      <c r="R206" s="232"/>
      <c r="S206" s="232"/>
      <c r="T206" s="232"/>
      <c r="U206" s="232"/>
      <c r="V206" s="232"/>
      <c r="W206" s="232"/>
      <c r="X206" s="232"/>
      <c r="Y206" s="232"/>
      <c r="Z206" s="232"/>
      <c r="AA206" s="232"/>
      <c r="AB206" s="232"/>
      <c r="AC206" s="232"/>
      <c r="AD206" s="232"/>
      <c r="AE206" s="232"/>
      <c r="AF206" s="232"/>
      <c r="AG206" s="232"/>
      <c r="AH206" s="232"/>
      <c r="AI206" s="232"/>
      <c r="AJ206" s="232"/>
      <c r="AK206" s="232"/>
    </row>
    <row r="207" spans="2:37" s="187" customFormat="1" ht="30" customHeight="1">
      <c r="B207" s="566" t="s">
        <v>242</v>
      </c>
      <c r="C207" s="566"/>
      <c r="D207" s="566"/>
      <c r="E207" s="566"/>
      <c r="F207" s="566"/>
      <c r="G207" s="566"/>
      <c r="H207" s="566"/>
      <c r="I207" s="566"/>
      <c r="J207" s="566"/>
      <c r="K207" s="566"/>
      <c r="L207" s="566"/>
      <c r="M207" s="566"/>
      <c r="N207" s="566"/>
      <c r="O207" s="566"/>
      <c r="P207" s="566"/>
      <c r="Q207" s="566"/>
      <c r="R207" s="566"/>
      <c r="S207" s="566"/>
      <c r="T207" s="566"/>
      <c r="U207" s="566"/>
      <c r="V207" s="566"/>
      <c r="W207" s="566"/>
      <c r="X207" s="566"/>
      <c r="Y207" s="566"/>
      <c r="Z207" s="566"/>
      <c r="AA207" s="566"/>
      <c r="AB207" s="566"/>
      <c r="AC207" s="566"/>
      <c r="AD207" s="566"/>
      <c r="AE207" s="566"/>
      <c r="AF207" s="566"/>
      <c r="AG207" s="566"/>
      <c r="AH207" s="566"/>
      <c r="AI207" s="566"/>
      <c r="AJ207" s="566"/>
      <c r="AK207" s="566"/>
    </row>
    <row r="208" spans="2:37" s="187" customFormat="1" ht="10.199999999999999">
      <c r="B208" s="232"/>
      <c r="C208" s="232"/>
      <c r="D208" s="232"/>
      <c r="E208" s="232"/>
      <c r="F208" s="232"/>
      <c r="G208" s="232"/>
      <c r="H208" s="232"/>
      <c r="I208" s="232"/>
      <c r="J208" s="232"/>
      <c r="K208" s="232"/>
      <c r="L208" s="232"/>
      <c r="M208" s="232"/>
      <c r="N208" s="232"/>
      <c r="O208" s="232"/>
      <c r="P208" s="232"/>
      <c r="Q208" s="232"/>
      <c r="R208" s="232"/>
      <c r="S208" s="232"/>
      <c r="T208" s="232"/>
      <c r="U208" s="232"/>
      <c r="V208" s="232"/>
      <c r="W208" s="232"/>
      <c r="X208" s="232"/>
      <c r="Y208" s="232"/>
      <c r="Z208" s="232"/>
      <c r="AA208" s="232"/>
      <c r="AB208" s="232"/>
      <c r="AC208" s="232"/>
      <c r="AD208" s="232"/>
      <c r="AE208" s="232"/>
      <c r="AF208" s="232"/>
      <c r="AG208" s="232"/>
      <c r="AH208" s="232"/>
      <c r="AI208" s="232"/>
      <c r="AJ208" s="232"/>
      <c r="AK208" s="232"/>
    </row>
    <row r="209" spans="2:37" s="187" customFormat="1" ht="36" customHeight="1">
      <c r="B209" s="566" t="s">
        <v>243</v>
      </c>
      <c r="C209" s="566"/>
      <c r="D209" s="566"/>
      <c r="E209" s="566"/>
      <c r="F209" s="566"/>
      <c r="G209" s="566"/>
      <c r="H209" s="566"/>
      <c r="I209" s="566"/>
      <c r="J209" s="566"/>
      <c r="K209" s="566"/>
      <c r="L209" s="566"/>
      <c r="M209" s="566"/>
      <c r="N209" s="566"/>
      <c r="O209" s="566"/>
      <c r="P209" s="566"/>
      <c r="Q209" s="566"/>
      <c r="R209" s="566"/>
      <c r="S209" s="566"/>
      <c r="T209" s="566"/>
      <c r="U209" s="566"/>
      <c r="V209" s="566"/>
      <c r="W209" s="566"/>
      <c r="X209" s="566"/>
      <c r="Y209" s="566"/>
      <c r="Z209" s="566"/>
      <c r="AA209" s="566"/>
      <c r="AB209" s="566"/>
      <c r="AC209" s="566"/>
      <c r="AD209" s="566"/>
      <c r="AE209" s="566"/>
      <c r="AF209" s="566"/>
      <c r="AG209" s="566"/>
      <c r="AH209" s="566"/>
      <c r="AI209" s="566"/>
      <c r="AJ209" s="566"/>
      <c r="AK209" s="566"/>
    </row>
    <row r="210" spans="2:37" s="187" customFormat="1" ht="10.199999999999999">
      <c r="B210" s="232"/>
      <c r="C210" s="232"/>
      <c r="D210" s="232"/>
      <c r="E210" s="232"/>
      <c r="F210" s="232"/>
      <c r="G210" s="232"/>
      <c r="H210" s="232"/>
      <c r="I210" s="232"/>
      <c r="J210" s="232"/>
      <c r="K210" s="232"/>
      <c r="L210" s="232"/>
      <c r="M210" s="232"/>
      <c r="N210" s="232"/>
      <c r="O210" s="232"/>
      <c r="P210" s="232"/>
      <c r="Q210" s="232"/>
      <c r="R210" s="232"/>
      <c r="S210" s="232"/>
      <c r="T210" s="232"/>
      <c r="U210" s="232"/>
      <c r="V210" s="232"/>
      <c r="W210" s="232"/>
      <c r="X210" s="232"/>
      <c r="Y210" s="232"/>
      <c r="Z210" s="232"/>
      <c r="AA210" s="232"/>
      <c r="AB210" s="232"/>
      <c r="AC210" s="232"/>
      <c r="AD210" s="232"/>
      <c r="AE210" s="232"/>
      <c r="AF210" s="232"/>
      <c r="AG210" s="232"/>
      <c r="AH210" s="232"/>
      <c r="AI210" s="232"/>
      <c r="AJ210" s="232"/>
      <c r="AK210" s="232"/>
    </row>
    <row r="211" spans="2:37" s="187" customFormat="1" ht="34.5" customHeight="1">
      <c r="B211" s="566" t="s">
        <v>244</v>
      </c>
      <c r="C211" s="566"/>
      <c r="D211" s="566"/>
      <c r="E211" s="566"/>
      <c r="F211" s="566"/>
      <c r="G211" s="566"/>
      <c r="H211" s="566"/>
      <c r="I211" s="566"/>
      <c r="J211" s="566"/>
      <c r="K211" s="566"/>
      <c r="L211" s="566"/>
      <c r="M211" s="566"/>
      <c r="N211" s="566"/>
      <c r="O211" s="566"/>
      <c r="P211" s="566"/>
      <c r="Q211" s="566"/>
      <c r="R211" s="566"/>
      <c r="S211" s="566"/>
      <c r="T211" s="566"/>
      <c r="U211" s="566"/>
      <c r="V211" s="566"/>
      <c r="W211" s="566"/>
      <c r="X211" s="566"/>
      <c r="Y211" s="566"/>
      <c r="Z211" s="566"/>
      <c r="AA211" s="566"/>
      <c r="AB211" s="566"/>
      <c r="AC211" s="566"/>
      <c r="AD211" s="566"/>
      <c r="AE211" s="566"/>
      <c r="AF211" s="566"/>
      <c r="AG211" s="566"/>
      <c r="AH211" s="566"/>
      <c r="AI211" s="566"/>
      <c r="AJ211" s="566"/>
      <c r="AK211" s="566"/>
    </row>
    <row r="212" spans="2:37" s="187" customFormat="1" ht="10.199999999999999">
      <c r="B212" s="232"/>
      <c r="C212" s="232"/>
      <c r="D212" s="232"/>
      <c r="E212" s="232"/>
      <c r="F212" s="232"/>
      <c r="G212" s="232"/>
      <c r="H212" s="232"/>
      <c r="I212" s="232"/>
      <c r="J212" s="232"/>
      <c r="K212" s="232"/>
      <c r="L212" s="232"/>
      <c r="M212" s="232"/>
      <c r="N212" s="232"/>
      <c r="O212" s="232"/>
      <c r="P212" s="232"/>
      <c r="Q212" s="232"/>
      <c r="R212" s="232"/>
      <c r="S212" s="232"/>
      <c r="T212" s="232"/>
      <c r="U212" s="232"/>
      <c r="V212" s="232"/>
      <c r="W212" s="232"/>
      <c r="X212" s="232"/>
      <c r="Y212" s="232"/>
      <c r="Z212" s="232"/>
      <c r="AA212" s="232"/>
      <c r="AB212" s="232"/>
      <c r="AC212" s="232"/>
      <c r="AD212" s="232"/>
      <c r="AE212" s="232"/>
      <c r="AF212" s="232"/>
      <c r="AG212" s="232"/>
      <c r="AH212" s="232"/>
      <c r="AI212" s="232"/>
      <c r="AJ212" s="232"/>
      <c r="AK212" s="232"/>
    </row>
    <row r="213" spans="2:37" s="187" customFormat="1" ht="60" customHeight="1">
      <c r="B213" s="566" t="s">
        <v>245</v>
      </c>
      <c r="C213" s="566"/>
      <c r="D213" s="566"/>
      <c r="E213" s="566"/>
      <c r="F213" s="566"/>
      <c r="G213" s="566"/>
      <c r="H213" s="566"/>
      <c r="I213" s="566"/>
      <c r="J213" s="566"/>
      <c r="K213" s="566"/>
      <c r="L213" s="566"/>
      <c r="M213" s="566"/>
      <c r="N213" s="566"/>
      <c r="O213" s="566"/>
      <c r="P213" s="566"/>
      <c r="Q213" s="566"/>
      <c r="R213" s="566"/>
      <c r="S213" s="566"/>
      <c r="T213" s="566"/>
      <c r="U213" s="566"/>
      <c r="V213" s="566"/>
      <c r="W213" s="566"/>
      <c r="X213" s="566"/>
      <c r="Y213" s="566"/>
      <c r="Z213" s="566"/>
      <c r="AA213" s="566"/>
      <c r="AB213" s="566"/>
      <c r="AC213" s="566"/>
      <c r="AD213" s="566"/>
      <c r="AE213" s="566"/>
      <c r="AF213" s="566"/>
      <c r="AG213" s="566"/>
      <c r="AH213" s="566"/>
      <c r="AI213" s="566"/>
      <c r="AJ213" s="566"/>
      <c r="AK213" s="566"/>
    </row>
    <row r="214" spans="2:37" s="187" customFormat="1" ht="10.199999999999999">
      <c r="B214" s="232"/>
      <c r="C214" s="232"/>
      <c r="D214" s="232"/>
      <c r="E214" s="232"/>
      <c r="F214" s="232"/>
      <c r="G214" s="232"/>
      <c r="H214" s="232"/>
      <c r="I214" s="232"/>
      <c r="J214" s="232"/>
      <c r="K214" s="232"/>
      <c r="L214" s="232"/>
      <c r="M214" s="232"/>
      <c r="N214" s="232"/>
      <c r="O214" s="232"/>
      <c r="P214" s="232"/>
      <c r="Q214" s="232"/>
      <c r="R214" s="232"/>
      <c r="S214" s="232"/>
      <c r="T214" s="232"/>
      <c r="U214" s="232"/>
      <c r="V214" s="232"/>
      <c r="W214" s="232"/>
      <c r="X214" s="232"/>
      <c r="Y214" s="232"/>
      <c r="Z214" s="232"/>
      <c r="AA214" s="232"/>
      <c r="AB214" s="232"/>
      <c r="AC214" s="232"/>
      <c r="AD214" s="232"/>
      <c r="AE214" s="232"/>
      <c r="AF214" s="232"/>
      <c r="AG214" s="232"/>
      <c r="AH214" s="232"/>
      <c r="AI214" s="232"/>
      <c r="AJ214" s="232"/>
      <c r="AK214" s="232"/>
    </row>
    <row r="215" spans="2:37" s="187" customFormat="1" ht="36.75" customHeight="1">
      <c r="B215" s="566" t="s">
        <v>246</v>
      </c>
      <c r="C215" s="566"/>
      <c r="D215" s="566"/>
      <c r="E215" s="566"/>
      <c r="F215" s="566"/>
      <c r="G215" s="566"/>
      <c r="H215" s="566"/>
      <c r="I215" s="566"/>
      <c r="J215" s="566"/>
      <c r="K215" s="566"/>
      <c r="L215" s="566"/>
      <c r="M215" s="566"/>
      <c r="N215" s="566"/>
      <c r="O215" s="566"/>
      <c r="P215" s="566"/>
      <c r="Q215" s="566"/>
      <c r="R215" s="566"/>
      <c r="S215" s="566"/>
      <c r="T215" s="566"/>
      <c r="U215" s="566"/>
      <c r="V215" s="566"/>
      <c r="W215" s="566"/>
      <c r="X215" s="566"/>
      <c r="Y215" s="566"/>
      <c r="Z215" s="566"/>
      <c r="AA215" s="566"/>
      <c r="AB215" s="566"/>
      <c r="AC215" s="566"/>
      <c r="AD215" s="566"/>
      <c r="AE215" s="566"/>
      <c r="AF215" s="566"/>
      <c r="AG215" s="566"/>
      <c r="AH215" s="566"/>
      <c r="AI215" s="566"/>
      <c r="AJ215" s="566"/>
      <c r="AK215" s="566"/>
    </row>
    <row r="216" spans="2:37" s="187" customFormat="1" ht="10.199999999999999">
      <c r="B216" s="232"/>
      <c r="C216" s="232"/>
      <c r="D216" s="232"/>
      <c r="E216" s="232"/>
      <c r="F216" s="232"/>
      <c r="G216" s="232"/>
      <c r="H216" s="232"/>
      <c r="I216" s="232"/>
      <c r="J216" s="232"/>
      <c r="K216" s="232"/>
      <c r="L216" s="232"/>
      <c r="M216" s="232"/>
      <c r="N216" s="232"/>
      <c r="O216" s="232"/>
      <c r="P216" s="232"/>
      <c r="Q216" s="232"/>
      <c r="R216" s="232"/>
      <c r="S216" s="232"/>
      <c r="T216" s="232"/>
      <c r="U216" s="232"/>
      <c r="V216" s="232"/>
      <c r="W216" s="232"/>
      <c r="X216" s="232"/>
      <c r="Y216" s="232"/>
      <c r="Z216" s="232"/>
      <c r="AA216" s="232"/>
      <c r="AB216" s="232"/>
      <c r="AC216" s="232"/>
      <c r="AD216" s="232"/>
      <c r="AE216" s="232"/>
      <c r="AF216" s="232"/>
      <c r="AG216" s="232"/>
      <c r="AH216" s="232"/>
      <c r="AI216" s="232"/>
      <c r="AJ216" s="232"/>
      <c r="AK216" s="232"/>
    </row>
    <row r="217" spans="2:37" s="187" customFormat="1" ht="77.25" customHeight="1">
      <c r="B217" s="562" t="s">
        <v>247</v>
      </c>
      <c r="C217" s="562"/>
      <c r="D217" s="562"/>
      <c r="E217" s="562"/>
      <c r="F217" s="562"/>
      <c r="G217" s="562"/>
      <c r="H217" s="562"/>
      <c r="I217" s="562"/>
      <c r="J217" s="562"/>
      <c r="K217" s="562"/>
      <c r="L217" s="562"/>
      <c r="M217" s="562"/>
      <c r="N217" s="562"/>
      <c r="O217" s="562"/>
      <c r="P217" s="562"/>
      <c r="Q217" s="562"/>
      <c r="R217" s="562"/>
      <c r="S217" s="562"/>
      <c r="T217" s="562"/>
      <c r="U217" s="562"/>
      <c r="V217" s="562"/>
      <c r="W217" s="562"/>
      <c r="X217" s="562"/>
      <c r="Y217" s="562"/>
      <c r="Z217" s="562"/>
      <c r="AA217" s="562"/>
      <c r="AB217" s="562"/>
      <c r="AC217" s="562"/>
      <c r="AD217" s="562"/>
      <c r="AE217" s="562"/>
      <c r="AF217" s="562"/>
      <c r="AG217" s="562"/>
      <c r="AH217" s="562"/>
      <c r="AI217" s="562"/>
      <c r="AJ217" s="562"/>
      <c r="AK217" s="562"/>
    </row>
    <row r="218" spans="2:37" s="187" customFormat="1" ht="10.199999999999999">
      <c r="B218" s="232"/>
      <c r="C218" s="232"/>
      <c r="D218" s="232"/>
      <c r="E218" s="232"/>
      <c r="F218" s="232"/>
      <c r="G218" s="232"/>
      <c r="H218" s="232"/>
      <c r="I218" s="232"/>
      <c r="J218" s="232"/>
      <c r="K218" s="232"/>
      <c r="L218" s="232"/>
      <c r="M218" s="232"/>
      <c r="N218" s="232"/>
      <c r="O218" s="232"/>
      <c r="P218" s="232"/>
      <c r="Q218" s="232"/>
      <c r="R218" s="232"/>
      <c r="S218" s="232"/>
      <c r="T218" s="232"/>
      <c r="U218" s="232"/>
      <c r="V218" s="232"/>
      <c r="W218" s="232"/>
      <c r="X218" s="232"/>
      <c r="Y218" s="232"/>
      <c r="Z218" s="232"/>
      <c r="AA218" s="232"/>
      <c r="AB218" s="232"/>
      <c r="AC218" s="232"/>
      <c r="AD218" s="232"/>
      <c r="AE218" s="232"/>
      <c r="AF218" s="232"/>
      <c r="AG218" s="232"/>
      <c r="AH218" s="232"/>
      <c r="AI218" s="232"/>
      <c r="AJ218" s="232"/>
      <c r="AK218" s="232"/>
    </row>
    <row r="219" spans="2:37" s="187" customFormat="1" ht="58.5" customHeight="1">
      <c r="B219" s="562" t="s">
        <v>248</v>
      </c>
      <c r="C219" s="562"/>
      <c r="D219" s="562"/>
      <c r="E219" s="562"/>
      <c r="F219" s="562"/>
      <c r="G219" s="562"/>
      <c r="H219" s="562"/>
      <c r="I219" s="562"/>
      <c r="J219" s="562"/>
      <c r="K219" s="562"/>
      <c r="L219" s="562"/>
      <c r="M219" s="562"/>
      <c r="N219" s="562"/>
      <c r="O219" s="562"/>
      <c r="P219" s="562"/>
      <c r="Q219" s="562"/>
      <c r="R219" s="562"/>
      <c r="S219" s="562"/>
      <c r="T219" s="562"/>
      <c r="U219" s="562"/>
      <c r="V219" s="562"/>
      <c r="W219" s="562"/>
      <c r="X219" s="562"/>
      <c r="Y219" s="562"/>
      <c r="Z219" s="562"/>
      <c r="AA219" s="562"/>
      <c r="AB219" s="562"/>
      <c r="AC219" s="562"/>
      <c r="AD219" s="562"/>
      <c r="AE219" s="562"/>
      <c r="AF219" s="562"/>
      <c r="AG219" s="562"/>
      <c r="AH219" s="562"/>
      <c r="AI219" s="562"/>
      <c r="AJ219" s="562"/>
      <c r="AK219" s="562"/>
    </row>
    <row r="220" spans="2:37" s="187" customFormat="1" ht="10.199999999999999">
      <c r="B220" s="232"/>
      <c r="C220" s="232"/>
      <c r="D220" s="232"/>
      <c r="E220" s="232"/>
      <c r="F220" s="232"/>
      <c r="G220" s="232"/>
      <c r="H220" s="232"/>
      <c r="I220" s="232"/>
      <c r="J220" s="232"/>
      <c r="K220" s="232"/>
      <c r="L220" s="232"/>
      <c r="M220" s="232"/>
      <c r="N220" s="232"/>
      <c r="O220" s="232"/>
      <c r="P220" s="232"/>
      <c r="Q220" s="232"/>
      <c r="R220" s="232"/>
      <c r="S220" s="232"/>
      <c r="T220" s="232"/>
      <c r="U220" s="232"/>
      <c r="V220" s="232"/>
      <c r="W220" s="232"/>
      <c r="X220" s="232"/>
      <c r="Y220" s="232"/>
      <c r="Z220" s="232"/>
      <c r="AA220" s="232"/>
      <c r="AB220" s="232"/>
      <c r="AC220" s="232"/>
      <c r="AD220" s="232"/>
      <c r="AE220" s="232"/>
      <c r="AF220" s="232"/>
      <c r="AG220" s="232"/>
      <c r="AH220" s="232"/>
      <c r="AI220" s="232"/>
      <c r="AJ220" s="232"/>
      <c r="AK220" s="232"/>
    </row>
    <row r="221" spans="2:37" s="187" customFormat="1" ht="28.5" customHeight="1">
      <c r="B221" s="562" t="s">
        <v>249</v>
      </c>
      <c r="C221" s="562"/>
      <c r="D221" s="562"/>
      <c r="E221" s="562"/>
      <c r="F221" s="562"/>
      <c r="G221" s="562"/>
      <c r="H221" s="562"/>
      <c r="I221" s="562"/>
      <c r="J221" s="562"/>
      <c r="K221" s="562"/>
      <c r="L221" s="562"/>
      <c r="M221" s="562"/>
      <c r="N221" s="562"/>
      <c r="O221" s="562"/>
      <c r="P221" s="562"/>
      <c r="Q221" s="562"/>
      <c r="R221" s="562"/>
      <c r="S221" s="562"/>
      <c r="T221" s="562"/>
      <c r="U221" s="562"/>
      <c r="V221" s="562"/>
      <c r="W221" s="562"/>
      <c r="X221" s="562"/>
      <c r="Y221" s="562"/>
      <c r="Z221" s="562"/>
      <c r="AA221" s="562"/>
      <c r="AB221" s="562"/>
      <c r="AC221" s="562"/>
      <c r="AD221" s="562"/>
      <c r="AE221" s="562"/>
      <c r="AF221" s="562"/>
      <c r="AG221" s="562"/>
      <c r="AH221" s="562"/>
      <c r="AI221" s="562"/>
      <c r="AJ221" s="562"/>
      <c r="AK221" s="562"/>
    </row>
    <row r="222" spans="2:37" s="187" customFormat="1" ht="10.199999999999999">
      <c r="B222" s="232"/>
      <c r="C222" s="232"/>
      <c r="D222" s="232"/>
      <c r="E222" s="232"/>
      <c r="F222" s="232"/>
      <c r="G222" s="232"/>
      <c r="H222" s="232"/>
      <c r="I222" s="232"/>
      <c r="J222" s="232"/>
      <c r="K222" s="232"/>
      <c r="L222" s="232"/>
      <c r="M222" s="232"/>
      <c r="N222" s="232"/>
      <c r="O222" s="232"/>
      <c r="P222" s="232"/>
      <c r="Q222" s="232"/>
      <c r="R222" s="232"/>
      <c r="S222" s="232"/>
      <c r="T222" s="232"/>
      <c r="U222" s="232"/>
      <c r="V222" s="232"/>
      <c r="W222" s="232"/>
      <c r="X222" s="232"/>
      <c r="Y222" s="232"/>
      <c r="Z222" s="232"/>
      <c r="AA222" s="232"/>
      <c r="AB222" s="232"/>
      <c r="AC222" s="232"/>
      <c r="AD222" s="232"/>
      <c r="AE222" s="232"/>
      <c r="AF222" s="232"/>
      <c r="AG222" s="232"/>
      <c r="AH222" s="232"/>
      <c r="AI222" s="232"/>
      <c r="AJ222" s="232"/>
      <c r="AK222" s="232"/>
    </row>
    <row r="223" spans="2:37" s="187" customFormat="1" ht="87.75" customHeight="1">
      <c r="B223" s="566" t="s">
        <v>250</v>
      </c>
      <c r="C223" s="566"/>
      <c r="D223" s="566"/>
      <c r="E223" s="566"/>
      <c r="F223" s="566"/>
      <c r="G223" s="566"/>
      <c r="H223" s="566"/>
      <c r="I223" s="566"/>
      <c r="J223" s="566"/>
      <c r="K223" s="566"/>
      <c r="L223" s="566"/>
      <c r="M223" s="566"/>
      <c r="N223" s="566"/>
      <c r="O223" s="566"/>
      <c r="P223" s="566"/>
      <c r="Q223" s="566"/>
      <c r="R223" s="566"/>
      <c r="S223" s="566"/>
      <c r="T223" s="566"/>
      <c r="U223" s="566"/>
      <c r="V223" s="566"/>
      <c r="W223" s="566"/>
      <c r="X223" s="566"/>
      <c r="Y223" s="566"/>
      <c r="Z223" s="566"/>
      <c r="AA223" s="566"/>
      <c r="AB223" s="566"/>
      <c r="AC223" s="566"/>
      <c r="AD223" s="566"/>
      <c r="AE223" s="566"/>
      <c r="AF223" s="566"/>
      <c r="AG223" s="566"/>
      <c r="AH223" s="566"/>
      <c r="AI223" s="566"/>
      <c r="AJ223" s="566"/>
      <c r="AK223" s="566"/>
    </row>
    <row r="224" spans="2:37" s="187" customFormat="1" ht="10.199999999999999">
      <c r="B224" s="232"/>
      <c r="C224" s="232"/>
      <c r="D224" s="232"/>
      <c r="E224" s="232"/>
      <c r="F224" s="232"/>
      <c r="G224" s="232"/>
      <c r="H224" s="232"/>
      <c r="I224" s="232"/>
      <c r="J224" s="232"/>
      <c r="K224" s="232"/>
      <c r="L224" s="232"/>
      <c r="M224" s="232"/>
      <c r="N224" s="232"/>
      <c r="O224" s="232"/>
      <c r="P224" s="232"/>
      <c r="Q224" s="232"/>
      <c r="R224" s="232"/>
      <c r="S224" s="232"/>
      <c r="T224" s="232"/>
      <c r="U224" s="232"/>
      <c r="V224" s="232"/>
      <c r="W224" s="232"/>
      <c r="X224" s="232"/>
      <c r="Y224" s="232"/>
      <c r="Z224" s="232"/>
      <c r="AA224" s="232"/>
      <c r="AB224" s="232"/>
      <c r="AC224" s="232"/>
      <c r="AD224" s="232"/>
      <c r="AE224" s="232"/>
      <c r="AF224" s="232"/>
      <c r="AG224" s="232"/>
      <c r="AH224" s="232"/>
      <c r="AI224" s="232"/>
      <c r="AJ224" s="232"/>
      <c r="AK224" s="232"/>
    </row>
    <row r="225" spans="2:37" s="187" customFormat="1" ht="25.5" customHeight="1">
      <c r="B225" s="566" t="s">
        <v>251</v>
      </c>
      <c r="C225" s="566"/>
      <c r="D225" s="566"/>
      <c r="E225" s="566"/>
      <c r="F225" s="566"/>
      <c r="G225" s="566"/>
      <c r="H225" s="566"/>
      <c r="I225" s="566"/>
      <c r="J225" s="566"/>
      <c r="K225" s="566"/>
      <c r="L225" s="566"/>
      <c r="M225" s="566"/>
      <c r="N225" s="566"/>
      <c r="O225" s="566"/>
      <c r="P225" s="566"/>
      <c r="Q225" s="566"/>
      <c r="R225" s="566"/>
      <c r="S225" s="566"/>
      <c r="T225" s="566"/>
      <c r="U225" s="566"/>
      <c r="V225" s="566"/>
      <c r="W225" s="566"/>
      <c r="X225" s="566"/>
      <c r="Y225" s="566"/>
      <c r="Z225" s="566"/>
      <c r="AA225" s="566"/>
      <c r="AB225" s="566"/>
      <c r="AC225" s="566"/>
      <c r="AD225" s="566"/>
      <c r="AE225" s="566"/>
      <c r="AF225" s="566"/>
      <c r="AG225" s="566"/>
      <c r="AH225" s="566"/>
      <c r="AI225" s="566"/>
      <c r="AJ225" s="566"/>
      <c r="AK225" s="566"/>
    </row>
    <row r="226" spans="2:37" s="187" customFormat="1" ht="10.199999999999999">
      <c r="B226" s="562"/>
      <c r="C226" s="562"/>
      <c r="D226" s="562"/>
      <c r="E226" s="562"/>
      <c r="F226" s="562"/>
      <c r="G226" s="562"/>
      <c r="H226" s="562"/>
      <c r="I226" s="562"/>
      <c r="J226" s="562"/>
      <c r="K226" s="562"/>
      <c r="L226" s="562"/>
      <c r="M226" s="562"/>
      <c r="N226" s="562"/>
      <c r="O226" s="562"/>
      <c r="P226" s="562"/>
      <c r="Q226" s="562"/>
      <c r="R226" s="562"/>
      <c r="S226" s="562"/>
      <c r="T226" s="562"/>
      <c r="U226" s="562"/>
      <c r="V226" s="562"/>
      <c r="W226" s="562"/>
      <c r="X226" s="562"/>
      <c r="Y226" s="562"/>
      <c r="Z226" s="562"/>
      <c r="AA226" s="562"/>
      <c r="AB226" s="562"/>
      <c r="AC226" s="562"/>
      <c r="AD226" s="562"/>
      <c r="AE226" s="562"/>
      <c r="AF226" s="562"/>
      <c r="AG226" s="562"/>
      <c r="AH226" s="562"/>
      <c r="AI226" s="562"/>
      <c r="AJ226" s="562"/>
      <c r="AK226" s="562"/>
    </row>
    <row r="227" spans="2:37" s="187" customFormat="1" ht="7.8"/>
    <row r="228" spans="2:37" s="187" customFormat="1" ht="10.199999999999999">
      <c r="G228" s="600" t="s">
        <v>252</v>
      </c>
      <c r="H228" s="601"/>
      <c r="I228" s="601"/>
      <c r="J228" s="601"/>
      <c r="K228" s="601"/>
      <c r="L228" s="601"/>
      <c r="M228" s="601"/>
      <c r="N228" s="601"/>
      <c r="O228" s="601"/>
      <c r="P228" s="602"/>
      <c r="Q228" s="603" t="s">
        <v>253</v>
      </c>
      <c r="R228" s="604"/>
      <c r="S228" s="604"/>
      <c r="T228" s="604"/>
      <c r="U228" s="604"/>
      <c r="V228" s="604"/>
      <c r="W228" s="604"/>
      <c r="X228" s="604"/>
      <c r="Y228" s="604"/>
      <c r="Z228" s="604"/>
      <c r="AA228" s="604"/>
      <c r="AB228" s="604"/>
      <c r="AC228" s="604"/>
      <c r="AD228" s="604"/>
      <c r="AE228" s="604"/>
      <c r="AF228" s="604"/>
      <c r="AG228" s="605"/>
    </row>
    <row r="229" spans="2:37" s="187" customFormat="1" ht="10.199999999999999">
      <c r="G229" s="600" t="s">
        <v>254</v>
      </c>
      <c r="H229" s="601"/>
      <c r="I229" s="601"/>
      <c r="J229" s="601"/>
      <c r="K229" s="601"/>
      <c r="L229" s="601"/>
      <c r="M229" s="601"/>
      <c r="N229" s="601"/>
      <c r="O229" s="601"/>
      <c r="P229" s="602"/>
      <c r="Q229" s="606" t="s">
        <v>255</v>
      </c>
      <c r="R229" s="607"/>
      <c r="S229" s="607"/>
      <c r="T229" s="607"/>
      <c r="U229" s="607"/>
      <c r="V229" s="607"/>
      <c r="W229" s="607"/>
      <c r="X229" s="607"/>
      <c r="Y229" s="607"/>
      <c r="Z229" s="607"/>
      <c r="AA229" s="607"/>
      <c r="AB229" s="607"/>
      <c r="AC229" s="607"/>
      <c r="AD229" s="607"/>
      <c r="AE229" s="607"/>
      <c r="AF229" s="607"/>
      <c r="AG229" s="608"/>
    </row>
    <row r="230" spans="2:37" s="187" customFormat="1" ht="10.199999999999999">
      <c r="G230" s="582" t="s">
        <v>256</v>
      </c>
      <c r="H230" s="583"/>
      <c r="I230" s="583"/>
      <c r="J230" s="583"/>
      <c r="K230" s="583"/>
      <c r="L230" s="583"/>
      <c r="M230" s="583"/>
      <c r="N230" s="583"/>
      <c r="O230" s="583"/>
      <c r="P230" s="584"/>
      <c r="Q230" s="588" t="s">
        <v>257</v>
      </c>
      <c r="R230" s="589"/>
      <c r="S230" s="589"/>
      <c r="T230" s="589"/>
      <c r="U230" s="589"/>
      <c r="V230" s="589"/>
      <c r="W230" s="589"/>
      <c r="X230" s="589"/>
      <c r="Y230" s="589"/>
      <c r="Z230" s="589"/>
      <c r="AA230" s="589"/>
      <c r="AB230" s="589"/>
      <c r="AC230" s="589"/>
      <c r="AD230" s="589"/>
      <c r="AE230" s="589"/>
      <c r="AF230" s="589"/>
      <c r="AG230" s="590"/>
    </row>
    <row r="231" spans="2:37" s="187" customFormat="1" ht="7.8">
      <c r="G231" s="585"/>
      <c r="H231" s="586"/>
      <c r="I231" s="586"/>
      <c r="J231" s="586"/>
      <c r="K231" s="586"/>
      <c r="L231" s="586"/>
      <c r="M231" s="586"/>
      <c r="N231" s="586"/>
      <c r="O231" s="586"/>
      <c r="P231" s="587"/>
      <c r="Q231" s="588" t="s">
        <v>258</v>
      </c>
      <c r="R231" s="589"/>
      <c r="S231" s="589"/>
      <c r="T231" s="589"/>
      <c r="U231" s="589"/>
      <c r="V231" s="589"/>
      <c r="W231" s="589"/>
      <c r="X231" s="589"/>
      <c r="Y231" s="589"/>
      <c r="Z231" s="589"/>
      <c r="AA231" s="589"/>
      <c r="AB231" s="589"/>
      <c r="AC231" s="589"/>
      <c r="AD231" s="589"/>
      <c r="AE231" s="589"/>
      <c r="AF231" s="589"/>
      <c r="AG231" s="590"/>
    </row>
    <row r="232" spans="2:37" s="187" customFormat="1" ht="7.8">
      <c r="G232" s="585"/>
      <c r="H232" s="586"/>
      <c r="I232" s="586"/>
      <c r="J232" s="586"/>
      <c r="K232" s="586"/>
      <c r="L232" s="586"/>
      <c r="M232" s="586"/>
      <c r="N232" s="586"/>
      <c r="O232" s="586"/>
      <c r="P232" s="587"/>
      <c r="Q232" s="588"/>
      <c r="R232" s="589"/>
      <c r="S232" s="589"/>
      <c r="T232" s="589"/>
      <c r="U232" s="589"/>
      <c r="V232" s="589"/>
      <c r="W232" s="589"/>
      <c r="X232" s="589"/>
      <c r="Y232" s="589"/>
      <c r="Z232" s="589"/>
      <c r="AA232" s="589"/>
      <c r="AB232" s="589"/>
      <c r="AC232" s="589"/>
      <c r="AD232" s="589"/>
      <c r="AE232" s="589"/>
      <c r="AF232" s="589"/>
      <c r="AG232" s="590"/>
    </row>
    <row r="233" spans="2:37" s="187" customFormat="1" ht="19.5" customHeight="1">
      <c r="G233" s="585"/>
      <c r="H233" s="586"/>
      <c r="I233" s="586"/>
      <c r="J233" s="586"/>
      <c r="K233" s="586"/>
      <c r="L233" s="586"/>
      <c r="M233" s="586"/>
      <c r="N233" s="586"/>
      <c r="O233" s="586"/>
      <c r="P233" s="587"/>
      <c r="Q233" s="588"/>
      <c r="R233" s="589"/>
      <c r="S233" s="589"/>
      <c r="T233" s="589"/>
      <c r="U233" s="589"/>
      <c r="V233" s="589"/>
      <c r="W233" s="589"/>
      <c r="X233" s="589"/>
      <c r="Y233" s="589"/>
      <c r="Z233" s="589"/>
      <c r="AA233" s="589"/>
      <c r="AB233" s="589"/>
      <c r="AC233" s="589"/>
      <c r="AD233" s="589"/>
      <c r="AE233" s="589"/>
      <c r="AF233" s="589"/>
      <c r="AG233" s="590"/>
    </row>
    <row r="234" spans="2:37" s="187" customFormat="1" ht="10.199999999999999">
      <c r="G234" s="582" t="s">
        <v>259</v>
      </c>
      <c r="H234" s="583"/>
      <c r="I234" s="583"/>
      <c r="J234" s="583"/>
      <c r="K234" s="583"/>
      <c r="L234" s="583"/>
      <c r="M234" s="583"/>
      <c r="N234" s="583"/>
      <c r="O234" s="583"/>
      <c r="P234" s="584"/>
      <c r="Q234" s="594" t="s">
        <v>260</v>
      </c>
      <c r="R234" s="595"/>
      <c r="S234" s="595"/>
      <c r="T234" s="595"/>
      <c r="U234" s="595"/>
      <c r="V234" s="595"/>
      <c r="W234" s="595"/>
      <c r="X234" s="595"/>
      <c r="Y234" s="595"/>
      <c r="Z234" s="595"/>
      <c r="AA234" s="595"/>
      <c r="AB234" s="595"/>
      <c r="AC234" s="595"/>
      <c r="AD234" s="595"/>
      <c r="AE234" s="595"/>
      <c r="AF234" s="595"/>
      <c r="AG234" s="596"/>
    </row>
    <row r="235" spans="2:37" s="187" customFormat="1" ht="10.199999999999999">
      <c r="G235" s="585"/>
      <c r="H235" s="586"/>
      <c r="I235" s="586"/>
      <c r="J235" s="586"/>
      <c r="K235" s="586"/>
      <c r="L235" s="586"/>
      <c r="M235" s="586"/>
      <c r="N235" s="586"/>
      <c r="O235" s="586"/>
      <c r="P235" s="587"/>
      <c r="Q235" s="588" t="s">
        <v>261</v>
      </c>
      <c r="R235" s="589"/>
      <c r="S235" s="589"/>
      <c r="T235" s="589"/>
      <c r="U235" s="589"/>
      <c r="V235" s="589"/>
      <c r="W235" s="589"/>
      <c r="X235" s="589"/>
      <c r="Y235" s="589"/>
      <c r="Z235" s="589"/>
      <c r="AA235" s="589"/>
      <c r="AB235" s="589"/>
      <c r="AC235" s="589"/>
      <c r="AD235" s="589"/>
      <c r="AE235" s="589"/>
      <c r="AF235" s="589"/>
      <c r="AG235" s="590"/>
    </row>
    <row r="236" spans="2:37" s="187" customFormat="1" ht="10.199999999999999">
      <c r="G236" s="591"/>
      <c r="H236" s="592"/>
      <c r="I236" s="592"/>
      <c r="J236" s="592"/>
      <c r="K236" s="592"/>
      <c r="L236" s="592"/>
      <c r="M236" s="592"/>
      <c r="N236" s="592"/>
      <c r="O236" s="592"/>
      <c r="P236" s="593"/>
      <c r="Q236" s="597" t="s">
        <v>262</v>
      </c>
      <c r="R236" s="598"/>
      <c r="S236" s="598"/>
      <c r="T236" s="598"/>
      <c r="U236" s="598"/>
      <c r="V236" s="598"/>
      <c r="W236" s="598"/>
      <c r="X236" s="598"/>
      <c r="Y236" s="598"/>
      <c r="Z236" s="598"/>
      <c r="AA236" s="598"/>
      <c r="AB236" s="598"/>
      <c r="AC236" s="598"/>
      <c r="AD236" s="598"/>
      <c r="AE236" s="598"/>
      <c r="AF236" s="598"/>
      <c r="AG236" s="599"/>
    </row>
    <row r="237" spans="2:37" s="187" customFormat="1" ht="22.5" customHeight="1">
      <c r="G237" s="582" t="s">
        <v>263</v>
      </c>
      <c r="H237" s="583"/>
      <c r="I237" s="583"/>
      <c r="J237" s="583"/>
      <c r="K237" s="583"/>
      <c r="L237" s="583"/>
      <c r="M237" s="583"/>
      <c r="N237" s="583"/>
      <c r="O237" s="583"/>
      <c r="P237" s="584"/>
      <c r="Q237" s="588" t="s">
        <v>264</v>
      </c>
      <c r="R237" s="589"/>
      <c r="S237" s="589"/>
      <c r="T237" s="589"/>
      <c r="U237" s="589"/>
      <c r="V237" s="589"/>
      <c r="W237" s="589"/>
      <c r="X237" s="589"/>
      <c r="Y237" s="589"/>
      <c r="Z237" s="589"/>
      <c r="AA237" s="589"/>
      <c r="AB237" s="589"/>
      <c r="AC237" s="589"/>
      <c r="AD237" s="589"/>
      <c r="AE237" s="589"/>
      <c r="AF237" s="589"/>
      <c r="AG237" s="590"/>
    </row>
    <row r="238" spans="2:37" s="187" customFormat="1" ht="10.199999999999999">
      <c r="G238" s="585"/>
      <c r="H238" s="586"/>
      <c r="I238" s="586"/>
      <c r="J238" s="586"/>
      <c r="K238" s="586"/>
      <c r="L238" s="586"/>
      <c r="M238" s="586"/>
      <c r="N238" s="586"/>
      <c r="O238" s="586"/>
      <c r="P238" s="587"/>
      <c r="Q238" s="588" t="s">
        <v>265</v>
      </c>
      <c r="R238" s="589"/>
      <c r="S238" s="589"/>
      <c r="T238" s="589"/>
      <c r="U238" s="589"/>
      <c r="V238" s="589"/>
      <c r="W238" s="589"/>
      <c r="X238" s="589"/>
      <c r="Y238" s="589"/>
      <c r="Z238" s="589"/>
      <c r="AA238" s="589"/>
      <c r="AB238" s="589"/>
      <c r="AC238" s="589"/>
      <c r="AD238" s="589"/>
      <c r="AE238" s="589"/>
      <c r="AF238" s="589"/>
      <c r="AG238" s="590"/>
    </row>
    <row r="239" spans="2:37" s="187" customFormat="1" ht="7.8">
      <c r="G239" s="585"/>
      <c r="H239" s="586"/>
      <c r="I239" s="586"/>
      <c r="J239" s="586"/>
      <c r="K239" s="586"/>
      <c r="L239" s="586"/>
      <c r="M239" s="586"/>
      <c r="N239" s="586"/>
      <c r="O239" s="586"/>
      <c r="P239" s="587"/>
      <c r="Q239" s="588" t="s">
        <v>266</v>
      </c>
      <c r="R239" s="589"/>
      <c r="S239" s="589"/>
      <c r="T239" s="589"/>
      <c r="U239" s="589"/>
      <c r="V239" s="589"/>
      <c r="W239" s="589"/>
      <c r="X239" s="589"/>
      <c r="Y239" s="589"/>
      <c r="Z239" s="589"/>
      <c r="AA239" s="589"/>
      <c r="AB239" s="589"/>
      <c r="AC239" s="589"/>
      <c r="AD239" s="589"/>
      <c r="AE239" s="589"/>
      <c r="AF239" s="589"/>
      <c r="AG239" s="590"/>
    </row>
    <row r="240" spans="2:37" s="187" customFormat="1" ht="12.75" customHeight="1">
      <c r="G240" s="591"/>
      <c r="H240" s="592"/>
      <c r="I240" s="592"/>
      <c r="J240" s="592"/>
      <c r="K240" s="592"/>
      <c r="L240" s="592"/>
      <c r="M240" s="592"/>
      <c r="N240" s="592"/>
      <c r="O240" s="592"/>
      <c r="P240" s="593"/>
      <c r="Q240" s="597"/>
      <c r="R240" s="598"/>
      <c r="S240" s="598"/>
      <c r="T240" s="598"/>
      <c r="U240" s="598"/>
      <c r="V240" s="598"/>
      <c r="W240" s="598"/>
      <c r="X240" s="598"/>
      <c r="Y240" s="598"/>
      <c r="Z240" s="598"/>
      <c r="AA240" s="598"/>
      <c r="AB240" s="598"/>
      <c r="AC240" s="598"/>
      <c r="AD240" s="598"/>
      <c r="AE240" s="598"/>
      <c r="AF240" s="598"/>
      <c r="AG240" s="599"/>
    </row>
    <row r="241" spans="2:37" s="187" customFormat="1" ht="7.8"/>
    <row r="242" spans="2:37" s="187" customFormat="1" ht="7.8"/>
    <row r="243" spans="2:37" s="187" customFormat="1" ht="7.8"/>
    <row r="244" spans="2:37" s="187" customFormat="1" ht="23.25" customHeight="1">
      <c r="B244" s="566" t="s">
        <v>267</v>
      </c>
      <c r="C244" s="566"/>
      <c r="D244" s="566"/>
      <c r="E244" s="566"/>
      <c r="F244" s="566"/>
      <c r="G244" s="566"/>
      <c r="H244" s="566"/>
      <c r="I244" s="566"/>
      <c r="J244" s="566"/>
      <c r="K244" s="566"/>
      <c r="L244" s="566"/>
      <c r="M244" s="566"/>
      <c r="N244" s="566"/>
      <c r="O244" s="566"/>
      <c r="P244" s="566"/>
      <c r="Q244" s="566"/>
      <c r="R244" s="566"/>
      <c r="S244" s="566"/>
      <c r="T244" s="566"/>
      <c r="U244" s="566"/>
      <c r="V244" s="566"/>
      <c r="W244" s="566"/>
      <c r="X244" s="566"/>
      <c r="Y244" s="566"/>
      <c r="Z244" s="566"/>
      <c r="AA244" s="566"/>
      <c r="AB244" s="566"/>
      <c r="AC244" s="566"/>
      <c r="AD244" s="566"/>
      <c r="AE244" s="566"/>
      <c r="AF244" s="566"/>
      <c r="AG244" s="566"/>
      <c r="AH244" s="566"/>
      <c r="AI244" s="566"/>
      <c r="AJ244" s="566"/>
      <c r="AK244" s="566"/>
    </row>
    <row r="245" spans="2:37" s="187" customFormat="1" ht="10.199999999999999">
      <c r="B245" s="231"/>
      <c r="C245" s="231"/>
      <c r="D245" s="231"/>
      <c r="E245" s="231"/>
      <c r="F245" s="231"/>
      <c r="G245" s="231"/>
      <c r="H245" s="231"/>
      <c r="I245" s="231"/>
      <c r="J245" s="231"/>
      <c r="K245" s="231"/>
      <c r="L245" s="231"/>
      <c r="M245" s="231"/>
      <c r="N245" s="231"/>
      <c r="O245" s="231"/>
      <c r="P245" s="231"/>
      <c r="Q245" s="231"/>
      <c r="R245" s="231"/>
      <c r="S245" s="231"/>
      <c r="T245" s="231"/>
      <c r="U245" s="231"/>
      <c r="V245" s="231"/>
      <c r="W245" s="231"/>
      <c r="X245" s="231"/>
      <c r="Y245" s="231"/>
      <c r="Z245" s="231"/>
      <c r="AA245" s="231"/>
      <c r="AB245" s="231"/>
      <c r="AC245" s="231"/>
      <c r="AD245" s="231"/>
      <c r="AE245" s="231"/>
      <c r="AF245" s="231"/>
      <c r="AG245" s="231"/>
      <c r="AH245" s="231"/>
      <c r="AI245" s="231"/>
      <c r="AJ245" s="231"/>
      <c r="AK245" s="231"/>
    </row>
    <row r="246" spans="2:37" s="187" customFormat="1" ht="61.5" customHeight="1">
      <c r="B246" s="562" t="s">
        <v>268</v>
      </c>
      <c r="C246" s="562"/>
      <c r="D246" s="562"/>
      <c r="E246" s="562"/>
      <c r="F246" s="562"/>
      <c r="G246" s="562"/>
      <c r="H246" s="562"/>
      <c r="I246" s="562"/>
      <c r="J246" s="562"/>
      <c r="K246" s="562"/>
      <c r="L246" s="562"/>
      <c r="M246" s="562"/>
      <c r="N246" s="562"/>
      <c r="O246" s="562"/>
      <c r="P246" s="562"/>
      <c r="Q246" s="562"/>
      <c r="R246" s="562"/>
      <c r="S246" s="562"/>
      <c r="T246" s="562"/>
      <c r="U246" s="562"/>
      <c r="V246" s="562"/>
      <c r="W246" s="562"/>
      <c r="X246" s="562"/>
      <c r="Y246" s="562"/>
      <c r="Z246" s="562"/>
      <c r="AA246" s="562"/>
      <c r="AB246" s="562"/>
      <c r="AC246" s="562"/>
      <c r="AD246" s="562"/>
      <c r="AE246" s="562"/>
      <c r="AF246" s="562"/>
      <c r="AG246" s="562"/>
      <c r="AH246" s="562"/>
      <c r="AI246" s="562"/>
      <c r="AJ246" s="562"/>
      <c r="AK246" s="562"/>
    </row>
    <row r="247" spans="2:37" s="187" customFormat="1" ht="39.75" customHeight="1">
      <c r="B247" s="562" t="s">
        <v>269</v>
      </c>
      <c r="C247" s="562"/>
      <c r="D247" s="562"/>
      <c r="E247" s="562"/>
      <c r="F247" s="562"/>
      <c r="G247" s="562"/>
      <c r="H247" s="562"/>
      <c r="I247" s="562"/>
      <c r="J247" s="562"/>
      <c r="K247" s="562"/>
      <c r="L247" s="562"/>
      <c r="M247" s="562"/>
      <c r="N247" s="562"/>
      <c r="O247" s="562"/>
      <c r="P247" s="562"/>
      <c r="Q247" s="562"/>
      <c r="R247" s="562"/>
      <c r="S247" s="562"/>
      <c r="T247" s="562"/>
      <c r="U247" s="562"/>
      <c r="V247" s="562"/>
      <c r="W247" s="562"/>
      <c r="X247" s="562"/>
      <c r="Y247" s="562"/>
      <c r="Z247" s="562"/>
      <c r="AA247" s="562"/>
      <c r="AB247" s="562"/>
      <c r="AC247" s="562"/>
      <c r="AD247" s="562"/>
      <c r="AE247" s="562"/>
      <c r="AF247" s="562"/>
      <c r="AG247" s="562"/>
      <c r="AH247" s="562"/>
      <c r="AI247" s="562"/>
      <c r="AJ247" s="562"/>
      <c r="AK247" s="562"/>
    </row>
    <row r="248" spans="2:37" s="187" customFormat="1" ht="10.199999999999999">
      <c r="B248" s="232"/>
      <c r="C248" s="232"/>
      <c r="D248" s="232"/>
      <c r="E248" s="232"/>
      <c r="F248" s="232"/>
      <c r="G248" s="232"/>
      <c r="H248" s="232"/>
      <c r="I248" s="232"/>
      <c r="J248" s="232"/>
      <c r="K248" s="232"/>
      <c r="L248" s="232"/>
      <c r="M248" s="232"/>
      <c r="N248" s="232"/>
      <c r="O248" s="232"/>
      <c r="P248" s="232"/>
      <c r="Q248" s="232"/>
      <c r="R248" s="232"/>
      <c r="S248" s="232"/>
      <c r="T248" s="232"/>
      <c r="U248" s="232"/>
      <c r="V248" s="232"/>
      <c r="W248" s="232"/>
      <c r="X248" s="232"/>
      <c r="Y248" s="232"/>
      <c r="Z248" s="232"/>
      <c r="AA248" s="232"/>
      <c r="AB248" s="232"/>
      <c r="AC248" s="232"/>
      <c r="AD248" s="232"/>
      <c r="AE248" s="232"/>
      <c r="AF248" s="232"/>
      <c r="AG248" s="232"/>
      <c r="AH248" s="232"/>
      <c r="AI248" s="232"/>
      <c r="AJ248" s="232"/>
      <c r="AK248" s="232"/>
    </row>
    <row r="249" spans="2:37" s="187" customFormat="1" ht="46.5" customHeight="1">
      <c r="B249" s="566" t="s">
        <v>270</v>
      </c>
      <c r="C249" s="566"/>
      <c r="D249" s="566"/>
      <c r="E249" s="566"/>
      <c r="F249" s="566"/>
      <c r="G249" s="566"/>
      <c r="H249" s="566"/>
      <c r="I249" s="566"/>
      <c r="J249" s="566"/>
      <c r="K249" s="566"/>
      <c r="L249" s="566"/>
      <c r="M249" s="566"/>
      <c r="N249" s="566"/>
      <c r="O249" s="566"/>
      <c r="P249" s="566"/>
      <c r="Q249" s="566"/>
      <c r="R249" s="566"/>
      <c r="S249" s="566"/>
      <c r="T249" s="566"/>
      <c r="U249" s="566"/>
      <c r="V249" s="566"/>
      <c r="W249" s="566"/>
      <c r="X249" s="566"/>
      <c r="Y249" s="566"/>
      <c r="Z249" s="566"/>
      <c r="AA249" s="566"/>
      <c r="AB249" s="566"/>
      <c r="AC249" s="566"/>
      <c r="AD249" s="566"/>
      <c r="AE249" s="566"/>
      <c r="AF249" s="566"/>
      <c r="AG249" s="566"/>
      <c r="AH249" s="566"/>
      <c r="AI249" s="566"/>
      <c r="AJ249" s="566"/>
      <c r="AK249" s="566"/>
    </row>
    <row r="250" spans="2:37" s="187" customFormat="1" ht="10.199999999999999">
      <c r="B250" s="232"/>
      <c r="C250" s="232"/>
      <c r="D250" s="232"/>
      <c r="E250" s="232"/>
      <c r="F250" s="232"/>
      <c r="G250" s="232"/>
      <c r="H250" s="232"/>
      <c r="I250" s="232"/>
      <c r="J250" s="232"/>
      <c r="K250" s="232"/>
      <c r="L250" s="232"/>
      <c r="M250" s="232"/>
      <c r="N250" s="232"/>
      <c r="O250" s="232"/>
      <c r="P250" s="232"/>
      <c r="Q250" s="232"/>
      <c r="R250" s="232"/>
      <c r="S250" s="232"/>
      <c r="T250" s="232"/>
      <c r="U250" s="232"/>
      <c r="V250" s="232"/>
      <c r="W250" s="232"/>
      <c r="X250" s="232"/>
      <c r="Y250" s="232"/>
      <c r="Z250" s="232"/>
      <c r="AA250" s="232"/>
      <c r="AB250" s="232"/>
      <c r="AC250" s="232"/>
      <c r="AD250" s="232"/>
      <c r="AE250" s="232"/>
      <c r="AF250" s="232"/>
      <c r="AG250" s="232"/>
      <c r="AH250" s="232"/>
      <c r="AI250" s="232"/>
      <c r="AJ250" s="232"/>
      <c r="AK250" s="232"/>
    </row>
    <row r="251" spans="2:37" s="187" customFormat="1" ht="47.25" customHeight="1">
      <c r="B251" s="566" t="s">
        <v>271</v>
      </c>
      <c r="C251" s="566"/>
      <c r="D251" s="566"/>
      <c r="E251" s="566"/>
      <c r="F251" s="566"/>
      <c r="G251" s="566"/>
      <c r="H251" s="566"/>
      <c r="I251" s="566"/>
      <c r="J251" s="566"/>
      <c r="K251" s="566"/>
      <c r="L251" s="566"/>
      <c r="M251" s="566"/>
      <c r="N251" s="566"/>
      <c r="O251" s="566"/>
      <c r="P251" s="566"/>
      <c r="Q251" s="566"/>
      <c r="R251" s="566"/>
      <c r="S251" s="566"/>
      <c r="T251" s="566"/>
      <c r="U251" s="566"/>
      <c r="V251" s="566"/>
      <c r="W251" s="566"/>
      <c r="X251" s="566"/>
      <c r="Y251" s="566"/>
      <c r="Z251" s="566"/>
      <c r="AA251" s="566"/>
      <c r="AB251" s="566"/>
      <c r="AC251" s="566"/>
      <c r="AD251" s="566"/>
      <c r="AE251" s="566"/>
      <c r="AF251" s="566"/>
      <c r="AG251" s="566"/>
      <c r="AH251" s="566"/>
      <c r="AI251" s="566"/>
      <c r="AJ251" s="566"/>
      <c r="AK251" s="566"/>
    </row>
    <row r="252" spans="2:37" s="187" customFormat="1" ht="10.199999999999999">
      <c r="B252" s="232"/>
      <c r="C252" s="232"/>
      <c r="D252" s="232"/>
      <c r="E252" s="232"/>
      <c r="F252" s="232"/>
      <c r="G252" s="232"/>
      <c r="H252" s="232"/>
      <c r="I252" s="232"/>
      <c r="J252" s="232"/>
      <c r="K252" s="232"/>
      <c r="L252" s="232"/>
      <c r="M252" s="232"/>
      <c r="N252" s="232"/>
      <c r="O252" s="232"/>
      <c r="P252" s="232"/>
      <c r="Q252" s="232"/>
      <c r="R252" s="232"/>
      <c r="S252" s="232"/>
      <c r="T252" s="232"/>
      <c r="U252" s="232"/>
      <c r="V252" s="232"/>
      <c r="W252" s="232"/>
      <c r="X252" s="232"/>
      <c r="Y252" s="232"/>
      <c r="Z252" s="232"/>
      <c r="AA252" s="232"/>
      <c r="AB252" s="232"/>
      <c r="AC252" s="232"/>
      <c r="AD252" s="232"/>
      <c r="AE252" s="232"/>
      <c r="AF252" s="232"/>
      <c r="AG252" s="232"/>
      <c r="AH252" s="232"/>
      <c r="AI252" s="232"/>
      <c r="AJ252" s="232"/>
      <c r="AK252" s="232"/>
    </row>
    <row r="253" spans="2:37" s="187" customFormat="1" ht="10.199999999999999">
      <c r="B253" s="565" t="s">
        <v>272</v>
      </c>
      <c r="C253" s="565"/>
      <c r="D253" s="565"/>
      <c r="E253" s="565"/>
      <c r="F253" s="565"/>
      <c r="G253" s="565"/>
      <c r="H253" s="565"/>
      <c r="I253" s="565"/>
      <c r="J253" s="565"/>
      <c r="K253" s="565"/>
      <c r="L253" s="565"/>
      <c r="M253" s="565"/>
      <c r="N253" s="565"/>
      <c r="O253" s="565"/>
      <c r="P253" s="565"/>
      <c r="Q253" s="565"/>
      <c r="R253" s="565"/>
      <c r="S253" s="565"/>
      <c r="T253" s="565"/>
      <c r="U253" s="565"/>
      <c r="V253" s="565"/>
      <c r="W253" s="565"/>
      <c r="X253" s="565"/>
      <c r="Y253" s="565"/>
      <c r="Z253" s="565"/>
      <c r="AA253" s="565"/>
      <c r="AB253" s="565"/>
      <c r="AC253" s="565"/>
      <c r="AD253" s="565"/>
      <c r="AE253" s="565"/>
      <c r="AF253" s="565"/>
      <c r="AG253" s="565"/>
      <c r="AH253" s="565"/>
      <c r="AI253" s="565"/>
      <c r="AJ253" s="565"/>
      <c r="AK253" s="565"/>
    </row>
    <row r="254" spans="2:37" s="187" customFormat="1" ht="10.199999999999999">
      <c r="B254" s="231"/>
      <c r="C254" s="232"/>
      <c r="D254" s="232"/>
      <c r="E254" s="232"/>
      <c r="F254" s="232"/>
      <c r="G254" s="232"/>
      <c r="H254" s="232"/>
      <c r="I254" s="232"/>
      <c r="J254" s="232"/>
      <c r="K254" s="232"/>
      <c r="L254" s="232"/>
      <c r="M254" s="232"/>
      <c r="N254" s="232"/>
      <c r="O254" s="232"/>
      <c r="P254" s="232"/>
      <c r="Q254" s="232"/>
      <c r="R254" s="232"/>
      <c r="S254" s="232"/>
      <c r="T254" s="232"/>
      <c r="U254" s="232"/>
      <c r="V254" s="232"/>
      <c r="W254" s="232"/>
      <c r="X254" s="232"/>
      <c r="Y254" s="232"/>
      <c r="Z254" s="232"/>
      <c r="AA254" s="232"/>
      <c r="AB254" s="232"/>
      <c r="AC254" s="232"/>
      <c r="AD254" s="232"/>
      <c r="AE254" s="232"/>
      <c r="AF254" s="232"/>
      <c r="AG254" s="232"/>
      <c r="AH254" s="232"/>
      <c r="AI254" s="232"/>
      <c r="AJ254" s="232"/>
      <c r="AK254" s="232"/>
    </row>
    <row r="255" spans="2:37" s="187" customFormat="1" ht="55.5" customHeight="1">
      <c r="B255" s="562" t="s">
        <v>273</v>
      </c>
      <c r="C255" s="562"/>
      <c r="D255" s="562"/>
      <c r="E255" s="562"/>
      <c r="F255" s="562"/>
      <c r="G255" s="562"/>
      <c r="H255" s="562"/>
      <c r="I255" s="562"/>
      <c r="J255" s="562"/>
      <c r="K255" s="562"/>
      <c r="L255" s="562"/>
      <c r="M255" s="562"/>
      <c r="N255" s="562"/>
      <c r="O255" s="562"/>
      <c r="P255" s="562"/>
      <c r="Q255" s="562"/>
      <c r="R255" s="562"/>
      <c r="S255" s="562"/>
      <c r="T255" s="562"/>
      <c r="U255" s="562"/>
      <c r="V255" s="562"/>
      <c r="W255" s="562"/>
      <c r="X255" s="562"/>
      <c r="Y255" s="562"/>
      <c r="Z255" s="562"/>
      <c r="AA255" s="562"/>
      <c r="AB255" s="562"/>
      <c r="AC255" s="562"/>
      <c r="AD255" s="562"/>
      <c r="AE255" s="562"/>
      <c r="AF255" s="562"/>
      <c r="AG255" s="562"/>
      <c r="AH255" s="562"/>
      <c r="AI255" s="562"/>
      <c r="AJ255" s="562"/>
      <c r="AK255" s="562"/>
    </row>
    <row r="256" spans="2:37" s="187" customFormat="1" ht="7.8">
      <c r="B256" s="230"/>
      <c r="C256" s="230"/>
      <c r="D256" s="230"/>
      <c r="E256" s="230"/>
      <c r="F256" s="230"/>
      <c r="G256" s="230"/>
      <c r="H256" s="230"/>
      <c r="I256" s="230"/>
      <c r="J256" s="230"/>
      <c r="K256" s="230"/>
      <c r="L256" s="230"/>
      <c r="M256" s="230"/>
      <c r="N256" s="230"/>
      <c r="O256" s="230"/>
      <c r="P256" s="230"/>
      <c r="Q256" s="230"/>
      <c r="R256" s="230"/>
      <c r="S256" s="230"/>
      <c r="T256" s="230"/>
      <c r="U256" s="230"/>
      <c r="V256" s="230"/>
      <c r="W256" s="230"/>
      <c r="X256" s="230"/>
      <c r="Y256" s="230"/>
      <c r="Z256" s="230"/>
      <c r="AA256" s="230"/>
      <c r="AB256" s="230"/>
      <c r="AC256" s="230"/>
      <c r="AD256" s="230"/>
      <c r="AE256" s="230"/>
      <c r="AF256" s="230"/>
      <c r="AG256" s="230"/>
      <c r="AH256" s="230"/>
      <c r="AI256" s="230"/>
      <c r="AJ256" s="230"/>
      <c r="AK256" s="230"/>
    </row>
    <row r="257" spans="2:37" s="187" customFormat="1" ht="7.8">
      <c r="B257" s="230"/>
      <c r="C257" s="230"/>
      <c r="D257" s="230"/>
      <c r="E257" s="230"/>
      <c r="F257" s="230"/>
      <c r="G257" s="230"/>
      <c r="H257" s="230"/>
      <c r="I257" s="230"/>
      <c r="J257" s="230"/>
      <c r="K257" s="230"/>
      <c r="L257" s="230"/>
      <c r="M257" s="230"/>
      <c r="N257" s="230"/>
      <c r="O257" s="230"/>
      <c r="P257" s="230"/>
      <c r="Q257" s="230"/>
      <c r="R257" s="230"/>
      <c r="S257" s="230"/>
      <c r="T257" s="230"/>
      <c r="U257" s="230"/>
      <c r="V257" s="230"/>
      <c r="W257" s="230"/>
      <c r="X257" s="230"/>
      <c r="Y257" s="230"/>
      <c r="Z257" s="230"/>
      <c r="AA257" s="230"/>
      <c r="AB257" s="230"/>
      <c r="AC257" s="230"/>
      <c r="AD257" s="230"/>
      <c r="AE257" s="230"/>
      <c r="AF257" s="230"/>
      <c r="AG257" s="230"/>
      <c r="AH257" s="230"/>
      <c r="AI257" s="230"/>
      <c r="AJ257" s="230"/>
      <c r="AK257" s="230"/>
    </row>
    <row r="258" spans="2:37" s="187" customFormat="1" ht="7.8">
      <c r="B258" s="230"/>
      <c r="C258" s="230"/>
      <c r="D258" s="230"/>
      <c r="E258" s="230"/>
      <c r="F258" s="230"/>
      <c r="G258" s="230"/>
      <c r="H258" s="230"/>
      <c r="I258" s="230"/>
      <c r="J258" s="230"/>
      <c r="K258" s="230"/>
      <c r="L258" s="230"/>
      <c r="M258" s="230"/>
      <c r="N258" s="230"/>
      <c r="O258" s="230"/>
      <c r="P258" s="230"/>
      <c r="Q258" s="230"/>
      <c r="R258" s="230"/>
      <c r="S258" s="230"/>
      <c r="T258" s="230"/>
      <c r="U258" s="230"/>
      <c r="V258" s="230"/>
      <c r="W258" s="230"/>
      <c r="X258" s="230"/>
      <c r="Y258" s="230"/>
      <c r="Z258" s="230"/>
      <c r="AA258" s="230"/>
      <c r="AB258" s="230"/>
      <c r="AC258" s="230"/>
      <c r="AD258" s="230"/>
      <c r="AE258" s="230"/>
      <c r="AF258" s="230"/>
      <c r="AG258" s="230"/>
      <c r="AH258" s="230"/>
      <c r="AI258" s="230"/>
      <c r="AJ258" s="230"/>
      <c r="AK258" s="230"/>
    </row>
    <row r="259" spans="2:37" s="187" customFormat="1" ht="7.8">
      <c r="B259" s="230"/>
      <c r="C259" s="230"/>
      <c r="D259" s="230"/>
      <c r="E259" s="230"/>
      <c r="F259" s="230"/>
      <c r="G259" s="230"/>
      <c r="H259" s="230"/>
      <c r="I259" s="230"/>
      <c r="J259" s="230"/>
      <c r="K259" s="230"/>
      <c r="L259" s="230"/>
      <c r="M259" s="230"/>
      <c r="N259" s="230"/>
      <c r="O259" s="230"/>
      <c r="P259" s="230"/>
      <c r="Q259" s="230"/>
      <c r="R259" s="230"/>
      <c r="S259" s="230"/>
      <c r="T259" s="230"/>
      <c r="U259" s="230"/>
      <c r="V259" s="230"/>
      <c r="W259" s="230"/>
      <c r="X259" s="230"/>
      <c r="Y259" s="230"/>
      <c r="Z259" s="230"/>
      <c r="AA259" s="230"/>
      <c r="AB259" s="230"/>
      <c r="AC259" s="230"/>
      <c r="AD259" s="230"/>
      <c r="AE259" s="230"/>
      <c r="AF259" s="230"/>
      <c r="AG259" s="230"/>
      <c r="AH259" s="230"/>
      <c r="AI259" s="230"/>
      <c r="AJ259" s="230"/>
      <c r="AK259" s="230"/>
    </row>
    <row r="260" spans="2:37" s="187" customFormat="1" ht="10.199999999999999">
      <c r="B260" s="230"/>
      <c r="C260" s="230"/>
      <c r="D260" s="230"/>
      <c r="E260" s="230"/>
      <c r="F260" s="230"/>
      <c r="G260" s="230"/>
      <c r="H260" s="233"/>
      <c r="I260" s="233"/>
      <c r="J260" s="233"/>
      <c r="K260" s="233"/>
      <c r="L260" s="233"/>
      <c r="M260" s="233"/>
      <c r="N260" s="233"/>
      <c r="O260" s="609" t="s">
        <v>274</v>
      </c>
      <c r="P260" s="609"/>
      <c r="Q260" s="609"/>
      <c r="R260" s="609"/>
      <c r="S260" s="609"/>
      <c r="T260" s="609"/>
      <c r="U260" s="609"/>
      <c r="V260" s="609"/>
      <c r="W260" s="609"/>
      <c r="X260" s="609"/>
      <c r="Y260" s="234"/>
      <c r="Z260" s="233"/>
      <c r="AA260" s="233"/>
      <c r="AB260" s="233"/>
      <c r="AC260" s="233"/>
      <c r="AD260" s="230"/>
      <c r="AE260" s="230"/>
      <c r="AF260" s="230"/>
      <c r="AG260" s="230"/>
      <c r="AH260" s="230"/>
      <c r="AI260" s="230"/>
      <c r="AJ260" s="230"/>
      <c r="AK260" s="230"/>
    </row>
    <row r="261" spans="2:37" s="187" customFormat="1" ht="10.199999999999999">
      <c r="B261" s="230"/>
      <c r="C261" s="230"/>
      <c r="D261" s="230"/>
      <c r="E261" s="230"/>
      <c r="F261" s="230"/>
      <c r="G261" s="230"/>
      <c r="H261" s="233"/>
      <c r="I261" s="233"/>
      <c r="J261" s="233"/>
      <c r="K261" s="233"/>
      <c r="L261" s="233"/>
      <c r="M261" s="233"/>
      <c r="N261" s="233"/>
      <c r="O261" s="235"/>
      <c r="P261" s="235"/>
      <c r="Q261" s="235"/>
      <c r="R261" s="235"/>
      <c r="S261" s="235"/>
      <c r="T261" s="235"/>
      <c r="U261" s="235"/>
      <c r="V261" s="235"/>
      <c r="W261" s="233"/>
      <c r="X261" s="233"/>
      <c r="Y261" s="233"/>
      <c r="Z261" s="233"/>
      <c r="AA261" s="233"/>
      <c r="AB261" s="233"/>
      <c r="AC261" s="233"/>
      <c r="AD261" s="230"/>
      <c r="AE261" s="230"/>
      <c r="AF261" s="230"/>
      <c r="AG261" s="230"/>
      <c r="AH261" s="230"/>
      <c r="AI261" s="230"/>
      <c r="AJ261" s="230"/>
      <c r="AK261" s="230"/>
    </row>
    <row r="262" spans="2:37" s="187" customFormat="1" ht="10.199999999999999">
      <c r="B262" s="230"/>
      <c r="C262" s="230"/>
      <c r="D262" s="230"/>
      <c r="E262" s="230"/>
      <c r="F262" s="230"/>
      <c r="G262" s="230"/>
      <c r="H262" s="233"/>
      <c r="I262" s="233"/>
      <c r="J262" s="233"/>
      <c r="K262" s="233"/>
      <c r="L262" s="610"/>
      <c r="M262" s="610"/>
      <c r="N262" s="610"/>
      <c r="O262" s="610"/>
      <c r="P262" s="610"/>
      <c r="Q262" s="610"/>
      <c r="R262" s="610"/>
      <c r="S262" s="610"/>
      <c r="T262" s="610"/>
      <c r="U262" s="610"/>
      <c r="V262" s="610"/>
      <c r="W262" s="610"/>
      <c r="X262" s="610"/>
      <c r="Y262" s="610"/>
      <c r="Z262" s="610"/>
      <c r="AA262" s="610"/>
      <c r="AB262" s="233"/>
      <c r="AC262" s="233"/>
      <c r="AD262" s="230"/>
      <c r="AE262" s="230"/>
      <c r="AF262" s="230"/>
      <c r="AG262" s="230"/>
      <c r="AH262" s="230"/>
      <c r="AI262" s="230"/>
      <c r="AJ262" s="230"/>
      <c r="AK262" s="230"/>
    </row>
    <row r="263" spans="2:37" s="187" customFormat="1" ht="10.199999999999999">
      <c r="B263" s="230"/>
      <c r="C263" s="230"/>
      <c r="D263" s="230"/>
      <c r="E263" s="230"/>
      <c r="F263" s="230"/>
      <c r="G263" s="230"/>
      <c r="H263" s="233"/>
      <c r="I263" s="233"/>
      <c r="J263" s="233"/>
      <c r="K263" s="233"/>
      <c r="L263" s="611">
        <f>AA_013_DATOS_DE_LA_PARTE_ACREDITADA_NOMBRE_DEL_ACREDITADO</f>
        <v>0</v>
      </c>
      <c r="M263" s="611"/>
      <c r="N263" s="611"/>
      <c r="O263" s="611"/>
      <c r="P263" s="611"/>
      <c r="Q263" s="611"/>
      <c r="R263" s="611"/>
      <c r="S263" s="611"/>
      <c r="T263" s="611"/>
      <c r="U263" s="611"/>
      <c r="V263" s="611"/>
      <c r="W263" s="611"/>
      <c r="X263" s="611"/>
      <c r="Y263" s="611"/>
      <c r="Z263" s="611"/>
      <c r="AA263" s="611"/>
      <c r="AB263" s="233"/>
      <c r="AC263" s="233"/>
      <c r="AD263" s="230"/>
      <c r="AE263" s="230"/>
      <c r="AF263" s="230"/>
      <c r="AG263" s="230"/>
      <c r="AH263" s="230"/>
      <c r="AI263" s="230"/>
      <c r="AJ263" s="230"/>
      <c r="AK263" s="230"/>
    </row>
    <row r="264" spans="2:37" s="187" customFormat="1" ht="10.199999999999999">
      <c r="B264" s="230"/>
      <c r="C264" s="230"/>
      <c r="D264" s="230"/>
      <c r="E264" s="230"/>
      <c r="F264" s="230"/>
      <c r="G264" s="230"/>
      <c r="H264" s="233"/>
      <c r="I264" s="233"/>
      <c r="J264" s="233"/>
      <c r="K264" s="233"/>
      <c r="L264" s="233"/>
      <c r="M264" s="233"/>
      <c r="N264" s="233"/>
      <c r="O264" s="233"/>
      <c r="P264" s="233"/>
      <c r="Q264" s="233"/>
      <c r="R264" s="233"/>
      <c r="S264" s="233"/>
      <c r="T264" s="233"/>
      <c r="U264" s="233"/>
      <c r="V264" s="233"/>
      <c r="W264" s="233"/>
      <c r="X264" s="233"/>
      <c r="Y264" s="233"/>
      <c r="Z264" s="233"/>
      <c r="AA264" s="233"/>
      <c r="AB264" s="233"/>
      <c r="AC264" s="233"/>
      <c r="AD264" s="230"/>
      <c r="AE264" s="230"/>
      <c r="AF264" s="230"/>
      <c r="AG264" s="230"/>
      <c r="AH264" s="230"/>
      <c r="AI264" s="230"/>
      <c r="AJ264" s="230"/>
      <c r="AK264" s="230"/>
    </row>
    <row r="265" spans="2:37" s="187" customFormat="1" ht="10.199999999999999">
      <c r="B265" s="230"/>
      <c r="C265" s="230"/>
      <c r="D265" s="230"/>
      <c r="E265" s="230"/>
      <c r="F265" s="230"/>
      <c r="G265" s="230"/>
      <c r="H265" s="233"/>
      <c r="I265" s="233"/>
      <c r="J265" s="233"/>
      <c r="K265" s="233"/>
      <c r="L265" s="233"/>
      <c r="M265" s="233"/>
      <c r="N265" s="233"/>
      <c r="O265" s="233"/>
      <c r="P265" s="233"/>
      <c r="Q265" s="233"/>
      <c r="R265" s="233"/>
      <c r="S265" s="233"/>
      <c r="T265" s="233"/>
      <c r="U265" s="233"/>
      <c r="V265" s="233"/>
      <c r="W265" s="233"/>
      <c r="X265" s="233"/>
      <c r="Y265" s="233"/>
      <c r="Z265" s="233"/>
      <c r="AA265" s="233"/>
      <c r="AB265" s="233"/>
      <c r="AC265" s="233"/>
      <c r="AD265" s="230"/>
      <c r="AE265" s="230"/>
      <c r="AF265" s="230"/>
      <c r="AG265" s="230"/>
      <c r="AH265" s="230"/>
      <c r="AI265" s="230"/>
      <c r="AJ265" s="230"/>
      <c r="AK265" s="230"/>
    </row>
    <row r="266" spans="2:37" s="187" customFormat="1" ht="10.199999999999999">
      <c r="B266" s="230"/>
      <c r="C266" s="230"/>
      <c r="D266" s="230"/>
      <c r="E266" s="230"/>
      <c r="F266" s="230"/>
      <c r="G266" s="230"/>
      <c r="H266" s="236"/>
      <c r="I266" s="236"/>
      <c r="J266" s="236"/>
      <c r="K266" s="236"/>
      <c r="L266" s="610"/>
      <c r="M266" s="610"/>
      <c r="N266" s="610"/>
      <c r="O266" s="610"/>
      <c r="P266" s="610"/>
      <c r="Q266" s="610"/>
      <c r="R266" s="610"/>
      <c r="S266" s="610"/>
      <c r="T266" s="610"/>
      <c r="U266" s="610"/>
      <c r="V266" s="610"/>
      <c r="W266" s="610"/>
      <c r="X266" s="610"/>
      <c r="Y266" s="610"/>
      <c r="Z266" s="610"/>
      <c r="AA266" s="610"/>
      <c r="AB266" s="236"/>
      <c r="AC266" s="236"/>
      <c r="AD266" s="230"/>
      <c r="AE266" s="230"/>
      <c r="AF266" s="230"/>
      <c r="AG266" s="230"/>
      <c r="AH266" s="230"/>
      <c r="AI266" s="230"/>
      <c r="AJ266" s="230"/>
      <c r="AK266" s="230"/>
    </row>
    <row r="267" spans="2:37" s="187" customFormat="1" ht="10.199999999999999">
      <c r="B267" s="230"/>
      <c r="C267" s="230"/>
      <c r="D267" s="230"/>
      <c r="E267" s="230"/>
      <c r="F267" s="230"/>
      <c r="G267" s="230"/>
      <c r="H267" s="236"/>
      <c r="I267" s="236"/>
      <c r="J267" s="236"/>
      <c r="K267" s="236"/>
      <c r="L267" s="611">
        <f>AA_024_DATOS_DE_LA_PARTE_ACREDITADA_NOMBRE_DEL_ACREDITADO_2</f>
        <v>0</v>
      </c>
      <c r="M267" s="611"/>
      <c r="N267" s="611"/>
      <c r="O267" s="611"/>
      <c r="P267" s="611"/>
      <c r="Q267" s="611"/>
      <c r="R267" s="611"/>
      <c r="S267" s="611"/>
      <c r="T267" s="611"/>
      <c r="U267" s="611"/>
      <c r="V267" s="611"/>
      <c r="W267" s="611"/>
      <c r="X267" s="611"/>
      <c r="Y267" s="611"/>
      <c r="Z267" s="611"/>
      <c r="AA267" s="611"/>
      <c r="AB267" s="236"/>
      <c r="AC267" s="236"/>
      <c r="AD267" s="230"/>
      <c r="AE267" s="230"/>
      <c r="AF267" s="230"/>
      <c r="AG267" s="230"/>
      <c r="AH267" s="230"/>
      <c r="AI267" s="230"/>
      <c r="AJ267" s="230"/>
      <c r="AK267" s="230"/>
    </row>
    <row r="268" spans="2:37" s="187" customFormat="1" ht="10.199999999999999">
      <c r="B268" s="230"/>
      <c r="C268" s="230"/>
      <c r="D268" s="230"/>
      <c r="E268" s="230"/>
      <c r="F268" s="230"/>
      <c r="G268" s="230"/>
      <c r="H268" s="236"/>
      <c r="I268" s="236"/>
      <c r="J268" s="236"/>
      <c r="K268" s="236"/>
      <c r="L268" s="236"/>
      <c r="M268" s="236"/>
      <c r="N268" s="236"/>
      <c r="O268" s="236"/>
      <c r="P268" s="236"/>
      <c r="Q268" s="236"/>
      <c r="R268" s="236"/>
      <c r="S268" s="236"/>
      <c r="T268" s="236"/>
      <c r="U268" s="236"/>
      <c r="V268" s="236"/>
      <c r="W268" s="236"/>
      <c r="X268" s="236"/>
      <c r="Y268" s="236"/>
      <c r="Z268" s="236"/>
      <c r="AA268" s="236"/>
      <c r="AB268" s="236"/>
      <c r="AC268" s="236"/>
      <c r="AD268" s="230"/>
      <c r="AE268" s="230"/>
      <c r="AF268" s="230"/>
      <c r="AG268" s="230"/>
      <c r="AH268" s="230"/>
      <c r="AI268" s="230"/>
      <c r="AJ268" s="230"/>
      <c r="AK268" s="230"/>
    </row>
    <row r="269" spans="2:37" s="187" customFormat="1" ht="10.199999999999999">
      <c r="B269" s="230"/>
      <c r="C269" s="230"/>
      <c r="D269" s="230"/>
      <c r="E269" s="230"/>
      <c r="F269" s="230"/>
      <c r="G269" s="230"/>
      <c r="H269" s="236"/>
      <c r="I269" s="236"/>
      <c r="J269" s="236"/>
      <c r="K269" s="236"/>
      <c r="L269" s="236"/>
      <c r="M269" s="236"/>
      <c r="N269" s="236"/>
      <c r="O269" s="236"/>
      <c r="P269" s="236"/>
      <c r="Q269" s="236"/>
      <c r="R269" s="236"/>
      <c r="S269" s="236"/>
      <c r="T269" s="236"/>
      <c r="U269" s="236"/>
      <c r="V269" s="236"/>
      <c r="W269" s="236"/>
      <c r="X269" s="236"/>
      <c r="Y269" s="236"/>
      <c r="Z269" s="236"/>
      <c r="AA269" s="236"/>
      <c r="AB269" s="236"/>
      <c r="AC269" s="236"/>
      <c r="AD269" s="230"/>
      <c r="AE269" s="230"/>
      <c r="AF269" s="230"/>
      <c r="AG269" s="230"/>
      <c r="AH269" s="230"/>
      <c r="AI269" s="230"/>
      <c r="AJ269" s="230"/>
      <c r="AK269" s="230"/>
    </row>
    <row r="270" spans="2:37" s="187" customFormat="1" ht="10.199999999999999">
      <c r="B270" s="230"/>
      <c r="C270" s="230"/>
      <c r="D270" s="230"/>
      <c r="E270" s="230"/>
      <c r="F270" s="230"/>
      <c r="G270" s="230"/>
      <c r="H270" s="236"/>
      <c r="I270" s="236"/>
      <c r="J270" s="236"/>
      <c r="K270" s="236"/>
      <c r="L270" s="236"/>
      <c r="M270" s="236"/>
      <c r="N270" s="236"/>
      <c r="O270" s="236"/>
      <c r="P270" s="236"/>
      <c r="Q270" s="236"/>
      <c r="R270" s="236"/>
      <c r="S270" s="236"/>
      <c r="T270" s="236"/>
      <c r="U270" s="236"/>
      <c r="V270" s="236"/>
      <c r="W270" s="236"/>
      <c r="X270" s="236"/>
      <c r="Y270" s="236"/>
      <c r="Z270" s="236"/>
      <c r="AA270" s="236"/>
      <c r="AB270" s="236"/>
      <c r="AC270" s="236"/>
      <c r="AD270" s="230"/>
      <c r="AE270" s="230"/>
      <c r="AF270" s="230"/>
      <c r="AG270" s="230"/>
      <c r="AH270" s="230"/>
      <c r="AI270" s="230"/>
      <c r="AJ270" s="230"/>
      <c r="AK270" s="230"/>
    </row>
    <row r="271" spans="2:37" s="187" customFormat="1" ht="10.199999999999999">
      <c r="B271" s="230"/>
      <c r="C271" s="230"/>
      <c r="D271" s="230"/>
      <c r="E271" s="230"/>
      <c r="F271" s="230"/>
      <c r="G271" s="230"/>
      <c r="H271" s="236"/>
      <c r="I271" s="236"/>
      <c r="J271" s="236"/>
      <c r="K271" s="236"/>
      <c r="L271" s="236"/>
      <c r="M271" s="236"/>
      <c r="N271" s="236"/>
      <c r="O271" s="236"/>
      <c r="P271" s="236"/>
      <c r="Q271" s="236"/>
      <c r="R271" s="236"/>
      <c r="S271" s="236"/>
      <c r="T271" s="236"/>
      <c r="U271" s="236"/>
      <c r="V271" s="236"/>
      <c r="W271" s="236"/>
      <c r="X271" s="236"/>
      <c r="Y271" s="236"/>
      <c r="Z271" s="236"/>
      <c r="AA271" s="236"/>
      <c r="AB271" s="236"/>
      <c r="AC271" s="236"/>
      <c r="AD271" s="230"/>
      <c r="AE271" s="230"/>
      <c r="AF271" s="230"/>
      <c r="AG271" s="230"/>
      <c r="AH271" s="230"/>
      <c r="AI271" s="230"/>
      <c r="AJ271" s="230"/>
      <c r="AK271" s="230"/>
    </row>
    <row r="272" spans="2:37" s="187" customFormat="1" ht="10.199999999999999">
      <c r="B272" s="230"/>
      <c r="C272" s="230"/>
      <c r="D272" s="230"/>
      <c r="E272" s="230"/>
      <c r="F272" s="230"/>
      <c r="G272" s="230"/>
      <c r="H272" s="236"/>
      <c r="I272" s="236"/>
      <c r="J272" s="236"/>
      <c r="K272" s="236"/>
      <c r="L272" s="236"/>
      <c r="M272" s="609" t="s">
        <v>275</v>
      </c>
      <c r="N272" s="609"/>
      <c r="O272" s="609"/>
      <c r="P272" s="609"/>
      <c r="Q272" s="609"/>
      <c r="R272" s="609"/>
      <c r="S272" s="609"/>
      <c r="T272" s="609"/>
      <c r="U272" s="609"/>
      <c r="V272" s="609"/>
      <c r="W272" s="609"/>
      <c r="X272" s="609"/>
      <c r="Y272" s="609"/>
      <c r="Z272" s="236"/>
      <c r="AA272" s="236"/>
      <c r="AB272" s="236"/>
      <c r="AC272" s="236"/>
      <c r="AD272" s="230"/>
      <c r="AE272" s="230"/>
      <c r="AF272" s="230"/>
      <c r="AG272" s="230"/>
      <c r="AH272" s="230"/>
      <c r="AI272" s="230"/>
      <c r="AJ272" s="230"/>
      <c r="AK272" s="230"/>
    </row>
    <row r="273" spans="2:37" s="187" customFormat="1" ht="10.199999999999999">
      <c r="B273" s="230"/>
      <c r="C273" s="230"/>
      <c r="D273" s="230"/>
      <c r="E273" s="230"/>
      <c r="F273" s="230"/>
      <c r="G273" s="230"/>
      <c r="H273" s="236"/>
      <c r="I273" s="236"/>
      <c r="J273" s="236"/>
      <c r="K273" s="236"/>
      <c r="L273" s="236"/>
      <c r="M273" s="236"/>
      <c r="N273" s="236"/>
      <c r="O273" s="236"/>
      <c r="P273" s="236"/>
      <c r="Q273" s="236"/>
      <c r="R273" s="236"/>
      <c r="S273" s="236"/>
      <c r="T273" s="236"/>
      <c r="U273" s="236"/>
      <c r="V273" s="236"/>
      <c r="W273" s="236"/>
      <c r="X273" s="236"/>
      <c r="Y273" s="236"/>
      <c r="Z273" s="236"/>
      <c r="AA273" s="236"/>
      <c r="AB273" s="236"/>
      <c r="AC273" s="236"/>
      <c r="AD273" s="230"/>
      <c r="AE273" s="230"/>
      <c r="AF273" s="230"/>
      <c r="AG273" s="230"/>
      <c r="AH273" s="230"/>
      <c r="AI273" s="230"/>
      <c r="AJ273" s="230"/>
      <c r="AK273" s="230"/>
    </row>
    <row r="274" spans="2:37" s="187" customFormat="1" ht="10.199999999999999">
      <c r="B274" s="230"/>
      <c r="C274" s="230"/>
      <c r="D274" s="230"/>
      <c r="E274" s="230"/>
      <c r="F274" s="230"/>
      <c r="G274" s="230"/>
      <c r="H274" s="236"/>
      <c r="I274" s="236"/>
      <c r="J274" s="236"/>
      <c r="K274" s="236"/>
      <c r="L274" s="610"/>
      <c r="M274" s="610"/>
      <c r="N274" s="610"/>
      <c r="O274" s="610"/>
      <c r="P274" s="610"/>
      <c r="Q274" s="610"/>
      <c r="R274" s="610"/>
      <c r="S274" s="610"/>
      <c r="T274" s="610"/>
      <c r="U274" s="610"/>
      <c r="V274" s="610"/>
      <c r="W274" s="610"/>
      <c r="X274" s="610"/>
      <c r="Y274" s="610"/>
      <c r="Z274" s="610"/>
      <c r="AA274" s="610"/>
      <c r="AB274" s="236"/>
      <c r="AC274" s="236"/>
      <c r="AD274" s="230"/>
      <c r="AE274" s="230"/>
      <c r="AF274" s="230"/>
      <c r="AG274" s="230"/>
      <c r="AH274" s="230"/>
      <c r="AI274" s="230"/>
      <c r="AJ274" s="230"/>
      <c r="AK274" s="230"/>
    </row>
    <row r="275" spans="2:37" s="187" customFormat="1" ht="10.199999999999999">
      <c r="B275" s="230"/>
      <c r="C275" s="230"/>
      <c r="D275" s="230"/>
      <c r="E275" s="230"/>
      <c r="F275" s="230"/>
      <c r="G275" s="230"/>
      <c r="H275" s="236"/>
      <c r="I275" s="236"/>
      <c r="J275" s="236"/>
      <c r="K275" s="236"/>
      <c r="L275" s="611">
        <f>AA_037_DATOS_FIADORES_NOMBRE_DEL_FIADOR_SOLIDARIO_UNO</f>
        <v>0</v>
      </c>
      <c r="M275" s="611"/>
      <c r="N275" s="611"/>
      <c r="O275" s="611"/>
      <c r="P275" s="611"/>
      <c r="Q275" s="611"/>
      <c r="R275" s="611"/>
      <c r="S275" s="611"/>
      <c r="T275" s="611"/>
      <c r="U275" s="611"/>
      <c r="V275" s="611"/>
      <c r="W275" s="611"/>
      <c r="X275" s="611"/>
      <c r="Y275" s="611"/>
      <c r="Z275" s="611"/>
      <c r="AA275" s="611"/>
      <c r="AB275" s="236"/>
      <c r="AC275" s="236"/>
      <c r="AD275" s="230"/>
      <c r="AE275" s="230"/>
      <c r="AF275" s="230"/>
      <c r="AG275" s="230"/>
      <c r="AH275" s="230"/>
      <c r="AI275" s="230"/>
      <c r="AJ275" s="230"/>
      <c r="AK275" s="230"/>
    </row>
    <row r="276" spans="2:37" s="187" customFormat="1" ht="10.199999999999999">
      <c r="B276" s="230"/>
      <c r="C276" s="230"/>
      <c r="D276" s="230"/>
      <c r="E276" s="230"/>
      <c r="F276" s="230"/>
      <c r="G276" s="230"/>
      <c r="H276" s="236"/>
      <c r="I276" s="236"/>
      <c r="J276" s="236"/>
      <c r="K276" s="236"/>
      <c r="L276" s="236"/>
      <c r="M276" s="236"/>
      <c r="N276" s="236"/>
      <c r="O276" s="236"/>
      <c r="P276" s="236"/>
      <c r="Q276" s="236"/>
      <c r="R276" s="236"/>
      <c r="S276" s="236"/>
      <c r="T276" s="236"/>
      <c r="U276" s="236"/>
      <c r="V276" s="236"/>
      <c r="W276" s="236"/>
      <c r="X276" s="236"/>
      <c r="Y276" s="236"/>
      <c r="Z276" s="236"/>
      <c r="AA276" s="236"/>
      <c r="AB276" s="236"/>
      <c r="AC276" s="236"/>
      <c r="AD276" s="230"/>
      <c r="AE276" s="230"/>
      <c r="AF276" s="230"/>
      <c r="AG276" s="230"/>
      <c r="AH276" s="230"/>
      <c r="AI276" s="230"/>
      <c r="AJ276" s="230"/>
      <c r="AK276" s="230"/>
    </row>
    <row r="277" spans="2:37" s="187" customFormat="1" ht="10.199999999999999">
      <c r="B277" s="230"/>
      <c r="C277" s="230"/>
      <c r="D277" s="230"/>
      <c r="E277" s="230"/>
      <c r="F277" s="230"/>
      <c r="G277" s="230"/>
      <c r="H277" s="236"/>
      <c r="I277" s="236"/>
      <c r="J277" s="236"/>
      <c r="K277" s="236"/>
      <c r="L277" s="236"/>
      <c r="M277" s="236"/>
      <c r="N277" s="236"/>
      <c r="O277" s="236"/>
      <c r="P277" s="236"/>
      <c r="Q277" s="236"/>
      <c r="R277" s="236"/>
      <c r="S277" s="236"/>
      <c r="T277" s="236"/>
      <c r="U277" s="236"/>
      <c r="V277" s="236"/>
      <c r="W277" s="236"/>
      <c r="X277" s="236"/>
      <c r="Y277" s="236"/>
      <c r="Z277" s="236"/>
      <c r="AA277" s="236"/>
      <c r="AB277" s="236"/>
      <c r="AC277" s="236"/>
      <c r="AD277" s="230"/>
      <c r="AE277" s="230"/>
      <c r="AF277" s="230"/>
      <c r="AG277" s="230"/>
      <c r="AH277" s="230"/>
      <c r="AI277" s="230"/>
      <c r="AJ277" s="230"/>
      <c r="AK277" s="230"/>
    </row>
    <row r="278" spans="2:37" s="187" customFormat="1" ht="10.199999999999999">
      <c r="B278" s="230"/>
      <c r="C278" s="230"/>
      <c r="D278" s="230"/>
      <c r="E278" s="230"/>
      <c r="F278" s="230"/>
      <c r="G278" s="230"/>
      <c r="H278" s="236"/>
      <c r="I278" s="236"/>
      <c r="J278" s="236"/>
      <c r="K278" s="236"/>
      <c r="L278" s="610"/>
      <c r="M278" s="610"/>
      <c r="N278" s="610"/>
      <c r="O278" s="610"/>
      <c r="P278" s="610"/>
      <c r="Q278" s="610"/>
      <c r="R278" s="610"/>
      <c r="S278" s="610"/>
      <c r="T278" s="610"/>
      <c r="U278" s="610"/>
      <c r="V278" s="610"/>
      <c r="W278" s="610"/>
      <c r="X278" s="610"/>
      <c r="Y278" s="610"/>
      <c r="Z278" s="610"/>
      <c r="AA278" s="610"/>
      <c r="AB278" s="236"/>
      <c r="AC278" s="236"/>
      <c r="AD278" s="230"/>
      <c r="AE278" s="230"/>
      <c r="AF278" s="230"/>
      <c r="AG278" s="230"/>
      <c r="AH278" s="230"/>
      <c r="AI278" s="230"/>
      <c r="AJ278" s="230"/>
      <c r="AK278" s="230"/>
    </row>
    <row r="279" spans="2:37" s="187" customFormat="1" ht="10.199999999999999">
      <c r="B279" s="230"/>
      <c r="C279" s="230"/>
      <c r="D279" s="230"/>
      <c r="E279" s="230"/>
      <c r="F279" s="230"/>
      <c r="G279" s="230"/>
      <c r="H279" s="236"/>
      <c r="I279" s="236"/>
      <c r="J279" s="236"/>
      <c r="K279" s="236"/>
      <c r="L279" s="611">
        <f>AA_048_DATOS_FIADORES_NOMBRE_DEL_FIADOR_SOLIDARIO_DOS</f>
        <v>0</v>
      </c>
      <c r="M279" s="611"/>
      <c r="N279" s="611"/>
      <c r="O279" s="611"/>
      <c r="P279" s="611"/>
      <c r="Q279" s="611"/>
      <c r="R279" s="611"/>
      <c r="S279" s="611"/>
      <c r="T279" s="611"/>
      <c r="U279" s="611"/>
      <c r="V279" s="611"/>
      <c r="W279" s="611"/>
      <c r="X279" s="611"/>
      <c r="Y279" s="611"/>
      <c r="Z279" s="611"/>
      <c r="AA279" s="611"/>
      <c r="AB279" s="236"/>
      <c r="AC279" s="236"/>
      <c r="AD279" s="230"/>
      <c r="AE279" s="230"/>
      <c r="AF279" s="230"/>
      <c r="AG279" s="230"/>
      <c r="AH279" s="230"/>
      <c r="AI279" s="230"/>
      <c r="AJ279" s="230"/>
      <c r="AK279" s="230"/>
    </row>
    <row r="280" spans="2:37" s="187" customFormat="1" ht="10.199999999999999">
      <c r="B280" s="230"/>
      <c r="C280" s="230"/>
      <c r="D280" s="230"/>
      <c r="E280" s="230"/>
      <c r="F280" s="230"/>
      <c r="G280" s="230"/>
      <c r="H280" s="236"/>
      <c r="I280" s="236"/>
      <c r="J280" s="236"/>
      <c r="K280" s="236"/>
      <c r="L280" s="236"/>
      <c r="M280" s="236"/>
      <c r="N280" s="236"/>
      <c r="O280" s="236"/>
      <c r="P280" s="236"/>
      <c r="Q280" s="236"/>
      <c r="R280" s="236"/>
      <c r="S280" s="236"/>
      <c r="T280" s="236"/>
      <c r="U280" s="236"/>
      <c r="V280" s="236"/>
      <c r="W280" s="236"/>
      <c r="X280" s="236"/>
      <c r="Y280" s="236"/>
      <c r="Z280" s="236"/>
      <c r="AA280" s="236"/>
      <c r="AB280" s="236"/>
      <c r="AC280" s="236"/>
      <c r="AD280" s="230"/>
      <c r="AE280" s="230"/>
      <c r="AF280" s="230"/>
      <c r="AG280" s="230"/>
      <c r="AH280" s="230"/>
      <c r="AI280" s="230"/>
      <c r="AJ280" s="230"/>
      <c r="AK280" s="230"/>
    </row>
    <row r="281" spans="2:37" s="187" customFormat="1" ht="10.199999999999999">
      <c r="B281" s="230"/>
      <c r="C281" s="230"/>
      <c r="D281" s="230"/>
      <c r="E281" s="230"/>
      <c r="F281" s="230"/>
      <c r="G281" s="230"/>
      <c r="H281" s="236"/>
      <c r="I281" s="236"/>
      <c r="J281" s="236"/>
      <c r="K281" s="236"/>
      <c r="L281" s="236"/>
      <c r="M281" s="236"/>
      <c r="N281" s="236"/>
      <c r="O281" s="236"/>
      <c r="P281" s="236"/>
      <c r="Q281" s="236"/>
      <c r="R281" s="236"/>
      <c r="S281" s="236"/>
      <c r="T281" s="236"/>
      <c r="U281" s="236"/>
      <c r="V281" s="236"/>
      <c r="W281" s="236"/>
      <c r="X281" s="236"/>
      <c r="Y281" s="236"/>
      <c r="Z281" s="236"/>
      <c r="AA281" s="236"/>
      <c r="AB281" s="236"/>
      <c r="AC281" s="236"/>
      <c r="AD281" s="230"/>
      <c r="AE281" s="230"/>
      <c r="AF281" s="230"/>
      <c r="AG281" s="230"/>
      <c r="AH281" s="230"/>
      <c r="AI281" s="230"/>
      <c r="AJ281" s="230"/>
      <c r="AK281" s="230"/>
    </row>
    <row r="282" spans="2:37" s="187" customFormat="1" ht="10.199999999999999">
      <c r="B282" s="230"/>
      <c r="C282" s="230"/>
      <c r="D282" s="230"/>
      <c r="E282" s="230"/>
      <c r="F282" s="230"/>
      <c r="G282" s="230"/>
      <c r="H282" s="236"/>
      <c r="I282" s="236"/>
      <c r="J282" s="236"/>
      <c r="K282" s="236"/>
      <c r="L282" s="610">
        <f>B54</f>
        <v>0</v>
      </c>
      <c r="M282" s="610"/>
      <c r="N282" s="610"/>
      <c r="O282" s="610"/>
      <c r="P282" s="610"/>
      <c r="Q282" s="610"/>
      <c r="R282" s="610"/>
      <c r="S282" s="610"/>
      <c r="T282" s="610"/>
      <c r="U282" s="610"/>
      <c r="V282" s="610"/>
      <c r="W282" s="610"/>
      <c r="X282" s="610"/>
      <c r="Y282" s="610"/>
      <c r="Z282" s="610"/>
      <c r="AA282" s="610"/>
      <c r="AB282" s="236"/>
      <c r="AC282" s="236"/>
      <c r="AD282" s="230"/>
      <c r="AE282" s="230"/>
      <c r="AF282" s="230"/>
      <c r="AG282" s="230"/>
      <c r="AH282" s="230"/>
      <c r="AI282" s="230"/>
      <c r="AJ282" s="230"/>
      <c r="AK282" s="230"/>
    </row>
    <row r="283" spans="2:37" s="187" customFormat="1" ht="10.199999999999999">
      <c r="B283" s="230"/>
      <c r="C283" s="230"/>
      <c r="D283" s="230"/>
      <c r="E283" s="230"/>
      <c r="F283" s="230"/>
      <c r="G283" s="230"/>
      <c r="H283" s="236"/>
      <c r="I283" s="236"/>
      <c r="J283" s="236"/>
      <c r="K283" s="236"/>
      <c r="L283" s="611">
        <f>AA_059_DATOS_FIADORES_NOMBRE_DEL_FIADOR_SOLIDARIO_TRES</f>
        <v>0</v>
      </c>
      <c r="M283" s="611"/>
      <c r="N283" s="611"/>
      <c r="O283" s="611"/>
      <c r="P283" s="611"/>
      <c r="Q283" s="611"/>
      <c r="R283" s="611"/>
      <c r="S283" s="611"/>
      <c r="T283" s="611"/>
      <c r="U283" s="611"/>
      <c r="V283" s="611"/>
      <c r="W283" s="611"/>
      <c r="X283" s="611"/>
      <c r="Y283" s="611"/>
      <c r="Z283" s="611"/>
      <c r="AA283" s="611"/>
      <c r="AB283" s="236"/>
      <c r="AC283" s="236"/>
      <c r="AD283" s="230"/>
      <c r="AE283" s="230"/>
      <c r="AF283" s="230"/>
      <c r="AG283" s="230"/>
      <c r="AH283" s="230"/>
      <c r="AI283" s="230"/>
      <c r="AJ283" s="230"/>
      <c r="AK283" s="230"/>
    </row>
    <row r="284" spans="2:37" s="187" customFormat="1" ht="10.199999999999999">
      <c r="B284" s="230"/>
      <c r="C284" s="230"/>
      <c r="D284" s="230"/>
      <c r="E284" s="230"/>
      <c r="F284" s="230"/>
      <c r="G284" s="230"/>
      <c r="H284" s="236"/>
      <c r="I284" s="236"/>
      <c r="J284" s="236"/>
      <c r="K284" s="236"/>
      <c r="L284" s="236"/>
      <c r="M284" s="236"/>
      <c r="N284" s="236"/>
      <c r="O284" s="236"/>
      <c r="P284" s="236"/>
      <c r="Q284" s="236"/>
      <c r="R284" s="236"/>
      <c r="S284" s="236"/>
      <c r="T284" s="236"/>
      <c r="U284" s="236"/>
      <c r="V284" s="236"/>
      <c r="W284" s="236"/>
      <c r="X284" s="236"/>
      <c r="Y284" s="236"/>
      <c r="Z284" s="236"/>
      <c r="AA284" s="236"/>
      <c r="AB284" s="236"/>
      <c r="AC284" s="236"/>
      <c r="AD284" s="230"/>
      <c r="AE284" s="230"/>
      <c r="AF284" s="230"/>
      <c r="AG284" s="230"/>
      <c r="AH284" s="230"/>
      <c r="AI284" s="230"/>
      <c r="AJ284" s="230"/>
      <c r="AK284" s="230"/>
    </row>
    <row r="285" spans="2:37" s="187" customFormat="1" ht="10.199999999999999">
      <c r="B285" s="230"/>
      <c r="C285" s="230"/>
      <c r="D285" s="230"/>
      <c r="E285" s="230"/>
      <c r="F285" s="230"/>
      <c r="G285" s="230"/>
      <c r="H285" s="236"/>
      <c r="I285" s="236"/>
      <c r="J285" s="236"/>
      <c r="K285" s="236"/>
      <c r="L285" s="236"/>
      <c r="M285" s="236"/>
      <c r="N285" s="236"/>
      <c r="O285" s="236"/>
      <c r="P285" s="236"/>
      <c r="Q285" s="236"/>
      <c r="R285" s="236"/>
      <c r="S285" s="236"/>
      <c r="T285" s="236"/>
      <c r="U285" s="236"/>
      <c r="V285" s="236"/>
      <c r="W285" s="236"/>
      <c r="X285" s="236"/>
      <c r="Y285" s="236"/>
      <c r="Z285" s="236"/>
      <c r="AA285" s="236"/>
      <c r="AB285" s="236"/>
      <c r="AC285" s="236"/>
      <c r="AD285" s="230"/>
      <c r="AE285" s="230"/>
      <c r="AF285" s="230"/>
      <c r="AG285" s="230"/>
      <c r="AH285" s="230"/>
      <c r="AI285" s="230"/>
      <c r="AJ285" s="230"/>
      <c r="AK285" s="230"/>
    </row>
    <row r="286" spans="2:37" s="187" customFormat="1" ht="10.199999999999999">
      <c r="B286" s="230"/>
      <c r="C286" s="230"/>
      <c r="D286" s="230"/>
      <c r="E286" s="230"/>
      <c r="F286" s="230"/>
      <c r="G286" s="230"/>
      <c r="H286" s="236"/>
      <c r="I286" s="236"/>
      <c r="J286" s="236"/>
      <c r="K286" s="236"/>
      <c r="L286" s="234"/>
      <c r="M286" s="234"/>
      <c r="N286" s="234"/>
      <c r="O286" s="609" t="s">
        <v>276</v>
      </c>
      <c r="P286" s="609"/>
      <c r="Q286" s="609"/>
      <c r="R286" s="609"/>
      <c r="S286" s="609"/>
      <c r="T286" s="609"/>
      <c r="U286" s="609"/>
      <c r="V286" s="609"/>
      <c r="W286" s="609"/>
      <c r="X286" s="234"/>
      <c r="Y286" s="234"/>
      <c r="Z286" s="234"/>
      <c r="AA286" s="234"/>
      <c r="AB286" s="235"/>
      <c r="AC286" s="236"/>
      <c r="AD286" s="230"/>
      <c r="AE286" s="230"/>
      <c r="AF286" s="230"/>
      <c r="AG286" s="230"/>
      <c r="AH286" s="230"/>
      <c r="AI286" s="230"/>
      <c r="AJ286" s="230"/>
      <c r="AK286" s="230"/>
    </row>
    <row r="287" spans="2:37" s="187" customFormat="1" ht="10.199999999999999">
      <c r="B287" s="230"/>
      <c r="C287" s="230"/>
      <c r="D287" s="230"/>
      <c r="E287" s="230"/>
      <c r="F287" s="230"/>
      <c r="G287" s="230"/>
      <c r="H287" s="612" t="s">
        <v>277</v>
      </c>
      <c r="I287" s="612"/>
      <c r="J287" s="612"/>
      <c r="K287" s="612"/>
      <c r="L287" s="612"/>
      <c r="M287" s="612"/>
      <c r="N287" s="612"/>
      <c r="O287" s="612"/>
      <c r="P287" s="612"/>
      <c r="Q287" s="612"/>
      <c r="R287" s="612"/>
      <c r="S287" s="612"/>
      <c r="T287" s="612"/>
      <c r="U287" s="612"/>
      <c r="V287" s="612"/>
      <c r="W287" s="612"/>
      <c r="X287" s="612"/>
      <c r="Y287" s="612"/>
      <c r="Z287" s="612"/>
      <c r="AA287" s="612"/>
      <c r="AB287" s="612"/>
      <c r="AC287" s="612"/>
      <c r="AD287" s="230"/>
      <c r="AE287" s="230"/>
      <c r="AF287" s="230"/>
      <c r="AG287" s="230"/>
      <c r="AH287" s="230"/>
      <c r="AI287" s="230"/>
      <c r="AJ287" s="230"/>
      <c r="AK287" s="230"/>
    </row>
    <row r="288" spans="2:37" s="187" customFormat="1" ht="10.199999999999999">
      <c r="B288" s="230"/>
      <c r="C288" s="230"/>
      <c r="D288" s="230"/>
      <c r="E288" s="230"/>
      <c r="F288" s="230"/>
      <c r="G288" s="230"/>
      <c r="H288" s="236"/>
      <c r="I288" s="236"/>
      <c r="J288" s="236"/>
      <c r="K288" s="236"/>
      <c r="L288" s="237"/>
      <c r="M288" s="234"/>
      <c r="N288" s="234"/>
      <c r="O288" s="612" t="s">
        <v>278</v>
      </c>
      <c r="P288" s="612"/>
      <c r="Q288" s="612"/>
      <c r="R288" s="612"/>
      <c r="S288" s="612"/>
      <c r="T288" s="612"/>
      <c r="U288" s="612"/>
      <c r="V288" s="612"/>
      <c r="W288" s="612"/>
      <c r="X288" s="234"/>
      <c r="Y288" s="234"/>
      <c r="Z288" s="234"/>
      <c r="AA288" s="234"/>
      <c r="AB288" s="236"/>
      <c r="AC288" s="236"/>
      <c r="AD288" s="230"/>
      <c r="AE288" s="230"/>
      <c r="AF288" s="230"/>
      <c r="AG288" s="230"/>
      <c r="AH288" s="230"/>
      <c r="AI288" s="230"/>
      <c r="AJ288" s="230"/>
      <c r="AK288" s="230"/>
    </row>
    <row r="289" spans="2:37" s="187" customFormat="1" ht="10.199999999999999">
      <c r="B289" s="230"/>
      <c r="C289" s="230"/>
      <c r="D289" s="230"/>
      <c r="E289" s="230"/>
      <c r="F289" s="230"/>
      <c r="G289" s="230"/>
      <c r="H289" s="236"/>
      <c r="I289" s="236"/>
      <c r="J289" s="236"/>
      <c r="K289" s="236"/>
      <c r="L289" s="236"/>
      <c r="M289" s="236"/>
      <c r="N289" s="236"/>
      <c r="O289" s="236"/>
      <c r="P289" s="236"/>
      <c r="Q289" s="236"/>
      <c r="R289" s="236"/>
      <c r="S289" s="236"/>
      <c r="T289" s="236"/>
      <c r="U289" s="236"/>
      <c r="V289" s="236"/>
      <c r="W289" s="236"/>
      <c r="X289" s="236"/>
      <c r="Y289" s="236"/>
      <c r="Z289" s="236"/>
      <c r="AA289" s="236"/>
      <c r="AB289" s="236"/>
      <c r="AC289" s="236"/>
      <c r="AD289" s="230"/>
      <c r="AE289" s="230"/>
      <c r="AF289" s="230"/>
      <c r="AG289" s="230"/>
      <c r="AH289" s="230"/>
      <c r="AI289" s="230"/>
      <c r="AJ289" s="230"/>
      <c r="AK289" s="230"/>
    </row>
    <row r="290" spans="2:37" s="187" customFormat="1" ht="10.199999999999999">
      <c r="B290" s="230"/>
      <c r="C290" s="230"/>
      <c r="D290" s="230"/>
      <c r="E290" s="230"/>
      <c r="F290" s="230"/>
      <c r="G290" s="230"/>
      <c r="H290" s="236"/>
      <c r="I290" s="236"/>
      <c r="J290" s="236"/>
      <c r="K290" s="236"/>
      <c r="L290" s="236"/>
      <c r="M290" s="236"/>
      <c r="N290" s="236"/>
      <c r="O290" s="236"/>
      <c r="P290" s="236"/>
      <c r="Q290" s="236"/>
      <c r="R290" s="236"/>
      <c r="S290" s="236"/>
      <c r="T290" s="236"/>
      <c r="U290" s="236"/>
      <c r="V290" s="236"/>
      <c r="W290" s="236"/>
      <c r="X290" s="236"/>
      <c r="Y290" s="236"/>
      <c r="Z290" s="236"/>
      <c r="AA290" s="236"/>
      <c r="AB290" s="236"/>
      <c r="AC290" s="236"/>
      <c r="AD290" s="230"/>
      <c r="AE290" s="230"/>
      <c r="AF290" s="230"/>
      <c r="AG290" s="230"/>
      <c r="AH290" s="230"/>
      <c r="AI290" s="230"/>
      <c r="AJ290" s="230"/>
      <c r="AK290" s="230"/>
    </row>
    <row r="291" spans="2:37" s="187" customFormat="1" ht="10.199999999999999">
      <c r="B291" s="230"/>
      <c r="C291" s="230"/>
      <c r="D291" s="230"/>
      <c r="E291" s="230"/>
      <c r="F291" s="230"/>
      <c r="G291" s="230"/>
      <c r="H291" s="236"/>
      <c r="I291" s="236"/>
      <c r="J291" s="236"/>
      <c r="K291" s="236"/>
      <c r="L291" s="610"/>
      <c r="M291" s="610"/>
      <c r="N291" s="610"/>
      <c r="O291" s="610"/>
      <c r="P291" s="610"/>
      <c r="Q291" s="610"/>
      <c r="R291" s="610"/>
      <c r="S291" s="610"/>
      <c r="T291" s="610"/>
      <c r="U291" s="610"/>
      <c r="V291" s="610"/>
      <c r="W291" s="610"/>
      <c r="X291" s="610"/>
      <c r="Y291" s="610"/>
      <c r="Z291" s="610"/>
      <c r="AA291" s="610"/>
      <c r="AB291" s="236"/>
      <c r="AC291" s="236"/>
      <c r="AD291" s="230"/>
      <c r="AE291" s="230"/>
      <c r="AF291" s="230"/>
      <c r="AG291" s="230"/>
      <c r="AH291" s="230"/>
      <c r="AI291" s="230"/>
      <c r="AJ291" s="230"/>
      <c r="AK291" s="230"/>
    </row>
    <row r="292" spans="2:37" s="187" customFormat="1" ht="10.199999999999999">
      <c r="B292" s="230"/>
      <c r="C292" s="230"/>
      <c r="D292" s="230"/>
      <c r="E292" s="230"/>
      <c r="F292" s="230"/>
      <c r="G292" s="230"/>
      <c r="H292" s="236"/>
      <c r="I292" s="236"/>
      <c r="J292" s="236"/>
      <c r="K292" s="236"/>
      <c r="L292" s="613">
        <f>AA_089_DATOS_APODERADOS_BANCO_NOMBRE_APODERADO_DEL_BANCO_UNO</f>
        <v>0</v>
      </c>
      <c r="M292" s="613"/>
      <c r="N292" s="613"/>
      <c r="O292" s="613"/>
      <c r="P292" s="613"/>
      <c r="Q292" s="613"/>
      <c r="R292" s="613"/>
      <c r="S292" s="613"/>
      <c r="T292" s="613"/>
      <c r="U292" s="613"/>
      <c r="V292" s="613"/>
      <c r="W292" s="613"/>
      <c r="X292" s="613"/>
      <c r="Y292" s="613"/>
      <c r="Z292" s="613"/>
      <c r="AA292" s="613"/>
      <c r="AB292" s="236"/>
      <c r="AC292" s="236"/>
      <c r="AD292" s="230"/>
      <c r="AE292" s="230"/>
      <c r="AF292" s="230"/>
      <c r="AG292" s="230"/>
      <c r="AH292" s="230"/>
      <c r="AI292" s="230"/>
      <c r="AJ292" s="230"/>
      <c r="AK292" s="230"/>
    </row>
    <row r="293" spans="2:37" s="187" customFormat="1" ht="10.199999999999999">
      <c r="B293" s="230"/>
      <c r="C293" s="230"/>
      <c r="D293" s="230"/>
      <c r="E293" s="230"/>
      <c r="F293" s="230"/>
      <c r="G293" s="230"/>
      <c r="H293" s="232"/>
      <c r="I293" s="232"/>
      <c r="J293" s="232"/>
      <c r="K293" s="232"/>
      <c r="L293" s="232"/>
      <c r="M293" s="232"/>
      <c r="N293" s="232"/>
      <c r="O293" s="232"/>
      <c r="P293" s="232"/>
      <c r="Q293" s="232"/>
      <c r="R293" s="232"/>
      <c r="S293" s="232"/>
      <c r="T293" s="232"/>
      <c r="U293" s="232"/>
      <c r="V293" s="232"/>
      <c r="W293" s="232"/>
      <c r="X293" s="232"/>
      <c r="Y293" s="232"/>
      <c r="Z293" s="232"/>
      <c r="AA293" s="232"/>
      <c r="AB293" s="232"/>
      <c r="AC293" s="232"/>
      <c r="AD293" s="230"/>
      <c r="AE293" s="230"/>
      <c r="AF293" s="230"/>
      <c r="AG293" s="230"/>
      <c r="AH293" s="230"/>
      <c r="AI293" s="230"/>
      <c r="AJ293" s="230"/>
      <c r="AK293" s="230"/>
    </row>
    <row r="294" spans="2:37" s="187" customFormat="1" ht="10.199999999999999">
      <c r="B294" s="230"/>
      <c r="C294" s="230"/>
      <c r="D294" s="230"/>
      <c r="E294" s="230"/>
      <c r="F294" s="230"/>
      <c r="G294" s="230"/>
      <c r="H294" s="232"/>
      <c r="I294" s="232"/>
      <c r="J294" s="232"/>
      <c r="K294" s="232"/>
      <c r="L294" s="617"/>
      <c r="M294" s="617"/>
      <c r="N294" s="617"/>
      <c r="O294" s="617"/>
      <c r="P294" s="617"/>
      <c r="Q294" s="617"/>
      <c r="R294" s="617"/>
      <c r="S294" s="617"/>
      <c r="T294" s="617"/>
      <c r="U294" s="617"/>
      <c r="V294" s="617"/>
      <c r="W294" s="617"/>
      <c r="X294" s="617"/>
      <c r="Y294" s="617"/>
      <c r="Z294" s="617"/>
      <c r="AA294" s="617"/>
      <c r="AB294" s="232"/>
      <c r="AC294" s="232"/>
      <c r="AD294" s="230"/>
      <c r="AE294" s="230"/>
      <c r="AF294" s="230"/>
      <c r="AG294" s="230"/>
      <c r="AH294" s="230"/>
      <c r="AI294" s="230"/>
      <c r="AJ294" s="230"/>
      <c r="AK294" s="230"/>
    </row>
    <row r="295" spans="2:37" s="187" customFormat="1" ht="10.199999999999999">
      <c r="B295" s="230"/>
      <c r="C295" s="230"/>
      <c r="D295" s="230"/>
      <c r="E295" s="230"/>
      <c r="F295" s="230"/>
      <c r="G295" s="230"/>
      <c r="H295" s="232"/>
      <c r="I295" s="232"/>
      <c r="J295" s="232"/>
      <c r="K295" s="232"/>
      <c r="L295" s="613">
        <f>AA_090_DATOS_APODERADOS_BANCO_NOMBRE_APODERADO_DEL_BANCO_DOS</f>
        <v>0</v>
      </c>
      <c r="M295" s="613"/>
      <c r="N295" s="613"/>
      <c r="O295" s="613"/>
      <c r="P295" s="613"/>
      <c r="Q295" s="613"/>
      <c r="R295" s="613"/>
      <c r="S295" s="613"/>
      <c r="T295" s="613"/>
      <c r="U295" s="613"/>
      <c r="V295" s="613"/>
      <c r="W295" s="613"/>
      <c r="X295" s="613"/>
      <c r="Y295" s="613"/>
      <c r="Z295" s="613"/>
      <c r="AA295" s="613"/>
      <c r="AB295" s="232"/>
      <c r="AC295" s="232"/>
      <c r="AD295" s="230"/>
      <c r="AE295" s="230"/>
      <c r="AF295" s="230"/>
      <c r="AG295" s="230"/>
      <c r="AH295" s="230"/>
      <c r="AI295" s="230"/>
      <c r="AJ295" s="230"/>
      <c r="AK295" s="230"/>
    </row>
    <row r="296" spans="2:37" s="187" customFormat="1" ht="13.2">
      <c r="B296" s="230"/>
      <c r="C296" s="230"/>
      <c r="D296" s="230"/>
      <c r="E296" s="230"/>
      <c r="F296" s="230"/>
      <c r="G296" s="230"/>
      <c r="H296" s="238"/>
      <c r="I296" s="238"/>
      <c r="J296" s="238"/>
      <c r="K296" s="238"/>
      <c r="L296" s="238"/>
      <c r="M296" s="238"/>
      <c r="N296" s="238"/>
      <c r="O296" s="238"/>
      <c r="P296" s="238"/>
      <c r="Q296" s="238"/>
      <c r="R296" s="238"/>
      <c r="S296" s="238"/>
      <c r="T296" s="238"/>
      <c r="U296" s="238"/>
      <c r="V296" s="238"/>
      <c r="W296" s="238"/>
      <c r="X296" s="238"/>
      <c r="Y296" s="238"/>
      <c r="Z296" s="238"/>
      <c r="AA296" s="238"/>
      <c r="AB296" s="238"/>
      <c r="AC296" s="238"/>
      <c r="AD296" s="230"/>
      <c r="AE296" s="230"/>
      <c r="AF296" s="230"/>
      <c r="AG296" s="230"/>
      <c r="AH296" s="230"/>
      <c r="AI296" s="230"/>
      <c r="AJ296" s="230"/>
      <c r="AK296" s="230"/>
    </row>
    <row r="297" spans="2:37" s="187" customFormat="1" ht="13.2">
      <c r="B297" s="230"/>
      <c r="C297" s="230"/>
      <c r="D297" s="230"/>
      <c r="E297" s="230"/>
      <c r="F297" s="230"/>
      <c r="G297" s="230"/>
      <c r="H297" s="238"/>
      <c r="I297" s="238"/>
      <c r="J297" s="238"/>
      <c r="K297" s="238"/>
      <c r="L297" s="238"/>
      <c r="M297" s="238"/>
      <c r="N297" s="238"/>
      <c r="O297" s="238"/>
      <c r="P297" s="238"/>
      <c r="Q297" s="238"/>
      <c r="R297" s="238"/>
      <c r="S297" s="238"/>
      <c r="T297" s="238"/>
      <c r="U297" s="238"/>
      <c r="V297" s="238"/>
      <c r="W297" s="238"/>
      <c r="X297" s="238"/>
      <c r="Y297" s="238"/>
      <c r="Z297" s="238"/>
      <c r="AA297" s="238"/>
      <c r="AB297" s="238"/>
      <c r="AC297" s="238"/>
      <c r="AD297" s="230"/>
      <c r="AE297" s="230"/>
      <c r="AF297" s="230"/>
      <c r="AG297" s="230"/>
      <c r="AH297" s="230"/>
      <c r="AI297" s="230"/>
      <c r="AJ297" s="230"/>
      <c r="AK297" s="230"/>
    </row>
    <row r="298" spans="2:37" s="187" customFormat="1" ht="7.8">
      <c r="B298" s="230"/>
      <c r="C298" s="230"/>
      <c r="D298" s="230"/>
      <c r="E298" s="230"/>
      <c r="F298" s="230"/>
      <c r="G298" s="230"/>
      <c r="H298" s="230"/>
      <c r="I298" s="230"/>
      <c r="J298" s="230"/>
      <c r="K298" s="230"/>
      <c r="L298" s="230"/>
      <c r="M298" s="230"/>
      <c r="N298" s="230"/>
      <c r="O298" s="230"/>
      <c r="P298" s="230"/>
      <c r="Q298" s="230"/>
      <c r="R298" s="230"/>
      <c r="S298" s="230"/>
      <c r="T298" s="230"/>
      <c r="U298" s="230"/>
      <c r="V298" s="230"/>
      <c r="W298" s="230"/>
      <c r="X298" s="230"/>
      <c r="Y298" s="230"/>
      <c r="Z298" s="230"/>
      <c r="AA298" s="230"/>
      <c r="AB298" s="230"/>
      <c r="AC298" s="230"/>
      <c r="AD298" s="230"/>
      <c r="AE298" s="230"/>
      <c r="AF298" s="230"/>
      <c r="AG298" s="230"/>
      <c r="AH298" s="230"/>
      <c r="AI298" s="230"/>
      <c r="AJ298" s="230"/>
      <c r="AK298" s="230"/>
    </row>
    <row r="299" spans="2:37" s="187" customFormat="1" ht="7.8">
      <c r="B299" s="230"/>
      <c r="C299" s="230"/>
      <c r="D299" s="230"/>
      <c r="E299" s="230"/>
      <c r="F299" s="230"/>
      <c r="G299" s="230"/>
      <c r="H299" s="230"/>
      <c r="I299" s="230"/>
      <c r="J299" s="230"/>
      <c r="K299" s="230"/>
      <c r="L299" s="230"/>
      <c r="M299" s="230"/>
      <c r="N299" s="230"/>
      <c r="O299" s="230"/>
      <c r="P299" s="230"/>
      <c r="Q299" s="230"/>
      <c r="R299" s="230"/>
      <c r="S299" s="230"/>
      <c r="T299" s="230"/>
      <c r="U299" s="230"/>
      <c r="V299" s="230"/>
      <c r="W299" s="230"/>
      <c r="X299" s="230"/>
      <c r="Y299" s="230"/>
      <c r="Z299" s="230"/>
      <c r="AA299" s="230"/>
      <c r="AB299" s="230"/>
      <c r="AC299" s="230"/>
      <c r="AD299" s="230"/>
      <c r="AE299" s="230"/>
      <c r="AF299" s="230"/>
      <c r="AG299" s="230"/>
      <c r="AH299" s="230"/>
      <c r="AI299" s="230"/>
      <c r="AJ299" s="230"/>
      <c r="AK299" s="230"/>
    </row>
    <row r="300" spans="2:37" s="187" customFormat="1" ht="7.8">
      <c r="B300" s="230"/>
      <c r="C300" s="230"/>
      <c r="D300" s="230"/>
      <c r="E300" s="230"/>
      <c r="F300" s="230"/>
      <c r="G300" s="230"/>
      <c r="H300" s="230"/>
      <c r="I300" s="230"/>
      <c r="J300" s="230"/>
      <c r="K300" s="230"/>
      <c r="L300" s="230"/>
      <c r="M300" s="230"/>
      <c r="N300" s="230"/>
      <c r="O300" s="230"/>
      <c r="P300" s="230"/>
      <c r="Q300" s="230"/>
      <c r="R300" s="230"/>
      <c r="S300" s="230"/>
      <c r="T300" s="230"/>
      <c r="U300" s="230"/>
      <c r="V300" s="230"/>
      <c r="W300" s="230"/>
      <c r="X300" s="230"/>
      <c r="Y300" s="230"/>
      <c r="Z300" s="230"/>
      <c r="AA300" s="230"/>
      <c r="AB300" s="230"/>
      <c r="AC300" s="230"/>
      <c r="AD300" s="230"/>
      <c r="AE300" s="230"/>
      <c r="AF300" s="230"/>
      <c r="AG300" s="230"/>
      <c r="AH300" s="230"/>
      <c r="AI300" s="230"/>
      <c r="AJ300" s="230"/>
      <c r="AK300" s="230"/>
    </row>
    <row r="301" spans="2:37" s="187" customFormat="1" ht="7.8">
      <c r="B301" s="230"/>
      <c r="C301" s="230"/>
      <c r="D301" s="230"/>
      <c r="E301" s="230"/>
      <c r="F301" s="230"/>
      <c r="G301" s="230"/>
      <c r="H301" s="230"/>
      <c r="I301" s="230"/>
      <c r="J301" s="230"/>
      <c r="K301" s="230"/>
      <c r="L301" s="230"/>
      <c r="M301" s="230"/>
      <c r="N301" s="230"/>
      <c r="O301" s="230"/>
      <c r="P301" s="230"/>
      <c r="Q301" s="230"/>
      <c r="R301" s="230"/>
      <c r="S301" s="230"/>
      <c r="T301" s="230"/>
      <c r="U301" s="230"/>
      <c r="V301" s="230"/>
      <c r="W301" s="230"/>
      <c r="X301" s="230"/>
      <c r="Y301" s="230"/>
      <c r="Z301" s="230"/>
      <c r="AA301" s="230"/>
      <c r="AB301" s="230"/>
      <c r="AC301" s="230"/>
      <c r="AD301" s="230"/>
      <c r="AE301" s="230"/>
      <c r="AF301" s="230"/>
      <c r="AG301" s="230"/>
      <c r="AH301" s="230"/>
      <c r="AI301" s="230"/>
      <c r="AJ301" s="230"/>
      <c r="AK301" s="230"/>
    </row>
    <row r="302" spans="2:37" s="187" customFormat="1" ht="7.8">
      <c r="B302" s="230"/>
      <c r="C302" s="230"/>
      <c r="D302" s="230"/>
      <c r="E302" s="230"/>
      <c r="F302" s="230"/>
      <c r="G302" s="230"/>
      <c r="H302" s="230"/>
      <c r="I302" s="230"/>
      <c r="J302" s="230"/>
      <c r="K302" s="230"/>
      <c r="L302" s="230"/>
      <c r="M302" s="230"/>
      <c r="N302" s="230"/>
      <c r="O302" s="230"/>
      <c r="P302" s="230"/>
      <c r="Q302" s="230"/>
      <c r="R302" s="230"/>
      <c r="S302" s="230"/>
      <c r="T302" s="230"/>
      <c r="U302" s="230"/>
      <c r="V302" s="230"/>
      <c r="W302" s="230"/>
      <c r="X302" s="230"/>
      <c r="Y302" s="230"/>
      <c r="Z302" s="230"/>
      <c r="AA302" s="230"/>
      <c r="AB302" s="230"/>
      <c r="AC302" s="230"/>
      <c r="AD302" s="230"/>
      <c r="AE302" s="230"/>
      <c r="AF302" s="230"/>
      <c r="AG302" s="230"/>
      <c r="AH302" s="230"/>
      <c r="AI302" s="230"/>
      <c r="AJ302" s="230"/>
      <c r="AK302" s="230"/>
    </row>
    <row r="303" spans="2:37" s="187" customFormat="1" ht="7.8">
      <c r="B303" s="230"/>
      <c r="C303" s="230"/>
      <c r="D303" s="230"/>
      <c r="E303" s="230"/>
      <c r="F303" s="230"/>
      <c r="G303" s="230"/>
      <c r="H303" s="230"/>
      <c r="I303" s="230"/>
      <c r="J303" s="230"/>
      <c r="K303" s="230"/>
      <c r="L303" s="230"/>
      <c r="M303" s="230"/>
      <c r="N303" s="230"/>
      <c r="O303" s="230"/>
      <c r="P303" s="230"/>
      <c r="Q303" s="230"/>
      <c r="R303" s="230"/>
      <c r="S303" s="230"/>
      <c r="T303" s="230"/>
      <c r="U303" s="230"/>
      <c r="V303" s="230"/>
      <c r="W303" s="230"/>
      <c r="X303" s="230"/>
      <c r="Y303" s="230"/>
      <c r="Z303" s="230"/>
      <c r="AA303" s="230"/>
      <c r="AB303" s="230"/>
      <c r="AC303" s="230"/>
      <c r="AD303" s="230"/>
      <c r="AE303" s="230"/>
      <c r="AF303" s="230"/>
      <c r="AG303" s="230"/>
      <c r="AH303" s="230"/>
      <c r="AI303" s="230"/>
      <c r="AJ303" s="230"/>
      <c r="AK303" s="230"/>
    </row>
    <row r="304" spans="2:37" s="187" customFormat="1" ht="7.8"/>
    <row r="305" spans="2:37" s="187" customFormat="1" ht="13.2">
      <c r="B305" s="239"/>
      <c r="C305" s="240"/>
      <c r="D305" s="240"/>
      <c r="E305" s="230"/>
      <c r="F305" s="230"/>
      <c r="G305" s="230"/>
      <c r="H305" s="230"/>
      <c r="I305" s="230"/>
      <c r="J305" s="230"/>
      <c r="K305" s="230"/>
      <c r="L305" s="230"/>
      <c r="M305" s="230"/>
      <c r="N305" s="230"/>
      <c r="O305" s="230"/>
      <c r="P305" s="230"/>
      <c r="Q305" s="230"/>
      <c r="R305" s="230"/>
      <c r="S305" s="230"/>
      <c r="T305" s="230"/>
      <c r="U305" s="230"/>
      <c r="V305" s="230"/>
      <c r="W305" s="230"/>
      <c r="X305" s="230"/>
      <c r="Y305" s="230"/>
      <c r="Z305" s="230"/>
      <c r="AA305" s="230"/>
      <c r="AB305" s="230"/>
      <c r="AC305" s="230"/>
      <c r="AD305" s="230"/>
      <c r="AE305" s="230"/>
      <c r="AF305" s="230"/>
      <c r="AG305" s="230"/>
      <c r="AH305" s="230"/>
      <c r="AI305" s="230"/>
      <c r="AJ305" s="230"/>
      <c r="AK305" s="230"/>
    </row>
    <row r="306" spans="2:37" s="187" customFormat="1" ht="13.2">
      <c r="B306" s="239"/>
      <c r="C306" s="240"/>
      <c r="D306" s="240"/>
      <c r="E306" s="230"/>
      <c r="F306" s="230"/>
      <c r="G306" s="230"/>
      <c r="H306" s="230"/>
      <c r="I306" s="230"/>
      <c r="J306" s="230"/>
      <c r="K306" s="230"/>
      <c r="L306" s="230"/>
      <c r="M306" s="230"/>
      <c r="N306" s="230"/>
      <c r="O306" s="230"/>
      <c r="P306" s="230"/>
      <c r="Q306" s="230"/>
      <c r="R306" s="230"/>
      <c r="S306" s="230"/>
      <c r="T306" s="230"/>
      <c r="U306" s="230"/>
      <c r="V306" s="230"/>
      <c r="W306" s="230"/>
      <c r="X306" s="230"/>
      <c r="Y306" s="230"/>
      <c r="Z306" s="230"/>
      <c r="AA306" s="230"/>
      <c r="AB306" s="230"/>
      <c r="AC306" s="230"/>
      <c r="AD306" s="230"/>
      <c r="AE306" s="230"/>
      <c r="AF306" s="230"/>
      <c r="AG306" s="230"/>
      <c r="AH306" s="230"/>
      <c r="AI306" s="230"/>
      <c r="AJ306" s="230"/>
      <c r="AK306" s="230"/>
    </row>
    <row r="307" spans="2:37" s="187" customFormat="1" ht="13.2">
      <c r="B307" s="239"/>
      <c r="C307" s="240"/>
      <c r="D307" s="240"/>
      <c r="E307" s="230"/>
      <c r="F307" s="230"/>
      <c r="G307" s="230"/>
      <c r="H307" s="230"/>
      <c r="I307" s="230"/>
      <c r="J307" s="230"/>
      <c r="K307" s="230"/>
      <c r="L307" s="230"/>
      <c r="M307" s="230"/>
      <c r="N307" s="230"/>
      <c r="O307" s="230"/>
      <c r="P307" s="230"/>
      <c r="Q307" s="230"/>
      <c r="R307" s="230"/>
      <c r="S307" s="230"/>
      <c r="T307" s="230"/>
      <c r="U307" s="230"/>
      <c r="V307" s="230"/>
      <c r="W307" s="230"/>
      <c r="X307" s="230"/>
      <c r="Y307" s="230"/>
      <c r="Z307" s="230"/>
      <c r="AA307" s="230"/>
      <c r="AB307" s="230"/>
      <c r="AC307" s="230"/>
      <c r="AD307" s="230"/>
      <c r="AE307" s="230"/>
      <c r="AF307" s="230"/>
      <c r="AG307" s="230"/>
      <c r="AH307" s="230"/>
      <c r="AI307" s="230"/>
      <c r="AJ307" s="230"/>
      <c r="AK307" s="230"/>
    </row>
    <row r="308" spans="2:37" s="187" customFormat="1" ht="10.199999999999999">
      <c r="B308" s="619" t="s">
        <v>279</v>
      </c>
      <c r="C308" s="619"/>
      <c r="D308" s="619"/>
      <c r="E308" s="619"/>
      <c r="F308" s="619"/>
      <c r="G308" s="619"/>
      <c r="H308" s="619"/>
      <c r="I308" s="619"/>
      <c r="J308" s="619"/>
      <c r="K308" s="619"/>
      <c r="L308" s="619"/>
      <c r="M308" s="619"/>
      <c r="N308" s="619"/>
      <c r="O308" s="619"/>
      <c r="P308" s="619"/>
      <c r="Q308" s="619"/>
      <c r="R308" s="619"/>
      <c r="S308" s="619"/>
      <c r="T308" s="619"/>
      <c r="U308" s="619"/>
      <c r="V308" s="619"/>
      <c r="W308" s="619"/>
      <c r="X308" s="619"/>
      <c r="Y308" s="619"/>
      <c r="Z308" s="619"/>
      <c r="AA308" s="619"/>
      <c r="AB308" s="619"/>
      <c r="AC308" s="619"/>
      <c r="AD308" s="619"/>
      <c r="AE308" s="619"/>
      <c r="AF308" s="619"/>
      <c r="AG308" s="619"/>
      <c r="AH308" s="619"/>
      <c r="AI308" s="619"/>
      <c r="AJ308" s="619"/>
      <c r="AK308" s="619"/>
    </row>
    <row r="309" spans="2:37" s="187" customFormat="1" ht="13.2">
      <c r="B309" s="239"/>
      <c r="C309" s="240"/>
      <c r="D309" s="240"/>
      <c r="E309" s="230"/>
      <c r="F309" s="230"/>
      <c r="G309" s="230"/>
      <c r="H309" s="230"/>
      <c r="I309" s="230"/>
      <c r="J309" s="230"/>
      <c r="K309" s="230"/>
      <c r="L309" s="230"/>
      <c r="M309" s="230"/>
      <c r="N309" s="230"/>
      <c r="O309" s="230"/>
      <c r="P309" s="230"/>
      <c r="Q309" s="230"/>
      <c r="R309" s="230"/>
      <c r="S309" s="230"/>
      <c r="T309" s="230"/>
      <c r="U309" s="230"/>
      <c r="V309" s="230"/>
      <c r="W309" s="230"/>
      <c r="X309" s="230"/>
      <c r="Y309" s="230"/>
      <c r="Z309" s="230"/>
      <c r="AA309" s="230"/>
      <c r="AB309" s="230"/>
      <c r="AC309" s="230"/>
      <c r="AD309" s="230"/>
      <c r="AE309" s="230"/>
      <c r="AF309" s="230"/>
      <c r="AG309" s="230"/>
      <c r="AH309" s="230"/>
      <c r="AI309" s="230"/>
      <c r="AJ309" s="230"/>
      <c r="AK309" s="230"/>
    </row>
    <row r="310" spans="2:37" s="187" customFormat="1" ht="21.75" customHeight="1">
      <c r="B310" s="562" t="s">
        <v>280</v>
      </c>
      <c r="C310" s="562"/>
      <c r="D310" s="562"/>
      <c r="E310" s="562"/>
      <c r="F310" s="562"/>
      <c r="G310" s="562"/>
      <c r="H310" s="562"/>
      <c r="I310" s="562"/>
      <c r="J310" s="562"/>
      <c r="K310" s="562"/>
      <c r="L310" s="562"/>
      <c r="M310" s="562"/>
      <c r="N310" s="562"/>
      <c r="O310" s="562"/>
      <c r="P310" s="562"/>
      <c r="Q310" s="562"/>
      <c r="R310" s="562"/>
      <c r="S310" s="562"/>
      <c r="T310" s="562"/>
      <c r="U310" s="562"/>
      <c r="V310" s="562"/>
      <c r="W310" s="562"/>
      <c r="X310" s="562"/>
      <c r="Y310" s="562"/>
      <c r="Z310" s="562"/>
      <c r="AA310" s="562"/>
      <c r="AB310" s="562"/>
      <c r="AC310" s="562"/>
      <c r="AD310" s="562"/>
      <c r="AE310" s="562"/>
      <c r="AF310" s="562"/>
      <c r="AG310" s="562"/>
      <c r="AH310" s="562"/>
      <c r="AI310" s="562"/>
      <c r="AJ310" s="562"/>
      <c r="AK310" s="562"/>
    </row>
    <row r="311" spans="2:37" s="187" customFormat="1" ht="13.2">
      <c r="B311" s="239"/>
      <c r="C311" s="240"/>
      <c r="D311" s="240"/>
      <c r="E311" s="230"/>
      <c r="F311" s="230"/>
      <c r="G311" s="230"/>
      <c r="H311" s="230"/>
      <c r="I311" s="230"/>
      <c r="J311" s="230"/>
      <c r="K311" s="230"/>
      <c r="L311" s="230"/>
      <c r="M311" s="230"/>
      <c r="N311" s="230"/>
      <c r="O311" s="230"/>
      <c r="P311" s="230"/>
      <c r="Q311" s="230"/>
      <c r="R311" s="230"/>
      <c r="S311" s="230"/>
      <c r="T311" s="230"/>
      <c r="U311" s="230"/>
      <c r="V311" s="230"/>
      <c r="W311" s="230"/>
      <c r="X311" s="230"/>
      <c r="Y311" s="230"/>
      <c r="Z311" s="230"/>
      <c r="AA311" s="230"/>
      <c r="AB311" s="230"/>
      <c r="AC311" s="230"/>
      <c r="AD311" s="230"/>
      <c r="AE311" s="230"/>
      <c r="AF311" s="230"/>
      <c r="AG311" s="230"/>
      <c r="AH311" s="230"/>
      <c r="AI311" s="230"/>
      <c r="AJ311" s="230"/>
      <c r="AK311" s="230"/>
    </row>
    <row r="312" spans="2:37" s="187" customFormat="1" ht="10.199999999999999">
      <c r="B312" s="440" t="s">
        <v>281</v>
      </c>
      <c r="C312" s="440"/>
      <c r="D312" s="440"/>
      <c r="E312" s="440"/>
      <c r="F312" s="440"/>
      <c r="G312" s="440"/>
      <c r="H312" s="440"/>
      <c r="I312" s="440"/>
      <c r="J312" s="440"/>
      <c r="K312" s="440"/>
      <c r="L312" s="440"/>
      <c r="M312" s="440"/>
      <c r="N312" s="440"/>
      <c r="O312" s="440"/>
      <c r="P312" s="614">
        <f>AA_091_ANEXO_ACS_REESTRUCTURA_TIPO_DE_CONTRATO_DE_CRÉDITO</f>
        <v>0</v>
      </c>
      <c r="Q312" s="614"/>
      <c r="R312" s="614"/>
      <c r="S312" s="614"/>
      <c r="T312" s="614"/>
      <c r="U312" s="614"/>
      <c r="V312" s="440"/>
      <c r="W312" s="440"/>
      <c r="X312" s="440"/>
      <c r="Y312" s="440"/>
      <c r="Z312" s="440"/>
      <c r="AA312" s="440"/>
      <c r="AB312" s="440"/>
      <c r="AC312" s="440"/>
      <c r="AD312" s="440"/>
      <c r="AE312" s="440"/>
      <c r="AF312" s="440"/>
      <c r="AG312" s="440"/>
      <c r="AH312" s="440"/>
      <c r="AI312" s="440"/>
      <c r="AJ312" s="440"/>
      <c r="AK312" s="440"/>
    </row>
    <row r="313" spans="2:37" s="187" customFormat="1" ht="10.199999999999999">
      <c r="B313" s="620" t="s">
        <v>282</v>
      </c>
      <c r="C313" s="620"/>
      <c r="D313" s="620"/>
      <c r="E313" s="620"/>
      <c r="F313" s="620"/>
      <c r="G313" s="620"/>
      <c r="H313" s="620"/>
      <c r="I313" s="620"/>
      <c r="J313" s="620"/>
      <c r="K313" s="620"/>
      <c r="L313" s="620"/>
      <c r="M313" s="620"/>
      <c r="N313" s="620"/>
      <c r="O313" s="620"/>
      <c r="P313" s="615">
        <f>AA_092_ANEXO_ACS_REESTRUCTURA_FECHA_DE_CELEBRACIÓN</f>
        <v>0</v>
      </c>
      <c r="Q313" s="615"/>
      <c r="R313" s="615"/>
      <c r="S313" s="615"/>
      <c r="T313" s="615"/>
      <c r="U313" s="615"/>
      <c r="V313" s="230"/>
      <c r="W313" s="230"/>
      <c r="X313" s="230"/>
      <c r="Y313" s="230"/>
      <c r="Z313" s="230"/>
      <c r="AA313" s="230"/>
      <c r="AB313" s="230"/>
      <c r="AC313" s="230"/>
      <c r="AD313" s="230"/>
      <c r="AE313" s="230"/>
      <c r="AF313" s="230"/>
      <c r="AG313" s="230"/>
      <c r="AH313" s="230"/>
      <c r="AI313" s="230"/>
      <c r="AJ313" s="230"/>
      <c r="AK313" s="230"/>
    </row>
    <row r="314" spans="2:37" s="187" customFormat="1" ht="10.199999999999999">
      <c r="B314" s="620" t="s">
        <v>283</v>
      </c>
      <c r="C314" s="620"/>
      <c r="D314" s="620"/>
      <c r="E314" s="620"/>
      <c r="F314" s="620"/>
      <c r="G314" s="620"/>
      <c r="H314" s="620"/>
      <c r="I314" s="620"/>
      <c r="J314" s="620"/>
      <c r="K314" s="620"/>
      <c r="L314" s="620"/>
      <c r="M314" s="620"/>
      <c r="N314" s="620"/>
      <c r="O314" s="620"/>
      <c r="P314" s="616">
        <f>AA_093_ANEXO_ACS_REESTRUCTURA_IMPORTE</f>
        <v>0</v>
      </c>
      <c r="Q314" s="616"/>
      <c r="R314" s="616"/>
      <c r="S314" s="616"/>
      <c r="T314" s="616"/>
      <c r="U314" s="616"/>
      <c r="V314" s="230"/>
      <c r="W314" s="230"/>
      <c r="X314" s="230"/>
      <c r="Y314" s="230"/>
      <c r="Z314" s="230"/>
      <c r="AA314" s="230"/>
      <c r="AB314" s="230"/>
      <c r="AC314" s="230"/>
      <c r="AD314" s="230"/>
      <c r="AE314" s="230"/>
      <c r="AF314" s="230"/>
      <c r="AG314" s="230"/>
      <c r="AH314" s="230"/>
      <c r="AI314" s="230"/>
      <c r="AJ314" s="230"/>
      <c r="AK314" s="230"/>
    </row>
    <row r="315" spans="2:37" s="187" customFormat="1" ht="10.199999999999999">
      <c r="B315" s="620" t="s">
        <v>284</v>
      </c>
      <c r="C315" s="620"/>
      <c r="D315" s="620"/>
      <c r="E315" s="620"/>
      <c r="F315" s="620"/>
      <c r="G315" s="620"/>
      <c r="H315" s="620"/>
      <c r="I315" s="620"/>
      <c r="J315" s="620"/>
      <c r="K315" s="620"/>
      <c r="L315" s="620"/>
      <c r="M315" s="620"/>
      <c r="N315" s="620"/>
      <c r="O315" s="620"/>
      <c r="P315" s="618">
        <f>AA_094_ANEXO_ACS_REESTRUCTURA_NÚMERO_DE_CRÉDITO</f>
        <v>0</v>
      </c>
      <c r="Q315" s="618"/>
      <c r="R315" s="618"/>
      <c r="S315" s="618"/>
      <c r="T315" s="618"/>
      <c r="U315" s="618"/>
      <c r="V315" s="230"/>
      <c r="W315" s="230"/>
      <c r="X315" s="230"/>
      <c r="Y315" s="230"/>
      <c r="Z315" s="230"/>
      <c r="AA315" s="230"/>
      <c r="AB315" s="230"/>
      <c r="AC315" s="230"/>
      <c r="AD315" s="230"/>
      <c r="AE315" s="230"/>
      <c r="AF315" s="230"/>
      <c r="AG315" s="230"/>
      <c r="AH315" s="230"/>
      <c r="AI315" s="230"/>
      <c r="AJ315" s="230"/>
      <c r="AK315" s="230"/>
    </row>
    <row r="316" spans="2:37" s="187" customFormat="1" ht="7.8">
      <c r="B316" s="230"/>
      <c r="C316" s="230"/>
      <c r="D316" s="230"/>
      <c r="E316" s="230"/>
      <c r="F316" s="230"/>
      <c r="G316" s="230"/>
      <c r="H316" s="230"/>
      <c r="I316" s="230"/>
      <c r="J316" s="230"/>
      <c r="K316" s="230"/>
      <c r="L316" s="230"/>
      <c r="M316" s="230"/>
      <c r="N316" s="230"/>
      <c r="O316" s="230"/>
      <c r="P316" s="230"/>
      <c r="Q316" s="230"/>
      <c r="R316" s="230"/>
      <c r="S316" s="230"/>
      <c r="T316" s="230"/>
      <c r="U316" s="230"/>
      <c r="V316" s="230"/>
      <c r="W316" s="230"/>
      <c r="X316" s="230"/>
      <c r="Y316" s="230"/>
      <c r="Z316" s="230"/>
      <c r="AA316" s="230"/>
      <c r="AB316" s="230"/>
      <c r="AC316" s="230"/>
      <c r="AD316" s="230"/>
      <c r="AE316" s="230"/>
      <c r="AF316" s="230"/>
      <c r="AG316" s="230"/>
      <c r="AH316" s="230"/>
      <c r="AI316" s="230"/>
      <c r="AJ316" s="230"/>
      <c r="AK316" s="230"/>
    </row>
    <row r="317" spans="2:37" s="187" customFormat="1" ht="7.8">
      <c r="B317" s="230"/>
      <c r="C317" s="230"/>
      <c r="D317" s="230"/>
      <c r="E317" s="230"/>
      <c r="F317" s="230"/>
      <c r="G317" s="230"/>
      <c r="H317" s="230"/>
      <c r="I317" s="230"/>
      <c r="J317" s="230"/>
      <c r="K317" s="230"/>
      <c r="L317" s="230"/>
      <c r="M317" s="230"/>
      <c r="N317" s="230"/>
      <c r="O317" s="230"/>
      <c r="P317" s="230"/>
      <c r="Q317" s="230"/>
      <c r="R317" s="230"/>
      <c r="S317" s="230"/>
      <c r="T317" s="230"/>
      <c r="U317" s="230"/>
      <c r="V317" s="230"/>
      <c r="W317" s="230"/>
      <c r="X317" s="230"/>
      <c r="Y317" s="230"/>
      <c r="Z317" s="230"/>
      <c r="AA317" s="230"/>
      <c r="AB317" s="230"/>
      <c r="AC317" s="230"/>
      <c r="AD317" s="230"/>
      <c r="AE317" s="230"/>
      <c r="AF317" s="230"/>
      <c r="AG317" s="230"/>
      <c r="AH317" s="230"/>
      <c r="AI317" s="230"/>
      <c r="AJ317" s="230"/>
      <c r="AK317" s="230"/>
    </row>
    <row r="318" spans="2:37" s="187" customFormat="1" ht="10.199999999999999">
      <c r="B318" s="440" t="s">
        <v>285</v>
      </c>
      <c r="C318" s="440"/>
      <c r="D318" s="440"/>
      <c r="E318" s="440"/>
      <c r="F318" s="440"/>
      <c r="G318" s="440"/>
      <c r="H318" s="440"/>
      <c r="I318" s="440"/>
      <c r="J318" s="440"/>
      <c r="K318" s="440"/>
      <c r="L318" s="440"/>
      <c r="M318" s="440"/>
      <c r="N318" s="440"/>
      <c r="O318" s="440"/>
      <c r="P318" s="614">
        <f>AA_095_ANEXO_ACS_REESTRUCTURA_TIPO_DE_CONTRATO_DE_CRÉDITO</f>
        <v>0</v>
      </c>
      <c r="Q318" s="614"/>
      <c r="R318" s="614"/>
      <c r="S318" s="614"/>
      <c r="T318" s="614"/>
      <c r="U318" s="614"/>
      <c r="V318" s="440"/>
      <c r="W318" s="440"/>
      <c r="X318" s="440"/>
      <c r="Y318" s="440"/>
      <c r="Z318" s="440"/>
      <c r="AA318" s="440"/>
      <c r="AB318" s="440"/>
      <c r="AC318" s="440"/>
      <c r="AD318" s="440"/>
      <c r="AE318" s="440"/>
      <c r="AF318" s="440"/>
      <c r="AG318" s="440"/>
      <c r="AH318" s="440"/>
      <c r="AI318" s="440"/>
      <c r="AJ318" s="440"/>
      <c r="AK318" s="440"/>
    </row>
    <row r="319" spans="2:37" s="187" customFormat="1" ht="10.199999999999999">
      <c r="B319" s="620" t="s">
        <v>282</v>
      </c>
      <c r="C319" s="620"/>
      <c r="D319" s="620"/>
      <c r="E319" s="620"/>
      <c r="F319" s="620"/>
      <c r="G319" s="620"/>
      <c r="H319" s="620"/>
      <c r="I319" s="620"/>
      <c r="J319" s="620"/>
      <c r="K319" s="620"/>
      <c r="L319" s="620"/>
      <c r="M319" s="620"/>
      <c r="N319" s="620"/>
      <c r="O319" s="620"/>
      <c r="P319" s="618">
        <f>AA_096_ANEXO_ACS_REESTRUCTURA_FECHA_DE_CELEBRACIÓN</f>
        <v>0</v>
      </c>
      <c r="Q319" s="618"/>
      <c r="R319" s="618"/>
      <c r="S319" s="618"/>
      <c r="T319" s="618"/>
      <c r="U319" s="618"/>
      <c r="V319" s="230"/>
      <c r="W319" s="230"/>
      <c r="X319" s="230"/>
      <c r="Y319" s="230"/>
      <c r="Z319" s="230"/>
      <c r="AA319" s="230"/>
      <c r="AB319" s="230"/>
      <c r="AC319" s="230"/>
      <c r="AD319" s="230"/>
      <c r="AE319" s="230"/>
      <c r="AF319" s="230"/>
      <c r="AG319" s="230"/>
      <c r="AH319" s="230"/>
      <c r="AI319" s="230"/>
      <c r="AJ319" s="230"/>
      <c r="AK319" s="230"/>
    </row>
    <row r="320" spans="2:37" s="187" customFormat="1" ht="10.199999999999999">
      <c r="B320" s="620" t="s">
        <v>283</v>
      </c>
      <c r="C320" s="620"/>
      <c r="D320" s="620"/>
      <c r="E320" s="620"/>
      <c r="F320" s="620"/>
      <c r="G320" s="620"/>
      <c r="H320" s="620"/>
      <c r="I320" s="620"/>
      <c r="J320" s="620"/>
      <c r="K320" s="620"/>
      <c r="L320" s="620"/>
      <c r="M320" s="620"/>
      <c r="N320" s="620"/>
      <c r="O320" s="620"/>
      <c r="P320" s="616">
        <f>AA_097_ANEXO_ACS_REESTRUCTURA_IMPORTE</f>
        <v>0</v>
      </c>
      <c r="Q320" s="616"/>
      <c r="R320" s="616"/>
      <c r="S320" s="616"/>
      <c r="T320" s="616"/>
      <c r="U320" s="616"/>
      <c r="V320" s="230"/>
      <c r="W320" s="230"/>
      <c r="X320" s="230"/>
      <c r="Y320" s="230"/>
      <c r="Z320" s="230"/>
      <c r="AA320" s="230"/>
      <c r="AB320" s="230"/>
      <c r="AC320" s="230"/>
      <c r="AD320" s="230"/>
      <c r="AE320" s="230"/>
      <c r="AF320" s="230"/>
      <c r="AG320" s="230"/>
      <c r="AH320" s="230"/>
      <c r="AI320" s="230"/>
      <c r="AJ320" s="230"/>
      <c r="AK320" s="230"/>
    </row>
    <row r="321" spans="2:37" s="187" customFormat="1" ht="10.199999999999999">
      <c r="B321" s="620" t="s">
        <v>284</v>
      </c>
      <c r="C321" s="620"/>
      <c r="D321" s="620"/>
      <c r="E321" s="620"/>
      <c r="F321" s="620"/>
      <c r="G321" s="620"/>
      <c r="H321" s="620"/>
      <c r="I321" s="620"/>
      <c r="J321" s="620"/>
      <c r="K321" s="620"/>
      <c r="L321" s="620"/>
      <c r="M321" s="620"/>
      <c r="N321" s="620"/>
      <c r="O321" s="620"/>
      <c r="P321" s="618">
        <f>AA_098_ANEXO_ACS_REESTRUCTURA_NÚMERO_DE_CRÉDITO</f>
        <v>0</v>
      </c>
      <c r="Q321" s="618"/>
      <c r="R321" s="618"/>
      <c r="S321" s="618"/>
      <c r="T321" s="618"/>
      <c r="U321" s="618"/>
      <c r="V321" s="230"/>
      <c r="W321" s="230"/>
      <c r="X321" s="230"/>
      <c r="Y321" s="230"/>
      <c r="Z321" s="230"/>
      <c r="AA321" s="230"/>
      <c r="AB321" s="230"/>
      <c r="AC321" s="230"/>
      <c r="AD321" s="230"/>
      <c r="AE321" s="230"/>
      <c r="AF321" s="230"/>
      <c r="AG321" s="230"/>
      <c r="AH321" s="230"/>
      <c r="AI321" s="230"/>
      <c r="AJ321" s="230"/>
      <c r="AK321" s="230"/>
    </row>
    <row r="322" spans="2:37" s="187" customFormat="1" ht="10.199999999999999">
      <c r="B322" s="241"/>
      <c r="C322" s="241"/>
      <c r="D322" s="241"/>
      <c r="E322" s="241"/>
      <c r="F322" s="241"/>
      <c r="G322" s="241"/>
      <c r="H322" s="241"/>
      <c r="I322" s="241"/>
      <c r="J322" s="241"/>
      <c r="K322" s="241"/>
      <c r="L322" s="241"/>
      <c r="M322" s="241"/>
      <c r="N322" s="241"/>
      <c r="O322" s="241"/>
      <c r="P322" s="230"/>
      <c r="Q322" s="230"/>
      <c r="R322" s="230"/>
      <c r="S322" s="230"/>
      <c r="T322" s="230"/>
      <c r="U322" s="230"/>
      <c r="V322" s="230"/>
      <c r="W322" s="230"/>
      <c r="X322" s="230"/>
      <c r="Y322" s="230"/>
      <c r="Z322" s="230"/>
      <c r="AA322" s="230"/>
      <c r="AB322" s="230"/>
      <c r="AC322" s="230"/>
      <c r="AD322" s="230"/>
      <c r="AE322" s="230"/>
      <c r="AF322" s="230"/>
      <c r="AG322" s="230"/>
      <c r="AH322" s="230"/>
      <c r="AI322" s="230"/>
      <c r="AJ322" s="230"/>
      <c r="AK322" s="230"/>
    </row>
    <row r="323" spans="2:37" s="187" customFormat="1" ht="7.8">
      <c r="B323" s="230"/>
      <c r="C323" s="230"/>
      <c r="D323" s="230"/>
      <c r="E323" s="230"/>
      <c r="F323" s="230"/>
      <c r="G323" s="230"/>
      <c r="H323" s="230"/>
      <c r="I323" s="230"/>
      <c r="J323" s="230"/>
      <c r="K323" s="230"/>
      <c r="L323" s="230"/>
      <c r="M323" s="230"/>
      <c r="N323" s="230"/>
      <c r="O323" s="230"/>
      <c r="P323" s="230"/>
      <c r="Q323" s="230"/>
      <c r="R323" s="230"/>
      <c r="S323" s="230"/>
      <c r="T323" s="230"/>
      <c r="U323" s="230"/>
      <c r="V323" s="230"/>
      <c r="W323" s="230"/>
      <c r="X323" s="230"/>
      <c r="Y323" s="230"/>
      <c r="Z323" s="230"/>
      <c r="AA323" s="230"/>
      <c r="AB323" s="230"/>
      <c r="AC323" s="230"/>
      <c r="AD323" s="230"/>
      <c r="AE323" s="230"/>
      <c r="AF323" s="230"/>
      <c r="AG323" s="230"/>
      <c r="AH323" s="230"/>
      <c r="AI323" s="230"/>
      <c r="AJ323" s="230"/>
      <c r="AK323" s="230"/>
    </row>
    <row r="324" spans="2:37" s="187" customFormat="1" ht="21.75" customHeight="1">
      <c r="B324" s="621" t="s">
        <v>286</v>
      </c>
      <c r="C324" s="621"/>
      <c r="D324" s="621"/>
      <c r="E324" s="621"/>
      <c r="F324" s="621"/>
      <c r="G324" s="621"/>
      <c r="H324" s="621"/>
      <c r="I324" s="621"/>
      <c r="J324" s="621"/>
      <c r="K324" s="621"/>
      <c r="L324" s="621"/>
      <c r="M324" s="621"/>
      <c r="N324" s="621"/>
      <c r="O324" s="621"/>
      <c r="P324" s="621"/>
      <c r="Q324" s="621"/>
      <c r="R324" s="621"/>
      <c r="S324" s="621"/>
      <c r="T324" s="621"/>
      <c r="U324" s="621"/>
      <c r="V324" s="621"/>
      <c r="W324" s="621"/>
      <c r="X324" s="621"/>
      <c r="Y324" s="621"/>
      <c r="Z324" s="621"/>
      <c r="AA324" s="621"/>
      <c r="AB324" s="621"/>
      <c r="AC324" s="621"/>
      <c r="AD324" s="621"/>
      <c r="AE324" s="621"/>
      <c r="AF324" s="621"/>
      <c r="AG324" s="621"/>
      <c r="AH324" s="621"/>
      <c r="AI324" s="621"/>
      <c r="AJ324" s="621"/>
      <c r="AK324" s="621"/>
    </row>
    <row r="325" spans="2:37" s="187" customFormat="1" ht="8.25" customHeight="1">
      <c r="B325" s="242"/>
      <c r="C325" s="242"/>
      <c r="D325" s="242"/>
      <c r="E325" s="242"/>
      <c r="F325" s="242"/>
      <c r="G325" s="242"/>
      <c r="H325" s="242"/>
      <c r="I325" s="242"/>
      <c r="J325" s="242"/>
      <c r="K325" s="242"/>
      <c r="L325" s="242"/>
      <c r="M325" s="242"/>
      <c r="N325" s="242"/>
      <c r="O325" s="242"/>
      <c r="P325" s="242"/>
      <c r="Q325" s="242"/>
      <c r="R325" s="242"/>
      <c r="S325" s="242"/>
      <c r="T325" s="242"/>
      <c r="U325" s="242"/>
      <c r="V325" s="242"/>
      <c r="W325" s="242"/>
      <c r="X325" s="242"/>
      <c r="Y325" s="242"/>
      <c r="Z325" s="242"/>
      <c r="AA325" s="242"/>
      <c r="AB325" s="242"/>
      <c r="AC325" s="242"/>
      <c r="AD325" s="242"/>
      <c r="AE325" s="242"/>
      <c r="AF325" s="242"/>
      <c r="AG325" s="242"/>
      <c r="AH325" s="242"/>
      <c r="AI325" s="242"/>
      <c r="AJ325" s="242"/>
      <c r="AK325" s="242"/>
    </row>
    <row r="326" spans="2:37" s="187" customFormat="1" ht="7.8">
      <c r="B326" s="230"/>
      <c r="C326" s="230"/>
      <c r="D326" s="230"/>
      <c r="E326" s="230"/>
      <c r="F326" s="230"/>
      <c r="G326" s="230"/>
      <c r="H326" s="230"/>
      <c r="I326" s="230"/>
      <c r="J326" s="230"/>
      <c r="K326" s="230"/>
      <c r="L326" s="230"/>
      <c r="M326" s="230"/>
      <c r="N326" s="230"/>
      <c r="O326" s="230"/>
      <c r="P326" s="230"/>
      <c r="Q326" s="230"/>
      <c r="R326" s="230"/>
      <c r="S326" s="230"/>
      <c r="T326" s="230"/>
      <c r="U326" s="230"/>
      <c r="V326" s="230"/>
      <c r="W326" s="230"/>
      <c r="X326" s="230"/>
      <c r="Y326" s="230"/>
      <c r="Z326" s="230"/>
      <c r="AA326" s="230"/>
      <c r="AB326" s="230"/>
      <c r="AC326" s="230"/>
      <c r="AD326" s="230"/>
      <c r="AE326" s="230"/>
      <c r="AF326" s="230"/>
      <c r="AG326" s="230"/>
      <c r="AH326" s="230"/>
      <c r="AI326" s="230"/>
      <c r="AJ326" s="230"/>
      <c r="AK326" s="230"/>
    </row>
    <row r="327" spans="2:37" s="187" customFormat="1" ht="7.8">
      <c r="B327" s="230"/>
      <c r="C327" s="230"/>
      <c r="D327" s="230"/>
      <c r="E327" s="230"/>
      <c r="F327" s="230"/>
      <c r="G327" s="230"/>
      <c r="H327" s="230"/>
      <c r="I327" s="230"/>
      <c r="J327" s="230"/>
      <c r="K327" s="230"/>
      <c r="L327" s="230"/>
      <c r="M327" s="230"/>
      <c r="N327" s="230"/>
      <c r="O327" s="230"/>
      <c r="P327" s="230"/>
      <c r="Q327" s="230"/>
      <c r="R327" s="230"/>
      <c r="S327" s="230"/>
      <c r="T327" s="230"/>
      <c r="U327" s="230"/>
      <c r="V327" s="230"/>
      <c r="W327" s="230"/>
      <c r="X327" s="230"/>
      <c r="Y327" s="230"/>
      <c r="Z327" s="230"/>
      <c r="AA327" s="230"/>
      <c r="AB327" s="230"/>
      <c r="AC327" s="230"/>
      <c r="AD327" s="230"/>
      <c r="AE327" s="230"/>
      <c r="AF327" s="230"/>
      <c r="AG327" s="230"/>
      <c r="AH327" s="230"/>
      <c r="AI327" s="230"/>
      <c r="AJ327" s="230"/>
      <c r="AK327" s="230"/>
    </row>
    <row r="328" spans="2:37" s="187" customFormat="1" ht="7.8">
      <c r="B328" s="230"/>
      <c r="C328" s="230"/>
      <c r="D328" s="230"/>
      <c r="E328" s="230"/>
      <c r="F328" s="230"/>
      <c r="G328" s="230"/>
      <c r="H328" s="230"/>
      <c r="I328" s="230"/>
      <c r="J328" s="230"/>
      <c r="K328" s="230"/>
      <c r="L328" s="230"/>
      <c r="M328" s="230"/>
      <c r="N328" s="230"/>
      <c r="O328" s="230"/>
      <c r="P328" s="230"/>
      <c r="Q328" s="230"/>
      <c r="R328" s="230"/>
      <c r="S328" s="230"/>
      <c r="T328" s="230"/>
      <c r="U328" s="230"/>
      <c r="V328" s="230"/>
      <c r="W328" s="230"/>
      <c r="X328" s="230"/>
      <c r="Y328" s="230"/>
      <c r="Z328" s="230"/>
      <c r="AA328" s="230"/>
      <c r="AB328" s="230"/>
      <c r="AC328" s="230"/>
      <c r="AD328" s="230"/>
      <c r="AE328" s="230"/>
      <c r="AF328" s="230"/>
      <c r="AG328" s="230"/>
      <c r="AH328" s="230"/>
      <c r="AI328" s="230"/>
      <c r="AJ328" s="230"/>
      <c r="AK328" s="230"/>
    </row>
    <row r="329" spans="2:37" s="187" customFormat="1" ht="7.8">
      <c r="B329" s="230"/>
      <c r="C329" s="230"/>
      <c r="D329" s="230"/>
      <c r="E329" s="230"/>
      <c r="F329" s="230"/>
      <c r="G329" s="230"/>
      <c r="H329" s="230"/>
      <c r="I329" s="230"/>
      <c r="J329" s="230"/>
      <c r="K329" s="230"/>
      <c r="L329" s="230"/>
      <c r="M329" s="230"/>
      <c r="N329" s="230"/>
      <c r="O329" s="230"/>
      <c r="P329" s="230"/>
      <c r="Q329" s="230"/>
      <c r="R329" s="230"/>
      <c r="S329" s="230"/>
      <c r="T329" s="230"/>
      <c r="U329" s="230"/>
      <c r="V329" s="230"/>
      <c r="W329" s="230"/>
      <c r="X329" s="230"/>
      <c r="Y329" s="230"/>
      <c r="Z329" s="230"/>
      <c r="AA329" s="230"/>
      <c r="AB329" s="230"/>
      <c r="AC329" s="230"/>
      <c r="AD329" s="230"/>
      <c r="AE329" s="230"/>
      <c r="AF329" s="230"/>
      <c r="AG329" s="230"/>
      <c r="AH329" s="230"/>
      <c r="AI329" s="230"/>
      <c r="AJ329" s="230"/>
      <c r="AK329" s="230"/>
    </row>
    <row r="330" spans="2:37" s="187" customFormat="1" ht="10.199999999999999">
      <c r="B330" s="230"/>
      <c r="C330" s="230"/>
      <c r="D330" s="230"/>
      <c r="E330" s="230"/>
      <c r="F330" s="230"/>
      <c r="G330" s="230"/>
      <c r="H330" s="230"/>
      <c r="I330" s="230"/>
      <c r="J330" s="230"/>
      <c r="K330" s="230"/>
      <c r="L330" s="233"/>
      <c r="M330" s="233"/>
      <c r="N330" s="233"/>
      <c r="O330" s="609" t="s">
        <v>274</v>
      </c>
      <c r="P330" s="609"/>
      <c r="Q330" s="609"/>
      <c r="R330" s="609"/>
      <c r="S330" s="609"/>
      <c r="T330" s="609"/>
      <c r="U330" s="609"/>
      <c r="V330" s="609"/>
      <c r="W330" s="609"/>
      <c r="X330" s="609"/>
      <c r="Y330" s="234"/>
      <c r="Z330" s="233"/>
      <c r="AA330" s="233"/>
      <c r="AB330" s="230"/>
      <c r="AC330" s="230"/>
      <c r="AD330" s="230"/>
      <c r="AE330" s="230"/>
      <c r="AF330" s="230"/>
      <c r="AG330" s="230"/>
      <c r="AH330" s="230"/>
      <c r="AI330" s="230"/>
      <c r="AJ330" s="230"/>
      <c r="AK330" s="230"/>
    </row>
    <row r="331" spans="2:37" s="187" customFormat="1" ht="10.199999999999999">
      <c r="B331" s="230"/>
      <c r="C331" s="230"/>
      <c r="D331" s="230"/>
      <c r="E331" s="230"/>
      <c r="F331" s="230"/>
      <c r="G331" s="230"/>
      <c r="H331" s="230"/>
      <c r="I331" s="230"/>
      <c r="J331" s="230"/>
      <c r="K331" s="230"/>
      <c r="L331" s="233"/>
      <c r="M331" s="233"/>
      <c r="N331" s="233"/>
      <c r="O331" s="235"/>
      <c r="P331" s="235"/>
      <c r="Q331" s="235"/>
      <c r="R331" s="235"/>
      <c r="S331" s="235"/>
      <c r="T331" s="235"/>
      <c r="U331" s="235"/>
      <c r="V331" s="235"/>
      <c r="W331" s="233"/>
      <c r="X331" s="233"/>
      <c r="Y331" s="233"/>
      <c r="Z331" s="233"/>
      <c r="AA331" s="233"/>
      <c r="AB331" s="230"/>
      <c r="AC331" s="230"/>
      <c r="AD331" s="230"/>
      <c r="AE331" s="230"/>
      <c r="AF331" s="230"/>
      <c r="AG331" s="230"/>
      <c r="AH331" s="230"/>
      <c r="AI331" s="230"/>
      <c r="AJ331" s="230"/>
      <c r="AK331" s="230"/>
    </row>
    <row r="332" spans="2:37" s="187" customFormat="1" ht="11.25" customHeight="1">
      <c r="B332" s="230"/>
      <c r="C332" s="230"/>
      <c r="D332" s="230"/>
      <c r="E332" s="230"/>
      <c r="F332" s="230"/>
      <c r="G332" s="230"/>
      <c r="H332" s="230"/>
      <c r="I332" s="230"/>
      <c r="J332" s="230"/>
      <c r="K332" s="230"/>
      <c r="L332" s="610"/>
      <c r="M332" s="610"/>
      <c r="N332" s="610"/>
      <c r="O332" s="610"/>
      <c r="P332" s="610"/>
      <c r="Q332" s="610"/>
      <c r="R332" s="610"/>
      <c r="S332" s="610"/>
      <c r="T332" s="610"/>
      <c r="U332" s="610"/>
      <c r="V332" s="610"/>
      <c r="W332" s="610"/>
      <c r="X332" s="610"/>
      <c r="Y332" s="610"/>
      <c r="Z332" s="610"/>
      <c r="AA332" s="610"/>
      <c r="AB332" s="230"/>
      <c r="AC332" s="230"/>
      <c r="AD332" s="230"/>
      <c r="AE332" s="230"/>
      <c r="AF332" s="230"/>
      <c r="AG332" s="230"/>
      <c r="AH332" s="230"/>
      <c r="AI332" s="230"/>
      <c r="AJ332" s="230"/>
      <c r="AK332" s="230"/>
    </row>
    <row r="333" spans="2:37" s="187" customFormat="1" ht="10.199999999999999">
      <c r="B333" s="230"/>
      <c r="C333" s="230"/>
      <c r="D333" s="230"/>
      <c r="E333" s="230"/>
      <c r="F333" s="230"/>
      <c r="G333" s="230"/>
      <c r="H333" s="230"/>
      <c r="I333" s="230"/>
      <c r="J333" s="230"/>
      <c r="K333" s="230"/>
      <c r="L333" s="611">
        <f>AA_099_ANEXO_ACS_REESTRUCTURA_ACREDITADO_UNO</f>
        <v>0</v>
      </c>
      <c r="M333" s="611"/>
      <c r="N333" s="611"/>
      <c r="O333" s="611"/>
      <c r="P333" s="611"/>
      <c r="Q333" s="611"/>
      <c r="R333" s="611"/>
      <c r="S333" s="611"/>
      <c r="T333" s="611"/>
      <c r="U333" s="611"/>
      <c r="V333" s="611"/>
      <c r="W333" s="611"/>
      <c r="X333" s="611"/>
      <c r="Y333" s="611"/>
      <c r="Z333" s="611"/>
      <c r="AA333" s="611"/>
      <c r="AB333" s="230"/>
      <c r="AC333" s="230"/>
      <c r="AD333" s="230"/>
      <c r="AE333" s="230"/>
      <c r="AF333" s="230"/>
      <c r="AG333" s="230"/>
      <c r="AH333" s="230"/>
      <c r="AI333" s="230"/>
      <c r="AJ333" s="230"/>
      <c r="AK333" s="230"/>
    </row>
    <row r="334" spans="2:37" s="187" customFormat="1" ht="10.199999999999999">
      <c r="B334" s="230"/>
      <c r="C334" s="230"/>
      <c r="D334" s="230"/>
      <c r="E334" s="230"/>
      <c r="F334" s="230"/>
      <c r="G334" s="230"/>
      <c r="H334" s="230"/>
      <c r="I334" s="230"/>
      <c r="J334" s="230"/>
      <c r="K334" s="230"/>
      <c r="L334" s="233"/>
      <c r="M334" s="233"/>
      <c r="N334" s="233"/>
      <c r="O334" s="233"/>
      <c r="P334" s="233"/>
      <c r="Q334" s="233"/>
      <c r="R334" s="233"/>
      <c r="S334" s="233"/>
      <c r="T334" s="233"/>
      <c r="U334" s="233"/>
      <c r="V334" s="233"/>
      <c r="W334" s="233"/>
      <c r="X334" s="233"/>
      <c r="Y334" s="233"/>
      <c r="Z334" s="233"/>
      <c r="AA334" s="233"/>
      <c r="AB334" s="230"/>
      <c r="AC334" s="230"/>
      <c r="AD334" s="230"/>
      <c r="AE334" s="230"/>
      <c r="AF334" s="230"/>
      <c r="AG334" s="230"/>
      <c r="AH334" s="230"/>
      <c r="AI334" s="230"/>
      <c r="AJ334" s="230"/>
      <c r="AK334" s="230"/>
    </row>
    <row r="335" spans="2:37" s="187" customFormat="1" ht="10.199999999999999">
      <c r="B335" s="230"/>
      <c r="C335" s="230"/>
      <c r="D335" s="230"/>
      <c r="E335" s="230"/>
      <c r="F335" s="230"/>
      <c r="G335" s="230"/>
      <c r="H335" s="230"/>
      <c r="I335" s="230"/>
      <c r="J335" s="230"/>
      <c r="K335" s="230"/>
      <c r="L335" s="233"/>
      <c r="M335" s="233"/>
      <c r="N335" s="233"/>
      <c r="O335" s="233"/>
      <c r="P335" s="233"/>
      <c r="Q335" s="233"/>
      <c r="R335" s="233"/>
      <c r="S335" s="233"/>
      <c r="T335" s="233"/>
      <c r="U335" s="233"/>
      <c r="V335" s="233"/>
      <c r="W335" s="233"/>
      <c r="X335" s="233"/>
      <c r="Y335" s="233"/>
      <c r="Z335" s="233"/>
      <c r="AA335" s="233"/>
      <c r="AB335" s="230"/>
      <c r="AC335" s="230"/>
      <c r="AD335" s="230"/>
      <c r="AE335" s="230"/>
      <c r="AF335" s="230"/>
      <c r="AG335" s="230"/>
      <c r="AH335" s="230"/>
      <c r="AI335" s="230"/>
      <c r="AJ335" s="230"/>
      <c r="AK335" s="230"/>
    </row>
    <row r="336" spans="2:37" s="187" customFormat="1" ht="11.25" customHeight="1">
      <c r="B336" s="230"/>
      <c r="C336" s="230"/>
      <c r="D336" s="230"/>
      <c r="E336" s="230"/>
      <c r="F336" s="230"/>
      <c r="G336" s="230"/>
      <c r="H336" s="230"/>
      <c r="I336" s="230"/>
      <c r="J336" s="230"/>
      <c r="K336" s="230"/>
      <c r="L336" s="610"/>
      <c r="M336" s="610"/>
      <c r="N336" s="610"/>
      <c r="O336" s="610"/>
      <c r="P336" s="610"/>
      <c r="Q336" s="610"/>
      <c r="R336" s="610"/>
      <c r="S336" s="610"/>
      <c r="T336" s="610"/>
      <c r="U336" s="610"/>
      <c r="V336" s="610"/>
      <c r="W336" s="610"/>
      <c r="X336" s="610"/>
      <c r="Y336" s="610"/>
      <c r="Z336" s="610"/>
      <c r="AA336" s="610"/>
      <c r="AB336" s="230"/>
      <c r="AC336" s="230"/>
      <c r="AD336" s="230"/>
      <c r="AE336" s="230"/>
      <c r="AF336" s="230"/>
      <c r="AG336" s="230"/>
      <c r="AH336" s="230"/>
      <c r="AI336" s="230"/>
      <c r="AJ336" s="230"/>
      <c r="AK336" s="230"/>
    </row>
    <row r="337" spans="2:37" s="187" customFormat="1" ht="10.199999999999999">
      <c r="B337" s="230"/>
      <c r="C337" s="230"/>
      <c r="D337" s="230"/>
      <c r="E337" s="230"/>
      <c r="F337" s="230"/>
      <c r="G337" s="230"/>
      <c r="H337" s="230"/>
      <c r="I337" s="230"/>
      <c r="J337" s="230"/>
      <c r="K337" s="230"/>
      <c r="L337" s="611">
        <f>AA_100_ANEXO_ACS_REESTRUCTURA_ACREDITADO_DOS</f>
        <v>0</v>
      </c>
      <c r="M337" s="611"/>
      <c r="N337" s="611"/>
      <c r="O337" s="611"/>
      <c r="P337" s="611"/>
      <c r="Q337" s="611"/>
      <c r="R337" s="611"/>
      <c r="S337" s="611"/>
      <c r="T337" s="611"/>
      <c r="U337" s="611"/>
      <c r="V337" s="611"/>
      <c r="W337" s="611"/>
      <c r="X337" s="611"/>
      <c r="Y337" s="611"/>
      <c r="Z337" s="611"/>
      <c r="AA337" s="611"/>
      <c r="AB337" s="230"/>
      <c r="AC337" s="230"/>
      <c r="AD337" s="230"/>
      <c r="AE337" s="230"/>
      <c r="AF337" s="230"/>
      <c r="AG337" s="230"/>
      <c r="AH337" s="230"/>
      <c r="AI337" s="230"/>
      <c r="AJ337" s="230"/>
      <c r="AK337" s="230"/>
    </row>
    <row r="338" spans="2:37" s="187" customFormat="1" ht="10.199999999999999">
      <c r="B338" s="230"/>
      <c r="C338" s="230"/>
      <c r="D338" s="230"/>
      <c r="E338" s="230"/>
      <c r="F338" s="230"/>
      <c r="G338" s="230"/>
      <c r="H338" s="230"/>
      <c r="I338" s="230"/>
      <c r="J338" s="230"/>
      <c r="K338" s="230"/>
      <c r="L338" s="236"/>
      <c r="M338" s="236"/>
      <c r="N338" s="236"/>
      <c r="O338" s="236"/>
      <c r="P338" s="236"/>
      <c r="Q338" s="236"/>
      <c r="R338" s="236"/>
      <c r="S338" s="236"/>
      <c r="T338" s="236"/>
      <c r="U338" s="236"/>
      <c r="V338" s="236"/>
      <c r="W338" s="236"/>
      <c r="X338" s="236"/>
      <c r="Y338" s="236"/>
      <c r="Z338" s="236"/>
      <c r="AA338" s="236"/>
      <c r="AB338" s="230"/>
      <c r="AC338" s="230"/>
      <c r="AD338" s="230"/>
      <c r="AE338" s="230"/>
      <c r="AF338" s="230"/>
      <c r="AG338" s="230"/>
      <c r="AH338" s="230"/>
      <c r="AI338" s="230"/>
      <c r="AJ338" s="230"/>
      <c r="AK338" s="230"/>
    </row>
    <row r="339" spans="2:37" s="187" customFormat="1" ht="7.8">
      <c r="B339" s="230"/>
      <c r="C339" s="230"/>
      <c r="D339" s="230"/>
      <c r="E339" s="230"/>
      <c r="F339" s="230"/>
      <c r="G339" s="230"/>
      <c r="H339" s="230"/>
      <c r="I339" s="230"/>
      <c r="J339" s="230"/>
      <c r="K339" s="230"/>
      <c r="L339" s="230"/>
      <c r="M339" s="230"/>
      <c r="N339" s="230"/>
      <c r="O339" s="230"/>
      <c r="P339" s="230"/>
      <c r="Q339" s="230"/>
      <c r="R339" s="230"/>
      <c r="S339" s="230"/>
      <c r="T339" s="230"/>
      <c r="U339" s="230"/>
      <c r="V339" s="230"/>
      <c r="W339" s="230"/>
      <c r="X339" s="230"/>
      <c r="Y339" s="230"/>
      <c r="Z339" s="230"/>
      <c r="AA339" s="230"/>
      <c r="AB339" s="230"/>
      <c r="AC339" s="230"/>
      <c r="AD339" s="230"/>
      <c r="AE339" s="230"/>
      <c r="AF339" s="230"/>
      <c r="AG339" s="230"/>
      <c r="AH339" s="230"/>
      <c r="AI339" s="230"/>
      <c r="AJ339" s="230"/>
      <c r="AK339" s="230"/>
    </row>
    <row r="340" spans="2:37" s="187" customFormat="1" ht="7.8">
      <c r="B340" s="230"/>
      <c r="C340" s="230"/>
      <c r="D340" s="230"/>
      <c r="E340" s="230"/>
      <c r="F340" s="230"/>
      <c r="G340" s="230"/>
      <c r="H340" s="230"/>
      <c r="I340" s="230"/>
      <c r="J340" s="230"/>
      <c r="K340" s="230"/>
      <c r="L340" s="230"/>
      <c r="M340" s="230"/>
      <c r="N340" s="230"/>
      <c r="O340" s="230"/>
      <c r="P340" s="230"/>
      <c r="Q340" s="230"/>
      <c r="R340" s="230"/>
      <c r="S340" s="230"/>
      <c r="T340" s="230"/>
      <c r="U340" s="230"/>
      <c r="V340" s="230"/>
      <c r="W340" s="230"/>
      <c r="X340" s="230"/>
      <c r="Y340" s="230"/>
      <c r="Z340" s="230"/>
      <c r="AA340" s="230"/>
      <c r="AB340" s="230"/>
      <c r="AC340" s="230"/>
      <c r="AD340" s="230"/>
      <c r="AE340" s="230"/>
      <c r="AF340" s="230"/>
      <c r="AG340" s="230"/>
      <c r="AH340" s="230"/>
      <c r="AI340" s="230"/>
      <c r="AJ340" s="230"/>
      <c r="AK340" s="230"/>
    </row>
    <row r="341" spans="2:37" s="187" customFormat="1" ht="7.8">
      <c r="B341" s="230"/>
      <c r="C341" s="230"/>
      <c r="D341" s="230"/>
      <c r="E341" s="230"/>
      <c r="F341" s="230"/>
      <c r="G341" s="230"/>
      <c r="H341" s="230"/>
      <c r="I341" s="230"/>
      <c r="J341" s="230"/>
      <c r="K341" s="230"/>
      <c r="L341" s="230"/>
      <c r="M341" s="230"/>
      <c r="N341" s="230"/>
      <c r="O341" s="230"/>
      <c r="P341" s="230"/>
      <c r="Q341" s="230"/>
      <c r="R341" s="230"/>
      <c r="S341" s="230"/>
      <c r="T341" s="230"/>
      <c r="U341" s="230"/>
      <c r="V341" s="230"/>
      <c r="W341" s="230"/>
      <c r="X341" s="230"/>
      <c r="Y341" s="230"/>
      <c r="Z341" s="230"/>
      <c r="AA341" s="230"/>
      <c r="AB341" s="230"/>
      <c r="AC341" s="230"/>
      <c r="AD341" s="230"/>
      <c r="AE341" s="230"/>
      <c r="AF341" s="230"/>
      <c r="AG341" s="230"/>
      <c r="AH341" s="230"/>
      <c r="AI341" s="230"/>
      <c r="AJ341" s="230"/>
      <c r="AK341" s="230"/>
    </row>
    <row r="342" spans="2:37" s="187" customFormat="1" ht="10.199999999999999">
      <c r="B342" s="230"/>
      <c r="C342" s="230"/>
      <c r="D342" s="230"/>
      <c r="E342" s="230"/>
      <c r="F342" s="230"/>
      <c r="G342" s="230"/>
      <c r="H342" s="236"/>
      <c r="I342" s="236"/>
      <c r="J342" s="236"/>
      <c r="K342" s="236"/>
      <c r="L342" s="236"/>
      <c r="M342" s="609" t="s">
        <v>275</v>
      </c>
      <c r="N342" s="609"/>
      <c r="O342" s="609"/>
      <c r="P342" s="609"/>
      <c r="Q342" s="609"/>
      <c r="R342" s="609"/>
      <c r="S342" s="609"/>
      <c r="T342" s="609"/>
      <c r="U342" s="609"/>
      <c r="V342" s="609"/>
      <c r="W342" s="609"/>
      <c r="X342" s="609"/>
      <c r="Y342" s="609"/>
      <c r="Z342" s="236"/>
      <c r="AA342" s="236"/>
      <c r="AB342" s="236"/>
      <c r="AC342" s="236"/>
      <c r="AD342" s="230"/>
      <c r="AE342" s="230"/>
      <c r="AF342" s="230"/>
      <c r="AG342" s="230"/>
      <c r="AH342" s="230"/>
      <c r="AI342" s="230"/>
      <c r="AJ342" s="230"/>
      <c r="AK342" s="230"/>
    </row>
    <row r="343" spans="2:37" s="187" customFormat="1" ht="10.199999999999999">
      <c r="B343" s="230"/>
      <c r="C343" s="230"/>
      <c r="D343" s="230"/>
      <c r="E343" s="230"/>
      <c r="F343" s="230"/>
      <c r="G343" s="230"/>
      <c r="H343" s="236"/>
      <c r="I343" s="236"/>
      <c r="J343" s="236"/>
      <c r="K343" s="236"/>
      <c r="L343" s="236"/>
      <c r="M343" s="236"/>
      <c r="N343" s="236"/>
      <c r="O343" s="236"/>
      <c r="P343" s="236"/>
      <c r="Q343" s="236"/>
      <c r="R343" s="236"/>
      <c r="S343" s="236"/>
      <c r="T343" s="236"/>
      <c r="U343" s="236"/>
      <c r="V343" s="236"/>
      <c r="W343" s="236"/>
      <c r="X343" s="236"/>
      <c r="Y343" s="236"/>
      <c r="Z343" s="236"/>
      <c r="AA343" s="236"/>
      <c r="AB343" s="236"/>
      <c r="AC343" s="236"/>
      <c r="AD343" s="230"/>
      <c r="AE343" s="230"/>
      <c r="AF343" s="230"/>
      <c r="AG343" s="230"/>
      <c r="AH343" s="230"/>
      <c r="AI343" s="230"/>
      <c r="AJ343" s="230"/>
      <c r="AK343" s="230"/>
    </row>
    <row r="344" spans="2:37" s="187" customFormat="1" ht="10.199999999999999">
      <c r="B344" s="230"/>
      <c r="C344" s="230"/>
      <c r="D344" s="230"/>
      <c r="E344" s="230"/>
      <c r="F344" s="230"/>
      <c r="G344" s="230"/>
      <c r="H344" s="236"/>
      <c r="I344" s="236"/>
      <c r="J344" s="236"/>
      <c r="K344" s="236"/>
      <c r="L344" s="610"/>
      <c r="M344" s="610"/>
      <c r="N344" s="610"/>
      <c r="O344" s="610"/>
      <c r="P344" s="610"/>
      <c r="Q344" s="610"/>
      <c r="R344" s="610"/>
      <c r="S344" s="610"/>
      <c r="T344" s="610"/>
      <c r="U344" s="610"/>
      <c r="V344" s="610"/>
      <c r="W344" s="610"/>
      <c r="X344" s="610"/>
      <c r="Y344" s="610"/>
      <c r="Z344" s="610"/>
      <c r="AA344" s="610"/>
      <c r="AB344" s="236"/>
      <c r="AC344" s="236"/>
      <c r="AD344" s="230"/>
      <c r="AE344" s="230"/>
      <c r="AF344" s="230"/>
      <c r="AG344" s="230"/>
      <c r="AH344" s="230"/>
      <c r="AI344" s="230"/>
      <c r="AJ344" s="230"/>
      <c r="AK344" s="230"/>
    </row>
    <row r="345" spans="2:37" s="187" customFormat="1" ht="10.199999999999999">
      <c r="B345" s="230"/>
      <c r="C345" s="230"/>
      <c r="D345" s="230"/>
      <c r="E345" s="230"/>
      <c r="F345" s="230"/>
      <c r="G345" s="230"/>
      <c r="H345" s="236"/>
      <c r="I345" s="236"/>
      <c r="J345" s="236"/>
      <c r="K345" s="236"/>
      <c r="L345" s="611">
        <f>AA_101_ANEXO_ACS_REESTRUCTURA_FIADOR_UNO</f>
        <v>0</v>
      </c>
      <c r="M345" s="611"/>
      <c r="N345" s="611"/>
      <c r="O345" s="611"/>
      <c r="P345" s="611"/>
      <c r="Q345" s="611"/>
      <c r="R345" s="611"/>
      <c r="S345" s="611"/>
      <c r="T345" s="611"/>
      <c r="U345" s="611"/>
      <c r="V345" s="611"/>
      <c r="W345" s="611"/>
      <c r="X345" s="611"/>
      <c r="Y345" s="611"/>
      <c r="Z345" s="611"/>
      <c r="AA345" s="611"/>
      <c r="AB345" s="236"/>
      <c r="AC345" s="236"/>
      <c r="AD345" s="230"/>
      <c r="AE345" s="230"/>
      <c r="AF345" s="230"/>
      <c r="AG345" s="230"/>
      <c r="AH345" s="230"/>
      <c r="AI345" s="230"/>
      <c r="AJ345" s="230"/>
      <c r="AK345" s="230"/>
    </row>
    <row r="346" spans="2:37" s="187" customFormat="1" ht="10.199999999999999">
      <c r="B346" s="230"/>
      <c r="C346" s="230"/>
      <c r="D346" s="230"/>
      <c r="E346" s="230"/>
      <c r="F346" s="230"/>
      <c r="G346" s="230"/>
      <c r="H346" s="236"/>
      <c r="I346" s="236"/>
      <c r="J346" s="236"/>
      <c r="K346" s="236"/>
      <c r="L346" s="236"/>
      <c r="M346" s="236"/>
      <c r="N346" s="236"/>
      <c r="O346" s="236"/>
      <c r="P346" s="236"/>
      <c r="Q346" s="236"/>
      <c r="R346" s="236"/>
      <c r="S346" s="236"/>
      <c r="T346" s="236"/>
      <c r="U346" s="236"/>
      <c r="V346" s="236"/>
      <c r="W346" s="236"/>
      <c r="X346" s="236"/>
      <c r="Y346" s="236"/>
      <c r="Z346" s="236"/>
      <c r="AA346" s="236"/>
      <c r="AB346" s="236"/>
      <c r="AC346" s="236"/>
      <c r="AD346" s="230"/>
      <c r="AE346" s="230"/>
      <c r="AF346" s="230"/>
      <c r="AG346" s="230"/>
      <c r="AH346" s="230"/>
      <c r="AI346" s="230"/>
      <c r="AJ346" s="230"/>
      <c r="AK346" s="230"/>
    </row>
    <row r="347" spans="2:37" s="187" customFormat="1" ht="10.199999999999999">
      <c r="B347" s="230"/>
      <c r="C347" s="230"/>
      <c r="D347" s="230"/>
      <c r="E347" s="230"/>
      <c r="F347" s="230"/>
      <c r="G347" s="230"/>
      <c r="H347" s="236"/>
      <c r="I347" s="236"/>
      <c r="J347" s="236"/>
      <c r="K347" s="236"/>
      <c r="L347" s="236"/>
      <c r="M347" s="236"/>
      <c r="N347" s="236"/>
      <c r="O347" s="236"/>
      <c r="P347" s="236"/>
      <c r="Q347" s="236"/>
      <c r="R347" s="236"/>
      <c r="S347" s="236"/>
      <c r="T347" s="236"/>
      <c r="U347" s="236"/>
      <c r="V347" s="236"/>
      <c r="W347" s="236"/>
      <c r="X347" s="236"/>
      <c r="Y347" s="236"/>
      <c r="Z347" s="236"/>
      <c r="AA347" s="236"/>
      <c r="AB347" s="236"/>
      <c r="AC347" s="236"/>
      <c r="AD347" s="230"/>
      <c r="AE347" s="230"/>
      <c r="AF347" s="230"/>
      <c r="AG347" s="230"/>
      <c r="AH347" s="230"/>
      <c r="AI347" s="230"/>
      <c r="AJ347" s="230"/>
      <c r="AK347" s="230"/>
    </row>
    <row r="348" spans="2:37" s="187" customFormat="1" ht="10.199999999999999">
      <c r="B348" s="230"/>
      <c r="C348" s="230"/>
      <c r="D348" s="230"/>
      <c r="E348" s="230"/>
      <c r="F348" s="230"/>
      <c r="G348" s="230"/>
      <c r="H348" s="236"/>
      <c r="I348" s="236"/>
      <c r="J348" s="236"/>
      <c r="K348" s="236"/>
      <c r="L348" s="610"/>
      <c r="M348" s="610"/>
      <c r="N348" s="610"/>
      <c r="O348" s="610"/>
      <c r="P348" s="610"/>
      <c r="Q348" s="610"/>
      <c r="R348" s="610"/>
      <c r="S348" s="610"/>
      <c r="T348" s="610"/>
      <c r="U348" s="610"/>
      <c r="V348" s="610"/>
      <c r="W348" s="610"/>
      <c r="X348" s="610"/>
      <c r="Y348" s="610"/>
      <c r="Z348" s="610"/>
      <c r="AA348" s="610"/>
      <c r="AB348" s="236"/>
      <c r="AC348" s="236"/>
      <c r="AD348" s="230"/>
      <c r="AE348" s="230"/>
      <c r="AF348" s="230"/>
      <c r="AG348" s="230"/>
      <c r="AH348" s="230"/>
      <c r="AI348" s="230"/>
      <c r="AJ348" s="230"/>
      <c r="AK348" s="230"/>
    </row>
    <row r="349" spans="2:37" s="187" customFormat="1" ht="10.199999999999999">
      <c r="B349" s="230"/>
      <c r="C349" s="230"/>
      <c r="D349" s="230"/>
      <c r="E349" s="230"/>
      <c r="F349" s="230"/>
      <c r="G349" s="230"/>
      <c r="H349" s="236"/>
      <c r="I349" s="236"/>
      <c r="J349" s="236"/>
      <c r="K349" s="236"/>
      <c r="L349" s="611">
        <f>AA_102_ANEXO_ACS_REESTRUCTURA_FIADOR_DOS</f>
        <v>0</v>
      </c>
      <c r="M349" s="611"/>
      <c r="N349" s="611"/>
      <c r="O349" s="611"/>
      <c r="P349" s="611"/>
      <c r="Q349" s="611"/>
      <c r="R349" s="611"/>
      <c r="S349" s="611"/>
      <c r="T349" s="611"/>
      <c r="U349" s="611"/>
      <c r="V349" s="611"/>
      <c r="W349" s="611"/>
      <c r="X349" s="611"/>
      <c r="Y349" s="611"/>
      <c r="Z349" s="611"/>
      <c r="AA349" s="611"/>
      <c r="AB349" s="236"/>
      <c r="AC349" s="236"/>
      <c r="AD349" s="230"/>
      <c r="AE349" s="230"/>
      <c r="AF349" s="230"/>
      <c r="AG349" s="230"/>
      <c r="AH349" s="230"/>
      <c r="AI349" s="230"/>
      <c r="AJ349" s="230"/>
      <c r="AK349" s="230"/>
    </row>
    <row r="350" spans="2:37" s="187" customFormat="1" ht="10.199999999999999">
      <c r="B350" s="230"/>
      <c r="C350" s="230"/>
      <c r="D350" s="230"/>
      <c r="E350" s="230"/>
      <c r="F350" s="230"/>
      <c r="G350" s="230"/>
      <c r="H350" s="236"/>
      <c r="I350" s="236"/>
      <c r="J350" s="236"/>
      <c r="K350" s="236"/>
      <c r="L350" s="236"/>
      <c r="M350" s="236"/>
      <c r="N350" s="236"/>
      <c r="O350" s="236"/>
      <c r="P350" s="236"/>
      <c r="Q350" s="236"/>
      <c r="R350" s="236"/>
      <c r="S350" s="236"/>
      <c r="T350" s="236"/>
      <c r="U350" s="236"/>
      <c r="V350" s="236"/>
      <c r="W350" s="236"/>
      <c r="X350" s="236"/>
      <c r="Y350" s="236"/>
      <c r="Z350" s="236"/>
      <c r="AA350" s="236"/>
      <c r="AB350" s="236"/>
      <c r="AC350" s="236"/>
      <c r="AD350" s="230"/>
      <c r="AE350" s="230"/>
      <c r="AF350" s="230"/>
      <c r="AG350" s="230"/>
      <c r="AH350" s="230"/>
      <c r="AI350" s="230"/>
      <c r="AJ350" s="230"/>
      <c r="AK350" s="230"/>
    </row>
    <row r="351" spans="2:37" s="187" customFormat="1" ht="10.199999999999999">
      <c r="B351" s="230"/>
      <c r="C351" s="230"/>
      <c r="D351" s="230"/>
      <c r="E351" s="230"/>
      <c r="F351" s="230"/>
      <c r="G351" s="230"/>
      <c r="H351" s="236"/>
      <c r="I351" s="236"/>
      <c r="J351" s="236"/>
      <c r="K351" s="236"/>
      <c r="L351" s="236"/>
      <c r="M351" s="236"/>
      <c r="N351" s="236"/>
      <c r="O351" s="236"/>
      <c r="P351" s="236"/>
      <c r="Q351" s="236"/>
      <c r="R351" s="236"/>
      <c r="S351" s="236"/>
      <c r="T351" s="236"/>
      <c r="U351" s="236"/>
      <c r="V351" s="236"/>
      <c r="W351" s="236"/>
      <c r="X351" s="236"/>
      <c r="Y351" s="236"/>
      <c r="Z351" s="236"/>
      <c r="AA351" s="236"/>
      <c r="AB351" s="236"/>
      <c r="AC351" s="236"/>
      <c r="AD351" s="230"/>
      <c r="AE351" s="230"/>
      <c r="AF351" s="230"/>
      <c r="AG351" s="230"/>
      <c r="AH351" s="230"/>
      <c r="AI351" s="230"/>
      <c r="AJ351" s="230"/>
      <c r="AK351" s="230"/>
    </row>
    <row r="352" spans="2:37" s="187" customFormat="1" ht="10.199999999999999">
      <c r="B352" s="230"/>
      <c r="C352" s="230"/>
      <c r="D352" s="230"/>
      <c r="E352" s="230"/>
      <c r="F352" s="230"/>
      <c r="G352" s="230"/>
      <c r="H352" s="236"/>
      <c r="I352" s="236"/>
      <c r="J352" s="236"/>
      <c r="K352" s="236"/>
      <c r="L352" s="610"/>
      <c r="M352" s="610"/>
      <c r="N352" s="610"/>
      <c r="O352" s="610"/>
      <c r="P352" s="610"/>
      <c r="Q352" s="610"/>
      <c r="R352" s="610"/>
      <c r="S352" s="610"/>
      <c r="T352" s="610"/>
      <c r="U352" s="610"/>
      <c r="V352" s="610"/>
      <c r="W352" s="610"/>
      <c r="X352" s="610"/>
      <c r="Y352" s="610"/>
      <c r="Z352" s="610"/>
      <c r="AA352" s="610"/>
      <c r="AB352" s="236"/>
      <c r="AC352" s="236"/>
      <c r="AD352" s="230"/>
      <c r="AE352" s="230"/>
      <c r="AF352" s="230"/>
      <c r="AG352" s="230"/>
      <c r="AH352" s="230"/>
      <c r="AI352" s="230"/>
      <c r="AJ352" s="230"/>
      <c r="AK352" s="230"/>
    </row>
    <row r="353" spans="2:37" s="187" customFormat="1" ht="10.199999999999999">
      <c r="B353" s="230"/>
      <c r="C353" s="230"/>
      <c r="D353" s="230"/>
      <c r="E353" s="230"/>
      <c r="F353" s="230"/>
      <c r="G353" s="230"/>
      <c r="H353" s="236"/>
      <c r="I353" s="236"/>
      <c r="J353" s="236"/>
      <c r="K353" s="236"/>
      <c r="L353" s="611">
        <f>AA_103_ANEXO_ACS_REESTRUCTURA_FIADOR_TRES</f>
        <v>0</v>
      </c>
      <c r="M353" s="611"/>
      <c r="N353" s="611"/>
      <c r="O353" s="611"/>
      <c r="P353" s="611"/>
      <c r="Q353" s="611"/>
      <c r="R353" s="611"/>
      <c r="S353" s="611"/>
      <c r="T353" s="611"/>
      <c r="U353" s="611"/>
      <c r="V353" s="611"/>
      <c r="W353" s="611"/>
      <c r="X353" s="611"/>
      <c r="Y353" s="611"/>
      <c r="Z353" s="611"/>
      <c r="AA353" s="611"/>
      <c r="AB353" s="236"/>
      <c r="AC353" s="236"/>
      <c r="AD353" s="230"/>
      <c r="AE353" s="230"/>
      <c r="AF353" s="230"/>
      <c r="AG353" s="230"/>
      <c r="AH353" s="230"/>
      <c r="AI353" s="230"/>
      <c r="AJ353" s="230"/>
      <c r="AK353" s="230"/>
    </row>
    <row r="354" spans="2:37" s="187" customFormat="1" ht="10.199999999999999">
      <c r="B354" s="230"/>
      <c r="C354" s="230"/>
      <c r="D354" s="230"/>
      <c r="E354" s="230"/>
      <c r="F354" s="230"/>
      <c r="G354" s="230"/>
      <c r="H354" s="236"/>
      <c r="I354" s="236"/>
      <c r="J354" s="236"/>
      <c r="K354" s="236"/>
      <c r="L354" s="236"/>
      <c r="M354" s="236"/>
      <c r="N354" s="236"/>
      <c r="O354" s="236"/>
      <c r="P354" s="236"/>
      <c r="Q354" s="236"/>
      <c r="R354" s="236"/>
      <c r="S354" s="236"/>
      <c r="T354" s="236"/>
      <c r="U354" s="236"/>
      <c r="V354" s="236"/>
      <c r="W354" s="236"/>
      <c r="X354" s="236"/>
      <c r="Y354" s="236"/>
      <c r="Z354" s="236"/>
      <c r="AA354" s="236"/>
      <c r="AB354" s="236"/>
      <c r="AC354" s="236"/>
      <c r="AD354" s="230"/>
      <c r="AE354" s="230"/>
      <c r="AF354" s="230"/>
      <c r="AG354" s="230"/>
      <c r="AH354" s="230"/>
      <c r="AI354" s="230"/>
      <c r="AJ354" s="230"/>
      <c r="AK354" s="230"/>
    </row>
    <row r="355" spans="2:37" s="187" customFormat="1" ht="10.199999999999999">
      <c r="B355" s="230"/>
      <c r="C355" s="230"/>
      <c r="D355" s="230"/>
      <c r="E355" s="230"/>
      <c r="F355" s="230"/>
      <c r="G355" s="230"/>
      <c r="H355" s="236"/>
      <c r="I355" s="236"/>
      <c r="J355" s="236"/>
      <c r="K355" s="236"/>
      <c r="L355" s="236"/>
      <c r="M355" s="236"/>
      <c r="N355" s="236"/>
      <c r="O355" s="236"/>
      <c r="P355" s="236"/>
      <c r="Q355" s="236"/>
      <c r="R355" s="236"/>
      <c r="S355" s="236"/>
      <c r="T355" s="236"/>
      <c r="U355" s="236"/>
      <c r="V355" s="236"/>
      <c r="W355" s="236"/>
      <c r="X355" s="236"/>
      <c r="Y355" s="236"/>
      <c r="Z355" s="236"/>
      <c r="AA355" s="236"/>
      <c r="AB355" s="236"/>
      <c r="AC355" s="236"/>
      <c r="AD355" s="230"/>
      <c r="AE355" s="230"/>
      <c r="AF355" s="230"/>
      <c r="AG355" s="230"/>
      <c r="AH355" s="230"/>
      <c r="AI355" s="230"/>
      <c r="AJ355" s="230"/>
      <c r="AK355" s="230"/>
    </row>
    <row r="356" spans="2:37" s="187" customFormat="1" ht="10.199999999999999">
      <c r="B356" s="230"/>
      <c r="C356" s="230"/>
      <c r="D356" s="230"/>
      <c r="E356" s="230"/>
      <c r="F356" s="230"/>
      <c r="G356" s="230"/>
      <c r="H356" s="236"/>
      <c r="I356" s="236"/>
      <c r="J356" s="236"/>
      <c r="K356" s="236"/>
      <c r="L356" s="234"/>
      <c r="M356" s="234"/>
      <c r="N356" s="234"/>
      <c r="O356" s="609" t="s">
        <v>276</v>
      </c>
      <c r="P356" s="609"/>
      <c r="Q356" s="609"/>
      <c r="R356" s="609"/>
      <c r="S356" s="609"/>
      <c r="T356" s="609"/>
      <c r="U356" s="609"/>
      <c r="V356" s="609"/>
      <c r="W356" s="609"/>
      <c r="X356" s="234"/>
      <c r="Y356" s="234"/>
      <c r="Z356" s="234"/>
      <c r="AA356" s="234"/>
      <c r="AB356" s="235"/>
      <c r="AC356" s="236"/>
      <c r="AD356" s="230"/>
      <c r="AE356" s="230"/>
      <c r="AF356" s="230"/>
      <c r="AG356" s="230"/>
      <c r="AH356" s="230"/>
      <c r="AI356" s="230"/>
      <c r="AJ356" s="230"/>
      <c r="AK356" s="230"/>
    </row>
    <row r="357" spans="2:37" s="187" customFormat="1" ht="10.199999999999999">
      <c r="B357" s="230"/>
      <c r="C357" s="230"/>
      <c r="D357" s="230"/>
      <c r="E357" s="230"/>
      <c r="F357" s="230"/>
      <c r="G357" s="230"/>
      <c r="H357" s="612" t="s">
        <v>277</v>
      </c>
      <c r="I357" s="612"/>
      <c r="J357" s="612"/>
      <c r="K357" s="612"/>
      <c r="L357" s="612"/>
      <c r="M357" s="612"/>
      <c r="N357" s="612"/>
      <c r="O357" s="612"/>
      <c r="P357" s="612"/>
      <c r="Q357" s="612"/>
      <c r="R357" s="612"/>
      <c r="S357" s="612"/>
      <c r="T357" s="612"/>
      <c r="U357" s="612"/>
      <c r="V357" s="612"/>
      <c r="W357" s="612"/>
      <c r="X357" s="612"/>
      <c r="Y357" s="612"/>
      <c r="Z357" s="612"/>
      <c r="AA357" s="612"/>
      <c r="AB357" s="612"/>
      <c r="AC357" s="612"/>
      <c r="AD357" s="230"/>
      <c r="AE357" s="230"/>
      <c r="AF357" s="230"/>
      <c r="AG357" s="230"/>
      <c r="AH357" s="230"/>
      <c r="AI357" s="230"/>
      <c r="AJ357" s="230"/>
      <c r="AK357" s="230"/>
    </row>
    <row r="358" spans="2:37" s="187" customFormat="1" ht="10.199999999999999">
      <c r="B358" s="230"/>
      <c r="C358" s="230"/>
      <c r="D358" s="230"/>
      <c r="E358" s="230"/>
      <c r="F358" s="230"/>
      <c r="G358" s="230"/>
      <c r="H358" s="236"/>
      <c r="I358" s="236"/>
      <c r="J358" s="236"/>
      <c r="K358" s="236"/>
      <c r="L358" s="237"/>
      <c r="M358" s="234"/>
      <c r="N358" s="234"/>
      <c r="O358" s="612" t="s">
        <v>278</v>
      </c>
      <c r="P358" s="612"/>
      <c r="Q358" s="612"/>
      <c r="R358" s="612"/>
      <c r="S358" s="612"/>
      <c r="T358" s="612"/>
      <c r="U358" s="612"/>
      <c r="V358" s="612"/>
      <c r="W358" s="612"/>
      <c r="X358" s="234"/>
      <c r="Y358" s="234"/>
      <c r="Z358" s="234"/>
      <c r="AA358" s="234"/>
      <c r="AB358" s="236"/>
      <c r="AC358" s="236"/>
      <c r="AD358" s="230"/>
      <c r="AE358" s="230"/>
      <c r="AF358" s="230"/>
      <c r="AG358" s="230"/>
      <c r="AH358" s="230"/>
      <c r="AI358" s="230"/>
      <c r="AJ358" s="230"/>
      <c r="AK358" s="230"/>
    </row>
    <row r="359" spans="2:37" s="187" customFormat="1" ht="10.199999999999999">
      <c r="B359" s="230"/>
      <c r="C359" s="230"/>
      <c r="D359" s="230"/>
      <c r="E359" s="230"/>
      <c r="F359" s="230"/>
      <c r="G359" s="230"/>
      <c r="H359" s="236"/>
      <c r="I359" s="236"/>
      <c r="J359" s="236"/>
      <c r="K359" s="236"/>
      <c r="L359" s="236"/>
      <c r="M359" s="236"/>
      <c r="N359" s="236"/>
      <c r="O359" s="236"/>
      <c r="P359" s="236"/>
      <c r="Q359" s="236"/>
      <c r="R359" s="236"/>
      <c r="S359" s="236"/>
      <c r="T359" s="236"/>
      <c r="U359" s="236"/>
      <c r="V359" s="236"/>
      <c r="W359" s="236"/>
      <c r="X359" s="236"/>
      <c r="Y359" s="236"/>
      <c r="Z359" s="236"/>
      <c r="AA359" s="236"/>
      <c r="AB359" s="236"/>
      <c r="AC359" s="236"/>
      <c r="AD359" s="230"/>
      <c r="AE359" s="230"/>
      <c r="AF359" s="230"/>
      <c r="AG359" s="230"/>
      <c r="AH359" s="230"/>
      <c r="AI359" s="230"/>
      <c r="AJ359" s="230"/>
      <c r="AK359" s="230"/>
    </row>
    <row r="360" spans="2:37" s="187" customFormat="1" ht="10.199999999999999">
      <c r="B360" s="230"/>
      <c r="C360" s="230"/>
      <c r="D360" s="230"/>
      <c r="E360" s="230"/>
      <c r="F360" s="230"/>
      <c r="G360" s="230"/>
      <c r="H360" s="236"/>
      <c r="I360" s="236"/>
      <c r="J360" s="236"/>
      <c r="K360" s="236"/>
      <c r="L360" s="236"/>
      <c r="M360" s="236"/>
      <c r="N360" s="236"/>
      <c r="O360" s="236"/>
      <c r="P360" s="236"/>
      <c r="Q360" s="236"/>
      <c r="R360" s="236"/>
      <c r="S360" s="236"/>
      <c r="T360" s="236"/>
      <c r="U360" s="236"/>
      <c r="V360" s="236"/>
      <c r="W360" s="236"/>
      <c r="X360" s="236"/>
      <c r="Y360" s="236"/>
      <c r="Z360" s="236"/>
      <c r="AA360" s="236"/>
      <c r="AB360" s="236"/>
      <c r="AC360" s="236"/>
      <c r="AD360" s="230"/>
      <c r="AE360" s="230"/>
      <c r="AF360" s="230"/>
      <c r="AG360" s="230"/>
      <c r="AH360" s="230"/>
      <c r="AI360" s="230"/>
      <c r="AJ360" s="230"/>
      <c r="AK360" s="230"/>
    </row>
    <row r="361" spans="2:37" s="187" customFormat="1" ht="10.199999999999999">
      <c r="B361" s="230"/>
      <c r="C361" s="230"/>
      <c r="D361" s="230"/>
      <c r="E361" s="230"/>
      <c r="F361" s="230"/>
      <c r="G361" s="230"/>
      <c r="H361" s="236"/>
      <c r="I361" s="236"/>
      <c r="J361" s="236"/>
      <c r="K361" s="236"/>
      <c r="L361" s="610"/>
      <c r="M361" s="610"/>
      <c r="N361" s="610"/>
      <c r="O361" s="610"/>
      <c r="P361" s="610"/>
      <c r="Q361" s="610"/>
      <c r="R361" s="610"/>
      <c r="S361" s="610"/>
      <c r="T361" s="610"/>
      <c r="U361" s="610"/>
      <c r="V361" s="610"/>
      <c r="W361" s="610"/>
      <c r="X361" s="610"/>
      <c r="Y361" s="610"/>
      <c r="Z361" s="610"/>
      <c r="AA361" s="610"/>
      <c r="AB361" s="236"/>
      <c r="AC361" s="236"/>
      <c r="AD361" s="230"/>
      <c r="AE361" s="230"/>
      <c r="AF361" s="230"/>
      <c r="AG361" s="230"/>
      <c r="AH361" s="230"/>
      <c r="AI361" s="230"/>
      <c r="AJ361" s="230"/>
      <c r="AK361" s="230"/>
    </row>
    <row r="362" spans="2:37" s="187" customFormat="1" ht="10.199999999999999">
      <c r="B362" s="230"/>
      <c r="C362" s="230"/>
      <c r="D362" s="230"/>
      <c r="E362" s="230"/>
      <c r="F362" s="230"/>
      <c r="G362" s="230"/>
      <c r="H362" s="236"/>
      <c r="I362" s="236"/>
      <c r="J362" s="236"/>
      <c r="K362" s="236"/>
      <c r="L362" s="613">
        <f>AA_104_ANEXO_ACS_REESTRUCTURA_APODERADO_BANCO_UNO</f>
        <v>0</v>
      </c>
      <c r="M362" s="613"/>
      <c r="N362" s="613"/>
      <c r="O362" s="613"/>
      <c r="P362" s="613"/>
      <c r="Q362" s="613"/>
      <c r="R362" s="613"/>
      <c r="S362" s="613"/>
      <c r="T362" s="613"/>
      <c r="U362" s="613"/>
      <c r="V362" s="613"/>
      <c r="W362" s="613"/>
      <c r="X362" s="613"/>
      <c r="Y362" s="613"/>
      <c r="Z362" s="613"/>
      <c r="AA362" s="613"/>
      <c r="AB362" s="236"/>
      <c r="AC362" s="236"/>
      <c r="AD362" s="230"/>
      <c r="AE362" s="230"/>
      <c r="AF362" s="230"/>
      <c r="AG362" s="230"/>
      <c r="AH362" s="230"/>
      <c r="AI362" s="230"/>
      <c r="AJ362" s="230"/>
      <c r="AK362" s="230"/>
    </row>
    <row r="363" spans="2:37" s="187" customFormat="1" ht="10.199999999999999">
      <c r="B363" s="230"/>
      <c r="C363" s="230"/>
      <c r="D363" s="230"/>
      <c r="E363" s="230"/>
      <c r="F363" s="230"/>
      <c r="G363" s="230"/>
      <c r="H363" s="232"/>
      <c r="I363" s="232"/>
      <c r="J363" s="232"/>
      <c r="K363" s="232"/>
      <c r="L363" s="232"/>
      <c r="M363" s="232"/>
      <c r="N363" s="232"/>
      <c r="O363" s="232"/>
      <c r="P363" s="232"/>
      <c r="Q363" s="232"/>
      <c r="R363" s="232"/>
      <c r="S363" s="232"/>
      <c r="T363" s="232"/>
      <c r="U363" s="232"/>
      <c r="V363" s="232"/>
      <c r="W363" s="232"/>
      <c r="X363" s="232"/>
      <c r="Y363" s="232"/>
      <c r="Z363" s="232"/>
      <c r="AA363" s="232"/>
      <c r="AB363" s="232"/>
      <c r="AC363" s="232"/>
      <c r="AD363" s="230"/>
      <c r="AE363" s="230"/>
      <c r="AF363" s="230"/>
      <c r="AG363" s="230"/>
      <c r="AH363" s="230"/>
      <c r="AI363" s="230"/>
      <c r="AJ363" s="230"/>
      <c r="AK363" s="230"/>
    </row>
    <row r="364" spans="2:37" s="187" customFormat="1" ht="10.199999999999999">
      <c r="B364" s="230"/>
      <c r="C364" s="230"/>
      <c r="D364" s="230"/>
      <c r="E364" s="230"/>
      <c r="F364" s="230"/>
      <c r="G364" s="230"/>
      <c r="H364" s="232"/>
      <c r="I364" s="232"/>
      <c r="J364" s="232"/>
      <c r="K364" s="232"/>
      <c r="L364" s="617"/>
      <c r="M364" s="617"/>
      <c r="N364" s="617"/>
      <c r="O364" s="617"/>
      <c r="P364" s="617"/>
      <c r="Q364" s="617"/>
      <c r="R364" s="617"/>
      <c r="S364" s="617"/>
      <c r="T364" s="617"/>
      <c r="U364" s="617"/>
      <c r="V364" s="617"/>
      <c r="W364" s="617"/>
      <c r="X364" s="617"/>
      <c r="Y364" s="617"/>
      <c r="Z364" s="617"/>
      <c r="AA364" s="617"/>
      <c r="AB364" s="232"/>
      <c r="AC364" s="232"/>
      <c r="AD364" s="230"/>
      <c r="AE364" s="230"/>
      <c r="AF364" s="230"/>
      <c r="AG364" s="230"/>
      <c r="AH364" s="230"/>
      <c r="AI364" s="230"/>
      <c r="AJ364" s="230"/>
      <c r="AK364" s="230"/>
    </row>
    <row r="365" spans="2:37" s="187" customFormat="1" ht="10.199999999999999">
      <c r="B365" s="230"/>
      <c r="C365" s="230"/>
      <c r="D365" s="230"/>
      <c r="E365" s="230"/>
      <c r="F365" s="230"/>
      <c r="G365" s="230"/>
      <c r="H365" s="232"/>
      <c r="I365" s="232"/>
      <c r="J365" s="232"/>
      <c r="K365" s="232"/>
      <c r="L365" s="613">
        <f>AA_105_ANEXO_ACS_REESTRUCTURA_APODERADO_BANCO_DOS</f>
        <v>0</v>
      </c>
      <c r="M365" s="613"/>
      <c r="N365" s="613"/>
      <c r="O365" s="613"/>
      <c r="P365" s="613"/>
      <c r="Q365" s="613"/>
      <c r="R365" s="613"/>
      <c r="S365" s="613"/>
      <c r="T365" s="613"/>
      <c r="U365" s="613"/>
      <c r="V365" s="613"/>
      <c r="W365" s="613"/>
      <c r="X365" s="613"/>
      <c r="Y365" s="613"/>
      <c r="Z365" s="613"/>
      <c r="AA365" s="613"/>
      <c r="AB365" s="232"/>
      <c r="AC365" s="232"/>
      <c r="AD365" s="230"/>
      <c r="AE365" s="230"/>
      <c r="AF365" s="230"/>
      <c r="AG365" s="230"/>
      <c r="AH365" s="230"/>
      <c r="AI365" s="230"/>
      <c r="AJ365" s="230"/>
      <c r="AK365" s="230"/>
    </row>
    <row r="366" spans="2:37" s="187" customFormat="1" ht="13.2">
      <c r="B366" s="230"/>
      <c r="C366" s="230"/>
      <c r="D366" s="230"/>
      <c r="E366" s="230"/>
      <c r="F366" s="230"/>
      <c r="G366" s="230"/>
      <c r="H366" s="238"/>
      <c r="I366" s="238"/>
      <c r="J366" s="238"/>
      <c r="K366" s="238"/>
      <c r="L366" s="238"/>
      <c r="M366" s="238"/>
      <c r="N366" s="238"/>
      <c r="O366" s="238"/>
      <c r="P366" s="238"/>
      <c r="Q366" s="238"/>
      <c r="R366" s="238"/>
      <c r="S366" s="238"/>
      <c r="T366" s="238"/>
      <c r="U366" s="238"/>
      <c r="V366" s="238"/>
      <c r="W366" s="238"/>
      <c r="X366" s="238"/>
      <c r="Y366" s="238"/>
      <c r="Z366" s="238"/>
      <c r="AA366" s="238"/>
      <c r="AB366" s="238"/>
      <c r="AC366" s="238"/>
      <c r="AD366" s="230"/>
      <c r="AE366" s="230"/>
      <c r="AF366" s="230"/>
      <c r="AG366" s="230"/>
      <c r="AH366" s="230"/>
      <c r="AI366" s="230"/>
      <c r="AJ366" s="230"/>
      <c r="AK366" s="230"/>
    </row>
    <row r="367" spans="2:37" s="187" customFormat="1" ht="7.8">
      <c r="B367" s="230"/>
      <c r="C367" s="230"/>
      <c r="D367" s="230"/>
      <c r="E367" s="230"/>
      <c r="F367" s="230"/>
      <c r="G367" s="230"/>
      <c r="H367" s="230"/>
      <c r="I367" s="230"/>
      <c r="J367" s="230"/>
      <c r="K367" s="230"/>
      <c r="L367" s="230"/>
      <c r="M367" s="230"/>
      <c r="N367" s="230"/>
      <c r="O367" s="230"/>
      <c r="P367" s="230"/>
      <c r="Q367" s="230"/>
      <c r="R367" s="230"/>
      <c r="S367" s="230"/>
      <c r="T367" s="230"/>
      <c r="U367" s="230"/>
      <c r="V367" s="230"/>
      <c r="W367" s="230"/>
      <c r="X367" s="230"/>
      <c r="Y367" s="230"/>
      <c r="Z367" s="230"/>
      <c r="AA367" s="230"/>
      <c r="AB367" s="230"/>
      <c r="AC367" s="230"/>
      <c r="AD367" s="230"/>
      <c r="AE367" s="230"/>
      <c r="AF367" s="230"/>
      <c r="AG367" s="230"/>
      <c r="AH367" s="230"/>
      <c r="AI367" s="230"/>
      <c r="AJ367" s="230"/>
      <c r="AK367" s="230"/>
    </row>
    <row r="368" spans="2:37" s="187" customFormat="1" ht="7.8"/>
    <row r="369" s="187" customFormat="1" ht="7.8"/>
    <row r="370" s="187" customFormat="1" ht="7.8"/>
    <row r="371" s="187" customFormat="1" ht="7.8"/>
    <row r="372" s="187" customFormat="1" ht="7.8"/>
    <row r="373" s="187" customFormat="1" ht="7.8"/>
    <row r="374" s="187" customFormat="1" ht="7.8"/>
    <row r="375" s="187" customFormat="1" ht="7.8"/>
    <row r="376" s="187" customFormat="1" ht="7.8"/>
    <row r="377" s="187" customFormat="1" ht="7.8"/>
    <row r="378" s="187" customFormat="1" ht="7.8"/>
    <row r="379" s="187" customFormat="1" ht="7.8"/>
    <row r="380" s="187" customFormat="1" ht="7.8"/>
    <row r="381" s="187" customFormat="1" ht="7.8"/>
    <row r="382" s="187" customFormat="1" ht="7.8"/>
    <row r="383" s="187" customFormat="1" ht="7.8"/>
    <row r="384" s="187" customFormat="1" ht="7.8"/>
    <row r="385" s="187" customFormat="1" ht="7.8"/>
    <row r="386" s="187" customFormat="1" ht="7.8"/>
    <row r="387" s="187" customFormat="1" ht="7.8"/>
    <row r="388" s="187" customFormat="1" ht="7.8"/>
    <row r="389" s="187" customFormat="1" ht="7.8"/>
    <row r="390" s="187" customFormat="1" ht="7.8"/>
    <row r="391" s="187" customFormat="1" ht="7.8"/>
    <row r="392" s="187" customFormat="1" ht="7.8"/>
    <row r="393" s="187" customFormat="1" ht="7.8"/>
    <row r="394" s="187" customFormat="1" ht="7.8"/>
    <row r="395" s="187" customFormat="1" ht="7.8"/>
    <row r="396" s="187" customFormat="1" ht="7.8"/>
    <row r="397" s="187" customFormat="1" ht="7.8"/>
    <row r="398" s="187" customFormat="1" ht="7.8"/>
    <row r="399" s="187" customFormat="1" ht="7.8"/>
    <row r="400" s="187" customFormat="1" ht="7.8"/>
    <row r="401" s="187" customFormat="1" ht="7.8"/>
    <row r="402" s="187" customFormat="1" ht="7.8"/>
    <row r="403" s="187" customFormat="1" ht="7.8"/>
    <row r="404" s="187" customFormat="1" ht="7.8"/>
    <row r="405" s="187" customFormat="1" ht="7.8"/>
    <row r="406" s="187" customFormat="1" ht="7.8"/>
    <row r="407" s="187" customFormat="1" ht="7.8"/>
    <row r="408" s="187" customFormat="1" ht="7.8"/>
    <row r="409" s="187" customFormat="1" ht="7.8"/>
    <row r="410" s="187" customFormat="1" ht="7.8"/>
    <row r="411" s="187" customFormat="1" ht="7.8"/>
    <row r="412" s="187" customFormat="1" ht="7.8"/>
    <row r="413" s="187" customFormat="1" ht="7.8"/>
    <row r="414" s="187" customFormat="1" ht="7.8"/>
    <row r="415" s="187" customFormat="1" ht="7.8"/>
    <row r="416" s="187" customFormat="1" ht="7.8"/>
    <row r="417" s="187" customFormat="1" ht="7.8"/>
    <row r="418" s="187" customFormat="1" ht="7.8"/>
    <row r="419" s="187" customFormat="1" ht="7.8"/>
    <row r="420" s="187" customFormat="1" ht="7.8"/>
    <row r="421" s="187" customFormat="1" ht="7.8"/>
    <row r="422" s="187" customFormat="1" ht="7.8"/>
    <row r="423" s="187" customFormat="1" ht="7.8"/>
    <row r="424" s="187" customFormat="1" ht="7.8"/>
    <row r="425" s="187" customFormat="1" ht="7.8"/>
    <row r="426" s="187" customFormat="1" ht="7.8"/>
    <row r="427" s="187" customFormat="1" ht="7.8"/>
    <row r="428" s="187" customFormat="1" ht="7.8"/>
    <row r="429" s="187" customFormat="1" ht="7.8"/>
    <row r="430" s="187" customFormat="1" ht="7.8"/>
    <row r="431" s="187" customFormat="1" ht="7.8"/>
    <row r="432" s="187" customFormat="1" ht="7.8"/>
    <row r="433" s="187" customFormat="1" ht="7.8"/>
    <row r="434" s="187" customFormat="1" ht="7.8"/>
    <row r="435" s="187" customFormat="1" ht="7.8"/>
    <row r="436" s="187" customFormat="1" ht="7.8"/>
    <row r="437" s="187" customFormat="1" ht="7.8"/>
    <row r="438" s="187" customFormat="1" ht="7.8"/>
    <row r="439" s="187" customFormat="1" ht="7.8"/>
    <row r="440" s="187" customFormat="1" ht="7.8"/>
    <row r="441" s="187" customFormat="1" ht="7.8"/>
    <row r="442" s="187" customFormat="1" ht="7.8"/>
    <row r="443" s="187" customFormat="1" ht="7.8"/>
    <row r="444" s="187" customFormat="1" ht="7.8"/>
    <row r="445" s="187" customFormat="1" ht="7.8"/>
    <row r="446" s="187" customFormat="1" ht="7.8"/>
    <row r="447" s="187" customFormat="1" ht="7.8"/>
    <row r="448" s="187" customFormat="1" ht="7.8"/>
    <row r="449" s="187" customFormat="1" ht="7.8"/>
    <row r="450" s="187" customFormat="1" ht="7.8"/>
    <row r="451" s="187" customFormat="1" ht="7.8"/>
    <row r="452" s="187" customFormat="1" ht="7.8"/>
    <row r="453" s="187" customFormat="1" ht="7.8"/>
    <row r="454" s="187" customFormat="1" ht="7.8"/>
    <row r="455" s="187" customFormat="1" ht="7.8"/>
    <row r="456" s="187" customFormat="1" ht="7.8"/>
    <row r="457" s="187" customFormat="1" ht="7.8"/>
    <row r="458" s="187" customFormat="1" ht="7.8"/>
    <row r="459" s="187" customFormat="1" ht="7.8"/>
    <row r="460" s="187" customFormat="1" ht="7.8"/>
    <row r="461" s="187" customFormat="1" ht="7.8"/>
    <row r="462" s="187" customFormat="1" ht="7.8"/>
    <row r="463" s="187" customFormat="1" ht="7.8"/>
    <row r="464" s="187" customFormat="1" ht="7.8"/>
    <row r="465" s="187" customFormat="1" ht="7.8"/>
    <row r="466" s="187" customFormat="1" ht="7.8"/>
    <row r="467" s="187" customFormat="1" ht="7.8"/>
    <row r="468" s="187" customFormat="1" ht="7.8"/>
    <row r="469" s="187" customFormat="1" ht="7.8"/>
    <row r="470" s="187" customFormat="1" ht="7.8"/>
    <row r="471" s="187" customFormat="1" ht="7.8"/>
    <row r="472" s="187" customFormat="1" ht="7.8"/>
    <row r="473" s="187" customFormat="1" ht="7.8"/>
    <row r="474" s="187" customFormat="1" ht="7.8"/>
    <row r="475" s="187" customFormat="1" ht="7.8"/>
    <row r="476" s="187" customFormat="1" ht="7.8"/>
    <row r="477" s="187" customFormat="1" ht="7.8"/>
    <row r="478" s="187" customFormat="1" ht="7.8"/>
    <row r="479" s="187" customFormat="1" ht="7.8"/>
    <row r="480" s="187" customFormat="1" ht="7.8"/>
    <row r="481" s="187" customFormat="1" ht="7.8"/>
    <row r="482" s="187" customFormat="1" ht="7.8"/>
    <row r="483" s="187" customFormat="1" ht="7.8"/>
    <row r="484" s="187" customFormat="1" ht="7.8"/>
    <row r="485" s="187" customFormat="1" ht="7.8"/>
    <row r="486" s="187" customFormat="1" ht="7.8"/>
    <row r="487" s="187" customFormat="1" ht="7.8"/>
    <row r="488" s="187" customFormat="1" ht="7.8"/>
    <row r="489" s="187" customFormat="1" ht="7.8"/>
    <row r="490" s="187" customFormat="1" ht="7.8"/>
    <row r="491" s="187" customFormat="1" ht="7.8"/>
    <row r="492" s="187" customFormat="1" ht="7.8"/>
    <row r="493" s="187" customFormat="1" ht="7.8"/>
    <row r="494" s="187" customFormat="1" ht="7.8"/>
    <row r="495" s="187" customFormat="1" ht="7.8"/>
    <row r="496" s="187" customFormat="1" ht="7.8"/>
    <row r="497" s="187" customFormat="1" ht="7.8"/>
    <row r="498" s="187" customFormat="1" ht="7.8"/>
    <row r="499" s="187" customFormat="1" ht="7.8"/>
    <row r="500" s="187" customFormat="1" ht="7.8"/>
    <row r="501" s="187" customFormat="1" ht="7.8"/>
    <row r="502" s="187" customFormat="1" ht="7.8"/>
    <row r="503" s="187" customFormat="1" ht="7.8"/>
    <row r="504" s="187" customFormat="1" ht="7.8"/>
    <row r="505" s="187" customFormat="1" ht="7.8"/>
    <row r="506" s="187" customFormat="1" ht="7.8"/>
    <row r="507" s="187" customFormat="1" ht="7.8"/>
    <row r="508" s="187" customFormat="1" ht="7.8"/>
    <row r="509" s="187" customFormat="1" ht="7.8"/>
    <row r="510" s="187" customFormat="1" ht="7.8"/>
    <row r="511" s="187" customFormat="1" ht="7.8"/>
    <row r="512" s="187" customFormat="1" ht="7.8"/>
    <row r="513" s="187" customFormat="1" ht="7.8"/>
    <row r="514" s="187" customFormat="1" ht="7.8"/>
    <row r="515" s="187" customFormat="1" ht="7.8"/>
    <row r="516" s="187" customFormat="1" ht="7.8"/>
    <row r="517" s="187" customFormat="1" ht="7.8"/>
    <row r="518" s="187" customFormat="1" ht="7.8"/>
    <row r="519" s="187" customFormat="1" ht="7.8"/>
    <row r="520" s="187" customFormat="1" ht="7.8"/>
    <row r="521" s="187" customFormat="1" ht="7.8"/>
    <row r="522" s="187" customFormat="1" ht="7.8"/>
    <row r="523" s="187" customFormat="1" ht="7.8"/>
    <row r="524" s="187" customFormat="1" ht="7.8"/>
    <row r="525" s="187" customFormat="1" ht="7.8"/>
    <row r="526" s="187" customFormat="1" ht="7.8"/>
    <row r="527" s="187" customFormat="1" ht="7.8"/>
    <row r="528" s="187" customFormat="1" ht="7.8"/>
    <row r="529" s="187" customFormat="1" ht="7.8"/>
    <row r="530" s="187" customFormat="1" ht="7.8"/>
    <row r="531" s="187" customFormat="1" ht="7.8"/>
    <row r="532" s="187" customFormat="1" ht="7.8"/>
    <row r="533" s="187" customFormat="1" ht="7.8"/>
    <row r="534" s="187" customFormat="1" ht="7.8"/>
    <row r="535" s="187" customFormat="1" ht="7.8"/>
    <row r="536" s="187" customFormat="1" ht="7.8"/>
    <row r="537" s="187" customFormat="1" ht="7.8"/>
    <row r="538" s="187" customFormat="1" ht="7.8"/>
    <row r="539" s="187" customFormat="1" ht="7.8"/>
    <row r="540" s="187" customFormat="1" ht="7.8"/>
    <row r="541" s="187" customFormat="1" ht="7.8"/>
    <row r="542" s="187" customFormat="1" ht="7.8"/>
    <row r="543" s="187" customFormat="1" ht="7.8"/>
    <row r="544" s="187" customFormat="1" ht="7.8"/>
    <row r="545" s="187" customFormat="1" ht="7.8"/>
    <row r="546" s="187" customFormat="1" ht="7.8"/>
    <row r="547" s="187" customFormat="1" ht="7.8"/>
    <row r="548" s="187" customFormat="1" ht="7.8"/>
    <row r="549" s="187" customFormat="1" ht="7.8"/>
    <row r="550" s="187" customFormat="1" ht="7.8"/>
    <row r="551" s="187" customFormat="1" ht="7.8"/>
    <row r="552" s="187" customFormat="1" ht="7.8"/>
    <row r="553" s="187" customFormat="1" ht="7.8"/>
    <row r="554" s="187" customFormat="1" ht="7.8"/>
    <row r="555" s="187" customFormat="1" ht="7.8"/>
    <row r="556" s="187" customFormat="1" ht="7.8"/>
    <row r="557" s="187" customFormat="1" ht="7.8"/>
    <row r="558" s="187" customFormat="1" ht="7.8"/>
    <row r="559" s="187" customFormat="1" ht="7.8"/>
    <row r="560" s="187" customFormat="1" ht="7.8"/>
    <row r="561" s="187" customFormat="1" ht="7.8"/>
    <row r="562" s="187" customFormat="1" ht="7.8"/>
    <row r="563" s="187" customFormat="1" ht="7.8"/>
    <row r="564" s="187" customFormat="1" ht="7.8"/>
    <row r="565" s="187" customFormat="1" ht="7.8"/>
    <row r="566" s="187" customFormat="1" ht="7.8"/>
    <row r="567" s="187" customFormat="1" ht="7.8"/>
    <row r="568" s="187" customFormat="1" ht="7.8"/>
    <row r="569" s="187" customFormat="1" ht="7.8"/>
    <row r="570" s="187" customFormat="1" ht="7.8"/>
    <row r="571" s="187" customFormat="1" ht="7.8"/>
    <row r="572" s="187" customFormat="1" ht="7.8"/>
    <row r="573" s="187" customFormat="1" ht="7.8"/>
    <row r="574" s="187" customFormat="1" ht="7.8"/>
    <row r="575" s="187" customFormat="1" ht="7.8"/>
    <row r="576" s="187" customFormat="1" ht="7.8"/>
    <row r="577" s="187" customFormat="1" ht="7.8"/>
    <row r="578" s="187" customFormat="1" ht="7.8"/>
    <row r="579" s="187" customFormat="1" ht="7.8"/>
    <row r="580" s="187" customFormat="1" ht="7.8"/>
    <row r="581" s="187" customFormat="1" ht="7.8"/>
    <row r="582" s="187" customFormat="1" ht="7.8"/>
    <row r="583" s="187" customFormat="1" ht="7.8"/>
    <row r="584" s="187" customFormat="1" ht="7.8"/>
    <row r="585" s="187" customFormat="1" ht="7.8"/>
    <row r="586" s="187" customFormat="1" ht="7.8"/>
    <row r="587" s="187" customFormat="1" ht="7.8"/>
    <row r="588" s="187" customFormat="1" ht="7.8"/>
    <row r="589" s="187" customFormat="1" ht="7.8"/>
    <row r="590" s="187" customFormat="1" ht="7.8"/>
    <row r="591" s="187" customFormat="1" ht="7.8"/>
    <row r="592" s="187" customFormat="1" ht="7.8"/>
    <row r="593" s="187" customFormat="1" ht="7.8"/>
    <row r="594" s="187" customFormat="1" ht="7.8"/>
    <row r="595" s="187" customFormat="1" ht="7.8"/>
    <row r="596" s="187" customFormat="1" ht="7.8"/>
    <row r="597" s="187" customFormat="1" ht="7.8"/>
    <row r="598" s="187" customFormat="1" ht="7.8"/>
    <row r="599" s="187" customFormat="1" ht="7.8"/>
    <row r="600" s="187" customFormat="1" ht="7.8"/>
    <row r="601" s="187" customFormat="1" ht="7.8"/>
    <row r="602" s="187" customFormat="1" ht="7.8"/>
    <row r="603" s="187" customFormat="1" ht="7.8"/>
    <row r="604" s="187" customFormat="1" ht="7.8"/>
    <row r="605" s="187" customFormat="1" ht="7.8"/>
    <row r="606" s="187" customFormat="1" ht="7.8"/>
    <row r="607" s="187" customFormat="1" ht="7.8"/>
    <row r="608" s="187" customFormat="1" ht="7.8"/>
    <row r="609" s="187" customFormat="1" ht="7.8"/>
    <row r="610" s="187" customFormat="1" ht="7.8"/>
    <row r="611" s="187" customFormat="1" ht="7.8"/>
    <row r="612" s="187" customFormat="1" ht="7.8"/>
    <row r="613" s="187" customFormat="1" ht="7.8"/>
    <row r="614" s="187" customFormat="1" ht="7.8"/>
    <row r="615" s="187" customFormat="1" ht="7.8"/>
    <row r="616" s="187" customFormat="1" ht="7.8"/>
    <row r="617" s="187" customFormat="1" ht="7.8"/>
    <row r="618" s="187" customFormat="1" ht="7.8"/>
    <row r="619" s="187" customFormat="1" ht="7.8"/>
    <row r="620" s="187" customFormat="1" ht="7.8"/>
    <row r="621" s="187" customFormat="1" ht="7.8"/>
    <row r="622" s="187" customFormat="1" ht="7.8"/>
    <row r="623" s="187" customFormat="1" ht="7.8"/>
    <row r="624" s="187" customFormat="1" ht="7.8"/>
    <row r="625" s="187" customFormat="1" ht="7.8"/>
    <row r="626" s="187" customFormat="1" ht="7.8"/>
    <row r="627" s="187" customFormat="1" ht="7.8"/>
    <row r="628" s="187" customFormat="1" ht="7.8"/>
    <row r="629" s="187" customFormat="1" ht="7.8"/>
    <row r="630" s="187" customFormat="1" ht="7.8"/>
    <row r="631" s="187" customFormat="1" ht="7.8"/>
    <row r="632" s="187" customFormat="1" ht="7.8"/>
    <row r="633" s="187" customFormat="1" ht="7.8"/>
    <row r="634" s="187" customFormat="1" ht="7.8"/>
    <row r="635" s="187" customFormat="1" ht="7.8"/>
    <row r="636" s="187" customFormat="1" ht="7.8"/>
    <row r="637" s="187" customFormat="1" ht="7.8"/>
    <row r="638" s="187" customFormat="1" ht="7.8"/>
    <row r="639" s="187" customFormat="1" ht="7.8"/>
    <row r="640" s="187" customFormat="1" ht="7.8"/>
    <row r="641" s="187" customFormat="1" ht="7.8"/>
    <row r="642" s="187" customFormat="1" ht="7.8"/>
    <row r="643" s="187" customFormat="1" ht="7.8"/>
    <row r="644" s="187" customFormat="1" ht="7.8"/>
    <row r="645" s="187" customFormat="1" ht="7.8"/>
    <row r="646" s="187" customFormat="1" ht="7.8"/>
    <row r="647" s="187" customFormat="1" ht="7.8"/>
    <row r="648" s="187" customFormat="1" ht="7.8"/>
    <row r="649" s="187" customFormat="1" ht="7.8"/>
    <row r="650" s="187" customFormat="1" ht="7.8"/>
    <row r="651" s="187" customFormat="1" ht="7.8"/>
    <row r="652" s="187" customFormat="1" ht="7.8"/>
    <row r="653" s="187" customFormat="1" ht="7.8"/>
    <row r="654" s="187" customFormat="1" ht="7.8"/>
    <row r="655" s="187" customFormat="1" ht="7.8"/>
    <row r="656" s="187" customFormat="1" ht="7.8"/>
    <row r="657" s="187" customFormat="1" ht="7.8"/>
    <row r="658" s="187" customFormat="1" ht="7.8"/>
    <row r="659" s="187" customFormat="1" ht="7.8"/>
    <row r="660" s="187" customFormat="1" ht="7.8"/>
    <row r="661" s="187" customFormat="1" ht="7.8"/>
    <row r="662" s="187" customFormat="1" ht="7.8"/>
    <row r="663" s="187" customFormat="1" ht="7.8"/>
    <row r="664" s="187" customFormat="1" ht="7.8"/>
    <row r="665" s="187" customFormat="1" ht="7.8"/>
    <row r="666" s="187" customFormat="1" ht="7.8"/>
    <row r="667" s="187" customFormat="1" ht="7.8"/>
    <row r="668" s="187" customFormat="1" ht="7.8"/>
    <row r="669" s="187" customFormat="1" ht="7.8"/>
    <row r="670" s="187" customFormat="1" ht="7.8"/>
    <row r="671" s="187" customFormat="1" ht="7.8"/>
    <row r="672" s="187" customFormat="1" ht="7.8"/>
    <row r="673" s="187" customFormat="1" ht="7.8"/>
    <row r="674" s="187" customFormat="1" ht="7.8"/>
    <row r="675" s="187" customFormat="1" ht="7.8"/>
    <row r="676" s="187" customFormat="1" ht="7.8"/>
    <row r="677" s="187" customFormat="1" ht="7.8"/>
    <row r="678" s="187" customFormat="1" ht="7.8"/>
    <row r="679" s="187" customFormat="1" ht="7.8"/>
    <row r="680" s="187" customFormat="1" ht="7.8"/>
    <row r="681" s="187" customFormat="1" ht="7.8"/>
    <row r="682" s="187" customFormat="1" ht="7.8"/>
    <row r="683" s="187" customFormat="1" ht="7.8"/>
    <row r="684" s="187" customFormat="1" ht="7.8"/>
    <row r="685" s="187" customFormat="1" ht="7.8"/>
    <row r="686" s="187" customFormat="1" ht="7.8"/>
    <row r="687" s="187" customFormat="1" ht="7.8"/>
    <row r="688" s="187" customFormat="1" ht="7.8"/>
    <row r="689" s="187" customFormat="1" ht="7.8"/>
    <row r="690" s="187" customFormat="1" ht="7.8"/>
    <row r="691" s="187" customFormat="1" ht="7.8"/>
    <row r="692" s="187" customFormat="1" ht="7.8"/>
    <row r="693" s="187" customFormat="1" ht="7.8"/>
    <row r="694" s="187" customFormat="1" ht="7.8"/>
    <row r="695" s="187" customFormat="1" ht="7.8"/>
    <row r="696" s="187" customFormat="1" ht="7.8"/>
    <row r="697" s="187" customFormat="1" ht="7.8"/>
    <row r="698" s="187" customFormat="1" ht="7.8"/>
    <row r="699" s="187" customFormat="1" ht="7.8"/>
    <row r="700" s="187" customFormat="1" ht="7.8"/>
    <row r="701" s="187" customFormat="1" ht="7.8"/>
    <row r="702" s="187" customFormat="1" ht="7.8"/>
    <row r="703" s="187" customFormat="1" ht="7.8"/>
    <row r="704" s="187" customFormat="1" ht="7.8"/>
    <row r="705" s="187" customFormat="1" ht="7.8"/>
    <row r="706" s="187" customFormat="1" ht="7.8"/>
    <row r="707" s="187" customFormat="1" ht="7.8"/>
    <row r="708" s="187" customFormat="1" ht="7.8"/>
    <row r="709" s="187" customFormat="1" ht="7.8"/>
    <row r="710" s="187" customFormat="1" ht="7.8"/>
    <row r="711" s="187" customFormat="1" ht="7.8"/>
    <row r="712" s="187" customFormat="1" ht="7.8"/>
    <row r="713" s="187" customFormat="1" ht="7.8"/>
    <row r="714" s="187" customFormat="1" ht="7.8"/>
    <row r="715" s="187" customFormat="1" ht="7.8"/>
    <row r="716" s="187" customFormat="1" ht="7.8"/>
    <row r="717" s="187" customFormat="1" ht="7.8"/>
    <row r="718" s="187" customFormat="1" ht="7.8"/>
    <row r="719" s="187" customFormat="1" ht="7.8"/>
    <row r="720" s="187" customFormat="1" ht="7.8"/>
    <row r="721" s="187" customFormat="1" ht="7.8"/>
    <row r="722" s="187" customFormat="1" ht="7.8"/>
    <row r="723" s="187" customFormat="1" ht="7.8"/>
    <row r="724" s="187" customFormat="1" ht="7.8"/>
    <row r="725" s="187" customFormat="1" ht="7.8"/>
    <row r="726" s="187" customFormat="1" ht="7.8"/>
    <row r="727" s="187" customFormat="1" ht="7.8"/>
    <row r="728" s="187" customFormat="1" ht="7.8"/>
    <row r="729" s="187" customFormat="1" ht="7.8"/>
    <row r="730" s="187" customFormat="1" ht="7.8"/>
    <row r="731" s="187" customFormat="1" ht="7.8"/>
    <row r="732" s="187" customFormat="1" ht="7.8"/>
    <row r="733" s="187" customFormat="1" ht="7.8"/>
    <row r="734" s="187" customFormat="1" ht="7.8"/>
    <row r="735" s="187" customFormat="1" ht="7.8"/>
    <row r="736" s="187" customFormat="1" ht="7.8"/>
    <row r="737" s="187" customFormat="1" ht="7.8"/>
    <row r="738" s="187" customFormat="1" ht="7.8"/>
    <row r="739" s="187" customFormat="1" ht="7.8"/>
    <row r="740" s="187" customFormat="1" ht="7.8"/>
    <row r="741" s="187" customFormat="1" ht="7.8"/>
    <row r="742" s="187" customFormat="1" ht="7.8"/>
    <row r="743" s="187" customFormat="1" ht="7.8"/>
    <row r="744" s="187" customFormat="1" ht="7.8"/>
    <row r="745" s="187" customFormat="1" ht="7.8"/>
    <row r="746" s="187" customFormat="1" ht="7.8"/>
    <row r="747" s="187" customFormat="1" ht="7.8"/>
    <row r="748" s="187" customFormat="1" ht="7.8"/>
    <row r="749" s="187" customFormat="1" ht="7.8"/>
    <row r="750" s="187" customFormat="1" ht="7.8"/>
    <row r="751" s="187" customFormat="1" ht="7.8"/>
    <row r="752" s="187" customFormat="1" ht="7.8"/>
    <row r="753" s="187" customFormat="1" ht="7.8"/>
    <row r="754" s="187" customFormat="1" ht="7.8"/>
    <row r="755" s="187" customFormat="1" ht="7.8"/>
    <row r="756" s="187" customFormat="1" ht="7.8"/>
    <row r="757" s="187" customFormat="1" ht="7.8"/>
    <row r="758" s="187" customFormat="1" ht="7.8"/>
    <row r="759" s="187" customFormat="1" ht="7.8"/>
    <row r="760" s="187" customFormat="1" ht="7.8"/>
    <row r="761" s="187" customFormat="1" ht="7.8"/>
    <row r="762" s="187" customFormat="1" ht="7.8"/>
    <row r="763" s="187" customFormat="1" ht="7.8"/>
    <row r="764" s="187" customFormat="1" ht="7.8"/>
    <row r="765" s="187" customFormat="1" ht="7.8"/>
    <row r="766" s="187" customFormat="1" ht="7.8"/>
    <row r="767" s="187" customFormat="1" ht="7.8"/>
    <row r="768" s="187" customFormat="1" ht="7.8"/>
    <row r="769" s="187" customFormat="1" ht="7.8"/>
    <row r="770" s="187" customFormat="1" ht="7.8"/>
    <row r="771" s="187" customFormat="1" ht="7.8"/>
    <row r="772" s="187" customFormat="1" ht="7.8"/>
    <row r="773" s="187" customFormat="1" ht="7.8"/>
    <row r="774" s="187" customFormat="1" ht="7.8"/>
    <row r="775" s="187" customFormat="1" ht="7.8"/>
    <row r="776" s="187" customFormat="1" ht="7.8"/>
    <row r="777" s="187" customFormat="1" ht="7.8"/>
    <row r="778" s="187" customFormat="1" ht="7.8"/>
    <row r="779" s="187" customFormat="1" ht="7.8"/>
    <row r="780" s="187" customFormat="1" ht="7.8"/>
    <row r="781" s="187" customFormat="1" ht="7.8"/>
    <row r="782" s="187" customFormat="1" ht="7.8"/>
    <row r="783" s="187" customFormat="1" ht="7.8"/>
    <row r="784" s="187" customFormat="1" ht="7.8"/>
    <row r="785" s="187" customFormat="1" ht="7.8"/>
    <row r="786" s="187" customFormat="1" ht="7.8"/>
    <row r="787" s="187" customFormat="1" ht="7.8"/>
    <row r="788" s="187" customFormat="1" ht="7.8"/>
    <row r="789" s="187" customFormat="1" ht="7.8"/>
    <row r="790" s="187" customFormat="1" ht="7.8"/>
    <row r="791" s="187" customFormat="1" ht="7.8"/>
    <row r="792" s="187" customFormat="1" ht="7.8"/>
    <row r="793" s="187" customFormat="1" ht="7.8"/>
    <row r="794" s="187" customFormat="1" ht="7.8"/>
    <row r="795" s="187" customFormat="1" ht="7.8"/>
    <row r="796" s="187" customFormat="1" ht="7.8"/>
    <row r="797" s="187" customFormat="1" ht="7.8"/>
    <row r="798" s="187" customFormat="1" ht="7.8"/>
    <row r="799" s="187" customFormat="1" ht="7.8"/>
    <row r="800" s="187" customFormat="1" ht="7.8"/>
    <row r="801" s="187" customFormat="1" ht="7.8"/>
    <row r="802" s="187" customFormat="1" ht="7.8"/>
    <row r="803" s="187" customFormat="1" ht="7.8"/>
    <row r="804" s="187" customFormat="1" ht="7.8"/>
    <row r="805" s="187" customFormat="1" ht="7.8"/>
    <row r="806" s="187" customFormat="1" ht="7.8"/>
    <row r="807" s="187" customFormat="1" ht="7.8"/>
    <row r="808" s="187" customFormat="1" ht="7.8"/>
    <row r="809" s="187" customFormat="1" ht="7.8"/>
    <row r="810" s="187" customFormat="1" ht="7.8"/>
    <row r="811" s="187" customFormat="1" ht="7.8"/>
    <row r="812" s="187" customFormat="1" ht="7.8"/>
    <row r="813" s="187" customFormat="1" ht="7.8"/>
    <row r="814" s="187" customFormat="1" ht="7.8"/>
    <row r="815" s="187" customFormat="1" ht="7.8"/>
    <row r="816" s="187" customFormat="1" ht="7.8"/>
    <row r="817" s="187" customFormat="1" ht="7.8"/>
    <row r="818" s="187" customFormat="1" ht="7.8"/>
    <row r="819" s="187" customFormat="1" ht="7.8"/>
    <row r="820" s="187" customFormat="1" ht="7.8"/>
    <row r="821" s="187" customFormat="1" ht="7.8"/>
    <row r="822" s="187" customFormat="1" ht="7.8"/>
    <row r="823" s="187" customFormat="1" ht="7.8"/>
    <row r="824" s="187" customFormat="1" ht="7.8"/>
    <row r="825" s="187" customFormat="1" ht="7.8"/>
    <row r="826" s="187" customFormat="1" ht="7.8"/>
    <row r="827" s="187" customFormat="1" ht="7.8"/>
    <row r="828" s="187" customFormat="1" ht="7.8"/>
    <row r="829" s="187" customFormat="1" ht="7.8"/>
    <row r="830" s="187" customFormat="1" ht="7.8"/>
    <row r="831" s="187" customFormat="1" ht="7.8"/>
    <row r="832" s="187" customFormat="1" ht="7.8"/>
    <row r="833" s="187" customFormat="1" ht="7.8"/>
    <row r="834" s="187" customFormat="1" ht="7.8"/>
    <row r="835" s="187" customFormat="1" ht="7.8"/>
    <row r="836" s="187" customFormat="1" ht="7.8"/>
    <row r="837" s="187" customFormat="1" ht="7.8"/>
    <row r="838" s="187" customFormat="1" ht="7.8"/>
    <row r="839" s="187" customFormat="1" ht="7.8"/>
    <row r="840" s="187" customFormat="1" ht="7.8"/>
    <row r="841" s="187" customFormat="1" ht="7.8"/>
    <row r="842" s="187" customFormat="1" ht="7.8"/>
    <row r="843" s="187" customFormat="1" ht="7.8"/>
    <row r="844" s="187" customFormat="1" ht="7.8"/>
    <row r="845" s="187" customFormat="1" ht="7.8"/>
    <row r="846" s="187" customFormat="1" ht="7.8"/>
    <row r="847" s="187" customFormat="1" ht="7.8"/>
    <row r="848" s="187" customFormat="1" ht="7.8"/>
    <row r="849" s="187" customFormat="1" ht="7.8"/>
    <row r="850" s="187" customFormat="1" ht="7.8"/>
    <row r="851" s="187" customFormat="1" ht="7.8"/>
    <row r="852" s="187" customFormat="1" ht="7.8"/>
    <row r="853" s="187" customFormat="1" ht="7.8"/>
    <row r="854" s="187" customFormat="1" ht="7.8"/>
    <row r="855" s="187" customFormat="1" ht="7.8"/>
    <row r="856" s="187" customFormat="1" ht="7.8"/>
    <row r="857" s="187" customFormat="1" ht="7.8"/>
    <row r="858" s="187" customFormat="1" ht="7.8"/>
    <row r="859" s="187" customFormat="1" ht="7.8"/>
    <row r="860" s="187" customFormat="1" ht="7.8"/>
    <row r="861" s="187" customFormat="1" ht="7.8"/>
    <row r="862" s="187" customFormat="1" ht="7.8"/>
    <row r="863" s="187" customFormat="1" ht="7.8"/>
    <row r="864" s="187" customFormat="1" ht="7.8"/>
    <row r="865" s="187" customFormat="1" ht="7.8"/>
    <row r="866" s="187" customFormat="1" ht="7.8"/>
    <row r="867" s="187" customFormat="1" ht="7.8"/>
    <row r="868" s="187" customFormat="1" ht="7.8"/>
    <row r="869" s="187" customFormat="1" ht="7.8"/>
    <row r="870" s="187" customFormat="1" ht="7.8"/>
    <row r="871" s="187" customFormat="1" ht="7.8"/>
    <row r="872" s="187" customFormat="1" ht="7.8"/>
    <row r="873" s="187" customFormat="1" ht="7.8"/>
    <row r="874" s="187" customFormat="1" ht="7.8"/>
    <row r="875" s="187" customFormat="1" ht="7.8"/>
    <row r="876" s="187" customFormat="1" ht="7.8"/>
    <row r="877" s="187" customFormat="1" ht="7.8"/>
    <row r="878" s="187" customFormat="1" ht="7.8"/>
    <row r="879" s="187" customFormat="1" ht="7.8"/>
    <row r="880" s="187" customFormat="1" ht="7.8"/>
    <row r="881" s="187" customFormat="1" ht="7.8"/>
    <row r="882" s="187" customFormat="1" ht="7.8"/>
    <row r="883" s="187" customFormat="1" ht="7.8"/>
    <row r="884" s="187" customFormat="1" ht="7.8"/>
    <row r="885" s="187" customFormat="1" ht="7.8"/>
    <row r="886" s="187" customFormat="1" ht="7.8"/>
    <row r="887" s="187" customFormat="1" ht="7.8"/>
    <row r="888" s="187" customFormat="1" ht="7.8"/>
    <row r="889" s="187" customFormat="1" ht="7.8"/>
    <row r="890" s="187" customFormat="1" ht="7.8"/>
    <row r="891" s="187" customFormat="1" ht="7.8"/>
    <row r="892" s="187" customFormat="1" ht="7.8"/>
    <row r="893" s="187" customFormat="1" ht="7.8"/>
    <row r="894" s="187" customFormat="1" ht="7.8"/>
    <row r="895" s="187" customFormat="1" ht="7.8"/>
    <row r="896" s="187" customFormat="1" ht="7.8"/>
    <row r="897" s="187" customFormat="1" ht="7.8"/>
    <row r="898" s="187" customFormat="1" ht="7.8"/>
    <row r="899" s="187" customFormat="1" ht="7.8"/>
    <row r="900" s="187" customFormat="1" ht="7.8"/>
    <row r="901" s="187" customFormat="1" ht="7.8"/>
    <row r="902" s="187" customFormat="1" ht="7.8"/>
    <row r="903" s="187" customFormat="1" ht="7.8"/>
    <row r="904" s="187" customFormat="1" ht="7.8"/>
    <row r="905" s="187" customFormat="1" ht="7.8"/>
    <row r="906" s="187" customFormat="1" ht="7.8"/>
    <row r="907" s="187" customFormat="1" ht="7.8"/>
    <row r="908" s="187" customFormat="1" ht="7.8"/>
    <row r="909" s="187" customFormat="1" ht="7.8"/>
    <row r="910" s="187" customFormat="1" ht="7.8"/>
    <row r="911" s="187" customFormat="1" ht="7.8"/>
    <row r="912" s="187" customFormat="1" ht="7.8"/>
    <row r="913" s="187" customFormat="1" ht="7.8"/>
    <row r="914" s="187" customFormat="1" ht="7.8"/>
    <row r="915" s="187" customFormat="1" ht="7.8"/>
    <row r="916" s="187" customFormat="1" ht="7.8"/>
    <row r="917" s="187" customFormat="1" ht="7.8"/>
    <row r="918" s="187" customFormat="1" ht="7.8"/>
    <row r="919" s="187" customFormat="1" ht="7.8"/>
    <row r="920" s="187" customFormat="1" ht="7.8"/>
    <row r="921" s="187" customFormat="1" ht="7.8"/>
    <row r="922" s="187" customFormat="1" ht="7.8"/>
    <row r="923" s="187" customFormat="1" ht="7.8"/>
    <row r="924" s="187" customFormat="1" ht="7.8"/>
    <row r="925" s="187" customFormat="1" ht="7.8"/>
    <row r="926" s="187" customFormat="1" ht="7.8"/>
    <row r="927" s="187" customFormat="1" ht="7.8"/>
    <row r="928" s="187" customFormat="1" ht="7.8"/>
    <row r="929" s="187" customFormat="1" ht="7.8"/>
    <row r="930" s="187" customFormat="1" ht="7.8"/>
    <row r="931" s="187" customFormat="1" ht="7.8"/>
    <row r="932" s="187" customFormat="1" ht="7.8"/>
    <row r="933" s="187" customFormat="1" ht="7.8"/>
    <row r="934" s="187" customFormat="1" ht="7.8"/>
    <row r="935" s="187" customFormat="1" ht="7.8"/>
    <row r="936" s="187" customFormat="1" ht="7.8"/>
    <row r="937" s="187" customFormat="1" ht="7.8"/>
    <row r="938" s="187" customFormat="1" ht="7.8"/>
    <row r="939" s="187" customFormat="1" ht="7.8"/>
    <row r="940" s="187" customFormat="1" ht="7.8"/>
    <row r="941" s="187" customFormat="1" ht="7.8"/>
    <row r="942" s="187" customFormat="1" ht="7.8"/>
    <row r="943" s="187" customFormat="1" ht="7.8"/>
    <row r="944" s="187" customFormat="1" ht="7.8"/>
    <row r="945" s="187" customFormat="1" ht="7.8"/>
    <row r="946" s="187" customFormat="1" ht="7.8"/>
    <row r="947" s="187" customFormat="1" ht="7.8"/>
    <row r="948" s="187" customFormat="1" ht="7.8"/>
    <row r="949" s="187" customFormat="1" ht="7.8"/>
    <row r="950" s="187" customFormat="1" ht="7.8"/>
    <row r="951" s="187" customFormat="1" ht="7.8"/>
    <row r="952" s="187" customFormat="1" ht="7.8"/>
    <row r="953" s="187" customFormat="1" ht="7.8"/>
    <row r="954" s="187" customFormat="1" ht="7.8"/>
    <row r="955" s="187" customFormat="1" ht="7.8"/>
    <row r="956" s="187" customFormat="1" ht="7.8"/>
    <row r="957" s="187" customFormat="1" ht="7.8"/>
    <row r="958" s="187" customFormat="1" ht="7.8"/>
    <row r="959" s="187" customFormat="1" ht="7.8"/>
    <row r="960" s="187" customFormat="1" ht="7.8"/>
    <row r="961" s="187" customFormat="1" ht="7.8"/>
    <row r="962" s="187" customFormat="1" ht="7.8"/>
    <row r="963" s="187" customFormat="1" ht="7.8"/>
    <row r="964" s="187" customFormat="1" ht="7.8"/>
    <row r="965" s="187" customFormat="1" ht="7.8"/>
    <row r="966" s="187" customFormat="1" ht="7.8"/>
    <row r="967" s="187" customFormat="1" ht="7.8"/>
    <row r="968" s="187" customFormat="1" ht="7.8"/>
    <row r="969" s="187" customFormat="1" ht="7.8"/>
    <row r="970" s="187" customFormat="1" ht="7.8"/>
    <row r="971" s="187" customFormat="1" ht="7.8"/>
    <row r="972" s="187" customFormat="1" ht="7.8"/>
    <row r="973" s="187" customFormat="1" ht="7.8"/>
    <row r="974" s="187" customFormat="1" ht="7.8"/>
    <row r="975" s="187" customFormat="1" ht="7.8"/>
    <row r="976" s="187" customFormat="1" ht="7.8"/>
    <row r="977" s="187" customFormat="1" ht="7.8"/>
    <row r="978" s="187" customFormat="1" ht="7.8"/>
    <row r="979" s="187" customFormat="1" ht="7.8"/>
    <row r="980" s="187" customFormat="1" ht="7.8"/>
    <row r="981" s="187" customFormat="1" ht="7.8"/>
    <row r="982" s="187" customFormat="1" ht="7.8"/>
    <row r="983" s="187" customFormat="1" ht="7.8"/>
    <row r="984" s="187" customFormat="1" ht="7.8"/>
    <row r="985" s="187" customFormat="1" ht="7.8"/>
    <row r="986" s="187" customFormat="1" ht="7.8"/>
    <row r="987" s="187" customFormat="1" ht="7.8"/>
    <row r="988" s="187" customFormat="1" ht="7.8"/>
    <row r="989" s="187" customFormat="1" ht="7.8"/>
    <row r="990" s="187" customFormat="1" ht="7.8"/>
    <row r="991" s="187" customFormat="1" ht="7.8"/>
    <row r="992" s="187" customFormat="1" ht="7.8"/>
    <row r="993" s="187" customFormat="1" ht="7.8"/>
    <row r="994" s="187" customFormat="1" ht="7.8"/>
    <row r="995" s="187" customFormat="1" ht="7.8"/>
    <row r="996" s="187" customFormat="1" ht="7.8"/>
    <row r="997" s="187" customFormat="1" ht="7.8"/>
    <row r="998" s="187" customFormat="1" ht="7.8"/>
    <row r="999" s="187" customFormat="1" ht="7.8"/>
    <row r="1000" s="187" customFormat="1" ht="7.8"/>
    <row r="1001" s="187" customFormat="1" ht="7.8"/>
    <row r="1002" s="187" customFormat="1" ht="7.8"/>
    <row r="1003" s="187" customFormat="1" ht="7.8"/>
    <row r="1004" s="187" customFormat="1" ht="7.8"/>
    <row r="1005" s="187" customFormat="1" ht="7.8"/>
    <row r="1006" s="187" customFormat="1" ht="7.8"/>
    <row r="1007" s="187" customFormat="1" ht="7.8"/>
    <row r="1008" s="187" customFormat="1" ht="7.8"/>
    <row r="1009" s="187" customFormat="1" ht="7.8"/>
    <row r="1010" s="187" customFormat="1" ht="7.8"/>
    <row r="1011" s="187" customFormat="1" ht="7.8"/>
    <row r="1012" s="187" customFormat="1" ht="7.8"/>
    <row r="1013" s="187" customFormat="1" ht="7.8"/>
    <row r="1014" s="187" customFormat="1" ht="7.8"/>
    <row r="1015" s="187" customFormat="1" ht="7.8"/>
    <row r="1016" s="187" customFormat="1" ht="7.8"/>
    <row r="1017" s="187" customFormat="1" ht="7.8"/>
    <row r="1018" s="187" customFormat="1" ht="7.8"/>
    <row r="1019" s="187" customFormat="1" ht="7.8"/>
    <row r="1020" s="187" customFormat="1" ht="7.8"/>
    <row r="1021" s="187" customFormat="1" ht="7.8"/>
    <row r="1022" s="187" customFormat="1" ht="7.8"/>
    <row r="1023" s="187" customFormat="1" ht="7.8"/>
    <row r="1024" s="187" customFormat="1" ht="7.8"/>
    <row r="1025" s="187" customFormat="1" ht="7.8"/>
    <row r="1026" s="187" customFormat="1" ht="7.8"/>
    <row r="1027" s="187" customFormat="1" ht="7.8"/>
    <row r="1028" s="187" customFormat="1" ht="7.8"/>
    <row r="1029" s="187" customFormat="1" ht="7.8"/>
    <row r="1030" s="187" customFormat="1" ht="7.8"/>
    <row r="1031" s="187" customFormat="1" ht="7.8"/>
    <row r="1032" s="187" customFormat="1" ht="7.8"/>
    <row r="1033" s="187" customFormat="1" ht="7.8"/>
    <row r="1034" s="187" customFormat="1" ht="7.8"/>
    <row r="1035" s="187" customFormat="1" ht="7.8"/>
    <row r="1036" s="187" customFormat="1" ht="7.8"/>
    <row r="1037" s="187" customFormat="1" ht="7.8"/>
    <row r="1038" s="187" customFormat="1" ht="7.8"/>
    <row r="1039" s="187" customFormat="1" ht="7.8"/>
    <row r="1040" s="187" customFormat="1" ht="7.8"/>
    <row r="1041" s="187" customFormat="1" ht="7.8"/>
    <row r="1042" s="187" customFormat="1" ht="7.8"/>
    <row r="1043" s="187" customFormat="1" ht="7.8"/>
    <row r="1044" s="187" customFormat="1" ht="7.8"/>
    <row r="1045" s="187" customFormat="1" ht="7.8"/>
    <row r="1046" s="187" customFormat="1" ht="7.8"/>
    <row r="1047" s="187" customFormat="1" ht="7.8"/>
    <row r="1048" s="187" customFormat="1" ht="7.8"/>
    <row r="1049" s="187" customFormat="1" ht="7.8"/>
    <row r="1050" s="187" customFormat="1" ht="7.8"/>
    <row r="1051" s="187" customFormat="1" ht="7.8"/>
    <row r="1052" s="187" customFormat="1" ht="7.8"/>
    <row r="1053" s="187" customFormat="1" ht="7.8"/>
    <row r="1054" s="187" customFormat="1" ht="7.8"/>
    <row r="1055" s="187" customFormat="1" ht="7.8"/>
    <row r="1056" s="187" customFormat="1" ht="7.8"/>
    <row r="1057" s="187" customFormat="1" ht="7.8"/>
    <row r="1058" s="187" customFormat="1" ht="7.8"/>
    <row r="1059" s="187" customFormat="1" ht="7.8"/>
    <row r="1060" s="187" customFormat="1" ht="7.8"/>
    <row r="1061" s="187" customFormat="1" ht="7.8"/>
    <row r="1062" s="187" customFormat="1" ht="7.8"/>
    <row r="1063" s="187" customFormat="1" ht="7.8"/>
    <row r="1064" s="187" customFormat="1" ht="7.8"/>
    <row r="1065" s="187" customFormat="1" ht="7.8"/>
    <row r="1066" s="187" customFormat="1" ht="7.8"/>
    <row r="1067" s="187" customFormat="1" ht="7.8"/>
    <row r="1068" s="187" customFormat="1" ht="7.8"/>
    <row r="1069" s="187" customFormat="1" ht="7.8"/>
    <row r="1070" s="187" customFormat="1" ht="7.8"/>
    <row r="1071" s="187" customFormat="1" ht="7.8"/>
    <row r="1072" s="187" customFormat="1" ht="7.8"/>
    <row r="1073" s="187" customFormat="1" ht="7.8"/>
    <row r="1074" s="187" customFormat="1" ht="7.8"/>
    <row r="1075" s="187" customFormat="1" ht="7.8"/>
    <row r="1076" s="187" customFormat="1" ht="7.8"/>
    <row r="1077" s="187" customFormat="1" ht="7.8"/>
    <row r="1078" s="187" customFormat="1" ht="7.8"/>
    <row r="1079" s="187" customFormat="1" ht="7.8"/>
    <row r="1080" s="187" customFormat="1" ht="7.8"/>
    <row r="1081" s="187" customFormat="1" ht="7.8"/>
    <row r="1082" s="187" customFormat="1" ht="7.8"/>
    <row r="1083" s="187" customFormat="1" ht="7.8"/>
    <row r="1084" s="187" customFormat="1" ht="7.8"/>
    <row r="1085" s="187" customFormat="1" ht="7.8"/>
    <row r="1086" s="187" customFormat="1" ht="7.8"/>
    <row r="1087" s="187" customFormat="1" ht="7.8"/>
    <row r="1088" s="187" customFormat="1" ht="7.8"/>
    <row r="1089" s="187" customFormat="1" ht="7.8"/>
    <row r="1090" s="187" customFormat="1" ht="7.8"/>
    <row r="1091" s="187" customFormat="1" ht="7.8"/>
    <row r="1092" s="187" customFormat="1" ht="7.8"/>
    <row r="1093" s="187" customFormat="1" ht="7.8"/>
    <row r="1094" s="187" customFormat="1" ht="7.8"/>
    <row r="1095" s="187" customFormat="1" ht="7.8"/>
    <row r="1096" s="187" customFormat="1" ht="7.8"/>
    <row r="1097" s="187" customFormat="1" ht="7.8"/>
    <row r="1098" s="187" customFormat="1" ht="7.8"/>
    <row r="1099" s="187" customFormat="1" ht="7.8"/>
    <row r="1100" s="187" customFormat="1" ht="7.8"/>
    <row r="1101" s="187" customFormat="1" ht="7.8"/>
    <row r="1102" s="187" customFormat="1" ht="7.8"/>
    <row r="1103" s="187" customFormat="1" ht="7.8"/>
    <row r="1104" s="187" customFormat="1" ht="7.8"/>
    <row r="1105" s="187" customFormat="1" ht="7.8"/>
    <row r="1106" s="187" customFormat="1" ht="7.8"/>
    <row r="1107" s="187" customFormat="1" ht="7.8"/>
    <row r="1108" s="187" customFormat="1" ht="7.8"/>
    <row r="1109" s="187" customFormat="1" ht="7.8"/>
    <row r="1110" s="187" customFormat="1" ht="7.8"/>
    <row r="1111" s="187" customFormat="1" ht="7.8"/>
    <row r="1112" s="187" customFormat="1" ht="7.8"/>
    <row r="1113" s="187" customFormat="1" ht="7.8"/>
    <row r="1114" s="187" customFormat="1" ht="7.8"/>
    <row r="1115" s="187" customFormat="1" ht="7.8"/>
    <row r="1116" s="187" customFormat="1" ht="7.8"/>
    <row r="1117" s="187" customFormat="1" ht="7.8"/>
    <row r="1118" s="187" customFormat="1" ht="7.8"/>
    <row r="1119" s="187" customFormat="1" ht="7.8"/>
    <row r="1120" s="187" customFormat="1" ht="7.8"/>
    <row r="1121" s="187" customFormat="1" ht="7.8"/>
    <row r="1122" s="187" customFormat="1" ht="7.8"/>
    <row r="1123" s="187" customFormat="1" ht="7.8"/>
    <row r="1124" s="187" customFormat="1" ht="7.8"/>
    <row r="1125" s="187" customFormat="1" ht="7.8"/>
    <row r="1126" s="187" customFormat="1" ht="7.8"/>
    <row r="1127" s="187" customFormat="1" ht="7.8"/>
    <row r="1128" s="187" customFormat="1" ht="7.8"/>
    <row r="1129" s="187" customFormat="1" ht="7.8"/>
    <row r="1130" s="187" customFormat="1" ht="7.8"/>
    <row r="1131" s="187" customFormat="1" ht="7.8"/>
    <row r="1132" s="187" customFormat="1" ht="7.8"/>
    <row r="1133" s="187" customFormat="1" ht="7.8"/>
    <row r="1134" s="187" customFormat="1" ht="7.8"/>
    <row r="1135" s="187" customFormat="1" ht="7.8"/>
    <row r="1136" s="187" customFormat="1" ht="7.8"/>
    <row r="1137" s="187" customFormat="1" ht="7.8"/>
    <row r="1138" s="187" customFormat="1" ht="7.8"/>
    <row r="1139" s="187" customFormat="1" ht="7.8"/>
    <row r="1140" s="187" customFormat="1" ht="7.8"/>
    <row r="1141" s="187" customFormat="1" ht="7.8"/>
    <row r="1142" s="187" customFormat="1" ht="7.8"/>
    <row r="1143" s="187" customFormat="1" ht="7.8"/>
    <row r="1144" s="187" customFormat="1" ht="7.8"/>
    <row r="1145" s="187" customFormat="1" ht="7.8"/>
    <row r="1146" s="187" customFormat="1" ht="7.8"/>
    <row r="1147" ht="13.2"/>
    <row r="1148" ht="13.2"/>
    <row r="1149" ht="13.2"/>
    <row r="1150" ht="13.2"/>
    <row r="1151" ht="13.2"/>
    <row r="1152" ht="13.2"/>
    <row r="1153" ht="13.2"/>
    <row r="1154" ht="13.2"/>
    <row r="1155" ht="13.2"/>
    <row r="1156" ht="13.2"/>
    <row r="1157" ht="13.2"/>
    <row r="1158" ht="13.2"/>
    <row r="1159" ht="13.2"/>
    <row r="1160" ht="13.2"/>
    <row r="1161" ht="13.2"/>
    <row r="1162" ht="13.2"/>
    <row r="1163" ht="13.2"/>
    <row r="1164" ht="13.2"/>
    <row r="1165" ht="13.2"/>
    <row r="1166" ht="13.2"/>
    <row r="1167" ht="13.2"/>
    <row r="1168" ht="13.2"/>
    <row r="1169" ht="13.2"/>
    <row r="1170" ht="13.2"/>
    <row r="1171" ht="13.2"/>
    <row r="1172" ht="13.2"/>
    <row r="1173" ht="13.2"/>
    <row r="1174" ht="13.2"/>
    <row r="1175" ht="13.2"/>
    <row r="1176" ht="13.2"/>
    <row r="1177" ht="13.2"/>
    <row r="1178" ht="13.2"/>
    <row r="1179" ht="13.2"/>
    <row r="1180" ht="13.2"/>
    <row r="1181" ht="13.2"/>
    <row r="1182" ht="13.2"/>
    <row r="1183" ht="13.2"/>
    <row r="1184" ht="13.2"/>
    <row r="1185" ht="13.2"/>
    <row r="1186" ht="13.2"/>
    <row r="1187" ht="13.2"/>
    <row r="1188" ht="13.2"/>
    <row r="1189" ht="13.2"/>
    <row r="1190" ht="13.2"/>
    <row r="1191" ht="13.2"/>
    <row r="1192" ht="13.2"/>
    <row r="1193" ht="13.2"/>
    <row r="1194" ht="13.2"/>
    <row r="1195" ht="13.2"/>
    <row r="1196" ht="13.2"/>
    <row r="1197" ht="13.2"/>
    <row r="1198" ht="13.2"/>
    <row r="1199" ht="13.2"/>
    <row r="1200" ht="13.2"/>
    <row r="1201" ht="13.2"/>
    <row r="1202" ht="13.2"/>
    <row r="1203" ht="13.2"/>
    <row r="1204" ht="13.2"/>
    <row r="1205" ht="13.2"/>
    <row r="1206" ht="13.2"/>
    <row r="1207" ht="13.2"/>
    <row r="1208" ht="13.2"/>
    <row r="1209" ht="13.2"/>
    <row r="1210" ht="13.2"/>
    <row r="1211" ht="13.2"/>
    <row r="1212" ht="13.2"/>
    <row r="1213" ht="13.2"/>
    <row r="1214" ht="13.2"/>
    <row r="1215" ht="13.2"/>
    <row r="1216" ht="13.2"/>
    <row r="1217" ht="13.2"/>
    <row r="1218" ht="13.2"/>
    <row r="1219" ht="13.2"/>
    <row r="1220" ht="13.2"/>
    <row r="1221" ht="13.2"/>
    <row r="1222" ht="13.2"/>
    <row r="1223" ht="13.2"/>
    <row r="1224" ht="13.2"/>
    <row r="1225" ht="13.2"/>
    <row r="1226" ht="13.2"/>
    <row r="1227" ht="13.2"/>
    <row r="1228" ht="13.2"/>
    <row r="1229" ht="13.2"/>
    <row r="1230" ht="13.2"/>
    <row r="1231" ht="13.2"/>
    <row r="1232" ht="13.2"/>
    <row r="1233" ht="13.2"/>
    <row r="1234" ht="13.2"/>
    <row r="1235" ht="13.2"/>
    <row r="1236" ht="13.2"/>
    <row r="1237" ht="13.2"/>
    <row r="1238" ht="13.2"/>
    <row r="1239" ht="13.2"/>
    <row r="1240" ht="13.2"/>
    <row r="1241" ht="13.2"/>
    <row r="1242" ht="13.2"/>
    <row r="1243" ht="13.2"/>
    <row r="1244" ht="13.2"/>
    <row r="1245" ht="13.2"/>
    <row r="1246" ht="13.2"/>
    <row r="1247" ht="13.2"/>
    <row r="1248" ht="13.2"/>
    <row r="1249" ht="13.2"/>
    <row r="1250" ht="13.2"/>
    <row r="1251" ht="13.2"/>
    <row r="1252" ht="13.2"/>
    <row r="1253" ht="12.75" customHeight="1"/>
    <row r="1254" ht="12.75" customHeight="1"/>
    <row r="1255" ht="12.75" customHeight="1"/>
    <row r="1256" ht="12.75" customHeight="1"/>
  </sheetData>
  <mergeCells count="257">
    <mergeCell ref="K76:AK77"/>
    <mergeCell ref="B76:J77"/>
    <mergeCell ref="B80:AK81"/>
    <mergeCell ref="B74:I74"/>
    <mergeCell ref="J74:P74"/>
    <mergeCell ref="Q74:X74"/>
    <mergeCell ref="Y74:AK74"/>
    <mergeCell ref="B70:L70"/>
    <mergeCell ref="M70:AK70"/>
    <mergeCell ref="B66:AK66"/>
    <mergeCell ref="B73:F73"/>
    <mergeCell ref="I73:P73"/>
    <mergeCell ref="Q73:X73"/>
    <mergeCell ref="J75:P75"/>
    <mergeCell ref="Q75:X75"/>
    <mergeCell ref="AG75:AK75"/>
    <mergeCell ref="AG72:AH73"/>
    <mergeCell ref="AI73:AK73"/>
    <mergeCell ref="AG71:AK71"/>
    <mergeCell ref="B75:I75"/>
    <mergeCell ref="Y72:AF73"/>
    <mergeCell ref="Y75:AF75"/>
    <mergeCell ref="B71:H71"/>
    <mergeCell ref="I71:P71"/>
    <mergeCell ref="Q71:X71"/>
    <mergeCell ref="Y71:AF71"/>
    <mergeCell ref="I72:P72"/>
    <mergeCell ref="B58:I58"/>
    <mergeCell ref="J58:P58"/>
    <mergeCell ref="Q58:U58"/>
    <mergeCell ref="V58:Z58"/>
    <mergeCell ref="AA58:AC58"/>
    <mergeCell ref="AD58:AG58"/>
    <mergeCell ref="B62:AK62"/>
    <mergeCell ref="AH58:AK58"/>
    <mergeCell ref="B64:AK64"/>
    <mergeCell ref="Q52:U52"/>
    <mergeCell ref="V52:Z52"/>
    <mergeCell ref="AA52:AC52"/>
    <mergeCell ref="AD52:AG52"/>
    <mergeCell ref="B54:AF54"/>
    <mergeCell ref="AG54:AK54"/>
    <mergeCell ref="AH52:AK52"/>
    <mergeCell ref="B56:T56"/>
    <mergeCell ref="U56:AK56"/>
    <mergeCell ref="H357:AC357"/>
    <mergeCell ref="O358:W358"/>
    <mergeCell ref="L361:AA361"/>
    <mergeCell ref="L362:AA362"/>
    <mergeCell ref="L365:AA365"/>
    <mergeCell ref="L345:AA345"/>
    <mergeCell ref="L348:AA348"/>
    <mergeCell ref="L349:AA349"/>
    <mergeCell ref="L352:AA352"/>
    <mergeCell ref="L353:AA353"/>
    <mergeCell ref="O356:W356"/>
    <mergeCell ref="L364:AA364"/>
    <mergeCell ref="L332:AA332"/>
    <mergeCell ref="L333:AA333"/>
    <mergeCell ref="L336:AA336"/>
    <mergeCell ref="L337:AA337"/>
    <mergeCell ref="M342:Y342"/>
    <mergeCell ref="L344:AA344"/>
    <mergeCell ref="B319:O319"/>
    <mergeCell ref="B320:O320"/>
    <mergeCell ref="B321:O321"/>
    <mergeCell ref="B324:AK324"/>
    <mergeCell ref="O330:X330"/>
    <mergeCell ref="P318:U318"/>
    <mergeCell ref="P319:U319"/>
    <mergeCell ref="P320:U320"/>
    <mergeCell ref="P321:U321"/>
    <mergeCell ref="B308:AK308"/>
    <mergeCell ref="B310:AK310"/>
    <mergeCell ref="B313:O313"/>
    <mergeCell ref="B314:O314"/>
    <mergeCell ref="B315:O315"/>
    <mergeCell ref="P315:U315"/>
    <mergeCell ref="O286:W286"/>
    <mergeCell ref="H287:AC287"/>
    <mergeCell ref="O288:W288"/>
    <mergeCell ref="L291:AA291"/>
    <mergeCell ref="L292:AA292"/>
    <mergeCell ref="L295:AA295"/>
    <mergeCell ref="P312:U312"/>
    <mergeCell ref="P313:U313"/>
    <mergeCell ref="P314:U314"/>
    <mergeCell ref="L294:AA294"/>
    <mergeCell ref="L274:AA274"/>
    <mergeCell ref="L275:AA275"/>
    <mergeCell ref="L278:AA278"/>
    <mergeCell ref="L279:AA279"/>
    <mergeCell ref="L282:AA282"/>
    <mergeCell ref="L283:AA283"/>
    <mergeCell ref="L262:AA262"/>
    <mergeCell ref="L263:AA263"/>
    <mergeCell ref="L266:AA266"/>
    <mergeCell ref="L267:AA267"/>
    <mergeCell ref="M272:Y272"/>
    <mergeCell ref="B247:AK247"/>
    <mergeCell ref="B249:AK249"/>
    <mergeCell ref="B251:AK251"/>
    <mergeCell ref="B253:AK253"/>
    <mergeCell ref="B255:AK255"/>
    <mergeCell ref="O260:X260"/>
    <mergeCell ref="G237:P240"/>
    <mergeCell ref="Q237:AG237"/>
    <mergeCell ref="Q238:AG238"/>
    <mergeCell ref="Q239:AG240"/>
    <mergeCell ref="B244:AK244"/>
    <mergeCell ref="B246:AK246"/>
    <mergeCell ref="G230:P233"/>
    <mergeCell ref="Q230:AG230"/>
    <mergeCell ref="Q231:AG233"/>
    <mergeCell ref="G234:P236"/>
    <mergeCell ref="Q234:AG234"/>
    <mergeCell ref="Q235:AG235"/>
    <mergeCell ref="Q236:AG236"/>
    <mergeCell ref="B223:AK223"/>
    <mergeCell ref="B225:AK225"/>
    <mergeCell ref="B226:AK226"/>
    <mergeCell ref="G228:P228"/>
    <mergeCell ref="Q228:AG228"/>
    <mergeCell ref="G229:P229"/>
    <mergeCell ref="Q229:AG229"/>
    <mergeCell ref="B211:AK211"/>
    <mergeCell ref="B213:AK213"/>
    <mergeCell ref="B215:AK215"/>
    <mergeCell ref="B217:AK217"/>
    <mergeCell ref="B219:AK219"/>
    <mergeCell ref="B221:AK221"/>
    <mergeCell ref="B199:AK199"/>
    <mergeCell ref="B201:AK201"/>
    <mergeCell ref="B203:AK203"/>
    <mergeCell ref="B205:AK205"/>
    <mergeCell ref="B207:AK207"/>
    <mergeCell ref="B209:AK209"/>
    <mergeCell ref="B190:AK190"/>
    <mergeCell ref="B191:AK191"/>
    <mergeCell ref="B192:AK192"/>
    <mergeCell ref="B194:AK194"/>
    <mergeCell ref="B195:AK195"/>
    <mergeCell ref="B197:AK197"/>
    <mergeCell ref="B180:AK180"/>
    <mergeCell ref="B182:AK182"/>
    <mergeCell ref="B184:AK184"/>
    <mergeCell ref="B185:AK185"/>
    <mergeCell ref="B187:AK187"/>
    <mergeCell ref="B189:AK189"/>
    <mergeCell ref="B172:AK172"/>
    <mergeCell ref="B173:AK173"/>
    <mergeCell ref="B174:AK174"/>
    <mergeCell ref="B175:AK175"/>
    <mergeCell ref="B176:AK176"/>
    <mergeCell ref="B178:AK178"/>
    <mergeCell ref="B148:AK148"/>
    <mergeCell ref="B150:AK150"/>
    <mergeCell ref="B152:AK152"/>
    <mergeCell ref="B169:AK169"/>
    <mergeCell ref="B170:AK170"/>
    <mergeCell ref="B171:AK171"/>
    <mergeCell ref="B139:AK139"/>
    <mergeCell ref="B140:AK140"/>
    <mergeCell ref="B141:AK141"/>
    <mergeCell ref="B143:AK143"/>
    <mergeCell ref="B145:AK145"/>
    <mergeCell ref="B146:AK146"/>
    <mergeCell ref="B129:AK129"/>
    <mergeCell ref="B131:AK131"/>
    <mergeCell ref="B133:AK133"/>
    <mergeCell ref="B135:AK135"/>
    <mergeCell ref="B136:AK136"/>
    <mergeCell ref="B137:AK137"/>
    <mergeCell ref="B117:AK117"/>
    <mergeCell ref="B119:AK119"/>
    <mergeCell ref="B121:AK121"/>
    <mergeCell ref="B123:AK123"/>
    <mergeCell ref="B125:AK125"/>
    <mergeCell ref="B127:AK127"/>
    <mergeCell ref="B104:AK104"/>
    <mergeCell ref="B105:AK105"/>
    <mergeCell ref="B107:AK107"/>
    <mergeCell ref="B109:AK109"/>
    <mergeCell ref="B112:AK112"/>
    <mergeCell ref="B114:AK114"/>
    <mergeCell ref="AG24:AK24"/>
    <mergeCell ref="B26:W26"/>
    <mergeCell ref="X26:AK26"/>
    <mergeCell ref="B98:AK98"/>
    <mergeCell ref="B99:AK99"/>
    <mergeCell ref="B100:AK100"/>
    <mergeCell ref="B101:AK101"/>
    <mergeCell ref="B102:AK102"/>
    <mergeCell ref="B103:AK103"/>
    <mergeCell ref="AH82:AK82"/>
    <mergeCell ref="B92:AK92"/>
    <mergeCell ref="B94:AK94"/>
    <mergeCell ref="B96:AK96"/>
    <mergeCell ref="B82:O82"/>
    <mergeCell ref="P82:T82"/>
    <mergeCell ref="U82:Y82"/>
    <mergeCell ref="Z82:AC82"/>
    <mergeCell ref="AD82:AG82"/>
    <mergeCell ref="B83:O84"/>
    <mergeCell ref="B85:O86"/>
    <mergeCell ref="B50:T50"/>
    <mergeCell ref="U50:AK50"/>
    <mergeCell ref="B52:I52"/>
    <mergeCell ref="J52:P52"/>
    <mergeCell ref="B48:AF48"/>
    <mergeCell ref="AG48:AK48"/>
    <mergeCell ref="AA4:AK4"/>
    <mergeCell ref="AF5:AK5"/>
    <mergeCell ref="AF6:AK6"/>
    <mergeCell ref="B8:F8"/>
    <mergeCell ref="B9:F9"/>
    <mergeCell ref="B10:F10"/>
    <mergeCell ref="G10:U10"/>
    <mergeCell ref="V10:AK10"/>
    <mergeCell ref="B14:L14"/>
    <mergeCell ref="M14:S14"/>
    <mergeCell ref="T14:Z14"/>
    <mergeCell ref="AA14:AG14"/>
    <mergeCell ref="AH14:AK14"/>
    <mergeCell ref="B18:AF18"/>
    <mergeCell ref="AG18:AK18"/>
    <mergeCell ref="B20:W20"/>
    <mergeCell ref="V28:Z28"/>
    <mergeCell ref="AA28:AC28"/>
    <mergeCell ref="AD28:AG28"/>
    <mergeCell ref="B32:AK32"/>
    <mergeCell ref="B34:AK34"/>
    <mergeCell ref="B36:AK36"/>
    <mergeCell ref="X20:AK20"/>
    <mergeCell ref="B28:I28"/>
    <mergeCell ref="J28:P28"/>
    <mergeCell ref="Q28:U28"/>
    <mergeCell ref="AH22:AK22"/>
    <mergeCell ref="AH28:AK28"/>
    <mergeCell ref="AH46:AK46"/>
    <mergeCell ref="B46:I46"/>
    <mergeCell ref="J46:P46"/>
    <mergeCell ref="Q46:U46"/>
    <mergeCell ref="V46:Z46"/>
    <mergeCell ref="AA46:AC46"/>
    <mergeCell ref="AD46:AG46"/>
    <mergeCell ref="B42:AF42"/>
    <mergeCell ref="AG42:AK42"/>
    <mergeCell ref="B44:T44"/>
    <mergeCell ref="U44:AK44"/>
    <mergeCell ref="B22:I22"/>
    <mergeCell ref="J22:P22"/>
    <mergeCell ref="Q22:U22"/>
    <mergeCell ref="V22:Z22"/>
    <mergeCell ref="AA22:AC22"/>
    <mergeCell ref="AD22:AG22"/>
    <mergeCell ref="B24:AF24"/>
  </mergeCells>
  <printOptions horizontalCentered="1" verticalCentered="1"/>
  <pageMargins left="0" right="0" top="0" bottom="0" header="0" footer="0"/>
  <pageSetup scale="91"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M306"/>
  <sheetViews>
    <sheetView showZeros="0" zoomScale="115" zoomScaleNormal="115" workbookViewId="0">
      <selection activeCell="AB4" sqref="AB4:AK4"/>
    </sheetView>
  </sheetViews>
  <sheetFormatPr defaultColWidth="0" defaultRowHeight="12.75" customHeight="1" zeroHeight="1"/>
  <cols>
    <col min="1" max="1" width="1.109375" style="179" customWidth="1"/>
    <col min="2" max="24" width="3" style="179" customWidth="1"/>
    <col min="25" max="25" width="3.88671875" style="179" customWidth="1"/>
    <col min="26" max="28" width="3" style="179" customWidth="1"/>
    <col min="29" max="29" width="3.33203125" style="179" customWidth="1"/>
    <col min="30" max="30" width="5.44140625" style="179" customWidth="1"/>
    <col min="31" max="34" width="3" style="179" customWidth="1"/>
    <col min="35" max="35" width="5.88671875" style="179" customWidth="1"/>
    <col min="36" max="36" width="3.6640625" style="179" customWidth="1"/>
    <col min="37" max="37" width="3.5546875" style="179" customWidth="1"/>
    <col min="38" max="39" width="0.5546875" style="179" customWidth="1"/>
    <col min="40" max="40" width="2.88671875" style="179" hidden="1" customWidth="1"/>
    <col min="41" max="16384" width="2.88671875" style="179" hidden="1"/>
  </cols>
  <sheetData>
    <row r="1" spans="1:37" ht="12.75" customHeight="1"/>
    <row r="2" spans="1:37" ht="12.75" customHeight="1"/>
    <row r="3" spans="1:37" ht="7.5" customHeight="1">
      <c r="A3" s="178"/>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row>
    <row r="4" spans="1:37" ht="13.8">
      <c r="A4" s="178"/>
      <c r="B4" s="178"/>
      <c r="C4" s="178"/>
      <c r="D4" s="178"/>
      <c r="E4" s="178"/>
      <c r="F4" s="178"/>
      <c r="G4" s="178"/>
      <c r="H4" s="178"/>
      <c r="I4" s="178"/>
      <c r="J4" s="178"/>
      <c r="K4" s="178"/>
      <c r="L4" s="178"/>
      <c r="M4" s="178"/>
      <c r="N4" s="178"/>
      <c r="O4" s="178"/>
      <c r="P4" s="178"/>
      <c r="Q4" s="178"/>
      <c r="R4" s="178"/>
      <c r="S4" s="178"/>
      <c r="T4" s="178"/>
      <c r="V4" s="180"/>
      <c r="W4" s="180"/>
      <c r="Y4" s="180"/>
      <c r="Z4" s="180"/>
      <c r="AA4" s="180"/>
      <c r="AB4" s="548" t="s">
        <v>135</v>
      </c>
      <c r="AC4" s="548"/>
      <c r="AD4" s="548"/>
      <c r="AE4" s="548"/>
      <c r="AF4" s="548"/>
      <c r="AG4" s="548"/>
      <c r="AH4" s="548"/>
      <c r="AI4" s="548"/>
      <c r="AJ4" s="548"/>
      <c r="AK4" s="548"/>
    </row>
    <row r="5" spans="1:37" ht="13.8">
      <c r="A5" s="178"/>
      <c r="B5" s="178"/>
      <c r="C5" s="178"/>
      <c r="D5" s="178"/>
      <c r="E5" s="178"/>
      <c r="F5" s="178"/>
      <c r="G5" s="178"/>
      <c r="H5" s="178"/>
      <c r="I5" s="178"/>
      <c r="J5" s="178"/>
      <c r="K5" s="178"/>
      <c r="L5" s="178"/>
      <c r="M5" s="178"/>
      <c r="N5" s="178"/>
      <c r="O5" s="178"/>
      <c r="P5" s="178"/>
      <c r="Q5" s="178"/>
      <c r="R5" s="178"/>
      <c r="S5" s="178"/>
      <c r="T5" s="178"/>
      <c r="U5" s="181"/>
      <c r="V5" s="181"/>
      <c r="X5" s="180"/>
      <c r="Y5" s="180"/>
      <c r="Z5" s="180"/>
      <c r="AA5" s="548" t="s">
        <v>287</v>
      </c>
      <c r="AB5" s="548"/>
      <c r="AC5" s="548"/>
      <c r="AD5" s="548"/>
      <c r="AE5" s="548"/>
      <c r="AF5" s="548"/>
      <c r="AG5" s="548"/>
      <c r="AH5" s="548"/>
      <c r="AI5" s="548"/>
      <c r="AJ5" s="548"/>
      <c r="AK5" s="548"/>
    </row>
    <row r="6" spans="1:37" ht="17.25" customHeight="1">
      <c r="A6" s="178"/>
      <c r="B6" s="182" t="s">
        <v>137</v>
      </c>
      <c r="C6" s="178"/>
      <c r="D6" s="178"/>
      <c r="E6" s="178"/>
      <c r="F6" s="178"/>
      <c r="G6" s="178"/>
      <c r="H6" s="178"/>
      <c r="I6" s="178"/>
      <c r="J6" s="178"/>
      <c r="K6" s="178"/>
      <c r="L6" s="178"/>
      <c r="M6" s="178"/>
      <c r="N6" s="178"/>
      <c r="O6" s="178"/>
      <c r="P6" s="178"/>
      <c r="Q6" s="178"/>
      <c r="R6" s="178"/>
      <c r="S6" s="178"/>
      <c r="T6" s="178"/>
      <c r="U6" s="181"/>
      <c r="V6" s="181"/>
      <c r="W6" s="183"/>
      <c r="X6" s="184"/>
      <c r="Y6" s="184"/>
      <c r="Z6" s="184"/>
      <c r="AA6" s="184"/>
      <c r="AB6" s="184"/>
      <c r="AC6" s="550" t="s">
        <v>8</v>
      </c>
      <c r="AD6" s="550"/>
      <c r="AE6" s="550"/>
      <c r="AF6" s="550"/>
      <c r="AG6" s="550"/>
      <c r="AH6" s="550"/>
      <c r="AI6" s="550"/>
      <c r="AJ6" s="550"/>
      <c r="AK6" s="550"/>
    </row>
    <row r="7" spans="1:37" s="187" customFormat="1" ht="2.25" customHeight="1">
      <c r="A7" s="186"/>
      <c r="B7" s="186"/>
      <c r="C7" s="186"/>
      <c r="D7" s="186"/>
      <c r="E7" s="186"/>
      <c r="F7" s="186"/>
      <c r="G7" s="186"/>
      <c r="H7" s="186"/>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row>
    <row r="8" spans="1:37" s="193" customFormat="1" ht="10.5" customHeight="1">
      <c r="A8" s="188"/>
      <c r="B8" s="551" t="s">
        <v>138</v>
      </c>
      <c r="C8" s="552"/>
      <c r="D8" s="552"/>
      <c r="E8" s="552"/>
      <c r="F8" s="552"/>
      <c r="G8" s="189" t="s">
        <v>139</v>
      </c>
      <c r="H8" s="190"/>
      <c r="I8" s="190"/>
      <c r="J8" s="190"/>
      <c r="K8" s="190"/>
      <c r="L8" s="190"/>
      <c r="M8" s="190"/>
      <c r="N8" s="190"/>
      <c r="O8" s="190"/>
      <c r="P8" s="190"/>
      <c r="Q8" s="190"/>
      <c r="R8" s="190"/>
      <c r="S8" s="190"/>
      <c r="T8" s="190"/>
      <c r="U8" s="191"/>
      <c r="V8" s="190" t="s">
        <v>140</v>
      </c>
      <c r="W8" s="190"/>
      <c r="X8" s="190"/>
      <c r="Y8" s="190"/>
      <c r="Z8" s="190"/>
      <c r="AA8" s="190"/>
      <c r="AB8" s="190"/>
      <c r="AC8" s="190"/>
      <c r="AD8" s="190"/>
      <c r="AE8" s="190"/>
      <c r="AF8" s="190"/>
      <c r="AG8" s="190"/>
      <c r="AH8" s="190"/>
      <c r="AI8" s="190"/>
      <c r="AJ8" s="190"/>
      <c r="AK8" s="192"/>
    </row>
    <row r="9" spans="1:37" s="193" customFormat="1" ht="10.5" customHeight="1">
      <c r="A9" s="188"/>
      <c r="B9" s="553" t="s">
        <v>141</v>
      </c>
      <c r="C9" s="554"/>
      <c r="D9" s="554"/>
      <c r="E9" s="554"/>
      <c r="F9" s="554"/>
      <c r="G9" s="194"/>
      <c r="H9" s="195"/>
      <c r="I9" s="195"/>
      <c r="J9" s="195"/>
      <c r="K9" s="195"/>
      <c r="L9" s="195"/>
      <c r="M9" s="195"/>
      <c r="N9" s="195"/>
      <c r="O9" s="195"/>
      <c r="P9" s="195"/>
      <c r="Q9" s="195"/>
      <c r="R9" s="195"/>
      <c r="S9" s="195"/>
      <c r="T9" s="195"/>
      <c r="U9" s="196"/>
      <c r="V9" s="195"/>
      <c r="W9" s="195"/>
      <c r="X9" s="195"/>
      <c r="Y9" s="195"/>
      <c r="Z9" s="195"/>
      <c r="AA9" s="195"/>
      <c r="AB9" s="195"/>
      <c r="AC9" s="195"/>
      <c r="AD9" s="195"/>
      <c r="AE9" s="195"/>
      <c r="AF9" s="195"/>
      <c r="AG9" s="195"/>
      <c r="AH9" s="195"/>
      <c r="AI9" s="195"/>
      <c r="AJ9" s="195"/>
      <c r="AK9" s="197"/>
    </row>
    <row r="10" spans="1:37" s="193" customFormat="1" ht="10.5" customHeight="1">
      <c r="A10" s="188"/>
      <c r="B10" s="555">
        <f ca="1">AA_002_GENERALES_FECHA</f>
        <v>42625</v>
      </c>
      <c r="C10" s="556"/>
      <c r="D10" s="556"/>
      <c r="E10" s="556"/>
      <c r="F10" s="557"/>
      <c r="G10" s="558" t="str">
        <f>AA_003_GENERALES_DIA</f>
        <v>Monterrey, Nuevo León</v>
      </c>
      <c r="H10" s="559"/>
      <c r="I10" s="559"/>
      <c r="J10" s="559"/>
      <c r="K10" s="559"/>
      <c r="L10" s="559"/>
      <c r="M10" s="559"/>
      <c r="N10" s="559"/>
      <c r="O10" s="559"/>
      <c r="P10" s="559"/>
      <c r="Q10" s="559"/>
      <c r="R10" s="559"/>
      <c r="S10" s="559"/>
      <c r="T10" s="559"/>
      <c r="U10" s="560"/>
      <c r="V10" s="558" t="str">
        <f>AA_007_GENERALES_NOMBRE_Y_NÚMERO_DE_SUCURSAL</f>
        <v>161 Morones Prieto</v>
      </c>
      <c r="W10" s="559"/>
      <c r="X10" s="559"/>
      <c r="Y10" s="559"/>
      <c r="Z10" s="559"/>
      <c r="AA10" s="559"/>
      <c r="AB10" s="559"/>
      <c r="AC10" s="559"/>
      <c r="AD10" s="559"/>
      <c r="AE10" s="559"/>
      <c r="AF10" s="559"/>
      <c r="AG10" s="559"/>
      <c r="AH10" s="559"/>
      <c r="AI10" s="559"/>
      <c r="AJ10" s="559"/>
      <c r="AK10" s="561"/>
    </row>
    <row r="11" spans="1:37" s="199" customFormat="1" ht="10.5" customHeight="1">
      <c r="A11" s="198"/>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row>
    <row r="12" spans="1:37" s="199" customFormat="1" ht="9.6">
      <c r="A12" s="198"/>
      <c r="B12" s="200" t="s">
        <v>142</v>
      </c>
      <c r="C12" s="18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row>
    <row r="13" spans="1:37" s="193" customFormat="1" ht="10.5" customHeight="1">
      <c r="A13" s="188"/>
      <c r="B13" s="201" t="s">
        <v>143</v>
      </c>
      <c r="C13" s="202"/>
      <c r="D13" s="202"/>
      <c r="E13" s="202" t="s">
        <v>144</v>
      </c>
      <c r="F13" s="202"/>
      <c r="G13" s="202"/>
      <c r="H13" s="202"/>
      <c r="I13" s="202"/>
      <c r="J13" s="202"/>
      <c r="K13" s="202"/>
      <c r="L13" s="203"/>
      <c r="M13" s="201" t="s">
        <v>145</v>
      </c>
      <c r="N13" s="202"/>
      <c r="O13" s="202"/>
      <c r="P13" s="202"/>
      <c r="Q13" s="202"/>
      <c r="R13" s="202"/>
      <c r="S13" s="203"/>
      <c r="T13" s="202" t="s">
        <v>146</v>
      </c>
      <c r="U13" s="202"/>
      <c r="V13" s="202"/>
      <c r="W13" s="202"/>
      <c r="X13" s="202"/>
      <c r="Y13" s="202"/>
      <c r="Z13" s="202"/>
      <c r="AA13" s="201" t="s">
        <v>147</v>
      </c>
      <c r="AB13" s="202"/>
      <c r="AC13" s="202"/>
      <c r="AD13" s="202"/>
      <c r="AE13" s="202"/>
      <c r="AF13" s="202"/>
      <c r="AG13" s="203"/>
      <c r="AH13" s="202" t="s">
        <v>148</v>
      </c>
      <c r="AI13" s="202"/>
      <c r="AJ13" s="202"/>
      <c r="AK13" s="443"/>
    </row>
    <row r="14" spans="1:37" s="193" customFormat="1" ht="10.5" customHeight="1">
      <c r="A14" s="188"/>
      <c r="B14" s="539">
        <f>AA_008_DATOS_DE_BANCO_DOMICILIO_CALLE_NÚMERO</f>
        <v>0</v>
      </c>
      <c r="C14" s="540"/>
      <c r="D14" s="540"/>
      <c r="E14" s="540"/>
      <c r="F14" s="540"/>
      <c r="G14" s="540"/>
      <c r="H14" s="540"/>
      <c r="I14" s="540"/>
      <c r="J14" s="540"/>
      <c r="K14" s="540"/>
      <c r="L14" s="541"/>
      <c r="M14" s="539">
        <f>AA_009_DATOS_DE_BANCO_COLONIA</f>
        <v>0</v>
      </c>
      <c r="N14" s="540"/>
      <c r="O14" s="540"/>
      <c r="P14" s="540"/>
      <c r="Q14" s="540"/>
      <c r="R14" s="540"/>
      <c r="S14" s="541"/>
      <c r="T14" s="539">
        <f>AA_010_DATOS_DE_BANCO_POBLACIÓN</f>
        <v>0</v>
      </c>
      <c r="U14" s="540"/>
      <c r="V14" s="540"/>
      <c r="W14" s="540"/>
      <c r="X14" s="540"/>
      <c r="Y14" s="540"/>
      <c r="Z14" s="541"/>
      <c r="AA14" s="539">
        <f>AA_011_DATOS_DE_BANCO_ESTADO</f>
        <v>0</v>
      </c>
      <c r="AB14" s="540"/>
      <c r="AC14" s="540"/>
      <c r="AD14" s="540"/>
      <c r="AE14" s="540"/>
      <c r="AF14" s="540"/>
      <c r="AG14" s="541"/>
      <c r="AH14" s="539">
        <f>AA_012_DATOS_DE_BANCO_CODIGO_POSTAL</f>
        <v>0</v>
      </c>
      <c r="AI14" s="540"/>
      <c r="AJ14" s="540"/>
      <c r="AK14" s="689"/>
    </row>
    <row r="15" spans="1:37" s="193" customFormat="1" ht="10.5" customHeight="1">
      <c r="A15" s="188"/>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row>
    <row r="16" spans="1:37" s="193" customFormat="1" ht="10.5" customHeight="1">
      <c r="A16" s="188"/>
      <c r="B16" s="204" t="s">
        <v>149</v>
      </c>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row>
    <row r="17" spans="1:37" s="193" customFormat="1" ht="10.5" customHeight="1">
      <c r="A17" s="188"/>
      <c r="B17" s="201" t="s">
        <v>150</v>
      </c>
      <c r="C17" s="202"/>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202"/>
      <c r="AF17" s="202"/>
      <c r="AG17" s="201" t="s">
        <v>151</v>
      </c>
      <c r="AH17" s="202"/>
      <c r="AI17" s="202"/>
      <c r="AJ17" s="202"/>
      <c r="AK17" s="203"/>
    </row>
    <row r="18" spans="1:37" s="193" customFormat="1" ht="10.5" customHeight="1">
      <c r="A18" s="188"/>
      <c r="B18" s="539">
        <f>AA_013_DATOS_DE_LA_PARTE_ACREDITADA_NOMBRE_DEL_ACREDITADO</f>
        <v>0</v>
      </c>
      <c r="C18" s="540"/>
      <c r="D18" s="540"/>
      <c r="E18" s="540"/>
      <c r="F18" s="540"/>
      <c r="G18" s="540"/>
      <c r="H18" s="540"/>
      <c r="I18" s="540"/>
      <c r="J18" s="540"/>
      <c r="K18" s="540"/>
      <c r="L18" s="540"/>
      <c r="M18" s="540"/>
      <c r="N18" s="540"/>
      <c r="O18" s="540"/>
      <c r="P18" s="540"/>
      <c r="Q18" s="540"/>
      <c r="R18" s="540"/>
      <c r="S18" s="540"/>
      <c r="T18" s="540"/>
      <c r="U18" s="540"/>
      <c r="V18" s="540"/>
      <c r="W18" s="540"/>
      <c r="X18" s="540"/>
      <c r="Y18" s="540"/>
      <c r="Z18" s="540"/>
      <c r="AA18" s="540"/>
      <c r="AB18" s="540"/>
      <c r="AC18" s="540"/>
      <c r="AD18" s="540"/>
      <c r="AE18" s="540"/>
      <c r="AF18" s="541"/>
      <c r="AG18" s="539">
        <f>AA_014_DATOS_DE_LA_PARTE_ACREDITADA_R_F_C_</f>
        <v>0</v>
      </c>
      <c r="AH18" s="540"/>
      <c r="AI18" s="540"/>
      <c r="AJ18" s="540"/>
      <c r="AK18" s="541"/>
    </row>
    <row r="19" spans="1:37" s="193" customFormat="1" ht="10.5" customHeight="1">
      <c r="A19" s="188"/>
      <c r="B19" s="201" t="s">
        <v>143</v>
      </c>
      <c r="C19" s="202"/>
      <c r="D19" s="202"/>
      <c r="E19" s="202" t="s">
        <v>144</v>
      </c>
      <c r="F19" s="202"/>
      <c r="G19" s="202"/>
      <c r="H19" s="202"/>
      <c r="I19" s="202"/>
      <c r="J19" s="202"/>
      <c r="K19" s="202"/>
      <c r="L19" s="202"/>
      <c r="M19" s="202"/>
      <c r="N19" s="202"/>
      <c r="O19" s="202"/>
      <c r="P19" s="202"/>
      <c r="Q19" s="202"/>
      <c r="R19" s="202"/>
      <c r="S19" s="202"/>
      <c r="T19" s="202"/>
      <c r="U19" s="202"/>
      <c r="V19" s="202"/>
      <c r="W19" s="202"/>
      <c r="X19" s="201" t="s">
        <v>145</v>
      </c>
      <c r="Y19" s="202"/>
      <c r="Z19" s="202"/>
      <c r="AA19" s="202"/>
      <c r="AB19" s="202"/>
      <c r="AC19" s="202"/>
      <c r="AD19" s="202"/>
      <c r="AE19" s="202"/>
      <c r="AF19" s="202"/>
      <c r="AG19" s="202"/>
      <c r="AH19" s="202"/>
      <c r="AI19" s="202"/>
      <c r="AJ19" s="202"/>
      <c r="AK19" s="203"/>
    </row>
    <row r="20" spans="1:37" s="193" customFormat="1" ht="10.5" customHeight="1">
      <c r="A20" s="188"/>
      <c r="B20" s="539">
        <f>AA_015_DATOS_DE_LA_PARTE_ACREDITADA_DOMICILIO_CALLE_NÚMERO</f>
        <v>0</v>
      </c>
      <c r="C20" s="540"/>
      <c r="D20" s="540"/>
      <c r="E20" s="540"/>
      <c r="F20" s="540"/>
      <c r="G20" s="540"/>
      <c r="H20" s="540"/>
      <c r="I20" s="540"/>
      <c r="J20" s="540"/>
      <c r="K20" s="540"/>
      <c r="L20" s="540"/>
      <c r="M20" s="540"/>
      <c r="N20" s="540"/>
      <c r="O20" s="540"/>
      <c r="P20" s="540"/>
      <c r="Q20" s="540"/>
      <c r="R20" s="540"/>
      <c r="S20" s="540"/>
      <c r="T20" s="540"/>
      <c r="U20" s="540"/>
      <c r="V20" s="540"/>
      <c r="W20" s="541"/>
      <c r="X20" s="539">
        <f>AA_016_DATOS_DE_LA_PARTE_ACREDITADA_COLONIA</f>
        <v>0</v>
      </c>
      <c r="Y20" s="540"/>
      <c r="Z20" s="540"/>
      <c r="AA20" s="540"/>
      <c r="AB20" s="540"/>
      <c r="AC20" s="540"/>
      <c r="AD20" s="540"/>
      <c r="AE20" s="540"/>
      <c r="AF20" s="540"/>
      <c r="AG20" s="540"/>
      <c r="AH20" s="540"/>
      <c r="AI20" s="540"/>
      <c r="AJ20" s="540"/>
      <c r="AK20" s="541"/>
    </row>
    <row r="21" spans="1:37" s="193" customFormat="1" ht="10.5" customHeight="1">
      <c r="A21" s="188"/>
      <c r="B21" s="201" t="s">
        <v>146</v>
      </c>
      <c r="C21" s="202"/>
      <c r="D21" s="202"/>
      <c r="E21" s="202"/>
      <c r="F21" s="202"/>
      <c r="G21" s="202"/>
      <c r="H21" s="202"/>
      <c r="I21" s="195"/>
      <c r="J21" s="201" t="s">
        <v>147</v>
      </c>
      <c r="K21" s="195"/>
      <c r="L21" s="195"/>
      <c r="P21" s="202"/>
      <c r="Q21" s="194" t="s">
        <v>152</v>
      </c>
      <c r="S21" s="202"/>
      <c r="T21" s="202"/>
      <c r="V21" s="201" t="s">
        <v>153</v>
      </c>
      <c r="W21" s="202"/>
      <c r="X21" s="202"/>
      <c r="Y21" s="202"/>
      <c r="AA21" s="201" t="s">
        <v>154</v>
      </c>
      <c r="AB21" s="202"/>
      <c r="AC21" s="203"/>
      <c r="AD21" s="194" t="s">
        <v>155</v>
      </c>
      <c r="AE21" s="195"/>
      <c r="AF21" s="195"/>
      <c r="AG21" s="203"/>
      <c r="AH21" s="202" t="s">
        <v>156</v>
      </c>
      <c r="AI21" s="202"/>
      <c r="AJ21" s="202"/>
      <c r="AK21" s="203"/>
    </row>
    <row r="22" spans="1:37" s="193" customFormat="1" ht="10.5" customHeight="1">
      <c r="A22" s="188"/>
      <c r="B22" s="539">
        <f>AA_017_DATOS_DE_LA_PARTE_ACREDITADA_POBLACION</f>
        <v>0</v>
      </c>
      <c r="C22" s="540"/>
      <c r="D22" s="540"/>
      <c r="E22" s="540"/>
      <c r="F22" s="540"/>
      <c r="G22" s="540"/>
      <c r="H22" s="540"/>
      <c r="I22" s="541"/>
      <c r="J22" s="539">
        <f>AA_018_DATOS_DE_LA_PARTE_ACREDITADA_ESTADO</f>
        <v>0</v>
      </c>
      <c r="K22" s="540"/>
      <c r="L22" s="540"/>
      <c r="M22" s="540"/>
      <c r="N22" s="540"/>
      <c r="O22" s="540"/>
      <c r="P22" s="541"/>
      <c r="Q22" s="539">
        <f>AA_019_DATOS_DE_LA_PARTE_ACREDITADA_NACIONALIDAD</f>
        <v>0</v>
      </c>
      <c r="R22" s="540"/>
      <c r="S22" s="540"/>
      <c r="T22" s="540"/>
      <c r="U22" s="541"/>
      <c r="V22" s="539">
        <f>AA_020_DATOS_DE_LA_PARTE_ACREDITADA_ORIGINARIO</f>
        <v>0</v>
      </c>
      <c r="W22" s="540"/>
      <c r="X22" s="540"/>
      <c r="Y22" s="540"/>
      <c r="Z22" s="541"/>
      <c r="AA22" s="542">
        <f>AA_021_DATOS_DE_LA_PARTE_ACREDITADA_EDAD</f>
        <v>0</v>
      </c>
      <c r="AB22" s="543"/>
      <c r="AC22" s="544"/>
      <c r="AD22" s="539">
        <f>AA_022_DATOS_DE_LA_PARTE_ACREDITADA_ESTADO_CIVIL</f>
        <v>0</v>
      </c>
      <c r="AE22" s="540"/>
      <c r="AF22" s="540"/>
      <c r="AG22" s="541"/>
      <c r="AH22" s="539">
        <f>AA_023_DATOS_DE_LA_PARTE_ACREDITADA_TELEFONO</f>
        <v>0</v>
      </c>
      <c r="AI22" s="540"/>
      <c r="AJ22" s="540"/>
      <c r="AK22" s="541"/>
    </row>
    <row r="23" spans="1:37" s="193" customFormat="1" ht="10.5" customHeight="1">
      <c r="A23" s="188"/>
      <c r="B23" s="201" t="s">
        <v>157</v>
      </c>
      <c r="C23" s="202"/>
      <c r="D23" s="202"/>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202"/>
      <c r="AF23" s="202"/>
      <c r="AG23" s="201" t="s">
        <v>151</v>
      </c>
      <c r="AH23" s="202"/>
      <c r="AI23" s="202"/>
      <c r="AJ23" s="202"/>
      <c r="AK23" s="203"/>
    </row>
    <row r="24" spans="1:37" s="193" customFormat="1" ht="10.5" customHeight="1">
      <c r="A24" s="188"/>
      <c r="B24" s="701">
        <f>AA_024_DATOS_DE_LA_PARTE_ACREDITADA_NOMBRE_DEL_ACREDITADO_2</f>
        <v>0</v>
      </c>
      <c r="C24" s="702"/>
      <c r="D24" s="702"/>
      <c r="E24" s="702"/>
      <c r="F24" s="702"/>
      <c r="G24" s="702"/>
      <c r="H24" s="702"/>
      <c r="I24" s="702"/>
      <c r="J24" s="702"/>
      <c r="K24" s="702"/>
      <c r="L24" s="702"/>
      <c r="M24" s="702"/>
      <c r="N24" s="702"/>
      <c r="O24" s="702"/>
      <c r="P24" s="702"/>
      <c r="Q24" s="702"/>
      <c r="R24" s="702"/>
      <c r="S24" s="702"/>
      <c r="T24" s="702"/>
      <c r="U24" s="702"/>
      <c r="V24" s="702"/>
      <c r="W24" s="702"/>
      <c r="X24" s="702"/>
      <c r="Y24" s="702"/>
      <c r="Z24" s="702"/>
      <c r="AA24" s="702"/>
      <c r="AB24" s="702"/>
      <c r="AC24" s="702"/>
      <c r="AD24" s="702"/>
      <c r="AE24" s="702"/>
      <c r="AF24" s="703"/>
      <c r="AG24" s="690">
        <f>AA_025_DATOS_DE_LA_PARTE_ACREDITADA_R_F_C_</f>
        <v>0</v>
      </c>
      <c r="AH24" s="704"/>
      <c r="AI24" s="704"/>
      <c r="AJ24" s="704"/>
      <c r="AK24" s="705"/>
    </row>
    <row r="25" spans="1:37" s="193" customFormat="1" ht="10.5" customHeight="1">
      <c r="A25" s="188"/>
      <c r="B25" s="194" t="s">
        <v>143</v>
      </c>
      <c r="C25" s="195"/>
      <c r="D25" s="195"/>
      <c r="E25" s="195" t="s">
        <v>144</v>
      </c>
      <c r="F25" s="195"/>
      <c r="G25" s="195"/>
      <c r="H25" s="195"/>
      <c r="I25" s="195"/>
      <c r="J25" s="195"/>
      <c r="K25" s="195"/>
      <c r="L25" s="195"/>
      <c r="M25" s="195"/>
      <c r="N25" s="195"/>
      <c r="O25" s="195"/>
      <c r="P25" s="195"/>
      <c r="Q25" s="195"/>
      <c r="R25" s="195"/>
      <c r="S25" s="195"/>
      <c r="T25" s="195"/>
      <c r="U25" s="188"/>
      <c r="V25" s="195"/>
      <c r="W25" s="195"/>
      <c r="X25" s="194" t="s">
        <v>145</v>
      </c>
      <c r="Y25" s="195"/>
      <c r="Z25" s="195"/>
      <c r="AA25" s="195"/>
      <c r="AB25" s="195"/>
      <c r="AC25" s="195"/>
      <c r="AD25" s="195"/>
      <c r="AE25" s="195"/>
      <c r="AF25" s="195"/>
      <c r="AG25" s="202"/>
      <c r="AH25" s="202"/>
      <c r="AI25" s="202"/>
      <c r="AJ25" s="202"/>
      <c r="AK25" s="203"/>
    </row>
    <row r="26" spans="1:37" s="193" customFormat="1" ht="10.5" customHeight="1">
      <c r="A26" s="188"/>
      <c r="B26" s="701">
        <f>AA_026_DATOS_DE_LA_PARTE_ACREDITADA_DOMICILIO_CALLE_NÚMERO</f>
        <v>0</v>
      </c>
      <c r="C26" s="702"/>
      <c r="D26" s="702"/>
      <c r="E26" s="702"/>
      <c r="F26" s="702"/>
      <c r="G26" s="702"/>
      <c r="H26" s="702"/>
      <c r="I26" s="702"/>
      <c r="J26" s="702"/>
      <c r="K26" s="702"/>
      <c r="L26" s="702"/>
      <c r="M26" s="702"/>
      <c r="N26" s="702"/>
      <c r="O26" s="702"/>
      <c r="P26" s="702"/>
      <c r="Q26" s="702"/>
      <c r="R26" s="702"/>
      <c r="S26" s="702"/>
      <c r="T26" s="702"/>
      <c r="U26" s="702"/>
      <c r="V26" s="702"/>
      <c r="W26" s="703"/>
      <c r="X26" s="690">
        <f>AA_027_DATOS_DE_LA_PARTE_ACREDITADA_COLONIA</f>
        <v>0</v>
      </c>
      <c r="Y26" s="704"/>
      <c r="Z26" s="704"/>
      <c r="AA26" s="704"/>
      <c r="AB26" s="704"/>
      <c r="AC26" s="704"/>
      <c r="AD26" s="704"/>
      <c r="AE26" s="704"/>
      <c r="AF26" s="704"/>
      <c r="AG26" s="704"/>
      <c r="AH26" s="704"/>
      <c r="AI26" s="704"/>
      <c r="AJ26" s="704"/>
      <c r="AK26" s="705"/>
    </row>
    <row r="27" spans="1:37" s="193" customFormat="1" ht="10.5" customHeight="1">
      <c r="A27" s="188"/>
      <c r="B27" s="194" t="s">
        <v>146</v>
      </c>
      <c r="C27" s="195"/>
      <c r="D27" s="195"/>
      <c r="E27" s="195"/>
      <c r="F27" s="195"/>
      <c r="G27" s="195"/>
      <c r="H27" s="195"/>
      <c r="I27" s="195"/>
      <c r="J27" s="194" t="s">
        <v>147</v>
      </c>
      <c r="K27" s="195"/>
      <c r="L27" s="195"/>
      <c r="M27" s="188"/>
      <c r="N27" s="188"/>
      <c r="O27" s="188"/>
      <c r="P27" s="195"/>
      <c r="Q27" s="194" t="s">
        <v>152</v>
      </c>
      <c r="R27" s="188"/>
      <c r="S27" s="195"/>
      <c r="T27" s="195"/>
      <c r="U27" s="444"/>
      <c r="V27" s="194" t="s">
        <v>153</v>
      </c>
      <c r="W27" s="195"/>
      <c r="X27" s="202"/>
      <c r="Y27" s="202"/>
      <c r="Z27" s="188"/>
      <c r="AA27" s="201" t="s">
        <v>154</v>
      </c>
      <c r="AB27" s="202"/>
      <c r="AC27" s="203"/>
      <c r="AD27" s="194" t="s">
        <v>155</v>
      </c>
      <c r="AE27" s="195"/>
      <c r="AF27" s="195"/>
      <c r="AG27" s="203"/>
      <c r="AH27" s="202" t="s">
        <v>156</v>
      </c>
      <c r="AI27" s="202"/>
      <c r="AJ27" s="202"/>
      <c r="AK27" s="203"/>
    </row>
    <row r="28" spans="1:37" s="193" customFormat="1" ht="10.5" customHeight="1">
      <c r="A28" s="188"/>
      <c r="B28" s="690">
        <f>AA_028_DATOS_DE_LA_PARTE_ACREDITADA_POBLACION</f>
        <v>0</v>
      </c>
      <c r="C28" s="704"/>
      <c r="D28" s="704"/>
      <c r="E28" s="704"/>
      <c r="F28" s="704"/>
      <c r="G28" s="704"/>
      <c r="H28" s="704"/>
      <c r="I28" s="705"/>
      <c r="J28" s="690">
        <f>AA_029_DATOS_DE_LA_PARTE_ACREDITADA_ESTADO</f>
        <v>0</v>
      </c>
      <c r="K28" s="704"/>
      <c r="L28" s="704"/>
      <c r="M28" s="704"/>
      <c r="N28" s="704"/>
      <c r="O28" s="704"/>
      <c r="P28" s="705"/>
      <c r="Q28" s="690">
        <f>AA_030_DATOS_DE_LA_PARTE_ACREDITADA_NACIONALIDAD</f>
        <v>0</v>
      </c>
      <c r="R28" s="704"/>
      <c r="S28" s="704"/>
      <c r="T28" s="704"/>
      <c r="U28" s="705"/>
      <c r="V28" s="690">
        <f>AA_031_DATOS_DE_LA_PARTE_ACREDITADA_ORIGINARIO</f>
        <v>0</v>
      </c>
      <c r="W28" s="704"/>
      <c r="X28" s="704"/>
      <c r="Y28" s="704"/>
      <c r="Z28" s="705"/>
      <c r="AA28" s="542">
        <f>AA_032_DATOS_DE_LA_PARTE_ACREDITADA_EDAD</f>
        <v>0</v>
      </c>
      <c r="AB28" s="543"/>
      <c r="AC28" s="544"/>
      <c r="AD28" s="690">
        <f>AA_033_DATOS_DE_LA_PARTE_ACREDITADA_ESTADO_CIVIL</f>
        <v>0</v>
      </c>
      <c r="AE28" s="704"/>
      <c r="AF28" s="704"/>
      <c r="AG28" s="705"/>
      <c r="AH28" s="690">
        <f>AA_034_DATOS_DE_LA_PARTE_ACREDITADA_TELEFONO</f>
        <v>0</v>
      </c>
      <c r="AI28" s="691"/>
      <c r="AJ28" s="691"/>
      <c r="AK28" s="692"/>
    </row>
    <row r="29" spans="1:37" s="199" customFormat="1" ht="10.5" customHeight="1">
      <c r="A29" s="198"/>
      <c r="B29" s="182"/>
      <c r="C29" s="18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row>
    <row r="30" spans="1:37" s="199" customFormat="1" ht="9.6">
      <c r="A30" s="198"/>
      <c r="B30" s="200" t="s">
        <v>158</v>
      </c>
      <c r="C30" s="18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row>
    <row r="31" spans="1:37" s="193" customFormat="1" ht="10.5" customHeight="1">
      <c r="A31" s="188"/>
      <c r="B31" s="201" t="s">
        <v>159</v>
      </c>
      <c r="C31" s="202"/>
      <c r="D31" s="202"/>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202"/>
      <c r="AF31" s="202"/>
      <c r="AG31" s="202"/>
      <c r="AH31" s="202"/>
      <c r="AI31" s="202"/>
      <c r="AJ31" s="202"/>
      <c r="AK31" s="203"/>
    </row>
    <row r="32" spans="1:37" s="193" customFormat="1" ht="10.5" customHeight="1">
      <c r="A32" s="188"/>
      <c r="B32" s="539">
        <f>AA_035_DATOS_APODERADOS_ACREDITADO_NOMBRE_APODERADO_DEL_ACREDITADO_UNO</f>
        <v>0</v>
      </c>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c r="AE32" s="540"/>
      <c r="AF32" s="540"/>
      <c r="AG32" s="540"/>
      <c r="AH32" s="540"/>
      <c r="AI32" s="540"/>
      <c r="AJ32" s="540"/>
      <c r="AK32" s="541"/>
    </row>
    <row r="33" spans="1:37" s="193" customFormat="1" ht="10.5" customHeight="1">
      <c r="A33" s="188"/>
      <c r="B33" s="201" t="str">
        <f>B31</f>
        <v>NOMBRE  (Nombre(s) Apellidos Paterno y Materno)</v>
      </c>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202"/>
      <c r="AG33" s="202"/>
      <c r="AH33" s="202"/>
      <c r="AI33" s="202"/>
      <c r="AJ33" s="202"/>
      <c r="AK33" s="203"/>
    </row>
    <row r="34" spans="1:37" s="193" customFormat="1" ht="10.5" customHeight="1">
      <c r="A34" s="188"/>
      <c r="B34" s="539">
        <f>AA_036_DATOS_APODERADOS_ACREDITADO_NOMBRE_APODERADO_DEL_ACREDITADO_DOS</f>
        <v>0</v>
      </c>
      <c r="C34" s="723"/>
      <c r="D34" s="723"/>
      <c r="E34" s="723"/>
      <c r="F34" s="723"/>
      <c r="G34" s="723"/>
      <c r="H34" s="723"/>
      <c r="I34" s="723"/>
      <c r="J34" s="723"/>
      <c r="K34" s="723"/>
      <c r="L34" s="723"/>
      <c r="M34" s="723"/>
      <c r="N34" s="723"/>
      <c r="O34" s="723"/>
      <c r="P34" s="723"/>
      <c r="Q34" s="723"/>
      <c r="R34" s="723"/>
      <c r="S34" s="723"/>
      <c r="T34" s="723"/>
      <c r="U34" s="723"/>
      <c r="V34" s="723"/>
      <c r="W34" s="723"/>
      <c r="X34" s="723"/>
      <c r="Y34" s="723"/>
      <c r="Z34" s="723"/>
      <c r="AA34" s="723"/>
      <c r="AB34" s="723"/>
      <c r="AC34" s="723"/>
      <c r="AD34" s="723"/>
      <c r="AE34" s="723"/>
      <c r="AF34" s="723"/>
      <c r="AG34" s="723"/>
      <c r="AH34" s="723"/>
      <c r="AI34" s="723"/>
      <c r="AJ34" s="723"/>
      <c r="AK34" s="724"/>
    </row>
    <row r="35" spans="1:37" s="193" customFormat="1" ht="10.5" customHeight="1">
      <c r="A35" s="188"/>
      <c r="B35" s="201" t="str">
        <f>B33</f>
        <v>NOMBRE  (Nombre(s) Apellidos Paterno y Materno)</v>
      </c>
      <c r="C35" s="202"/>
      <c r="D35" s="202"/>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202"/>
      <c r="AF35" s="202"/>
      <c r="AG35" s="202"/>
      <c r="AH35" s="202"/>
      <c r="AI35" s="202"/>
      <c r="AJ35" s="202"/>
      <c r="AK35" s="203"/>
    </row>
    <row r="36" spans="1:37" s="193" customFormat="1" ht="10.5" customHeight="1">
      <c r="A36" s="188"/>
      <c r="B36" s="539">
        <f>AA_036a_DATOS_APODERADOS_ACREDITADO_NOMBRE_APODERADO_DEL_ACREDITADO_TRES</f>
        <v>0</v>
      </c>
      <c r="C36" s="723"/>
      <c r="D36" s="723"/>
      <c r="E36" s="723"/>
      <c r="F36" s="723"/>
      <c r="G36" s="723"/>
      <c r="H36" s="723"/>
      <c r="I36" s="723"/>
      <c r="J36" s="723"/>
      <c r="K36" s="723"/>
      <c r="L36" s="723"/>
      <c r="M36" s="723"/>
      <c r="N36" s="723"/>
      <c r="O36" s="723"/>
      <c r="P36" s="723"/>
      <c r="Q36" s="723"/>
      <c r="R36" s="723"/>
      <c r="S36" s="723"/>
      <c r="T36" s="723"/>
      <c r="U36" s="723"/>
      <c r="V36" s="723"/>
      <c r="W36" s="723"/>
      <c r="X36" s="723"/>
      <c r="Y36" s="723"/>
      <c r="Z36" s="723"/>
      <c r="AA36" s="723"/>
      <c r="AB36" s="723"/>
      <c r="AC36" s="723"/>
      <c r="AD36" s="723"/>
      <c r="AE36" s="723"/>
      <c r="AF36" s="723"/>
      <c r="AG36" s="723"/>
      <c r="AH36" s="723"/>
      <c r="AI36" s="723"/>
      <c r="AJ36" s="723"/>
      <c r="AK36" s="724"/>
    </row>
    <row r="37" spans="1:37" s="199" customFormat="1" ht="10.5" customHeight="1">
      <c r="A37" s="198"/>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row>
    <row r="38" spans="1:37" s="199" customFormat="1" ht="9.6">
      <c r="A38" s="198"/>
      <c r="B38" s="200" t="s">
        <v>160</v>
      </c>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row>
    <row r="39" spans="1:37" s="193" customFormat="1" ht="10.5" customHeight="1">
      <c r="A39" s="188"/>
      <c r="B39" s="201" t="s">
        <v>157</v>
      </c>
      <c r="C39" s="202"/>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202"/>
      <c r="AF39" s="202"/>
      <c r="AG39" s="201" t="s">
        <v>151</v>
      </c>
      <c r="AH39" s="202"/>
      <c r="AI39" s="202"/>
      <c r="AJ39" s="202"/>
      <c r="AK39" s="203"/>
    </row>
    <row r="40" spans="1:37" s="193" customFormat="1" ht="10.5" customHeight="1">
      <c r="A40" s="188"/>
      <c r="B40" s="693">
        <f>AA_037_DATOS_FIADORES_NOMBRE_DEL_FIADOR_SOLIDARIO_UNO</f>
        <v>0</v>
      </c>
      <c r="C40" s="699"/>
      <c r="D40" s="699"/>
      <c r="E40" s="699"/>
      <c r="F40" s="699"/>
      <c r="G40" s="699"/>
      <c r="H40" s="699"/>
      <c r="I40" s="699"/>
      <c r="J40" s="699"/>
      <c r="K40" s="699"/>
      <c r="L40" s="699"/>
      <c r="M40" s="699"/>
      <c r="N40" s="699"/>
      <c r="O40" s="699"/>
      <c r="P40" s="699"/>
      <c r="Q40" s="699"/>
      <c r="R40" s="699"/>
      <c r="S40" s="699"/>
      <c r="T40" s="699"/>
      <c r="U40" s="699"/>
      <c r="V40" s="699"/>
      <c r="W40" s="699"/>
      <c r="X40" s="699"/>
      <c r="Y40" s="699"/>
      <c r="Z40" s="699"/>
      <c r="AA40" s="699"/>
      <c r="AB40" s="699"/>
      <c r="AC40" s="699"/>
      <c r="AD40" s="699"/>
      <c r="AE40" s="699"/>
      <c r="AF40" s="700"/>
      <c r="AG40" s="693">
        <f>AA_038_DATOS_FIADORES_RFC</f>
        <v>0</v>
      </c>
      <c r="AH40" s="699"/>
      <c r="AI40" s="699"/>
      <c r="AJ40" s="699"/>
      <c r="AK40" s="700"/>
    </row>
    <row r="41" spans="1:37" s="193" customFormat="1" ht="10.5" customHeight="1">
      <c r="A41" s="188"/>
      <c r="B41" s="201" t="s">
        <v>143</v>
      </c>
      <c r="C41" s="202"/>
      <c r="D41" s="202"/>
      <c r="E41" s="202" t="s">
        <v>144</v>
      </c>
      <c r="F41" s="202"/>
      <c r="G41" s="202"/>
      <c r="H41" s="202"/>
      <c r="I41" s="202"/>
      <c r="J41" s="202"/>
      <c r="K41" s="202"/>
      <c r="L41" s="202"/>
      <c r="M41" s="202"/>
      <c r="N41" s="202"/>
      <c r="O41" s="202"/>
      <c r="P41" s="202"/>
      <c r="Q41" s="202"/>
      <c r="R41" s="202"/>
      <c r="S41" s="202"/>
      <c r="T41" s="202"/>
      <c r="U41" s="201" t="s">
        <v>145</v>
      </c>
      <c r="V41" s="202"/>
      <c r="W41" s="202"/>
      <c r="X41" s="202"/>
      <c r="Y41" s="202"/>
      <c r="Z41" s="202"/>
      <c r="AA41" s="202"/>
      <c r="AB41" s="202"/>
      <c r="AC41" s="202"/>
      <c r="AD41" s="202"/>
      <c r="AE41" s="202"/>
      <c r="AF41" s="202"/>
      <c r="AG41" s="202"/>
      <c r="AH41" s="202"/>
      <c r="AI41" s="202"/>
      <c r="AJ41" s="202"/>
      <c r="AK41" s="203"/>
    </row>
    <row r="42" spans="1:37" s="193" customFormat="1" ht="10.5" customHeight="1">
      <c r="A42" s="188"/>
      <c r="B42" s="693">
        <f>AA_039_DATOS_FIADORES_DOMICILIO_CALLE_NÚMERO</f>
        <v>0</v>
      </c>
      <c r="C42" s="699"/>
      <c r="D42" s="699"/>
      <c r="E42" s="699"/>
      <c r="F42" s="699"/>
      <c r="G42" s="699"/>
      <c r="H42" s="699"/>
      <c r="I42" s="699"/>
      <c r="J42" s="699"/>
      <c r="K42" s="699"/>
      <c r="L42" s="699"/>
      <c r="M42" s="699"/>
      <c r="N42" s="699"/>
      <c r="O42" s="699"/>
      <c r="P42" s="699"/>
      <c r="Q42" s="699"/>
      <c r="R42" s="699"/>
      <c r="S42" s="699"/>
      <c r="T42" s="700"/>
      <c r="U42" s="693">
        <f>AA_040_DATOS_FIADORES_COLONIA</f>
        <v>0</v>
      </c>
      <c r="V42" s="699"/>
      <c r="W42" s="699"/>
      <c r="X42" s="699"/>
      <c r="Y42" s="699"/>
      <c r="Z42" s="699"/>
      <c r="AA42" s="699"/>
      <c r="AB42" s="699"/>
      <c r="AC42" s="699"/>
      <c r="AD42" s="699"/>
      <c r="AE42" s="699"/>
      <c r="AF42" s="699"/>
      <c r="AG42" s="699"/>
      <c r="AH42" s="699"/>
      <c r="AI42" s="699"/>
      <c r="AJ42" s="699"/>
      <c r="AK42" s="700"/>
    </row>
    <row r="43" spans="1:37" s="193" customFormat="1" ht="10.5" customHeight="1">
      <c r="A43" s="188"/>
      <c r="B43" s="201" t="s">
        <v>146</v>
      </c>
      <c r="C43" s="202"/>
      <c r="D43" s="202"/>
      <c r="E43" s="202"/>
      <c r="F43" s="202"/>
      <c r="G43" s="202"/>
      <c r="H43" s="202"/>
      <c r="I43" s="195"/>
      <c r="J43" s="201" t="s">
        <v>147</v>
      </c>
      <c r="K43" s="195"/>
      <c r="L43" s="195"/>
      <c r="P43" s="202"/>
      <c r="Q43" s="194" t="s">
        <v>152</v>
      </c>
      <c r="S43" s="202"/>
      <c r="T43" s="202"/>
      <c r="V43" s="201" t="s">
        <v>153</v>
      </c>
      <c r="W43" s="202"/>
      <c r="X43" s="202"/>
      <c r="Y43" s="202"/>
      <c r="AA43" s="201" t="s">
        <v>154</v>
      </c>
      <c r="AB43" s="202"/>
      <c r="AC43" s="203"/>
      <c r="AD43" s="194" t="s">
        <v>155</v>
      </c>
      <c r="AE43" s="195"/>
      <c r="AF43" s="195"/>
      <c r="AG43" s="203"/>
      <c r="AH43" s="202" t="s">
        <v>156</v>
      </c>
      <c r="AI43" s="202"/>
      <c r="AJ43" s="202"/>
      <c r="AK43" s="203"/>
    </row>
    <row r="44" spans="1:37" s="193" customFormat="1" ht="10.5" customHeight="1">
      <c r="A44" s="188"/>
      <c r="B44" s="693">
        <f>AA_041_DATOS_FIADORES_POBLACIÓN</f>
        <v>0</v>
      </c>
      <c r="C44" s="699"/>
      <c r="D44" s="699"/>
      <c r="E44" s="699"/>
      <c r="F44" s="699"/>
      <c r="G44" s="699"/>
      <c r="H44" s="699"/>
      <c r="I44" s="700"/>
      <c r="J44" s="693">
        <f>AA_042_DATOS_FIADORES_ESTADO</f>
        <v>0</v>
      </c>
      <c r="K44" s="699"/>
      <c r="L44" s="699"/>
      <c r="M44" s="699"/>
      <c r="N44" s="699"/>
      <c r="O44" s="699"/>
      <c r="P44" s="700"/>
      <c r="Q44" s="693">
        <f>AA_043_DATOS_FIADORES_NACIONALIDAD</f>
        <v>0</v>
      </c>
      <c r="R44" s="699"/>
      <c r="S44" s="699"/>
      <c r="T44" s="699"/>
      <c r="U44" s="700"/>
      <c r="V44" s="693">
        <f>AA_044_DATOS_FIADORES_ORIGINARIO</f>
        <v>0</v>
      </c>
      <c r="W44" s="699"/>
      <c r="X44" s="699"/>
      <c r="Y44" s="699"/>
      <c r="Z44" s="700"/>
      <c r="AA44" s="734">
        <f>AA_045_DATOS_FIADORES_EDAD</f>
        <v>0</v>
      </c>
      <c r="AB44" s="735"/>
      <c r="AC44" s="736"/>
      <c r="AD44" s="693">
        <f>AA_046_DATOS_FIADORES_ESTADO_CIVIL</f>
        <v>0</v>
      </c>
      <c r="AE44" s="699"/>
      <c r="AF44" s="699"/>
      <c r="AG44" s="700"/>
      <c r="AH44" s="693">
        <f>AA_047_DATOS_FIADORES_TELEFONO</f>
        <v>0</v>
      </c>
      <c r="AI44" s="694"/>
      <c r="AJ44" s="694"/>
      <c r="AK44" s="695"/>
    </row>
    <row r="45" spans="1:37" s="193" customFormat="1" ht="10.5" customHeight="1">
      <c r="A45" s="188"/>
      <c r="B45" s="201" t="s">
        <v>157</v>
      </c>
      <c r="C45" s="202"/>
      <c r="D45" s="202"/>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202"/>
      <c r="AF45" s="202"/>
      <c r="AG45" s="201" t="s">
        <v>151</v>
      </c>
      <c r="AH45" s="202"/>
      <c r="AI45" s="202"/>
      <c r="AJ45" s="202"/>
      <c r="AK45" s="203"/>
    </row>
    <row r="46" spans="1:37" s="193" customFormat="1" ht="10.5" customHeight="1">
      <c r="A46" s="188"/>
      <c r="B46" s="693">
        <f>AA_048_DATOS_FIADORES_NOMBRE_DEL_FIADOR_SOLIDARIO_DOS</f>
        <v>0</v>
      </c>
      <c r="C46" s="699"/>
      <c r="D46" s="699"/>
      <c r="E46" s="699"/>
      <c r="F46" s="699"/>
      <c r="G46" s="699"/>
      <c r="H46" s="699"/>
      <c r="I46" s="699"/>
      <c r="J46" s="699"/>
      <c r="K46" s="699"/>
      <c r="L46" s="699"/>
      <c r="M46" s="699"/>
      <c r="N46" s="699"/>
      <c r="O46" s="699"/>
      <c r="P46" s="699"/>
      <c r="Q46" s="699"/>
      <c r="R46" s="699"/>
      <c r="S46" s="699"/>
      <c r="T46" s="699"/>
      <c r="U46" s="699"/>
      <c r="V46" s="699"/>
      <c r="W46" s="699"/>
      <c r="X46" s="699"/>
      <c r="Y46" s="699"/>
      <c r="Z46" s="699"/>
      <c r="AA46" s="699"/>
      <c r="AB46" s="699"/>
      <c r="AC46" s="699"/>
      <c r="AD46" s="699"/>
      <c r="AE46" s="699"/>
      <c r="AF46" s="700"/>
      <c r="AG46" s="693">
        <f>AA_049_DATOS_FIADORES_RFC</f>
        <v>0</v>
      </c>
      <c r="AH46" s="699"/>
      <c r="AI46" s="699"/>
      <c r="AJ46" s="699"/>
      <c r="AK46" s="700"/>
    </row>
    <row r="47" spans="1:37" s="193" customFormat="1" ht="10.5" customHeight="1">
      <c r="A47" s="188"/>
      <c r="B47" s="201" t="s">
        <v>143</v>
      </c>
      <c r="C47" s="202"/>
      <c r="D47" s="202"/>
      <c r="E47" s="202" t="s">
        <v>144</v>
      </c>
      <c r="F47" s="202"/>
      <c r="G47" s="202"/>
      <c r="H47" s="202"/>
      <c r="I47" s="202"/>
      <c r="J47" s="202"/>
      <c r="K47" s="202"/>
      <c r="L47" s="202"/>
      <c r="M47" s="202"/>
      <c r="N47" s="202"/>
      <c r="O47" s="202"/>
      <c r="P47" s="202"/>
      <c r="Q47" s="202"/>
      <c r="R47" s="202"/>
      <c r="S47" s="202"/>
      <c r="T47" s="202"/>
      <c r="U47" s="201" t="s">
        <v>145</v>
      </c>
      <c r="V47" s="202"/>
      <c r="W47" s="202"/>
      <c r="X47" s="202"/>
      <c r="Y47" s="202"/>
      <c r="Z47" s="202"/>
      <c r="AA47" s="202"/>
      <c r="AB47" s="202"/>
      <c r="AC47" s="202"/>
      <c r="AD47" s="202"/>
      <c r="AE47" s="202"/>
      <c r="AF47" s="202"/>
      <c r="AG47" s="202"/>
      <c r="AH47" s="202"/>
      <c r="AI47" s="202"/>
      <c r="AJ47" s="202"/>
      <c r="AK47" s="203"/>
    </row>
    <row r="48" spans="1:37" s="193" customFormat="1" ht="10.5" customHeight="1">
      <c r="A48" s="188"/>
      <c r="B48" s="693">
        <f>AA_050_DATOS_FIADORES_DOMICILIO_CALLE_NÚMERO</f>
        <v>0</v>
      </c>
      <c r="C48" s="699"/>
      <c r="D48" s="699"/>
      <c r="E48" s="699"/>
      <c r="F48" s="699"/>
      <c r="G48" s="699"/>
      <c r="H48" s="699"/>
      <c r="I48" s="699"/>
      <c r="J48" s="699"/>
      <c r="K48" s="699"/>
      <c r="L48" s="699"/>
      <c r="M48" s="699"/>
      <c r="N48" s="699"/>
      <c r="O48" s="699"/>
      <c r="P48" s="699"/>
      <c r="Q48" s="699"/>
      <c r="R48" s="699"/>
      <c r="S48" s="699"/>
      <c r="T48" s="700"/>
      <c r="U48" s="693">
        <f>AA_051_DATOS_FIADORES_COLONIA</f>
        <v>0</v>
      </c>
      <c r="V48" s="699"/>
      <c r="W48" s="699"/>
      <c r="X48" s="699"/>
      <c r="Y48" s="699"/>
      <c r="Z48" s="699"/>
      <c r="AA48" s="699"/>
      <c r="AB48" s="699"/>
      <c r="AC48" s="699"/>
      <c r="AD48" s="699"/>
      <c r="AE48" s="699"/>
      <c r="AF48" s="699"/>
      <c r="AG48" s="699"/>
      <c r="AH48" s="699"/>
      <c r="AI48" s="699"/>
      <c r="AJ48" s="699"/>
      <c r="AK48" s="700"/>
    </row>
    <row r="49" spans="1:37" s="193" customFormat="1" ht="10.5" customHeight="1">
      <c r="A49" s="188"/>
      <c r="B49" s="201" t="s">
        <v>146</v>
      </c>
      <c r="C49" s="202"/>
      <c r="D49" s="202"/>
      <c r="E49" s="202"/>
      <c r="F49" s="202"/>
      <c r="G49" s="202"/>
      <c r="H49" s="202"/>
      <c r="I49" s="195"/>
      <c r="J49" s="201" t="s">
        <v>147</v>
      </c>
      <c r="K49" s="195"/>
      <c r="L49" s="195"/>
      <c r="P49" s="202"/>
      <c r="Q49" s="194" t="s">
        <v>152</v>
      </c>
      <c r="S49" s="202"/>
      <c r="T49" s="202"/>
      <c r="V49" s="201" t="s">
        <v>153</v>
      </c>
      <c r="W49" s="202"/>
      <c r="X49" s="202"/>
      <c r="Y49" s="202"/>
      <c r="AA49" s="201" t="s">
        <v>154</v>
      </c>
      <c r="AB49" s="202"/>
      <c r="AC49" s="203"/>
      <c r="AD49" s="194" t="s">
        <v>155</v>
      </c>
      <c r="AE49" s="195"/>
      <c r="AF49" s="195"/>
      <c r="AG49" s="203"/>
      <c r="AH49" s="202" t="s">
        <v>156</v>
      </c>
      <c r="AI49" s="202"/>
      <c r="AJ49" s="202"/>
      <c r="AK49" s="203"/>
    </row>
    <row r="50" spans="1:37" s="193" customFormat="1" ht="10.5" customHeight="1">
      <c r="A50" s="188"/>
      <c r="B50" s="693">
        <f>AA_052_DATOS_FIADORES_POBLACIÓN</f>
        <v>0</v>
      </c>
      <c r="C50" s="699"/>
      <c r="D50" s="699"/>
      <c r="E50" s="699"/>
      <c r="F50" s="699"/>
      <c r="G50" s="699"/>
      <c r="H50" s="699"/>
      <c r="I50" s="700"/>
      <c r="J50" s="693">
        <f>AA_053_DATOS_FIADORES_ESTADO</f>
        <v>0</v>
      </c>
      <c r="K50" s="699"/>
      <c r="L50" s="699"/>
      <c r="M50" s="699"/>
      <c r="N50" s="699"/>
      <c r="O50" s="699"/>
      <c r="P50" s="700"/>
      <c r="Q50" s="693">
        <f>AA_054_DATOS_FIADORES_NACIONALIDAD</f>
        <v>0</v>
      </c>
      <c r="R50" s="699"/>
      <c r="S50" s="699"/>
      <c r="T50" s="699"/>
      <c r="U50" s="700"/>
      <c r="V50" s="693">
        <f>AA_055_DATOS_FIADORES_ORIGINARIO</f>
        <v>0</v>
      </c>
      <c r="W50" s="699"/>
      <c r="X50" s="699"/>
      <c r="Y50" s="699"/>
      <c r="Z50" s="700"/>
      <c r="AA50" s="734">
        <f>AA_056_DATOS_FIADORES_EDAD</f>
        <v>0</v>
      </c>
      <c r="AB50" s="735"/>
      <c r="AC50" s="736"/>
      <c r="AD50" s="693">
        <f>AA_057_DATOS_FIADORES_ESTADO_CIVIL</f>
        <v>0</v>
      </c>
      <c r="AE50" s="699"/>
      <c r="AF50" s="699"/>
      <c r="AG50" s="700"/>
      <c r="AH50" s="693">
        <f>AA_058_DATOS_FIADORES_TELEFONO</f>
        <v>0</v>
      </c>
      <c r="AI50" s="694"/>
      <c r="AJ50" s="694"/>
      <c r="AK50" s="695"/>
    </row>
    <row r="51" spans="1:37" s="193" customFormat="1" ht="10.5" customHeight="1">
      <c r="A51" s="188"/>
      <c r="B51" s="201" t="s">
        <v>157</v>
      </c>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202"/>
      <c r="AF51" s="202"/>
      <c r="AG51" s="201" t="s">
        <v>151</v>
      </c>
      <c r="AH51" s="202"/>
      <c r="AI51" s="202"/>
      <c r="AJ51" s="202"/>
      <c r="AK51" s="203"/>
    </row>
    <row r="52" spans="1:37" s="193" customFormat="1" ht="10.5" customHeight="1">
      <c r="A52" s="188"/>
      <c r="B52" s="693">
        <f>AA_059_DATOS_FIADORES_NOMBRE_DEL_FIADOR_SOLIDARIO_TRES</f>
        <v>0</v>
      </c>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700"/>
      <c r="AG52" s="693">
        <f>AA_060_DATOS_FIADORES_RFC</f>
        <v>0</v>
      </c>
      <c r="AH52" s="699"/>
      <c r="AI52" s="699"/>
      <c r="AJ52" s="699"/>
      <c r="AK52" s="700"/>
    </row>
    <row r="53" spans="1:37" s="193" customFormat="1" ht="10.5" customHeight="1">
      <c r="A53" s="188"/>
      <c r="B53" s="201" t="s">
        <v>143</v>
      </c>
      <c r="C53" s="202"/>
      <c r="D53" s="202"/>
      <c r="E53" s="202" t="s">
        <v>144</v>
      </c>
      <c r="F53" s="202"/>
      <c r="G53" s="202"/>
      <c r="H53" s="202"/>
      <c r="I53" s="202"/>
      <c r="J53" s="202"/>
      <c r="K53" s="202"/>
      <c r="L53" s="202"/>
      <c r="M53" s="202"/>
      <c r="N53" s="202"/>
      <c r="O53" s="202"/>
      <c r="P53" s="202"/>
      <c r="Q53" s="202"/>
      <c r="R53" s="202"/>
      <c r="S53" s="202"/>
      <c r="T53" s="202"/>
      <c r="U53" s="201" t="s">
        <v>145</v>
      </c>
      <c r="V53" s="202"/>
      <c r="W53" s="202"/>
      <c r="X53" s="202"/>
      <c r="Y53" s="202"/>
      <c r="Z53" s="202"/>
      <c r="AA53" s="202"/>
      <c r="AB53" s="202"/>
      <c r="AC53" s="202"/>
      <c r="AD53" s="202"/>
      <c r="AE53" s="202"/>
      <c r="AF53" s="202"/>
      <c r="AG53" s="202"/>
      <c r="AH53" s="202"/>
      <c r="AI53" s="202"/>
      <c r="AJ53" s="202"/>
      <c r="AK53" s="203"/>
    </row>
    <row r="54" spans="1:37" s="193" customFormat="1" ht="10.5" customHeight="1">
      <c r="A54" s="188"/>
      <c r="B54" s="696">
        <f>AA_061_DATOS_FIADORES_DOMICILIO_CALLE_NÚMERO</f>
        <v>0</v>
      </c>
      <c r="C54" s="732"/>
      <c r="D54" s="732"/>
      <c r="E54" s="732"/>
      <c r="F54" s="732"/>
      <c r="G54" s="732"/>
      <c r="H54" s="732"/>
      <c r="I54" s="732"/>
      <c r="J54" s="732"/>
      <c r="K54" s="732"/>
      <c r="L54" s="732"/>
      <c r="M54" s="732"/>
      <c r="N54" s="732"/>
      <c r="O54" s="732"/>
      <c r="P54" s="732"/>
      <c r="Q54" s="732"/>
      <c r="R54" s="732"/>
      <c r="S54" s="732"/>
      <c r="T54" s="733"/>
      <c r="U54" s="696">
        <f>AA_062_DATOS_FIADORES_COLONIA</f>
        <v>0</v>
      </c>
      <c r="V54" s="732"/>
      <c r="W54" s="732"/>
      <c r="X54" s="732"/>
      <c r="Y54" s="732"/>
      <c r="Z54" s="732"/>
      <c r="AA54" s="732"/>
      <c r="AB54" s="732"/>
      <c r="AC54" s="732"/>
      <c r="AD54" s="732"/>
      <c r="AE54" s="732"/>
      <c r="AF54" s="732"/>
      <c r="AG54" s="732"/>
      <c r="AH54" s="732"/>
      <c r="AI54" s="732"/>
      <c r="AJ54" s="732"/>
      <c r="AK54" s="733"/>
    </row>
    <row r="55" spans="1:37" s="193" customFormat="1" ht="10.5" customHeight="1">
      <c r="A55" s="188"/>
      <c r="B55" s="244" t="s">
        <v>146</v>
      </c>
      <c r="C55" s="243"/>
      <c r="D55" s="243"/>
      <c r="E55" s="243"/>
      <c r="F55" s="243"/>
      <c r="G55" s="243"/>
      <c r="H55" s="243"/>
      <c r="I55" s="243"/>
      <c r="J55" s="245" t="s">
        <v>147</v>
      </c>
      <c r="K55" s="243"/>
      <c r="L55" s="243"/>
      <c r="M55" s="246"/>
      <c r="N55" s="246"/>
      <c r="O55" s="246"/>
      <c r="P55" s="243"/>
      <c r="Q55" s="245" t="s">
        <v>152</v>
      </c>
      <c r="R55" s="246"/>
      <c r="S55" s="243"/>
      <c r="T55" s="243"/>
      <c r="U55" s="246"/>
      <c r="V55" s="245" t="s">
        <v>153</v>
      </c>
      <c r="W55" s="243"/>
      <c r="X55" s="243"/>
      <c r="Y55" s="243"/>
      <c r="Z55" s="246"/>
      <c r="AA55" s="245" t="s">
        <v>154</v>
      </c>
      <c r="AB55" s="243"/>
      <c r="AC55" s="247"/>
      <c r="AD55" s="245" t="s">
        <v>155</v>
      </c>
      <c r="AE55" s="243"/>
      <c r="AF55" s="243"/>
      <c r="AG55" s="247"/>
      <c r="AH55" s="243" t="s">
        <v>156</v>
      </c>
      <c r="AI55" s="243"/>
      <c r="AJ55" s="243"/>
      <c r="AK55" s="248"/>
    </row>
    <row r="56" spans="1:37" s="193" customFormat="1" ht="10.5" customHeight="1">
      <c r="A56" s="188"/>
      <c r="B56" s="731">
        <f>AA_063_DATOS_FIADORES_POBLACIÓN</f>
        <v>0</v>
      </c>
      <c r="C56" s="732"/>
      <c r="D56" s="732"/>
      <c r="E56" s="732"/>
      <c r="F56" s="732"/>
      <c r="G56" s="732"/>
      <c r="H56" s="732"/>
      <c r="I56" s="733"/>
      <c r="J56" s="696">
        <f>AA_064_DATOS_FIADORES_ESTADO</f>
        <v>0</v>
      </c>
      <c r="K56" s="732"/>
      <c r="L56" s="732"/>
      <c r="M56" s="732"/>
      <c r="N56" s="732"/>
      <c r="O56" s="732"/>
      <c r="P56" s="733"/>
      <c r="Q56" s="696">
        <f>AA_065_DATOS_FIADORES_NACIONALIDAD</f>
        <v>0</v>
      </c>
      <c r="R56" s="732"/>
      <c r="S56" s="732"/>
      <c r="T56" s="732"/>
      <c r="U56" s="733"/>
      <c r="V56" s="696">
        <f>AA_066_DATOS_FIADORES_ORIGINARIO</f>
        <v>0</v>
      </c>
      <c r="W56" s="732"/>
      <c r="X56" s="732"/>
      <c r="Y56" s="732"/>
      <c r="Z56" s="733"/>
      <c r="AA56" s="737">
        <f>AA_067_DATOS_FIADORES_EDAD</f>
        <v>0</v>
      </c>
      <c r="AB56" s="738"/>
      <c r="AC56" s="739"/>
      <c r="AD56" s="696">
        <f>AA_068_DATOS_FIADORES_ESTADO_CIVIL</f>
        <v>0</v>
      </c>
      <c r="AE56" s="732"/>
      <c r="AF56" s="732"/>
      <c r="AG56" s="733"/>
      <c r="AH56" s="696">
        <f>AA_069_DATOS_FIADORES_TELEFONO</f>
        <v>0</v>
      </c>
      <c r="AI56" s="697"/>
      <c r="AJ56" s="697"/>
      <c r="AK56" s="698"/>
    </row>
    <row r="57" spans="1:37" s="199" customFormat="1" ht="10.5" customHeight="1">
      <c r="B57" s="182"/>
      <c r="C57" s="182"/>
      <c r="D57" s="182"/>
      <c r="E57" s="182"/>
      <c r="F57" s="182"/>
      <c r="G57" s="182"/>
      <c r="H57" s="182"/>
      <c r="I57" s="182"/>
      <c r="J57" s="182"/>
      <c r="K57" s="182"/>
      <c r="L57" s="182"/>
      <c r="M57" s="182"/>
      <c r="N57" s="182"/>
      <c r="O57" s="182"/>
      <c r="P57" s="182"/>
      <c r="Q57" s="182"/>
      <c r="R57" s="182"/>
      <c r="S57" s="182"/>
      <c r="T57" s="182"/>
      <c r="U57" s="182"/>
      <c r="V57" s="182"/>
      <c r="W57" s="182"/>
      <c r="X57" s="182"/>
      <c r="Y57" s="182"/>
      <c r="Z57" s="182"/>
      <c r="AA57" s="182"/>
      <c r="AB57" s="182"/>
      <c r="AC57" s="182"/>
      <c r="AD57" s="182"/>
      <c r="AE57" s="182"/>
      <c r="AF57" s="182"/>
      <c r="AG57" s="182"/>
      <c r="AH57" s="182"/>
      <c r="AI57" s="182"/>
      <c r="AJ57" s="182"/>
      <c r="AK57" s="182"/>
    </row>
    <row r="58" spans="1:37" s="199" customFormat="1" ht="9.6">
      <c r="B58" s="200" t="s">
        <v>161</v>
      </c>
      <c r="C58" s="182"/>
      <c r="D58" s="182"/>
      <c r="E58" s="182"/>
      <c r="F58" s="182"/>
      <c r="G58" s="182"/>
      <c r="H58" s="182"/>
      <c r="I58" s="182"/>
      <c r="J58" s="182"/>
      <c r="K58" s="182"/>
      <c r="L58" s="182"/>
      <c r="M58" s="182"/>
      <c r="N58" s="182"/>
      <c r="O58" s="182"/>
      <c r="P58" s="182"/>
      <c r="Q58" s="182"/>
      <c r="R58" s="182"/>
      <c r="S58" s="182"/>
      <c r="T58" s="182"/>
      <c r="U58" s="182"/>
      <c r="V58" s="182"/>
      <c r="W58" s="182"/>
      <c r="X58" s="182"/>
      <c r="Y58" s="182"/>
      <c r="Z58" s="182"/>
      <c r="AA58" s="182"/>
      <c r="AB58" s="182"/>
      <c r="AC58" s="182"/>
      <c r="AD58" s="182"/>
      <c r="AE58" s="182"/>
      <c r="AF58" s="182"/>
      <c r="AG58" s="182"/>
      <c r="AH58" s="182"/>
      <c r="AI58" s="182"/>
      <c r="AJ58" s="182"/>
      <c r="AK58" s="182"/>
    </row>
    <row r="59" spans="1:37" s="193" customFormat="1" ht="10.5" customHeight="1">
      <c r="A59" s="188"/>
      <c r="B59" s="201" t="str">
        <f>B31</f>
        <v>NOMBRE  (Nombre(s) Apellidos Paterno y Materno)</v>
      </c>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202"/>
      <c r="AF59" s="202"/>
      <c r="AG59" s="202"/>
      <c r="AH59" s="202"/>
      <c r="AI59" s="202"/>
      <c r="AJ59" s="202"/>
      <c r="AK59" s="203"/>
    </row>
    <row r="60" spans="1:37" s="193" customFormat="1" ht="10.5" customHeight="1">
      <c r="A60" s="188"/>
      <c r="B60" s="539">
        <f>AA_070_DATOS_APODERADOS_FIADOR_NOMBRE_APODERADO_DEL_FIADOR_SOLIDARIO_UNO</f>
        <v>0</v>
      </c>
      <c r="C60" s="540"/>
      <c r="D60" s="540"/>
      <c r="E60" s="540"/>
      <c r="F60" s="540"/>
      <c r="G60" s="540"/>
      <c r="H60" s="540"/>
      <c r="I60" s="540"/>
      <c r="J60" s="540"/>
      <c r="K60" s="540"/>
      <c r="L60" s="540"/>
      <c r="M60" s="540"/>
      <c r="N60" s="540"/>
      <c r="O60" s="540"/>
      <c r="P60" s="540"/>
      <c r="Q60" s="540"/>
      <c r="R60" s="540"/>
      <c r="S60" s="540"/>
      <c r="T60" s="540"/>
      <c r="U60" s="540"/>
      <c r="V60" s="540"/>
      <c r="W60" s="540"/>
      <c r="X60" s="540"/>
      <c r="Y60" s="540"/>
      <c r="Z60" s="540"/>
      <c r="AA60" s="540"/>
      <c r="AB60" s="540"/>
      <c r="AC60" s="540"/>
      <c r="AD60" s="540"/>
      <c r="AE60" s="540"/>
      <c r="AF60" s="540"/>
      <c r="AG60" s="540"/>
      <c r="AH60" s="540"/>
      <c r="AI60" s="540"/>
      <c r="AJ60" s="540"/>
      <c r="AK60" s="541"/>
    </row>
    <row r="61" spans="1:37" s="193" customFormat="1" ht="10.5" customHeight="1">
      <c r="A61" s="188"/>
      <c r="B61" s="201" t="str">
        <f>B33</f>
        <v>NOMBRE  (Nombre(s) Apellidos Paterno y Materno)</v>
      </c>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3"/>
    </row>
    <row r="62" spans="1:37" s="193" customFormat="1" ht="10.5" customHeight="1">
      <c r="A62" s="188"/>
      <c r="B62" s="539">
        <f>AA_071_DATOS_APODERADOS_FIADOR_NOMBRE_APODERADO_DEL_FIADOR_SOLIDARIO_DOS</f>
        <v>0</v>
      </c>
      <c r="C62" s="723"/>
      <c r="D62" s="723"/>
      <c r="E62" s="723"/>
      <c r="F62" s="723"/>
      <c r="G62" s="723"/>
      <c r="H62" s="723"/>
      <c r="I62" s="723"/>
      <c r="J62" s="723"/>
      <c r="K62" s="723"/>
      <c r="L62" s="723"/>
      <c r="M62" s="723"/>
      <c r="N62" s="723"/>
      <c r="O62" s="723"/>
      <c r="P62" s="723"/>
      <c r="Q62" s="723"/>
      <c r="R62" s="723"/>
      <c r="S62" s="723"/>
      <c r="T62" s="723"/>
      <c r="U62" s="723"/>
      <c r="V62" s="723"/>
      <c r="W62" s="723"/>
      <c r="X62" s="723"/>
      <c r="Y62" s="723"/>
      <c r="Z62" s="723"/>
      <c r="AA62" s="723"/>
      <c r="AB62" s="723"/>
      <c r="AC62" s="723"/>
      <c r="AD62" s="723"/>
      <c r="AE62" s="723"/>
      <c r="AF62" s="723"/>
      <c r="AG62" s="723"/>
      <c r="AH62" s="723"/>
      <c r="AI62" s="723"/>
      <c r="AJ62" s="723"/>
      <c r="AK62" s="724"/>
    </row>
    <row r="63" spans="1:37" s="193" customFormat="1" ht="10.5" customHeight="1">
      <c r="A63" s="188"/>
      <c r="B63" s="201" t="str">
        <f>B59</f>
        <v>NOMBRE  (Nombre(s) Apellidos Paterno y Materno)</v>
      </c>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3"/>
    </row>
    <row r="64" spans="1:37" s="193" customFormat="1" ht="10.5" customHeight="1">
      <c r="A64" s="188"/>
      <c r="B64" s="539">
        <f>AA_072_DATOS_APODERADOS_FIADOR_NOMBRE_APODERADO_DEL_FIADOR_SOLIDARIO_TRES</f>
        <v>0</v>
      </c>
      <c r="C64" s="723"/>
      <c r="D64" s="723"/>
      <c r="E64" s="723"/>
      <c r="F64" s="723"/>
      <c r="G64" s="723"/>
      <c r="H64" s="723"/>
      <c r="I64" s="723"/>
      <c r="J64" s="723"/>
      <c r="K64" s="723"/>
      <c r="L64" s="723"/>
      <c r="M64" s="723"/>
      <c r="N64" s="723"/>
      <c r="O64" s="723"/>
      <c r="P64" s="723"/>
      <c r="Q64" s="723"/>
      <c r="R64" s="723"/>
      <c r="S64" s="723"/>
      <c r="T64" s="723"/>
      <c r="U64" s="723"/>
      <c r="V64" s="723"/>
      <c r="W64" s="723"/>
      <c r="X64" s="723"/>
      <c r="Y64" s="723"/>
      <c r="Z64" s="723"/>
      <c r="AA64" s="723"/>
      <c r="AB64" s="723"/>
      <c r="AC64" s="723"/>
      <c r="AD64" s="723"/>
      <c r="AE64" s="723"/>
      <c r="AF64" s="723"/>
      <c r="AG64" s="723"/>
      <c r="AH64" s="723"/>
      <c r="AI64" s="723"/>
      <c r="AJ64" s="723"/>
      <c r="AK64" s="724"/>
    </row>
    <row r="65" spans="2:38" s="199" customFormat="1" ht="10.5" customHeight="1">
      <c r="B65" s="182"/>
      <c r="C65" s="182"/>
      <c r="D65" s="182"/>
      <c r="E65" s="182"/>
      <c r="F65" s="182"/>
      <c r="G65" s="182"/>
      <c r="H65" s="182"/>
      <c r="I65" s="182"/>
      <c r="J65" s="182"/>
      <c r="K65" s="182"/>
      <c r="L65" s="182"/>
      <c r="M65" s="182"/>
      <c r="N65" s="182"/>
      <c r="O65" s="182"/>
      <c r="P65" s="182"/>
      <c r="Q65" s="182"/>
      <c r="R65" s="182"/>
      <c r="S65" s="182"/>
      <c r="T65" s="182"/>
      <c r="U65" s="182"/>
      <c r="V65" s="182"/>
      <c r="W65" s="182"/>
      <c r="X65" s="182"/>
      <c r="Y65" s="182"/>
      <c r="Z65" s="182"/>
      <c r="AA65" s="182"/>
      <c r="AB65" s="182"/>
      <c r="AC65" s="182"/>
      <c r="AD65" s="182"/>
      <c r="AE65" s="182"/>
      <c r="AF65" s="182"/>
      <c r="AG65" s="182"/>
      <c r="AH65" s="182"/>
      <c r="AI65" s="182"/>
      <c r="AJ65" s="182"/>
      <c r="AK65" s="182"/>
    </row>
    <row r="66" spans="2:38" s="199" customFormat="1" ht="9.6">
      <c r="B66" s="200" t="s">
        <v>162</v>
      </c>
      <c r="C66" s="182"/>
      <c r="D66" s="182"/>
      <c r="E66" s="182"/>
      <c r="F66" s="182"/>
      <c r="G66" s="182"/>
      <c r="H66" s="182"/>
      <c r="I66" s="182"/>
      <c r="J66" s="182"/>
      <c r="K66" s="182"/>
      <c r="L66" s="182"/>
      <c r="M66" s="182"/>
      <c r="N66" s="182"/>
      <c r="O66" s="182"/>
      <c r="P66" s="182"/>
      <c r="Q66" s="182"/>
      <c r="R66" s="182"/>
      <c r="S66" s="182"/>
      <c r="T66" s="182"/>
      <c r="U66" s="182"/>
      <c r="V66" s="182"/>
      <c r="W66" s="182"/>
      <c r="X66" s="182"/>
      <c r="Y66" s="182"/>
      <c r="Z66" s="182"/>
      <c r="AA66" s="182"/>
      <c r="AB66" s="182"/>
      <c r="AC66" s="182"/>
      <c r="AD66" s="182"/>
      <c r="AE66" s="182"/>
      <c r="AF66" s="182"/>
      <c r="AG66" s="182"/>
      <c r="AH66" s="182"/>
      <c r="AI66" s="182"/>
      <c r="AJ66" s="182"/>
      <c r="AK66" s="182"/>
    </row>
    <row r="67" spans="2:38" s="193" customFormat="1" ht="10.5" customHeight="1">
      <c r="B67" s="201" t="s">
        <v>163</v>
      </c>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202"/>
      <c r="AF67" s="202"/>
      <c r="AG67" s="202"/>
      <c r="AH67" s="202"/>
      <c r="AI67" s="202"/>
      <c r="AJ67" s="202"/>
      <c r="AK67" s="214"/>
    </row>
    <row r="68" spans="2:38" s="216" customFormat="1" ht="10.5" customHeight="1">
      <c r="B68" s="679">
        <f>AA_073_CARACTERISTICAS_CREDITO_IMPORTE_NÚMERO_LETRA</f>
        <v>1000000</v>
      </c>
      <c r="C68" s="680"/>
      <c r="D68" s="680"/>
      <c r="E68" s="680"/>
      <c r="F68" s="680"/>
      <c r="G68" s="680"/>
      <c r="H68" s="680"/>
      <c r="I68" s="680"/>
      <c r="J68" s="680"/>
      <c r="K68" s="680"/>
      <c r="L68" s="680"/>
      <c r="M68" s="681" t="str">
        <f>AA_106_CARACTERISTICAS_CREDITO_IMPORTE_NÚMERO_LETRA</f>
        <v>(UN MILLON DE PESOS 00/100 M.N.)</v>
      </c>
      <c r="N68" s="681"/>
      <c r="O68" s="681"/>
      <c r="P68" s="681"/>
      <c r="Q68" s="681"/>
      <c r="R68" s="681"/>
      <c r="S68" s="681"/>
      <c r="T68" s="681"/>
      <c r="U68" s="681"/>
      <c r="V68" s="681"/>
      <c r="W68" s="681"/>
      <c r="X68" s="681"/>
      <c r="Y68" s="681"/>
      <c r="Z68" s="681"/>
      <c r="AA68" s="681"/>
      <c r="AB68" s="681"/>
      <c r="AC68" s="681"/>
      <c r="AD68" s="681"/>
      <c r="AE68" s="681"/>
      <c r="AF68" s="681"/>
      <c r="AG68" s="681"/>
      <c r="AH68" s="681"/>
      <c r="AI68" s="681"/>
      <c r="AJ68" s="681"/>
      <c r="AK68" s="682"/>
    </row>
    <row r="69" spans="2:38" s="193" customFormat="1" ht="10.5" customHeight="1">
      <c r="B69" s="755" t="s">
        <v>164</v>
      </c>
      <c r="C69" s="687"/>
      <c r="D69" s="687"/>
      <c r="E69" s="687"/>
      <c r="F69" s="688"/>
      <c r="G69" s="755" t="s">
        <v>165</v>
      </c>
      <c r="H69" s="687"/>
      <c r="I69" s="687"/>
      <c r="J69" s="687"/>
      <c r="K69" s="687"/>
      <c r="L69" s="688"/>
      <c r="M69" s="756" t="s">
        <v>166</v>
      </c>
      <c r="N69" s="757"/>
      <c r="O69" s="757"/>
      <c r="P69" s="757"/>
      <c r="Q69" s="758"/>
      <c r="R69" s="755" t="s">
        <v>288</v>
      </c>
      <c r="S69" s="687"/>
      <c r="T69" s="687"/>
      <c r="U69" s="687"/>
      <c r="V69" s="683" t="s">
        <v>289</v>
      </c>
      <c r="W69" s="684"/>
      <c r="X69" s="684"/>
      <c r="Y69" s="685"/>
      <c r="Z69" s="683" t="s">
        <v>290</v>
      </c>
      <c r="AA69" s="684"/>
      <c r="AB69" s="684"/>
      <c r="AC69" s="684"/>
      <c r="AD69" s="685"/>
      <c r="AE69" s="686" t="s">
        <v>291</v>
      </c>
      <c r="AF69" s="687"/>
      <c r="AG69" s="687"/>
      <c r="AH69" s="688"/>
      <c r="AI69" s="755" t="s">
        <v>168</v>
      </c>
      <c r="AJ69" s="687"/>
      <c r="AK69" s="688"/>
    </row>
    <row r="70" spans="2:38" s="193" customFormat="1" ht="10.5" customHeight="1">
      <c r="B70" s="217"/>
      <c r="C70" s="195"/>
      <c r="D70" s="195"/>
      <c r="E70" s="195"/>
      <c r="F70" s="195"/>
      <c r="G70" s="748" t="s">
        <v>169</v>
      </c>
      <c r="H70" s="749"/>
      <c r="I70" s="749"/>
      <c r="J70" s="749"/>
      <c r="K70" s="749"/>
      <c r="L70" s="750"/>
      <c r="M70" s="215"/>
      <c r="N70" s="215"/>
      <c r="O70" s="215"/>
      <c r="P70" s="215"/>
      <c r="Q70" s="215"/>
      <c r="R70" s="748" t="s">
        <v>292</v>
      </c>
      <c r="S70" s="749"/>
      <c r="T70" s="749"/>
      <c r="U70" s="749"/>
      <c r="V70" s="751" t="s">
        <v>293</v>
      </c>
      <c r="W70" s="752"/>
      <c r="X70" s="752"/>
      <c r="Y70" s="753"/>
      <c r="Z70" s="751" t="s">
        <v>294</v>
      </c>
      <c r="AA70" s="752"/>
      <c r="AB70" s="752"/>
      <c r="AC70" s="752"/>
      <c r="AD70" s="753"/>
      <c r="AE70" s="754" t="s">
        <v>295</v>
      </c>
      <c r="AF70" s="749"/>
      <c r="AG70" s="749"/>
      <c r="AH70" s="750"/>
      <c r="AI70" s="250"/>
      <c r="AK70" s="251"/>
    </row>
    <row r="71" spans="2:38" s="193" customFormat="1" ht="10.5" customHeight="1">
      <c r="B71" s="740">
        <f>AA_074_CARACTERISTICAS_CREDITO_PLAZO_DEL_CRÉDITO_MESES</f>
        <v>60</v>
      </c>
      <c r="C71" s="741"/>
      <c r="D71" s="741"/>
      <c r="E71" s="252" t="s">
        <v>170</v>
      </c>
      <c r="F71" s="212"/>
      <c r="G71" s="742">
        <f>AA_075_CARACTERISTICAS_CREDITO_FECHA_DE_VENCIMIENTO</f>
        <v>42614</v>
      </c>
      <c r="H71" s="713"/>
      <c r="I71" s="713"/>
      <c r="J71" s="713"/>
      <c r="K71" s="713"/>
      <c r="L71" s="714"/>
      <c r="M71" s="712" t="str">
        <f>AA_076_CARACTERISTICAS_CREDITO_CUENTA_DE_CHEQUES</f>
        <v>161-25351-5</v>
      </c>
      <c r="N71" s="713"/>
      <c r="O71" s="713"/>
      <c r="P71" s="713"/>
      <c r="Q71" s="714"/>
      <c r="R71" s="759">
        <f>IF(AA_077_CARACTERISTICAS_CREDITO_COMISIÓN_POR_APERTURA=0,"0",AA_077_CARACTERISTICAS_CREDITO_COMISIÓN_POR_APERTURA)</f>
        <v>0.02</v>
      </c>
      <c r="S71" s="746"/>
      <c r="T71" s="746"/>
      <c r="U71" s="760"/>
      <c r="V71" s="743" t="str">
        <f>IF(Combos!$C$22=1,"",IF(AA_080_CARACTERISTICAS_CREDITO_DIFERENCIAL_TASA_VARIABLE_TIIE=0,"0",AA_080_CARACTERISTICAS_CREDITO_DIFERENCIAL_TASA_VARIABLE_TIIE))</f>
        <v/>
      </c>
      <c r="W71" s="738"/>
      <c r="X71" s="738"/>
      <c r="Y71" s="744"/>
      <c r="Z71" s="715" t="s">
        <v>296</v>
      </c>
      <c r="AA71" s="716"/>
      <c r="AB71" s="716"/>
      <c r="AC71" s="716"/>
      <c r="AD71" s="717"/>
      <c r="AE71" s="745">
        <f>IF(AA_084_CARACTERISTICAS_CREDITO_PORCENTAJE_DE_COMISIÓN_POR_PAGOS_ANTICIPADOS=0,"0.00%",AA_084_CARACTERISTICAS_CREDITO_PORCENTAJE_DE_COMISIÓN_POR_PAGOS_ANTICIPADOS)</f>
        <v>0.1</v>
      </c>
      <c r="AF71" s="746"/>
      <c r="AG71" s="746"/>
      <c r="AH71" s="747"/>
      <c r="AI71" s="484">
        <f>AA_078_CARACTERISTICAS_CREDITO_CAT_SIN_IVA</f>
        <v>0.17247098775006298</v>
      </c>
      <c r="AJ71" s="623" t="s">
        <v>96</v>
      </c>
      <c r="AK71" s="629"/>
    </row>
    <row r="72" spans="2:38" s="199" customFormat="1" ht="10.5" customHeight="1">
      <c r="B72" s="182"/>
      <c r="C72" s="182"/>
      <c r="D72" s="182"/>
      <c r="E72" s="182"/>
      <c r="F72" s="182"/>
      <c r="G72" s="182"/>
      <c r="H72" s="182"/>
      <c r="I72" s="182"/>
      <c r="J72" s="182"/>
      <c r="K72" s="182"/>
      <c r="L72" s="182"/>
      <c r="M72" s="182"/>
      <c r="N72" s="182"/>
      <c r="O72" s="182"/>
      <c r="P72" s="182"/>
      <c r="Q72" s="182"/>
      <c r="R72" s="182"/>
      <c r="S72" s="182"/>
      <c r="T72" s="182"/>
      <c r="U72" s="182"/>
      <c r="V72" s="182"/>
      <c r="W72" s="182"/>
      <c r="X72" s="182"/>
      <c r="Y72" s="182"/>
      <c r="Z72" s="182"/>
      <c r="AA72" s="182"/>
      <c r="AB72" s="182"/>
      <c r="AI72" s="182"/>
      <c r="AJ72" s="182"/>
      <c r="AK72" s="182"/>
    </row>
    <row r="73" spans="2:38" s="199" customFormat="1" ht="9.6">
      <c r="B73" s="200" t="s">
        <v>177</v>
      </c>
      <c r="C73" s="182"/>
      <c r="D73" s="182"/>
      <c r="E73" s="182"/>
      <c r="F73" s="182"/>
      <c r="G73" s="182"/>
      <c r="H73" s="182"/>
      <c r="I73" s="182"/>
      <c r="J73" s="182"/>
      <c r="K73" s="182"/>
      <c r="L73" s="182"/>
      <c r="M73" s="182"/>
      <c r="N73" s="182"/>
      <c r="O73" s="182"/>
      <c r="P73" s="182"/>
      <c r="Q73" s="182"/>
      <c r="R73" s="182"/>
      <c r="S73" s="182"/>
      <c r="T73" s="182"/>
      <c r="U73" s="182"/>
      <c r="V73" s="182"/>
      <c r="W73" s="182"/>
      <c r="X73" s="182"/>
      <c r="Y73" s="182"/>
      <c r="Z73" s="182"/>
      <c r="AA73" s="182"/>
      <c r="AB73" s="182"/>
      <c r="AC73" s="182"/>
      <c r="AD73" s="182"/>
      <c r="AE73" s="182"/>
      <c r="AF73" s="182"/>
      <c r="AG73" s="182"/>
      <c r="AH73" s="182"/>
      <c r="AI73" s="182"/>
      <c r="AJ73" s="182"/>
      <c r="AK73" s="182"/>
    </row>
    <row r="74" spans="2:38" s="199" customFormat="1" ht="15.75" customHeight="1">
      <c r="B74" s="674" t="s">
        <v>297</v>
      </c>
      <c r="C74" s="675"/>
      <c r="D74" s="675"/>
      <c r="E74" s="675"/>
      <c r="F74" s="675"/>
      <c r="G74" s="675"/>
      <c r="H74" s="675"/>
      <c r="I74" s="675"/>
      <c r="J74" s="675"/>
      <c r="K74" s="675"/>
      <c r="L74" s="675"/>
      <c r="M74" s="675"/>
      <c r="N74" s="675"/>
      <c r="O74" s="675"/>
      <c r="P74" s="675"/>
      <c r="Q74" s="675"/>
      <c r="R74" s="675"/>
      <c r="S74" s="675"/>
      <c r="T74" s="675"/>
      <c r="U74" s="675"/>
      <c r="V74" s="675"/>
      <c r="W74" s="675"/>
      <c r="X74" s="675"/>
      <c r="Y74" s="675"/>
      <c r="Z74" s="675"/>
      <c r="AA74" s="675"/>
      <c r="AB74" s="675"/>
      <c r="AC74" s="675"/>
      <c r="AD74" s="675"/>
      <c r="AE74" s="675"/>
      <c r="AF74" s="675"/>
      <c r="AG74" s="675"/>
      <c r="AH74" s="675"/>
      <c r="AI74" s="675"/>
      <c r="AJ74" s="675"/>
      <c r="AK74" s="675"/>
    </row>
    <row r="75" spans="2:38" s="199" customFormat="1" ht="9.6">
      <c r="B75" s="675"/>
      <c r="C75" s="675"/>
      <c r="D75" s="675"/>
      <c r="E75" s="675"/>
      <c r="F75" s="675"/>
      <c r="G75" s="675"/>
      <c r="H75" s="675"/>
      <c r="I75" s="675"/>
      <c r="J75" s="675"/>
      <c r="K75" s="675"/>
      <c r="L75" s="675"/>
      <c r="M75" s="675"/>
      <c r="N75" s="675"/>
      <c r="O75" s="675"/>
      <c r="P75" s="675"/>
      <c r="Q75" s="675"/>
      <c r="R75" s="675"/>
      <c r="S75" s="675"/>
      <c r="T75" s="675"/>
      <c r="U75" s="675"/>
      <c r="V75" s="675"/>
      <c r="W75" s="675"/>
      <c r="X75" s="675"/>
      <c r="Y75" s="675"/>
      <c r="Z75" s="675"/>
      <c r="AA75" s="675"/>
      <c r="AB75" s="675"/>
      <c r="AC75" s="675"/>
      <c r="AD75" s="675"/>
      <c r="AE75" s="675"/>
      <c r="AF75" s="675"/>
      <c r="AG75" s="675"/>
      <c r="AH75" s="675"/>
      <c r="AI75" s="675"/>
      <c r="AJ75" s="675"/>
      <c r="AK75" s="675"/>
    </row>
    <row r="76" spans="2:38" s="193" customFormat="1" ht="10.5" customHeight="1">
      <c r="B76" s="718" t="s">
        <v>179</v>
      </c>
      <c r="C76" s="719"/>
      <c r="D76" s="719"/>
      <c r="E76" s="719"/>
      <c r="F76" s="719"/>
      <c r="G76" s="719"/>
      <c r="H76" s="719"/>
      <c r="I76" s="719"/>
      <c r="J76" s="719"/>
      <c r="K76" s="719"/>
      <c r="L76" s="719"/>
      <c r="M76" s="719"/>
      <c r="N76" s="719"/>
      <c r="O76" s="719"/>
      <c r="P76" s="719"/>
      <c r="Q76" s="720" t="s">
        <v>180</v>
      </c>
      <c r="R76" s="721"/>
      <c r="S76" s="721"/>
      <c r="T76" s="721"/>
      <c r="U76" s="721"/>
      <c r="V76" s="722"/>
      <c r="W76" s="720" t="s">
        <v>180</v>
      </c>
      <c r="X76" s="721"/>
      <c r="Y76" s="721"/>
      <c r="Z76" s="721"/>
      <c r="AA76" s="721"/>
      <c r="AB76" s="722"/>
      <c r="AC76" s="720" t="s">
        <v>181</v>
      </c>
      <c r="AD76" s="721"/>
      <c r="AE76" s="722"/>
      <c r="AF76" s="720" t="s">
        <v>181</v>
      </c>
      <c r="AG76" s="721"/>
      <c r="AH76" s="722"/>
      <c r="AI76" s="721" t="s">
        <v>181</v>
      </c>
      <c r="AJ76" s="721"/>
      <c r="AK76" s="722"/>
      <c r="AL76" s="215"/>
    </row>
    <row r="77" spans="2:38" s="193" customFormat="1" ht="12.75" customHeight="1">
      <c r="B77" s="706">
        <f>AA_089_DATOS_APODERADOS_BANCO_NOMBRE_APODERADO_DEL_BANCO_UNO</f>
        <v>0</v>
      </c>
      <c r="C77" s="707"/>
      <c r="D77" s="707"/>
      <c r="E77" s="707"/>
      <c r="F77" s="707"/>
      <c r="G77" s="707"/>
      <c r="H77" s="707"/>
      <c r="I77" s="707"/>
      <c r="J77" s="707"/>
      <c r="K77" s="707"/>
      <c r="L77" s="707"/>
      <c r="M77" s="707"/>
      <c r="N77" s="707"/>
      <c r="O77" s="707"/>
      <c r="P77" s="708"/>
      <c r="Q77" s="253"/>
      <c r="R77" s="188"/>
      <c r="S77" s="188"/>
      <c r="T77" s="188"/>
      <c r="U77" s="188"/>
      <c r="V77" s="254"/>
      <c r="W77" s="253"/>
      <c r="X77" s="188"/>
      <c r="Y77" s="188"/>
      <c r="Z77" s="188"/>
      <c r="AA77" s="188"/>
      <c r="AB77" s="254"/>
      <c r="AC77" s="253"/>
      <c r="AD77" s="188"/>
      <c r="AE77" s="254"/>
      <c r="AF77" s="253"/>
      <c r="AG77" s="188"/>
      <c r="AH77" s="254"/>
      <c r="AI77" s="188"/>
      <c r="AJ77" s="188"/>
      <c r="AK77" s="254"/>
      <c r="AL77" s="218"/>
    </row>
    <row r="78" spans="2:38" s="193" customFormat="1" ht="12.75" customHeight="1">
      <c r="B78" s="709"/>
      <c r="C78" s="710"/>
      <c r="D78" s="710"/>
      <c r="E78" s="710"/>
      <c r="F78" s="710"/>
      <c r="G78" s="710"/>
      <c r="H78" s="710"/>
      <c r="I78" s="710"/>
      <c r="J78" s="710"/>
      <c r="K78" s="710"/>
      <c r="L78" s="710"/>
      <c r="M78" s="710"/>
      <c r="N78" s="710"/>
      <c r="O78" s="710"/>
      <c r="P78" s="711"/>
      <c r="Q78" s="253"/>
      <c r="R78" s="188"/>
      <c r="S78" s="188"/>
      <c r="T78" s="188"/>
      <c r="U78" s="188"/>
      <c r="V78" s="254"/>
      <c r="W78" s="253"/>
      <c r="X78" s="188"/>
      <c r="Y78" s="188"/>
      <c r="Z78" s="188"/>
      <c r="AA78" s="188"/>
      <c r="AB78" s="254"/>
      <c r="AC78" s="253"/>
      <c r="AD78" s="188"/>
      <c r="AE78" s="254"/>
      <c r="AF78" s="253"/>
      <c r="AG78" s="188"/>
      <c r="AH78" s="254"/>
      <c r="AI78" s="188"/>
      <c r="AJ78" s="188"/>
      <c r="AK78" s="254"/>
      <c r="AL78" s="218"/>
    </row>
    <row r="79" spans="2:38" s="193" customFormat="1" ht="12.75" customHeight="1">
      <c r="B79" s="706">
        <f>AA_090_DATOS_APODERADOS_BANCO_NOMBRE_APODERADO_DEL_BANCO_DOS</f>
        <v>0</v>
      </c>
      <c r="C79" s="707"/>
      <c r="D79" s="707"/>
      <c r="E79" s="707"/>
      <c r="F79" s="707"/>
      <c r="G79" s="707"/>
      <c r="H79" s="707"/>
      <c r="I79" s="707"/>
      <c r="J79" s="707"/>
      <c r="K79" s="707"/>
      <c r="L79" s="707"/>
      <c r="M79" s="707"/>
      <c r="N79" s="707"/>
      <c r="O79" s="707"/>
      <c r="P79" s="708"/>
      <c r="Q79" s="253"/>
      <c r="R79" s="188"/>
      <c r="S79" s="188"/>
      <c r="T79" s="188"/>
      <c r="U79" s="188"/>
      <c r="V79" s="254"/>
      <c r="W79" s="253"/>
      <c r="X79" s="188"/>
      <c r="Y79" s="188"/>
      <c r="Z79" s="188"/>
      <c r="AA79" s="188"/>
      <c r="AB79" s="254"/>
      <c r="AC79" s="253"/>
      <c r="AD79" s="188"/>
      <c r="AE79" s="254"/>
      <c r="AF79" s="253"/>
      <c r="AG79" s="188"/>
      <c r="AH79" s="254"/>
      <c r="AI79" s="188"/>
      <c r="AJ79" s="188"/>
      <c r="AK79" s="254"/>
      <c r="AL79" s="218"/>
    </row>
    <row r="80" spans="2:38" s="193" customFormat="1" ht="12.75" customHeight="1">
      <c r="B80" s="709"/>
      <c r="C80" s="710"/>
      <c r="D80" s="710"/>
      <c r="E80" s="710"/>
      <c r="F80" s="710"/>
      <c r="G80" s="710"/>
      <c r="H80" s="710"/>
      <c r="I80" s="710"/>
      <c r="J80" s="710"/>
      <c r="K80" s="710"/>
      <c r="L80" s="710"/>
      <c r="M80" s="710"/>
      <c r="N80" s="710"/>
      <c r="O80" s="710"/>
      <c r="P80" s="711"/>
      <c r="Q80" s="255"/>
      <c r="R80" s="205"/>
      <c r="S80" s="205"/>
      <c r="T80" s="205"/>
      <c r="U80" s="205"/>
      <c r="V80" s="221"/>
      <c r="W80" s="255"/>
      <c r="X80" s="205"/>
      <c r="Y80" s="205"/>
      <c r="Z80" s="205"/>
      <c r="AA80" s="205"/>
      <c r="AB80" s="221"/>
      <c r="AC80" s="255"/>
      <c r="AD80" s="205"/>
      <c r="AE80" s="221"/>
      <c r="AF80" s="255"/>
      <c r="AG80" s="205"/>
      <c r="AH80" s="221"/>
      <c r="AI80" s="205"/>
      <c r="AJ80" s="205"/>
      <c r="AK80" s="221"/>
      <c r="AL80" s="224"/>
    </row>
    <row r="81" spans="2:37" s="187" customFormat="1" ht="7.8">
      <c r="B81" s="256"/>
      <c r="C81" s="256"/>
      <c r="D81" s="256"/>
      <c r="E81" s="256"/>
      <c r="F81" s="256"/>
      <c r="G81" s="256"/>
      <c r="H81" s="256"/>
      <c r="I81" s="256"/>
      <c r="J81" s="256"/>
      <c r="K81" s="256"/>
      <c r="L81" s="256"/>
      <c r="M81" s="256"/>
      <c r="N81" s="256"/>
      <c r="O81" s="256"/>
      <c r="P81" s="256"/>
      <c r="Q81" s="256"/>
      <c r="R81" s="256"/>
      <c r="S81" s="256"/>
      <c r="T81" s="256"/>
      <c r="U81" s="256"/>
      <c r="V81" s="256"/>
      <c r="W81" s="256"/>
      <c r="X81" s="256"/>
      <c r="Y81" s="256"/>
      <c r="Z81" s="256"/>
      <c r="AA81" s="256"/>
      <c r="AB81" s="256"/>
      <c r="AC81" s="256"/>
      <c r="AD81" s="256"/>
      <c r="AE81" s="256"/>
      <c r="AF81" s="256"/>
      <c r="AG81" s="256"/>
      <c r="AH81" s="256"/>
      <c r="AI81" s="256"/>
      <c r="AJ81" s="256"/>
      <c r="AK81" s="256"/>
    </row>
    <row r="82" spans="2:37" s="187" customFormat="1" ht="7.8">
      <c r="B82" s="228"/>
      <c r="C82" s="228"/>
      <c r="D82" s="228"/>
      <c r="E82" s="228"/>
      <c r="F82" s="228"/>
      <c r="G82" s="228"/>
      <c r="H82" s="228"/>
      <c r="I82" s="228"/>
      <c r="J82" s="228"/>
      <c r="K82" s="228"/>
      <c r="L82" s="228"/>
      <c r="M82" s="228"/>
      <c r="N82" s="228"/>
      <c r="O82" s="228"/>
      <c r="P82" s="228"/>
      <c r="Q82" s="228"/>
      <c r="R82" s="228"/>
      <c r="S82" s="228"/>
      <c r="T82" s="228"/>
      <c r="U82" s="228"/>
      <c r="V82" s="228"/>
      <c r="W82" s="228"/>
      <c r="X82" s="228"/>
      <c r="Y82" s="228"/>
      <c r="Z82" s="228"/>
      <c r="AA82" s="228"/>
      <c r="AB82" s="228"/>
      <c r="AC82" s="228"/>
      <c r="AD82" s="228"/>
      <c r="AE82" s="228"/>
      <c r="AF82" s="228"/>
      <c r="AG82" s="228"/>
      <c r="AH82" s="228"/>
      <c r="AI82" s="228"/>
      <c r="AJ82" s="228"/>
      <c r="AK82" s="228"/>
    </row>
    <row r="83" spans="2:37" s="187" customFormat="1" ht="2.25" customHeight="1">
      <c r="B83" s="228"/>
      <c r="C83" s="228"/>
      <c r="D83" s="228"/>
      <c r="E83" s="228"/>
      <c r="F83" s="228"/>
      <c r="G83" s="228"/>
      <c r="H83" s="228"/>
      <c r="I83" s="228"/>
      <c r="J83" s="228"/>
      <c r="K83" s="228"/>
      <c r="L83" s="228"/>
      <c r="M83" s="228"/>
      <c r="N83" s="228"/>
      <c r="O83" s="228"/>
      <c r="P83" s="228"/>
      <c r="Q83" s="228"/>
      <c r="R83" s="228"/>
      <c r="S83" s="228"/>
      <c r="T83" s="228"/>
      <c r="U83" s="228"/>
      <c r="V83" s="228"/>
      <c r="W83" s="228"/>
      <c r="X83" s="228"/>
      <c r="Y83" s="228"/>
      <c r="Z83" s="228"/>
      <c r="AA83" s="228"/>
      <c r="AB83" s="228"/>
      <c r="AC83" s="228"/>
      <c r="AD83" s="228"/>
      <c r="AE83" s="228"/>
      <c r="AF83" s="228"/>
      <c r="AG83" s="228"/>
      <c r="AH83" s="228"/>
      <c r="AI83" s="228"/>
      <c r="AJ83" s="228"/>
      <c r="AK83" s="228"/>
    </row>
    <row r="84" spans="2:37" s="187" customFormat="1" ht="10.199999999999999">
      <c r="B84" s="229" t="s">
        <v>182</v>
      </c>
      <c r="C84" s="228"/>
      <c r="D84" s="228"/>
      <c r="E84" s="228"/>
      <c r="F84" s="228"/>
      <c r="G84" s="228"/>
      <c r="H84" s="228"/>
      <c r="I84" s="228"/>
      <c r="J84" s="228"/>
      <c r="K84" s="228"/>
      <c r="L84" s="228"/>
      <c r="M84" s="228"/>
      <c r="N84" s="228"/>
      <c r="O84" s="228"/>
      <c r="P84" s="228"/>
      <c r="Q84" s="228"/>
      <c r="R84" s="228"/>
      <c r="S84" s="228"/>
      <c r="T84" s="228"/>
      <c r="U84" s="228"/>
      <c r="V84" s="228"/>
      <c r="W84" s="228"/>
      <c r="X84" s="228"/>
      <c r="Y84" s="228"/>
      <c r="Z84" s="228"/>
      <c r="AA84" s="228"/>
      <c r="AB84" s="228"/>
      <c r="AC84" s="228"/>
      <c r="AD84" s="228"/>
      <c r="AE84" s="228"/>
      <c r="AF84" s="228"/>
      <c r="AG84" s="228" t="s">
        <v>183</v>
      </c>
      <c r="AI84" s="228"/>
      <c r="AJ84" s="228"/>
      <c r="AK84" s="228"/>
    </row>
    <row r="85" spans="2:37" s="187" customFormat="1" ht="15" customHeight="1"/>
    <row r="86" spans="2:37" s="187" customFormat="1" ht="10.199999999999999">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row>
    <row r="87" spans="2:37" s="187" customFormat="1" ht="10.199999999999999">
      <c r="B87" s="493"/>
      <c r="C87" s="493"/>
      <c r="D87" s="493"/>
      <c r="E87" s="493"/>
      <c r="F87" s="493"/>
      <c r="G87" s="493"/>
      <c r="H87" s="493"/>
      <c r="I87" s="493"/>
      <c r="J87" s="493"/>
      <c r="K87" s="493"/>
      <c r="L87" s="493"/>
      <c r="M87" s="493"/>
      <c r="N87" s="493"/>
      <c r="O87" s="493"/>
      <c r="P87" s="493"/>
      <c r="Q87" s="493"/>
      <c r="R87" s="493"/>
      <c r="S87" s="493"/>
      <c r="T87" s="493"/>
      <c r="U87" s="493"/>
      <c r="V87" s="493"/>
      <c r="W87" s="493"/>
      <c r="X87" s="493"/>
      <c r="Y87" s="493"/>
      <c r="Z87" s="493"/>
      <c r="AA87" s="493"/>
      <c r="AB87" s="493"/>
      <c r="AC87" s="493"/>
      <c r="AD87" s="493"/>
      <c r="AE87" s="493"/>
      <c r="AF87" s="493"/>
      <c r="AG87" s="493"/>
      <c r="AH87" s="493"/>
      <c r="AI87" s="493"/>
      <c r="AJ87" s="493"/>
      <c r="AK87" s="493"/>
    </row>
    <row r="88" spans="2:37" s="187" customFormat="1" ht="63" customHeight="1">
      <c r="B88" s="562" t="s">
        <v>298</v>
      </c>
      <c r="C88" s="562"/>
      <c r="D88" s="562"/>
      <c r="E88" s="562"/>
      <c r="F88" s="562"/>
      <c r="G88" s="562"/>
      <c r="H88" s="562"/>
      <c r="I88" s="562"/>
      <c r="J88" s="562"/>
      <c r="K88" s="562"/>
      <c r="L88" s="562"/>
      <c r="M88" s="562"/>
      <c r="N88" s="562"/>
      <c r="O88" s="562"/>
      <c r="P88" s="562"/>
      <c r="Q88" s="562"/>
      <c r="R88" s="562"/>
      <c r="S88" s="562"/>
      <c r="T88" s="562"/>
      <c r="U88" s="562"/>
      <c r="V88" s="562"/>
      <c r="W88" s="562"/>
      <c r="X88" s="562"/>
      <c r="Y88" s="562"/>
      <c r="Z88" s="562"/>
      <c r="AA88" s="562"/>
      <c r="AB88" s="562"/>
      <c r="AC88" s="562"/>
      <c r="AD88" s="562"/>
      <c r="AE88" s="562"/>
      <c r="AF88" s="562"/>
      <c r="AG88" s="562"/>
      <c r="AH88" s="562"/>
      <c r="AI88" s="562"/>
      <c r="AJ88" s="562"/>
      <c r="AK88" s="562"/>
    </row>
    <row r="89" spans="2:37" s="187" customFormat="1" ht="13.2">
      <c r="B89" s="257"/>
      <c r="C89" s="240"/>
      <c r="D89" s="230"/>
      <c r="E89" s="230"/>
      <c r="F89" s="230"/>
      <c r="G89" s="230"/>
      <c r="H89" s="230"/>
      <c r="I89" s="230"/>
      <c r="J89" s="230"/>
      <c r="K89" s="230"/>
      <c r="L89" s="230"/>
      <c r="M89" s="230"/>
      <c r="N89" s="230"/>
      <c r="O89" s="230"/>
      <c r="P89" s="230"/>
      <c r="Q89" s="230"/>
      <c r="R89" s="230"/>
      <c r="S89" s="230"/>
      <c r="T89" s="230"/>
      <c r="U89" s="230"/>
      <c r="V89" s="230"/>
      <c r="W89" s="230"/>
      <c r="X89" s="230"/>
      <c r="Y89" s="230"/>
      <c r="Z89" s="230"/>
      <c r="AA89" s="230"/>
      <c r="AB89" s="230"/>
      <c r="AC89" s="230"/>
      <c r="AD89" s="230"/>
      <c r="AE89" s="230"/>
      <c r="AF89" s="230"/>
      <c r="AG89" s="230"/>
      <c r="AH89" s="230"/>
      <c r="AI89" s="230"/>
      <c r="AJ89" s="230"/>
      <c r="AK89" s="230"/>
    </row>
    <row r="90" spans="2:37" s="187" customFormat="1" ht="10.199999999999999">
      <c r="B90" s="726" t="s">
        <v>185</v>
      </c>
      <c r="C90" s="726"/>
      <c r="D90" s="726"/>
      <c r="E90" s="726"/>
      <c r="F90" s="726"/>
      <c r="G90" s="726"/>
      <c r="H90" s="726"/>
      <c r="I90" s="726"/>
      <c r="J90" s="726"/>
      <c r="K90" s="726"/>
      <c r="L90" s="726"/>
      <c r="M90" s="726"/>
      <c r="N90" s="726"/>
      <c r="O90" s="726"/>
      <c r="P90" s="726"/>
      <c r="Q90" s="726"/>
      <c r="R90" s="726"/>
      <c r="S90" s="726"/>
      <c r="T90" s="726"/>
      <c r="U90" s="726"/>
      <c r="V90" s="726"/>
      <c r="W90" s="726"/>
      <c r="X90" s="726"/>
      <c r="Y90" s="726"/>
      <c r="Z90" s="726"/>
      <c r="AA90" s="726"/>
      <c r="AB90" s="726"/>
      <c r="AC90" s="726"/>
      <c r="AD90" s="726"/>
      <c r="AE90" s="726"/>
      <c r="AF90" s="726"/>
      <c r="AG90" s="726"/>
      <c r="AH90" s="726"/>
      <c r="AI90" s="726"/>
      <c r="AJ90" s="726"/>
      <c r="AK90" s="726"/>
    </row>
    <row r="91" spans="2:37" s="187" customFormat="1" ht="10.199999999999999">
      <c r="B91" s="493"/>
      <c r="C91" s="493"/>
      <c r="D91" s="493"/>
      <c r="E91" s="493"/>
      <c r="F91" s="493"/>
      <c r="G91" s="493"/>
      <c r="H91" s="493"/>
      <c r="I91" s="493"/>
      <c r="J91" s="493"/>
      <c r="K91" s="493"/>
      <c r="L91" s="493"/>
      <c r="M91" s="493"/>
      <c r="N91" s="493"/>
      <c r="O91" s="493"/>
      <c r="P91" s="493"/>
      <c r="Q91" s="493"/>
      <c r="R91" s="493"/>
      <c r="S91" s="493"/>
      <c r="T91" s="493"/>
      <c r="U91" s="493"/>
      <c r="V91" s="493"/>
      <c r="W91" s="493"/>
      <c r="X91" s="493"/>
      <c r="Y91" s="493"/>
      <c r="Z91" s="493"/>
      <c r="AA91" s="493"/>
      <c r="AB91" s="493"/>
      <c r="AC91" s="493"/>
      <c r="AD91" s="493"/>
      <c r="AE91" s="493"/>
      <c r="AF91" s="493"/>
      <c r="AG91" s="493"/>
      <c r="AH91" s="493"/>
      <c r="AI91" s="493"/>
      <c r="AJ91" s="493"/>
      <c r="AK91" s="493"/>
    </row>
    <row r="92" spans="2:37" s="187" customFormat="1" ht="10.199999999999999">
      <c r="B92" s="727" t="s">
        <v>186</v>
      </c>
      <c r="C92" s="727"/>
      <c r="D92" s="727"/>
      <c r="E92" s="727"/>
      <c r="F92" s="727"/>
      <c r="G92" s="727"/>
      <c r="H92" s="727"/>
      <c r="I92" s="727"/>
      <c r="J92" s="727"/>
      <c r="K92" s="727"/>
      <c r="L92" s="727"/>
      <c r="M92" s="727"/>
      <c r="N92" s="727"/>
      <c r="O92" s="727"/>
      <c r="P92" s="727"/>
      <c r="Q92" s="727"/>
      <c r="R92" s="727"/>
      <c r="S92" s="727"/>
      <c r="T92" s="727"/>
      <c r="U92" s="727"/>
      <c r="V92" s="727"/>
      <c r="W92" s="727"/>
      <c r="X92" s="727"/>
      <c r="Y92" s="727"/>
      <c r="Z92" s="727"/>
      <c r="AA92" s="727"/>
      <c r="AB92" s="727"/>
      <c r="AC92" s="727"/>
      <c r="AD92" s="727"/>
      <c r="AE92" s="727"/>
      <c r="AF92" s="727"/>
      <c r="AG92" s="727"/>
      <c r="AH92" s="727"/>
      <c r="AI92" s="727"/>
      <c r="AJ92" s="727"/>
      <c r="AK92" s="727"/>
    </row>
    <row r="93" spans="2:37" s="187" customFormat="1" ht="8.1" customHeight="1">
      <c r="B93" s="239"/>
      <c r="C93" s="24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230"/>
      <c r="AC93" s="230"/>
      <c r="AD93" s="230"/>
      <c r="AE93" s="230"/>
      <c r="AF93" s="230"/>
      <c r="AG93" s="230"/>
      <c r="AH93" s="230"/>
      <c r="AI93" s="230"/>
      <c r="AJ93" s="230"/>
      <c r="AK93" s="230"/>
    </row>
    <row r="94" spans="2:37" ht="66.75" customHeight="1">
      <c r="B94" s="562" t="s">
        <v>299</v>
      </c>
      <c r="C94" s="562"/>
      <c r="D94" s="562"/>
      <c r="E94" s="562"/>
      <c r="F94" s="562"/>
      <c r="G94" s="562"/>
      <c r="H94" s="562"/>
      <c r="I94" s="562"/>
      <c r="J94" s="562"/>
      <c r="K94" s="562"/>
      <c r="L94" s="562"/>
      <c r="M94" s="562"/>
      <c r="N94" s="562"/>
      <c r="O94" s="562"/>
      <c r="P94" s="562"/>
      <c r="Q94" s="562"/>
      <c r="R94" s="562"/>
      <c r="S94" s="562"/>
      <c r="T94" s="562"/>
      <c r="U94" s="562"/>
      <c r="V94" s="562"/>
      <c r="W94" s="562"/>
      <c r="X94" s="562"/>
      <c r="Y94" s="562"/>
      <c r="Z94" s="562"/>
      <c r="AA94" s="562"/>
      <c r="AB94" s="562"/>
      <c r="AC94" s="562"/>
      <c r="AD94" s="562"/>
      <c r="AE94" s="562"/>
      <c r="AF94" s="562"/>
      <c r="AG94" s="562"/>
      <c r="AH94" s="562"/>
      <c r="AI94" s="562"/>
      <c r="AJ94" s="562"/>
      <c r="AK94" s="562"/>
    </row>
    <row r="95" spans="2:37" ht="33.75" customHeight="1">
      <c r="B95" s="562" t="s">
        <v>188</v>
      </c>
      <c r="C95" s="562"/>
      <c r="D95" s="562"/>
      <c r="E95" s="562"/>
      <c r="F95" s="562"/>
      <c r="G95" s="562"/>
      <c r="H95" s="562"/>
      <c r="I95" s="562"/>
      <c r="J95" s="562"/>
      <c r="K95" s="562"/>
      <c r="L95" s="562"/>
      <c r="M95" s="562"/>
      <c r="N95" s="562"/>
      <c r="O95" s="562"/>
      <c r="P95" s="562"/>
      <c r="Q95" s="562"/>
      <c r="R95" s="562"/>
      <c r="S95" s="562"/>
      <c r="T95" s="562"/>
      <c r="U95" s="562"/>
      <c r="V95" s="562"/>
      <c r="W95" s="562"/>
      <c r="X95" s="562"/>
      <c r="Y95" s="562"/>
      <c r="Z95" s="562"/>
      <c r="AA95" s="562"/>
      <c r="AB95" s="562"/>
      <c r="AC95" s="562"/>
      <c r="AD95" s="562"/>
      <c r="AE95" s="562"/>
      <c r="AF95" s="562"/>
      <c r="AG95" s="562"/>
      <c r="AH95" s="562"/>
      <c r="AI95" s="562"/>
      <c r="AJ95" s="562"/>
      <c r="AK95" s="562"/>
    </row>
    <row r="96" spans="2:37" ht="23.25" customHeight="1">
      <c r="B96" s="562" t="s">
        <v>189</v>
      </c>
      <c r="C96" s="562"/>
      <c r="D96" s="562"/>
      <c r="E96" s="562"/>
      <c r="F96" s="562"/>
      <c r="G96" s="562"/>
      <c r="H96" s="562"/>
      <c r="I96" s="562"/>
      <c r="J96" s="562"/>
      <c r="K96" s="562"/>
      <c r="L96" s="562"/>
      <c r="M96" s="562"/>
      <c r="N96" s="562"/>
      <c r="O96" s="562"/>
      <c r="P96" s="562"/>
      <c r="Q96" s="562"/>
      <c r="R96" s="562"/>
      <c r="S96" s="562"/>
      <c r="T96" s="562"/>
      <c r="U96" s="562"/>
      <c r="V96" s="562"/>
      <c r="W96" s="562"/>
      <c r="X96" s="562"/>
      <c r="Y96" s="562"/>
      <c r="Z96" s="562"/>
      <c r="AA96" s="562"/>
      <c r="AB96" s="562"/>
      <c r="AC96" s="562"/>
      <c r="AD96" s="562"/>
      <c r="AE96" s="562"/>
      <c r="AF96" s="562"/>
      <c r="AG96" s="562"/>
      <c r="AH96" s="562"/>
      <c r="AI96" s="562"/>
      <c r="AJ96" s="562"/>
      <c r="AK96" s="562"/>
    </row>
    <row r="97" spans="2:37" ht="21.75" customHeight="1">
      <c r="B97" s="725" t="s">
        <v>190</v>
      </c>
      <c r="C97" s="725"/>
      <c r="D97" s="725"/>
      <c r="E97" s="725"/>
      <c r="F97" s="725"/>
      <c r="G97" s="725"/>
      <c r="H97" s="725"/>
      <c r="I97" s="725"/>
      <c r="J97" s="725"/>
      <c r="K97" s="725"/>
      <c r="L97" s="725"/>
      <c r="M97" s="725"/>
      <c r="N97" s="725"/>
      <c r="O97" s="725"/>
      <c r="P97" s="725"/>
      <c r="Q97" s="725"/>
      <c r="R97" s="725"/>
      <c r="S97" s="725"/>
      <c r="T97" s="725"/>
      <c r="U97" s="725"/>
      <c r="V97" s="725"/>
      <c r="W97" s="725"/>
      <c r="X97" s="725"/>
      <c r="Y97" s="725"/>
      <c r="Z97" s="725"/>
      <c r="AA97" s="725"/>
      <c r="AB97" s="725"/>
      <c r="AC97" s="725"/>
      <c r="AD97" s="725"/>
      <c r="AE97" s="725"/>
      <c r="AF97" s="725"/>
      <c r="AG97" s="725"/>
      <c r="AH97" s="725"/>
      <c r="AI97" s="725"/>
      <c r="AJ97" s="725"/>
      <c r="AK97" s="725"/>
    </row>
    <row r="98" spans="2:37" ht="33.75" customHeight="1">
      <c r="B98" s="562" t="s">
        <v>191</v>
      </c>
      <c r="C98" s="562"/>
      <c r="D98" s="562"/>
      <c r="E98" s="562"/>
      <c r="F98" s="562"/>
      <c r="G98" s="562"/>
      <c r="H98" s="562"/>
      <c r="I98" s="562"/>
      <c r="J98" s="562"/>
      <c r="K98" s="562"/>
      <c r="L98" s="562"/>
      <c r="M98" s="562"/>
      <c r="N98" s="562"/>
      <c r="O98" s="562"/>
      <c r="P98" s="562"/>
      <c r="Q98" s="562"/>
      <c r="R98" s="562"/>
      <c r="S98" s="562"/>
      <c r="T98" s="562"/>
      <c r="U98" s="562"/>
      <c r="V98" s="562"/>
      <c r="W98" s="562"/>
      <c r="X98" s="562"/>
      <c r="Y98" s="562"/>
      <c r="Z98" s="562"/>
      <c r="AA98" s="562"/>
      <c r="AB98" s="562"/>
      <c r="AC98" s="562"/>
      <c r="AD98" s="562"/>
      <c r="AE98" s="562"/>
      <c r="AF98" s="562"/>
      <c r="AG98" s="562"/>
      <c r="AH98" s="562"/>
      <c r="AI98" s="562"/>
      <c r="AJ98" s="562"/>
      <c r="AK98" s="562"/>
    </row>
    <row r="99" spans="2:37" ht="47.25" customHeight="1">
      <c r="B99" s="562" t="s">
        <v>192</v>
      </c>
      <c r="C99" s="562"/>
      <c r="D99" s="562"/>
      <c r="E99" s="562"/>
      <c r="F99" s="562"/>
      <c r="G99" s="562"/>
      <c r="H99" s="562"/>
      <c r="I99" s="562"/>
      <c r="J99" s="562"/>
      <c r="K99" s="562"/>
      <c r="L99" s="562"/>
      <c r="M99" s="562"/>
      <c r="N99" s="562"/>
      <c r="O99" s="562"/>
      <c r="P99" s="562"/>
      <c r="Q99" s="562"/>
      <c r="R99" s="562"/>
      <c r="S99" s="562"/>
      <c r="T99" s="562"/>
      <c r="U99" s="562"/>
      <c r="V99" s="562"/>
      <c r="W99" s="562"/>
      <c r="X99" s="562"/>
      <c r="Y99" s="562"/>
      <c r="Z99" s="562"/>
      <c r="AA99" s="562"/>
      <c r="AB99" s="562"/>
      <c r="AC99" s="562"/>
      <c r="AD99" s="562"/>
      <c r="AE99" s="562"/>
      <c r="AF99" s="562"/>
      <c r="AG99" s="562"/>
      <c r="AH99" s="562"/>
      <c r="AI99" s="562"/>
      <c r="AJ99" s="562"/>
      <c r="AK99" s="562"/>
    </row>
    <row r="100" spans="2:37" ht="38.25" customHeight="1">
      <c r="B100" s="562" t="s">
        <v>193</v>
      </c>
      <c r="C100" s="562"/>
      <c r="D100" s="562"/>
      <c r="E100" s="562"/>
      <c r="F100" s="562"/>
      <c r="G100" s="562"/>
      <c r="H100" s="562"/>
      <c r="I100" s="562"/>
      <c r="J100" s="562"/>
      <c r="K100" s="562"/>
      <c r="L100" s="562"/>
      <c r="M100" s="562"/>
      <c r="N100" s="562"/>
      <c r="O100" s="562"/>
      <c r="P100" s="562"/>
      <c r="Q100" s="562"/>
      <c r="R100" s="562"/>
      <c r="S100" s="562"/>
      <c r="T100" s="562"/>
      <c r="U100" s="562"/>
      <c r="V100" s="562"/>
      <c r="W100" s="562"/>
      <c r="X100" s="562"/>
      <c r="Y100" s="562"/>
      <c r="Z100" s="562"/>
      <c r="AA100" s="562"/>
      <c r="AB100" s="562"/>
      <c r="AC100" s="562"/>
      <c r="AD100" s="562"/>
      <c r="AE100" s="562"/>
      <c r="AF100" s="562"/>
      <c r="AG100" s="562"/>
      <c r="AH100" s="562"/>
      <c r="AI100" s="562"/>
      <c r="AJ100" s="562"/>
      <c r="AK100" s="562"/>
    </row>
    <row r="101" spans="2:37" ht="8.1" customHeight="1">
      <c r="B101" s="239"/>
      <c r="C101" s="240"/>
      <c r="D101" s="238"/>
      <c r="E101" s="238"/>
      <c r="F101" s="238"/>
      <c r="G101" s="238"/>
      <c r="H101" s="238"/>
      <c r="I101" s="238"/>
      <c r="J101" s="238"/>
      <c r="K101" s="238"/>
      <c r="L101" s="238"/>
      <c r="M101" s="238"/>
      <c r="N101" s="238"/>
      <c r="O101" s="238"/>
      <c r="P101" s="238"/>
      <c r="Q101" s="238"/>
      <c r="R101" s="238"/>
      <c r="S101" s="238"/>
      <c r="T101" s="238"/>
      <c r="U101" s="238"/>
      <c r="V101" s="238"/>
      <c r="W101" s="238"/>
      <c r="X101" s="238"/>
      <c r="Y101" s="238"/>
      <c r="Z101" s="238"/>
      <c r="AA101" s="238"/>
      <c r="AB101" s="238"/>
      <c r="AC101" s="238"/>
      <c r="AD101" s="238"/>
      <c r="AE101" s="238"/>
      <c r="AF101" s="238"/>
      <c r="AG101" s="238"/>
      <c r="AH101" s="238"/>
      <c r="AI101" s="238"/>
      <c r="AJ101" s="238"/>
      <c r="AK101" s="238"/>
    </row>
    <row r="102" spans="2:37" ht="13.2">
      <c r="B102" s="728" t="s">
        <v>195</v>
      </c>
      <c r="C102" s="728"/>
      <c r="D102" s="728"/>
      <c r="E102" s="728"/>
      <c r="F102" s="728"/>
      <c r="G102" s="728"/>
      <c r="H102" s="728"/>
      <c r="I102" s="728"/>
      <c r="J102" s="728"/>
      <c r="K102" s="728"/>
      <c r="L102" s="728"/>
      <c r="M102" s="728"/>
      <c r="N102" s="728"/>
      <c r="O102" s="728"/>
      <c r="P102" s="728"/>
      <c r="Q102" s="728"/>
      <c r="R102" s="728"/>
      <c r="S102" s="728"/>
      <c r="T102" s="728"/>
      <c r="U102" s="728"/>
      <c r="V102" s="728"/>
      <c r="W102" s="728"/>
      <c r="X102" s="728"/>
      <c r="Y102" s="728"/>
      <c r="Z102" s="728"/>
      <c r="AA102" s="728"/>
      <c r="AB102" s="728"/>
      <c r="AC102" s="728"/>
      <c r="AD102" s="728"/>
      <c r="AE102" s="728"/>
      <c r="AF102" s="728"/>
      <c r="AG102" s="728"/>
      <c r="AH102" s="728"/>
      <c r="AI102" s="728"/>
      <c r="AJ102" s="728"/>
      <c r="AK102" s="728"/>
    </row>
    <row r="103" spans="2:37" ht="8.1" customHeight="1">
      <c r="B103" s="239"/>
      <c r="C103" s="240"/>
      <c r="D103" s="238"/>
      <c r="E103" s="238"/>
      <c r="F103" s="238"/>
      <c r="G103" s="238"/>
      <c r="H103" s="238"/>
      <c r="I103" s="238"/>
      <c r="J103" s="238"/>
      <c r="K103" s="238"/>
      <c r="L103" s="238"/>
      <c r="M103" s="238"/>
      <c r="N103" s="238"/>
      <c r="O103" s="238"/>
      <c r="P103" s="238"/>
      <c r="Q103" s="238"/>
      <c r="R103" s="238"/>
      <c r="S103" s="238"/>
      <c r="T103" s="238"/>
      <c r="U103" s="238"/>
      <c r="V103" s="238"/>
      <c r="W103" s="238"/>
      <c r="X103" s="238"/>
      <c r="Y103" s="238"/>
      <c r="Z103" s="238"/>
      <c r="AA103" s="238"/>
      <c r="AB103" s="238"/>
      <c r="AC103" s="238"/>
      <c r="AD103" s="238"/>
      <c r="AE103" s="238"/>
      <c r="AF103" s="238"/>
      <c r="AG103" s="238"/>
      <c r="AH103" s="238"/>
      <c r="AI103" s="238"/>
      <c r="AJ103" s="238"/>
      <c r="AK103" s="238"/>
    </row>
    <row r="104" spans="2:37" ht="42" customHeight="1">
      <c r="B104" s="725" t="s">
        <v>196</v>
      </c>
      <c r="C104" s="725"/>
      <c r="D104" s="725"/>
      <c r="E104" s="725"/>
      <c r="F104" s="725"/>
      <c r="G104" s="725"/>
      <c r="H104" s="725"/>
      <c r="I104" s="725"/>
      <c r="J104" s="725"/>
      <c r="K104" s="725"/>
      <c r="L104" s="725"/>
      <c r="M104" s="725"/>
      <c r="N104" s="725"/>
      <c r="O104" s="725"/>
      <c r="P104" s="725"/>
      <c r="Q104" s="725"/>
      <c r="R104" s="725"/>
      <c r="S104" s="725"/>
      <c r="T104" s="725"/>
      <c r="U104" s="725"/>
      <c r="V104" s="725"/>
      <c r="W104" s="725"/>
      <c r="X104" s="725"/>
      <c r="Y104" s="725"/>
      <c r="Z104" s="725"/>
      <c r="AA104" s="725"/>
      <c r="AB104" s="725"/>
      <c r="AC104" s="725"/>
      <c r="AD104" s="725"/>
      <c r="AE104" s="725"/>
      <c r="AF104" s="725"/>
      <c r="AG104" s="725"/>
      <c r="AH104" s="725"/>
      <c r="AI104" s="725"/>
      <c r="AJ104" s="725"/>
      <c r="AK104" s="725"/>
    </row>
    <row r="105" spans="2:37" ht="8.1" customHeight="1">
      <c r="B105" s="240"/>
      <c r="C105" s="240"/>
      <c r="D105" s="238"/>
      <c r="E105" s="238"/>
      <c r="F105" s="238"/>
      <c r="G105" s="238"/>
      <c r="H105" s="238"/>
      <c r="I105" s="238"/>
      <c r="J105" s="238"/>
      <c r="K105" s="238"/>
      <c r="L105" s="238"/>
      <c r="M105" s="238"/>
      <c r="N105" s="238"/>
      <c r="O105" s="238"/>
      <c r="P105" s="238"/>
      <c r="Q105" s="238"/>
      <c r="R105" s="238"/>
      <c r="S105" s="238"/>
      <c r="T105" s="238"/>
      <c r="U105" s="238"/>
      <c r="V105" s="238"/>
      <c r="W105" s="238"/>
      <c r="X105" s="238"/>
      <c r="Y105" s="238"/>
      <c r="Z105" s="238"/>
      <c r="AA105" s="238"/>
      <c r="AB105" s="238"/>
      <c r="AC105" s="238"/>
      <c r="AD105" s="238"/>
      <c r="AE105" s="238"/>
      <c r="AF105" s="238"/>
      <c r="AG105" s="238"/>
      <c r="AH105" s="238"/>
      <c r="AI105" s="238"/>
      <c r="AJ105" s="238"/>
      <c r="AK105" s="238"/>
    </row>
    <row r="106" spans="2:37" ht="13.2">
      <c r="B106" s="727" t="s">
        <v>197</v>
      </c>
      <c r="C106" s="727"/>
      <c r="D106" s="727"/>
      <c r="E106" s="727"/>
      <c r="F106" s="727"/>
      <c r="G106" s="727"/>
      <c r="H106" s="727"/>
      <c r="I106" s="727"/>
      <c r="J106" s="727"/>
      <c r="K106" s="727"/>
      <c r="L106" s="727"/>
      <c r="M106" s="727"/>
      <c r="N106" s="727"/>
      <c r="O106" s="727"/>
      <c r="P106" s="727"/>
      <c r="Q106" s="727"/>
      <c r="R106" s="727"/>
      <c r="S106" s="727"/>
      <c r="T106" s="727"/>
      <c r="U106" s="727"/>
      <c r="V106" s="727"/>
      <c r="W106" s="727"/>
      <c r="X106" s="727"/>
      <c r="Y106" s="727"/>
      <c r="Z106" s="727"/>
      <c r="AA106" s="727"/>
      <c r="AB106" s="727"/>
      <c r="AC106" s="727"/>
      <c r="AD106" s="727"/>
      <c r="AE106" s="727"/>
      <c r="AF106" s="727"/>
      <c r="AG106" s="727"/>
      <c r="AH106" s="727"/>
      <c r="AI106" s="727"/>
      <c r="AJ106" s="727"/>
      <c r="AK106" s="727"/>
    </row>
    <row r="107" spans="2:37" ht="8.1" customHeight="1">
      <c r="B107" s="258"/>
      <c r="C107" s="240"/>
      <c r="D107" s="238"/>
      <c r="E107" s="238"/>
      <c r="F107" s="238"/>
      <c r="G107" s="238"/>
      <c r="H107" s="238"/>
      <c r="I107" s="238"/>
      <c r="J107" s="238"/>
      <c r="K107" s="238"/>
      <c r="L107" s="238"/>
      <c r="M107" s="238"/>
      <c r="N107" s="238"/>
      <c r="O107" s="238"/>
      <c r="P107" s="238"/>
      <c r="Q107" s="238"/>
      <c r="R107" s="238"/>
      <c r="S107" s="238"/>
      <c r="T107" s="238"/>
      <c r="U107" s="238"/>
      <c r="V107" s="238"/>
      <c r="W107" s="238"/>
      <c r="X107" s="238"/>
      <c r="Y107" s="238"/>
      <c r="Z107" s="238"/>
      <c r="AA107" s="238"/>
      <c r="AB107" s="238"/>
      <c r="AC107" s="238"/>
      <c r="AD107" s="238"/>
      <c r="AE107" s="238"/>
      <c r="AF107" s="238"/>
      <c r="AG107" s="238"/>
      <c r="AH107" s="238"/>
      <c r="AI107" s="238"/>
      <c r="AJ107" s="238"/>
      <c r="AK107" s="238"/>
    </row>
    <row r="108" spans="2:37" ht="33.75" customHeight="1">
      <c r="B108" s="725" t="s">
        <v>300</v>
      </c>
      <c r="C108" s="725"/>
      <c r="D108" s="725"/>
      <c r="E108" s="725"/>
      <c r="F108" s="725"/>
      <c r="G108" s="725"/>
      <c r="H108" s="725"/>
      <c r="I108" s="725"/>
      <c r="J108" s="725"/>
      <c r="K108" s="725"/>
      <c r="L108" s="725"/>
      <c r="M108" s="725"/>
      <c r="N108" s="725"/>
      <c r="O108" s="725"/>
      <c r="P108" s="725"/>
      <c r="Q108" s="725"/>
      <c r="R108" s="725"/>
      <c r="S108" s="725"/>
      <c r="T108" s="725"/>
      <c r="U108" s="725"/>
      <c r="V108" s="725"/>
      <c r="W108" s="725"/>
      <c r="X108" s="725"/>
      <c r="Y108" s="725"/>
      <c r="Z108" s="725"/>
      <c r="AA108" s="725"/>
      <c r="AB108" s="725"/>
      <c r="AC108" s="725"/>
      <c r="AD108" s="725"/>
      <c r="AE108" s="725"/>
      <c r="AF108" s="725"/>
      <c r="AG108" s="725"/>
      <c r="AH108" s="725"/>
      <c r="AI108" s="725"/>
      <c r="AJ108" s="725"/>
      <c r="AK108" s="725"/>
    </row>
    <row r="109" spans="2:37" ht="8.1" customHeight="1">
      <c r="B109" s="258"/>
      <c r="C109" s="240"/>
      <c r="D109" s="238"/>
      <c r="E109" s="238"/>
      <c r="F109" s="238"/>
      <c r="G109" s="238"/>
      <c r="H109" s="238"/>
      <c r="I109" s="238"/>
      <c r="J109" s="238"/>
      <c r="K109" s="238"/>
      <c r="L109" s="238"/>
      <c r="M109" s="238"/>
      <c r="N109" s="238"/>
      <c r="O109" s="238"/>
      <c r="P109" s="238"/>
      <c r="Q109" s="238"/>
      <c r="R109" s="238"/>
      <c r="S109" s="238"/>
      <c r="T109" s="238"/>
      <c r="U109" s="238"/>
      <c r="V109" s="238"/>
      <c r="W109" s="238"/>
      <c r="X109" s="238"/>
      <c r="Y109" s="238"/>
      <c r="Z109" s="238"/>
      <c r="AA109" s="238"/>
      <c r="AB109" s="238"/>
      <c r="AC109" s="238"/>
      <c r="AD109" s="238"/>
      <c r="AE109" s="238"/>
      <c r="AF109" s="238"/>
      <c r="AG109" s="238"/>
      <c r="AH109" s="238"/>
      <c r="AI109" s="238"/>
      <c r="AJ109" s="238"/>
      <c r="AK109" s="238"/>
    </row>
    <row r="110" spans="2:37" ht="13.2">
      <c r="B110" s="726" t="s">
        <v>200</v>
      </c>
      <c r="C110" s="726"/>
      <c r="D110" s="726"/>
      <c r="E110" s="726"/>
      <c r="F110" s="726"/>
      <c r="G110" s="726"/>
      <c r="H110" s="726"/>
      <c r="I110" s="726"/>
      <c r="J110" s="726"/>
      <c r="K110" s="726"/>
      <c r="L110" s="726"/>
      <c r="M110" s="726"/>
      <c r="N110" s="726"/>
      <c r="O110" s="726"/>
      <c r="P110" s="726"/>
      <c r="Q110" s="726"/>
      <c r="R110" s="726"/>
      <c r="S110" s="726"/>
      <c r="T110" s="726"/>
      <c r="U110" s="726"/>
      <c r="V110" s="726"/>
      <c r="W110" s="726"/>
      <c r="X110" s="726"/>
      <c r="Y110" s="726"/>
      <c r="Z110" s="726"/>
      <c r="AA110" s="726"/>
      <c r="AB110" s="726"/>
      <c r="AC110" s="726"/>
      <c r="AD110" s="726"/>
      <c r="AE110" s="726"/>
      <c r="AF110" s="726"/>
      <c r="AG110" s="726"/>
      <c r="AH110" s="726"/>
      <c r="AI110" s="726"/>
      <c r="AJ110" s="726"/>
      <c r="AK110" s="726"/>
    </row>
    <row r="111" spans="2:37" ht="8.1" customHeight="1">
      <c r="B111" s="257"/>
      <c r="C111" s="240"/>
      <c r="D111" s="238"/>
      <c r="E111" s="238"/>
      <c r="F111" s="238"/>
      <c r="G111" s="238"/>
      <c r="H111" s="238"/>
      <c r="I111" s="238"/>
      <c r="J111" s="238"/>
      <c r="K111" s="238"/>
      <c r="L111" s="238"/>
      <c r="M111" s="238"/>
      <c r="N111" s="238"/>
      <c r="O111" s="238"/>
      <c r="P111" s="238"/>
      <c r="Q111" s="238"/>
      <c r="R111" s="238"/>
      <c r="S111" s="238"/>
      <c r="T111" s="238"/>
      <c r="U111" s="238"/>
      <c r="V111" s="238"/>
      <c r="W111" s="238"/>
      <c r="X111" s="238"/>
      <c r="Y111" s="238"/>
      <c r="Z111" s="238"/>
      <c r="AA111" s="238"/>
      <c r="AB111" s="238"/>
      <c r="AC111" s="238"/>
      <c r="AD111" s="238"/>
      <c r="AE111" s="238"/>
      <c r="AF111" s="238"/>
      <c r="AG111" s="238"/>
      <c r="AH111" s="238"/>
      <c r="AI111" s="238"/>
      <c r="AJ111" s="238"/>
      <c r="AK111" s="238"/>
    </row>
    <row r="112" spans="2:37" ht="36" customHeight="1">
      <c r="B112" s="566" t="s">
        <v>301</v>
      </c>
      <c r="C112" s="566"/>
      <c r="D112" s="566"/>
      <c r="E112" s="566"/>
      <c r="F112" s="566"/>
      <c r="G112" s="566"/>
      <c r="H112" s="566"/>
      <c r="I112" s="566"/>
      <c r="J112" s="566"/>
      <c r="K112" s="566"/>
      <c r="L112" s="566"/>
      <c r="M112" s="566"/>
      <c r="N112" s="566"/>
      <c r="O112" s="566"/>
      <c r="P112" s="566"/>
      <c r="Q112" s="566"/>
      <c r="R112" s="566"/>
      <c r="S112" s="566"/>
      <c r="T112" s="566"/>
      <c r="U112" s="566"/>
      <c r="V112" s="566"/>
      <c r="W112" s="566"/>
      <c r="X112" s="566"/>
      <c r="Y112" s="566"/>
      <c r="Z112" s="566"/>
      <c r="AA112" s="566"/>
      <c r="AB112" s="566"/>
      <c r="AC112" s="566"/>
      <c r="AD112" s="566"/>
      <c r="AE112" s="566"/>
      <c r="AF112" s="566"/>
      <c r="AG112" s="566"/>
      <c r="AH112" s="566"/>
      <c r="AI112" s="566"/>
      <c r="AJ112" s="566"/>
      <c r="AK112" s="566"/>
    </row>
    <row r="113" spans="2:37" ht="8.1" customHeight="1">
      <c r="B113" s="619"/>
      <c r="C113" s="619"/>
      <c r="D113" s="619"/>
      <c r="E113" s="619"/>
      <c r="F113" s="619"/>
      <c r="G113" s="619"/>
      <c r="H113" s="619"/>
      <c r="I113" s="619"/>
      <c r="J113" s="619"/>
      <c r="K113" s="619"/>
      <c r="L113" s="619"/>
      <c r="M113" s="619"/>
      <c r="N113" s="619"/>
      <c r="O113" s="619"/>
      <c r="P113" s="619"/>
      <c r="Q113" s="619"/>
      <c r="R113" s="619"/>
      <c r="S113" s="619"/>
      <c r="T113" s="619"/>
      <c r="U113" s="619"/>
      <c r="V113" s="619"/>
      <c r="W113" s="619"/>
      <c r="X113" s="619"/>
      <c r="Y113" s="619"/>
      <c r="Z113" s="619"/>
      <c r="AA113" s="619"/>
      <c r="AB113" s="619"/>
      <c r="AC113" s="619"/>
      <c r="AD113" s="619"/>
      <c r="AE113" s="619"/>
      <c r="AF113" s="619"/>
      <c r="AG113" s="619"/>
      <c r="AH113" s="619"/>
      <c r="AI113" s="619"/>
      <c r="AJ113" s="619"/>
      <c r="AK113" s="619"/>
    </row>
    <row r="114" spans="2:37" ht="45.75" customHeight="1">
      <c r="B114" s="566" t="s">
        <v>302</v>
      </c>
      <c r="C114" s="566"/>
      <c r="D114" s="566"/>
      <c r="E114" s="566"/>
      <c r="F114" s="566"/>
      <c r="G114" s="566"/>
      <c r="H114" s="566"/>
      <c r="I114" s="566"/>
      <c r="J114" s="566"/>
      <c r="K114" s="566"/>
      <c r="L114" s="566"/>
      <c r="M114" s="566"/>
      <c r="N114" s="566"/>
      <c r="O114" s="566"/>
      <c r="P114" s="566"/>
      <c r="Q114" s="566"/>
      <c r="R114" s="566"/>
      <c r="S114" s="566"/>
      <c r="T114" s="566"/>
      <c r="U114" s="566"/>
      <c r="V114" s="566"/>
      <c r="W114" s="566"/>
      <c r="X114" s="566"/>
      <c r="Y114" s="566"/>
      <c r="Z114" s="566"/>
      <c r="AA114" s="566"/>
      <c r="AB114" s="566"/>
      <c r="AC114" s="566"/>
      <c r="AD114" s="566"/>
      <c r="AE114" s="566"/>
      <c r="AF114" s="566"/>
      <c r="AG114" s="566"/>
      <c r="AH114" s="566"/>
      <c r="AI114" s="566"/>
      <c r="AJ114" s="566"/>
      <c r="AK114" s="566"/>
    </row>
    <row r="115" spans="2:37" ht="8.1" customHeight="1">
      <c r="B115" s="259"/>
      <c r="C115" s="240"/>
      <c r="D115" s="238"/>
      <c r="E115" s="238"/>
      <c r="F115" s="238"/>
      <c r="G115" s="238"/>
      <c r="H115" s="238"/>
      <c r="I115" s="238"/>
      <c r="J115" s="238"/>
      <c r="K115" s="238"/>
      <c r="L115" s="238"/>
      <c r="M115" s="238"/>
      <c r="N115" s="238"/>
      <c r="O115" s="238"/>
      <c r="P115" s="238"/>
      <c r="Q115" s="238"/>
      <c r="R115" s="238"/>
      <c r="S115" s="238"/>
      <c r="T115" s="238"/>
      <c r="U115" s="238"/>
      <c r="V115" s="238"/>
      <c r="W115" s="238"/>
      <c r="X115" s="238"/>
      <c r="Y115" s="238"/>
      <c r="Z115" s="238"/>
      <c r="AA115" s="238"/>
      <c r="AB115" s="238"/>
      <c r="AC115" s="238"/>
      <c r="AD115" s="238"/>
      <c r="AE115" s="238"/>
      <c r="AF115" s="238"/>
      <c r="AG115" s="238"/>
      <c r="AH115" s="238"/>
      <c r="AI115" s="238"/>
      <c r="AJ115" s="238"/>
      <c r="AK115" s="238"/>
    </row>
    <row r="116" spans="2:37" ht="12" customHeight="1">
      <c r="B116" s="566" t="s">
        <v>303</v>
      </c>
      <c r="C116" s="566"/>
      <c r="D116" s="566"/>
      <c r="E116" s="566"/>
      <c r="F116" s="566"/>
      <c r="G116" s="566"/>
      <c r="H116" s="566"/>
      <c r="I116" s="566"/>
      <c r="J116" s="566"/>
      <c r="K116" s="566"/>
      <c r="L116" s="566"/>
      <c r="M116" s="566"/>
      <c r="N116" s="566"/>
      <c r="O116" s="566"/>
      <c r="P116" s="566"/>
      <c r="Q116" s="566"/>
      <c r="R116" s="566"/>
      <c r="S116" s="566"/>
      <c r="T116" s="566"/>
      <c r="U116" s="566"/>
      <c r="V116" s="566"/>
      <c r="W116" s="566"/>
      <c r="X116" s="566"/>
      <c r="Y116" s="566"/>
      <c r="Z116" s="566"/>
      <c r="AA116" s="566"/>
      <c r="AB116" s="566"/>
      <c r="AC116" s="566"/>
      <c r="AD116" s="566"/>
      <c r="AE116" s="566"/>
      <c r="AF116" s="566"/>
      <c r="AG116" s="566"/>
      <c r="AH116" s="566"/>
      <c r="AI116" s="566"/>
      <c r="AJ116" s="566"/>
      <c r="AK116" s="566"/>
    </row>
    <row r="117" spans="2:37" ht="8.1" customHeight="1">
      <c r="B117" s="231"/>
      <c r="C117" s="231"/>
      <c r="D117" s="231"/>
      <c r="E117" s="231"/>
      <c r="F117" s="231"/>
      <c r="G117" s="231"/>
      <c r="H117" s="231"/>
      <c r="I117" s="231"/>
      <c r="J117" s="231"/>
      <c r="K117" s="231"/>
      <c r="L117" s="231"/>
      <c r="M117" s="231"/>
      <c r="N117" s="231"/>
      <c r="O117" s="231"/>
      <c r="P117" s="231"/>
      <c r="Q117" s="231"/>
      <c r="R117" s="231"/>
      <c r="S117" s="231"/>
      <c r="T117" s="231"/>
      <c r="U117" s="231"/>
      <c r="V117" s="231"/>
      <c r="W117" s="231"/>
      <c r="X117" s="231"/>
      <c r="Y117" s="231"/>
      <c r="Z117" s="231"/>
      <c r="AA117" s="231"/>
      <c r="AB117" s="231"/>
      <c r="AC117" s="231"/>
      <c r="AD117" s="231"/>
      <c r="AE117" s="231"/>
      <c r="AF117" s="231"/>
      <c r="AG117" s="231"/>
      <c r="AH117" s="231"/>
      <c r="AI117" s="231"/>
      <c r="AJ117" s="231"/>
      <c r="AK117" s="231"/>
    </row>
    <row r="118" spans="2:37" ht="36" customHeight="1">
      <c r="B118" s="566" t="s">
        <v>204</v>
      </c>
      <c r="C118" s="566"/>
      <c r="D118" s="566"/>
      <c r="E118" s="566"/>
      <c r="F118" s="566"/>
      <c r="G118" s="566"/>
      <c r="H118" s="566"/>
      <c r="I118" s="566"/>
      <c r="J118" s="566"/>
      <c r="K118" s="566"/>
      <c r="L118" s="566"/>
      <c r="M118" s="566"/>
      <c r="N118" s="566"/>
      <c r="O118" s="566"/>
      <c r="P118" s="566"/>
      <c r="Q118" s="566"/>
      <c r="R118" s="566"/>
      <c r="S118" s="566"/>
      <c r="T118" s="566"/>
      <c r="U118" s="566"/>
      <c r="V118" s="566"/>
      <c r="W118" s="566"/>
      <c r="X118" s="566"/>
      <c r="Y118" s="566"/>
      <c r="Z118" s="566"/>
      <c r="AA118" s="566"/>
      <c r="AB118" s="566"/>
      <c r="AC118" s="566"/>
      <c r="AD118" s="566"/>
      <c r="AE118" s="566"/>
      <c r="AF118" s="566"/>
      <c r="AG118" s="566"/>
      <c r="AH118" s="566"/>
      <c r="AI118" s="566"/>
      <c r="AJ118" s="566"/>
      <c r="AK118" s="566"/>
    </row>
    <row r="119" spans="2:37" ht="8.1" customHeight="1">
      <c r="B119" s="258"/>
      <c r="C119" s="240"/>
      <c r="D119" s="238"/>
      <c r="E119" s="238"/>
      <c r="F119" s="238"/>
      <c r="G119" s="238"/>
      <c r="H119" s="238"/>
      <c r="I119" s="238"/>
      <c r="J119" s="238"/>
      <c r="K119" s="238"/>
      <c r="L119" s="238"/>
      <c r="M119" s="238"/>
      <c r="N119" s="238"/>
      <c r="O119" s="238"/>
      <c r="P119" s="238"/>
      <c r="Q119" s="238"/>
      <c r="R119" s="238"/>
      <c r="S119" s="238"/>
      <c r="T119" s="238"/>
      <c r="U119" s="238"/>
      <c r="V119" s="238"/>
      <c r="W119" s="238"/>
      <c r="X119" s="238"/>
      <c r="Y119" s="238"/>
      <c r="Z119" s="238"/>
      <c r="AA119" s="238"/>
      <c r="AB119" s="238"/>
      <c r="AC119" s="238"/>
      <c r="AD119" s="238"/>
      <c r="AE119" s="238"/>
      <c r="AF119" s="238"/>
      <c r="AG119" s="238"/>
      <c r="AH119" s="238"/>
      <c r="AI119" s="238"/>
      <c r="AJ119" s="238"/>
      <c r="AK119" s="238"/>
    </row>
    <row r="120" spans="2:37" ht="54.75" customHeight="1">
      <c r="B120" s="566" t="s">
        <v>304</v>
      </c>
      <c r="C120" s="566"/>
      <c r="D120" s="566"/>
      <c r="E120" s="566"/>
      <c r="F120" s="566"/>
      <c r="G120" s="566"/>
      <c r="H120" s="566"/>
      <c r="I120" s="566"/>
      <c r="J120" s="566"/>
      <c r="K120" s="566"/>
      <c r="L120" s="566"/>
      <c r="M120" s="566"/>
      <c r="N120" s="566"/>
      <c r="O120" s="566"/>
      <c r="P120" s="566"/>
      <c r="Q120" s="566"/>
      <c r="R120" s="566"/>
      <c r="S120" s="566"/>
      <c r="T120" s="566"/>
      <c r="U120" s="566"/>
      <c r="V120" s="566"/>
      <c r="W120" s="566"/>
      <c r="X120" s="566"/>
      <c r="Y120" s="566"/>
      <c r="Z120" s="566"/>
      <c r="AA120" s="566"/>
      <c r="AB120" s="566"/>
      <c r="AC120" s="566"/>
      <c r="AD120" s="566"/>
      <c r="AE120" s="566"/>
      <c r="AF120" s="566"/>
      <c r="AG120" s="566"/>
      <c r="AH120" s="566"/>
      <c r="AI120" s="566"/>
      <c r="AJ120" s="566"/>
      <c r="AK120" s="566"/>
    </row>
    <row r="121" spans="2:37" ht="8.1" customHeight="1">
      <c r="B121" s="239"/>
      <c r="C121" s="240"/>
      <c r="D121" s="238"/>
      <c r="E121" s="238"/>
      <c r="F121" s="238"/>
      <c r="G121" s="238"/>
      <c r="H121" s="238"/>
      <c r="I121" s="238"/>
      <c r="J121" s="238"/>
      <c r="K121" s="238"/>
      <c r="L121" s="238"/>
      <c r="M121" s="238"/>
      <c r="N121" s="238"/>
      <c r="O121" s="238"/>
      <c r="P121" s="238"/>
      <c r="Q121" s="238"/>
      <c r="R121" s="238"/>
      <c r="S121" s="238"/>
      <c r="T121" s="238"/>
      <c r="U121" s="238"/>
      <c r="V121" s="238"/>
      <c r="W121" s="238"/>
      <c r="X121" s="238"/>
      <c r="Y121" s="238"/>
      <c r="Z121" s="238"/>
      <c r="AA121" s="238"/>
      <c r="AB121" s="238"/>
      <c r="AC121" s="238"/>
      <c r="AD121" s="238"/>
      <c r="AE121" s="238"/>
      <c r="AF121" s="238"/>
      <c r="AG121" s="238"/>
      <c r="AH121" s="238"/>
      <c r="AI121" s="238"/>
      <c r="AJ121" s="238"/>
      <c r="AK121" s="238"/>
    </row>
    <row r="122" spans="2:37" ht="42.75" customHeight="1">
      <c r="B122" s="566" t="s">
        <v>305</v>
      </c>
      <c r="C122" s="566"/>
      <c r="D122" s="566"/>
      <c r="E122" s="566"/>
      <c r="F122" s="566"/>
      <c r="G122" s="566"/>
      <c r="H122" s="566"/>
      <c r="I122" s="566"/>
      <c r="J122" s="566"/>
      <c r="K122" s="566"/>
      <c r="L122" s="566"/>
      <c r="M122" s="566"/>
      <c r="N122" s="566"/>
      <c r="O122" s="566"/>
      <c r="P122" s="566"/>
      <c r="Q122" s="566"/>
      <c r="R122" s="566"/>
      <c r="S122" s="566"/>
      <c r="T122" s="566"/>
      <c r="U122" s="566"/>
      <c r="V122" s="566"/>
      <c r="W122" s="566"/>
      <c r="X122" s="566"/>
      <c r="Y122" s="566"/>
      <c r="Z122" s="566"/>
      <c r="AA122" s="566"/>
      <c r="AB122" s="566"/>
      <c r="AC122" s="566"/>
      <c r="AD122" s="566"/>
      <c r="AE122" s="566"/>
      <c r="AF122" s="566"/>
      <c r="AG122" s="566"/>
      <c r="AH122" s="566"/>
      <c r="AI122" s="566"/>
      <c r="AJ122" s="566"/>
      <c r="AK122" s="566"/>
    </row>
    <row r="123" spans="2:37" ht="8.1" customHeight="1">
      <c r="B123" s="239"/>
      <c r="C123" s="240"/>
      <c r="D123" s="238"/>
      <c r="E123" s="238"/>
      <c r="F123" s="238"/>
      <c r="G123" s="238"/>
      <c r="H123" s="238"/>
      <c r="I123" s="238"/>
      <c r="J123" s="238"/>
      <c r="K123" s="238"/>
      <c r="L123" s="238"/>
      <c r="M123" s="238"/>
      <c r="N123" s="238"/>
      <c r="O123" s="238"/>
      <c r="P123" s="238"/>
      <c r="Q123" s="238"/>
      <c r="R123" s="238"/>
      <c r="S123" s="238"/>
      <c r="T123" s="238"/>
      <c r="U123" s="238"/>
      <c r="V123" s="238"/>
      <c r="W123" s="238"/>
      <c r="X123" s="238"/>
      <c r="Y123" s="238"/>
      <c r="Z123" s="238"/>
      <c r="AA123" s="238"/>
      <c r="AB123" s="238"/>
      <c r="AC123" s="238"/>
      <c r="AD123" s="238"/>
      <c r="AE123" s="238"/>
      <c r="AF123" s="238"/>
      <c r="AG123" s="238"/>
      <c r="AH123" s="238"/>
      <c r="AI123" s="238"/>
      <c r="AJ123" s="238"/>
      <c r="AK123" s="238"/>
    </row>
    <row r="124" spans="2:37" ht="67.5" customHeight="1">
      <c r="B124" s="566" t="s">
        <v>306</v>
      </c>
      <c r="C124" s="566"/>
      <c r="D124" s="566"/>
      <c r="E124" s="566"/>
      <c r="F124" s="566"/>
      <c r="G124" s="566"/>
      <c r="H124" s="566"/>
      <c r="I124" s="566"/>
      <c r="J124" s="566"/>
      <c r="K124" s="566"/>
      <c r="L124" s="566"/>
      <c r="M124" s="566"/>
      <c r="N124" s="566"/>
      <c r="O124" s="566"/>
      <c r="P124" s="566"/>
      <c r="Q124" s="566"/>
      <c r="R124" s="566"/>
      <c r="S124" s="566"/>
      <c r="T124" s="566"/>
      <c r="U124" s="566"/>
      <c r="V124" s="566"/>
      <c r="W124" s="566"/>
      <c r="X124" s="566"/>
      <c r="Y124" s="566"/>
      <c r="Z124" s="566"/>
      <c r="AA124" s="566"/>
      <c r="AB124" s="566"/>
      <c r="AC124" s="566"/>
      <c r="AD124" s="566"/>
      <c r="AE124" s="566"/>
      <c r="AF124" s="566"/>
      <c r="AG124" s="566"/>
      <c r="AH124" s="566"/>
      <c r="AI124" s="566"/>
      <c r="AJ124" s="566"/>
      <c r="AK124" s="566"/>
    </row>
    <row r="125" spans="2:37" ht="22.5" customHeight="1">
      <c r="B125" s="562" t="s">
        <v>307</v>
      </c>
      <c r="C125" s="562"/>
      <c r="D125" s="562"/>
      <c r="E125" s="562"/>
      <c r="F125" s="562"/>
      <c r="G125" s="562"/>
      <c r="H125" s="562"/>
      <c r="I125" s="562"/>
      <c r="J125" s="562"/>
      <c r="K125" s="562"/>
      <c r="L125" s="562"/>
      <c r="M125" s="562"/>
      <c r="N125" s="562"/>
      <c r="O125" s="562"/>
      <c r="P125" s="562"/>
      <c r="Q125" s="562"/>
      <c r="R125" s="562"/>
      <c r="S125" s="562"/>
      <c r="T125" s="562"/>
      <c r="U125" s="562"/>
      <c r="V125" s="562"/>
      <c r="W125" s="562"/>
      <c r="X125" s="562"/>
      <c r="Y125" s="562"/>
      <c r="Z125" s="562"/>
      <c r="AA125" s="562"/>
      <c r="AB125" s="562"/>
      <c r="AC125" s="562"/>
      <c r="AD125" s="562"/>
      <c r="AE125" s="562"/>
      <c r="AF125" s="562"/>
      <c r="AG125" s="562"/>
      <c r="AH125" s="562"/>
      <c r="AI125" s="562"/>
      <c r="AJ125" s="562"/>
      <c r="AK125" s="562"/>
    </row>
    <row r="126" spans="2:37" ht="22.5" customHeight="1">
      <c r="B126" s="562" t="s">
        <v>308</v>
      </c>
      <c r="C126" s="562"/>
      <c r="D126" s="562"/>
      <c r="E126" s="562"/>
      <c r="F126" s="562"/>
      <c r="G126" s="562"/>
      <c r="H126" s="562"/>
      <c r="I126" s="562"/>
      <c r="J126" s="562"/>
      <c r="K126" s="562"/>
      <c r="L126" s="562"/>
      <c r="M126" s="562"/>
      <c r="N126" s="562"/>
      <c r="O126" s="562"/>
      <c r="P126" s="562"/>
      <c r="Q126" s="562"/>
      <c r="R126" s="562"/>
      <c r="S126" s="562"/>
      <c r="T126" s="562"/>
      <c r="U126" s="562"/>
      <c r="V126" s="562"/>
      <c r="W126" s="562"/>
      <c r="X126" s="562"/>
      <c r="Y126" s="562"/>
      <c r="Z126" s="562"/>
      <c r="AA126" s="562"/>
      <c r="AB126" s="562"/>
      <c r="AC126" s="562"/>
      <c r="AD126" s="562"/>
      <c r="AE126" s="562"/>
      <c r="AF126" s="562"/>
      <c r="AG126" s="562"/>
      <c r="AH126" s="562"/>
      <c r="AI126" s="562"/>
      <c r="AJ126" s="562"/>
      <c r="AK126" s="562"/>
    </row>
    <row r="127" spans="2:37" ht="36" customHeight="1">
      <c r="B127" s="562" t="s">
        <v>211</v>
      </c>
      <c r="C127" s="562"/>
      <c r="D127" s="562"/>
      <c r="E127" s="562"/>
      <c r="F127" s="562"/>
      <c r="G127" s="562"/>
      <c r="H127" s="562"/>
      <c r="I127" s="562"/>
      <c r="J127" s="562"/>
      <c r="K127" s="562"/>
      <c r="L127" s="562"/>
      <c r="M127" s="562"/>
      <c r="N127" s="562"/>
      <c r="O127" s="562"/>
      <c r="P127" s="562"/>
      <c r="Q127" s="562"/>
      <c r="R127" s="562"/>
      <c r="S127" s="562"/>
      <c r="T127" s="562"/>
      <c r="U127" s="562"/>
      <c r="V127" s="562"/>
      <c r="W127" s="562"/>
      <c r="X127" s="562"/>
      <c r="Y127" s="562"/>
      <c r="Z127" s="562"/>
      <c r="AA127" s="562"/>
      <c r="AB127" s="562"/>
      <c r="AC127" s="562"/>
      <c r="AD127" s="562"/>
      <c r="AE127" s="562"/>
      <c r="AF127" s="562"/>
      <c r="AG127" s="562"/>
      <c r="AH127" s="562"/>
      <c r="AI127" s="562"/>
      <c r="AJ127" s="562"/>
      <c r="AK127" s="562"/>
    </row>
    <row r="128" spans="2:37" ht="87" customHeight="1">
      <c r="B128" s="562" t="s">
        <v>309</v>
      </c>
      <c r="C128" s="562"/>
      <c r="D128" s="562"/>
      <c r="E128" s="562"/>
      <c r="F128" s="562"/>
      <c r="G128" s="562"/>
      <c r="H128" s="562"/>
      <c r="I128" s="562"/>
      <c r="J128" s="562"/>
      <c r="K128" s="562"/>
      <c r="L128" s="562"/>
      <c r="M128" s="562"/>
      <c r="N128" s="562"/>
      <c r="O128" s="562"/>
      <c r="P128" s="562"/>
      <c r="Q128" s="562"/>
      <c r="R128" s="562"/>
      <c r="S128" s="562"/>
      <c r="T128" s="562"/>
      <c r="U128" s="562"/>
      <c r="V128" s="562"/>
      <c r="W128" s="562"/>
      <c r="X128" s="562"/>
      <c r="Y128" s="562"/>
      <c r="Z128" s="562"/>
      <c r="AA128" s="562"/>
      <c r="AB128" s="562"/>
      <c r="AC128" s="562"/>
      <c r="AD128" s="562"/>
      <c r="AE128" s="562"/>
      <c r="AF128" s="562"/>
      <c r="AG128" s="562"/>
      <c r="AH128" s="562"/>
      <c r="AI128" s="562"/>
      <c r="AJ128" s="562"/>
      <c r="AK128" s="562"/>
    </row>
    <row r="129" spans="2:37" ht="8.1" customHeight="1">
      <c r="B129" s="242"/>
      <c r="C129" s="242"/>
      <c r="D129" s="242"/>
      <c r="E129" s="242"/>
      <c r="F129" s="242"/>
      <c r="G129" s="242"/>
      <c r="H129" s="242"/>
      <c r="I129" s="242"/>
      <c r="J129" s="242"/>
      <c r="K129" s="242"/>
      <c r="L129" s="242"/>
      <c r="M129" s="242"/>
      <c r="N129" s="242"/>
      <c r="O129" s="242"/>
      <c r="P129" s="242"/>
      <c r="Q129" s="242"/>
      <c r="R129" s="242"/>
      <c r="S129" s="242"/>
      <c r="T129" s="242"/>
      <c r="U129" s="242"/>
      <c r="V129" s="242"/>
      <c r="W129" s="242"/>
      <c r="X129" s="242"/>
      <c r="Y129" s="242"/>
      <c r="Z129" s="242"/>
      <c r="AA129" s="242"/>
      <c r="AB129" s="242"/>
      <c r="AC129" s="242"/>
      <c r="AD129" s="242"/>
      <c r="AE129" s="242"/>
      <c r="AF129" s="242"/>
      <c r="AG129" s="242"/>
      <c r="AH129" s="242"/>
      <c r="AI129" s="242"/>
      <c r="AJ129" s="242"/>
      <c r="AK129" s="242"/>
    </row>
    <row r="130" spans="2:37" ht="51" customHeight="1">
      <c r="B130" s="566" t="s">
        <v>310</v>
      </c>
      <c r="C130" s="566"/>
      <c r="D130" s="566"/>
      <c r="E130" s="566"/>
      <c r="F130" s="566"/>
      <c r="G130" s="566"/>
      <c r="H130" s="566"/>
      <c r="I130" s="566"/>
      <c r="J130" s="566"/>
      <c r="K130" s="566"/>
      <c r="L130" s="566"/>
      <c r="M130" s="566"/>
      <c r="N130" s="566"/>
      <c r="O130" s="566"/>
      <c r="P130" s="566"/>
      <c r="Q130" s="566"/>
      <c r="R130" s="566"/>
      <c r="S130" s="566"/>
      <c r="T130" s="566"/>
      <c r="U130" s="566"/>
      <c r="V130" s="566"/>
      <c r="W130" s="566"/>
      <c r="X130" s="566"/>
      <c r="Y130" s="566"/>
      <c r="Z130" s="566"/>
      <c r="AA130" s="566"/>
      <c r="AB130" s="566"/>
      <c r="AC130" s="566"/>
      <c r="AD130" s="566"/>
      <c r="AE130" s="566"/>
      <c r="AF130" s="566"/>
      <c r="AG130" s="566"/>
      <c r="AH130" s="566"/>
      <c r="AI130" s="566"/>
      <c r="AJ130" s="566"/>
      <c r="AK130" s="566"/>
    </row>
    <row r="131" spans="2:37" ht="8.1" customHeight="1">
      <c r="B131" s="232"/>
      <c r="C131" s="232"/>
      <c r="D131" s="232"/>
      <c r="E131" s="232"/>
      <c r="F131" s="232"/>
      <c r="G131" s="232"/>
      <c r="H131" s="232"/>
      <c r="I131" s="232"/>
      <c r="J131" s="232"/>
      <c r="K131" s="232"/>
      <c r="L131" s="232"/>
      <c r="M131" s="232"/>
      <c r="N131" s="232"/>
      <c r="O131" s="232"/>
      <c r="P131" s="232"/>
      <c r="Q131" s="232"/>
      <c r="R131" s="232"/>
      <c r="S131" s="232"/>
      <c r="T131" s="232"/>
      <c r="U131" s="232"/>
      <c r="V131" s="232"/>
      <c r="W131" s="232"/>
      <c r="X131" s="232"/>
      <c r="Y131" s="232"/>
      <c r="Z131" s="232"/>
      <c r="AA131" s="232"/>
      <c r="AB131" s="232"/>
      <c r="AC131" s="232"/>
      <c r="AD131" s="232"/>
      <c r="AE131" s="232"/>
      <c r="AF131" s="232"/>
      <c r="AG131" s="232"/>
      <c r="AH131" s="232"/>
      <c r="AI131" s="232"/>
      <c r="AJ131" s="232"/>
      <c r="AK131" s="232"/>
    </row>
    <row r="132" spans="2:37" ht="93" customHeight="1">
      <c r="B132" s="566" t="s">
        <v>311</v>
      </c>
      <c r="C132" s="566"/>
      <c r="D132" s="566"/>
      <c r="E132" s="566"/>
      <c r="F132" s="566"/>
      <c r="G132" s="566"/>
      <c r="H132" s="566"/>
      <c r="I132" s="566"/>
      <c r="J132" s="566"/>
      <c r="K132" s="566"/>
      <c r="L132" s="566"/>
      <c r="M132" s="566"/>
      <c r="N132" s="566"/>
      <c r="O132" s="566"/>
      <c r="P132" s="566"/>
      <c r="Q132" s="566"/>
      <c r="R132" s="566"/>
      <c r="S132" s="566"/>
      <c r="T132" s="566"/>
      <c r="U132" s="566"/>
      <c r="V132" s="566"/>
      <c r="W132" s="566"/>
      <c r="X132" s="566"/>
      <c r="Y132" s="566"/>
      <c r="Z132" s="566"/>
      <c r="AA132" s="566"/>
      <c r="AB132" s="566"/>
      <c r="AC132" s="566"/>
      <c r="AD132" s="566"/>
      <c r="AE132" s="566"/>
      <c r="AF132" s="566"/>
      <c r="AG132" s="566"/>
      <c r="AH132" s="566"/>
      <c r="AI132" s="566"/>
      <c r="AJ132" s="566"/>
      <c r="AK132" s="566"/>
    </row>
    <row r="133" spans="2:37" ht="91.5" customHeight="1">
      <c r="B133" s="562" t="s">
        <v>215</v>
      </c>
      <c r="C133" s="562"/>
      <c r="D133" s="562"/>
      <c r="E133" s="562"/>
      <c r="F133" s="562"/>
      <c r="G133" s="562"/>
      <c r="H133" s="562"/>
      <c r="I133" s="562"/>
      <c r="J133" s="562"/>
      <c r="K133" s="562"/>
      <c r="L133" s="562"/>
      <c r="M133" s="562"/>
      <c r="N133" s="562"/>
      <c r="O133" s="562"/>
      <c r="P133" s="562"/>
      <c r="Q133" s="562"/>
      <c r="R133" s="562"/>
      <c r="S133" s="562"/>
      <c r="T133" s="562"/>
      <c r="U133" s="562"/>
      <c r="V133" s="562"/>
      <c r="W133" s="562"/>
      <c r="X133" s="562"/>
      <c r="Y133" s="562"/>
      <c r="Z133" s="562"/>
      <c r="AA133" s="562"/>
      <c r="AB133" s="562"/>
      <c r="AC133" s="562"/>
      <c r="AD133" s="562"/>
      <c r="AE133" s="562"/>
      <c r="AF133" s="562"/>
      <c r="AG133" s="562"/>
      <c r="AH133" s="562"/>
      <c r="AI133" s="562"/>
      <c r="AJ133" s="562"/>
      <c r="AK133" s="562"/>
    </row>
    <row r="134" spans="2:37" ht="8.1" customHeight="1">
      <c r="B134" s="232"/>
      <c r="C134" s="232"/>
      <c r="D134" s="232"/>
      <c r="E134" s="232"/>
      <c r="F134" s="232"/>
      <c r="G134" s="232"/>
      <c r="H134" s="232"/>
      <c r="I134" s="232"/>
      <c r="J134" s="232"/>
      <c r="K134" s="232"/>
      <c r="L134" s="232"/>
      <c r="M134" s="232"/>
      <c r="N134" s="232"/>
      <c r="O134" s="232"/>
      <c r="P134" s="232"/>
      <c r="Q134" s="232"/>
      <c r="R134" s="232"/>
      <c r="S134" s="232"/>
      <c r="T134" s="232"/>
      <c r="U134" s="232"/>
      <c r="V134" s="232"/>
      <c r="W134" s="232"/>
      <c r="X134" s="232"/>
      <c r="Y134" s="232"/>
      <c r="Z134" s="232"/>
      <c r="AA134" s="232"/>
      <c r="AB134" s="232"/>
      <c r="AC134" s="232"/>
      <c r="AD134" s="232"/>
      <c r="AE134" s="232"/>
      <c r="AF134" s="232"/>
      <c r="AG134" s="232"/>
      <c r="AH134" s="232"/>
      <c r="AI134" s="232"/>
      <c r="AJ134" s="232"/>
      <c r="AK134" s="232"/>
    </row>
    <row r="135" spans="2:37" ht="36.75" customHeight="1">
      <c r="B135" s="566" t="s">
        <v>312</v>
      </c>
      <c r="C135" s="566"/>
      <c r="D135" s="566"/>
      <c r="E135" s="566"/>
      <c r="F135" s="566"/>
      <c r="G135" s="566"/>
      <c r="H135" s="566"/>
      <c r="I135" s="566"/>
      <c r="J135" s="566"/>
      <c r="K135" s="566"/>
      <c r="L135" s="566"/>
      <c r="M135" s="566"/>
      <c r="N135" s="566"/>
      <c r="O135" s="566"/>
      <c r="P135" s="566"/>
      <c r="Q135" s="566"/>
      <c r="R135" s="566"/>
      <c r="S135" s="566"/>
      <c r="T135" s="566"/>
      <c r="U135" s="566"/>
      <c r="V135" s="566"/>
      <c r="W135" s="566"/>
      <c r="X135" s="566"/>
      <c r="Y135" s="566"/>
      <c r="Z135" s="566"/>
      <c r="AA135" s="566"/>
      <c r="AB135" s="566"/>
      <c r="AC135" s="566"/>
      <c r="AD135" s="566"/>
      <c r="AE135" s="566"/>
      <c r="AF135" s="566"/>
      <c r="AG135" s="566"/>
      <c r="AH135" s="566"/>
      <c r="AI135" s="566"/>
      <c r="AJ135" s="566"/>
      <c r="AK135" s="566"/>
    </row>
    <row r="136" spans="2:37" ht="8.1" customHeight="1">
      <c r="B136" s="562"/>
      <c r="C136" s="562"/>
      <c r="D136" s="562"/>
      <c r="E136" s="562"/>
      <c r="F136" s="562"/>
      <c r="G136" s="562"/>
      <c r="H136" s="562"/>
      <c r="I136" s="562"/>
      <c r="J136" s="562"/>
      <c r="K136" s="562"/>
      <c r="L136" s="562"/>
      <c r="M136" s="562"/>
      <c r="N136" s="562"/>
      <c r="O136" s="562"/>
      <c r="P136" s="562"/>
      <c r="Q136" s="562"/>
      <c r="R136" s="562"/>
      <c r="S136" s="562"/>
      <c r="T136" s="562"/>
      <c r="U136" s="562"/>
      <c r="V136" s="562"/>
      <c r="W136" s="562"/>
      <c r="X136" s="562"/>
      <c r="Y136" s="562"/>
      <c r="Z136" s="562"/>
      <c r="AA136" s="562"/>
      <c r="AB136" s="562"/>
      <c r="AC136" s="562"/>
      <c r="AD136" s="562"/>
      <c r="AE136" s="562"/>
      <c r="AF136" s="562"/>
      <c r="AG136" s="562"/>
      <c r="AH136" s="562"/>
      <c r="AI136" s="562"/>
      <c r="AJ136" s="562"/>
      <c r="AK136" s="562"/>
    </row>
    <row r="137" spans="2:37" ht="77.25" customHeight="1">
      <c r="B137" s="566" t="s">
        <v>313</v>
      </c>
      <c r="C137" s="566"/>
      <c r="D137" s="566"/>
      <c r="E137" s="566"/>
      <c r="F137" s="566"/>
      <c r="G137" s="566"/>
      <c r="H137" s="566"/>
      <c r="I137" s="566"/>
      <c r="J137" s="566"/>
      <c r="K137" s="566"/>
      <c r="L137" s="566"/>
      <c r="M137" s="566"/>
      <c r="N137" s="566"/>
      <c r="O137" s="566"/>
      <c r="P137" s="566"/>
      <c r="Q137" s="566"/>
      <c r="R137" s="566"/>
      <c r="S137" s="566"/>
      <c r="T137" s="566"/>
      <c r="U137" s="566"/>
      <c r="V137" s="566"/>
      <c r="W137" s="566"/>
      <c r="X137" s="566"/>
      <c r="Y137" s="566"/>
      <c r="Z137" s="566"/>
      <c r="AA137" s="566"/>
      <c r="AB137" s="566"/>
      <c r="AC137" s="566"/>
      <c r="AD137" s="566"/>
      <c r="AE137" s="566"/>
      <c r="AF137" s="566"/>
      <c r="AG137" s="566"/>
      <c r="AH137" s="566"/>
      <c r="AI137" s="566"/>
      <c r="AJ137" s="566"/>
      <c r="AK137" s="566"/>
    </row>
    <row r="138" spans="2:37" ht="8.1" customHeight="1">
      <c r="B138" s="232"/>
      <c r="C138" s="232"/>
      <c r="D138" s="232"/>
      <c r="E138" s="232"/>
      <c r="F138" s="232"/>
      <c r="G138" s="232"/>
      <c r="H138" s="232"/>
      <c r="I138" s="232"/>
      <c r="J138" s="232"/>
      <c r="K138" s="232"/>
      <c r="L138" s="232"/>
      <c r="M138" s="232"/>
      <c r="N138" s="232"/>
      <c r="O138" s="232"/>
      <c r="P138" s="232"/>
      <c r="Q138" s="232"/>
      <c r="R138" s="232"/>
      <c r="S138" s="232"/>
      <c r="T138" s="232"/>
      <c r="U138" s="232"/>
      <c r="V138" s="232"/>
      <c r="W138" s="232"/>
      <c r="X138" s="232"/>
      <c r="Y138" s="232"/>
      <c r="Z138" s="232"/>
      <c r="AA138" s="232"/>
      <c r="AB138" s="232"/>
      <c r="AC138" s="232"/>
      <c r="AD138" s="232"/>
      <c r="AE138" s="232"/>
      <c r="AF138" s="232"/>
      <c r="AG138" s="232"/>
      <c r="AH138" s="232"/>
      <c r="AI138" s="232"/>
      <c r="AJ138" s="232"/>
      <c r="AK138" s="232"/>
    </row>
    <row r="139" spans="2:37" ht="36.75" customHeight="1">
      <c r="B139" s="566" t="s">
        <v>314</v>
      </c>
      <c r="C139" s="566"/>
      <c r="D139" s="566"/>
      <c r="E139" s="566"/>
      <c r="F139" s="566"/>
      <c r="G139" s="566"/>
      <c r="H139" s="566"/>
      <c r="I139" s="566"/>
      <c r="J139" s="566"/>
      <c r="K139" s="566"/>
      <c r="L139" s="566"/>
      <c r="M139" s="566"/>
      <c r="N139" s="566"/>
      <c r="O139" s="566"/>
      <c r="P139" s="566"/>
      <c r="Q139" s="566"/>
      <c r="R139" s="566"/>
      <c r="S139" s="566"/>
      <c r="T139" s="566"/>
      <c r="U139" s="566"/>
      <c r="V139" s="566"/>
      <c r="W139" s="566"/>
      <c r="X139" s="566"/>
      <c r="Y139" s="566"/>
      <c r="Z139" s="566"/>
      <c r="AA139" s="566"/>
      <c r="AB139" s="566"/>
      <c r="AC139" s="566"/>
      <c r="AD139" s="566"/>
      <c r="AE139" s="566"/>
      <c r="AF139" s="566"/>
      <c r="AG139" s="566"/>
      <c r="AH139" s="566"/>
      <c r="AI139" s="566"/>
      <c r="AJ139" s="566"/>
      <c r="AK139" s="566"/>
    </row>
    <row r="140" spans="2:37" ht="8.1" customHeight="1">
      <c r="B140" s="232"/>
      <c r="C140" s="232"/>
      <c r="D140" s="232"/>
      <c r="E140" s="232"/>
      <c r="F140" s="232"/>
      <c r="G140" s="232"/>
      <c r="H140" s="232"/>
      <c r="I140" s="232"/>
      <c r="J140" s="232"/>
      <c r="K140" s="232"/>
      <c r="L140" s="232"/>
      <c r="M140" s="232"/>
      <c r="N140" s="232"/>
      <c r="O140" s="232"/>
      <c r="P140" s="232"/>
      <c r="Q140" s="232"/>
      <c r="R140" s="232"/>
      <c r="S140" s="232"/>
      <c r="T140" s="232"/>
      <c r="U140" s="232"/>
      <c r="V140" s="232"/>
      <c r="W140" s="232"/>
      <c r="X140" s="232"/>
      <c r="Y140" s="232"/>
      <c r="Z140" s="232"/>
      <c r="AA140" s="232"/>
      <c r="AB140" s="232"/>
      <c r="AC140" s="232"/>
      <c r="AD140" s="232"/>
      <c r="AE140" s="232"/>
      <c r="AF140" s="232"/>
      <c r="AG140" s="232"/>
      <c r="AH140" s="232"/>
      <c r="AI140" s="232"/>
      <c r="AJ140" s="232"/>
      <c r="AK140" s="232"/>
    </row>
    <row r="141" spans="2:37" ht="45" customHeight="1">
      <c r="B141" s="566" t="s">
        <v>315</v>
      </c>
      <c r="C141" s="566"/>
      <c r="D141" s="566"/>
      <c r="E141" s="566"/>
      <c r="F141" s="566"/>
      <c r="G141" s="566"/>
      <c r="H141" s="566"/>
      <c r="I141" s="566"/>
      <c r="J141" s="566"/>
      <c r="K141" s="566"/>
      <c r="L141" s="566"/>
      <c r="M141" s="566"/>
      <c r="N141" s="566"/>
      <c r="O141" s="566"/>
      <c r="P141" s="566"/>
      <c r="Q141" s="566"/>
      <c r="R141" s="566"/>
      <c r="S141" s="566"/>
      <c r="T141" s="566"/>
      <c r="U141" s="566"/>
      <c r="V141" s="566"/>
      <c r="W141" s="566"/>
      <c r="X141" s="566"/>
      <c r="Y141" s="566"/>
      <c r="Z141" s="566"/>
      <c r="AA141" s="566"/>
      <c r="AB141" s="566"/>
      <c r="AC141" s="566"/>
      <c r="AD141" s="566"/>
      <c r="AE141" s="566"/>
      <c r="AF141" s="566"/>
      <c r="AG141" s="566"/>
      <c r="AH141" s="566"/>
      <c r="AI141" s="566"/>
      <c r="AJ141" s="566"/>
      <c r="AK141" s="566"/>
    </row>
    <row r="142" spans="2:37" ht="8.1" customHeight="1">
      <c r="B142" s="232"/>
      <c r="C142" s="232"/>
      <c r="D142" s="232"/>
      <c r="E142" s="232"/>
      <c r="F142" s="232"/>
      <c r="G142" s="232"/>
      <c r="H142" s="232"/>
      <c r="I142" s="232"/>
      <c r="J142" s="232"/>
      <c r="K142" s="232"/>
      <c r="L142" s="232"/>
      <c r="M142" s="232"/>
      <c r="N142" s="232"/>
      <c r="O142" s="232"/>
      <c r="P142" s="232"/>
      <c r="Q142" s="232"/>
      <c r="R142" s="232"/>
      <c r="S142" s="232"/>
      <c r="T142" s="232"/>
      <c r="U142" s="232"/>
      <c r="V142" s="232"/>
      <c r="W142" s="232"/>
      <c r="X142" s="232"/>
      <c r="Y142" s="232"/>
      <c r="Z142" s="232"/>
      <c r="AA142" s="232"/>
      <c r="AB142" s="232"/>
      <c r="AC142" s="232"/>
      <c r="AD142" s="232"/>
      <c r="AE142" s="232"/>
      <c r="AF142" s="232"/>
      <c r="AG142" s="232"/>
      <c r="AH142" s="232"/>
      <c r="AI142" s="232"/>
      <c r="AJ142" s="232"/>
      <c r="AK142" s="232"/>
    </row>
    <row r="143" spans="2:37" ht="55.5" customHeight="1">
      <c r="B143" s="566" t="s">
        <v>316</v>
      </c>
      <c r="C143" s="566"/>
      <c r="D143" s="566"/>
      <c r="E143" s="566"/>
      <c r="F143" s="566"/>
      <c r="G143" s="566"/>
      <c r="H143" s="566"/>
      <c r="I143" s="566"/>
      <c r="J143" s="566"/>
      <c r="K143" s="566"/>
      <c r="L143" s="566"/>
      <c r="M143" s="566"/>
      <c r="N143" s="566"/>
      <c r="O143" s="566"/>
      <c r="P143" s="566"/>
      <c r="Q143" s="566"/>
      <c r="R143" s="566"/>
      <c r="S143" s="566"/>
      <c r="T143" s="566"/>
      <c r="U143" s="566"/>
      <c r="V143" s="566"/>
      <c r="W143" s="566"/>
      <c r="X143" s="566"/>
      <c r="Y143" s="566"/>
      <c r="Z143" s="566"/>
      <c r="AA143" s="566"/>
      <c r="AB143" s="566"/>
      <c r="AC143" s="566"/>
      <c r="AD143" s="566"/>
      <c r="AE143" s="566"/>
      <c r="AF143" s="566"/>
      <c r="AG143" s="566"/>
      <c r="AH143" s="566"/>
      <c r="AI143" s="566"/>
      <c r="AJ143" s="566"/>
      <c r="AK143" s="566"/>
    </row>
    <row r="144" spans="2:37" ht="20.25" customHeight="1">
      <c r="B144" s="562" t="s">
        <v>231</v>
      </c>
      <c r="C144" s="562"/>
      <c r="D144" s="562"/>
      <c r="E144" s="562"/>
      <c r="F144" s="562"/>
      <c r="G144" s="562"/>
      <c r="H144" s="562"/>
      <c r="I144" s="562"/>
      <c r="J144" s="562"/>
      <c r="K144" s="562"/>
      <c r="L144" s="562"/>
      <c r="M144" s="562"/>
      <c r="N144" s="562"/>
      <c r="O144" s="562"/>
      <c r="P144" s="562"/>
      <c r="Q144" s="562"/>
      <c r="R144" s="562"/>
      <c r="S144" s="562"/>
      <c r="T144" s="562"/>
      <c r="U144" s="562"/>
      <c r="V144" s="562"/>
      <c r="W144" s="562"/>
      <c r="X144" s="562"/>
      <c r="Y144" s="562"/>
      <c r="Z144" s="562"/>
      <c r="AA144" s="562"/>
      <c r="AB144" s="562"/>
      <c r="AC144" s="562"/>
      <c r="AD144" s="562"/>
      <c r="AE144" s="562"/>
      <c r="AF144" s="562"/>
      <c r="AG144" s="562"/>
      <c r="AH144" s="562"/>
      <c r="AI144" s="562"/>
      <c r="AJ144" s="562"/>
      <c r="AK144" s="562"/>
    </row>
    <row r="145" spans="2:37" ht="8.1" customHeight="1">
      <c r="B145" s="232"/>
      <c r="C145" s="232"/>
      <c r="D145" s="232"/>
      <c r="E145" s="232"/>
      <c r="F145" s="232"/>
      <c r="G145" s="232"/>
      <c r="H145" s="232"/>
      <c r="I145" s="232"/>
      <c r="J145" s="232"/>
      <c r="K145" s="232"/>
      <c r="L145" s="232"/>
      <c r="M145" s="232"/>
      <c r="N145" s="232"/>
      <c r="O145" s="232"/>
      <c r="P145" s="232"/>
      <c r="Q145" s="232"/>
      <c r="R145" s="232"/>
      <c r="S145" s="232"/>
      <c r="T145" s="232"/>
      <c r="U145" s="232"/>
      <c r="V145" s="232"/>
      <c r="W145" s="232"/>
      <c r="X145" s="232"/>
      <c r="Y145" s="232"/>
      <c r="Z145" s="232"/>
      <c r="AA145" s="232"/>
      <c r="AB145" s="232"/>
      <c r="AC145" s="232"/>
      <c r="AD145" s="232"/>
      <c r="AE145" s="232"/>
      <c r="AF145" s="232"/>
      <c r="AG145" s="232"/>
      <c r="AH145" s="232"/>
      <c r="AI145" s="232"/>
      <c r="AJ145" s="232"/>
      <c r="AK145" s="232"/>
    </row>
    <row r="146" spans="2:37" ht="59.25" customHeight="1">
      <c r="B146" s="566" t="s">
        <v>317</v>
      </c>
      <c r="C146" s="566"/>
      <c r="D146" s="566"/>
      <c r="E146" s="566"/>
      <c r="F146" s="566"/>
      <c r="G146" s="566"/>
      <c r="H146" s="566"/>
      <c r="I146" s="566"/>
      <c r="J146" s="566"/>
      <c r="K146" s="566"/>
      <c r="L146" s="566"/>
      <c r="M146" s="566"/>
      <c r="N146" s="566"/>
      <c r="O146" s="566"/>
      <c r="P146" s="566"/>
      <c r="Q146" s="566"/>
      <c r="R146" s="566"/>
      <c r="S146" s="566"/>
      <c r="T146" s="566"/>
      <c r="U146" s="566"/>
      <c r="V146" s="566"/>
      <c r="W146" s="566"/>
      <c r="X146" s="566"/>
      <c r="Y146" s="566"/>
      <c r="Z146" s="566"/>
      <c r="AA146" s="566"/>
      <c r="AB146" s="566"/>
      <c r="AC146" s="566"/>
      <c r="AD146" s="566"/>
      <c r="AE146" s="566"/>
      <c r="AF146" s="566"/>
      <c r="AG146" s="566"/>
      <c r="AH146" s="566"/>
      <c r="AI146" s="566"/>
      <c r="AJ146" s="566"/>
      <c r="AK146" s="566"/>
    </row>
    <row r="147" spans="2:37" ht="8.1" customHeight="1">
      <c r="B147" s="232"/>
      <c r="C147" s="232"/>
      <c r="D147" s="232"/>
      <c r="E147" s="232"/>
      <c r="F147" s="232"/>
      <c r="G147" s="232"/>
      <c r="H147" s="232"/>
      <c r="I147" s="232"/>
      <c r="J147" s="232"/>
      <c r="K147" s="232"/>
      <c r="L147" s="232"/>
      <c r="M147" s="232"/>
      <c r="N147" s="232"/>
      <c r="O147" s="232"/>
      <c r="P147" s="232"/>
      <c r="Q147" s="232"/>
      <c r="R147" s="232"/>
      <c r="S147" s="232"/>
      <c r="T147" s="232"/>
      <c r="U147" s="232"/>
      <c r="V147" s="232"/>
      <c r="W147" s="232"/>
      <c r="X147" s="232"/>
      <c r="Y147" s="232"/>
      <c r="Z147" s="232"/>
      <c r="AA147" s="232"/>
      <c r="AB147" s="232"/>
      <c r="AC147" s="232"/>
      <c r="AD147" s="232"/>
      <c r="AE147" s="232"/>
      <c r="AF147" s="232"/>
      <c r="AG147" s="232"/>
      <c r="AH147" s="232"/>
      <c r="AI147" s="232"/>
      <c r="AJ147" s="232"/>
      <c r="AK147" s="232"/>
    </row>
    <row r="148" spans="2:37" ht="78.75" customHeight="1">
      <c r="B148" s="566" t="s">
        <v>318</v>
      </c>
      <c r="C148" s="566"/>
      <c r="D148" s="566"/>
      <c r="E148" s="566"/>
      <c r="F148" s="566"/>
      <c r="G148" s="566"/>
      <c r="H148" s="566"/>
      <c r="I148" s="566"/>
      <c r="J148" s="566"/>
      <c r="K148" s="566"/>
      <c r="L148" s="566"/>
      <c r="M148" s="566"/>
      <c r="N148" s="566"/>
      <c r="O148" s="566"/>
      <c r="P148" s="566"/>
      <c r="Q148" s="566"/>
      <c r="R148" s="566"/>
      <c r="S148" s="566"/>
      <c r="T148" s="566"/>
      <c r="U148" s="566"/>
      <c r="V148" s="566"/>
      <c r="W148" s="566"/>
      <c r="X148" s="566"/>
      <c r="Y148" s="566"/>
      <c r="Z148" s="566"/>
      <c r="AA148" s="566"/>
      <c r="AB148" s="566"/>
      <c r="AC148" s="566"/>
      <c r="AD148" s="566"/>
      <c r="AE148" s="566"/>
      <c r="AF148" s="566"/>
      <c r="AG148" s="566"/>
      <c r="AH148" s="566"/>
      <c r="AI148" s="566"/>
      <c r="AJ148" s="566"/>
      <c r="AK148" s="566"/>
    </row>
    <row r="149" spans="2:37" ht="57.75" customHeight="1">
      <c r="B149" s="562" t="s">
        <v>234</v>
      </c>
      <c r="C149" s="562"/>
      <c r="D149" s="562"/>
      <c r="E149" s="562"/>
      <c r="F149" s="562"/>
      <c r="G149" s="562"/>
      <c r="H149" s="562"/>
      <c r="I149" s="562"/>
      <c r="J149" s="562"/>
      <c r="K149" s="562"/>
      <c r="L149" s="562"/>
      <c r="M149" s="562"/>
      <c r="N149" s="562"/>
      <c r="O149" s="562"/>
      <c r="P149" s="562"/>
      <c r="Q149" s="562"/>
      <c r="R149" s="562"/>
      <c r="S149" s="562"/>
      <c r="T149" s="562"/>
      <c r="U149" s="562"/>
      <c r="V149" s="562"/>
      <c r="W149" s="562"/>
      <c r="X149" s="562"/>
      <c r="Y149" s="562"/>
      <c r="Z149" s="562"/>
      <c r="AA149" s="562"/>
      <c r="AB149" s="562"/>
      <c r="AC149" s="562"/>
      <c r="AD149" s="562"/>
      <c r="AE149" s="562"/>
      <c r="AF149" s="562"/>
      <c r="AG149" s="562"/>
      <c r="AH149" s="562"/>
      <c r="AI149" s="562"/>
      <c r="AJ149" s="562"/>
      <c r="AK149" s="562"/>
    </row>
    <row r="150" spans="2:37" ht="21.75" customHeight="1">
      <c r="B150" s="562" t="s">
        <v>235</v>
      </c>
      <c r="C150" s="562"/>
      <c r="D150" s="562"/>
      <c r="E150" s="562"/>
      <c r="F150" s="562"/>
      <c r="G150" s="562"/>
      <c r="H150" s="562"/>
      <c r="I150" s="562"/>
      <c r="J150" s="562"/>
      <c r="K150" s="562"/>
      <c r="L150" s="562"/>
      <c r="M150" s="562"/>
      <c r="N150" s="562"/>
      <c r="O150" s="562"/>
      <c r="P150" s="562"/>
      <c r="Q150" s="562"/>
      <c r="R150" s="562"/>
      <c r="S150" s="562"/>
      <c r="T150" s="562"/>
      <c r="U150" s="562"/>
      <c r="V150" s="562"/>
      <c r="W150" s="562"/>
      <c r="X150" s="562"/>
      <c r="Y150" s="562"/>
      <c r="Z150" s="562"/>
      <c r="AA150" s="562"/>
      <c r="AB150" s="562"/>
      <c r="AC150" s="562"/>
      <c r="AD150" s="562"/>
      <c r="AE150" s="562"/>
      <c r="AF150" s="562"/>
      <c r="AG150" s="562"/>
      <c r="AH150" s="562"/>
      <c r="AI150" s="562"/>
      <c r="AJ150" s="562"/>
      <c r="AK150" s="562"/>
    </row>
    <row r="151" spans="2:37" ht="8.1" customHeight="1">
      <c r="B151" s="566"/>
      <c r="C151" s="566"/>
      <c r="D151" s="566"/>
      <c r="E151" s="566"/>
      <c r="F151" s="566"/>
      <c r="G151" s="566"/>
      <c r="H151" s="566"/>
      <c r="I151" s="566"/>
      <c r="J151" s="566"/>
      <c r="K151" s="566"/>
      <c r="L151" s="566"/>
      <c r="M151" s="566"/>
      <c r="N151" s="566"/>
      <c r="O151" s="566"/>
      <c r="P151" s="566"/>
      <c r="Q151" s="566"/>
      <c r="R151" s="566"/>
      <c r="S151" s="566"/>
      <c r="T151" s="566"/>
      <c r="U151" s="566"/>
      <c r="V151" s="566"/>
      <c r="W151" s="566"/>
      <c r="X151" s="566"/>
      <c r="Y151" s="566"/>
      <c r="Z151" s="566"/>
      <c r="AA151" s="566"/>
      <c r="AB151" s="566"/>
      <c r="AC151" s="566"/>
      <c r="AD151" s="566"/>
      <c r="AE151" s="566"/>
      <c r="AF151" s="566"/>
      <c r="AG151" s="566"/>
      <c r="AH151" s="566"/>
      <c r="AI151" s="566"/>
      <c r="AJ151" s="566"/>
      <c r="AK151" s="566"/>
    </row>
    <row r="152" spans="2:37" ht="276.75" customHeight="1">
      <c r="B152" s="729" t="s">
        <v>319</v>
      </c>
      <c r="C152" s="729"/>
      <c r="D152" s="729"/>
      <c r="E152" s="729"/>
      <c r="F152" s="729"/>
      <c r="G152" s="729"/>
      <c r="H152" s="729"/>
      <c r="I152" s="729"/>
      <c r="J152" s="729"/>
      <c r="K152" s="729"/>
      <c r="L152" s="729"/>
      <c r="M152" s="729"/>
      <c r="N152" s="729"/>
      <c r="O152" s="729"/>
      <c r="P152" s="729"/>
      <c r="Q152" s="729"/>
      <c r="R152" s="729"/>
      <c r="S152" s="729"/>
      <c r="T152" s="729"/>
      <c r="U152" s="729"/>
      <c r="V152" s="729"/>
      <c r="W152" s="729"/>
      <c r="X152" s="729"/>
      <c r="Y152" s="729"/>
      <c r="Z152" s="729"/>
      <c r="AA152" s="729"/>
      <c r="AB152" s="729"/>
      <c r="AC152" s="729"/>
      <c r="AD152" s="729"/>
      <c r="AE152" s="729"/>
      <c r="AF152" s="729"/>
      <c r="AG152" s="729"/>
      <c r="AH152" s="729"/>
      <c r="AI152" s="729"/>
      <c r="AJ152" s="729"/>
      <c r="AK152" s="729"/>
    </row>
    <row r="153" spans="2:37" ht="8.1" customHeight="1">
      <c r="B153" s="232"/>
      <c r="C153" s="232"/>
      <c r="D153" s="232"/>
      <c r="E153" s="232"/>
      <c r="F153" s="232"/>
      <c r="G153" s="232"/>
      <c r="H153" s="232"/>
      <c r="I153" s="232"/>
      <c r="J153" s="232"/>
      <c r="K153" s="232"/>
      <c r="L153" s="232"/>
      <c r="M153" s="232"/>
      <c r="N153" s="232"/>
      <c r="O153" s="232"/>
      <c r="P153" s="232"/>
      <c r="Q153" s="232"/>
      <c r="R153" s="232"/>
      <c r="S153" s="232"/>
      <c r="T153" s="232"/>
      <c r="U153" s="232"/>
      <c r="V153" s="232"/>
      <c r="W153" s="232"/>
      <c r="X153" s="232"/>
      <c r="Y153" s="232"/>
      <c r="Z153" s="232"/>
      <c r="AA153" s="232"/>
      <c r="AB153" s="232"/>
      <c r="AC153" s="232"/>
      <c r="AD153" s="232"/>
      <c r="AE153" s="232"/>
      <c r="AF153" s="232"/>
      <c r="AG153" s="232"/>
      <c r="AH153" s="232"/>
      <c r="AI153" s="232"/>
      <c r="AJ153" s="232"/>
      <c r="AK153" s="232"/>
    </row>
    <row r="154" spans="2:37" ht="57" customHeight="1">
      <c r="B154" s="566" t="s">
        <v>320</v>
      </c>
      <c r="C154" s="566"/>
      <c r="D154" s="566"/>
      <c r="E154" s="566"/>
      <c r="F154" s="566"/>
      <c r="G154" s="566"/>
      <c r="H154" s="566"/>
      <c r="I154" s="566"/>
      <c r="J154" s="566"/>
      <c r="K154" s="566"/>
      <c r="L154" s="566"/>
      <c r="M154" s="566"/>
      <c r="N154" s="566"/>
      <c r="O154" s="566"/>
      <c r="P154" s="566"/>
      <c r="Q154" s="566"/>
      <c r="R154" s="566"/>
      <c r="S154" s="566"/>
      <c r="T154" s="566"/>
      <c r="U154" s="566"/>
      <c r="V154" s="566"/>
      <c r="W154" s="566"/>
      <c r="X154" s="566"/>
      <c r="Y154" s="566"/>
      <c r="Z154" s="566"/>
      <c r="AA154" s="566"/>
      <c r="AB154" s="566"/>
      <c r="AC154" s="566"/>
      <c r="AD154" s="566"/>
      <c r="AE154" s="566"/>
      <c r="AF154" s="566"/>
      <c r="AG154" s="566"/>
      <c r="AH154" s="566"/>
      <c r="AI154" s="566"/>
      <c r="AJ154" s="566"/>
      <c r="AK154" s="566"/>
    </row>
    <row r="155" spans="2:37" ht="8.1" customHeight="1">
      <c r="B155" s="562"/>
      <c r="C155" s="562"/>
      <c r="D155" s="562"/>
      <c r="E155" s="562"/>
      <c r="F155" s="562"/>
      <c r="G155" s="562"/>
      <c r="H155" s="562"/>
      <c r="I155" s="562"/>
      <c r="J155" s="562"/>
      <c r="K155" s="562"/>
      <c r="L155" s="562"/>
      <c r="M155" s="562"/>
      <c r="N155" s="562"/>
      <c r="O155" s="562"/>
      <c r="P155" s="562"/>
      <c r="Q155" s="562"/>
      <c r="R155" s="562"/>
      <c r="S155" s="562"/>
      <c r="T155" s="562"/>
      <c r="U155" s="562"/>
      <c r="V155" s="562"/>
      <c r="W155" s="562"/>
      <c r="X155" s="562"/>
      <c r="Y155" s="562"/>
      <c r="Z155" s="562"/>
      <c r="AA155" s="562"/>
      <c r="AB155" s="562"/>
      <c r="AC155" s="562"/>
      <c r="AD155" s="562"/>
      <c r="AE155" s="562"/>
      <c r="AF155" s="562"/>
      <c r="AG155" s="562"/>
      <c r="AH155" s="562"/>
      <c r="AI155" s="562"/>
      <c r="AJ155" s="562"/>
      <c r="AK155" s="562"/>
    </row>
    <row r="156" spans="2:37" ht="314.25" customHeight="1">
      <c r="B156" s="566" t="s">
        <v>321</v>
      </c>
      <c r="C156" s="566"/>
      <c r="D156" s="566"/>
      <c r="E156" s="566"/>
      <c r="F156" s="566"/>
      <c r="G156" s="566"/>
      <c r="H156" s="566"/>
      <c r="I156" s="566"/>
      <c r="J156" s="566"/>
      <c r="K156" s="566"/>
      <c r="L156" s="566"/>
      <c r="M156" s="566"/>
      <c r="N156" s="566"/>
      <c r="O156" s="566"/>
      <c r="P156" s="566"/>
      <c r="Q156" s="566"/>
      <c r="R156" s="566"/>
      <c r="S156" s="566"/>
      <c r="T156" s="566"/>
      <c r="U156" s="566"/>
      <c r="V156" s="566"/>
      <c r="W156" s="566"/>
      <c r="X156" s="566"/>
      <c r="Y156" s="566"/>
      <c r="Z156" s="566"/>
      <c r="AA156" s="566"/>
      <c r="AB156" s="566"/>
      <c r="AC156" s="566"/>
      <c r="AD156" s="566"/>
      <c r="AE156" s="566"/>
      <c r="AF156" s="566"/>
      <c r="AG156" s="566"/>
      <c r="AH156" s="566"/>
      <c r="AI156" s="566"/>
      <c r="AJ156" s="566"/>
      <c r="AK156" s="566"/>
    </row>
    <row r="157" spans="2:37" ht="55.5" customHeight="1">
      <c r="B157" s="562" t="s">
        <v>322</v>
      </c>
      <c r="C157" s="562"/>
      <c r="D157" s="562"/>
      <c r="E157" s="562"/>
      <c r="F157" s="562"/>
      <c r="G157" s="562"/>
      <c r="H157" s="562"/>
      <c r="I157" s="562"/>
      <c r="J157" s="562"/>
      <c r="K157" s="562"/>
      <c r="L157" s="562"/>
      <c r="M157" s="562"/>
      <c r="N157" s="562"/>
      <c r="O157" s="562"/>
      <c r="P157" s="562"/>
      <c r="Q157" s="562"/>
      <c r="R157" s="562"/>
      <c r="S157" s="562"/>
      <c r="T157" s="562"/>
      <c r="U157" s="562"/>
      <c r="V157" s="562"/>
      <c r="W157" s="562"/>
      <c r="X157" s="562"/>
      <c r="Y157" s="562"/>
      <c r="Z157" s="562"/>
      <c r="AA157" s="562"/>
      <c r="AB157" s="562"/>
      <c r="AC157" s="562"/>
      <c r="AD157" s="562"/>
      <c r="AE157" s="562"/>
      <c r="AF157" s="562"/>
      <c r="AG157" s="562"/>
      <c r="AH157" s="562"/>
      <c r="AI157" s="562"/>
      <c r="AJ157" s="562"/>
      <c r="AK157" s="562"/>
    </row>
    <row r="158" spans="2:37" ht="8.1" customHeight="1">
      <c r="B158" s="232"/>
      <c r="C158" s="232"/>
      <c r="D158" s="232"/>
      <c r="E158" s="232"/>
      <c r="F158" s="232"/>
      <c r="G158" s="232"/>
      <c r="H158" s="232"/>
      <c r="I158" s="232"/>
      <c r="J158" s="232"/>
      <c r="K158" s="232"/>
      <c r="L158" s="232"/>
      <c r="M158" s="232"/>
      <c r="N158" s="232"/>
      <c r="O158" s="232"/>
      <c r="P158" s="232"/>
      <c r="Q158" s="232"/>
      <c r="R158" s="232"/>
      <c r="S158" s="232"/>
      <c r="T158" s="232"/>
      <c r="U158" s="232"/>
      <c r="V158" s="232"/>
      <c r="W158" s="232"/>
      <c r="X158" s="232"/>
      <c r="Y158" s="232"/>
      <c r="Z158" s="232"/>
      <c r="AA158" s="232"/>
      <c r="AB158" s="232"/>
      <c r="AC158" s="232"/>
      <c r="AD158" s="232"/>
      <c r="AE158" s="232"/>
      <c r="AF158" s="232"/>
      <c r="AG158" s="232"/>
      <c r="AH158" s="232"/>
      <c r="AI158" s="232"/>
      <c r="AJ158" s="232"/>
      <c r="AK158" s="232"/>
    </row>
    <row r="159" spans="2:37" ht="21.75" customHeight="1">
      <c r="B159" s="566" t="s">
        <v>323</v>
      </c>
      <c r="C159" s="566"/>
      <c r="D159" s="566"/>
      <c r="E159" s="566"/>
      <c r="F159" s="566"/>
      <c r="G159" s="566"/>
      <c r="H159" s="566"/>
      <c r="I159" s="566"/>
      <c r="J159" s="566"/>
      <c r="K159" s="566"/>
      <c r="L159" s="566"/>
      <c r="M159" s="566"/>
      <c r="N159" s="566"/>
      <c r="O159" s="566"/>
      <c r="P159" s="566"/>
      <c r="Q159" s="566"/>
      <c r="R159" s="566"/>
      <c r="S159" s="566"/>
      <c r="T159" s="566"/>
      <c r="U159" s="566"/>
      <c r="V159" s="566"/>
      <c r="W159" s="566"/>
      <c r="X159" s="566"/>
      <c r="Y159" s="566"/>
      <c r="Z159" s="566"/>
      <c r="AA159" s="566"/>
      <c r="AB159" s="566"/>
      <c r="AC159" s="566"/>
      <c r="AD159" s="566"/>
      <c r="AE159" s="566"/>
      <c r="AF159" s="566"/>
      <c r="AG159" s="566"/>
      <c r="AH159" s="566"/>
      <c r="AI159" s="566"/>
      <c r="AJ159" s="566"/>
      <c r="AK159" s="566"/>
    </row>
    <row r="160" spans="2:37" ht="8.1" customHeight="1">
      <c r="B160" s="232"/>
      <c r="C160" s="232"/>
      <c r="D160" s="232"/>
      <c r="E160" s="232"/>
      <c r="F160" s="232"/>
      <c r="G160" s="232"/>
      <c r="H160" s="232"/>
      <c r="I160" s="232"/>
      <c r="J160" s="232"/>
      <c r="K160" s="232"/>
      <c r="L160" s="232"/>
      <c r="M160" s="232"/>
      <c r="N160" s="232"/>
      <c r="O160" s="232"/>
      <c r="P160" s="232"/>
      <c r="Q160" s="232"/>
      <c r="R160" s="232"/>
      <c r="S160" s="232"/>
      <c r="T160" s="232"/>
      <c r="U160" s="232"/>
      <c r="V160" s="232"/>
      <c r="W160" s="232"/>
      <c r="X160" s="232"/>
      <c r="Y160" s="232"/>
      <c r="Z160" s="232"/>
      <c r="AA160" s="232"/>
      <c r="AB160" s="232"/>
      <c r="AC160" s="232"/>
      <c r="AD160" s="232"/>
      <c r="AE160" s="232"/>
      <c r="AF160" s="232"/>
      <c r="AG160" s="232"/>
      <c r="AH160" s="232"/>
      <c r="AI160" s="232"/>
      <c r="AJ160" s="232"/>
      <c r="AK160" s="232"/>
    </row>
    <row r="161" spans="2:37" ht="38.25" customHeight="1">
      <c r="B161" s="566" t="s">
        <v>324</v>
      </c>
      <c r="C161" s="566"/>
      <c r="D161" s="566"/>
      <c r="E161" s="566"/>
      <c r="F161" s="566"/>
      <c r="G161" s="566"/>
      <c r="H161" s="566"/>
      <c r="I161" s="566"/>
      <c r="J161" s="566"/>
      <c r="K161" s="566"/>
      <c r="L161" s="566"/>
      <c r="M161" s="566"/>
      <c r="N161" s="566"/>
      <c r="O161" s="566"/>
      <c r="P161" s="566"/>
      <c r="Q161" s="566"/>
      <c r="R161" s="566"/>
      <c r="S161" s="566"/>
      <c r="T161" s="566"/>
      <c r="U161" s="566"/>
      <c r="V161" s="566"/>
      <c r="W161" s="566"/>
      <c r="X161" s="566"/>
      <c r="Y161" s="566"/>
      <c r="Z161" s="566"/>
      <c r="AA161" s="566"/>
      <c r="AB161" s="566"/>
      <c r="AC161" s="566"/>
      <c r="AD161" s="566"/>
      <c r="AE161" s="566"/>
      <c r="AF161" s="566"/>
      <c r="AG161" s="566"/>
      <c r="AH161" s="566"/>
      <c r="AI161" s="566"/>
      <c r="AJ161" s="566"/>
      <c r="AK161" s="566"/>
    </row>
    <row r="162" spans="2:37" ht="8.1" customHeight="1">
      <c r="B162" s="232"/>
      <c r="C162" s="232"/>
      <c r="D162" s="232"/>
      <c r="E162" s="232"/>
      <c r="F162" s="232"/>
      <c r="G162" s="232"/>
      <c r="H162" s="232"/>
      <c r="I162" s="232"/>
      <c r="J162" s="232"/>
      <c r="K162" s="232"/>
      <c r="L162" s="232"/>
      <c r="M162" s="232"/>
      <c r="N162" s="232"/>
      <c r="O162" s="232"/>
      <c r="P162" s="232"/>
      <c r="Q162" s="232"/>
      <c r="R162" s="232"/>
      <c r="S162" s="232"/>
      <c r="T162" s="232"/>
      <c r="U162" s="232"/>
      <c r="V162" s="232"/>
      <c r="W162" s="232"/>
      <c r="X162" s="232"/>
      <c r="Y162" s="232"/>
      <c r="Z162" s="232"/>
      <c r="AA162" s="232"/>
      <c r="AB162" s="232"/>
      <c r="AC162" s="232"/>
      <c r="AD162" s="232"/>
      <c r="AE162" s="232"/>
      <c r="AF162" s="232"/>
      <c r="AG162" s="232"/>
      <c r="AH162" s="232"/>
      <c r="AI162" s="232"/>
      <c r="AJ162" s="232"/>
      <c r="AK162" s="232"/>
    </row>
    <row r="163" spans="2:37" ht="48.75" customHeight="1">
      <c r="B163" s="566" t="s">
        <v>325</v>
      </c>
      <c r="C163" s="566"/>
      <c r="D163" s="566"/>
      <c r="E163" s="566"/>
      <c r="F163" s="566"/>
      <c r="G163" s="566"/>
      <c r="H163" s="566"/>
      <c r="I163" s="566"/>
      <c r="J163" s="566"/>
      <c r="K163" s="566"/>
      <c r="L163" s="566"/>
      <c r="M163" s="566"/>
      <c r="N163" s="566"/>
      <c r="O163" s="566"/>
      <c r="P163" s="566"/>
      <c r="Q163" s="566"/>
      <c r="R163" s="566"/>
      <c r="S163" s="566"/>
      <c r="T163" s="566"/>
      <c r="U163" s="566"/>
      <c r="V163" s="566"/>
      <c r="W163" s="566"/>
      <c r="X163" s="566"/>
      <c r="Y163" s="566"/>
      <c r="Z163" s="566"/>
      <c r="AA163" s="566"/>
      <c r="AB163" s="566"/>
      <c r="AC163" s="566"/>
      <c r="AD163" s="566"/>
      <c r="AE163" s="566"/>
      <c r="AF163" s="566"/>
      <c r="AG163" s="566"/>
      <c r="AH163" s="566"/>
      <c r="AI163" s="566"/>
      <c r="AJ163" s="566"/>
      <c r="AK163" s="566"/>
    </row>
    <row r="164" spans="2:37" ht="8.1" customHeight="1">
      <c r="B164" s="232"/>
      <c r="C164" s="232"/>
      <c r="D164" s="232"/>
      <c r="E164" s="232"/>
      <c r="F164" s="232"/>
      <c r="G164" s="232"/>
      <c r="H164" s="232"/>
      <c r="I164" s="232"/>
      <c r="J164" s="232"/>
      <c r="K164" s="232"/>
      <c r="L164" s="232"/>
      <c r="M164" s="232"/>
      <c r="N164" s="232"/>
      <c r="O164" s="232"/>
      <c r="P164" s="232"/>
      <c r="Q164" s="232"/>
      <c r="R164" s="232"/>
      <c r="S164" s="232"/>
      <c r="T164" s="232"/>
      <c r="U164" s="232"/>
      <c r="V164" s="232"/>
      <c r="W164" s="232"/>
      <c r="X164" s="232"/>
      <c r="Y164" s="232"/>
      <c r="Z164" s="232"/>
      <c r="AA164" s="232"/>
      <c r="AB164" s="232"/>
      <c r="AC164" s="232"/>
      <c r="AD164" s="232"/>
      <c r="AE164" s="232"/>
      <c r="AF164" s="232"/>
      <c r="AG164" s="232"/>
      <c r="AH164" s="232"/>
      <c r="AI164" s="232"/>
      <c r="AJ164" s="232"/>
      <c r="AK164" s="232"/>
    </row>
    <row r="165" spans="2:37" ht="23.25" customHeight="1">
      <c r="B165" s="566" t="s">
        <v>326</v>
      </c>
      <c r="C165" s="566"/>
      <c r="D165" s="566"/>
      <c r="E165" s="566"/>
      <c r="F165" s="566"/>
      <c r="G165" s="566"/>
      <c r="H165" s="566"/>
      <c r="I165" s="566"/>
      <c r="J165" s="566"/>
      <c r="K165" s="566"/>
      <c r="L165" s="566"/>
      <c r="M165" s="566"/>
      <c r="N165" s="566"/>
      <c r="O165" s="566"/>
      <c r="P165" s="566"/>
      <c r="Q165" s="566"/>
      <c r="R165" s="566"/>
      <c r="S165" s="566"/>
      <c r="T165" s="566"/>
      <c r="U165" s="566"/>
      <c r="V165" s="566"/>
      <c r="W165" s="566"/>
      <c r="X165" s="566"/>
      <c r="Y165" s="566"/>
      <c r="Z165" s="566"/>
      <c r="AA165" s="566"/>
      <c r="AB165" s="566"/>
      <c r="AC165" s="566"/>
      <c r="AD165" s="566"/>
      <c r="AE165" s="566"/>
      <c r="AF165" s="566"/>
      <c r="AG165" s="566"/>
      <c r="AH165" s="566"/>
      <c r="AI165" s="566"/>
      <c r="AJ165" s="566"/>
      <c r="AK165" s="566"/>
    </row>
    <row r="166" spans="2:37" ht="8.1" customHeight="1">
      <c r="B166" s="232"/>
      <c r="C166" s="232"/>
      <c r="D166" s="232"/>
      <c r="E166" s="232"/>
      <c r="F166" s="232"/>
      <c r="G166" s="232"/>
      <c r="H166" s="232"/>
      <c r="I166" s="232"/>
      <c r="J166" s="232"/>
      <c r="K166" s="232"/>
      <c r="L166" s="232"/>
      <c r="M166" s="232"/>
      <c r="N166" s="232"/>
      <c r="O166" s="232"/>
      <c r="P166" s="232"/>
      <c r="Q166" s="232"/>
      <c r="R166" s="232"/>
      <c r="S166" s="232"/>
      <c r="T166" s="232"/>
      <c r="U166" s="232"/>
      <c r="V166" s="232"/>
      <c r="W166" s="232"/>
      <c r="X166" s="232"/>
      <c r="Y166" s="232"/>
      <c r="Z166" s="232"/>
      <c r="AA166" s="232"/>
      <c r="AB166" s="232"/>
      <c r="AC166" s="232"/>
      <c r="AD166" s="232"/>
      <c r="AE166" s="232"/>
      <c r="AF166" s="232"/>
      <c r="AG166" s="232"/>
      <c r="AH166" s="232"/>
      <c r="AI166" s="232"/>
      <c r="AJ166" s="232"/>
      <c r="AK166" s="232"/>
    </row>
    <row r="167" spans="2:37" ht="34.5" customHeight="1">
      <c r="B167" s="566" t="s">
        <v>327</v>
      </c>
      <c r="C167" s="566"/>
      <c r="D167" s="566"/>
      <c r="E167" s="566"/>
      <c r="F167" s="566"/>
      <c r="G167" s="566"/>
      <c r="H167" s="566"/>
      <c r="I167" s="566"/>
      <c r="J167" s="566"/>
      <c r="K167" s="566"/>
      <c r="L167" s="566"/>
      <c r="M167" s="566"/>
      <c r="N167" s="566"/>
      <c r="O167" s="566"/>
      <c r="P167" s="566"/>
      <c r="Q167" s="566"/>
      <c r="R167" s="566"/>
      <c r="S167" s="566"/>
      <c r="T167" s="566"/>
      <c r="U167" s="566"/>
      <c r="V167" s="566"/>
      <c r="W167" s="566"/>
      <c r="X167" s="566"/>
      <c r="Y167" s="566"/>
      <c r="Z167" s="566"/>
      <c r="AA167" s="566"/>
      <c r="AB167" s="566"/>
      <c r="AC167" s="566"/>
      <c r="AD167" s="566"/>
      <c r="AE167" s="566"/>
      <c r="AF167" s="566"/>
      <c r="AG167" s="566"/>
      <c r="AH167" s="566"/>
      <c r="AI167" s="566"/>
      <c r="AJ167" s="566"/>
      <c r="AK167" s="566"/>
    </row>
    <row r="168" spans="2:37" ht="8.1" customHeight="1">
      <c r="B168" s="232"/>
      <c r="C168" s="232"/>
      <c r="D168" s="232"/>
      <c r="E168" s="232"/>
      <c r="F168" s="232"/>
      <c r="G168" s="232"/>
      <c r="H168" s="232"/>
      <c r="I168" s="232"/>
      <c r="J168" s="232"/>
      <c r="K168" s="232"/>
      <c r="L168" s="232"/>
      <c r="M168" s="232"/>
      <c r="N168" s="232"/>
      <c r="O168" s="232"/>
      <c r="P168" s="232"/>
      <c r="Q168" s="232"/>
      <c r="R168" s="232"/>
      <c r="S168" s="232"/>
      <c r="T168" s="232"/>
      <c r="U168" s="232"/>
      <c r="V168" s="232"/>
      <c r="W168" s="232"/>
      <c r="X168" s="232"/>
      <c r="Y168" s="232"/>
      <c r="Z168" s="232"/>
      <c r="AA168" s="232"/>
      <c r="AB168" s="232"/>
      <c r="AC168" s="232"/>
      <c r="AD168" s="232"/>
      <c r="AE168" s="232"/>
      <c r="AF168" s="232"/>
      <c r="AG168" s="232"/>
      <c r="AH168" s="232"/>
      <c r="AI168" s="232"/>
      <c r="AJ168" s="232"/>
      <c r="AK168" s="232"/>
    </row>
    <row r="169" spans="2:37" ht="34.5" customHeight="1">
      <c r="B169" s="566" t="s">
        <v>328</v>
      </c>
      <c r="C169" s="566"/>
      <c r="D169" s="566"/>
      <c r="E169" s="566"/>
      <c r="F169" s="566"/>
      <c r="G169" s="566"/>
      <c r="H169" s="566"/>
      <c r="I169" s="566"/>
      <c r="J169" s="566"/>
      <c r="K169" s="566"/>
      <c r="L169" s="566"/>
      <c r="M169" s="566"/>
      <c r="N169" s="566"/>
      <c r="O169" s="566"/>
      <c r="P169" s="566"/>
      <c r="Q169" s="566"/>
      <c r="R169" s="566"/>
      <c r="S169" s="566"/>
      <c r="T169" s="566"/>
      <c r="U169" s="566"/>
      <c r="V169" s="566"/>
      <c r="W169" s="566"/>
      <c r="X169" s="566"/>
      <c r="Y169" s="566"/>
      <c r="Z169" s="566"/>
      <c r="AA169" s="566"/>
      <c r="AB169" s="566"/>
      <c r="AC169" s="566"/>
      <c r="AD169" s="566"/>
      <c r="AE169" s="566"/>
      <c r="AF169" s="566"/>
      <c r="AG169" s="566"/>
      <c r="AH169" s="566"/>
      <c r="AI169" s="566"/>
      <c r="AJ169" s="566"/>
      <c r="AK169" s="566"/>
    </row>
    <row r="170" spans="2:37" ht="8.1" customHeight="1"/>
    <row r="171" spans="2:37" ht="46.5" customHeight="1">
      <c r="B171" s="566" t="s">
        <v>329</v>
      </c>
      <c r="C171" s="566"/>
      <c r="D171" s="566"/>
      <c r="E171" s="566"/>
      <c r="F171" s="566"/>
      <c r="G171" s="566"/>
      <c r="H171" s="566"/>
      <c r="I171" s="566"/>
      <c r="J171" s="566"/>
      <c r="K171" s="566"/>
      <c r="L171" s="566"/>
      <c r="M171" s="566"/>
      <c r="N171" s="566"/>
      <c r="O171" s="566"/>
      <c r="P171" s="566"/>
      <c r="Q171" s="566"/>
      <c r="R171" s="566"/>
      <c r="S171" s="566"/>
      <c r="T171" s="566"/>
      <c r="U171" s="566"/>
      <c r="V171" s="566"/>
      <c r="W171" s="566"/>
      <c r="X171" s="566"/>
      <c r="Y171" s="566"/>
      <c r="Z171" s="566"/>
      <c r="AA171" s="566"/>
      <c r="AB171" s="566"/>
      <c r="AC171" s="566"/>
      <c r="AD171" s="566"/>
      <c r="AE171" s="566"/>
      <c r="AF171" s="566"/>
      <c r="AG171" s="566"/>
      <c r="AH171" s="566"/>
      <c r="AI171" s="566"/>
      <c r="AJ171" s="566"/>
      <c r="AK171" s="566"/>
    </row>
    <row r="172" spans="2:37" ht="8.1" customHeight="1">
      <c r="B172" s="232"/>
      <c r="C172" s="232"/>
      <c r="D172" s="232"/>
      <c r="E172" s="232"/>
      <c r="F172" s="232"/>
      <c r="G172" s="232"/>
      <c r="H172" s="232"/>
      <c r="I172" s="232"/>
      <c r="J172" s="232"/>
      <c r="K172" s="232"/>
      <c r="L172" s="232"/>
      <c r="M172" s="232"/>
      <c r="N172" s="232"/>
      <c r="O172" s="232"/>
      <c r="P172" s="232"/>
      <c r="Q172" s="232"/>
      <c r="R172" s="232"/>
      <c r="S172" s="232"/>
      <c r="T172" s="232"/>
      <c r="U172" s="232"/>
      <c r="V172" s="232"/>
      <c r="W172" s="232"/>
      <c r="X172" s="232"/>
      <c r="Y172" s="232"/>
      <c r="Z172" s="232"/>
      <c r="AA172" s="232"/>
      <c r="AB172" s="232"/>
      <c r="AC172" s="232"/>
      <c r="AD172" s="232"/>
      <c r="AE172" s="232"/>
      <c r="AF172" s="232"/>
      <c r="AG172" s="232"/>
      <c r="AH172" s="232"/>
      <c r="AI172" s="232"/>
      <c r="AJ172" s="232"/>
      <c r="AK172" s="232"/>
    </row>
    <row r="173" spans="2:37" ht="36.75" customHeight="1">
      <c r="B173" s="566" t="s">
        <v>330</v>
      </c>
      <c r="C173" s="566"/>
      <c r="D173" s="566"/>
      <c r="E173" s="566"/>
      <c r="F173" s="566"/>
      <c r="G173" s="566"/>
      <c r="H173" s="566"/>
      <c r="I173" s="566"/>
      <c r="J173" s="566"/>
      <c r="K173" s="566"/>
      <c r="L173" s="566"/>
      <c r="M173" s="566"/>
      <c r="N173" s="566"/>
      <c r="O173" s="566"/>
      <c r="P173" s="566"/>
      <c r="Q173" s="566"/>
      <c r="R173" s="566"/>
      <c r="S173" s="566"/>
      <c r="T173" s="566"/>
      <c r="U173" s="566"/>
      <c r="V173" s="566"/>
      <c r="W173" s="566"/>
      <c r="X173" s="566"/>
      <c r="Y173" s="566"/>
      <c r="Z173" s="566"/>
      <c r="AA173" s="566"/>
      <c r="AB173" s="566"/>
      <c r="AC173" s="566"/>
      <c r="AD173" s="566"/>
      <c r="AE173" s="566"/>
      <c r="AF173" s="566"/>
      <c r="AG173" s="566"/>
      <c r="AH173" s="566"/>
      <c r="AI173" s="566"/>
      <c r="AJ173" s="566"/>
      <c r="AK173" s="566"/>
    </row>
    <row r="174" spans="2:37" ht="59.25" customHeight="1">
      <c r="B174" s="562" t="s">
        <v>247</v>
      </c>
      <c r="C174" s="562"/>
      <c r="D174" s="562"/>
      <c r="E174" s="562"/>
      <c r="F174" s="562"/>
      <c r="G174" s="562"/>
      <c r="H174" s="562"/>
      <c r="I174" s="562"/>
      <c r="J174" s="562"/>
      <c r="K174" s="562"/>
      <c r="L174" s="562"/>
      <c r="M174" s="562"/>
      <c r="N174" s="562"/>
      <c r="O174" s="562"/>
      <c r="P174" s="562"/>
      <c r="Q174" s="562"/>
      <c r="R174" s="562"/>
      <c r="S174" s="562"/>
      <c r="T174" s="562"/>
      <c r="U174" s="562"/>
      <c r="V174" s="562"/>
      <c r="W174" s="562"/>
      <c r="X174" s="562"/>
      <c r="Y174" s="562"/>
      <c r="Z174" s="562"/>
      <c r="AA174" s="562"/>
      <c r="AB174" s="562"/>
      <c r="AC174" s="562"/>
      <c r="AD174" s="562"/>
      <c r="AE174" s="562"/>
      <c r="AF174" s="562"/>
      <c r="AG174" s="562"/>
      <c r="AH174" s="562"/>
      <c r="AI174" s="562"/>
      <c r="AJ174" s="562"/>
      <c r="AK174" s="562"/>
    </row>
    <row r="175" spans="2:37" ht="46.5" customHeight="1">
      <c r="B175" s="562" t="s">
        <v>248</v>
      </c>
      <c r="C175" s="562"/>
      <c r="D175" s="562"/>
      <c r="E175" s="562"/>
      <c r="F175" s="562"/>
      <c r="G175" s="562"/>
      <c r="H175" s="562"/>
      <c r="I175" s="562"/>
      <c r="J175" s="562"/>
      <c r="K175" s="562"/>
      <c r="L175" s="562"/>
      <c r="M175" s="562"/>
      <c r="N175" s="562"/>
      <c r="O175" s="562"/>
      <c r="P175" s="562"/>
      <c r="Q175" s="562"/>
      <c r="R175" s="562"/>
      <c r="S175" s="562"/>
      <c r="T175" s="562"/>
      <c r="U175" s="562"/>
      <c r="V175" s="562"/>
      <c r="W175" s="562"/>
      <c r="X175" s="562"/>
      <c r="Y175" s="562"/>
      <c r="Z175" s="562"/>
      <c r="AA175" s="562"/>
      <c r="AB175" s="562"/>
      <c r="AC175" s="562"/>
      <c r="AD175" s="562"/>
      <c r="AE175" s="562"/>
      <c r="AF175" s="562"/>
      <c r="AG175" s="562"/>
      <c r="AH175" s="562"/>
      <c r="AI175" s="562"/>
      <c r="AJ175" s="562"/>
      <c r="AK175" s="562"/>
    </row>
    <row r="176" spans="2:37" ht="21.75" customHeight="1">
      <c r="B176" s="562" t="s">
        <v>249</v>
      </c>
      <c r="C176" s="562"/>
      <c r="D176" s="562"/>
      <c r="E176" s="562"/>
      <c r="F176" s="562"/>
      <c r="G176" s="562"/>
      <c r="H176" s="562"/>
      <c r="I176" s="562"/>
      <c r="J176" s="562"/>
      <c r="K176" s="562"/>
      <c r="L176" s="562"/>
      <c r="M176" s="562"/>
      <c r="N176" s="562"/>
      <c r="O176" s="562"/>
      <c r="P176" s="562"/>
      <c r="Q176" s="562"/>
      <c r="R176" s="562"/>
      <c r="S176" s="562"/>
      <c r="T176" s="562"/>
      <c r="U176" s="562"/>
      <c r="V176" s="562"/>
      <c r="W176" s="562"/>
      <c r="X176" s="562"/>
      <c r="Y176" s="562"/>
      <c r="Z176" s="562"/>
      <c r="AA176" s="562"/>
      <c r="AB176" s="562"/>
      <c r="AC176" s="562"/>
      <c r="AD176" s="562"/>
      <c r="AE176" s="562"/>
      <c r="AF176" s="562"/>
      <c r="AG176" s="562"/>
      <c r="AH176" s="562"/>
      <c r="AI176" s="562"/>
      <c r="AJ176" s="562"/>
      <c r="AK176" s="562"/>
    </row>
    <row r="177" spans="2:37" ht="8.1" customHeight="1">
      <c r="B177" s="238"/>
      <c r="C177" s="238"/>
      <c r="D177" s="238"/>
      <c r="E177" s="238"/>
      <c r="F177" s="238"/>
      <c r="G177" s="238"/>
      <c r="H177" s="238"/>
      <c r="I177" s="238"/>
      <c r="J177" s="238"/>
      <c r="K177" s="238"/>
      <c r="L177" s="238"/>
      <c r="M177" s="238"/>
      <c r="N177" s="238"/>
      <c r="O177" s="238"/>
      <c r="P177" s="238"/>
      <c r="Q177" s="238"/>
      <c r="R177" s="238"/>
      <c r="S177" s="238"/>
      <c r="T177" s="238"/>
      <c r="U177" s="238"/>
      <c r="V177" s="238"/>
      <c r="W177" s="238"/>
      <c r="X177" s="238"/>
      <c r="Y177" s="238"/>
      <c r="Z177" s="238"/>
      <c r="AA177" s="238"/>
      <c r="AB177" s="238"/>
      <c r="AC177" s="238"/>
      <c r="AD177" s="238"/>
      <c r="AE177" s="238"/>
      <c r="AF177" s="238"/>
      <c r="AG177" s="238"/>
      <c r="AH177" s="238"/>
      <c r="AI177" s="238"/>
      <c r="AJ177" s="238"/>
      <c r="AK177" s="238"/>
    </row>
    <row r="178" spans="2:37" ht="71.25" customHeight="1">
      <c r="B178" s="566" t="s">
        <v>331</v>
      </c>
      <c r="C178" s="566"/>
      <c r="D178" s="566"/>
      <c r="E178" s="566"/>
      <c r="F178" s="566"/>
      <c r="G178" s="566"/>
      <c r="H178" s="566"/>
      <c r="I178" s="566"/>
      <c r="J178" s="566"/>
      <c r="K178" s="566"/>
      <c r="L178" s="566"/>
      <c r="M178" s="566"/>
      <c r="N178" s="566"/>
      <c r="O178" s="566"/>
      <c r="P178" s="566"/>
      <c r="Q178" s="566"/>
      <c r="R178" s="566"/>
      <c r="S178" s="566"/>
      <c r="T178" s="566"/>
      <c r="U178" s="566"/>
      <c r="V178" s="566"/>
      <c r="W178" s="566"/>
      <c r="X178" s="566"/>
      <c r="Y178" s="566"/>
      <c r="Z178" s="566"/>
      <c r="AA178" s="566"/>
      <c r="AB178" s="566"/>
      <c r="AC178" s="566"/>
      <c r="AD178" s="566"/>
      <c r="AE178" s="566"/>
      <c r="AF178" s="566"/>
      <c r="AG178" s="566"/>
      <c r="AH178" s="566"/>
      <c r="AI178" s="566"/>
      <c r="AJ178" s="566"/>
      <c r="AK178" s="566"/>
    </row>
    <row r="179" spans="2:37" ht="8.1" customHeight="1">
      <c r="B179" s="232"/>
      <c r="C179" s="232"/>
      <c r="D179" s="232"/>
      <c r="E179" s="232"/>
      <c r="F179" s="232"/>
      <c r="G179" s="232"/>
      <c r="H179" s="232"/>
      <c r="I179" s="232"/>
      <c r="J179" s="232"/>
      <c r="K179" s="232"/>
      <c r="L179" s="232"/>
      <c r="M179" s="232"/>
      <c r="N179" s="232"/>
      <c r="O179" s="232"/>
      <c r="P179" s="232"/>
      <c r="Q179" s="232"/>
      <c r="R179" s="232"/>
      <c r="S179" s="232"/>
      <c r="T179" s="232"/>
      <c r="U179" s="232"/>
      <c r="V179" s="232"/>
      <c r="W179" s="232"/>
      <c r="X179" s="232"/>
      <c r="Y179" s="232"/>
      <c r="Z179" s="232"/>
      <c r="AA179" s="232"/>
      <c r="AB179" s="232"/>
      <c r="AC179" s="232"/>
      <c r="AD179" s="232"/>
      <c r="AE179" s="232"/>
      <c r="AF179" s="232"/>
      <c r="AG179" s="232"/>
      <c r="AH179" s="232"/>
      <c r="AI179" s="232"/>
      <c r="AJ179" s="232"/>
      <c r="AK179" s="232"/>
    </row>
    <row r="180" spans="2:37" ht="24" customHeight="1">
      <c r="B180" s="566" t="s">
        <v>332</v>
      </c>
      <c r="C180" s="566"/>
      <c r="D180" s="566"/>
      <c r="E180" s="566"/>
      <c r="F180" s="566"/>
      <c r="G180" s="566"/>
      <c r="H180" s="566"/>
      <c r="I180" s="566"/>
      <c r="J180" s="566"/>
      <c r="K180" s="566"/>
      <c r="L180" s="566"/>
      <c r="M180" s="566"/>
      <c r="N180" s="566"/>
      <c r="O180" s="566"/>
      <c r="P180" s="566"/>
      <c r="Q180" s="566"/>
      <c r="R180" s="566"/>
      <c r="S180" s="566"/>
      <c r="T180" s="566"/>
      <c r="U180" s="566"/>
      <c r="V180" s="566"/>
      <c r="W180" s="566"/>
      <c r="X180" s="566"/>
      <c r="Y180" s="566"/>
      <c r="Z180" s="566"/>
      <c r="AA180" s="566"/>
      <c r="AB180" s="566"/>
      <c r="AC180" s="566"/>
      <c r="AD180" s="566"/>
      <c r="AE180" s="566"/>
      <c r="AF180" s="566"/>
      <c r="AG180" s="566"/>
      <c r="AH180" s="566"/>
      <c r="AI180" s="566"/>
      <c r="AJ180" s="566"/>
      <c r="AK180" s="566"/>
    </row>
    <row r="181" spans="2:37" ht="18" customHeight="1">
      <c r="B181" s="231"/>
      <c r="C181" s="231"/>
      <c r="D181" s="231"/>
      <c r="E181" s="231"/>
      <c r="F181" s="231"/>
      <c r="G181" s="231"/>
      <c r="H181" s="231"/>
      <c r="I181" s="231"/>
      <c r="J181" s="231"/>
      <c r="K181" s="231"/>
      <c r="L181" s="231"/>
      <c r="M181" s="231"/>
      <c r="N181" s="231"/>
      <c r="O181" s="231"/>
      <c r="P181" s="231"/>
      <c r="Q181" s="231"/>
      <c r="R181" s="231"/>
      <c r="S181" s="231"/>
      <c r="T181" s="231"/>
      <c r="U181" s="231"/>
      <c r="V181" s="231"/>
      <c r="W181" s="231"/>
      <c r="X181" s="231"/>
      <c r="Y181" s="231"/>
      <c r="Z181" s="231"/>
      <c r="AA181" s="231"/>
      <c r="AB181" s="231"/>
      <c r="AC181" s="231"/>
      <c r="AD181" s="231"/>
      <c r="AE181" s="231"/>
      <c r="AF181" s="231"/>
      <c r="AG181" s="231"/>
      <c r="AH181" s="231"/>
      <c r="AI181" s="231"/>
      <c r="AJ181" s="231"/>
      <c r="AK181" s="231"/>
    </row>
    <row r="182" spans="2:37" ht="12" customHeight="1">
      <c r="B182" s="231"/>
      <c r="C182" s="231"/>
      <c r="D182" s="231"/>
      <c r="E182" s="231"/>
      <c r="F182" s="231"/>
      <c r="G182" s="600" t="s">
        <v>252</v>
      </c>
      <c r="H182" s="601"/>
      <c r="I182" s="601"/>
      <c r="J182" s="601"/>
      <c r="K182" s="601"/>
      <c r="L182" s="601"/>
      <c r="M182" s="601"/>
      <c r="N182" s="601"/>
      <c r="O182" s="601"/>
      <c r="P182" s="602"/>
      <c r="Q182" s="603" t="s">
        <v>253</v>
      </c>
      <c r="R182" s="604"/>
      <c r="S182" s="604"/>
      <c r="T182" s="604"/>
      <c r="U182" s="604"/>
      <c r="V182" s="604"/>
      <c r="W182" s="604"/>
      <c r="X182" s="604"/>
      <c r="Y182" s="604"/>
      <c r="Z182" s="604"/>
      <c r="AA182" s="604"/>
      <c r="AB182" s="604"/>
      <c r="AC182" s="604"/>
      <c r="AD182" s="604"/>
      <c r="AE182" s="604"/>
      <c r="AF182" s="604"/>
      <c r="AG182" s="605"/>
      <c r="AH182" s="231"/>
      <c r="AI182" s="231"/>
      <c r="AJ182" s="231"/>
      <c r="AK182" s="231"/>
    </row>
    <row r="183" spans="2:37" ht="12" customHeight="1">
      <c r="B183" s="231"/>
      <c r="C183" s="231"/>
      <c r="D183" s="231"/>
      <c r="E183" s="231"/>
      <c r="F183" s="231"/>
      <c r="G183" s="600" t="s">
        <v>254</v>
      </c>
      <c r="H183" s="601"/>
      <c r="I183" s="601"/>
      <c r="J183" s="601"/>
      <c r="K183" s="601"/>
      <c r="L183" s="601"/>
      <c r="M183" s="601"/>
      <c r="N183" s="601"/>
      <c r="O183" s="601"/>
      <c r="P183" s="602"/>
      <c r="Q183" s="606" t="s">
        <v>255</v>
      </c>
      <c r="R183" s="607"/>
      <c r="S183" s="607"/>
      <c r="T183" s="607"/>
      <c r="U183" s="607"/>
      <c r="V183" s="607"/>
      <c r="W183" s="607"/>
      <c r="X183" s="607"/>
      <c r="Y183" s="607"/>
      <c r="Z183" s="607"/>
      <c r="AA183" s="607"/>
      <c r="AB183" s="607"/>
      <c r="AC183" s="607"/>
      <c r="AD183" s="607"/>
      <c r="AE183" s="607"/>
      <c r="AF183" s="607"/>
      <c r="AG183" s="608"/>
      <c r="AH183" s="231"/>
      <c r="AI183" s="231"/>
      <c r="AJ183" s="231"/>
      <c r="AK183" s="231"/>
    </row>
    <row r="184" spans="2:37" ht="12" customHeight="1">
      <c r="B184" s="231"/>
      <c r="C184" s="231"/>
      <c r="D184" s="231"/>
      <c r="E184" s="231"/>
      <c r="F184" s="231"/>
      <c r="G184" s="582" t="s">
        <v>256</v>
      </c>
      <c r="H184" s="583"/>
      <c r="I184" s="583"/>
      <c r="J184" s="583"/>
      <c r="K184" s="583"/>
      <c r="L184" s="583"/>
      <c r="M184" s="583"/>
      <c r="N184" s="583"/>
      <c r="O184" s="583"/>
      <c r="P184" s="584"/>
      <c r="Q184" s="588" t="s">
        <v>257</v>
      </c>
      <c r="R184" s="589"/>
      <c r="S184" s="589"/>
      <c r="T184" s="589"/>
      <c r="U184" s="589"/>
      <c r="V184" s="589"/>
      <c r="W184" s="589"/>
      <c r="X184" s="589"/>
      <c r="Y184" s="589"/>
      <c r="Z184" s="589"/>
      <c r="AA184" s="589"/>
      <c r="AB184" s="589"/>
      <c r="AC184" s="589"/>
      <c r="AD184" s="589"/>
      <c r="AE184" s="589"/>
      <c r="AF184" s="589"/>
      <c r="AG184" s="590"/>
      <c r="AH184" s="231"/>
      <c r="AI184" s="231"/>
      <c r="AJ184" s="231"/>
      <c r="AK184" s="231"/>
    </row>
    <row r="185" spans="2:37" ht="24" customHeight="1">
      <c r="B185" s="231"/>
      <c r="C185" s="231"/>
      <c r="D185" s="231"/>
      <c r="E185" s="231"/>
      <c r="F185" s="231"/>
      <c r="G185" s="585"/>
      <c r="H185" s="586"/>
      <c r="I185" s="586"/>
      <c r="J185" s="586"/>
      <c r="K185" s="586"/>
      <c r="L185" s="586"/>
      <c r="M185" s="586"/>
      <c r="N185" s="586"/>
      <c r="O185" s="586"/>
      <c r="P185" s="587"/>
      <c r="Q185" s="588" t="s">
        <v>258</v>
      </c>
      <c r="R185" s="589"/>
      <c r="S185" s="589"/>
      <c r="T185" s="589"/>
      <c r="U185" s="589"/>
      <c r="V185" s="589"/>
      <c r="W185" s="589"/>
      <c r="X185" s="589"/>
      <c r="Y185" s="589"/>
      <c r="Z185" s="589"/>
      <c r="AA185" s="589"/>
      <c r="AB185" s="589"/>
      <c r="AC185" s="589"/>
      <c r="AD185" s="589"/>
      <c r="AE185" s="589"/>
      <c r="AF185" s="589"/>
      <c r="AG185" s="590"/>
      <c r="AH185" s="231"/>
      <c r="AI185" s="231"/>
      <c r="AJ185" s="231"/>
      <c r="AK185" s="231"/>
    </row>
    <row r="186" spans="2:37" ht="15" customHeight="1">
      <c r="B186" s="231"/>
      <c r="C186" s="231"/>
      <c r="D186" s="231"/>
      <c r="E186" s="231"/>
      <c r="F186" s="231"/>
      <c r="G186" s="585"/>
      <c r="H186" s="586"/>
      <c r="I186" s="586"/>
      <c r="J186" s="586"/>
      <c r="K186" s="586"/>
      <c r="L186" s="586"/>
      <c r="M186" s="586"/>
      <c r="N186" s="586"/>
      <c r="O186" s="586"/>
      <c r="P186" s="587"/>
      <c r="Q186" s="588"/>
      <c r="R186" s="589"/>
      <c r="S186" s="589"/>
      <c r="T186" s="589"/>
      <c r="U186" s="589"/>
      <c r="V186" s="589"/>
      <c r="W186" s="589"/>
      <c r="X186" s="589"/>
      <c r="Y186" s="589"/>
      <c r="Z186" s="589"/>
      <c r="AA186" s="589"/>
      <c r="AB186" s="589"/>
      <c r="AC186" s="589"/>
      <c r="AD186" s="589"/>
      <c r="AE186" s="589"/>
      <c r="AF186" s="589"/>
      <c r="AG186" s="590"/>
      <c r="AH186" s="231"/>
      <c r="AI186" s="231"/>
      <c r="AJ186" s="231"/>
      <c r="AK186" s="231"/>
    </row>
    <row r="187" spans="2:37" ht="24" hidden="1" customHeight="1">
      <c r="B187" s="231"/>
      <c r="C187" s="231"/>
      <c r="D187" s="231"/>
      <c r="E187" s="231"/>
      <c r="F187" s="231"/>
      <c r="G187" s="585"/>
      <c r="H187" s="586"/>
      <c r="I187" s="586"/>
      <c r="J187" s="586"/>
      <c r="K187" s="586"/>
      <c r="L187" s="586"/>
      <c r="M187" s="586"/>
      <c r="N187" s="586"/>
      <c r="O187" s="586"/>
      <c r="P187" s="587"/>
      <c r="Q187" s="588"/>
      <c r="R187" s="589"/>
      <c r="S187" s="589"/>
      <c r="T187" s="589"/>
      <c r="U187" s="589"/>
      <c r="V187" s="589"/>
      <c r="W187" s="589"/>
      <c r="X187" s="589"/>
      <c r="Y187" s="589"/>
      <c r="Z187" s="589"/>
      <c r="AA187" s="589"/>
      <c r="AB187" s="589"/>
      <c r="AC187" s="589"/>
      <c r="AD187" s="589"/>
      <c r="AE187" s="589"/>
      <c r="AF187" s="589"/>
      <c r="AG187" s="590"/>
      <c r="AH187" s="231"/>
      <c r="AI187" s="231"/>
      <c r="AJ187" s="231"/>
      <c r="AK187" s="231"/>
    </row>
    <row r="188" spans="2:37" ht="12" customHeight="1">
      <c r="B188" s="231"/>
      <c r="C188" s="231"/>
      <c r="D188" s="231"/>
      <c r="E188" s="231"/>
      <c r="F188" s="231"/>
      <c r="G188" s="582" t="s">
        <v>259</v>
      </c>
      <c r="H188" s="583"/>
      <c r="I188" s="583"/>
      <c r="J188" s="583"/>
      <c r="K188" s="583"/>
      <c r="L188" s="583"/>
      <c r="M188" s="583"/>
      <c r="N188" s="583"/>
      <c r="O188" s="583"/>
      <c r="P188" s="584"/>
      <c r="Q188" s="594" t="s">
        <v>260</v>
      </c>
      <c r="R188" s="595"/>
      <c r="S188" s="595"/>
      <c r="T188" s="595"/>
      <c r="U188" s="595"/>
      <c r="V188" s="595"/>
      <c r="W188" s="595"/>
      <c r="X188" s="595"/>
      <c r="Y188" s="595"/>
      <c r="Z188" s="595"/>
      <c r="AA188" s="595"/>
      <c r="AB188" s="595"/>
      <c r="AC188" s="595"/>
      <c r="AD188" s="595"/>
      <c r="AE188" s="595"/>
      <c r="AF188" s="595"/>
      <c r="AG188" s="596"/>
      <c r="AH188" s="231"/>
      <c r="AI188" s="231"/>
      <c r="AJ188" s="231"/>
      <c r="AK188" s="231"/>
    </row>
    <row r="189" spans="2:37" ht="12" customHeight="1">
      <c r="B189" s="231"/>
      <c r="C189" s="231"/>
      <c r="D189" s="231"/>
      <c r="E189" s="231"/>
      <c r="F189" s="231"/>
      <c r="G189" s="585"/>
      <c r="H189" s="586"/>
      <c r="I189" s="586"/>
      <c r="J189" s="586"/>
      <c r="K189" s="586"/>
      <c r="L189" s="586"/>
      <c r="M189" s="586"/>
      <c r="N189" s="586"/>
      <c r="O189" s="586"/>
      <c r="P189" s="587"/>
      <c r="Q189" s="588" t="s">
        <v>261</v>
      </c>
      <c r="R189" s="589"/>
      <c r="S189" s="589"/>
      <c r="T189" s="589"/>
      <c r="U189" s="589"/>
      <c r="V189" s="589"/>
      <c r="W189" s="589"/>
      <c r="X189" s="589"/>
      <c r="Y189" s="589"/>
      <c r="Z189" s="589"/>
      <c r="AA189" s="589"/>
      <c r="AB189" s="589"/>
      <c r="AC189" s="589"/>
      <c r="AD189" s="589"/>
      <c r="AE189" s="589"/>
      <c r="AF189" s="589"/>
      <c r="AG189" s="590"/>
      <c r="AH189" s="231"/>
      <c r="AI189" s="231"/>
      <c r="AJ189" s="231"/>
      <c r="AK189" s="231"/>
    </row>
    <row r="190" spans="2:37" ht="12" customHeight="1">
      <c r="B190" s="231"/>
      <c r="C190" s="231"/>
      <c r="D190" s="231"/>
      <c r="E190" s="231"/>
      <c r="F190" s="231"/>
      <c r="G190" s="591"/>
      <c r="H190" s="592"/>
      <c r="I190" s="592"/>
      <c r="J190" s="592"/>
      <c r="K190" s="592"/>
      <c r="L190" s="592"/>
      <c r="M190" s="592"/>
      <c r="N190" s="592"/>
      <c r="O190" s="592"/>
      <c r="P190" s="593"/>
      <c r="Q190" s="597" t="s">
        <v>262</v>
      </c>
      <c r="R190" s="598"/>
      <c r="S190" s="598"/>
      <c r="T190" s="598"/>
      <c r="U190" s="598"/>
      <c r="V190" s="598"/>
      <c r="W190" s="598"/>
      <c r="X190" s="598"/>
      <c r="Y190" s="598"/>
      <c r="Z190" s="598"/>
      <c r="AA190" s="598"/>
      <c r="AB190" s="598"/>
      <c r="AC190" s="598"/>
      <c r="AD190" s="598"/>
      <c r="AE190" s="598"/>
      <c r="AF190" s="598"/>
      <c r="AG190" s="599"/>
      <c r="AH190" s="231"/>
      <c r="AI190" s="231"/>
      <c r="AJ190" s="231"/>
      <c r="AK190" s="231"/>
    </row>
    <row r="191" spans="2:37" ht="22.5" customHeight="1">
      <c r="B191" s="231"/>
      <c r="C191" s="231"/>
      <c r="D191" s="231"/>
      <c r="E191" s="231"/>
      <c r="F191" s="231"/>
      <c r="G191" s="582" t="s">
        <v>263</v>
      </c>
      <c r="H191" s="583"/>
      <c r="I191" s="583"/>
      <c r="J191" s="583"/>
      <c r="K191" s="583"/>
      <c r="L191" s="583"/>
      <c r="M191" s="583"/>
      <c r="N191" s="583"/>
      <c r="O191" s="583"/>
      <c r="P191" s="584"/>
      <c r="Q191" s="588" t="s">
        <v>264</v>
      </c>
      <c r="R191" s="589"/>
      <c r="S191" s="589"/>
      <c r="T191" s="589"/>
      <c r="U191" s="589"/>
      <c r="V191" s="589"/>
      <c r="W191" s="589"/>
      <c r="X191" s="589"/>
      <c r="Y191" s="589"/>
      <c r="Z191" s="589"/>
      <c r="AA191" s="589"/>
      <c r="AB191" s="589"/>
      <c r="AC191" s="589"/>
      <c r="AD191" s="589"/>
      <c r="AE191" s="589"/>
      <c r="AF191" s="589"/>
      <c r="AG191" s="590"/>
      <c r="AH191" s="231"/>
      <c r="AI191" s="231"/>
      <c r="AJ191" s="231"/>
      <c r="AK191" s="231"/>
    </row>
    <row r="192" spans="2:37" ht="12" customHeight="1">
      <c r="B192" s="231"/>
      <c r="C192" s="231"/>
      <c r="D192" s="231"/>
      <c r="E192" s="231"/>
      <c r="F192" s="231"/>
      <c r="G192" s="585"/>
      <c r="H192" s="586"/>
      <c r="I192" s="586"/>
      <c r="J192" s="586"/>
      <c r="K192" s="586"/>
      <c r="L192" s="586"/>
      <c r="M192" s="586"/>
      <c r="N192" s="586"/>
      <c r="O192" s="586"/>
      <c r="P192" s="587"/>
      <c r="Q192" s="588" t="s">
        <v>265</v>
      </c>
      <c r="R192" s="589"/>
      <c r="S192" s="589"/>
      <c r="T192" s="589"/>
      <c r="U192" s="589"/>
      <c r="V192" s="589"/>
      <c r="W192" s="589"/>
      <c r="X192" s="589"/>
      <c r="Y192" s="589"/>
      <c r="Z192" s="589"/>
      <c r="AA192" s="589"/>
      <c r="AB192" s="589"/>
      <c r="AC192" s="589"/>
      <c r="AD192" s="589"/>
      <c r="AE192" s="589"/>
      <c r="AF192" s="589"/>
      <c r="AG192" s="590"/>
      <c r="AH192" s="231"/>
      <c r="AI192" s="231"/>
      <c r="AJ192" s="231"/>
      <c r="AK192" s="231"/>
    </row>
    <row r="193" spans="2:37" ht="12" customHeight="1">
      <c r="B193" s="231"/>
      <c r="C193" s="231"/>
      <c r="D193" s="231"/>
      <c r="E193" s="231"/>
      <c r="F193" s="231"/>
      <c r="G193" s="585"/>
      <c r="H193" s="586"/>
      <c r="I193" s="586"/>
      <c r="J193" s="586"/>
      <c r="K193" s="586"/>
      <c r="L193" s="586"/>
      <c r="M193" s="586"/>
      <c r="N193" s="586"/>
      <c r="O193" s="586"/>
      <c r="P193" s="587"/>
      <c r="Q193" s="588" t="s">
        <v>266</v>
      </c>
      <c r="R193" s="589"/>
      <c r="S193" s="589"/>
      <c r="T193" s="589"/>
      <c r="U193" s="589"/>
      <c r="V193" s="589"/>
      <c r="W193" s="589"/>
      <c r="X193" s="589"/>
      <c r="Y193" s="589"/>
      <c r="Z193" s="589"/>
      <c r="AA193" s="589"/>
      <c r="AB193" s="589"/>
      <c r="AC193" s="589"/>
      <c r="AD193" s="589"/>
      <c r="AE193" s="589"/>
      <c r="AF193" s="589"/>
      <c r="AG193" s="590"/>
      <c r="AH193" s="231"/>
      <c r="AI193" s="231"/>
      <c r="AJ193" s="231"/>
      <c r="AK193" s="231"/>
    </row>
    <row r="194" spans="2:37" ht="4.5" customHeight="1">
      <c r="B194" s="231"/>
      <c r="C194" s="231"/>
      <c r="D194" s="231"/>
      <c r="E194" s="231"/>
      <c r="F194" s="231"/>
      <c r="G194" s="591"/>
      <c r="H194" s="592"/>
      <c r="I194" s="592"/>
      <c r="J194" s="592"/>
      <c r="K194" s="592"/>
      <c r="L194" s="592"/>
      <c r="M194" s="592"/>
      <c r="N194" s="592"/>
      <c r="O194" s="592"/>
      <c r="P194" s="593"/>
      <c r="Q194" s="597"/>
      <c r="R194" s="598"/>
      <c r="S194" s="598"/>
      <c r="T194" s="598"/>
      <c r="U194" s="598"/>
      <c r="V194" s="598"/>
      <c r="W194" s="598"/>
      <c r="X194" s="598"/>
      <c r="Y194" s="598"/>
      <c r="Z194" s="598"/>
      <c r="AA194" s="598"/>
      <c r="AB194" s="598"/>
      <c r="AC194" s="598"/>
      <c r="AD194" s="598"/>
      <c r="AE194" s="598"/>
      <c r="AF194" s="598"/>
      <c r="AG194" s="599"/>
      <c r="AH194" s="231"/>
      <c r="AI194" s="231"/>
      <c r="AJ194" s="231"/>
      <c r="AK194" s="231"/>
    </row>
    <row r="195" spans="2:37" ht="32.25" customHeight="1">
      <c r="B195" s="260"/>
      <c r="C195" s="260"/>
      <c r="D195" s="260"/>
      <c r="E195" s="260"/>
      <c r="F195" s="260"/>
      <c r="G195" s="260"/>
      <c r="H195" s="260"/>
      <c r="I195" s="260"/>
      <c r="J195" s="260"/>
      <c r="K195" s="260"/>
      <c r="L195" s="260"/>
      <c r="M195" s="260"/>
      <c r="N195" s="260"/>
      <c r="O195" s="260"/>
      <c r="P195" s="260"/>
      <c r="Q195" s="260"/>
      <c r="R195" s="260"/>
      <c r="S195" s="260"/>
      <c r="T195" s="260"/>
      <c r="U195" s="261"/>
      <c r="V195" s="261"/>
      <c r="W195" s="261"/>
      <c r="X195" s="261"/>
      <c r="Y195" s="261"/>
      <c r="Z195" s="261"/>
      <c r="AA195" s="261"/>
      <c r="AB195" s="261"/>
      <c r="AC195" s="261"/>
      <c r="AD195" s="261"/>
      <c r="AE195" s="261"/>
      <c r="AF195" s="261"/>
      <c r="AG195" s="261"/>
      <c r="AH195" s="261"/>
      <c r="AI195" s="261"/>
      <c r="AJ195" s="261"/>
      <c r="AK195" s="261"/>
    </row>
    <row r="196" spans="2:37" ht="21" customHeight="1">
      <c r="B196" s="566" t="s">
        <v>333</v>
      </c>
      <c r="C196" s="566"/>
      <c r="D196" s="566"/>
      <c r="E196" s="566"/>
      <c r="F196" s="566"/>
      <c r="G196" s="566"/>
      <c r="H196" s="566"/>
      <c r="I196" s="566"/>
      <c r="J196" s="566"/>
      <c r="K196" s="566"/>
      <c r="L196" s="566"/>
      <c r="M196" s="566"/>
      <c r="N196" s="566"/>
      <c r="O196" s="566"/>
      <c r="P196" s="566"/>
      <c r="Q196" s="566"/>
      <c r="R196" s="566"/>
      <c r="S196" s="566"/>
      <c r="T196" s="566"/>
      <c r="U196" s="566"/>
      <c r="V196" s="566"/>
      <c r="W196" s="566"/>
      <c r="X196" s="566"/>
      <c r="Y196" s="566"/>
      <c r="Z196" s="566"/>
      <c r="AA196" s="566"/>
      <c r="AB196" s="566"/>
      <c r="AC196" s="566"/>
      <c r="AD196" s="566"/>
      <c r="AE196" s="566"/>
      <c r="AF196" s="566"/>
      <c r="AG196" s="566"/>
      <c r="AH196" s="566"/>
      <c r="AI196" s="566"/>
      <c r="AJ196" s="566"/>
      <c r="AK196" s="566"/>
    </row>
    <row r="197" spans="2:37" ht="8.1" customHeight="1">
      <c r="B197" s="232"/>
      <c r="C197" s="232"/>
      <c r="D197" s="232"/>
      <c r="E197" s="232"/>
      <c r="F197" s="232"/>
      <c r="G197" s="232"/>
      <c r="H197" s="232"/>
      <c r="I197" s="232"/>
      <c r="J197" s="232"/>
      <c r="K197" s="232"/>
      <c r="L197" s="232"/>
      <c r="M197" s="232"/>
      <c r="N197" s="232"/>
      <c r="O197" s="232"/>
      <c r="P197" s="232"/>
      <c r="Q197" s="232"/>
      <c r="R197" s="232"/>
      <c r="S197" s="232"/>
      <c r="T197" s="232"/>
      <c r="U197" s="232"/>
      <c r="V197" s="232"/>
      <c r="W197" s="232"/>
      <c r="X197" s="232"/>
      <c r="Y197" s="232"/>
      <c r="Z197" s="232"/>
      <c r="AA197" s="232"/>
      <c r="AB197" s="232"/>
      <c r="AC197" s="232"/>
      <c r="AD197" s="232"/>
      <c r="AE197" s="232"/>
      <c r="AF197" s="232"/>
      <c r="AG197" s="232"/>
      <c r="AH197" s="232"/>
      <c r="AI197" s="232"/>
      <c r="AJ197" s="232"/>
      <c r="AK197" s="232"/>
    </row>
    <row r="198" spans="2:37" ht="66.75" customHeight="1">
      <c r="B198" s="566" t="s">
        <v>334</v>
      </c>
      <c r="C198" s="566"/>
      <c r="D198" s="566"/>
      <c r="E198" s="566"/>
      <c r="F198" s="566"/>
      <c r="G198" s="566"/>
      <c r="H198" s="566"/>
      <c r="I198" s="566"/>
      <c r="J198" s="566"/>
      <c r="K198" s="566"/>
      <c r="L198" s="566"/>
      <c r="M198" s="566"/>
      <c r="N198" s="566"/>
      <c r="O198" s="566"/>
      <c r="P198" s="566"/>
      <c r="Q198" s="566"/>
      <c r="R198" s="566"/>
      <c r="S198" s="566"/>
      <c r="T198" s="566"/>
      <c r="U198" s="566"/>
      <c r="V198" s="566"/>
      <c r="W198" s="566"/>
      <c r="X198" s="566"/>
      <c r="Y198" s="566"/>
      <c r="Z198" s="566"/>
      <c r="AA198" s="566"/>
      <c r="AB198" s="566"/>
      <c r="AC198" s="566"/>
      <c r="AD198" s="566"/>
      <c r="AE198" s="566"/>
      <c r="AF198" s="566"/>
      <c r="AG198" s="566"/>
      <c r="AH198" s="566"/>
      <c r="AI198" s="566"/>
      <c r="AJ198" s="566"/>
      <c r="AK198" s="566"/>
    </row>
    <row r="199" spans="2:37" ht="6.75" customHeight="1">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row>
    <row r="200" spans="2:37" ht="35.25" customHeight="1">
      <c r="B200" s="562" t="s">
        <v>269</v>
      </c>
      <c r="C200" s="562"/>
      <c r="D200" s="562"/>
      <c r="E200" s="562"/>
      <c r="F200" s="562"/>
      <c r="G200" s="562"/>
      <c r="H200" s="562"/>
      <c r="I200" s="562"/>
      <c r="J200" s="562"/>
      <c r="K200" s="562"/>
      <c r="L200" s="562"/>
      <c r="M200" s="562"/>
      <c r="N200" s="562"/>
      <c r="O200" s="562"/>
      <c r="P200" s="562"/>
      <c r="Q200" s="562"/>
      <c r="R200" s="562"/>
      <c r="S200" s="562"/>
      <c r="T200" s="562"/>
      <c r="U200" s="562"/>
      <c r="V200" s="562"/>
      <c r="W200" s="562"/>
      <c r="X200" s="562"/>
      <c r="Y200" s="562"/>
      <c r="Z200" s="562"/>
      <c r="AA200" s="562"/>
      <c r="AB200" s="562"/>
      <c r="AC200" s="562"/>
      <c r="AD200" s="562"/>
      <c r="AE200" s="562"/>
      <c r="AF200" s="562"/>
      <c r="AG200" s="562"/>
      <c r="AH200" s="562"/>
      <c r="AI200" s="562"/>
      <c r="AJ200" s="562"/>
      <c r="AK200" s="562"/>
    </row>
    <row r="201" spans="2:37" ht="8.1" customHeight="1">
      <c r="B201" s="232"/>
      <c r="C201" s="232"/>
      <c r="D201" s="232"/>
      <c r="E201" s="232"/>
      <c r="F201" s="232"/>
      <c r="G201" s="232"/>
      <c r="H201" s="232"/>
      <c r="I201" s="232"/>
      <c r="J201" s="232"/>
      <c r="K201" s="232"/>
      <c r="L201" s="232"/>
      <c r="M201" s="232"/>
      <c r="N201" s="232"/>
      <c r="O201" s="232"/>
      <c r="P201" s="232"/>
      <c r="Q201" s="232"/>
      <c r="R201" s="232"/>
      <c r="S201" s="232"/>
      <c r="T201" s="232"/>
      <c r="U201" s="232"/>
      <c r="V201" s="232"/>
      <c r="W201" s="232"/>
      <c r="X201" s="232"/>
      <c r="Y201" s="232"/>
      <c r="Z201" s="232"/>
      <c r="AA201" s="232"/>
      <c r="AB201" s="232"/>
      <c r="AC201" s="232"/>
      <c r="AD201" s="232"/>
      <c r="AE201" s="232"/>
      <c r="AF201" s="232"/>
      <c r="AG201" s="232"/>
      <c r="AH201" s="232"/>
      <c r="AI201" s="232"/>
      <c r="AJ201" s="232"/>
      <c r="AK201" s="232"/>
    </row>
    <row r="202" spans="2:37" ht="31.5" customHeight="1">
      <c r="B202" s="566" t="s">
        <v>335</v>
      </c>
      <c r="C202" s="566"/>
      <c r="D202" s="566"/>
      <c r="E202" s="566"/>
      <c r="F202" s="566"/>
      <c r="G202" s="566"/>
      <c r="H202" s="566"/>
      <c r="I202" s="566"/>
      <c r="J202" s="566"/>
      <c r="K202" s="566"/>
      <c r="L202" s="566"/>
      <c r="M202" s="566"/>
      <c r="N202" s="566"/>
      <c r="O202" s="566"/>
      <c r="P202" s="566"/>
      <c r="Q202" s="566"/>
      <c r="R202" s="566"/>
      <c r="S202" s="566"/>
      <c r="T202" s="566"/>
      <c r="U202" s="566"/>
      <c r="V202" s="566"/>
      <c r="W202" s="566"/>
      <c r="X202" s="566"/>
      <c r="Y202" s="566"/>
      <c r="Z202" s="566"/>
      <c r="AA202" s="566"/>
      <c r="AB202" s="566"/>
      <c r="AC202" s="566"/>
      <c r="AD202" s="566"/>
      <c r="AE202" s="566"/>
      <c r="AF202" s="566"/>
      <c r="AG202" s="566"/>
      <c r="AH202" s="566"/>
      <c r="AI202" s="566"/>
      <c r="AJ202" s="566"/>
      <c r="AK202" s="566"/>
    </row>
    <row r="203" spans="2:37" ht="8.1" customHeight="1">
      <c r="B203" s="562"/>
      <c r="C203" s="562"/>
      <c r="D203" s="562"/>
      <c r="E203" s="562"/>
      <c r="F203" s="562"/>
      <c r="G203" s="562"/>
      <c r="H203" s="562"/>
      <c r="I203" s="562"/>
      <c r="J203" s="562"/>
      <c r="K203" s="562"/>
      <c r="L203" s="562"/>
      <c r="M203" s="562"/>
      <c r="N203" s="562"/>
      <c r="O203" s="562"/>
      <c r="P203" s="562"/>
      <c r="Q203" s="562"/>
      <c r="R203" s="562"/>
      <c r="S203" s="562"/>
      <c r="T203" s="562"/>
      <c r="U203" s="562"/>
      <c r="V203" s="562"/>
      <c r="W203" s="562"/>
      <c r="X203" s="562"/>
      <c r="Y203" s="562"/>
      <c r="Z203" s="562"/>
      <c r="AA203" s="562"/>
      <c r="AB203" s="562"/>
      <c r="AC203" s="562"/>
      <c r="AD203" s="562"/>
      <c r="AE203" s="562"/>
      <c r="AF203" s="562"/>
      <c r="AG203" s="562"/>
      <c r="AH203" s="562"/>
      <c r="AI203" s="562"/>
      <c r="AJ203" s="562"/>
      <c r="AK203" s="562"/>
    </row>
    <row r="204" spans="2:37" ht="34.5" customHeight="1"/>
    <row r="205" spans="2:37" ht="34.5" customHeight="1">
      <c r="B205" s="566" t="s">
        <v>336</v>
      </c>
      <c r="C205" s="566"/>
      <c r="D205" s="566"/>
      <c r="E205" s="566"/>
      <c r="F205" s="566"/>
      <c r="G205" s="566"/>
      <c r="H205" s="566"/>
      <c r="I205" s="566"/>
      <c r="J205" s="566"/>
      <c r="K205" s="566"/>
      <c r="L205" s="566"/>
      <c r="M205" s="566"/>
      <c r="N205" s="566"/>
      <c r="O205" s="566"/>
      <c r="P205" s="566"/>
      <c r="Q205" s="566"/>
      <c r="R205" s="566"/>
      <c r="S205" s="566"/>
      <c r="T205" s="566"/>
      <c r="U205" s="566"/>
      <c r="V205" s="566"/>
      <c r="W205" s="566"/>
      <c r="X205" s="566"/>
      <c r="Y205" s="566"/>
      <c r="Z205" s="566"/>
      <c r="AA205" s="566"/>
      <c r="AB205" s="566"/>
      <c r="AC205" s="566"/>
      <c r="AD205" s="566"/>
      <c r="AE205" s="566"/>
      <c r="AF205" s="566"/>
      <c r="AG205" s="566"/>
      <c r="AH205" s="566"/>
      <c r="AI205" s="566"/>
      <c r="AJ205" s="566"/>
      <c r="AK205" s="566"/>
    </row>
    <row r="206" spans="2:37" ht="34.5" customHeight="1">
      <c r="B206" s="491"/>
      <c r="C206" s="491"/>
      <c r="D206" s="491"/>
      <c r="E206" s="491"/>
      <c r="F206" s="491"/>
      <c r="G206" s="491"/>
      <c r="H206" s="491"/>
      <c r="I206" s="491"/>
      <c r="J206" s="491"/>
      <c r="K206" s="491"/>
      <c r="L206" s="491"/>
      <c r="M206" s="491"/>
      <c r="N206" s="491"/>
      <c r="O206" s="491"/>
      <c r="P206" s="491"/>
      <c r="Q206" s="491"/>
      <c r="R206" s="491"/>
      <c r="S206" s="491"/>
      <c r="T206" s="491"/>
      <c r="U206" s="491"/>
      <c r="V206" s="491"/>
      <c r="W206" s="491"/>
      <c r="X206" s="491"/>
      <c r="Y206" s="491"/>
      <c r="Z206" s="491"/>
      <c r="AA206" s="491"/>
      <c r="AB206" s="491"/>
      <c r="AC206" s="491"/>
      <c r="AD206" s="491"/>
      <c r="AE206" s="491"/>
      <c r="AF206" s="491"/>
      <c r="AG206" s="491"/>
      <c r="AH206" s="491"/>
      <c r="AI206" s="491"/>
      <c r="AJ206" s="491"/>
      <c r="AK206" s="491"/>
    </row>
    <row r="207" spans="2:37" ht="15" customHeight="1">
      <c r="B207" s="504"/>
      <c r="C207" s="504"/>
      <c r="D207" s="504"/>
      <c r="E207" s="504"/>
      <c r="F207" s="504"/>
      <c r="G207" s="504"/>
      <c r="H207" s="504"/>
      <c r="I207" s="504"/>
      <c r="J207" s="504"/>
      <c r="K207" s="504"/>
      <c r="L207" s="504"/>
      <c r="M207" s="504"/>
      <c r="N207" s="504"/>
      <c r="O207" s="504"/>
      <c r="P207" s="504"/>
      <c r="Q207" s="504"/>
      <c r="R207" s="504"/>
      <c r="S207" s="504"/>
      <c r="T207" s="504"/>
      <c r="U207" s="504"/>
      <c r="V207" s="504"/>
      <c r="W207" s="504"/>
      <c r="X207" s="504"/>
      <c r="Y207" s="504"/>
      <c r="Z207" s="504"/>
      <c r="AA207" s="504"/>
      <c r="AB207" s="504"/>
      <c r="AC207" s="504"/>
      <c r="AD207" s="504"/>
      <c r="AE207" s="504"/>
      <c r="AF207" s="504"/>
      <c r="AG207" s="504"/>
      <c r="AH207" s="504"/>
      <c r="AI207" s="504"/>
      <c r="AJ207" s="504"/>
      <c r="AK207" s="504"/>
    </row>
    <row r="208" spans="2:37" ht="12.75" customHeight="1">
      <c r="B208" s="726" t="s">
        <v>272</v>
      </c>
      <c r="C208" s="726"/>
      <c r="D208" s="726"/>
      <c r="E208" s="726"/>
      <c r="F208" s="726"/>
      <c r="G208" s="726"/>
      <c r="H208" s="726"/>
      <c r="I208" s="726"/>
      <c r="J208" s="726"/>
      <c r="K208" s="726"/>
      <c r="L208" s="726"/>
      <c r="M208" s="726"/>
      <c r="N208" s="726"/>
      <c r="O208" s="726"/>
      <c r="P208" s="726"/>
      <c r="Q208" s="726"/>
      <c r="R208" s="726"/>
      <c r="S208" s="726"/>
      <c r="T208" s="726"/>
      <c r="U208" s="726"/>
      <c r="V208" s="726"/>
      <c r="W208" s="726"/>
      <c r="X208" s="726"/>
      <c r="Y208" s="726"/>
      <c r="Z208" s="726"/>
      <c r="AA208" s="726"/>
      <c r="AB208" s="726"/>
      <c r="AC208" s="726"/>
      <c r="AD208" s="726"/>
      <c r="AE208" s="726"/>
      <c r="AF208" s="726"/>
      <c r="AG208" s="726"/>
      <c r="AH208" s="726"/>
      <c r="AI208" s="726"/>
      <c r="AJ208" s="726"/>
      <c r="AK208" s="726"/>
    </row>
    <row r="209" spans="2:37" ht="12.75" customHeight="1">
      <c r="B209" s="257"/>
      <c r="C209" s="238"/>
      <c r="D209" s="238"/>
      <c r="E209" s="238"/>
      <c r="F209" s="238"/>
      <c r="G209" s="238"/>
      <c r="H209" s="238"/>
      <c r="I209" s="238"/>
      <c r="J209" s="238"/>
      <c r="K209" s="238"/>
      <c r="L209" s="238"/>
      <c r="M209" s="238"/>
      <c r="N209" s="238"/>
      <c r="O209" s="238"/>
      <c r="P209" s="238"/>
      <c r="Q209" s="238"/>
      <c r="R209" s="238"/>
      <c r="S209" s="238"/>
      <c r="T209" s="238"/>
      <c r="U209" s="238"/>
      <c r="V209" s="238"/>
      <c r="W209" s="238"/>
      <c r="X209" s="238"/>
      <c r="Y209" s="238"/>
      <c r="Z209" s="238"/>
      <c r="AA209" s="238"/>
      <c r="AB209" s="238"/>
      <c r="AC209" s="238"/>
      <c r="AD209" s="238"/>
      <c r="AE209" s="238"/>
      <c r="AF209" s="238"/>
      <c r="AG209" s="238"/>
      <c r="AH209" s="238"/>
      <c r="AI209" s="238"/>
      <c r="AJ209" s="238"/>
      <c r="AK209" s="238"/>
    </row>
    <row r="210" spans="2:37" ht="49.5" customHeight="1">
      <c r="B210" s="562" t="s">
        <v>337</v>
      </c>
      <c r="C210" s="562"/>
      <c r="D210" s="562"/>
      <c r="E210" s="562"/>
      <c r="F210" s="562"/>
      <c r="G210" s="562"/>
      <c r="H210" s="562"/>
      <c r="I210" s="562"/>
      <c r="J210" s="562"/>
      <c r="K210" s="562"/>
      <c r="L210" s="562"/>
      <c r="M210" s="562"/>
      <c r="N210" s="562"/>
      <c r="O210" s="562"/>
      <c r="P210" s="562"/>
      <c r="Q210" s="562"/>
      <c r="R210" s="562"/>
      <c r="S210" s="562"/>
      <c r="T210" s="562"/>
      <c r="U210" s="562"/>
      <c r="V210" s="562"/>
      <c r="W210" s="562"/>
      <c r="X210" s="562"/>
      <c r="Y210" s="562"/>
      <c r="Z210" s="562"/>
      <c r="AA210" s="562"/>
      <c r="AB210" s="562"/>
      <c r="AC210" s="562"/>
      <c r="AD210" s="562"/>
      <c r="AE210" s="562"/>
      <c r="AF210" s="562"/>
      <c r="AG210" s="562"/>
      <c r="AH210" s="562"/>
      <c r="AI210" s="562"/>
      <c r="AJ210" s="562"/>
      <c r="AK210" s="562"/>
    </row>
    <row r="211" spans="2:37" ht="30.75" customHeight="1">
      <c r="B211" s="238"/>
      <c r="C211" s="238"/>
      <c r="D211" s="238"/>
      <c r="E211" s="238"/>
      <c r="F211" s="238"/>
      <c r="G211" s="238"/>
      <c r="H211" s="238"/>
      <c r="I211" s="238"/>
      <c r="J211" s="238"/>
      <c r="K211" s="238"/>
      <c r="L211" s="238"/>
      <c r="M211" s="238"/>
      <c r="N211" s="238"/>
      <c r="O211" s="238"/>
      <c r="P211" s="238"/>
      <c r="Q211" s="238"/>
      <c r="R211" s="238"/>
      <c r="S211" s="238"/>
      <c r="T211" s="238"/>
      <c r="U211" s="238"/>
      <c r="V211" s="238"/>
      <c r="W211" s="238"/>
      <c r="X211" s="238"/>
      <c r="Y211" s="238"/>
      <c r="Z211" s="238"/>
      <c r="AA211" s="238"/>
      <c r="AB211" s="238"/>
      <c r="AC211" s="238"/>
      <c r="AD211" s="238"/>
      <c r="AE211" s="238"/>
      <c r="AF211" s="238"/>
      <c r="AG211" s="238"/>
      <c r="AH211" s="238"/>
      <c r="AI211" s="238"/>
      <c r="AJ211" s="238"/>
      <c r="AK211" s="238"/>
    </row>
    <row r="212" spans="2:37" ht="12.75" customHeight="1">
      <c r="B212" s="730" t="s">
        <v>274</v>
      </c>
      <c r="C212" s="730"/>
      <c r="D212" s="730"/>
      <c r="E212" s="730"/>
      <c r="F212" s="730"/>
      <c r="G212" s="730"/>
      <c r="H212" s="730"/>
      <c r="I212" s="730"/>
      <c r="J212" s="730"/>
      <c r="K212" s="730"/>
      <c r="L212" s="730"/>
      <c r="M212" s="730"/>
      <c r="N212" s="730"/>
      <c r="O212" s="730"/>
      <c r="P212" s="730"/>
      <c r="Q212" s="730"/>
      <c r="R212" s="730"/>
      <c r="S212" s="730"/>
      <c r="T212" s="730"/>
      <c r="U212" s="730"/>
      <c r="V212" s="730"/>
      <c r="W212" s="730"/>
      <c r="X212" s="730"/>
      <c r="Y212" s="730"/>
      <c r="Z212" s="730"/>
      <c r="AA212" s="730"/>
      <c r="AB212" s="730"/>
      <c r="AC212" s="730"/>
      <c r="AD212" s="730"/>
      <c r="AE212" s="730"/>
      <c r="AF212" s="730"/>
      <c r="AG212" s="730"/>
      <c r="AH212" s="730"/>
      <c r="AI212" s="730"/>
      <c r="AJ212" s="730"/>
      <c r="AK212" s="730"/>
    </row>
    <row r="213" spans="2:37" ht="12.75" customHeight="1">
      <c r="B213" s="262"/>
      <c r="C213" s="238"/>
      <c r="D213" s="238"/>
      <c r="E213" s="238"/>
      <c r="F213" s="238"/>
      <c r="G213" s="238"/>
      <c r="H213" s="238"/>
      <c r="I213" s="238"/>
      <c r="J213" s="238"/>
      <c r="K213" s="238"/>
      <c r="L213" s="238"/>
      <c r="M213" s="238"/>
      <c r="N213" s="238"/>
      <c r="O213" s="238"/>
      <c r="P213" s="238"/>
      <c r="Q213" s="238"/>
      <c r="R213" s="238"/>
      <c r="S213" s="238"/>
      <c r="T213" s="238"/>
      <c r="U213" s="238"/>
      <c r="V213" s="238"/>
      <c r="W213" s="238"/>
      <c r="X213" s="238"/>
      <c r="Y213" s="238"/>
      <c r="Z213" s="238"/>
      <c r="AA213" s="238"/>
      <c r="AB213" s="238"/>
      <c r="AC213" s="238"/>
      <c r="AD213" s="238"/>
      <c r="AE213" s="238"/>
      <c r="AF213" s="238"/>
      <c r="AG213" s="238"/>
      <c r="AH213" s="238"/>
      <c r="AI213" s="238"/>
      <c r="AJ213" s="238"/>
      <c r="AK213" s="238"/>
    </row>
    <row r="214" spans="2:37" ht="12.75" customHeight="1">
      <c r="B214" s="263"/>
      <c r="C214" s="238"/>
      <c r="D214" s="238"/>
      <c r="E214" s="238"/>
      <c r="F214" s="238"/>
      <c r="G214" s="238"/>
      <c r="H214" s="238"/>
      <c r="I214" s="238"/>
      <c r="J214" s="238"/>
      <c r="K214" s="238"/>
      <c r="L214" s="618"/>
      <c r="M214" s="618"/>
      <c r="N214" s="618"/>
      <c r="O214" s="618"/>
      <c r="P214" s="618"/>
      <c r="Q214" s="618"/>
      <c r="R214" s="618"/>
      <c r="S214" s="618"/>
      <c r="T214" s="618"/>
      <c r="U214" s="618"/>
      <c r="V214" s="618"/>
      <c r="W214" s="618"/>
      <c r="X214" s="618"/>
      <c r="Y214" s="618"/>
      <c r="Z214" s="618"/>
      <c r="AA214" s="618"/>
      <c r="AB214" s="618"/>
      <c r="AC214" s="238"/>
      <c r="AD214" s="238"/>
      <c r="AE214" s="238"/>
      <c r="AF214" s="238"/>
      <c r="AG214" s="238"/>
      <c r="AH214" s="238"/>
      <c r="AI214" s="238"/>
      <c r="AJ214" s="238"/>
      <c r="AK214" s="238"/>
    </row>
    <row r="215" spans="2:37" ht="12.75" customHeight="1">
      <c r="B215" s="730">
        <f>AA_013_DATOS_DE_LA_PARTE_ACREDITADA_NOMBRE_DEL_ACREDITADO</f>
        <v>0</v>
      </c>
      <c r="C215" s="730"/>
      <c r="D215" s="730"/>
      <c r="E215" s="730"/>
      <c r="F215" s="730"/>
      <c r="G215" s="730"/>
      <c r="H215" s="730"/>
      <c r="I215" s="730"/>
      <c r="J215" s="730"/>
      <c r="K215" s="730"/>
      <c r="L215" s="730"/>
      <c r="M215" s="730"/>
      <c r="N215" s="730"/>
      <c r="O215" s="730"/>
      <c r="P215" s="730"/>
      <c r="Q215" s="730"/>
      <c r="R215" s="730"/>
      <c r="S215" s="730"/>
      <c r="T215" s="730"/>
      <c r="U215" s="730"/>
      <c r="V215" s="730"/>
      <c r="W215" s="730"/>
      <c r="X215" s="730"/>
      <c r="Y215" s="730"/>
      <c r="Z215" s="730"/>
      <c r="AA215" s="730"/>
      <c r="AB215" s="730"/>
      <c r="AC215" s="730"/>
      <c r="AD215" s="730"/>
      <c r="AE215" s="730"/>
      <c r="AF215" s="730"/>
      <c r="AG215" s="730"/>
      <c r="AH215" s="730"/>
      <c r="AI215" s="730"/>
      <c r="AJ215" s="730"/>
      <c r="AK215" s="730"/>
    </row>
    <row r="216" spans="2:37" ht="12.75" customHeight="1">
      <c r="B216" s="730"/>
      <c r="C216" s="730"/>
      <c r="D216" s="730"/>
      <c r="E216" s="730"/>
      <c r="F216" s="730"/>
      <c r="G216" s="730"/>
      <c r="H216" s="730"/>
      <c r="I216" s="730"/>
      <c r="J216" s="730"/>
      <c r="K216" s="730"/>
      <c r="L216" s="730"/>
      <c r="M216" s="730"/>
      <c r="N216" s="730"/>
      <c r="O216" s="730"/>
      <c r="P216" s="730"/>
      <c r="Q216" s="730"/>
      <c r="R216" s="730"/>
      <c r="S216" s="730"/>
      <c r="T216" s="730"/>
      <c r="U216" s="730"/>
      <c r="V216" s="730"/>
      <c r="W216" s="730"/>
      <c r="X216" s="730"/>
      <c r="Y216" s="730"/>
      <c r="Z216" s="730"/>
      <c r="AA216" s="730"/>
      <c r="AB216" s="730"/>
      <c r="AC216" s="730"/>
      <c r="AD216" s="730"/>
      <c r="AE216" s="730"/>
      <c r="AF216" s="730"/>
      <c r="AG216" s="730"/>
      <c r="AH216" s="730"/>
      <c r="AI216" s="730"/>
      <c r="AJ216" s="730"/>
      <c r="AK216" s="730"/>
    </row>
    <row r="217" spans="2:37" ht="12.75" customHeight="1">
      <c r="B217" s="264"/>
      <c r="C217" s="238"/>
      <c r="D217" s="238"/>
      <c r="E217" s="238"/>
      <c r="F217" s="238"/>
      <c r="G217" s="238"/>
      <c r="H217" s="238"/>
      <c r="I217" s="238"/>
      <c r="J217" s="238"/>
      <c r="K217" s="238"/>
      <c r="L217" s="618"/>
      <c r="M217" s="618"/>
      <c r="N217" s="618"/>
      <c r="O217" s="618"/>
      <c r="P217" s="618"/>
      <c r="Q217" s="618"/>
      <c r="R217" s="618"/>
      <c r="S217" s="618"/>
      <c r="T217" s="618"/>
      <c r="U217" s="618"/>
      <c r="V217" s="618"/>
      <c r="W217" s="618"/>
      <c r="X217" s="618"/>
      <c r="Y217" s="618"/>
      <c r="Z217" s="618"/>
      <c r="AA217" s="618"/>
      <c r="AB217" s="618"/>
      <c r="AC217" s="238"/>
      <c r="AD217" s="238"/>
      <c r="AE217" s="238"/>
      <c r="AF217" s="238"/>
      <c r="AG217" s="238"/>
      <c r="AH217" s="238"/>
      <c r="AI217" s="238"/>
      <c r="AJ217" s="238"/>
      <c r="AK217" s="238"/>
    </row>
    <row r="218" spans="2:37" ht="12.75" customHeight="1">
      <c r="B218" s="240"/>
      <c r="C218" s="238"/>
      <c r="D218" s="238"/>
      <c r="E218" s="238"/>
      <c r="F218" s="238"/>
      <c r="G218" s="238"/>
      <c r="H218" s="238"/>
      <c r="I218" s="238"/>
      <c r="J218" s="238"/>
      <c r="K218" s="238"/>
      <c r="L218" s="238"/>
      <c r="M218" s="238"/>
      <c r="N218" s="238"/>
      <c r="O218" s="238"/>
      <c r="P218" s="238"/>
      <c r="Q218" s="238"/>
      <c r="R218" s="238"/>
      <c r="S218" s="238"/>
      <c r="T218" s="238"/>
      <c r="U218" s="238"/>
      <c r="V218" s="238"/>
      <c r="W218" s="238"/>
      <c r="X218" s="238"/>
      <c r="Y218" s="238"/>
      <c r="Z218" s="238"/>
      <c r="AA218" s="238"/>
      <c r="AB218" s="238"/>
      <c r="AC218" s="238"/>
      <c r="AD218" s="238"/>
      <c r="AE218" s="238"/>
      <c r="AF218" s="238"/>
      <c r="AG218" s="238"/>
      <c r="AH218" s="238"/>
      <c r="AI218" s="238"/>
      <c r="AJ218" s="238"/>
      <c r="AK218" s="238"/>
    </row>
    <row r="219" spans="2:37" ht="12.75" customHeight="1">
      <c r="B219" s="730">
        <f>AA_024_DATOS_DE_LA_PARTE_ACREDITADA_NOMBRE_DEL_ACREDITADO_2</f>
        <v>0</v>
      </c>
      <c r="C219" s="730"/>
      <c r="D219" s="730"/>
      <c r="E219" s="730"/>
      <c r="F219" s="730"/>
      <c r="G219" s="730"/>
      <c r="H219" s="730"/>
      <c r="I219" s="730"/>
      <c r="J219" s="730"/>
      <c r="K219" s="730"/>
      <c r="L219" s="730"/>
      <c r="M219" s="730"/>
      <c r="N219" s="730"/>
      <c r="O219" s="730"/>
      <c r="P219" s="730"/>
      <c r="Q219" s="730"/>
      <c r="R219" s="730"/>
      <c r="S219" s="730"/>
      <c r="T219" s="730"/>
      <c r="U219" s="730"/>
      <c r="V219" s="730"/>
      <c r="W219" s="730"/>
      <c r="X219" s="730"/>
      <c r="Y219" s="730"/>
      <c r="Z219" s="730"/>
      <c r="AA219" s="730"/>
      <c r="AB219" s="730"/>
      <c r="AC219" s="730"/>
      <c r="AD219" s="730"/>
      <c r="AE219" s="730"/>
      <c r="AF219" s="730"/>
      <c r="AG219" s="730"/>
      <c r="AH219" s="730"/>
      <c r="AI219" s="730"/>
      <c r="AJ219" s="730"/>
      <c r="AK219" s="730"/>
    </row>
    <row r="220" spans="2:37" ht="35.25" customHeight="1">
      <c r="B220" s="240"/>
      <c r="C220" s="238"/>
      <c r="D220" s="238"/>
      <c r="E220" s="238"/>
      <c r="F220" s="238"/>
      <c r="G220" s="238"/>
      <c r="H220" s="238"/>
      <c r="I220" s="238"/>
      <c r="J220" s="238"/>
      <c r="K220" s="238"/>
      <c r="L220" s="238"/>
      <c r="M220" s="238"/>
      <c r="N220" s="238"/>
      <c r="O220" s="238"/>
      <c r="P220" s="238"/>
      <c r="Q220" s="238"/>
      <c r="R220" s="238"/>
      <c r="S220" s="238"/>
      <c r="T220" s="238"/>
      <c r="U220" s="238"/>
      <c r="V220" s="238"/>
      <c r="W220" s="238"/>
      <c r="X220" s="238"/>
      <c r="Y220" s="238"/>
      <c r="Z220" s="238"/>
      <c r="AA220" s="238"/>
      <c r="AB220" s="238"/>
      <c r="AC220" s="238"/>
      <c r="AD220" s="238"/>
      <c r="AE220" s="238"/>
      <c r="AF220" s="238"/>
      <c r="AG220" s="238"/>
      <c r="AH220" s="238"/>
      <c r="AI220" s="238"/>
      <c r="AJ220" s="238"/>
      <c r="AK220" s="238"/>
    </row>
    <row r="221" spans="2:37" ht="12.75" customHeight="1">
      <c r="B221" s="730" t="s">
        <v>275</v>
      </c>
      <c r="C221" s="730"/>
      <c r="D221" s="730"/>
      <c r="E221" s="730"/>
      <c r="F221" s="730"/>
      <c r="G221" s="730"/>
      <c r="H221" s="730"/>
      <c r="I221" s="730"/>
      <c r="J221" s="730"/>
      <c r="K221" s="730"/>
      <c r="L221" s="730"/>
      <c r="M221" s="730"/>
      <c r="N221" s="730"/>
      <c r="O221" s="730"/>
      <c r="P221" s="730"/>
      <c r="Q221" s="730"/>
      <c r="R221" s="730"/>
      <c r="S221" s="730"/>
      <c r="T221" s="730"/>
      <c r="U221" s="730"/>
      <c r="V221" s="730"/>
      <c r="W221" s="730"/>
      <c r="X221" s="730"/>
      <c r="Y221" s="730"/>
      <c r="Z221" s="730"/>
      <c r="AA221" s="730"/>
      <c r="AB221" s="730"/>
      <c r="AC221" s="730"/>
      <c r="AD221" s="730"/>
      <c r="AE221" s="730"/>
      <c r="AF221" s="730"/>
      <c r="AG221" s="730"/>
      <c r="AH221" s="730"/>
      <c r="AI221" s="730"/>
      <c r="AJ221" s="730"/>
      <c r="AK221" s="730"/>
    </row>
    <row r="222" spans="2:37" ht="12.75" customHeight="1">
      <c r="B222" s="262"/>
      <c r="C222" s="238"/>
      <c r="D222" s="238"/>
      <c r="E222" s="238"/>
      <c r="F222" s="238"/>
      <c r="G222" s="238"/>
      <c r="H222" s="238"/>
      <c r="I222" s="238"/>
      <c r="J222" s="238"/>
      <c r="K222" s="238"/>
      <c r="L222" s="238"/>
      <c r="M222" s="238"/>
      <c r="N222" s="238"/>
      <c r="O222" s="238"/>
      <c r="P222" s="238"/>
      <c r="Q222" s="238"/>
      <c r="R222" s="238"/>
      <c r="S222" s="238"/>
      <c r="T222" s="238"/>
      <c r="U222" s="238"/>
      <c r="V222" s="238"/>
      <c r="W222" s="238"/>
      <c r="X222" s="238"/>
      <c r="Y222" s="238"/>
      <c r="Z222" s="238"/>
      <c r="AA222" s="238"/>
      <c r="AB222" s="238"/>
      <c r="AC222" s="238"/>
      <c r="AD222" s="238"/>
      <c r="AE222" s="238"/>
      <c r="AF222" s="238"/>
      <c r="AG222" s="238"/>
      <c r="AH222" s="238"/>
      <c r="AI222" s="238"/>
      <c r="AJ222" s="238"/>
      <c r="AK222" s="238"/>
    </row>
    <row r="223" spans="2:37" ht="12.75" customHeight="1">
      <c r="B223" s="263"/>
      <c r="C223" s="238"/>
      <c r="D223" s="238"/>
      <c r="E223" s="238"/>
      <c r="F223" s="238"/>
      <c r="G223" s="238"/>
      <c r="H223" s="238"/>
      <c r="I223" s="238"/>
      <c r="J223" s="238"/>
      <c r="K223" s="238"/>
      <c r="L223" s="618"/>
      <c r="M223" s="618"/>
      <c r="N223" s="618"/>
      <c r="O223" s="618"/>
      <c r="P223" s="618"/>
      <c r="Q223" s="618"/>
      <c r="R223" s="618"/>
      <c r="S223" s="618"/>
      <c r="T223" s="618"/>
      <c r="U223" s="618"/>
      <c r="V223" s="618"/>
      <c r="W223" s="618"/>
      <c r="X223" s="618"/>
      <c r="Y223" s="618"/>
      <c r="Z223" s="618"/>
      <c r="AA223" s="618"/>
      <c r="AB223" s="618"/>
      <c r="AC223" s="238"/>
      <c r="AD223" s="238"/>
      <c r="AE223" s="238"/>
      <c r="AF223" s="238"/>
      <c r="AG223" s="238"/>
      <c r="AH223" s="238"/>
      <c r="AI223" s="238"/>
      <c r="AJ223" s="238"/>
      <c r="AK223" s="238"/>
    </row>
    <row r="224" spans="2:37" ht="12.75" customHeight="1">
      <c r="B224" s="240"/>
      <c r="C224" s="238"/>
      <c r="D224" s="238"/>
      <c r="E224" s="238"/>
      <c r="F224" s="238"/>
      <c r="G224" s="238"/>
      <c r="H224" s="238"/>
      <c r="I224" s="238"/>
      <c r="J224" s="238"/>
      <c r="K224" s="238"/>
      <c r="L224" s="238"/>
      <c r="M224" s="238"/>
      <c r="N224" s="238"/>
      <c r="O224" s="238"/>
      <c r="P224" s="238"/>
      <c r="Q224" s="238"/>
      <c r="R224" s="238"/>
      <c r="S224" s="238"/>
      <c r="T224" s="238"/>
      <c r="U224" s="238"/>
      <c r="V224" s="238"/>
      <c r="W224" s="238"/>
      <c r="X224" s="238"/>
      <c r="Y224" s="238"/>
      <c r="Z224" s="238"/>
      <c r="AA224" s="238"/>
      <c r="AB224" s="238"/>
      <c r="AC224" s="238"/>
      <c r="AD224" s="238"/>
      <c r="AE224" s="238"/>
      <c r="AF224" s="238"/>
      <c r="AG224" s="238"/>
      <c r="AH224" s="238"/>
      <c r="AI224" s="238"/>
      <c r="AJ224" s="238"/>
      <c r="AK224" s="238"/>
    </row>
    <row r="225" spans="2:37" ht="12.75" customHeight="1">
      <c r="B225" s="730">
        <f>AA_037_DATOS_FIADORES_NOMBRE_DEL_FIADOR_SOLIDARIO_UNO</f>
        <v>0</v>
      </c>
      <c r="C225" s="730"/>
      <c r="D225" s="730"/>
      <c r="E225" s="730"/>
      <c r="F225" s="730"/>
      <c r="G225" s="730"/>
      <c r="H225" s="730"/>
      <c r="I225" s="730"/>
      <c r="J225" s="730"/>
      <c r="K225" s="730"/>
      <c r="L225" s="730"/>
      <c r="M225" s="730"/>
      <c r="N225" s="730"/>
      <c r="O225" s="730"/>
      <c r="P225" s="730"/>
      <c r="Q225" s="730"/>
      <c r="R225" s="730"/>
      <c r="S225" s="730"/>
      <c r="T225" s="730"/>
      <c r="U225" s="730"/>
      <c r="V225" s="730"/>
      <c r="W225" s="730"/>
      <c r="X225" s="730"/>
      <c r="Y225" s="730"/>
      <c r="Z225" s="730"/>
      <c r="AA225" s="730"/>
      <c r="AB225" s="730"/>
      <c r="AC225" s="730"/>
      <c r="AD225" s="730"/>
      <c r="AE225" s="730"/>
      <c r="AF225" s="730"/>
      <c r="AG225" s="730"/>
      <c r="AH225" s="730"/>
      <c r="AI225" s="730"/>
      <c r="AJ225" s="730"/>
      <c r="AK225" s="730"/>
    </row>
    <row r="226" spans="2:37" ht="12.75" customHeight="1">
      <c r="B226" s="263"/>
      <c r="C226" s="238"/>
      <c r="D226" s="238"/>
      <c r="E226" s="238"/>
      <c r="F226" s="238"/>
      <c r="G226" s="238"/>
      <c r="H226" s="238"/>
      <c r="I226" s="238"/>
      <c r="J226" s="238"/>
      <c r="K226" s="238"/>
      <c r="L226" s="618">
        <f>B46</f>
        <v>0</v>
      </c>
      <c r="M226" s="618"/>
      <c r="N226" s="618"/>
      <c r="O226" s="618"/>
      <c r="P226" s="618"/>
      <c r="Q226" s="618"/>
      <c r="R226" s="618"/>
      <c r="S226" s="618"/>
      <c r="T226" s="618"/>
      <c r="U226" s="618"/>
      <c r="V226" s="618"/>
      <c r="W226" s="618"/>
      <c r="X226" s="618"/>
      <c r="Y226" s="618"/>
      <c r="Z226" s="618"/>
      <c r="AA226" s="618"/>
      <c r="AB226" s="618"/>
      <c r="AC226" s="238"/>
      <c r="AD226" s="238"/>
      <c r="AE226" s="238"/>
      <c r="AF226" s="238"/>
      <c r="AG226" s="238"/>
      <c r="AH226" s="238"/>
      <c r="AI226" s="238"/>
      <c r="AJ226" s="238"/>
      <c r="AK226" s="238"/>
    </row>
    <row r="227" spans="2:37" ht="12.75" customHeight="1">
      <c r="B227" s="240"/>
      <c r="C227" s="238"/>
      <c r="D227" s="238"/>
      <c r="E227" s="238"/>
      <c r="F227" s="238"/>
      <c r="G227" s="238"/>
      <c r="H227" s="238"/>
      <c r="I227" s="238"/>
      <c r="J227" s="238"/>
      <c r="K227" s="238"/>
      <c r="L227" s="238"/>
      <c r="M227" s="238"/>
      <c r="N227" s="238"/>
      <c r="O227" s="238"/>
      <c r="P227" s="238"/>
      <c r="Q227" s="238"/>
      <c r="R227" s="238"/>
      <c r="S227" s="238"/>
      <c r="T227" s="238"/>
      <c r="U227" s="238"/>
      <c r="V227" s="238"/>
      <c r="W227" s="238"/>
      <c r="X227" s="238"/>
      <c r="Y227" s="238"/>
      <c r="Z227" s="238"/>
      <c r="AA227" s="238"/>
      <c r="AB227" s="238"/>
      <c r="AC227" s="238"/>
      <c r="AD227" s="238"/>
      <c r="AE227" s="238"/>
      <c r="AF227" s="238"/>
      <c r="AG227" s="238"/>
      <c r="AH227" s="238"/>
      <c r="AI227" s="238"/>
      <c r="AJ227" s="238"/>
      <c r="AK227" s="238"/>
    </row>
    <row r="228" spans="2:37" ht="12.75" customHeight="1">
      <c r="B228" s="730">
        <f>AA_048_DATOS_FIADORES_NOMBRE_DEL_FIADOR_SOLIDARIO_DOS</f>
        <v>0</v>
      </c>
      <c r="C228" s="730"/>
      <c r="D228" s="730"/>
      <c r="E228" s="730"/>
      <c r="F228" s="730"/>
      <c r="G228" s="730"/>
      <c r="H228" s="730"/>
      <c r="I228" s="730"/>
      <c r="J228" s="730"/>
      <c r="K228" s="730"/>
      <c r="L228" s="730"/>
      <c r="M228" s="730"/>
      <c r="N228" s="730"/>
      <c r="O228" s="730"/>
      <c r="P228" s="730"/>
      <c r="Q228" s="730"/>
      <c r="R228" s="730"/>
      <c r="S228" s="730"/>
      <c r="T228" s="730"/>
      <c r="U228" s="730"/>
      <c r="V228" s="730"/>
      <c r="W228" s="730"/>
      <c r="X228" s="730"/>
      <c r="Y228" s="730"/>
      <c r="Z228" s="730"/>
      <c r="AA228" s="730"/>
      <c r="AB228" s="730"/>
      <c r="AC228" s="730"/>
      <c r="AD228" s="730"/>
      <c r="AE228" s="730"/>
      <c r="AF228" s="730"/>
      <c r="AG228" s="730"/>
      <c r="AH228" s="730"/>
      <c r="AI228" s="730"/>
      <c r="AJ228" s="730"/>
      <c r="AK228" s="730"/>
    </row>
    <row r="229" spans="2:37" ht="23.25" customHeight="1">
      <c r="B229" s="263"/>
      <c r="C229" s="238"/>
      <c r="D229" s="238"/>
      <c r="E229" s="238"/>
      <c r="F229" s="238"/>
      <c r="G229" s="238"/>
      <c r="H229" s="238"/>
      <c r="I229" s="238"/>
      <c r="J229" s="238"/>
      <c r="K229" s="238"/>
      <c r="L229" s="618">
        <f>B52</f>
        <v>0</v>
      </c>
      <c r="M229" s="618"/>
      <c r="N229" s="618"/>
      <c r="O229" s="618"/>
      <c r="P229" s="618"/>
      <c r="Q229" s="618"/>
      <c r="R229" s="618"/>
      <c r="S229" s="618"/>
      <c r="T229" s="618"/>
      <c r="U229" s="618"/>
      <c r="V229" s="618"/>
      <c r="W229" s="618"/>
      <c r="X229" s="618"/>
      <c r="Y229" s="618"/>
      <c r="Z229" s="618"/>
      <c r="AA229" s="618"/>
      <c r="AB229" s="618"/>
      <c r="AC229" s="238"/>
      <c r="AD229" s="238"/>
      <c r="AE229" s="238"/>
      <c r="AF229" s="238"/>
      <c r="AG229" s="238"/>
      <c r="AH229" s="238"/>
      <c r="AI229" s="238"/>
      <c r="AJ229" s="238"/>
      <c r="AK229" s="238"/>
    </row>
    <row r="230" spans="2:37" ht="12.75" customHeight="1">
      <c r="B230" s="240"/>
      <c r="C230" s="238"/>
      <c r="D230" s="238"/>
      <c r="E230" s="238"/>
      <c r="F230" s="238"/>
      <c r="G230" s="238"/>
      <c r="H230" s="238"/>
      <c r="I230" s="238"/>
      <c r="J230" s="238"/>
      <c r="K230" s="238"/>
      <c r="L230" s="238"/>
      <c r="M230" s="238"/>
      <c r="N230" s="238"/>
      <c r="O230" s="238"/>
      <c r="P230" s="238"/>
      <c r="Q230" s="238"/>
      <c r="R230" s="238"/>
      <c r="S230" s="238"/>
      <c r="T230" s="238"/>
      <c r="U230" s="238"/>
      <c r="V230" s="238"/>
      <c r="W230" s="238"/>
      <c r="X230" s="238"/>
      <c r="Y230" s="238"/>
      <c r="Z230" s="238"/>
      <c r="AA230" s="238"/>
      <c r="AB230" s="238"/>
      <c r="AC230" s="238"/>
      <c r="AD230" s="238"/>
      <c r="AE230" s="238"/>
      <c r="AF230" s="238"/>
      <c r="AG230" s="238"/>
      <c r="AH230" s="238"/>
      <c r="AI230" s="238"/>
      <c r="AJ230" s="238"/>
      <c r="AK230" s="238"/>
    </row>
    <row r="231" spans="2:37" ht="12.75" customHeight="1">
      <c r="B231" s="239"/>
      <c r="C231" s="238"/>
      <c r="D231" s="238"/>
      <c r="E231" s="238"/>
      <c r="F231" s="238"/>
      <c r="G231" s="238"/>
      <c r="H231" s="238"/>
      <c r="I231" s="238"/>
      <c r="J231" s="238"/>
      <c r="K231" s="238"/>
      <c r="L231" s="238"/>
      <c r="M231" s="238"/>
      <c r="N231" s="238"/>
      <c r="O231" s="238"/>
      <c r="P231" s="238"/>
      <c r="Q231" s="238"/>
      <c r="R231" s="238"/>
      <c r="S231" s="238"/>
      <c r="T231" s="238"/>
      <c r="U231" s="238"/>
      <c r="V231" s="238"/>
      <c r="W231" s="238"/>
      <c r="X231" s="238"/>
      <c r="Y231" s="238"/>
      <c r="Z231" s="238"/>
      <c r="AA231" s="238"/>
      <c r="AB231" s="238"/>
      <c r="AC231" s="238"/>
      <c r="AD231" s="238"/>
      <c r="AE231" s="238"/>
      <c r="AF231" s="238"/>
      <c r="AG231" s="238"/>
      <c r="AH231" s="238"/>
      <c r="AI231" s="238"/>
      <c r="AJ231" s="238"/>
      <c r="AK231" s="238"/>
    </row>
    <row r="232" spans="2:37" ht="12.75" customHeight="1">
      <c r="B232" s="239"/>
      <c r="C232" s="238"/>
      <c r="D232" s="238"/>
      <c r="E232" s="238"/>
      <c r="F232" s="238"/>
      <c r="G232" s="238"/>
      <c r="H232" s="238"/>
      <c r="I232" s="238"/>
      <c r="J232" s="238"/>
      <c r="K232" s="238"/>
      <c r="L232" s="238"/>
      <c r="M232" s="238"/>
      <c r="N232" s="238"/>
      <c r="O232" s="238"/>
      <c r="P232" s="238"/>
      <c r="Q232" s="238"/>
      <c r="R232" s="238"/>
      <c r="S232" s="238"/>
      <c r="T232" s="238"/>
      <c r="U232" s="238"/>
      <c r="V232" s="238"/>
      <c r="W232" s="238"/>
      <c r="X232" s="238"/>
      <c r="Y232" s="238"/>
      <c r="Z232" s="238"/>
      <c r="AA232" s="238"/>
      <c r="AB232" s="238"/>
      <c r="AC232" s="238"/>
      <c r="AD232" s="238"/>
      <c r="AE232" s="238"/>
      <c r="AF232" s="238"/>
      <c r="AG232" s="238"/>
      <c r="AH232" s="238"/>
      <c r="AI232" s="238"/>
      <c r="AJ232" s="238"/>
      <c r="AK232" s="238"/>
    </row>
    <row r="233" spans="2:37" ht="12.75" customHeight="1">
      <c r="B233" s="730" t="s">
        <v>338</v>
      </c>
      <c r="C233" s="730"/>
      <c r="D233" s="730"/>
      <c r="E233" s="730"/>
      <c r="F233" s="730"/>
      <c r="G233" s="730"/>
      <c r="H233" s="730"/>
      <c r="I233" s="730"/>
      <c r="J233" s="730"/>
      <c r="K233" s="730"/>
      <c r="L233" s="730"/>
      <c r="M233" s="730"/>
      <c r="N233" s="730"/>
      <c r="O233" s="730"/>
      <c r="P233" s="730"/>
      <c r="Q233" s="730"/>
      <c r="R233" s="730"/>
      <c r="S233" s="730"/>
      <c r="T233" s="730"/>
      <c r="U233" s="730"/>
      <c r="V233" s="730"/>
      <c r="W233" s="730"/>
      <c r="X233" s="730"/>
      <c r="Y233" s="730"/>
      <c r="Z233" s="730"/>
      <c r="AA233" s="730"/>
      <c r="AB233" s="730"/>
      <c r="AC233" s="730"/>
      <c r="AD233" s="730"/>
      <c r="AE233" s="730"/>
      <c r="AF233" s="730"/>
      <c r="AG233" s="730"/>
      <c r="AH233" s="730"/>
      <c r="AI233" s="730"/>
      <c r="AJ233" s="730"/>
      <c r="AK233" s="730"/>
    </row>
    <row r="234" spans="2:37" ht="12.75" customHeight="1">
      <c r="B234" s="730" t="s">
        <v>339</v>
      </c>
      <c r="C234" s="730"/>
      <c r="D234" s="730"/>
      <c r="E234" s="730"/>
      <c r="F234" s="730"/>
      <c r="G234" s="730"/>
      <c r="H234" s="730"/>
      <c r="I234" s="730"/>
      <c r="J234" s="730"/>
      <c r="K234" s="730"/>
      <c r="L234" s="730"/>
      <c r="M234" s="730"/>
      <c r="N234" s="730"/>
      <c r="O234" s="730"/>
      <c r="P234" s="730"/>
      <c r="Q234" s="730"/>
      <c r="R234" s="730"/>
      <c r="S234" s="730"/>
      <c r="T234" s="730"/>
      <c r="U234" s="730"/>
      <c r="V234" s="730"/>
      <c r="W234" s="730"/>
      <c r="X234" s="730"/>
      <c r="Y234" s="730"/>
      <c r="Z234" s="730"/>
      <c r="AA234" s="730"/>
      <c r="AB234" s="730"/>
      <c r="AC234" s="730"/>
      <c r="AD234" s="730"/>
      <c r="AE234" s="730"/>
      <c r="AF234" s="730"/>
      <c r="AG234" s="730"/>
      <c r="AH234" s="730"/>
      <c r="AI234" s="730"/>
      <c r="AJ234" s="730"/>
      <c r="AK234" s="730"/>
    </row>
    <row r="235" spans="2:37" ht="12.75" customHeight="1">
      <c r="B235" s="262"/>
      <c r="C235" s="238"/>
      <c r="D235" s="238"/>
      <c r="E235" s="238"/>
      <c r="F235" s="238"/>
      <c r="G235" s="238"/>
      <c r="H235" s="238"/>
      <c r="I235" s="238"/>
      <c r="J235" s="238"/>
      <c r="K235" s="238"/>
      <c r="L235" s="238"/>
      <c r="M235" s="238"/>
      <c r="N235" s="238"/>
      <c r="O235" s="238"/>
      <c r="P235" s="238"/>
      <c r="Q235" s="238"/>
      <c r="R235" s="238"/>
      <c r="S235" s="238"/>
      <c r="T235" s="238"/>
      <c r="U235" s="238"/>
      <c r="V235" s="238"/>
      <c r="W235" s="238"/>
      <c r="X235" s="238"/>
      <c r="Y235" s="238"/>
      <c r="Z235" s="238"/>
      <c r="AA235" s="238"/>
      <c r="AB235" s="238"/>
      <c r="AC235" s="238"/>
      <c r="AD235" s="238"/>
      <c r="AE235" s="238"/>
      <c r="AF235" s="238"/>
      <c r="AG235" s="238"/>
      <c r="AH235" s="238"/>
      <c r="AI235" s="238"/>
      <c r="AJ235" s="238"/>
      <c r="AK235" s="238"/>
    </row>
    <row r="236" spans="2:37" ht="12.75" customHeight="1">
      <c r="B236" s="263"/>
      <c r="C236" s="238"/>
      <c r="D236" s="238"/>
      <c r="E236" s="238"/>
      <c r="F236" s="238"/>
      <c r="G236" s="238"/>
      <c r="H236" s="238"/>
      <c r="I236" s="238"/>
      <c r="J236" s="238"/>
      <c r="K236" s="238"/>
      <c r="L236" s="618">
        <f>B77</f>
        <v>0</v>
      </c>
      <c r="M236" s="618"/>
      <c r="N236" s="618"/>
      <c r="O236" s="618"/>
      <c r="P236" s="618"/>
      <c r="Q236" s="618"/>
      <c r="R236" s="618"/>
      <c r="S236" s="618"/>
      <c r="T236" s="618"/>
      <c r="U236" s="618"/>
      <c r="V236" s="618"/>
      <c r="W236" s="618"/>
      <c r="X236" s="618"/>
      <c r="Y236" s="618"/>
      <c r="Z236" s="618"/>
      <c r="AA236" s="618"/>
      <c r="AB236" s="618"/>
      <c r="AC236" s="238"/>
      <c r="AD236" s="238"/>
      <c r="AE236" s="238"/>
      <c r="AF236" s="238"/>
      <c r="AG236" s="238"/>
      <c r="AH236" s="238"/>
      <c r="AI236" s="238"/>
      <c r="AJ236" s="238"/>
      <c r="AK236" s="238"/>
    </row>
    <row r="237" spans="2:37" ht="5.25" customHeight="1">
      <c r="B237" s="240"/>
      <c r="C237" s="238"/>
      <c r="D237" s="238"/>
      <c r="E237" s="238"/>
      <c r="F237" s="238"/>
      <c r="G237" s="238"/>
      <c r="H237" s="238"/>
      <c r="I237" s="238"/>
      <c r="J237" s="238"/>
      <c r="K237" s="238"/>
      <c r="L237" s="238"/>
      <c r="M237" s="238"/>
      <c r="N237" s="238"/>
      <c r="O237" s="238"/>
      <c r="P237" s="238"/>
      <c r="Q237" s="238"/>
      <c r="R237" s="238"/>
      <c r="S237" s="238"/>
      <c r="T237" s="238"/>
      <c r="U237" s="238"/>
      <c r="V237" s="238"/>
      <c r="W237" s="238"/>
      <c r="X237" s="238"/>
      <c r="Y237" s="238"/>
      <c r="Z237" s="238"/>
      <c r="AA237" s="238"/>
      <c r="AB237" s="238"/>
      <c r="AC237" s="238"/>
      <c r="AD237" s="238"/>
      <c r="AE237" s="238"/>
      <c r="AF237" s="238"/>
      <c r="AG237" s="238"/>
      <c r="AH237" s="238"/>
      <c r="AI237" s="238"/>
      <c r="AJ237" s="238"/>
      <c r="AK237" s="238"/>
    </row>
    <row r="238" spans="2:37" ht="12.75" customHeight="1">
      <c r="B238" s="730">
        <f>AA_089_DATOS_APODERADOS_BANCO_NOMBRE_APODERADO_DEL_BANCO_UNO</f>
        <v>0</v>
      </c>
      <c r="C238" s="730"/>
      <c r="D238" s="730"/>
      <c r="E238" s="730"/>
      <c r="F238" s="730"/>
      <c r="G238" s="730"/>
      <c r="H238" s="730"/>
      <c r="I238" s="730"/>
      <c r="J238" s="730"/>
      <c r="K238" s="730"/>
      <c r="L238" s="730"/>
      <c r="M238" s="730"/>
      <c r="N238" s="730"/>
      <c r="O238" s="730"/>
      <c r="P238" s="730"/>
      <c r="Q238" s="730"/>
      <c r="R238" s="730"/>
      <c r="S238" s="730"/>
      <c r="T238" s="730"/>
      <c r="U238" s="730"/>
      <c r="V238" s="730"/>
      <c r="W238" s="730"/>
      <c r="X238" s="730"/>
      <c r="Y238" s="730"/>
      <c r="Z238" s="730"/>
      <c r="AA238" s="730"/>
      <c r="AB238" s="730"/>
      <c r="AC238" s="730"/>
      <c r="AD238" s="730"/>
      <c r="AE238" s="730"/>
      <c r="AF238" s="730"/>
      <c r="AG238" s="730"/>
      <c r="AH238" s="730"/>
      <c r="AI238" s="730"/>
      <c r="AJ238" s="730"/>
      <c r="AK238" s="730"/>
    </row>
    <row r="239" spans="2:37" ht="12.75" customHeight="1">
      <c r="B239" s="262"/>
      <c r="C239" s="238"/>
      <c r="D239" s="238"/>
      <c r="E239" s="238"/>
      <c r="F239" s="238"/>
      <c r="G239" s="238"/>
      <c r="H239" s="238"/>
      <c r="I239" s="238"/>
      <c r="J239" s="238"/>
      <c r="K239" s="238"/>
      <c r="L239" s="238"/>
      <c r="M239" s="238"/>
      <c r="N239" s="238"/>
      <c r="O239" s="238"/>
      <c r="P239" s="238"/>
      <c r="Q239" s="238"/>
      <c r="R239" s="238"/>
      <c r="S239" s="238"/>
      <c r="T239" s="238"/>
      <c r="U239" s="238"/>
      <c r="V239" s="238"/>
      <c r="W239" s="238"/>
      <c r="X239" s="238"/>
      <c r="Y239" s="238"/>
      <c r="Z239" s="238"/>
      <c r="AA239" s="238"/>
      <c r="AB239" s="238"/>
      <c r="AC239" s="238"/>
      <c r="AD239" s="238"/>
      <c r="AE239" s="238"/>
      <c r="AF239" s="238"/>
      <c r="AG239" s="238"/>
      <c r="AH239" s="238"/>
      <c r="AI239" s="238"/>
      <c r="AJ239" s="238"/>
      <c r="AK239" s="238"/>
    </row>
    <row r="240" spans="2:37" ht="12.75" customHeight="1">
      <c r="B240" s="258"/>
      <c r="C240" s="238"/>
      <c r="D240" s="238"/>
      <c r="E240" s="238"/>
      <c r="F240" s="238"/>
      <c r="G240" s="238"/>
      <c r="H240" s="238"/>
      <c r="I240" s="238"/>
      <c r="J240" s="238"/>
      <c r="K240" s="238"/>
      <c r="L240" s="618">
        <f>B79</f>
        <v>0</v>
      </c>
      <c r="M240" s="618"/>
      <c r="N240" s="618"/>
      <c r="O240" s="618"/>
      <c r="P240" s="618"/>
      <c r="Q240" s="618"/>
      <c r="R240" s="618"/>
      <c r="S240" s="618"/>
      <c r="T240" s="618"/>
      <c r="U240" s="618"/>
      <c r="V240" s="618"/>
      <c r="W240" s="618"/>
      <c r="X240" s="618"/>
      <c r="Y240" s="618"/>
      <c r="Z240" s="618"/>
      <c r="AA240" s="618"/>
      <c r="AB240" s="618"/>
      <c r="AC240" s="238"/>
      <c r="AD240" s="238"/>
      <c r="AE240" s="238"/>
      <c r="AF240" s="238"/>
      <c r="AG240" s="238"/>
      <c r="AH240" s="238"/>
      <c r="AI240" s="238"/>
      <c r="AJ240" s="238"/>
      <c r="AK240" s="238"/>
    </row>
    <row r="241" spans="2:39" ht="3.75" customHeight="1">
      <c r="B241" s="240"/>
      <c r="C241" s="238"/>
      <c r="D241" s="238"/>
      <c r="E241" s="238"/>
      <c r="F241" s="238"/>
      <c r="G241" s="238"/>
      <c r="H241" s="238"/>
      <c r="I241" s="238"/>
      <c r="J241" s="238"/>
      <c r="K241" s="238"/>
      <c r="L241" s="238"/>
      <c r="M241" s="238"/>
      <c r="N241" s="238"/>
      <c r="O241" s="238"/>
      <c r="P241" s="238"/>
      <c r="Q241" s="238"/>
      <c r="R241" s="238"/>
      <c r="S241" s="238"/>
      <c r="T241" s="238"/>
      <c r="U241" s="238"/>
      <c r="V241" s="238"/>
      <c r="W241" s="238"/>
      <c r="X241" s="238"/>
      <c r="Y241" s="238"/>
      <c r="Z241" s="238"/>
      <c r="AA241" s="238"/>
      <c r="AB241" s="238"/>
      <c r="AC241" s="238"/>
      <c r="AD241" s="238"/>
      <c r="AE241" s="238"/>
      <c r="AF241" s="238"/>
      <c r="AG241" s="238"/>
      <c r="AH241" s="238"/>
      <c r="AI241" s="238"/>
      <c r="AJ241" s="238"/>
      <c r="AK241" s="238"/>
    </row>
    <row r="242" spans="2:39" ht="12.75" customHeight="1">
      <c r="B242" s="730">
        <f>AA_090_DATOS_APODERADOS_BANCO_NOMBRE_APODERADO_DEL_BANCO_DOS</f>
        <v>0</v>
      </c>
      <c r="C242" s="730"/>
      <c r="D242" s="730"/>
      <c r="E242" s="730"/>
      <c r="F242" s="730"/>
      <c r="G242" s="730"/>
      <c r="H242" s="730"/>
      <c r="I242" s="730"/>
      <c r="J242" s="730"/>
      <c r="K242" s="730"/>
      <c r="L242" s="730"/>
      <c r="M242" s="730"/>
      <c r="N242" s="730"/>
      <c r="O242" s="730"/>
      <c r="P242" s="730"/>
      <c r="Q242" s="730"/>
      <c r="R242" s="730"/>
      <c r="S242" s="730"/>
      <c r="T242" s="730"/>
      <c r="U242" s="730"/>
      <c r="V242" s="730"/>
      <c r="W242" s="730"/>
      <c r="X242" s="730"/>
      <c r="Y242" s="730"/>
      <c r="Z242" s="730"/>
      <c r="AA242" s="730"/>
      <c r="AB242" s="730"/>
      <c r="AC242" s="730"/>
      <c r="AD242" s="730"/>
      <c r="AE242" s="730"/>
      <c r="AF242" s="730"/>
      <c r="AG242" s="730"/>
      <c r="AH242" s="730"/>
      <c r="AI242" s="730"/>
      <c r="AJ242" s="730"/>
      <c r="AK242" s="730"/>
    </row>
    <row r="243" spans="2:39" ht="12.75" customHeight="1">
      <c r="B243" s="492"/>
      <c r="C243" s="492"/>
      <c r="D243" s="492"/>
      <c r="E243" s="492"/>
      <c r="F243" s="492"/>
      <c r="G243" s="492"/>
      <c r="H243" s="492"/>
      <c r="I243" s="492"/>
      <c r="J243" s="492"/>
      <c r="K243" s="492"/>
      <c r="L243" s="492"/>
      <c r="M243" s="492"/>
      <c r="N243" s="492"/>
      <c r="O243" s="492"/>
      <c r="P243" s="492"/>
      <c r="Q243" s="492"/>
      <c r="R243" s="492"/>
      <c r="S243" s="492"/>
      <c r="T243" s="492"/>
      <c r="U243" s="492"/>
      <c r="V243" s="492"/>
      <c r="W243" s="492"/>
      <c r="X243" s="492"/>
      <c r="Y243" s="492"/>
      <c r="Z243" s="492"/>
      <c r="AA243" s="492"/>
      <c r="AB243" s="492"/>
      <c r="AC243" s="492"/>
      <c r="AD243" s="492"/>
      <c r="AE243" s="492"/>
      <c r="AF243" s="492"/>
      <c r="AG243" s="492"/>
      <c r="AH243" s="492"/>
      <c r="AI243" s="492"/>
      <c r="AJ243" s="492"/>
      <c r="AK243" s="492"/>
    </row>
    <row r="244" spans="2:39" ht="12.75" customHeight="1">
      <c r="B244" s="492"/>
      <c r="C244" s="492"/>
      <c r="D244" s="492"/>
      <c r="E244" s="492"/>
      <c r="F244" s="492"/>
      <c r="G244" s="492"/>
      <c r="H244" s="492"/>
      <c r="I244" s="492"/>
      <c r="J244" s="492"/>
      <c r="K244" s="492"/>
      <c r="L244" s="492"/>
      <c r="M244" s="492"/>
      <c r="N244" s="492"/>
      <c r="O244" s="492"/>
      <c r="P244" s="492"/>
      <c r="Q244" s="492"/>
      <c r="R244" s="492"/>
      <c r="S244" s="492"/>
      <c r="T244" s="492"/>
      <c r="U244" s="492"/>
      <c r="V244" s="492"/>
      <c r="W244" s="492"/>
      <c r="X244" s="492"/>
      <c r="Y244" s="492"/>
      <c r="Z244" s="492"/>
      <c r="AA244" s="492"/>
      <c r="AB244" s="492"/>
      <c r="AC244" s="492"/>
      <c r="AD244" s="492"/>
      <c r="AE244" s="492"/>
      <c r="AF244" s="492"/>
      <c r="AG244" s="492"/>
      <c r="AH244" s="492"/>
      <c r="AI244" s="492"/>
      <c r="AJ244" s="492"/>
      <c r="AK244" s="492"/>
    </row>
    <row r="245" spans="2:39" ht="12.75" customHeight="1">
      <c r="B245" s="492"/>
      <c r="C245" s="492"/>
      <c r="D245" s="492"/>
      <c r="E245" s="492"/>
      <c r="F245" s="492"/>
      <c r="G245" s="492"/>
      <c r="H245" s="492"/>
      <c r="I245" s="492"/>
      <c r="J245" s="492"/>
      <c r="K245" s="492"/>
      <c r="L245" s="492"/>
      <c r="M245" s="492"/>
      <c r="N245" s="492"/>
      <c r="O245" s="492"/>
      <c r="P245" s="492"/>
      <c r="Q245" s="492"/>
      <c r="R245" s="492"/>
      <c r="S245" s="492"/>
      <c r="T245" s="492"/>
      <c r="U245" s="492"/>
      <c r="V245" s="492"/>
      <c r="W245" s="492"/>
      <c r="X245" s="492"/>
      <c r="Y245" s="492"/>
      <c r="Z245" s="492"/>
      <c r="AA245" s="492"/>
      <c r="AB245" s="492"/>
      <c r="AC245" s="492"/>
      <c r="AD245" s="492"/>
      <c r="AE245" s="492"/>
      <c r="AF245" s="492"/>
      <c r="AG245" s="492"/>
      <c r="AH245" s="492"/>
      <c r="AI245" s="492"/>
      <c r="AJ245" s="492"/>
      <c r="AK245" s="492"/>
    </row>
    <row r="246" spans="2:39" ht="12.75" customHeight="1">
      <c r="B246" s="238"/>
      <c r="C246" s="238"/>
      <c r="D246" s="238"/>
      <c r="E246" s="238"/>
      <c r="F246" s="238"/>
      <c r="G246" s="238"/>
      <c r="H246" s="238"/>
      <c r="I246" s="238"/>
      <c r="J246" s="238"/>
      <c r="K246" s="238"/>
      <c r="L246" s="238"/>
      <c r="M246" s="238"/>
      <c r="N246" s="238"/>
      <c r="O246" s="238"/>
      <c r="P246" s="238"/>
      <c r="Q246" s="238"/>
      <c r="R246" s="238"/>
      <c r="S246" s="238"/>
      <c r="T246" s="238"/>
      <c r="U246" s="238"/>
      <c r="V246" s="238"/>
      <c r="W246" s="238"/>
      <c r="X246" s="238"/>
      <c r="Y246" s="238"/>
      <c r="Z246" s="238"/>
      <c r="AA246" s="238"/>
      <c r="AB246" s="501"/>
      <c r="AC246" s="501"/>
      <c r="AD246" s="501"/>
      <c r="AE246" s="501"/>
      <c r="AF246" s="501"/>
      <c r="AG246" s="501"/>
      <c r="AH246" s="501"/>
      <c r="AI246" s="501"/>
      <c r="AJ246" s="501"/>
      <c r="AK246" s="501"/>
      <c r="AL246" s="178"/>
      <c r="AM246" s="178"/>
    </row>
    <row r="247" spans="2:39" ht="12.75" customHeight="1"/>
    <row r="248" spans="2:39" ht="12.75" customHeight="1"/>
    <row r="249" spans="2:39" ht="12.75" customHeight="1"/>
    <row r="250" spans="2:39" ht="12.75" customHeight="1"/>
    <row r="251" spans="2:39" ht="12.75" customHeight="1"/>
    <row r="252" spans="2:39" ht="12.75" customHeight="1"/>
    <row r="253" spans="2:39" ht="12.75" customHeight="1"/>
    <row r="254" spans="2:39" ht="12.75" customHeight="1"/>
    <row r="255" spans="2:39" ht="12.75" customHeight="1"/>
    <row r="256" spans="2:39"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sheetData>
  <mergeCells count="206">
    <mergeCell ref="B62:AK62"/>
    <mergeCell ref="B64:AK64"/>
    <mergeCell ref="B71:D71"/>
    <mergeCell ref="G71:L71"/>
    <mergeCell ref="V71:Y71"/>
    <mergeCell ref="B77:P78"/>
    <mergeCell ref="AE71:AH71"/>
    <mergeCell ref="G70:L70"/>
    <mergeCell ref="R70:U70"/>
    <mergeCell ref="V70:Y70"/>
    <mergeCell ref="Z70:AD70"/>
    <mergeCell ref="AE70:AH70"/>
    <mergeCell ref="B69:F69"/>
    <mergeCell ref="G69:L69"/>
    <mergeCell ref="M69:Q69"/>
    <mergeCell ref="R69:U69"/>
    <mergeCell ref="V69:Y69"/>
    <mergeCell ref="R71:U71"/>
    <mergeCell ref="AI69:AK69"/>
    <mergeCell ref="AJ71:AK71"/>
    <mergeCell ref="B68:L68"/>
    <mergeCell ref="M68:AK68"/>
    <mergeCell ref="B60:AK60"/>
    <mergeCell ref="B50:I50"/>
    <mergeCell ref="J50:P50"/>
    <mergeCell ref="Q50:U50"/>
    <mergeCell ref="V50:Z50"/>
    <mergeCell ref="AD50:AG50"/>
    <mergeCell ref="B52:AF52"/>
    <mergeCell ref="AG52:AK52"/>
    <mergeCell ref="B54:T54"/>
    <mergeCell ref="U54:AK54"/>
    <mergeCell ref="B42:T42"/>
    <mergeCell ref="U42:AK42"/>
    <mergeCell ref="B56:I56"/>
    <mergeCell ref="J56:P56"/>
    <mergeCell ref="Q56:U56"/>
    <mergeCell ref="V56:Z56"/>
    <mergeCell ref="AD56:AG56"/>
    <mergeCell ref="AA44:AC44"/>
    <mergeCell ref="AA50:AC50"/>
    <mergeCell ref="AA56:AC56"/>
    <mergeCell ref="B44:I44"/>
    <mergeCell ref="J44:P44"/>
    <mergeCell ref="Q44:U44"/>
    <mergeCell ref="V44:Z44"/>
    <mergeCell ref="AD44:AG44"/>
    <mergeCell ref="B46:AF46"/>
    <mergeCell ref="B233:AK233"/>
    <mergeCell ref="B234:AK234"/>
    <mergeCell ref="B238:AK238"/>
    <mergeCell ref="B242:AK242"/>
    <mergeCell ref="B212:AK212"/>
    <mergeCell ref="B215:AK216"/>
    <mergeCell ref="B219:AK219"/>
    <mergeCell ref="B221:AK221"/>
    <mergeCell ref="B225:AK225"/>
    <mergeCell ref="L214:AB214"/>
    <mergeCell ref="L217:AB217"/>
    <mergeCell ref="L223:AB223"/>
    <mergeCell ref="L226:AB226"/>
    <mergeCell ref="B228:AK228"/>
    <mergeCell ref="L229:AB229"/>
    <mergeCell ref="L236:AB236"/>
    <mergeCell ref="L240:AB240"/>
    <mergeCell ref="B200:AK200"/>
    <mergeCell ref="B202:AK202"/>
    <mergeCell ref="B203:AK203"/>
    <mergeCell ref="B205:AK205"/>
    <mergeCell ref="B208:AK208"/>
    <mergeCell ref="B210:AK210"/>
    <mergeCell ref="G191:P194"/>
    <mergeCell ref="Q191:AG191"/>
    <mergeCell ref="Q192:AG192"/>
    <mergeCell ref="Q193:AG194"/>
    <mergeCell ref="B196:AK196"/>
    <mergeCell ref="B198:AK198"/>
    <mergeCell ref="G184:P187"/>
    <mergeCell ref="Q184:AG184"/>
    <mergeCell ref="Q185:AG187"/>
    <mergeCell ref="G188:P190"/>
    <mergeCell ref="Q188:AG188"/>
    <mergeCell ref="Q189:AG189"/>
    <mergeCell ref="Q190:AG190"/>
    <mergeCell ref="B178:AK178"/>
    <mergeCell ref="B180:AK180"/>
    <mergeCell ref="G182:P182"/>
    <mergeCell ref="Q182:AG182"/>
    <mergeCell ref="G183:P183"/>
    <mergeCell ref="Q183:AG183"/>
    <mergeCell ref="B169:AK169"/>
    <mergeCell ref="B171:AK171"/>
    <mergeCell ref="B173:AK173"/>
    <mergeCell ref="B174:AK174"/>
    <mergeCell ref="B175:AK175"/>
    <mergeCell ref="B176:AK176"/>
    <mergeCell ref="B157:AK157"/>
    <mergeCell ref="B159:AK159"/>
    <mergeCell ref="B161:AK161"/>
    <mergeCell ref="B163:AK163"/>
    <mergeCell ref="B165:AK165"/>
    <mergeCell ref="B167:AK167"/>
    <mergeCell ref="B150:AK150"/>
    <mergeCell ref="B151:AK151"/>
    <mergeCell ref="B152:AK152"/>
    <mergeCell ref="B154:AK154"/>
    <mergeCell ref="B155:AK155"/>
    <mergeCell ref="B156:AK156"/>
    <mergeCell ref="B141:AK141"/>
    <mergeCell ref="B143:AK143"/>
    <mergeCell ref="B144:AK144"/>
    <mergeCell ref="B146:AK146"/>
    <mergeCell ref="B148:AK148"/>
    <mergeCell ref="B149:AK149"/>
    <mergeCell ref="B132:AK132"/>
    <mergeCell ref="B133:AK133"/>
    <mergeCell ref="B135:AK135"/>
    <mergeCell ref="B136:AK136"/>
    <mergeCell ref="B137:AK137"/>
    <mergeCell ref="B139:AK139"/>
    <mergeCell ref="B124:AK124"/>
    <mergeCell ref="B125:AK125"/>
    <mergeCell ref="B126:AK126"/>
    <mergeCell ref="B127:AK127"/>
    <mergeCell ref="B128:AK128"/>
    <mergeCell ref="B130:AK130"/>
    <mergeCell ref="B113:AK113"/>
    <mergeCell ref="B114:AK114"/>
    <mergeCell ref="B116:AK116"/>
    <mergeCell ref="B118:AK118"/>
    <mergeCell ref="B120:AK120"/>
    <mergeCell ref="B122:AK122"/>
    <mergeCell ref="B102:AK102"/>
    <mergeCell ref="B104:AK104"/>
    <mergeCell ref="B106:AK106"/>
    <mergeCell ref="B108:AK108"/>
    <mergeCell ref="B110:AK110"/>
    <mergeCell ref="B112:AK112"/>
    <mergeCell ref="B95:AK95"/>
    <mergeCell ref="B96:AK96"/>
    <mergeCell ref="B97:AK97"/>
    <mergeCell ref="B98:AK98"/>
    <mergeCell ref="B99:AK99"/>
    <mergeCell ref="B100:AK100"/>
    <mergeCell ref="B90:AK90"/>
    <mergeCell ref="B92:AK92"/>
    <mergeCell ref="B94:AK94"/>
    <mergeCell ref="B88:AK88"/>
    <mergeCell ref="B28:I28"/>
    <mergeCell ref="J28:P28"/>
    <mergeCell ref="Q28:U28"/>
    <mergeCell ref="V28:Z28"/>
    <mergeCell ref="B79:P80"/>
    <mergeCell ref="M71:Q71"/>
    <mergeCell ref="Z71:AD71"/>
    <mergeCell ref="B74:AK75"/>
    <mergeCell ref="B76:P76"/>
    <mergeCell ref="Q76:V76"/>
    <mergeCell ref="W76:AB76"/>
    <mergeCell ref="AC76:AE76"/>
    <mergeCell ref="AF76:AH76"/>
    <mergeCell ref="AI76:AK76"/>
    <mergeCell ref="AG46:AK46"/>
    <mergeCell ref="B48:T48"/>
    <mergeCell ref="U48:AK48"/>
    <mergeCell ref="AD28:AG28"/>
    <mergeCell ref="AA28:AC28"/>
    <mergeCell ref="B32:AK32"/>
    <mergeCell ref="B34:AK34"/>
    <mergeCell ref="B36:AK36"/>
    <mergeCell ref="B40:AF40"/>
    <mergeCell ref="AG40:AK40"/>
    <mergeCell ref="B22:I22"/>
    <mergeCell ref="J22:P22"/>
    <mergeCell ref="Q22:U22"/>
    <mergeCell ref="V22:Z22"/>
    <mergeCell ref="AA22:AC22"/>
    <mergeCell ref="AD22:AG22"/>
    <mergeCell ref="B24:AF24"/>
    <mergeCell ref="AG24:AK24"/>
    <mergeCell ref="B26:W26"/>
    <mergeCell ref="X26:AK26"/>
    <mergeCell ref="AB4:AK4"/>
    <mergeCell ref="AA5:AK5"/>
    <mergeCell ref="AC6:AK6"/>
    <mergeCell ref="B8:F8"/>
    <mergeCell ref="B9:F9"/>
    <mergeCell ref="B10:F10"/>
    <mergeCell ref="Z69:AD69"/>
    <mergeCell ref="AE69:AH69"/>
    <mergeCell ref="G10:U10"/>
    <mergeCell ref="V10:AK10"/>
    <mergeCell ref="B14:L14"/>
    <mergeCell ref="M14:S14"/>
    <mergeCell ref="T14:Z14"/>
    <mergeCell ref="AA14:AG14"/>
    <mergeCell ref="AH14:AK14"/>
    <mergeCell ref="B18:AF18"/>
    <mergeCell ref="AG18:AK18"/>
    <mergeCell ref="B20:W20"/>
    <mergeCell ref="X20:AK20"/>
    <mergeCell ref="AH22:AK22"/>
    <mergeCell ref="AH28:AK28"/>
    <mergeCell ref="AH44:AK44"/>
    <mergeCell ref="AH50:AK50"/>
    <mergeCell ref="AH56:AK56"/>
  </mergeCells>
  <printOptions horizontalCentered="1" verticalCentered="1"/>
  <pageMargins left="0" right="0" top="0" bottom="0" header="0" footer="0"/>
  <pageSetup scale="85"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M331"/>
  <sheetViews>
    <sheetView showZeros="0" zoomScale="115" zoomScaleNormal="115" workbookViewId="0">
      <selection activeCell="AB4" sqref="AB4:AK4"/>
    </sheetView>
  </sheetViews>
  <sheetFormatPr defaultColWidth="0" defaultRowHeight="12.75" customHeight="1" zeroHeight="1"/>
  <cols>
    <col min="1" max="1" width="1.109375" style="179" customWidth="1"/>
    <col min="2" max="35" width="3" style="179" customWidth="1"/>
    <col min="36" max="36" width="3.6640625" style="179" customWidth="1"/>
    <col min="37" max="37" width="3" style="179" customWidth="1"/>
    <col min="38" max="39" width="0.5546875" style="179" customWidth="1"/>
    <col min="40" max="40" width="2.88671875" style="179" hidden="1" customWidth="1"/>
    <col min="41" max="16384" width="2.88671875" style="179" hidden="1"/>
  </cols>
  <sheetData>
    <row r="1" spans="1:37" ht="12.75" customHeight="1"/>
    <row r="2" spans="1:37" ht="12.75" customHeight="1"/>
    <row r="3" spans="1:37" ht="7.5" customHeight="1">
      <c r="A3" s="178"/>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row>
    <row r="4" spans="1:37" ht="13.8">
      <c r="A4" s="178"/>
      <c r="B4" s="178"/>
      <c r="C4" s="178"/>
      <c r="D4" s="178"/>
      <c r="E4" s="178"/>
      <c r="F4" s="178"/>
      <c r="G4" s="178"/>
      <c r="H4" s="178"/>
      <c r="I4" s="178"/>
      <c r="J4" s="178"/>
      <c r="K4" s="178"/>
      <c r="L4" s="178"/>
      <c r="M4" s="178"/>
      <c r="N4" s="178"/>
      <c r="O4" s="178"/>
      <c r="P4" s="178"/>
      <c r="Q4" s="178"/>
      <c r="R4" s="178"/>
      <c r="S4" s="178"/>
      <c r="T4" s="178"/>
      <c r="V4" s="180"/>
      <c r="W4" s="180"/>
      <c r="Y4" s="180"/>
      <c r="Z4" s="180"/>
      <c r="AA4" s="180"/>
      <c r="AB4" s="548" t="s">
        <v>135</v>
      </c>
      <c r="AC4" s="548"/>
      <c r="AD4" s="548"/>
      <c r="AE4" s="548"/>
      <c r="AF4" s="548"/>
      <c r="AG4" s="548"/>
      <c r="AH4" s="548"/>
      <c r="AI4" s="548"/>
      <c r="AJ4" s="548"/>
      <c r="AK4" s="548"/>
    </row>
    <row r="5" spans="1:37" ht="13.8">
      <c r="A5" s="178"/>
      <c r="B5" s="178"/>
      <c r="C5" s="178"/>
      <c r="D5" s="178"/>
      <c r="E5" s="178"/>
      <c r="F5" s="178"/>
      <c r="G5" s="178"/>
      <c r="H5" s="178"/>
      <c r="I5" s="178"/>
      <c r="J5" s="178"/>
      <c r="K5" s="178"/>
      <c r="L5" s="178"/>
      <c r="M5" s="178"/>
      <c r="N5" s="178"/>
      <c r="O5" s="178"/>
      <c r="P5" s="178"/>
      <c r="Q5" s="178"/>
      <c r="R5" s="178"/>
      <c r="S5" s="178"/>
      <c r="T5" s="178"/>
      <c r="U5" s="181"/>
      <c r="V5" s="181"/>
      <c r="X5" s="180"/>
      <c r="Y5" s="180"/>
      <c r="Z5" s="180"/>
      <c r="AA5" s="180"/>
      <c r="AB5" s="180"/>
      <c r="AC5" s="180"/>
      <c r="AD5" s="180"/>
      <c r="AE5" s="180"/>
      <c r="AF5" s="549" t="s">
        <v>136</v>
      </c>
      <c r="AG5" s="549"/>
      <c r="AH5" s="549"/>
      <c r="AI5" s="549"/>
      <c r="AJ5" s="549"/>
      <c r="AK5" s="549"/>
    </row>
    <row r="6" spans="1:37" ht="17.25" customHeight="1">
      <c r="A6" s="178"/>
      <c r="B6" s="182" t="s">
        <v>137</v>
      </c>
      <c r="C6" s="178"/>
      <c r="D6" s="178"/>
      <c r="E6" s="178"/>
      <c r="F6" s="178"/>
      <c r="G6" s="178"/>
      <c r="H6" s="178"/>
      <c r="I6" s="178"/>
      <c r="J6" s="178"/>
      <c r="K6" s="178"/>
      <c r="L6" s="178"/>
      <c r="M6" s="178"/>
      <c r="N6" s="178"/>
      <c r="O6" s="178"/>
      <c r="P6" s="178"/>
      <c r="Q6" s="178"/>
      <c r="R6" s="178"/>
      <c r="S6" s="178"/>
      <c r="T6" s="178"/>
      <c r="U6" s="181"/>
      <c r="V6" s="181"/>
      <c r="W6" s="183"/>
      <c r="X6" s="550" t="s">
        <v>340</v>
      </c>
      <c r="Y6" s="550"/>
      <c r="Z6" s="550"/>
      <c r="AA6" s="550"/>
      <c r="AB6" s="550"/>
      <c r="AC6" s="550"/>
      <c r="AD6" s="550"/>
      <c r="AE6" s="550"/>
      <c r="AF6" s="550"/>
      <c r="AG6" s="550"/>
      <c r="AH6" s="550"/>
      <c r="AI6" s="550"/>
      <c r="AJ6" s="550"/>
      <c r="AK6" s="550"/>
    </row>
    <row r="7" spans="1:37" s="187" customFormat="1" ht="2.25" customHeight="1">
      <c r="A7" s="186"/>
      <c r="B7" s="186"/>
      <c r="C7" s="186"/>
      <c r="D7" s="186"/>
      <c r="E7" s="186"/>
      <c r="F7" s="186"/>
      <c r="G7" s="186"/>
      <c r="H7" s="186"/>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row>
    <row r="8" spans="1:37" s="193" customFormat="1" ht="10.5" customHeight="1">
      <c r="A8" s="188"/>
      <c r="B8" s="551" t="s">
        <v>138</v>
      </c>
      <c r="C8" s="552"/>
      <c r="D8" s="552"/>
      <c r="E8" s="552"/>
      <c r="F8" s="552"/>
      <c r="G8" s="189" t="s">
        <v>139</v>
      </c>
      <c r="H8" s="190"/>
      <c r="I8" s="190"/>
      <c r="J8" s="190"/>
      <c r="K8" s="190"/>
      <c r="L8" s="190"/>
      <c r="M8" s="190"/>
      <c r="N8" s="190"/>
      <c r="O8" s="190"/>
      <c r="P8" s="190"/>
      <c r="Q8" s="190"/>
      <c r="R8" s="190"/>
      <c r="S8" s="190"/>
      <c r="T8" s="190"/>
      <c r="U8" s="191"/>
      <c r="V8" s="190" t="s">
        <v>140</v>
      </c>
      <c r="W8" s="190"/>
      <c r="X8" s="190"/>
      <c r="Y8" s="190"/>
      <c r="Z8" s="190"/>
      <c r="AA8" s="190"/>
      <c r="AB8" s="190"/>
      <c r="AC8" s="190"/>
      <c r="AD8" s="190"/>
      <c r="AE8" s="190"/>
      <c r="AF8" s="190"/>
      <c r="AG8" s="190"/>
      <c r="AH8" s="190"/>
      <c r="AI8" s="190"/>
      <c r="AJ8" s="190"/>
      <c r="AK8" s="192"/>
    </row>
    <row r="9" spans="1:37" s="193" customFormat="1" ht="10.5" customHeight="1">
      <c r="A9" s="188"/>
      <c r="B9" s="553" t="s">
        <v>141</v>
      </c>
      <c r="C9" s="554"/>
      <c r="D9" s="554"/>
      <c r="E9" s="554"/>
      <c r="F9" s="554"/>
      <c r="G9" s="194"/>
      <c r="H9" s="195"/>
      <c r="I9" s="195"/>
      <c r="J9" s="195"/>
      <c r="K9" s="195"/>
      <c r="L9" s="195"/>
      <c r="M9" s="195"/>
      <c r="N9" s="195"/>
      <c r="O9" s="195"/>
      <c r="P9" s="195"/>
      <c r="Q9" s="195"/>
      <c r="R9" s="195"/>
      <c r="S9" s="195"/>
      <c r="T9" s="195"/>
      <c r="U9" s="196"/>
      <c r="V9" s="195"/>
      <c r="W9" s="195"/>
      <c r="X9" s="195"/>
      <c r="Y9" s="195"/>
      <c r="Z9" s="195"/>
      <c r="AA9" s="195"/>
      <c r="AB9" s="195"/>
      <c r="AC9" s="195"/>
      <c r="AD9" s="195"/>
      <c r="AE9" s="195"/>
      <c r="AF9" s="195"/>
      <c r="AG9" s="195"/>
      <c r="AH9" s="195"/>
      <c r="AI9" s="195"/>
      <c r="AJ9" s="195"/>
      <c r="AK9" s="197"/>
    </row>
    <row r="10" spans="1:37" s="193" customFormat="1" ht="10.5" customHeight="1">
      <c r="A10" s="188"/>
      <c r="B10" s="555">
        <f ca="1">AA_002_GENERALES_FECHA</f>
        <v>42625</v>
      </c>
      <c r="C10" s="556"/>
      <c r="D10" s="556"/>
      <c r="E10" s="556"/>
      <c r="F10" s="557"/>
      <c r="G10" s="558" t="str">
        <f>AA_003_GENERALES_DIA</f>
        <v>Monterrey, Nuevo León</v>
      </c>
      <c r="H10" s="559"/>
      <c r="I10" s="559"/>
      <c r="J10" s="559"/>
      <c r="K10" s="559"/>
      <c r="L10" s="559"/>
      <c r="M10" s="559"/>
      <c r="N10" s="559"/>
      <c r="O10" s="559"/>
      <c r="P10" s="559"/>
      <c r="Q10" s="559"/>
      <c r="R10" s="559"/>
      <c r="S10" s="559"/>
      <c r="T10" s="559"/>
      <c r="U10" s="560"/>
      <c r="V10" s="558" t="str">
        <f>AA_007_GENERALES_NOMBRE_Y_NÚMERO_DE_SUCURSAL</f>
        <v>161 Morones Prieto</v>
      </c>
      <c r="W10" s="559"/>
      <c r="X10" s="559"/>
      <c r="Y10" s="559"/>
      <c r="Z10" s="559"/>
      <c r="AA10" s="559"/>
      <c r="AB10" s="559"/>
      <c r="AC10" s="559"/>
      <c r="AD10" s="559"/>
      <c r="AE10" s="559"/>
      <c r="AF10" s="559"/>
      <c r="AG10" s="559"/>
      <c r="AH10" s="559"/>
      <c r="AI10" s="559"/>
      <c r="AJ10" s="559"/>
      <c r="AK10" s="561"/>
    </row>
    <row r="11" spans="1:37" s="199" customFormat="1" ht="2.25" customHeight="1">
      <c r="A11" s="198"/>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row>
    <row r="12" spans="1:37" s="199" customFormat="1" ht="9.6">
      <c r="A12" s="198"/>
      <c r="B12" s="200" t="s">
        <v>142</v>
      </c>
      <c r="C12" s="18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row>
    <row r="13" spans="1:37" s="193" customFormat="1" ht="10.5" customHeight="1">
      <c r="A13" s="188"/>
      <c r="B13" s="201" t="s">
        <v>143</v>
      </c>
      <c r="C13" s="202"/>
      <c r="D13" s="202"/>
      <c r="E13" s="202" t="s">
        <v>144</v>
      </c>
      <c r="F13" s="202"/>
      <c r="G13" s="202"/>
      <c r="H13" s="202"/>
      <c r="I13" s="202"/>
      <c r="J13" s="202"/>
      <c r="K13" s="202"/>
      <c r="L13" s="203"/>
      <c r="M13" s="201" t="s">
        <v>145</v>
      </c>
      <c r="N13" s="202"/>
      <c r="O13" s="202"/>
      <c r="P13" s="202"/>
      <c r="Q13" s="202"/>
      <c r="R13" s="202"/>
      <c r="S13" s="203"/>
      <c r="T13" s="202" t="s">
        <v>146</v>
      </c>
      <c r="U13" s="202"/>
      <c r="V13" s="202"/>
      <c r="W13" s="202"/>
      <c r="X13" s="202"/>
      <c r="Y13" s="202"/>
      <c r="Z13" s="202"/>
      <c r="AA13" s="201" t="s">
        <v>147</v>
      </c>
      <c r="AB13" s="202"/>
      <c r="AC13" s="202"/>
      <c r="AD13" s="202"/>
      <c r="AE13" s="202"/>
      <c r="AF13" s="202"/>
      <c r="AG13" s="203"/>
      <c r="AH13" s="202" t="s">
        <v>148</v>
      </c>
      <c r="AI13" s="202"/>
      <c r="AJ13" s="202"/>
      <c r="AK13" s="203"/>
    </row>
    <row r="14" spans="1:37" s="193" customFormat="1" ht="10.5" customHeight="1">
      <c r="A14" s="188"/>
      <c r="B14" s="539">
        <f>AA_008_DATOS_DE_BANCO_DOMICILIO_CALLE_NÚMERO</f>
        <v>0</v>
      </c>
      <c r="C14" s="540"/>
      <c r="D14" s="540"/>
      <c r="E14" s="540"/>
      <c r="F14" s="540"/>
      <c r="G14" s="540"/>
      <c r="H14" s="540"/>
      <c r="I14" s="540"/>
      <c r="J14" s="540"/>
      <c r="K14" s="540"/>
      <c r="L14" s="541"/>
      <c r="M14" s="539">
        <f>AA_009_DATOS_DE_BANCO_COLONIA</f>
        <v>0</v>
      </c>
      <c r="N14" s="540"/>
      <c r="O14" s="540"/>
      <c r="P14" s="540"/>
      <c r="Q14" s="540"/>
      <c r="R14" s="540"/>
      <c r="S14" s="541"/>
      <c r="T14" s="539">
        <f>AA_010_DATOS_DE_BANCO_POBLACIÓN</f>
        <v>0</v>
      </c>
      <c r="U14" s="540"/>
      <c r="V14" s="540"/>
      <c r="W14" s="540"/>
      <c r="X14" s="540"/>
      <c r="Y14" s="540"/>
      <c r="Z14" s="541"/>
      <c r="AA14" s="539">
        <f>AA_011_DATOS_DE_BANCO_ESTADO</f>
        <v>0</v>
      </c>
      <c r="AB14" s="540"/>
      <c r="AC14" s="540"/>
      <c r="AD14" s="540"/>
      <c r="AE14" s="540"/>
      <c r="AF14" s="540"/>
      <c r="AG14" s="541"/>
      <c r="AH14" s="539">
        <f>AA_012_DATOS_DE_BANCO_CODIGO_POSTAL</f>
        <v>0</v>
      </c>
      <c r="AI14" s="540"/>
      <c r="AJ14" s="540"/>
      <c r="AK14" s="541"/>
    </row>
    <row r="15" spans="1:37" s="193" customFormat="1" ht="10.5" customHeight="1">
      <c r="A15" s="188"/>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row>
    <row r="16" spans="1:37" s="193" customFormat="1" ht="10.5" customHeight="1">
      <c r="A16" s="188"/>
      <c r="B16" s="204" t="s">
        <v>149</v>
      </c>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row>
    <row r="17" spans="1:37" s="193" customFormat="1" ht="10.5" customHeight="1">
      <c r="A17" s="188"/>
      <c r="B17" s="201" t="s">
        <v>150</v>
      </c>
      <c r="C17" s="202"/>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202"/>
      <c r="AF17" s="202"/>
      <c r="AG17" s="201" t="s">
        <v>151</v>
      </c>
      <c r="AH17" s="202"/>
      <c r="AI17" s="202"/>
      <c r="AJ17" s="202"/>
      <c r="AK17" s="203"/>
    </row>
    <row r="18" spans="1:37" s="193" customFormat="1" ht="10.5" customHeight="1">
      <c r="A18" s="188"/>
      <c r="B18" s="539">
        <f>AA_013_DATOS_DE_LA_PARTE_ACREDITADA_NOMBRE_DEL_ACREDITADO</f>
        <v>0</v>
      </c>
      <c r="C18" s="540"/>
      <c r="D18" s="540"/>
      <c r="E18" s="540"/>
      <c r="F18" s="540"/>
      <c r="G18" s="540"/>
      <c r="H18" s="540"/>
      <c r="I18" s="540"/>
      <c r="J18" s="540"/>
      <c r="K18" s="540"/>
      <c r="L18" s="540"/>
      <c r="M18" s="540"/>
      <c r="N18" s="540"/>
      <c r="O18" s="540"/>
      <c r="P18" s="540"/>
      <c r="Q18" s="540"/>
      <c r="R18" s="540"/>
      <c r="S18" s="540"/>
      <c r="T18" s="540"/>
      <c r="U18" s="540"/>
      <c r="V18" s="540"/>
      <c r="W18" s="540"/>
      <c r="X18" s="540"/>
      <c r="Y18" s="540"/>
      <c r="Z18" s="540"/>
      <c r="AA18" s="540"/>
      <c r="AB18" s="540"/>
      <c r="AC18" s="540"/>
      <c r="AD18" s="540"/>
      <c r="AE18" s="540"/>
      <c r="AF18" s="541"/>
      <c r="AG18" s="539">
        <f>AA_014_DATOS_DE_LA_PARTE_ACREDITADA_R_F_C_</f>
        <v>0</v>
      </c>
      <c r="AH18" s="540"/>
      <c r="AI18" s="540"/>
      <c r="AJ18" s="540"/>
      <c r="AK18" s="541"/>
    </row>
    <row r="19" spans="1:37" s="193" customFormat="1" ht="10.5" customHeight="1">
      <c r="A19" s="188"/>
      <c r="B19" s="201" t="s">
        <v>143</v>
      </c>
      <c r="C19" s="202"/>
      <c r="D19" s="202"/>
      <c r="E19" s="202" t="s">
        <v>144</v>
      </c>
      <c r="F19" s="202"/>
      <c r="G19" s="202"/>
      <c r="H19" s="202"/>
      <c r="I19" s="202"/>
      <c r="J19" s="202"/>
      <c r="K19" s="202"/>
      <c r="L19" s="202"/>
      <c r="M19" s="202"/>
      <c r="N19" s="202"/>
      <c r="O19" s="202"/>
      <c r="P19" s="202"/>
      <c r="Q19" s="202"/>
      <c r="R19" s="202"/>
      <c r="S19" s="202"/>
      <c r="T19" s="202"/>
      <c r="U19" s="202"/>
      <c r="V19" s="202"/>
      <c r="W19" s="202"/>
      <c r="X19" s="201" t="s">
        <v>145</v>
      </c>
      <c r="Y19" s="202"/>
      <c r="Z19" s="202"/>
      <c r="AA19" s="202"/>
      <c r="AB19" s="202"/>
      <c r="AC19" s="202"/>
      <c r="AD19" s="202"/>
      <c r="AE19" s="202"/>
      <c r="AF19" s="202"/>
      <c r="AG19" s="202"/>
      <c r="AH19" s="202"/>
      <c r="AI19" s="202"/>
      <c r="AJ19" s="202"/>
      <c r="AK19" s="203"/>
    </row>
    <row r="20" spans="1:37" s="193" customFormat="1" ht="10.5" customHeight="1">
      <c r="A20" s="188"/>
      <c r="B20" s="539">
        <f>AA_015_DATOS_DE_LA_PARTE_ACREDITADA_DOMICILIO_CALLE_NÚMERO</f>
        <v>0</v>
      </c>
      <c r="C20" s="540"/>
      <c r="D20" s="540"/>
      <c r="E20" s="540"/>
      <c r="F20" s="540"/>
      <c r="G20" s="540"/>
      <c r="H20" s="540"/>
      <c r="I20" s="540"/>
      <c r="J20" s="540"/>
      <c r="K20" s="540"/>
      <c r="L20" s="540"/>
      <c r="M20" s="540"/>
      <c r="N20" s="540"/>
      <c r="O20" s="540"/>
      <c r="P20" s="540"/>
      <c r="Q20" s="540"/>
      <c r="R20" s="540"/>
      <c r="S20" s="540"/>
      <c r="T20" s="540"/>
      <c r="U20" s="540"/>
      <c r="V20" s="540"/>
      <c r="W20" s="541"/>
      <c r="X20" s="539">
        <f>AA_016_DATOS_DE_LA_PARTE_ACREDITADA_COLONIA</f>
        <v>0</v>
      </c>
      <c r="Y20" s="540"/>
      <c r="Z20" s="540"/>
      <c r="AA20" s="540"/>
      <c r="AB20" s="540"/>
      <c r="AC20" s="540"/>
      <c r="AD20" s="540"/>
      <c r="AE20" s="540"/>
      <c r="AF20" s="540"/>
      <c r="AG20" s="540"/>
      <c r="AH20" s="540"/>
      <c r="AI20" s="540"/>
      <c r="AJ20" s="540"/>
      <c r="AK20" s="541"/>
    </row>
    <row r="21" spans="1:37" s="193" customFormat="1" ht="10.5" customHeight="1">
      <c r="A21" s="188"/>
      <c r="B21" s="201" t="s">
        <v>146</v>
      </c>
      <c r="C21" s="202"/>
      <c r="D21" s="202"/>
      <c r="E21" s="202"/>
      <c r="F21" s="202"/>
      <c r="G21" s="202"/>
      <c r="H21" s="202"/>
      <c r="I21" s="195"/>
      <c r="J21" s="201" t="s">
        <v>147</v>
      </c>
      <c r="K21" s="195"/>
      <c r="L21" s="195"/>
      <c r="P21" s="202"/>
      <c r="Q21" s="194" t="s">
        <v>152</v>
      </c>
      <c r="S21" s="202"/>
      <c r="T21" s="202"/>
      <c r="V21" s="201" t="s">
        <v>153</v>
      </c>
      <c r="W21" s="202"/>
      <c r="X21" s="202"/>
      <c r="Y21" s="202"/>
      <c r="AA21" s="201" t="s">
        <v>154</v>
      </c>
      <c r="AB21" s="202"/>
      <c r="AC21" s="203"/>
      <c r="AD21" s="194" t="s">
        <v>155</v>
      </c>
      <c r="AE21" s="195"/>
      <c r="AF21" s="195"/>
      <c r="AG21" s="203"/>
      <c r="AH21" s="202" t="s">
        <v>156</v>
      </c>
      <c r="AI21" s="202"/>
      <c r="AJ21" s="202"/>
      <c r="AK21" s="203"/>
    </row>
    <row r="22" spans="1:37" s="193" customFormat="1" ht="10.5" customHeight="1">
      <c r="A22" s="188"/>
      <c r="B22" s="539">
        <f>AA_017_DATOS_DE_LA_PARTE_ACREDITADA_POBLACION</f>
        <v>0</v>
      </c>
      <c r="C22" s="540"/>
      <c r="D22" s="540"/>
      <c r="E22" s="540"/>
      <c r="F22" s="540"/>
      <c r="G22" s="540"/>
      <c r="H22" s="540"/>
      <c r="I22" s="541"/>
      <c r="J22" s="539">
        <f>AA_018_DATOS_DE_LA_PARTE_ACREDITADA_ESTADO</f>
        <v>0</v>
      </c>
      <c r="K22" s="540"/>
      <c r="L22" s="540"/>
      <c r="M22" s="540"/>
      <c r="N22" s="540"/>
      <c r="O22" s="540"/>
      <c r="P22" s="541"/>
      <c r="Q22" s="539">
        <f>AA_019_DATOS_DE_LA_PARTE_ACREDITADA_NACIONALIDAD</f>
        <v>0</v>
      </c>
      <c r="R22" s="540"/>
      <c r="S22" s="540"/>
      <c r="T22" s="540"/>
      <c r="U22" s="541"/>
      <c r="V22" s="539">
        <f>AA_020_DATOS_DE_LA_PARTE_ACREDITADA_ORIGINARIO</f>
        <v>0</v>
      </c>
      <c r="W22" s="540"/>
      <c r="X22" s="540"/>
      <c r="Y22" s="540"/>
      <c r="Z22" s="541"/>
      <c r="AA22" s="542">
        <f>AA_021_DATOS_DE_LA_PARTE_ACREDITADA_EDAD</f>
        <v>0</v>
      </c>
      <c r="AB22" s="543"/>
      <c r="AC22" s="544"/>
      <c r="AD22" s="539">
        <f>AA_022_DATOS_DE_LA_PARTE_ACREDITADA_ESTADO_CIVIL</f>
        <v>0</v>
      </c>
      <c r="AE22" s="540"/>
      <c r="AF22" s="540"/>
      <c r="AG22" s="541"/>
      <c r="AH22" s="539">
        <f>AA_023_DATOS_DE_LA_PARTE_ACREDITADA_TELEFONO</f>
        <v>0</v>
      </c>
      <c r="AI22" s="540"/>
      <c r="AJ22" s="540"/>
      <c r="AK22" s="541"/>
    </row>
    <row r="23" spans="1:37" s="193" customFormat="1" ht="10.5" customHeight="1">
      <c r="A23" s="188"/>
      <c r="B23" s="201" t="s">
        <v>157</v>
      </c>
      <c r="C23" s="202"/>
      <c r="D23" s="202"/>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202"/>
      <c r="AF23" s="202"/>
      <c r="AG23" s="201" t="s">
        <v>151</v>
      </c>
      <c r="AH23" s="202"/>
      <c r="AI23" s="202"/>
      <c r="AJ23" s="202"/>
      <c r="AK23" s="203"/>
    </row>
    <row r="24" spans="1:37" s="193" customFormat="1" ht="10.5" customHeight="1">
      <c r="A24" s="188"/>
      <c r="B24" s="761">
        <f>AA_024_DATOS_DE_LA_PARTE_ACREDITADA_NOMBRE_DEL_ACREDITADO_2</f>
        <v>0</v>
      </c>
      <c r="C24" s="762"/>
      <c r="D24" s="762"/>
      <c r="E24" s="762"/>
      <c r="F24" s="762"/>
      <c r="G24" s="762"/>
      <c r="H24" s="762"/>
      <c r="I24" s="762"/>
      <c r="J24" s="762"/>
      <c r="K24" s="762"/>
      <c r="L24" s="762"/>
      <c r="M24" s="762"/>
      <c r="N24" s="762"/>
      <c r="O24" s="762"/>
      <c r="P24" s="762"/>
      <c r="Q24" s="762"/>
      <c r="R24" s="762"/>
      <c r="S24" s="762"/>
      <c r="T24" s="762"/>
      <c r="U24" s="762"/>
      <c r="V24" s="762"/>
      <c r="W24" s="762"/>
      <c r="X24" s="762"/>
      <c r="Y24" s="762"/>
      <c r="Z24" s="762"/>
      <c r="AA24" s="762"/>
      <c r="AB24" s="762"/>
      <c r="AC24" s="762"/>
      <c r="AD24" s="762"/>
      <c r="AE24" s="762"/>
      <c r="AF24" s="763"/>
      <c r="AG24" s="539">
        <f>AA_025_DATOS_DE_LA_PARTE_ACREDITADA_R_F_C_</f>
        <v>0</v>
      </c>
      <c r="AH24" s="540"/>
      <c r="AI24" s="540"/>
      <c r="AJ24" s="540"/>
      <c r="AK24" s="541"/>
    </row>
    <row r="25" spans="1:37" s="193" customFormat="1" ht="10.5" customHeight="1">
      <c r="A25" s="188"/>
      <c r="B25" s="201" t="s">
        <v>143</v>
      </c>
      <c r="C25" s="202"/>
      <c r="D25" s="202"/>
      <c r="E25" s="202" t="s">
        <v>144</v>
      </c>
      <c r="F25" s="202"/>
      <c r="G25" s="202"/>
      <c r="H25" s="202"/>
      <c r="I25" s="202"/>
      <c r="J25" s="202"/>
      <c r="K25" s="202"/>
      <c r="L25" s="202"/>
      <c r="M25" s="202"/>
      <c r="N25" s="202"/>
      <c r="O25" s="202"/>
      <c r="P25" s="202"/>
      <c r="Q25" s="202"/>
      <c r="R25" s="202"/>
      <c r="S25" s="202"/>
      <c r="T25" s="202"/>
      <c r="U25" s="246"/>
      <c r="V25" s="243"/>
      <c r="W25" s="202"/>
      <c r="X25" s="201" t="s">
        <v>145</v>
      </c>
      <c r="Y25" s="202"/>
      <c r="Z25" s="202"/>
      <c r="AA25" s="202"/>
      <c r="AB25" s="202"/>
      <c r="AC25" s="202"/>
      <c r="AD25" s="202"/>
      <c r="AE25" s="202"/>
      <c r="AF25" s="202"/>
      <c r="AG25" s="202"/>
      <c r="AH25" s="202"/>
      <c r="AI25" s="202"/>
      <c r="AJ25" s="202"/>
      <c r="AK25" s="203"/>
    </row>
    <row r="26" spans="1:37" s="193" customFormat="1" ht="10.5" customHeight="1">
      <c r="A26" s="188"/>
      <c r="B26" s="545">
        <f>AA_026_DATOS_DE_LA_PARTE_ACREDITADA_DOMICILIO_CALLE_NÚMERO</f>
        <v>0</v>
      </c>
      <c r="C26" s="546"/>
      <c r="D26" s="546"/>
      <c r="E26" s="546"/>
      <c r="F26" s="546"/>
      <c r="G26" s="546"/>
      <c r="H26" s="546"/>
      <c r="I26" s="546"/>
      <c r="J26" s="546"/>
      <c r="K26" s="546"/>
      <c r="L26" s="546"/>
      <c r="M26" s="546"/>
      <c r="N26" s="546"/>
      <c r="O26" s="546"/>
      <c r="P26" s="546"/>
      <c r="Q26" s="546"/>
      <c r="R26" s="546"/>
      <c r="S26" s="546"/>
      <c r="T26" s="546"/>
      <c r="U26" s="546"/>
      <c r="V26" s="546"/>
      <c r="W26" s="547"/>
      <c r="X26" s="539">
        <f>AA_027_DATOS_DE_LA_PARTE_ACREDITADA_COLONIA</f>
        <v>0</v>
      </c>
      <c r="Y26" s="540"/>
      <c r="Z26" s="540"/>
      <c r="AA26" s="540"/>
      <c r="AB26" s="540"/>
      <c r="AC26" s="540"/>
      <c r="AD26" s="540"/>
      <c r="AE26" s="540"/>
      <c r="AF26" s="540"/>
      <c r="AG26" s="540"/>
      <c r="AH26" s="540"/>
      <c r="AI26" s="540"/>
      <c r="AJ26" s="540"/>
      <c r="AK26" s="541"/>
    </row>
    <row r="27" spans="1:37" s="193" customFormat="1" ht="10.5" customHeight="1">
      <c r="A27" s="188"/>
      <c r="B27" s="194" t="s">
        <v>146</v>
      </c>
      <c r="C27" s="195"/>
      <c r="D27" s="195"/>
      <c r="E27" s="195"/>
      <c r="F27" s="195"/>
      <c r="G27" s="195"/>
      <c r="H27" s="195"/>
      <c r="I27" s="195"/>
      <c r="J27" s="194" t="s">
        <v>147</v>
      </c>
      <c r="K27" s="195"/>
      <c r="L27" s="195"/>
      <c r="M27" s="188"/>
      <c r="N27" s="188"/>
      <c r="O27" s="188"/>
      <c r="P27" s="195"/>
      <c r="Q27" s="194" t="s">
        <v>152</v>
      </c>
      <c r="R27" s="188"/>
      <c r="S27" s="195"/>
      <c r="T27" s="195"/>
      <c r="U27" s="188"/>
      <c r="V27" s="194" t="s">
        <v>153</v>
      </c>
      <c r="W27" s="195"/>
      <c r="X27" s="202"/>
      <c r="Y27" s="202"/>
      <c r="Z27" s="188"/>
      <c r="AA27" s="201" t="s">
        <v>154</v>
      </c>
      <c r="AB27" s="202"/>
      <c r="AC27" s="203"/>
      <c r="AD27" s="194" t="s">
        <v>155</v>
      </c>
      <c r="AE27" s="195"/>
      <c r="AF27" s="195"/>
      <c r="AG27" s="203"/>
      <c r="AH27" s="202" t="s">
        <v>156</v>
      </c>
      <c r="AI27" s="202"/>
      <c r="AJ27" s="202"/>
      <c r="AK27" s="203"/>
    </row>
    <row r="28" spans="1:37" s="193" customFormat="1" ht="10.5" customHeight="1">
      <c r="A28" s="188"/>
      <c r="B28" s="539">
        <f>AA_028_DATOS_DE_LA_PARTE_ACREDITADA_POBLACION</f>
        <v>0</v>
      </c>
      <c r="C28" s="540"/>
      <c r="D28" s="540"/>
      <c r="E28" s="540"/>
      <c r="F28" s="540"/>
      <c r="G28" s="540"/>
      <c r="H28" s="540"/>
      <c r="I28" s="541"/>
      <c r="J28" s="539">
        <f>AA_029_DATOS_DE_LA_PARTE_ACREDITADA_ESTADO</f>
        <v>0</v>
      </c>
      <c r="K28" s="540"/>
      <c r="L28" s="540"/>
      <c r="M28" s="540"/>
      <c r="N28" s="540"/>
      <c r="O28" s="540"/>
      <c r="P28" s="541"/>
      <c r="Q28" s="539">
        <f>AA_030_DATOS_DE_LA_PARTE_ACREDITADA_NACIONALIDAD</f>
        <v>0</v>
      </c>
      <c r="R28" s="540"/>
      <c r="S28" s="540"/>
      <c r="T28" s="540"/>
      <c r="U28" s="541"/>
      <c r="V28" s="539">
        <f>AA_031_DATOS_DE_LA_PARTE_ACREDITADA_ORIGINARIO</f>
        <v>0</v>
      </c>
      <c r="W28" s="540"/>
      <c r="X28" s="540"/>
      <c r="Y28" s="540"/>
      <c r="Z28" s="541"/>
      <c r="AA28" s="542">
        <f>AA_032_DATOS_DE_LA_PARTE_ACREDITADA_EDAD</f>
        <v>0</v>
      </c>
      <c r="AB28" s="543"/>
      <c r="AC28" s="544"/>
      <c r="AD28" s="539">
        <f>AA_033_DATOS_DE_LA_PARTE_ACREDITADA_ESTADO_CIVIL</f>
        <v>0</v>
      </c>
      <c r="AE28" s="540"/>
      <c r="AF28" s="540"/>
      <c r="AG28" s="541"/>
      <c r="AH28" s="539">
        <f>AA_034_DATOS_DE_LA_PARTE_ACREDITADA_TELEFONO</f>
        <v>0</v>
      </c>
      <c r="AI28" s="540"/>
      <c r="AJ28" s="540"/>
      <c r="AK28" s="541"/>
    </row>
    <row r="29" spans="1:37" s="199" customFormat="1" ht="2.25" customHeight="1">
      <c r="A29" s="198"/>
      <c r="B29" s="182"/>
      <c r="C29" s="18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row>
    <row r="30" spans="1:37" s="199" customFormat="1" ht="9.6">
      <c r="A30" s="198"/>
      <c r="B30" s="200" t="s">
        <v>158</v>
      </c>
      <c r="C30" s="18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row>
    <row r="31" spans="1:37" s="193" customFormat="1" ht="10.5" customHeight="1">
      <c r="A31" s="188"/>
      <c r="B31" s="201" t="s">
        <v>159</v>
      </c>
      <c r="C31" s="202"/>
      <c r="D31" s="202"/>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202"/>
      <c r="AF31" s="202"/>
      <c r="AG31" s="202"/>
      <c r="AH31" s="202"/>
      <c r="AI31" s="202"/>
      <c r="AJ31" s="202"/>
      <c r="AK31" s="203"/>
    </row>
    <row r="32" spans="1:37" s="193" customFormat="1" ht="10.5" customHeight="1">
      <c r="A32" s="188"/>
      <c r="B32" s="539">
        <f>AA_035_DATOS_APODERADOS_ACREDITADO_NOMBRE_APODERADO_DEL_ACREDITADO_UNO</f>
        <v>0</v>
      </c>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c r="AE32" s="540"/>
      <c r="AF32" s="540"/>
      <c r="AG32" s="540"/>
      <c r="AH32" s="540"/>
      <c r="AI32" s="540"/>
      <c r="AJ32" s="540"/>
      <c r="AK32" s="541"/>
    </row>
    <row r="33" spans="1:37" s="193" customFormat="1" ht="10.5" customHeight="1">
      <c r="A33" s="188"/>
      <c r="B33" s="201" t="str">
        <f>B31</f>
        <v>NOMBRE  (Nombre(s) Apellidos Paterno y Materno)</v>
      </c>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202"/>
      <c r="AG33" s="202"/>
      <c r="AH33" s="202"/>
      <c r="AI33" s="202"/>
      <c r="AJ33" s="202"/>
      <c r="AK33" s="203"/>
    </row>
    <row r="34" spans="1:37" s="193" customFormat="1" ht="10.5" customHeight="1">
      <c r="A34" s="188"/>
      <c r="B34" s="539">
        <f>AA_036_DATOS_APODERADOS_ACREDITADO_NOMBRE_APODERADO_DEL_ACREDITADO_DOS</f>
        <v>0</v>
      </c>
      <c r="C34" s="540"/>
      <c r="D34" s="540"/>
      <c r="E34" s="540"/>
      <c r="F34" s="540"/>
      <c r="G34" s="540"/>
      <c r="H34" s="540"/>
      <c r="I34" s="540"/>
      <c r="J34" s="540"/>
      <c r="K34" s="540"/>
      <c r="L34" s="540"/>
      <c r="M34" s="540"/>
      <c r="N34" s="540"/>
      <c r="O34" s="540"/>
      <c r="P34" s="540"/>
      <c r="Q34" s="540"/>
      <c r="R34" s="540"/>
      <c r="S34" s="540"/>
      <c r="T34" s="540"/>
      <c r="U34" s="540"/>
      <c r="V34" s="540"/>
      <c r="W34" s="540"/>
      <c r="X34" s="540"/>
      <c r="Y34" s="540"/>
      <c r="Z34" s="540"/>
      <c r="AA34" s="540"/>
      <c r="AB34" s="540"/>
      <c r="AC34" s="540"/>
      <c r="AD34" s="540"/>
      <c r="AE34" s="540"/>
      <c r="AF34" s="540"/>
      <c r="AG34" s="540"/>
      <c r="AH34" s="540"/>
      <c r="AI34" s="540"/>
      <c r="AJ34" s="540"/>
      <c r="AK34" s="541"/>
    </row>
    <row r="35" spans="1:37" s="193" customFormat="1" ht="10.5" customHeight="1">
      <c r="A35" s="188"/>
      <c r="B35" s="201" t="str">
        <f>B33</f>
        <v>NOMBRE  (Nombre(s) Apellidos Paterno y Materno)</v>
      </c>
      <c r="C35" s="202"/>
      <c r="D35" s="202"/>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202"/>
      <c r="AF35" s="202"/>
      <c r="AG35" s="202"/>
      <c r="AH35" s="202"/>
      <c r="AI35" s="202"/>
      <c r="AJ35" s="202"/>
      <c r="AK35" s="203"/>
    </row>
    <row r="36" spans="1:37" s="193" customFormat="1" ht="10.5" customHeight="1">
      <c r="A36" s="188"/>
      <c r="B36" s="539">
        <f>AA_036a_DATOS_APODERADOS_ACREDITADO_NOMBRE_APODERADO_DEL_ACREDITADO_TRES</f>
        <v>0</v>
      </c>
      <c r="C36" s="540"/>
      <c r="D36" s="540"/>
      <c r="E36" s="540"/>
      <c r="F36" s="540"/>
      <c r="G36" s="540"/>
      <c r="H36" s="540"/>
      <c r="I36" s="540"/>
      <c r="J36" s="540"/>
      <c r="K36" s="540"/>
      <c r="L36" s="540"/>
      <c r="M36" s="540"/>
      <c r="N36" s="540"/>
      <c r="O36" s="540"/>
      <c r="P36" s="540"/>
      <c r="Q36" s="540"/>
      <c r="R36" s="540"/>
      <c r="S36" s="540"/>
      <c r="T36" s="540"/>
      <c r="U36" s="540"/>
      <c r="V36" s="540"/>
      <c r="W36" s="540"/>
      <c r="X36" s="540"/>
      <c r="Y36" s="540"/>
      <c r="Z36" s="540"/>
      <c r="AA36" s="540"/>
      <c r="AB36" s="540"/>
      <c r="AC36" s="540"/>
      <c r="AD36" s="540"/>
      <c r="AE36" s="540"/>
      <c r="AF36" s="540"/>
      <c r="AG36" s="540"/>
      <c r="AH36" s="540"/>
      <c r="AI36" s="540"/>
      <c r="AJ36" s="540"/>
      <c r="AK36" s="541"/>
    </row>
    <row r="37" spans="1:37" s="199" customFormat="1" ht="2.25" customHeight="1">
      <c r="A37" s="198"/>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row>
    <row r="38" spans="1:37" s="199" customFormat="1" ht="9.6">
      <c r="A38" s="198"/>
      <c r="B38" s="200" t="s">
        <v>160</v>
      </c>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row>
    <row r="39" spans="1:37" s="193" customFormat="1" ht="10.5" customHeight="1">
      <c r="A39" s="188"/>
      <c r="B39" s="201" t="s">
        <v>157</v>
      </c>
      <c r="C39" s="202"/>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202"/>
      <c r="AF39" s="202"/>
      <c r="AG39" s="201" t="s">
        <v>151</v>
      </c>
      <c r="AH39" s="202"/>
      <c r="AI39" s="202"/>
      <c r="AJ39" s="202"/>
      <c r="AK39" s="203"/>
    </row>
    <row r="40" spans="1:37" s="193" customFormat="1" ht="10.5" customHeight="1">
      <c r="A40" s="188"/>
      <c r="B40" s="539">
        <f>AA_037_DATOS_FIADORES_NOMBRE_DEL_FIADOR_SOLIDARIO_UNO</f>
        <v>0</v>
      </c>
      <c r="C40" s="540"/>
      <c r="D40" s="540"/>
      <c r="E40" s="540"/>
      <c r="F40" s="540"/>
      <c r="G40" s="540"/>
      <c r="H40" s="540"/>
      <c r="I40" s="540"/>
      <c r="J40" s="540"/>
      <c r="K40" s="540"/>
      <c r="L40" s="540"/>
      <c r="M40" s="540"/>
      <c r="N40" s="540"/>
      <c r="O40" s="540"/>
      <c r="P40" s="540"/>
      <c r="Q40" s="540"/>
      <c r="R40" s="540"/>
      <c r="S40" s="540"/>
      <c r="T40" s="540"/>
      <c r="U40" s="540"/>
      <c r="V40" s="540"/>
      <c r="W40" s="540"/>
      <c r="X40" s="540"/>
      <c r="Y40" s="540"/>
      <c r="Z40" s="540"/>
      <c r="AA40" s="540"/>
      <c r="AB40" s="540"/>
      <c r="AC40" s="540"/>
      <c r="AD40" s="540"/>
      <c r="AE40" s="540"/>
      <c r="AF40" s="541"/>
      <c r="AG40" s="539">
        <f>AA_038_DATOS_FIADORES_RFC</f>
        <v>0</v>
      </c>
      <c r="AH40" s="540"/>
      <c r="AI40" s="540"/>
      <c r="AJ40" s="540"/>
      <c r="AK40" s="541"/>
    </row>
    <row r="41" spans="1:37" s="193" customFormat="1" ht="10.5" customHeight="1">
      <c r="A41" s="188"/>
      <c r="B41" s="201" t="s">
        <v>143</v>
      </c>
      <c r="C41" s="202"/>
      <c r="D41" s="202"/>
      <c r="E41" s="202" t="s">
        <v>144</v>
      </c>
      <c r="F41" s="202"/>
      <c r="G41" s="202"/>
      <c r="H41" s="202"/>
      <c r="I41" s="202"/>
      <c r="J41" s="202"/>
      <c r="K41" s="202"/>
      <c r="L41" s="202"/>
      <c r="M41" s="202"/>
      <c r="N41" s="202"/>
      <c r="O41" s="202"/>
      <c r="P41" s="202"/>
      <c r="Q41" s="202"/>
      <c r="R41" s="202"/>
      <c r="S41" s="202"/>
      <c r="T41" s="202"/>
      <c r="U41" s="201" t="s">
        <v>145</v>
      </c>
      <c r="V41" s="202"/>
      <c r="W41" s="202"/>
      <c r="X41" s="202"/>
      <c r="Y41" s="202"/>
      <c r="Z41" s="202"/>
      <c r="AA41" s="202"/>
      <c r="AB41" s="202"/>
      <c r="AC41" s="202"/>
      <c r="AD41" s="202"/>
      <c r="AE41" s="202"/>
      <c r="AF41" s="202"/>
      <c r="AG41" s="202"/>
      <c r="AH41" s="202"/>
      <c r="AI41" s="202"/>
      <c r="AJ41" s="202"/>
      <c r="AK41" s="203"/>
    </row>
    <row r="42" spans="1:37" s="193" customFormat="1" ht="10.5" customHeight="1">
      <c r="A42" s="188"/>
      <c r="B42" s="539">
        <f>AA_039_DATOS_FIADORES_DOMICILIO_CALLE_NÚMERO</f>
        <v>0</v>
      </c>
      <c r="C42" s="540"/>
      <c r="D42" s="540"/>
      <c r="E42" s="540"/>
      <c r="F42" s="540"/>
      <c r="G42" s="540"/>
      <c r="H42" s="540"/>
      <c r="I42" s="540"/>
      <c r="J42" s="540"/>
      <c r="K42" s="540"/>
      <c r="L42" s="540"/>
      <c r="M42" s="540"/>
      <c r="N42" s="540"/>
      <c r="O42" s="540"/>
      <c r="P42" s="540"/>
      <c r="Q42" s="540"/>
      <c r="R42" s="540"/>
      <c r="S42" s="540"/>
      <c r="T42" s="541"/>
      <c r="U42" s="539">
        <f>AA_040_DATOS_FIADORES_COLONIA</f>
        <v>0</v>
      </c>
      <c r="V42" s="540"/>
      <c r="W42" s="540"/>
      <c r="X42" s="540"/>
      <c r="Y42" s="540"/>
      <c r="Z42" s="540"/>
      <c r="AA42" s="540"/>
      <c r="AB42" s="540"/>
      <c r="AC42" s="540"/>
      <c r="AD42" s="540"/>
      <c r="AE42" s="540"/>
      <c r="AF42" s="540"/>
      <c r="AG42" s="540"/>
      <c r="AH42" s="540"/>
      <c r="AI42" s="540"/>
      <c r="AJ42" s="540"/>
      <c r="AK42" s="541"/>
    </row>
    <row r="43" spans="1:37" s="193" customFormat="1" ht="10.5" customHeight="1">
      <c r="A43" s="188"/>
      <c r="B43" s="201" t="s">
        <v>146</v>
      </c>
      <c r="C43" s="202"/>
      <c r="D43" s="202"/>
      <c r="E43" s="202"/>
      <c r="F43" s="202"/>
      <c r="G43" s="202"/>
      <c r="H43" s="202"/>
      <c r="I43" s="195"/>
      <c r="J43" s="201" t="s">
        <v>147</v>
      </c>
      <c r="K43" s="195"/>
      <c r="L43" s="195"/>
      <c r="P43" s="202"/>
      <c r="Q43" s="194" t="s">
        <v>152</v>
      </c>
      <c r="S43" s="202"/>
      <c r="T43" s="202"/>
      <c r="V43" s="201" t="s">
        <v>153</v>
      </c>
      <c r="W43" s="202"/>
      <c r="X43" s="202"/>
      <c r="Y43" s="202"/>
      <c r="AA43" s="201" t="s">
        <v>154</v>
      </c>
      <c r="AB43" s="202"/>
      <c r="AC43" s="203"/>
      <c r="AD43" s="194" t="s">
        <v>155</v>
      </c>
      <c r="AE43" s="195"/>
      <c r="AF43" s="195"/>
      <c r="AG43" s="203"/>
      <c r="AH43" s="202" t="s">
        <v>156</v>
      </c>
      <c r="AI43" s="202"/>
      <c r="AJ43" s="202"/>
      <c r="AK43" s="203"/>
    </row>
    <row r="44" spans="1:37" s="193" customFormat="1" ht="10.5" customHeight="1">
      <c r="A44" s="188"/>
      <c r="B44" s="539">
        <f>AA_041_DATOS_FIADORES_POBLACIÓN</f>
        <v>0</v>
      </c>
      <c r="C44" s="540"/>
      <c r="D44" s="540"/>
      <c r="E44" s="540"/>
      <c r="F44" s="540"/>
      <c r="G44" s="540"/>
      <c r="H44" s="540"/>
      <c r="I44" s="541"/>
      <c r="J44" s="539">
        <f>AA_042_DATOS_FIADORES_ESTADO</f>
        <v>0</v>
      </c>
      <c r="K44" s="540"/>
      <c r="L44" s="540"/>
      <c r="M44" s="540"/>
      <c r="N44" s="540"/>
      <c r="O44" s="540"/>
      <c r="P44" s="541"/>
      <c r="Q44" s="539">
        <f>AA_043_DATOS_FIADORES_NACIONALIDAD</f>
        <v>0</v>
      </c>
      <c r="R44" s="540"/>
      <c r="S44" s="540"/>
      <c r="T44" s="540"/>
      <c r="U44" s="541"/>
      <c r="V44" s="539">
        <f>AA_044_DATOS_FIADORES_ORIGINARIO</f>
        <v>0</v>
      </c>
      <c r="W44" s="540"/>
      <c r="X44" s="540"/>
      <c r="Y44" s="540"/>
      <c r="Z44" s="541"/>
      <c r="AA44" s="542">
        <f>AA_045_DATOS_FIADORES_EDAD</f>
        <v>0</v>
      </c>
      <c r="AB44" s="543"/>
      <c r="AC44" s="544"/>
      <c r="AD44" s="539">
        <f>AA_046_DATOS_FIADORES_ESTADO_CIVIL</f>
        <v>0</v>
      </c>
      <c r="AE44" s="540"/>
      <c r="AF44" s="540"/>
      <c r="AG44" s="541"/>
      <c r="AH44" s="539">
        <f>AA_047_DATOS_FIADORES_TELEFONO</f>
        <v>0</v>
      </c>
      <c r="AI44" s="540"/>
      <c r="AJ44" s="540"/>
      <c r="AK44" s="541"/>
    </row>
    <row r="45" spans="1:37" s="193" customFormat="1" ht="10.5" customHeight="1">
      <c r="A45" s="188"/>
      <c r="B45" s="201" t="s">
        <v>157</v>
      </c>
      <c r="C45" s="202"/>
      <c r="D45" s="202"/>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202"/>
      <c r="AF45" s="202"/>
      <c r="AG45" s="201" t="s">
        <v>151</v>
      </c>
      <c r="AH45" s="202"/>
      <c r="AI45" s="202"/>
      <c r="AJ45" s="202"/>
      <c r="AK45" s="203"/>
    </row>
    <row r="46" spans="1:37" s="193" customFormat="1" ht="10.5" customHeight="1">
      <c r="A46" s="188"/>
      <c r="B46" s="539">
        <f>AA_048_DATOS_FIADORES_NOMBRE_DEL_FIADOR_SOLIDARIO_DOS</f>
        <v>0</v>
      </c>
      <c r="C46" s="540"/>
      <c r="D46" s="540"/>
      <c r="E46" s="540"/>
      <c r="F46" s="540"/>
      <c r="G46" s="540"/>
      <c r="H46" s="540"/>
      <c r="I46" s="540"/>
      <c r="J46" s="540"/>
      <c r="K46" s="540"/>
      <c r="L46" s="540"/>
      <c r="M46" s="540"/>
      <c r="N46" s="540"/>
      <c r="O46" s="540"/>
      <c r="P46" s="540"/>
      <c r="Q46" s="540"/>
      <c r="R46" s="540"/>
      <c r="S46" s="540"/>
      <c r="T46" s="540"/>
      <c r="U46" s="540"/>
      <c r="V46" s="540"/>
      <c r="W46" s="540"/>
      <c r="X46" s="540"/>
      <c r="Y46" s="540"/>
      <c r="Z46" s="540"/>
      <c r="AA46" s="540"/>
      <c r="AB46" s="540"/>
      <c r="AC46" s="540"/>
      <c r="AD46" s="540"/>
      <c r="AE46" s="540"/>
      <c r="AF46" s="541"/>
      <c r="AG46" s="539">
        <f>AA_049_DATOS_FIADORES_RFC</f>
        <v>0</v>
      </c>
      <c r="AH46" s="540"/>
      <c r="AI46" s="540"/>
      <c r="AJ46" s="540"/>
      <c r="AK46" s="541"/>
    </row>
    <row r="47" spans="1:37" s="193" customFormat="1" ht="10.5" customHeight="1">
      <c r="A47" s="188"/>
      <c r="B47" s="201" t="s">
        <v>143</v>
      </c>
      <c r="C47" s="202"/>
      <c r="D47" s="202"/>
      <c r="E47" s="202" t="s">
        <v>144</v>
      </c>
      <c r="F47" s="202"/>
      <c r="G47" s="202"/>
      <c r="H47" s="202"/>
      <c r="I47" s="202"/>
      <c r="J47" s="202"/>
      <c r="K47" s="202"/>
      <c r="L47" s="202"/>
      <c r="M47" s="202"/>
      <c r="N47" s="202"/>
      <c r="O47" s="202"/>
      <c r="P47" s="202"/>
      <c r="Q47" s="202"/>
      <c r="R47" s="202"/>
      <c r="S47" s="202"/>
      <c r="T47" s="202"/>
      <c r="U47" s="201" t="s">
        <v>145</v>
      </c>
      <c r="V47" s="202"/>
      <c r="W47" s="202"/>
      <c r="X47" s="202"/>
      <c r="Y47" s="202"/>
      <c r="Z47" s="202"/>
      <c r="AA47" s="202"/>
      <c r="AB47" s="202"/>
      <c r="AC47" s="202"/>
      <c r="AD47" s="202"/>
      <c r="AE47" s="202"/>
      <c r="AF47" s="202"/>
      <c r="AG47" s="202"/>
      <c r="AH47" s="202"/>
      <c r="AI47" s="202"/>
      <c r="AJ47" s="202"/>
      <c r="AK47" s="203"/>
    </row>
    <row r="48" spans="1:37" s="193" customFormat="1" ht="10.5" customHeight="1">
      <c r="A48" s="188"/>
      <c r="B48" s="539">
        <f>AA_050_DATOS_FIADORES_DOMICILIO_CALLE_NÚMERO</f>
        <v>0</v>
      </c>
      <c r="C48" s="540"/>
      <c r="D48" s="540"/>
      <c r="E48" s="540"/>
      <c r="F48" s="540"/>
      <c r="G48" s="540"/>
      <c r="H48" s="540"/>
      <c r="I48" s="540"/>
      <c r="J48" s="540"/>
      <c r="K48" s="540"/>
      <c r="L48" s="540"/>
      <c r="M48" s="540"/>
      <c r="N48" s="540"/>
      <c r="O48" s="540"/>
      <c r="P48" s="540"/>
      <c r="Q48" s="540"/>
      <c r="R48" s="540"/>
      <c r="S48" s="540"/>
      <c r="T48" s="541"/>
      <c r="U48" s="539">
        <f>AA_051_DATOS_FIADORES_COLONIA</f>
        <v>0</v>
      </c>
      <c r="V48" s="540"/>
      <c r="W48" s="540"/>
      <c r="X48" s="540"/>
      <c r="Y48" s="540"/>
      <c r="Z48" s="540"/>
      <c r="AA48" s="540"/>
      <c r="AB48" s="540"/>
      <c r="AC48" s="540"/>
      <c r="AD48" s="540"/>
      <c r="AE48" s="540"/>
      <c r="AF48" s="540"/>
      <c r="AG48" s="540"/>
      <c r="AH48" s="540"/>
      <c r="AI48" s="540"/>
      <c r="AJ48" s="540"/>
      <c r="AK48" s="541"/>
    </row>
    <row r="49" spans="1:37" s="193" customFormat="1" ht="10.5" customHeight="1">
      <c r="A49" s="188"/>
      <c r="B49" s="201" t="s">
        <v>146</v>
      </c>
      <c r="C49" s="202"/>
      <c r="D49" s="202"/>
      <c r="E49" s="202"/>
      <c r="F49" s="202"/>
      <c r="G49" s="202"/>
      <c r="H49" s="202"/>
      <c r="I49" s="195"/>
      <c r="J49" s="201" t="s">
        <v>147</v>
      </c>
      <c r="K49" s="195"/>
      <c r="L49" s="195"/>
      <c r="P49" s="202"/>
      <c r="Q49" s="194" t="s">
        <v>152</v>
      </c>
      <c r="S49" s="202"/>
      <c r="T49" s="202"/>
      <c r="V49" s="201" t="s">
        <v>153</v>
      </c>
      <c r="W49" s="202"/>
      <c r="X49" s="202"/>
      <c r="Y49" s="202"/>
      <c r="AA49" s="201" t="s">
        <v>154</v>
      </c>
      <c r="AB49" s="202"/>
      <c r="AC49" s="203"/>
      <c r="AD49" s="194" t="s">
        <v>155</v>
      </c>
      <c r="AE49" s="195"/>
      <c r="AF49" s="195"/>
      <c r="AG49" s="203"/>
      <c r="AH49" s="202" t="s">
        <v>156</v>
      </c>
      <c r="AI49" s="202"/>
      <c r="AJ49" s="202"/>
      <c r="AK49" s="203"/>
    </row>
    <row r="50" spans="1:37" s="193" customFormat="1" ht="10.5" customHeight="1">
      <c r="A50" s="188"/>
      <c r="B50" s="539">
        <f>AA_052_DATOS_FIADORES_POBLACIÓN</f>
        <v>0</v>
      </c>
      <c r="C50" s="540"/>
      <c r="D50" s="540"/>
      <c r="E50" s="540"/>
      <c r="F50" s="540"/>
      <c r="G50" s="540"/>
      <c r="H50" s="540"/>
      <c r="I50" s="541"/>
      <c r="J50" s="539">
        <f>AA_053_DATOS_FIADORES_ESTADO</f>
        <v>0</v>
      </c>
      <c r="K50" s="540"/>
      <c r="L50" s="540"/>
      <c r="M50" s="540"/>
      <c r="N50" s="540"/>
      <c r="O50" s="540"/>
      <c r="P50" s="541"/>
      <c r="Q50" s="539">
        <f>AA_054_DATOS_FIADORES_NACIONALIDAD</f>
        <v>0</v>
      </c>
      <c r="R50" s="540"/>
      <c r="S50" s="540"/>
      <c r="T50" s="540"/>
      <c r="U50" s="541"/>
      <c r="V50" s="539">
        <f>AA_055_DATOS_FIADORES_ORIGINARIO</f>
        <v>0</v>
      </c>
      <c r="W50" s="540"/>
      <c r="X50" s="540"/>
      <c r="Y50" s="540"/>
      <c r="Z50" s="541"/>
      <c r="AA50" s="542">
        <f>AA_056_DATOS_FIADORES_EDAD</f>
        <v>0</v>
      </c>
      <c r="AB50" s="543"/>
      <c r="AC50" s="544"/>
      <c r="AD50" s="539">
        <f>AA_057_DATOS_FIADORES_ESTADO_CIVIL</f>
        <v>0</v>
      </c>
      <c r="AE50" s="540"/>
      <c r="AF50" s="540"/>
      <c r="AG50" s="541"/>
      <c r="AH50" s="539">
        <f>AA_058_DATOS_FIADORES_TELEFONO</f>
        <v>0</v>
      </c>
      <c r="AI50" s="540"/>
      <c r="AJ50" s="540"/>
      <c r="AK50" s="541"/>
    </row>
    <row r="51" spans="1:37" s="193" customFormat="1" ht="10.5" customHeight="1">
      <c r="A51" s="188"/>
      <c r="B51" s="201" t="s">
        <v>157</v>
      </c>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202"/>
      <c r="AF51" s="202"/>
      <c r="AG51" s="201" t="s">
        <v>151</v>
      </c>
      <c r="AH51" s="202"/>
      <c r="AI51" s="202"/>
      <c r="AJ51" s="202"/>
      <c r="AK51" s="203"/>
    </row>
    <row r="52" spans="1:37" s="193" customFormat="1" ht="10.5" customHeight="1">
      <c r="A52" s="188"/>
      <c r="B52" s="539">
        <f>AA_059_DATOS_FIADORES_NOMBRE_DEL_FIADOR_SOLIDARIO_TRES</f>
        <v>0</v>
      </c>
      <c r="C52" s="540"/>
      <c r="D52" s="540"/>
      <c r="E52" s="540"/>
      <c r="F52" s="540"/>
      <c r="G52" s="540"/>
      <c r="H52" s="540"/>
      <c r="I52" s="540"/>
      <c r="J52" s="540"/>
      <c r="K52" s="540"/>
      <c r="L52" s="540"/>
      <c r="M52" s="540"/>
      <c r="N52" s="540"/>
      <c r="O52" s="540"/>
      <c r="P52" s="540"/>
      <c r="Q52" s="540"/>
      <c r="R52" s="540"/>
      <c r="S52" s="540"/>
      <c r="T52" s="540"/>
      <c r="U52" s="540"/>
      <c r="V52" s="540"/>
      <c r="W52" s="540"/>
      <c r="X52" s="540"/>
      <c r="Y52" s="540"/>
      <c r="Z52" s="540"/>
      <c r="AA52" s="540"/>
      <c r="AB52" s="540"/>
      <c r="AC52" s="540"/>
      <c r="AD52" s="540"/>
      <c r="AE52" s="540"/>
      <c r="AF52" s="541"/>
      <c r="AG52" s="539">
        <f>AA_060_DATOS_FIADORES_RFC</f>
        <v>0</v>
      </c>
      <c r="AH52" s="540"/>
      <c r="AI52" s="540"/>
      <c r="AJ52" s="540"/>
      <c r="AK52" s="541"/>
    </row>
    <row r="53" spans="1:37" s="193" customFormat="1" ht="10.5" customHeight="1">
      <c r="A53" s="188"/>
      <c r="B53" s="201" t="s">
        <v>143</v>
      </c>
      <c r="C53" s="202"/>
      <c r="D53" s="202"/>
      <c r="E53" s="202" t="s">
        <v>144</v>
      </c>
      <c r="F53" s="202"/>
      <c r="G53" s="202"/>
      <c r="H53" s="202"/>
      <c r="I53" s="202"/>
      <c r="J53" s="202"/>
      <c r="K53" s="202"/>
      <c r="L53" s="202"/>
      <c r="M53" s="202"/>
      <c r="N53" s="202"/>
      <c r="O53" s="202"/>
      <c r="P53" s="202"/>
      <c r="Q53" s="202"/>
      <c r="R53" s="202"/>
      <c r="S53" s="202"/>
      <c r="T53" s="202"/>
      <c r="U53" s="201" t="s">
        <v>145</v>
      </c>
      <c r="V53" s="202"/>
      <c r="W53" s="202"/>
      <c r="X53" s="202"/>
      <c r="Y53" s="202"/>
      <c r="Z53" s="202"/>
      <c r="AA53" s="202"/>
      <c r="AB53" s="202"/>
      <c r="AC53" s="202"/>
      <c r="AD53" s="202"/>
      <c r="AE53" s="202"/>
      <c r="AF53" s="202"/>
      <c r="AG53" s="202"/>
      <c r="AH53" s="202"/>
      <c r="AI53" s="202"/>
      <c r="AJ53" s="202"/>
      <c r="AK53" s="203"/>
    </row>
    <row r="54" spans="1:37" s="193" customFormat="1" ht="10.5" customHeight="1">
      <c r="A54" s="188"/>
      <c r="B54" s="622">
        <f>AA_061_DATOS_FIADORES_DOMICILIO_CALLE_NÚMERO</f>
        <v>0</v>
      </c>
      <c r="C54" s="623"/>
      <c r="D54" s="623"/>
      <c r="E54" s="623"/>
      <c r="F54" s="623"/>
      <c r="G54" s="623"/>
      <c r="H54" s="623"/>
      <c r="I54" s="623"/>
      <c r="J54" s="623"/>
      <c r="K54" s="623"/>
      <c r="L54" s="623"/>
      <c r="M54" s="623"/>
      <c r="N54" s="623"/>
      <c r="O54" s="623"/>
      <c r="P54" s="623"/>
      <c r="Q54" s="623"/>
      <c r="R54" s="623"/>
      <c r="S54" s="623"/>
      <c r="T54" s="624"/>
      <c r="U54" s="622">
        <f>AA_062_DATOS_FIADORES_COLONIA</f>
        <v>0</v>
      </c>
      <c r="V54" s="623"/>
      <c r="W54" s="623"/>
      <c r="X54" s="623"/>
      <c r="Y54" s="623"/>
      <c r="Z54" s="623"/>
      <c r="AA54" s="623"/>
      <c r="AB54" s="623"/>
      <c r="AC54" s="623"/>
      <c r="AD54" s="623"/>
      <c r="AE54" s="623"/>
      <c r="AF54" s="623"/>
      <c r="AG54" s="623"/>
      <c r="AH54" s="623"/>
      <c r="AI54" s="623"/>
      <c r="AJ54" s="623"/>
      <c r="AK54" s="624"/>
    </row>
    <row r="55" spans="1:37" s="193" customFormat="1" ht="10.5" customHeight="1">
      <c r="A55" s="188"/>
      <c r="B55" s="206" t="s">
        <v>146</v>
      </c>
      <c r="C55" s="207"/>
      <c r="D55" s="207"/>
      <c r="E55" s="207"/>
      <c r="F55" s="207"/>
      <c r="G55" s="207"/>
      <c r="H55" s="207"/>
      <c r="I55" s="207"/>
      <c r="J55" s="208" t="s">
        <v>147</v>
      </c>
      <c r="K55" s="207"/>
      <c r="L55" s="207"/>
      <c r="M55" s="209"/>
      <c r="N55" s="209"/>
      <c r="O55" s="209"/>
      <c r="P55" s="207"/>
      <c r="Q55" s="208" t="s">
        <v>152</v>
      </c>
      <c r="R55" s="209"/>
      <c r="S55" s="207"/>
      <c r="T55" s="207"/>
      <c r="U55" s="209"/>
      <c r="V55" s="208" t="s">
        <v>153</v>
      </c>
      <c r="W55" s="207"/>
      <c r="X55" s="207"/>
      <c r="Y55" s="207"/>
      <c r="Z55" s="209"/>
      <c r="AA55" s="208" t="s">
        <v>154</v>
      </c>
      <c r="AB55" s="207"/>
      <c r="AC55" s="210"/>
      <c r="AD55" s="208" t="s">
        <v>155</v>
      </c>
      <c r="AE55" s="207"/>
      <c r="AF55" s="207"/>
      <c r="AG55" s="210"/>
      <c r="AH55" s="207" t="s">
        <v>156</v>
      </c>
      <c r="AI55" s="207"/>
      <c r="AJ55" s="207"/>
      <c r="AK55" s="211"/>
    </row>
    <row r="56" spans="1:37" s="193" customFormat="1" ht="10.5" customHeight="1">
      <c r="A56" s="188"/>
      <c r="B56" s="625">
        <f>AA_063_DATOS_FIADORES_POBLACIÓN</f>
        <v>0</v>
      </c>
      <c r="C56" s="623"/>
      <c r="D56" s="623"/>
      <c r="E56" s="623"/>
      <c r="F56" s="623"/>
      <c r="G56" s="623"/>
      <c r="H56" s="623"/>
      <c r="I56" s="624"/>
      <c r="J56" s="622">
        <f>AA_064_DATOS_FIADORES_ESTADO</f>
        <v>0</v>
      </c>
      <c r="K56" s="623"/>
      <c r="L56" s="623"/>
      <c r="M56" s="623"/>
      <c r="N56" s="623"/>
      <c r="O56" s="623"/>
      <c r="P56" s="624"/>
      <c r="Q56" s="622">
        <f>AA_065_DATOS_FIADORES_NACIONALIDAD</f>
        <v>0</v>
      </c>
      <c r="R56" s="623"/>
      <c r="S56" s="623"/>
      <c r="T56" s="623"/>
      <c r="U56" s="624"/>
      <c r="V56" s="622">
        <f>AA_066_DATOS_FIADORES_ORIGINARIO</f>
        <v>0</v>
      </c>
      <c r="W56" s="623"/>
      <c r="X56" s="623"/>
      <c r="Y56" s="623"/>
      <c r="Z56" s="624"/>
      <c r="AA56" s="626">
        <f>AA_067_DATOS_FIADORES_EDAD</f>
        <v>0</v>
      </c>
      <c r="AB56" s="627"/>
      <c r="AC56" s="628"/>
      <c r="AD56" s="622">
        <f>AA_068_DATOS_FIADORES_ESTADO_CIVIL</f>
        <v>0</v>
      </c>
      <c r="AE56" s="623"/>
      <c r="AF56" s="623"/>
      <c r="AG56" s="624"/>
      <c r="AH56" s="622">
        <f>AA_069_DATOS_FIADORES_TELEFONO</f>
        <v>0</v>
      </c>
      <c r="AI56" s="623"/>
      <c r="AJ56" s="623"/>
      <c r="AK56" s="629"/>
    </row>
    <row r="57" spans="1:37" s="199" customFormat="1" ht="2.25" customHeight="1">
      <c r="B57" s="182"/>
      <c r="C57" s="182"/>
      <c r="D57" s="182"/>
      <c r="E57" s="182"/>
      <c r="F57" s="182"/>
      <c r="G57" s="182"/>
      <c r="H57" s="182"/>
      <c r="I57" s="182"/>
      <c r="J57" s="182"/>
      <c r="K57" s="182"/>
      <c r="L57" s="182"/>
      <c r="M57" s="182"/>
      <c r="N57" s="182"/>
      <c r="O57" s="182"/>
      <c r="P57" s="182"/>
      <c r="Q57" s="182"/>
      <c r="R57" s="182"/>
      <c r="S57" s="182"/>
      <c r="T57" s="182"/>
      <c r="U57" s="182"/>
      <c r="V57" s="182"/>
      <c r="W57" s="182"/>
      <c r="X57" s="182"/>
      <c r="Y57" s="182"/>
      <c r="Z57" s="182"/>
      <c r="AA57" s="182"/>
      <c r="AB57" s="182"/>
      <c r="AC57" s="182"/>
      <c r="AD57" s="182"/>
      <c r="AE57" s="182"/>
      <c r="AF57" s="182"/>
      <c r="AG57" s="182"/>
      <c r="AH57" s="182"/>
      <c r="AI57" s="182"/>
      <c r="AJ57" s="182"/>
      <c r="AK57" s="182"/>
    </row>
    <row r="58" spans="1:37" s="199" customFormat="1" ht="9.6">
      <c r="B58" s="200" t="s">
        <v>161</v>
      </c>
      <c r="C58" s="182"/>
      <c r="D58" s="182"/>
      <c r="E58" s="182"/>
      <c r="F58" s="182"/>
      <c r="G58" s="182"/>
      <c r="H58" s="182"/>
      <c r="I58" s="182"/>
      <c r="J58" s="182"/>
      <c r="K58" s="182"/>
      <c r="L58" s="182"/>
      <c r="M58" s="182"/>
      <c r="N58" s="182"/>
      <c r="O58" s="182"/>
      <c r="P58" s="182"/>
      <c r="Q58" s="182"/>
      <c r="R58" s="182"/>
      <c r="S58" s="182"/>
      <c r="T58" s="182"/>
      <c r="U58" s="182"/>
      <c r="V58" s="182"/>
      <c r="W58" s="182"/>
      <c r="X58" s="182"/>
      <c r="Y58" s="182"/>
      <c r="Z58" s="182"/>
      <c r="AA58" s="182"/>
      <c r="AB58" s="182"/>
      <c r="AC58" s="182"/>
      <c r="AD58" s="182"/>
      <c r="AE58" s="182"/>
      <c r="AF58" s="182"/>
      <c r="AG58" s="182"/>
      <c r="AH58" s="182"/>
      <c r="AI58" s="182"/>
      <c r="AJ58" s="182"/>
      <c r="AK58" s="182"/>
    </row>
    <row r="59" spans="1:37" s="193" customFormat="1" ht="10.5" customHeight="1">
      <c r="A59" s="188"/>
      <c r="B59" s="201" t="str">
        <f>B31</f>
        <v>NOMBRE  (Nombre(s) Apellidos Paterno y Materno)</v>
      </c>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202"/>
      <c r="AF59" s="202"/>
      <c r="AG59" s="202"/>
      <c r="AH59" s="202"/>
      <c r="AI59" s="202"/>
      <c r="AJ59" s="202"/>
      <c r="AK59" s="203"/>
    </row>
    <row r="60" spans="1:37" s="193" customFormat="1" ht="10.5" customHeight="1">
      <c r="A60" s="188"/>
      <c r="B60" s="539">
        <f>AA_070_DATOS_APODERADOS_FIADOR_NOMBRE_APODERADO_DEL_FIADOR_SOLIDARIO_UNO</f>
        <v>0</v>
      </c>
      <c r="C60" s="540"/>
      <c r="D60" s="540"/>
      <c r="E60" s="540"/>
      <c r="F60" s="540"/>
      <c r="G60" s="540"/>
      <c r="H60" s="540"/>
      <c r="I60" s="540"/>
      <c r="J60" s="540"/>
      <c r="K60" s="540"/>
      <c r="L60" s="540"/>
      <c r="M60" s="540"/>
      <c r="N60" s="540"/>
      <c r="O60" s="540"/>
      <c r="P60" s="540"/>
      <c r="Q60" s="540"/>
      <c r="R60" s="540"/>
      <c r="S60" s="540"/>
      <c r="T60" s="540"/>
      <c r="U60" s="540"/>
      <c r="V60" s="540"/>
      <c r="W60" s="540"/>
      <c r="X60" s="540"/>
      <c r="Y60" s="540"/>
      <c r="Z60" s="540"/>
      <c r="AA60" s="540"/>
      <c r="AB60" s="540"/>
      <c r="AC60" s="540"/>
      <c r="AD60" s="540"/>
      <c r="AE60" s="540"/>
      <c r="AF60" s="540"/>
      <c r="AG60" s="540"/>
      <c r="AH60" s="540"/>
      <c r="AI60" s="540"/>
      <c r="AJ60" s="540"/>
      <c r="AK60" s="541"/>
    </row>
    <row r="61" spans="1:37" s="193" customFormat="1" ht="10.5" customHeight="1">
      <c r="A61" s="188"/>
      <c r="B61" s="201" t="str">
        <f>B59</f>
        <v>NOMBRE  (Nombre(s) Apellidos Paterno y Materno)</v>
      </c>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3"/>
    </row>
    <row r="62" spans="1:37" s="193" customFormat="1" ht="10.5" customHeight="1">
      <c r="A62" s="188"/>
      <c r="B62" s="539">
        <f>AA_071_DATOS_APODERADOS_FIADOR_NOMBRE_APODERADO_DEL_FIADOR_SOLIDARIO_DOS</f>
        <v>0</v>
      </c>
      <c r="C62" s="540"/>
      <c r="D62" s="540"/>
      <c r="E62" s="540"/>
      <c r="F62" s="540"/>
      <c r="G62" s="540"/>
      <c r="H62" s="540"/>
      <c r="I62" s="540"/>
      <c r="J62" s="540"/>
      <c r="K62" s="540"/>
      <c r="L62" s="540"/>
      <c r="M62" s="540"/>
      <c r="N62" s="540"/>
      <c r="O62" s="540"/>
      <c r="P62" s="540"/>
      <c r="Q62" s="540"/>
      <c r="R62" s="540"/>
      <c r="S62" s="540"/>
      <c r="T62" s="540"/>
      <c r="U62" s="540"/>
      <c r="V62" s="540"/>
      <c r="W62" s="540"/>
      <c r="X62" s="540"/>
      <c r="Y62" s="540"/>
      <c r="Z62" s="540"/>
      <c r="AA62" s="540"/>
      <c r="AB62" s="540"/>
      <c r="AC62" s="540"/>
      <c r="AD62" s="540"/>
      <c r="AE62" s="540"/>
      <c r="AF62" s="540"/>
      <c r="AG62" s="540"/>
      <c r="AH62" s="540"/>
      <c r="AI62" s="540"/>
      <c r="AJ62" s="540"/>
      <c r="AK62" s="541"/>
    </row>
    <row r="63" spans="1:37" s="193" customFormat="1" ht="10.5" customHeight="1">
      <c r="A63" s="188"/>
      <c r="B63" s="201" t="str">
        <f>B61</f>
        <v>NOMBRE  (Nombre(s) Apellidos Paterno y Materno)</v>
      </c>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3"/>
    </row>
    <row r="64" spans="1:37" s="193" customFormat="1" ht="10.5" customHeight="1">
      <c r="A64" s="188"/>
      <c r="B64" s="769">
        <f>AA_072_DATOS_APODERADOS_FIADOR_NOMBRE_APODERADO_DEL_FIADOR_SOLIDARIO_TRES</f>
        <v>0</v>
      </c>
      <c r="C64" s="762"/>
      <c r="D64" s="762"/>
      <c r="E64" s="762"/>
      <c r="F64" s="762"/>
      <c r="G64" s="762"/>
      <c r="H64" s="762"/>
      <c r="I64" s="762"/>
      <c r="J64" s="762"/>
      <c r="K64" s="762"/>
      <c r="L64" s="762"/>
      <c r="M64" s="762"/>
      <c r="N64" s="762"/>
      <c r="O64" s="762"/>
      <c r="P64" s="762"/>
      <c r="Q64" s="762"/>
      <c r="R64" s="762"/>
      <c r="S64" s="762"/>
      <c r="T64" s="762"/>
      <c r="U64" s="762"/>
      <c r="V64" s="762"/>
      <c r="W64" s="762"/>
      <c r="X64" s="762"/>
      <c r="Y64" s="762"/>
      <c r="Z64" s="762"/>
      <c r="AA64" s="762"/>
      <c r="AB64" s="762"/>
      <c r="AC64" s="762"/>
      <c r="AD64" s="762"/>
      <c r="AE64" s="762"/>
      <c r="AF64" s="762"/>
      <c r="AG64" s="762"/>
      <c r="AH64" s="762"/>
      <c r="AI64" s="762"/>
      <c r="AJ64" s="762"/>
      <c r="AK64" s="770"/>
    </row>
    <row r="65" spans="2:37" s="199" customFormat="1" ht="2.25" customHeight="1">
      <c r="B65" s="771"/>
      <c r="C65" s="546"/>
      <c r="D65" s="546"/>
      <c r="E65" s="546"/>
      <c r="F65" s="546"/>
      <c r="G65" s="546"/>
      <c r="H65" s="546"/>
      <c r="I65" s="546"/>
      <c r="J65" s="546"/>
      <c r="K65" s="546"/>
      <c r="L65" s="546"/>
      <c r="M65" s="546"/>
      <c r="N65" s="546"/>
      <c r="O65" s="546"/>
      <c r="P65" s="546"/>
      <c r="Q65" s="546"/>
      <c r="R65" s="546"/>
      <c r="S65" s="546"/>
      <c r="T65" s="546"/>
      <c r="U65" s="546"/>
      <c r="V65" s="546"/>
      <c r="W65" s="546"/>
      <c r="X65" s="546"/>
      <c r="Y65" s="546"/>
      <c r="Z65" s="546"/>
      <c r="AA65" s="546"/>
      <c r="AB65" s="546"/>
      <c r="AC65" s="546"/>
      <c r="AD65" s="546"/>
      <c r="AE65" s="546"/>
      <c r="AF65" s="546"/>
      <c r="AG65" s="546"/>
      <c r="AH65" s="546"/>
      <c r="AI65" s="546"/>
      <c r="AJ65" s="546"/>
      <c r="AK65" s="642"/>
    </row>
    <row r="66" spans="2:37" s="199" customFormat="1" ht="9.6">
      <c r="B66" s="200" t="s">
        <v>162</v>
      </c>
      <c r="C66" s="182"/>
      <c r="D66" s="182"/>
      <c r="E66" s="182"/>
      <c r="F66" s="182"/>
      <c r="G66" s="182"/>
      <c r="H66" s="182"/>
      <c r="I66" s="182"/>
      <c r="J66" s="182"/>
      <c r="K66" s="182"/>
      <c r="L66" s="182"/>
      <c r="M66" s="182"/>
      <c r="N66" s="182"/>
      <c r="O66" s="182"/>
      <c r="P66" s="182"/>
      <c r="Q66" s="182"/>
      <c r="R66" s="182"/>
      <c r="S66" s="182"/>
      <c r="T66" s="182"/>
      <c r="U66" s="182"/>
      <c r="V66" s="182"/>
      <c r="W66" s="182"/>
      <c r="X66" s="182"/>
      <c r="Y66" s="182"/>
      <c r="Z66" s="182"/>
      <c r="AA66" s="182"/>
      <c r="AB66" s="182"/>
      <c r="AC66" s="182"/>
      <c r="AD66" s="182"/>
      <c r="AE66" s="182"/>
      <c r="AF66" s="182"/>
      <c r="AG66" s="182"/>
      <c r="AH66" s="182"/>
      <c r="AI66" s="182"/>
      <c r="AJ66" s="182"/>
      <c r="AK66" s="182"/>
    </row>
    <row r="67" spans="2:37" s="193" customFormat="1" ht="10.5" customHeight="1">
      <c r="B67" s="201" t="s">
        <v>163</v>
      </c>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202"/>
      <c r="AF67" s="202"/>
      <c r="AG67" s="202"/>
      <c r="AH67" s="202"/>
      <c r="AI67" s="202"/>
      <c r="AJ67" s="202"/>
      <c r="AK67" s="214"/>
    </row>
    <row r="68" spans="2:37" s="216" customFormat="1" ht="10.5" customHeight="1">
      <c r="B68" s="679">
        <f>AA_073_CARACTERISTICAS_CREDITO_IMPORTE_NÚMERO_LETRA</f>
        <v>1000000</v>
      </c>
      <c r="C68" s="680"/>
      <c r="D68" s="680"/>
      <c r="E68" s="680"/>
      <c r="F68" s="680"/>
      <c r="G68" s="680"/>
      <c r="H68" s="680"/>
      <c r="I68" s="680"/>
      <c r="J68" s="680"/>
      <c r="K68" s="680"/>
      <c r="L68" s="680"/>
      <c r="M68" s="681" t="str">
        <f>AA_106_CARACTERISTICAS_CREDITO_IMPORTE_NÚMERO_LETRA</f>
        <v>(UN MILLON DE PESOS 00/100 M.N.)</v>
      </c>
      <c r="N68" s="681"/>
      <c r="O68" s="681"/>
      <c r="P68" s="681"/>
      <c r="Q68" s="681"/>
      <c r="R68" s="681"/>
      <c r="S68" s="681"/>
      <c r="T68" s="681"/>
      <c r="U68" s="681"/>
      <c r="V68" s="681"/>
      <c r="W68" s="681"/>
      <c r="X68" s="681"/>
      <c r="Y68" s="681"/>
      <c r="Z68" s="681"/>
      <c r="AA68" s="681"/>
      <c r="AB68" s="681"/>
      <c r="AC68" s="681"/>
      <c r="AD68" s="681"/>
      <c r="AE68" s="681"/>
      <c r="AF68" s="681"/>
      <c r="AG68" s="681"/>
      <c r="AH68" s="681"/>
      <c r="AI68" s="681"/>
      <c r="AJ68" s="681"/>
      <c r="AK68" s="682"/>
    </row>
    <row r="69" spans="2:37" s="193" customFormat="1" ht="10.5" customHeight="1">
      <c r="B69" s="764" t="s">
        <v>164</v>
      </c>
      <c r="C69" s="765"/>
      <c r="D69" s="765"/>
      <c r="E69" s="765"/>
      <c r="F69" s="766"/>
      <c r="G69" s="764" t="s">
        <v>165</v>
      </c>
      <c r="H69" s="765"/>
      <c r="I69" s="765"/>
      <c r="J69" s="765"/>
      <c r="K69" s="765"/>
      <c r="L69" s="766"/>
      <c r="M69" s="764" t="s">
        <v>166</v>
      </c>
      <c r="N69" s="765"/>
      <c r="O69" s="765"/>
      <c r="P69" s="765"/>
      <c r="Q69" s="765"/>
      <c r="R69" s="766"/>
      <c r="S69" s="764" t="s">
        <v>167</v>
      </c>
      <c r="T69" s="765"/>
      <c r="U69" s="765"/>
      <c r="V69" s="765"/>
      <c r="W69" s="765"/>
      <c r="X69" s="765"/>
      <c r="Y69" s="766"/>
      <c r="Z69" s="764" t="s">
        <v>341</v>
      </c>
      <c r="AA69" s="765"/>
      <c r="AB69" s="765"/>
      <c r="AC69" s="765"/>
      <c r="AD69" s="765"/>
      <c r="AE69" s="765"/>
      <c r="AF69" s="765"/>
      <c r="AG69" s="766"/>
      <c r="AH69" s="764" t="s">
        <v>168</v>
      </c>
      <c r="AI69" s="765"/>
      <c r="AJ69" s="765"/>
      <c r="AK69" s="766"/>
    </row>
    <row r="70" spans="2:37" s="193" customFormat="1" ht="10.5" customHeight="1">
      <c r="B70" s="194"/>
      <c r="C70" s="195"/>
      <c r="D70" s="195"/>
      <c r="E70" s="195"/>
      <c r="F70" s="195"/>
      <c r="G70" s="767" t="s">
        <v>169</v>
      </c>
      <c r="H70" s="664"/>
      <c r="I70" s="664"/>
      <c r="J70" s="664"/>
      <c r="K70" s="664"/>
      <c r="L70" s="768"/>
      <c r="M70" s="194"/>
      <c r="N70" s="195"/>
      <c r="O70" s="195"/>
      <c r="P70" s="195"/>
      <c r="Q70" s="195"/>
      <c r="R70" s="195"/>
      <c r="S70" s="777">
        <f>IF(AA_077_CARACTERISTICAS_CREDITO_COMISIÓN_POR_APERTURA=0,"0",AA_077_CARACTERISTICAS_CREDITO_COMISIÓN_POR_APERTURA)</f>
        <v>0.02</v>
      </c>
      <c r="T70" s="656"/>
      <c r="U70" s="656"/>
      <c r="V70" s="656"/>
      <c r="W70" s="656"/>
      <c r="X70" s="656"/>
      <c r="Y70" s="778"/>
      <c r="Z70" s="781">
        <f>IF(AA_084_CARACTERISTICAS_CREDITO_PORCENTAJE_DE_COMISIÓN_POR_PAGOS_ANTICIPADOS=0,"0.00%",AA_084_CARACTERISTICAS_CREDITO_PORCENTAJE_DE_COMISIÓN_POR_PAGOS_ANTICIPADOS)</f>
        <v>0.1</v>
      </c>
      <c r="AA70" s="656"/>
      <c r="AB70" s="656"/>
      <c r="AC70" s="656"/>
      <c r="AD70" s="656"/>
      <c r="AE70" s="656"/>
      <c r="AF70" s="656"/>
      <c r="AG70" s="778"/>
      <c r="AH70" s="783">
        <f>AA_078_CARACTERISTICAS_CREDITO_CAT_SIN_IVA</f>
        <v>0.17247098775006298</v>
      </c>
      <c r="AI70" s="644"/>
      <c r="AJ70" s="481"/>
      <c r="AK70" s="483"/>
    </row>
    <row r="71" spans="2:37" s="193" customFormat="1" ht="10.5" customHeight="1">
      <c r="B71" s="772">
        <f>AA_074_CARACTERISTICAS_CREDITO_PLAZO_DEL_CRÉDITO_MESES</f>
        <v>60</v>
      </c>
      <c r="C71" s="773"/>
      <c r="D71" s="773"/>
      <c r="E71" s="195" t="s">
        <v>170</v>
      </c>
      <c r="F71" s="195"/>
      <c r="G71" s="774">
        <f>AA_075_CARACTERISTICAS_CREDITO_FECHA_DE_VENCIMIENTO</f>
        <v>42614</v>
      </c>
      <c r="H71" s="574"/>
      <c r="I71" s="574"/>
      <c r="J71" s="574"/>
      <c r="K71" s="574"/>
      <c r="L71" s="775"/>
      <c r="M71" s="776" t="str">
        <f>AA_076_CARACTERISTICAS_CREDITO_CUENTA_DE_CHEQUES</f>
        <v>161-25351-5</v>
      </c>
      <c r="N71" s="574"/>
      <c r="O71" s="574"/>
      <c r="P71" s="574"/>
      <c r="Q71" s="574"/>
      <c r="R71" s="574"/>
      <c r="S71" s="779"/>
      <c r="T71" s="659"/>
      <c r="U71" s="659"/>
      <c r="V71" s="659"/>
      <c r="W71" s="659"/>
      <c r="X71" s="659"/>
      <c r="Y71" s="780"/>
      <c r="Z71" s="782"/>
      <c r="AA71" s="659"/>
      <c r="AB71" s="659"/>
      <c r="AC71" s="659"/>
      <c r="AD71" s="659"/>
      <c r="AE71" s="659"/>
      <c r="AF71" s="659"/>
      <c r="AG71" s="780"/>
      <c r="AH71" s="784"/>
      <c r="AI71" s="646"/>
      <c r="AJ71" s="546" t="s">
        <v>96</v>
      </c>
      <c r="AK71" s="547"/>
    </row>
    <row r="72" spans="2:37" s="193" customFormat="1" ht="10.5" customHeight="1">
      <c r="B72" s="571" t="s">
        <v>171</v>
      </c>
      <c r="C72" s="572"/>
      <c r="D72" s="572"/>
      <c r="E72" s="572"/>
      <c r="F72" s="572"/>
      <c r="G72" s="572"/>
      <c r="H72" s="572"/>
      <c r="I72" s="676"/>
      <c r="J72" s="571" t="s">
        <v>172</v>
      </c>
      <c r="K72" s="572"/>
      <c r="L72" s="572"/>
      <c r="M72" s="572"/>
      <c r="N72" s="572"/>
      <c r="O72" s="572"/>
      <c r="P72" s="676"/>
      <c r="Q72" s="571" t="s">
        <v>173</v>
      </c>
      <c r="R72" s="572"/>
      <c r="S72" s="572"/>
      <c r="T72" s="572"/>
      <c r="U72" s="572"/>
      <c r="V72" s="572"/>
      <c r="W72" s="572"/>
      <c r="X72" s="676"/>
      <c r="Y72" s="571" t="s">
        <v>174</v>
      </c>
      <c r="Z72" s="572"/>
      <c r="AA72" s="572"/>
      <c r="AB72" s="572"/>
      <c r="AC72" s="572"/>
      <c r="AD72" s="572"/>
      <c r="AE72" s="572"/>
      <c r="AF72" s="572"/>
      <c r="AG72" s="572"/>
      <c r="AH72" s="572"/>
      <c r="AI72" s="572"/>
      <c r="AJ72" s="572"/>
      <c r="AK72" s="676"/>
    </row>
    <row r="73" spans="2:37" s="193" customFormat="1" ht="10.5" customHeight="1">
      <c r="B73" s="793">
        <f>IF(Combos!$C$22=2,"",AA_079_CARACTERISTICAS_CREDITO_PORCENTAJE_DE_INTERÉS_TASA_FIJA)</f>
        <v>0.15</v>
      </c>
      <c r="C73" s="794"/>
      <c r="D73" s="794"/>
      <c r="E73" s="794"/>
      <c r="F73" s="794"/>
      <c r="G73" s="794"/>
      <c r="H73" s="794"/>
      <c r="I73" s="795"/>
      <c r="J73" s="787" t="str">
        <f>IF(Combos!$C$22=1,"",IF(AA_080_CARACTERISTICAS_CREDITO_DIFERENCIAL_TASA_VARIABLE_TIIE=0,"0",AA_080_CARACTERISTICAS_CREDITO_DIFERENCIAL_TASA_VARIABLE_TIIE))</f>
        <v/>
      </c>
      <c r="K73" s="788"/>
      <c r="L73" s="788"/>
      <c r="M73" s="788"/>
      <c r="N73" s="788"/>
      <c r="O73" s="788"/>
      <c r="P73" s="789"/>
      <c r="Q73" s="790" t="str">
        <f>IF(AA_081_CARACTERISTICAS_CREDITO_MESES_DE_GRACIA_DE_CAPITAL=0,"0",AA_081_CARACTERISTICAS_CREDITO_MESES_DE_GRACIA_DE_CAPITAL)</f>
        <v>0</v>
      </c>
      <c r="R73" s="791"/>
      <c r="S73" s="791"/>
      <c r="T73" s="791"/>
      <c r="U73" s="791"/>
      <c r="V73" s="791"/>
      <c r="W73" s="791"/>
      <c r="X73" s="792"/>
      <c r="Y73" s="661">
        <f>AA_082_CARACTERISTICAS_CREDITO_DÍA_DE_PAGO_DE_CAPITAL_E_INTERESES_ORDINARIOS</f>
        <v>3</v>
      </c>
      <c r="Z73" s="631"/>
      <c r="AA73" s="631"/>
      <c r="AB73" s="631"/>
      <c r="AC73" s="631"/>
      <c r="AD73" s="631"/>
      <c r="AE73" s="631"/>
      <c r="AF73" s="631"/>
      <c r="AG73" s="785" t="s">
        <v>175</v>
      </c>
      <c r="AH73" s="785"/>
      <c r="AI73" s="785"/>
      <c r="AJ73" s="785"/>
      <c r="AK73" s="786"/>
    </row>
    <row r="74" spans="2:37" s="193" customFormat="1" ht="10.5" customHeight="1">
      <c r="B74" s="670" t="s">
        <v>176</v>
      </c>
      <c r="C74" s="671"/>
      <c r="D74" s="671"/>
      <c r="E74" s="671"/>
      <c r="F74" s="671"/>
      <c r="G74" s="671"/>
      <c r="H74" s="671"/>
      <c r="I74" s="671"/>
      <c r="J74" s="671"/>
      <c r="K74" s="666" t="str">
        <f>AA_083_CARACTERISTICAS_CREDITO_DESTINO_DEL_CRÉDITO</f>
        <v>Capital de Trabajo</v>
      </c>
      <c r="L74" s="666"/>
      <c r="M74" s="666"/>
      <c r="N74" s="666"/>
      <c r="O74" s="666"/>
      <c r="P74" s="666"/>
      <c r="Q74" s="666"/>
      <c r="R74" s="666"/>
      <c r="S74" s="666"/>
      <c r="T74" s="666"/>
      <c r="U74" s="666"/>
      <c r="V74" s="666"/>
      <c r="W74" s="666"/>
      <c r="X74" s="666"/>
      <c r="Y74" s="666"/>
      <c r="Z74" s="666"/>
      <c r="AA74" s="666"/>
      <c r="AB74" s="666"/>
      <c r="AC74" s="666"/>
      <c r="AD74" s="666"/>
      <c r="AE74" s="666"/>
      <c r="AF74" s="666"/>
      <c r="AG74" s="666"/>
      <c r="AH74" s="666"/>
      <c r="AI74" s="666"/>
      <c r="AJ74" s="666"/>
      <c r="AK74" s="667"/>
    </row>
    <row r="75" spans="2:37" s="193" customFormat="1" ht="10.5" customHeight="1">
      <c r="B75" s="672"/>
      <c r="C75" s="673"/>
      <c r="D75" s="673"/>
      <c r="E75" s="673"/>
      <c r="F75" s="673"/>
      <c r="G75" s="673"/>
      <c r="H75" s="673"/>
      <c r="I75" s="673"/>
      <c r="J75" s="673"/>
      <c r="K75" s="668"/>
      <c r="L75" s="668"/>
      <c r="M75" s="668"/>
      <c r="N75" s="668"/>
      <c r="O75" s="668"/>
      <c r="P75" s="668"/>
      <c r="Q75" s="668"/>
      <c r="R75" s="668"/>
      <c r="S75" s="668"/>
      <c r="T75" s="668"/>
      <c r="U75" s="668"/>
      <c r="V75" s="668"/>
      <c r="W75" s="668"/>
      <c r="X75" s="668"/>
      <c r="Y75" s="668"/>
      <c r="Z75" s="668"/>
      <c r="AA75" s="668"/>
      <c r="AB75" s="668"/>
      <c r="AC75" s="668"/>
      <c r="AD75" s="668"/>
      <c r="AE75" s="668"/>
      <c r="AF75" s="668"/>
      <c r="AG75" s="668"/>
      <c r="AH75" s="668"/>
      <c r="AI75" s="668"/>
      <c r="AJ75" s="668"/>
      <c r="AK75" s="669"/>
    </row>
    <row r="76" spans="2:37" s="199" customFormat="1" ht="11.25" customHeight="1">
      <c r="B76" s="182"/>
      <c r="C76" s="182"/>
      <c r="D76" s="182"/>
      <c r="E76" s="182"/>
      <c r="F76" s="182"/>
      <c r="G76" s="182"/>
      <c r="H76" s="182"/>
      <c r="I76" s="182"/>
      <c r="J76" s="182"/>
      <c r="K76" s="182"/>
      <c r="L76" s="182"/>
      <c r="M76" s="182"/>
      <c r="N76" s="182"/>
      <c r="O76" s="182"/>
      <c r="P76" s="182"/>
      <c r="Q76" s="182"/>
      <c r="R76" s="182"/>
      <c r="S76" s="182"/>
      <c r="T76" s="182"/>
      <c r="U76" s="182"/>
      <c r="V76" s="182"/>
      <c r="W76" s="182"/>
      <c r="X76" s="182"/>
      <c r="Y76" s="182"/>
      <c r="Z76" s="182"/>
      <c r="AA76" s="182"/>
      <c r="AB76" s="182"/>
      <c r="AI76" s="182"/>
      <c r="AJ76" s="182"/>
      <c r="AK76" s="182"/>
    </row>
    <row r="77" spans="2:37" s="199" customFormat="1" ht="9.6">
      <c r="B77" s="200" t="s">
        <v>177</v>
      </c>
      <c r="C77" s="182"/>
      <c r="D77" s="182"/>
      <c r="E77" s="182"/>
      <c r="F77" s="182"/>
      <c r="G77" s="182"/>
      <c r="H77" s="182"/>
      <c r="I77" s="182"/>
      <c r="J77" s="182"/>
      <c r="K77" s="182"/>
      <c r="L77" s="182"/>
      <c r="M77" s="182"/>
      <c r="N77" s="182"/>
      <c r="O77" s="182"/>
      <c r="P77" s="182"/>
      <c r="Q77" s="182"/>
      <c r="R77" s="182"/>
      <c r="S77" s="182"/>
      <c r="T77" s="182"/>
      <c r="U77" s="182"/>
      <c r="V77" s="182"/>
      <c r="W77" s="182"/>
      <c r="X77" s="182"/>
      <c r="Y77" s="182"/>
      <c r="Z77" s="182"/>
      <c r="AA77" s="182"/>
      <c r="AB77" s="182"/>
      <c r="AC77" s="182"/>
      <c r="AD77" s="182"/>
      <c r="AE77" s="182"/>
      <c r="AF77" s="182"/>
      <c r="AG77" s="182"/>
      <c r="AH77" s="182"/>
      <c r="AI77" s="182"/>
      <c r="AJ77" s="182"/>
      <c r="AK77" s="182"/>
    </row>
    <row r="78" spans="2:37" s="199" customFormat="1" ht="15.75" customHeight="1">
      <c r="B78" s="674" t="s">
        <v>178</v>
      </c>
      <c r="C78" s="675"/>
      <c r="D78" s="675"/>
      <c r="E78" s="675"/>
      <c r="F78" s="675"/>
      <c r="G78" s="675"/>
      <c r="H78" s="675"/>
      <c r="I78" s="675"/>
      <c r="J78" s="675"/>
      <c r="K78" s="675"/>
      <c r="L78" s="675"/>
      <c r="M78" s="675"/>
      <c r="N78" s="675"/>
      <c r="O78" s="675"/>
      <c r="P78" s="675"/>
      <c r="Q78" s="675"/>
      <c r="R78" s="675"/>
      <c r="S78" s="675"/>
      <c r="T78" s="675"/>
      <c r="U78" s="675"/>
      <c r="V78" s="675"/>
      <c r="W78" s="675"/>
      <c r="X78" s="675"/>
      <c r="Y78" s="675"/>
      <c r="Z78" s="675"/>
      <c r="AA78" s="675"/>
      <c r="AB78" s="675"/>
      <c r="AC78" s="675"/>
      <c r="AD78" s="675"/>
      <c r="AE78" s="675"/>
      <c r="AF78" s="675"/>
      <c r="AG78" s="675"/>
      <c r="AH78" s="675"/>
      <c r="AI78" s="675"/>
      <c r="AJ78" s="675"/>
      <c r="AK78" s="675"/>
    </row>
    <row r="79" spans="2:37" s="199" customFormat="1" ht="9" customHeight="1">
      <c r="B79" s="675"/>
      <c r="C79" s="675"/>
      <c r="D79" s="675"/>
      <c r="E79" s="675"/>
      <c r="F79" s="675"/>
      <c r="G79" s="675"/>
      <c r="H79" s="675"/>
      <c r="I79" s="675"/>
      <c r="J79" s="675"/>
      <c r="K79" s="675"/>
      <c r="L79" s="675"/>
      <c r="M79" s="675"/>
      <c r="N79" s="675"/>
      <c r="O79" s="675"/>
      <c r="P79" s="675"/>
      <c r="Q79" s="675"/>
      <c r="R79" s="675"/>
      <c r="S79" s="675"/>
      <c r="T79" s="675"/>
      <c r="U79" s="675"/>
      <c r="V79" s="675"/>
      <c r="W79" s="675"/>
      <c r="X79" s="675"/>
      <c r="Y79" s="675"/>
      <c r="Z79" s="675"/>
      <c r="AA79" s="675"/>
      <c r="AB79" s="675"/>
      <c r="AC79" s="675"/>
      <c r="AD79" s="675"/>
      <c r="AE79" s="675"/>
      <c r="AF79" s="675"/>
      <c r="AG79" s="675"/>
      <c r="AH79" s="675"/>
      <c r="AI79" s="675"/>
      <c r="AJ79" s="675"/>
      <c r="AK79" s="675"/>
    </row>
    <row r="80" spans="2:37" s="193" customFormat="1" ht="10.5" customHeight="1">
      <c r="B80" s="718" t="s">
        <v>179</v>
      </c>
      <c r="C80" s="719"/>
      <c r="D80" s="719"/>
      <c r="E80" s="719"/>
      <c r="F80" s="719"/>
      <c r="G80" s="719"/>
      <c r="H80" s="719"/>
      <c r="I80" s="719"/>
      <c r="J80" s="719"/>
      <c r="K80" s="719"/>
      <c r="L80" s="719"/>
      <c r="M80" s="719"/>
      <c r="N80" s="719"/>
      <c r="O80" s="801"/>
      <c r="P80" s="720" t="s">
        <v>180</v>
      </c>
      <c r="Q80" s="721"/>
      <c r="R80" s="721"/>
      <c r="S80" s="721"/>
      <c r="T80" s="722"/>
      <c r="U80" s="721" t="s">
        <v>180</v>
      </c>
      <c r="V80" s="721"/>
      <c r="W80" s="721"/>
      <c r="X80" s="721"/>
      <c r="Y80" s="722"/>
      <c r="Z80" s="720" t="s">
        <v>181</v>
      </c>
      <c r="AA80" s="721"/>
      <c r="AB80" s="721"/>
      <c r="AC80" s="722"/>
      <c r="AD80" s="720" t="s">
        <v>181</v>
      </c>
      <c r="AE80" s="721"/>
      <c r="AF80" s="721"/>
      <c r="AG80" s="722"/>
      <c r="AH80" s="720" t="s">
        <v>181</v>
      </c>
      <c r="AI80" s="721"/>
      <c r="AJ80" s="721"/>
      <c r="AK80" s="722"/>
    </row>
    <row r="81" spans="2:37" s="193" customFormat="1" ht="12.75" customHeight="1">
      <c r="B81" s="706">
        <f>AA_089_DATOS_APODERADOS_BANCO_NOMBRE_APODERADO_DEL_BANCO_UNO</f>
        <v>0</v>
      </c>
      <c r="C81" s="707"/>
      <c r="D81" s="707"/>
      <c r="E81" s="707"/>
      <c r="F81" s="707"/>
      <c r="G81" s="707"/>
      <c r="H81" s="707"/>
      <c r="I81" s="707"/>
      <c r="J81" s="707"/>
      <c r="K81" s="707"/>
      <c r="L81" s="707"/>
      <c r="M81" s="707"/>
      <c r="N81" s="707"/>
      <c r="O81" s="708"/>
      <c r="P81" s="253"/>
      <c r="Q81" s="188"/>
      <c r="R81" s="188"/>
      <c r="S81" s="188"/>
      <c r="T81" s="254"/>
      <c r="U81" s="188"/>
      <c r="V81" s="188"/>
      <c r="W81" s="188"/>
      <c r="X81" s="188"/>
      <c r="Y81" s="254"/>
      <c r="Z81" s="253"/>
      <c r="AA81" s="188"/>
      <c r="AB81" s="188"/>
      <c r="AC81" s="254"/>
      <c r="AD81" s="188"/>
      <c r="AE81" s="188"/>
      <c r="AF81" s="188"/>
      <c r="AG81" s="254"/>
      <c r="AH81" s="188"/>
      <c r="AI81" s="188"/>
      <c r="AJ81" s="188"/>
      <c r="AK81" s="254"/>
    </row>
    <row r="82" spans="2:37" s="193" customFormat="1" ht="12.75" customHeight="1">
      <c r="B82" s="709"/>
      <c r="C82" s="710"/>
      <c r="D82" s="710"/>
      <c r="E82" s="710"/>
      <c r="F82" s="710"/>
      <c r="G82" s="710"/>
      <c r="H82" s="710"/>
      <c r="I82" s="710"/>
      <c r="J82" s="710"/>
      <c r="K82" s="710"/>
      <c r="L82" s="710"/>
      <c r="M82" s="710"/>
      <c r="N82" s="710"/>
      <c r="O82" s="711"/>
      <c r="P82" s="253"/>
      <c r="Q82" s="188"/>
      <c r="R82" s="188"/>
      <c r="S82" s="188"/>
      <c r="T82" s="254"/>
      <c r="U82" s="188"/>
      <c r="V82" s="188"/>
      <c r="W82" s="188"/>
      <c r="X82" s="188"/>
      <c r="Y82" s="254"/>
      <c r="Z82" s="253"/>
      <c r="AA82" s="188"/>
      <c r="AB82" s="188"/>
      <c r="AC82" s="254"/>
      <c r="AD82" s="188"/>
      <c r="AE82" s="188"/>
      <c r="AF82" s="188"/>
      <c r="AG82" s="254"/>
      <c r="AH82" s="188"/>
      <c r="AI82" s="188"/>
      <c r="AJ82" s="188"/>
      <c r="AK82" s="254"/>
    </row>
    <row r="83" spans="2:37" s="193" customFormat="1" ht="12.75" customHeight="1">
      <c r="B83" s="799">
        <f>AA_090_DATOS_APODERADOS_BANCO_NOMBRE_APODERADO_DEL_BANCO_DOS</f>
        <v>0</v>
      </c>
      <c r="C83" s="576"/>
      <c r="D83" s="576"/>
      <c r="E83" s="576"/>
      <c r="F83" s="576"/>
      <c r="G83" s="576"/>
      <c r="H83" s="576"/>
      <c r="I83" s="576"/>
      <c r="J83" s="576"/>
      <c r="K83" s="576"/>
      <c r="L83" s="576"/>
      <c r="M83" s="576"/>
      <c r="N83" s="576"/>
      <c r="O83" s="800"/>
      <c r="P83" s="253"/>
      <c r="Q83" s="188"/>
      <c r="R83" s="188"/>
      <c r="S83" s="188"/>
      <c r="T83" s="254"/>
      <c r="U83" s="188"/>
      <c r="V83" s="188"/>
      <c r="W83" s="188"/>
      <c r="X83" s="188"/>
      <c r="Y83" s="254"/>
      <c r="Z83" s="253"/>
      <c r="AA83" s="188"/>
      <c r="AB83" s="188"/>
      <c r="AC83" s="254"/>
      <c r="AD83" s="188"/>
      <c r="AE83" s="188"/>
      <c r="AF83" s="188"/>
      <c r="AG83" s="254"/>
      <c r="AH83" s="188"/>
      <c r="AI83" s="188"/>
      <c r="AJ83" s="188"/>
      <c r="AK83" s="254"/>
    </row>
    <row r="84" spans="2:37" s="193" customFormat="1" ht="12.75" customHeight="1">
      <c r="B84" s="709"/>
      <c r="C84" s="710"/>
      <c r="D84" s="710"/>
      <c r="E84" s="710"/>
      <c r="F84" s="710"/>
      <c r="G84" s="710"/>
      <c r="H84" s="710"/>
      <c r="I84" s="710"/>
      <c r="J84" s="710"/>
      <c r="K84" s="710"/>
      <c r="L84" s="710"/>
      <c r="M84" s="710"/>
      <c r="N84" s="710"/>
      <c r="O84" s="711"/>
      <c r="P84" s="255"/>
      <c r="Q84" s="205"/>
      <c r="R84" s="205"/>
      <c r="S84" s="205"/>
      <c r="T84" s="221"/>
      <c r="U84" s="205"/>
      <c r="V84" s="205"/>
      <c r="W84" s="205"/>
      <c r="X84" s="205"/>
      <c r="Y84" s="221"/>
      <c r="Z84" s="255"/>
      <c r="AA84" s="205"/>
      <c r="AB84" s="205"/>
      <c r="AC84" s="221"/>
      <c r="AD84" s="205"/>
      <c r="AE84" s="205"/>
      <c r="AF84" s="205"/>
      <c r="AG84" s="221"/>
      <c r="AH84" s="205"/>
      <c r="AI84" s="205"/>
      <c r="AJ84" s="205"/>
      <c r="AK84" s="221"/>
    </row>
    <row r="85" spans="2:37" s="187" customFormat="1" ht="7.8">
      <c r="B85" s="256"/>
      <c r="C85" s="256"/>
      <c r="D85" s="256"/>
      <c r="E85" s="256"/>
      <c r="F85" s="256"/>
      <c r="G85" s="256"/>
      <c r="H85" s="256"/>
      <c r="I85" s="256"/>
      <c r="J85" s="256"/>
      <c r="K85" s="256"/>
      <c r="L85" s="256"/>
      <c r="M85" s="270"/>
      <c r="N85" s="256"/>
      <c r="O85" s="256"/>
      <c r="P85" s="256"/>
      <c r="Q85" s="256"/>
      <c r="R85" s="256"/>
      <c r="S85" s="256"/>
      <c r="T85" s="256"/>
      <c r="U85" s="256"/>
      <c r="V85" s="256"/>
      <c r="W85" s="256"/>
      <c r="X85" s="256"/>
      <c r="Y85" s="256"/>
      <c r="Z85" s="256"/>
      <c r="AA85" s="256"/>
      <c r="AB85" s="256"/>
      <c r="AC85" s="256"/>
      <c r="AD85" s="256"/>
      <c r="AE85" s="256"/>
      <c r="AF85" s="256"/>
      <c r="AG85" s="256"/>
      <c r="AH85" s="256"/>
      <c r="AI85" s="256"/>
      <c r="AJ85" s="256"/>
      <c r="AK85" s="256"/>
    </row>
    <row r="86" spans="2:37" s="187" customFormat="1" ht="7.8">
      <c r="B86" s="228"/>
      <c r="C86" s="228"/>
      <c r="D86" s="228"/>
      <c r="E86" s="228"/>
      <c r="F86" s="228"/>
      <c r="G86" s="228"/>
      <c r="H86" s="228"/>
      <c r="I86" s="228"/>
      <c r="J86" s="228"/>
      <c r="K86" s="228"/>
      <c r="L86" s="228"/>
      <c r="M86" s="228"/>
      <c r="N86" s="228"/>
      <c r="O86" s="228"/>
      <c r="P86" s="228"/>
      <c r="Q86" s="228"/>
      <c r="R86" s="228"/>
      <c r="S86" s="228"/>
      <c r="T86" s="228"/>
      <c r="U86" s="228"/>
      <c r="V86" s="228"/>
      <c r="W86" s="228"/>
      <c r="X86" s="228"/>
      <c r="Y86" s="228"/>
      <c r="Z86" s="228"/>
      <c r="AA86" s="228"/>
      <c r="AB86" s="228"/>
      <c r="AC86" s="228"/>
      <c r="AD86" s="228"/>
      <c r="AE86" s="228"/>
      <c r="AF86" s="228"/>
      <c r="AG86" s="228"/>
      <c r="AH86" s="228"/>
      <c r="AI86" s="228"/>
      <c r="AJ86" s="228"/>
      <c r="AK86" s="228"/>
    </row>
    <row r="87" spans="2:37" s="187" customFormat="1" ht="2.25" customHeight="1">
      <c r="B87" s="228"/>
      <c r="C87" s="228"/>
      <c r="D87" s="228"/>
      <c r="E87" s="228"/>
      <c r="F87" s="228"/>
      <c r="G87" s="228"/>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228"/>
    </row>
    <row r="88" spans="2:37" s="187" customFormat="1" ht="10.199999999999999">
      <c r="B88" s="229" t="s">
        <v>182</v>
      </c>
      <c r="C88" s="228"/>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28"/>
      <c r="AC88" s="228"/>
      <c r="AD88" s="228"/>
      <c r="AE88" s="228"/>
      <c r="AF88" s="228"/>
      <c r="AG88" s="228" t="s">
        <v>183</v>
      </c>
      <c r="AI88" s="228"/>
      <c r="AJ88" s="228"/>
      <c r="AK88" s="228"/>
    </row>
    <row r="89" spans="2:37" s="187" customFormat="1" ht="2.25" customHeight="1"/>
    <row r="90" spans="2:37" s="187" customFormat="1" ht="7.8"/>
    <row r="91" spans="2:37" s="187" customFormat="1" ht="55.5" customHeight="1">
      <c r="B91" s="796" t="s">
        <v>184</v>
      </c>
      <c r="C91" s="796"/>
      <c r="D91" s="796"/>
      <c r="E91" s="796"/>
      <c r="F91" s="796"/>
      <c r="G91" s="796"/>
      <c r="H91" s="796"/>
      <c r="I91" s="796"/>
      <c r="J91" s="796"/>
      <c r="K91" s="796"/>
      <c r="L91" s="796"/>
      <c r="M91" s="796"/>
      <c r="N91" s="796"/>
      <c r="O91" s="796"/>
      <c r="P91" s="796"/>
      <c r="Q91" s="796"/>
      <c r="R91" s="796"/>
      <c r="S91" s="796"/>
      <c r="T91" s="796"/>
      <c r="U91" s="796"/>
      <c r="V91" s="796"/>
      <c r="W91" s="796"/>
      <c r="X91" s="796"/>
      <c r="Y91" s="796"/>
      <c r="Z91" s="796"/>
      <c r="AA91" s="796"/>
      <c r="AB91" s="796"/>
      <c r="AC91" s="796"/>
      <c r="AD91" s="796"/>
      <c r="AE91" s="796"/>
      <c r="AF91" s="796"/>
      <c r="AG91" s="796"/>
      <c r="AH91" s="796"/>
      <c r="AI91" s="796"/>
      <c r="AJ91" s="796"/>
      <c r="AK91" s="796"/>
    </row>
    <row r="92" spans="2:37" s="187" customFormat="1" ht="12" customHeight="1"/>
    <row r="93" spans="2:37" s="187" customFormat="1" ht="10.199999999999999">
      <c r="B93" s="797" t="s">
        <v>185</v>
      </c>
      <c r="C93" s="797"/>
      <c r="D93" s="797"/>
      <c r="E93" s="797"/>
      <c r="F93" s="797"/>
      <c r="G93" s="797"/>
      <c r="H93" s="797"/>
      <c r="I93" s="797"/>
      <c r="J93" s="797"/>
      <c r="K93" s="797"/>
      <c r="L93" s="797"/>
      <c r="M93" s="797"/>
      <c r="N93" s="797"/>
      <c r="O93" s="797"/>
      <c r="P93" s="797"/>
      <c r="Q93" s="797"/>
      <c r="R93" s="797"/>
      <c r="S93" s="797"/>
      <c r="T93" s="797"/>
      <c r="U93" s="797"/>
      <c r="V93" s="797"/>
      <c r="W93" s="797"/>
      <c r="X93" s="797"/>
      <c r="Y93" s="797"/>
      <c r="Z93" s="797"/>
      <c r="AA93" s="797"/>
      <c r="AB93" s="797"/>
      <c r="AC93" s="797"/>
      <c r="AD93" s="797"/>
      <c r="AE93" s="797"/>
      <c r="AF93" s="797"/>
      <c r="AG93" s="797"/>
      <c r="AH93" s="797"/>
      <c r="AI93" s="797"/>
      <c r="AJ93" s="797"/>
      <c r="AK93" s="797"/>
    </row>
    <row r="94" spans="2:37" s="187" customFormat="1" ht="12" customHeight="1"/>
    <row r="95" spans="2:37" s="187" customFormat="1" ht="12.75" customHeight="1">
      <c r="B95" s="566" t="s">
        <v>186</v>
      </c>
      <c r="C95" s="566"/>
      <c r="D95" s="566"/>
      <c r="E95" s="566"/>
      <c r="F95" s="566"/>
      <c r="G95" s="566"/>
      <c r="H95" s="566"/>
      <c r="I95" s="566"/>
      <c r="J95" s="566"/>
      <c r="K95" s="566"/>
      <c r="L95" s="566"/>
      <c r="M95" s="566"/>
      <c r="N95" s="566"/>
      <c r="O95" s="566"/>
      <c r="P95" s="566"/>
      <c r="Q95" s="566"/>
      <c r="R95" s="566"/>
      <c r="S95" s="566"/>
      <c r="T95" s="566"/>
      <c r="U95" s="566"/>
      <c r="V95" s="566"/>
      <c r="W95" s="566"/>
      <c r="X95" s="566"/>
      <c r="Y95" s="566"/>
      <c r="Z95" s="566"/>
      <c r="AA95" s="566"/>
      <c r="AB95" s="566"/>
      <c r="AC95" s="566"/>
      <c r="AD95" s="566"/>
      <c r="AE95" s="566"/>
      <c r="AF95" s="566"/>
      <c r="AG95" s="566"/>
      <c r="AH95" s="566"/>
      <c r="AI95" s="566"/>
      <c r="AJ95" s="566"/>
      <c r="AK95" s="566"/>
    </row>
    <row r="96" spans="2:37" ht="8.1" customHeight="1">
      <c r="B96" s="258"/>
      <c r="C96" s="238"/>
      <c r="D96" s="238"/>
      <c r="E96" s="238"/>
      <c r="F96" s="238"/>
      <c r="G96" s="238"/>
      <c r="H96" s="238"/>
      <c r="I96" s="238"/>
      <c r="J96" s="238"/>
      <c r="K96" s="238"/>
      <c r="L96" s="238"/>
      <c r="M96" s="238"/>
      <c r="N96" s="238"/>
      <c r="O96" s="238"/>
      <c r="P96" s="238"/>
      <c r="Q96" s="238"/>
      <c r="R96" s="238"/>
      <c r="S96" s="238"/>
      <c r="T96" s="238"/>
      <c r="U96" s="238"/>
      <c r="V96" s="238"/>
      <c r="W96" s="238"/>
      <c r="X96" s="238"/>
      <c r="Y96" s="238"/>
      <c r="Z96" s="238"/>
      <c r="AA96" s="238"/>
      <c r="AB96" s="238"/>
      <c r="AC96" s="238"/>
      <c r="AD96" s="238"/>
      <c r="AE96" s="238"/>
      <c r="AF96" s="238"/>
      <c r="AG96" s="238"/>
      <c r="AH96" s="238"/>
      <c r="AI96" s="238"/>
      <c r="AJ96" s="238"/>
      <c r="AK96" s="238"/>
    </row>
    <row r="97" spans="2:37" ht="85.5" customHeight="1">
      <c r="B97" s="562" t="s">
        <v>187</v>
      </c>
      <c r="C97" s="562"/>
      <c r="D97" s="562"/>
      <c r="E97" s="562"/>
      <c r="F97" s="562"/>
      <c r="G97" s="562"/>
      <c r="H97" s="562"/>
      <c r="I97" s="562"/>
      <c r="J97" s="562"/>
      <c r="K97" s="562"/>
      <c r="L97" s="562"/>
      <c r="M97" s="562"/>
      <c r="N97" s="562"/>
      <c r="O97" s="562"/>
      <c r="P97" s="562"/>
      <c r="Q97" s="562"/>
      <c r="R97" s="562"/>
      <c r="S97" s="562"/>
      <c r="T97" s="562"/>
      <c r="U97" s="562"/>
      <c r="V97" s="562"/>
      <c r="W97" s="562"/>
      <c r="X97" s="562"/>
      <c r="Y97" s="562"/>
      <c r="Z97" s="562"/>
      <c r="AA97" s="562"/>
      <c r="AB97" s="562"/>
      <c r="AC97" s="562"/>
      <c r="AD97" s="562"/>
      <c r="AE97" s="562"/>
      <c r="AF97" s="562"/>
      <c r="AG97" s="562"/>
      <c r="AH97" s="562"/>
      <c r="AI97" s="562"/>
      <c r="AJ97" s="562"/>
      <c r="AK97" s="562"/>
    </row>
    <row r="98" spans="2:37" ht="8.1" customHeight="1">
      <c r="B98" s="232"/>
      <c r="C98" s="232"/>
      <c r="D98" s="232"/>
      <c r="E98" s="232"/>
      <c r="F98" s="232"/>
      <c r="G98" s="232"/>
      <c r="H98" s="232"/>
      <c r="I98" s="232"/>
      <c r="J98" s="232"/>
      <c r="K98" s="232"/>
      <c r="L98" s="232"/>
      <c r="M98" s="232"/>
      <c r="N98" s="232"/>
      <c r="O98" s="232"/>
      <c r="P98" s="232"/>
      <c r="Q98" s="232"/>
      <c r="R98" s="232"/>
      <c r="S98" s="232"/>
      <c r="T98" s="232"/>
      <c r="U98" s="232"/>
      <c r="V98" s="232"/>
      <c r="W98" s="232"/>
      <c r="X98" s="232"/>
      <c r="Y98" s="232"/>
      <c r="Z98" s="232"/>
      <c r="AA98" s="232"/>
      <c r="AB98" s="232"/>
      <c r="AC98" s="232"/>
      <c r="AD98" s="232"/>
      <c r="AE98" s="232"/>
      <c r="AF98" s="232"/>
      <c r="AG98" s="232"/>
      <c r="AH98" s="232"/>
      <c r="AI98" s="232"/>
      <c r="AJ98" s="232"/>
      <c r="AK98" s="232"/>
    </row>
    <row r="99" spans="2:37" ht="34.5" customHeight="1">
      <c r="B99" s="562" t="s">
        <v>188</v>
      </c>
      <c r="C99" s="562"/>
      <c r="D99" s="562"/>
      <c r="E99" s="562"/>
      <c r="F99" s="562"/>
      <c r="G99" s="562"/>
      <c r="H99" s="562"/>
      <c r="I99" s="562"/>
      <c r="J99" s="562"/>
      <c r="K99" s="562"/>
      <c r="L99" s="562"/>
      <c r="M99" s="562"/>
      <c r="N99" s="562"/>
      <c r="O99" s="562"/>
      <c r="P99" s="562"/>
      <c r="Q99" s="562"/>
      <c r="R99" s="562"/>
      <c r="S99" s="562"/>
      <c r="T99" s="562"/>
      <c r="U99" s="562"/>
      <c r="V99" s="562"/>
      <c r="W99" s="562"/>
      <c r="X99" s="562"/>
      <c r="Y99" s="562"/>
      <c r="Z99" s="562"/>
      <c r="AA99" s="562"/>
      <c r="AB99" s="562"/>
      <c r="AC99" s="562"/>
      <c r="AD99" s="562"/>
      <c r="AE99" s="562"/>
      <c r="AF99" s="562"/>
      <c r="AG99" s="562"/>
      <c r="AH99" s="562"/>
      <c r="AI99" s="562"/>
      <c r="AJ99" s="562"/>
      <c r="AK99" s="562"/>
    </row>
    <row r="100" spans="2:37" ht="8.1" customHeight="1">
      <c r="B100" s="232"/>
      <c r="C100" s="232"/>
      <c r="D100" s="232"/>
      <c r="E100" s="232"/>
      <c r="F100" s="232"/>
      <c r="G100" s="232"/>
      <c r="H100" s="232"/>
      <c r="I100" s="232"/>
      <c r="J100" s="232"/>
      <c r="K100" s="232"/>
      <c r="L100" s="232"/>
      <c r="M100" s="232"/>
      <c r="N100" s="232"/>
      <c r="O100" s="232"/>
      <c r="P100" s="232"/>
      <c r="Q100" s="232"/>
      <c r="R100" s="232"/>
      <c r="S100" s="232"/>
      <c r="T100" s="232"/>
      <c r="U100" s="232"/>
      <c r="V100" s="232"/>
      <c r="W100" s="232"/>
      <c r="X100" s="232"/>
      <c r="Y100" s="232"/>
      <c r="Z100" s="232"/>
      <c r="AA100" s="232"/>
      <c r="AB100" s="232"/>
      <c r="AC100" s="232"/>
      <c r="AD100" s="232"/>
      <c r="AE100" s="232"/>
      <c r="AF100" s="232"/>
      <c r="AG100" s="232"/>
      <c r="AH100" s="232"/>
      <c r="AI100" s="232"/>
      <c r="AJ100" s="232"/>
      <c r="AK100" s="232"/>
    </row>
    <row r="101" spans="2:37" ht="33.75" customHeight="1">
      <c r="B101" s="562" t="s">
        <v>189</v>
      </c>
      <c r="C101" s="562"/>
      <c r="D101" s="562"/>
      <c r="E101" s="562"/>
      <c r="F101" s="562"/>
      <c r="G101" s="562"/>
      <c r="H101" s="562"/>
      <c r="I101" s="562"/>
      <c r="J101" s="562"/>
      <c r="K101" s="562"/>
      <c r="L101" s="562"/>
      <c r="M101" s="562"/>
      <c r="N101" s="562"/>
      <c r="O101" s="562"/>
      <c r="P101" s="562"/>
      <c r="Q101" s="562"/>
      <c r="R101" s="562"/>
      <c r="S101" s="562"/>
      <c r="T101" s="562"/>
      <c r="U101" s="562"/>
      <c r="V101" s="562"/>
      <c r="W101" s="562"/>
      <c r="X101" s="562"/>
      <c r="Y101" s="562"/>
      <c r="Z101" s="562"/>
      <c r="AA101" s="562"/>
      <c r="AB101" s="562"/>
      <c r="AC101" s="562"/>
      <c r="AD101" s="562"/>
      <c r="AE101" s="562"/>
      <c r="AF101" s="562"/>
      <c r="AG101" s="562"/>
      <c r="AH101" s="562"/>
      <c r="AI101" s="562"/>
      <c r="AJ101" s="562"/>
      <c r="AK101" s="562"/>
    </row>
    <row r="102" spans="2:37" ht="8.1" customHeight="1">
      <c r="B102" s="232"/>
      <c r="C102" s="232"/>
      <c r="D102" s="232"/>
      <c r="E102" s="232"/>
      <c r="F102" s="232"/>
      <c r="G102" s="232"/>
      <c r="H102" s="232"/>
      <c r="I102" s="232"/>
      <c r="J102" s="232"/>
      <c r="K102" s="232"/>
      <c r="L102" s="232"/>
      <c r="M102" s="232"/>
      <c r="N102" s="232"/>
      <c r="O102" s="232"/>
      <c r="P102" s="232"/>
      <c r="Q102" s="232"/>
      <c r="R102" s="232"/>
      <c r="S102" s="232"/>
      <c r="T102" s="232"/>
      <c r="U102" s="232"/>
      <c r="V102" s="232"/>
      <c r="W102" s="232"/>
      <c r="X102" s="232"/>
      <c r="Y102" s="232"/>
      <c r="Z102" s="232"/>
      <c r="AA102" s="232"/>
      <c r="AB102" s="232"/>
      <c r="AC102" s="232"/>
      <c r="AD102" s="232"/>
      <c r="AE102" s="232"/>
      <c r="AF102" s="232"/>
      <c r="AG102" s="232"/>
      <c r="AH102" s="232"/>
      <c r="AI102" s="232"/>
      <c r="AJ102" s="232"/>
      <c r="AK102" s="232"/>
    </row>
    <row r="103" spans="2:37" ht="22.5" customHeight="1">
      <c r="B103" s="562" t="s">
        <v>190</v>
      </c>
      <c r="C103" s="562"/>
      <c r="D103" s="562"/>
      <c r="E103" s="562"/>
      <c r="F103" s="562"/>
      <c r="G103" s="562"/>
      <c r="H103" s="562"/>
      <c r="I103" s="562"/>
      <c r="J103" s="562"/>
      <c r="K103" s="562"/>
      <c r="L103" s="562"/>
      <c r="M103" s="562"/>
      <c r="N103" s="562"/>
      <c r="O103" s="562"/>
      <c r="P103" s="562"/>
      <c r="Q103" s="562"/>
      <c r="R103" s="562"/>
      <c r="S103" s="562"/>
      <c r="T103" s="562"/>
      <c r="U103" s="562"/>
      <c r="V103" s="562"/>
      <c r="W103" s="562"/>
      <c r="X103" s="562"/>
      <c r="Y103" s="562"/>
      <c r="Z103" s="562"/>
      <c r="AA103" s="562"/>
      <c r="AB103" s="562"/>
      <c r="AC103" s="562"/>
      <c r="AD103" s="562"/>
      <c r="AE103" s="562"/>
      <c r="AF103" s="562"/>
      <c r="AG103" s="562"/>
      <c r="AH103" s="562"/>
      <c r="AI103" s="562"/>
      <c r="AJ103" s="562"/>
      <c r="AK103" s="562"/>
    </row>
    <row r="104" spans="2:37" ht="8.1" customHeight="1">
      <c r="B104" s="232"/>
      <c r="C104" s="232"/>
      <c r="D104" s="232"/>
      <c r="E104" s="232"/>
      <c r="F104" s="232"/>
      <c r="G104" s="232"/>
      <c r="H104" s="232"/>
      <c r="I104" s="232"/>
      <c r="J104" s="232"/>
      <c r="K104" s="232"/>
      <c r="L104" s="232"/>
      <c r="M104" s="232"/>
      <c r="N104" s="232"/>
      <c r="O104" s="232"/>
      <c r="P104" s="232"/>
      <c r="Q104" s="232"/>
      <c r="R104" s="232"/>
      <c r="S104" s="232"/>
      <c r="T104" s="232"/>
      <c r="U104" s="232"/>
      <c r="V104" s="232"/>
      <c r="W104" s="232"/>
      <c r="X104" s="232"/>
      <c r="Y104" s="232"/>
      <c r="Z104" s="232"/>
      <c r="AA104" s="232"/>
      <c r="AB104" s="232"/>
      <c r="AC104" s="232"/>
      <c r="AD104" s="232"/>
      <c r="AE104" s="232"/>
      <c r="AF104" s="232"/>
      <c r="AG104" s="232"/>
      <c r="AH104" s="232"/>
      <c r="AI104" s="232"/>
      <c r="AJ104" s="232"/>
      <c r="AK104" s="232"/>
    </row>
    <row r="105" spans="2:37" ht="35.25" customHeight="1">
      <c r="B105" s="562" t="s">
        <v>191</v>
      </c>
      <c r="C105" s="562"/>
      <c r="D105" s="562"/>
      <c r="E105" s="562"/>
      <c r="F105" s="562"/>
      <c r="G105" s="562"/>
      <c r="H105" s="562"/>
      <c r="I105" s="562"/>
      <c r="J105" s="562"/>
      <c r="K105" s="562"/>
      <c r="L105" s="562"/>
      <c r="M105" s="562"/>
      <c r="N105" s="562"/>
      <c r="O105" s="562"/>
      <c r="P105" s="562"/>
      <c r="Q105" s="562"/>
      <c r="R105" s="562"/>
      <c r="S105" s="562"/>
      <c r="T105" s="562"/>
      <c r="U105" s="562"/>
      <c r="V105" s="562"/>
      <c r="W105" s="562"/>
      <c r="X105" s="562"/>
      <c r="Y105" s="562"/>
      <c r="Z105" s="562"/>
      <c r="AA105" s="562"/>
      <c r="AB105" s="562"/>
      <c r="AC105" s="562"/>
      <c r="AD105" s="562"/>
      <c r="AE105" s="562"/>
      <c r="AF105" s="562"/>
      <c r="AG105" s="562"/>
      <c r="AH105" s="562"/>
      <c r="AI105" s="562"/>
      <c r="AJ105" s="562"/>
      <c r="AK105" s="562"/>
    </row>
    <row r="106" spans="2:37" ht="8.1" customHeight="1">
      <c r="B106" s="232"/>
      <c r="C106" s="232"/>
      <c r="D106" s="232"/>
      <c r="E106" s="232"/>
      <c r="F106" s="232"/>
      <c r="G106" s="232"/>
      <c r="H106" s="232"/>
      <c r="I106" s="232"/>
      <c r="J106" s="232"/>
      <c r="K106" s="232"/>
      <c r="L106" s="232"/>
      <c r="M106" s="232"/>
      <c r="N106" s="232"/>
      <c r="O106" s="232"/>
      <c r="P106" s="232"/>
      <c r="Q106" s="232"/>
      <c r="R106" s="232"/>
      <c r="S106" s="232"/>
      <c r="T106" s="232"/>
      <c r="U106" s="232"/>
      <c r="V106" s="232"/>
      <c r="W106" s="232"/>
      <c r="X106" s="232"/>
      <c r="Y106" s="232"/>
      <c r="Z106" s="232"/>
      <c r="AA106" s="232"/>
      <c r="AB106" s="232"/>
      <c r="AC106" s="232"/>
      <c r="AD106" s="232"/>
      <c r="AE106" s="232"/>
      <c r="AF106" s="232"/>
      <c r="AG106" s="232"/>
      <c r="AH106" s="232"/>
      <c r="AI106" s="232"/>
      <c r="AJ106" s="232"/>
      <c r="AK106" s="232"/>
    </row>
    <row r="107" spans="2:37" ht="48.75" customHeight="1">
      <c r="B107" s="562" t="s">
        <v>192</v>
      </c>
      <c r="C107" s="562"/>
      <c r="D107" s="562"/>
      <c r="E107" s="562"/>
      <c r="F107" s="562"/>
      <c r="G107" s="562"/>
      <c r="H107" s="562"/>
      <c r="I107" s="562"/>
      <c r="J107" s="562"/>
      <c r="K107" s="562"/>
      <c r="L107" s="562"/>
      <c r="M107" s="562"/>
      <c r="N107" s="562"/>
      <c r="O107" s="562"/>
      <c r="P107" s="562"/>
      <c r="Q107" s="562"/>
      <c r="R107" s="562"/>
      <c r="S107" s="562"/>
      <c r="T107" s="562"/>
      <c r="U107" s="562"/>
      <c r="V107" s="562"/>
      <c r="W107" s="562"/>
      <c r="X107" s="562"/>
      <c r="Y107" s="562"/>
      <c r="Z107" s="562"/>
      <c r="AA107" s="562"/>
      <c r="AB107" s="562"/>
      <c r="AC107" s="562"/>
      <c r="AD107" s="562"/>
      <c r="AE107" s="562"/>
      <c r="AF107" s="562"/>
      <c r="AG107" s="562"/>
      <c r="AH107" s="562"/>
      <c r="AI107" s="562"/>
      <c r="AJ107" s="562"/>
      <c r="AK107" s="562"/>
    </row>
    <row r="108" spans="2:37" ht="8.1" customHeight="1">
      <c r="B108" s="232"/>
      <c r="C108" s="232"/>
      <c r="D108" s="232"/>
      <c r="E108" s="232"/>
      <c r="F108" s="232"/>
      <c r="G108" s="232"/>
      <c r="H108" s="232"/>
      <c r="I108" s="232"/>
      <c r="J108" s="232"/>
      <c r="K108" s="232"/>
      <c r="L108" s="232"/>
      <c r="M108" s="232"/>
      <c r="N108" s="232"/>
      <c r="O108" s="232"/>
      <c r="P108" s="232"/>
      <c r="Q108" s="232"/>
      <c r="R108" s="232"/>
      <c r="S108" s="232"/>
      <c r="T108" s="232"/>
      <c r="U108" s="232"/>
      <c r="V108" s="232"/>
      <c r="W108" s="232"/>
      <c r="X108" s="232"/>
      <c r="Y108" s="232"/>
      <c r="Z108" s="232"/>
      <c r="AA108" s="232"/>
      <c r="AB108" s="232"/>
      <c r="AC108" s="232"/>
      <c r="AD108" s="232"/>
      <c r="AE108" s="232"/>
      <c r="AF108" s="232"/>
      <c r="AG108" s="232"/>
      <c r="AH108" s="232"/>
      <c r="AI108" s="232"/>
      <c r="AJ108" s="232"/>
      <c r="AK108" s="232"/>
    </row>
    <row r="109" spans="2:37" ht="36" customHeight="1">
      <c r="B109" s="562" t="s">
        <v>193</v>
      </c>
      <c r="C109" s="562"/>
      <c r="D109" s="562"/>
      <c r="E109" s="562"/>
      <c r="F109" s="562"/>
      <c r="G109" s="562"/>
      <c r="H109" s="562"/>
      <c r="I109" s="562"/>
      <c r="J109" s="562"/>
      <c r="K109" s="562"/>
      <c r="L109" s="562"/>
      <c r="M109" s="562"/>
      <c r="N109" s="562"/>
      <c r="O109" s="562"/>
      <c r="P109" s="562"/>
      <c r="Q109" s="562"/>
      <c r="R109" s="562"/>
      <c r="S109" s="562"/>
      <c r="T109" s="562"/>
      <c r="U109" s="562"/>
      <c r="V109" s="562"/>
      <c r="W109" s="562"/>
      <c r="X109" s="562"/>
      <c r="Y109" s="562"/>
      <c r="Z109" s="562"/>
      <c r="AA109" s="562"/>
      <c r="AB109" s="562"/>
      <c r="AC109" s="562"/>
      <c r="AD109" s="562"/>
      <c r="AE109" s="562"/>
      <c r="AF109" s="562"/>
      <c r="AG109" s="562"/>
      <c r="AH109" s="562"/>
      <c r="AI109" s="562"/>
      <c r="AJ109" s="562"/>
      <c r="AK109" s="562"/>
    </row>
    <row r="110" spans="2:37" ht="17.25" customHeight="1">
      <c r="B110" s="238"/>
      <c r="C110" s="238"/>
      <c r="D110" s="238"/>
      <c r="E110" s="238"/>
      <c r="F110" s="238"/>
      <c r="G110" s="238"/>
      <c r="H110" s="238"/>
      <c r="I110" s="238"/>
      <c r="J110" s="238"/>
      <c r="K110" s="238"/>
      <c r="L110" s="238"/>
      <c r="M110" s="238"/>
      <c r="N110" s="238"/>
      <c r="O110" s="238"/>
      <c r="P110" s="238"/>
      <c r="Q110" s="238"/>
      <c r="R110" s="238"/>
      <c r="S110" s="238"/>
      <c r="T110" s="238"/>
      <c r="U110" s="238"/>
      <c r="V110" s="238"/>
      <c r="W110" s="238"/>
      <c r="X110" s="238"/>
      <c r="Y110" s="238"/>
      <c r="Z110" s="238"/>
      <c r="AA110" s="238"/>
      <c r="AB110" s="238"/>
      <c r="AC110" s="238"/>
      <c r="AD110" s="238"/>
      <c r="AE110" s="238"/>
      <c r="AF110" s="238"/>
      <c r="AG110" s="238"/>
      <c r="AH110" s="238"/>
      <c r="AI110" s="238"/>
      <c r="AJ110" s="238"/>
      <c r="AK110" s="238"/>
    </row>
    <row r="111" spans="2:37" ht="13.2">
      <c r="B111" s="566" t="s">
        <v>342</v>
      </c>
      <c r="C111" s="566"/>
      <c r="D111" s="566"/>
      <c r="E111" s="566"/>
      <c r="F111" s="566"/>
      <c r="G111" s="566"/>
      <c r="H111" s="566"/>
      <c r="I111" s="566"/>
      <c r="J111" s="566"/>
      <c r="K111" s="566"/>
      <c r="L111" s="566"/>
      <c r="M111" s="566"/>
      <c r="N111" s="566"/>
      <c r="O111" s="566"/>
      <c r="P111" s="566"/>
      <c r="Q111" s="566"/>
      <c r="R111" s="566"/>
      <c r="S111" s="566"/>
      <c r="T111" s="566"/>
      <c r="U111" s="566"/>
      <c r="V111" s="566"/>
      <c r="W111" s="566"/>
      <c r="X111" s="566"/>
      <c r="Y111" s="566"/>
      <c r="Z111" s="566"/>
      <c r="AA111" s="566"/>
      <c r="AB111" s="566"/>
      <c r="AC111" s="566"/>
      <c r="AD111" s="566"/>
      <c r="AE111" s="566"/>
      <c r="AF111" s="566"/>
      <c r="AG111" s="566"/>
      <c r="AH111" s="566"/>
      <c r="AI111" s="566"/>
      <c r="AJ111" s="566"/>
      <c r="AK111" s="566"/>
    </row>
    <row r="112" spans="2:37" ht="8.1" customHeight="1">
      <c r="B112" s="232"/>
      <c r="C112" s="232"/>
      <c r="D112" s="232"/>
      <c r="E112" s="232"/>
      <c r="F112" s="232"/>
      <c r="G112" s="232"/>
      <c r="H112" s="232"/>
      <c r="I112" s="232"/>
      <c r="J112" s="232"/>
      <c r="K112" s="232"/>
      <c r="L112" s="232"/>
      <c r="M112" s="232"/>
      <c r="N112" s="232"/>
      <c r="O112" s="232"/>
      <c r="P112" s="232"/>
      <c r="Q112" s="232"/>
      <c r="R112" s="232"/>
      <c r="S112" s="232"/>
      <c r="T112" s="232"/>
      <c r="U112" s="232"/>
      <c r="V112" s="232"/>
      <c r="W112" s="232"/>
      <c r="X112" s="232"/>
      <c r="Y112" s="232"/>
      <c r="Z112" s="232"/>
      <c r="AA112" s="232"/>
      <c r="AB112" s="232"/>
      <c r="AC112" s="232"/>
      <c r="AD112" s="232"/>
      <c r="AE112" s="232"/>
      <c r="AF112" s="232"/>
      <c r="AG112" s="232"/>
      <c r="AH112" s="232"/>
      <c r="AI112" s="232"/>
      <c r="AJ112" s="232"/>
      <c r="AK112" s="232"/>
    </row>
    <row r="113" spans="2:37" ht="33.75" customHeight="1">
      <c r="B113" s="562" t="s">
        <v>196</v>
      </c>
      <c r="C113" s="562"/>
      <c r="D113" s="562"/>
      <c r="E113" s="562"/>
      <c r="F113" s="562"/>
      <c r="G113" s="562"/>
      <c r="H113" s="562"/>
      <c r="I113" s="562"/>
      <c r="J113" s="562"/>
      <c r="K113" s="562"/>
      <c r="L113" s="562"/>
      <c r="M113" s="562"/>
      <c r="N113" s="562"/>
      <c r="O113" s="562"/>
      <c r="P113" s="562"/>
      <c r="Q113" s="562"/>
      <c r="R113" s="562"/>
      <c r="S113" s="562"/>
      <c r="T113" s="562"/>
      <c r="U113" s="562"/>
      <c r="V113" s="562"/>
      <c r="W113" s="562"/>
      <c r="X113" s="562"/>
      <c r="Y113" s="562"/>
      <c r="Z113" s="562"/>
      <c r="AA113" s="562"/>
      <c r="AB113" s="562"/>
      <c r="AC113" s="562"/>
      <c r="AD113" s="562"/>
      <c r="AE113" s="562"/>
      <c r="AF113" s="562"/>
      <c r="AG113" s="562"/>
      <c r="AH113" s="562"/>
      <c r="AI113" s="562"/>
      <c r="AJ113" s="562"/>
      <c r="AK113" s="562"/>
    </row>
    <row r="114" spans="2:37" ht="8.1" customHeight="1">
      <c r="B114" s="232"/>
      <c r="C114" s="232"/>
      <c r="D114" s="232"/>
      <c r="E114" s="232"/>
      <c r="F114" s="232"/>
      <c r="G114" s="232"/>
      <c r="H114" s="232"/>
      <c r="I114" s="232"/>
      <c r="J114" s="232"/>
      <c r="K114" s="232"/>
      <c r="L114" s="232"/>
      <c r="M114" s="232"/>
      <c r="N114" s="232"/>
      <c r="O114" s="232"/>
      <c r="P114" s="232"/>
      <c r="Q114" s="232"/>
      <c r="R114" s="232"/>
      <c r="S114" s="232"/>
      <c r="T114" s="232"/>
      <c r="U114" s="232"/>
      <c r="V114" s="232"/>
      <c r="W114" s="232"/>
      <c r="X114" s="232"/>
      <c r="Y114" s="232"/>
      <c r="Z114" s="232"/>
      <c r="AA114" s="232"/>
      <c r="AB114" s="232"/>
      <c r="AC114" s="232"/>
      <c r="AD114" s="232"/>
      <c r="AE114" s="232"/>
      <c r="AF114" s="232"/>
      <c r="AG114" s="232"/>
      <c r="AH114" s="232"/>
      <c r="AI114" s="232"/>
      <c r="AJ114" s="232"/>
      <c r="AK114" s="232"/>
    </row>
    <row r="115" spans="2:37" ht="12.75" customHeight="1">
      <c r="B115" s="566" t="s">
        <v>343</v>
      </c>
      <c r="C115" s="566"/>
      <c r="D115" s="566"/>
      <c r="E115" s="566"/>
      <c r="F115" s="566"/>
      <c r="G115" s="566"/>
      <c r="H115" s="566"/>
      <c r="I115" s="566"/>
      <c r="J115" s="566"/>
      <c r="K115" s="566"/>
      <c r="L115" s="566"/>
      <c r="M115" s="566"/>
      <c r="N115" s="566"/>
      <c r="O115" s="566"/>
      <c r="P115" s="566"/>
      <c r="Q115" s="566"/>
      <c r="R115" s="566"/>
      <c r="S115" s="566"/>
      <c r="T115" s="566"/>
      <c r="U115" s="566"/>
      <c r="V115" s="566"/>
      <c r="W115" s="566"/>
      <c r="X115" s="566"/>
      <c r="Y115" s="566"/>
      <c r="Z115" s="566"/>
      <c r="AA115" s="566"/>
      <c r="AB115" s="566"/>
      <c r="AC115" s="566"/>
      <c r="AD115" s="566"/>
      <c r="AE115" s="566"/>
      <c r="AF115" s="566"/>
      <c r="AG115" s="566"/>
      <c r="AH115" s="566"/>
      <c r="AI115" s="566"/>
      <c r="AJ115" s="566"/>
      <c r="AK115" s="566"/>
    </row>
    <row r="116" spans="2:37" ht="8.1" customHeight="1">
      <c r="B116" s="232"/>
      <c r="C116" s="232"/>
      <c r="D116" s="232"/>
      <c r="E116" s="232"/>
      <c r="F116" s="232"/>
      <c r="G116" s="232"/>
      <c r="H116" s="232"/>
      <c r="I116" s="232"/>
      <c r="J116" s="232"/>
      <c r="K116" s="232"/>
      <c r="L116" s="232"/>
      <c r="M116" s="232"/>
      <c r="N116" s="232"/>
      <c r="O116" s="232"/>
      <c r="P116" s="232"/>
      <c r="Q116" s="232"/>
      <c r="R116" s="232"/>
      <c r="S116" s="232"/>
      <c r="T116" s="232"/>
      <c r="U116" s="232"/>
      <c r="V116" s="232"/>
      <c r="W116" s="232"/>
      <c r="X116" s="232"/>
      <c r="Y116" s="232"/>
      <c r="Z116" s="232"/>
      <c r="AA116" s="232"/>
      <c r="AB116" s="232"/>
      <c r="AC116" s="232"/>
      <c r="AD116" s="232"/>
      <c r="AE116" s="232"/>
      <c r="AF116" s="232"/>
      <c r="AG116" s="232"/>
      <c r="AH116" s="232"/>
      <c r="AI116" s="232"/>
      <c r="AJ116" s="232"/>
      <c r="AK116" s="232"/>
    </row>
    <row r="117" spans="2:37" ht="22.5" customHeight="1">
      <c r="B117" s="562" t="s">
        <v>198</v>
      </c>
      <c r="C117" s="562"/>
      <c r="D117" s="562"/>
      <c r="E117" s="562"/>
      <c r="F117" s="562"/>
      <c r="G117" s="562"/>
      <c r="H117" s="562"/>
      <c r="I117" s="562"/>
      <c r="J117" s="562"/>
      <c r="K117" s="562"/>
      <c r="L117" s="562"/>
      <c r="M117" s="562"/>
      <c r="N117" s="562"/>
      <c r="O117" s="562"/>
      <c r="P117" s="562"/>
      <c r="Q117" s="562"/>
      <c r="R117" s="562"/>
      <c r="S117" s="562"/>
      <c r="T117" s="562"/>
      <c r="U117" s="562"/>
      <c r="V117" s="562"/>
      <c r="W117" s="562"/>
      <c r="X117" s="562"/>
      <c r="Y117" s="562"/>
      <c r="Z117" s="562"/>
      <c r="AA117" s="562"/>
      <c r="AB117" s="562"/>
      <c r="AC117" s="562"/>
      <c r="AD117" s="562"/>
      <c r="AE117" s="562"/>
      <c r="AF117" s="562"/>
      <c r="AG117" s="562"/>
      <c r="AH117" s="562"/>
      <c r="AI117" s="562"/>
      <c r="AJ117" s="562"/>
      <c r="AK117" s="562"/>
    </row>
    <row r="118" spans="2:37" ht="13.2">
      <c r="B118" s="238"/>
      <c r="C118" s="238"/>
      <c r="D118" s="238"/>
      <c r="E118" s="238"/>
      <c r="F118" s="238"/>
      <c r="G118" s="238"/>
      <c r="H118" s="238"/>
      <c r="I118" s="238"/>
      <c r="J118" s="238"/>
      <c r="K118" s="238"/>
      <c r="L118" s="238"/>
      <c r="M118" s="238"/>
      <c r="N118" s="238"/>
      <c r="O118" s="238"/>
      <c r="P118" s="238"/>
      <c r="Q118" s="238"/>
      <c r="R118" s="238"/>
      <c r="S118" s="238"/>
      <c r="T118" s="238"/>
      <c r="U118" s="238"/>
      <c r="V118" s="238"/>
      <c r="W118" s="238"/>
      <c r="X118" s="238"/>
      <c r="Y118" s="238"/>
      <c r="Z118" s="238"/>
      <c r="AA118" s="238"/>
      <c r="AB118" s="238"/>
      <c r="AC118" s="238"/>
      <c r="AD118" s="238"/>
      <c r="AE118" s="238"/>
      <c r="AF118" s="238"/>
      <c r="AG118" s="238"/>
      <c r="AH118" s="238"/>
      <c r="AI118" s="238"/>
      <c r="AJ118" s="238"/>
      <c r="AK118" s="238"/>
    </row>
    <row r="119" spans="2:37" ht="13.2">
      <c r="B119" s="619" t="s">
        <v>199</v>
      </c>
      <c r="C119" s="619"/>
      <c r="D119" s="619"/>
      <c r="E119" s="619"/>
      <c r="F119" s="619"/>
      <c r="G119" s="619"/>
      <c r="H119" s="619"/>
      <c r="I119" s="619"/>
      <c r="J119" s="619"/>
      <c r="K119" s="619"/>
      <c r="L119" s="619"/>
      <c r="M119" s="619"/>
      <c r="N119" s="619"/>
      <c r="O119" s="619"/>
      <c r="P119" s="619"/>
      <c r="Q119" s="619"/>
      <c r="R119" s="619"/>
      <c r="S119" s="619"/>
      <c r="T119" s="619"/>
      <c r="U119" s="619"/>
      <c r="V119" s="619"/>
      <c r="W119" s="619"/>
      <c r="X119" s="619"/>
      <c r="Y119" s="619"/>
      <c r="Z119" s="619"/>
      <c r="AA119" s="619"/>
      <c r="AB119" s="619"/>
      <c r="AC119" s="619"/>
      <c r="AD119" s="619"/>
      <c r="AE119" s="619"/>
      <c r="AF119" s="619"/>
      <c r="AG119" s="619"/>
      <c r="AH119" s="619"/>
      <c r="AI119" s="619"/>
      <c r="AJ119" s="619"/>
      <c r="AK119" s="619"/>
    </row>
    <row r="120" spans="2:37" ht="8.1" customHeight="1">
      <c r="B120" s="258"/>
      <c r="C120" s="238"/>
      <c r="D120" s="238"/>
      <c r="E120" s="238"/>
      <c r="F120" s="238"/>
      <c r="G120" s="238"/>
      <c r="H120" s="238"/>
      <c r="I120" s="238"/>
      <c r="J120" s="238"/>
      <c r="K120" s="238"/>
      <c r="L120" s="238"/>
      <c r="M120" s="238"/>
      <c r="N120" s="238"/>
      <c r="O120" s="238"/>
      <c r="P120" s="238"/>
      <c r="Q120" s="238"/>
      <c r="R120" s="238"/>
      <c r="S120" s="238"/>
      <c r="T120" s="238"/>
      <c r="U120" s="238"/>
      <c r="V120" s="238"/>
      <c r="W120" s="238"/>
      <c r="X120" s="238"/>
      <c r="Y120" s="238"/>
      <c r="Z120" s="238"/>
      <c r="AA120" s="238"/>
      <c r="AB120" s="238"/>
      <c r="AC120" s="238"/>
      <c r="AD120" s="238"/>
      <c r="AE120" s="238"/>
      <c r="AF120" s="238"/>
      <c r="AG120" s="238"/>
      <c r="AH120" s="238"/>
      <c r="AI120" s="238"/>
      <c r="AJ120" s="238"/>
      <c r="AK120" s="238"/>
    </row>
    <row r="121" spans="2:37" ht="13.2">
      <c r="B121" s="802" t="s">
        <v>200</v>
      </c>
      <c r="C121" s="802"/>
      <c r="D121" s="802"/>
      <c r="E121" s="802"/>
      <c r="F121" s="802"/>
      <c r="G121" s="802"/>
      <c r="H121" s="802"/>
      <c r="I121" s="802"/>
      <c r="J121" s="802"/>
      <c r="K121" s="802"/>
      <c r="L121" s="802"/>
      <c r="M121" s="802"/>
      <c r="N121" s="802"/>
      <c r="O121" s="802"/>
      <c r="P121" s="802"/>
      <c r="Q121" s="802"/>
      <c r="R121" s="802"/>
      <c r="S121" s="802"/>
      <c r="T121" s="802"/>
      <c r="U121" s="802"/>
      <c r="V121" s="802"/>
      <c r="W121" s="802"/>
      <c r="X121" s="802"/>
      <c r="Y121" s="802"/>
      <c r="Z121" s="802"/>
      <c r="AA121" s="802"/>
      <c r="AB121" s="802"/>
      <c r="AC121" s="802"/>
      <c r="AD121" s="802"/>
      <c r="AE121" s="802"/>
      <c r="AF121" s="802"/>
      <c r="AG121" s="802"/>
      <c r="AH121" s="802"/>
      <c r="AI121" s="802"/>
      <c r="AJ121" s="802"/>
      <c r="AK121" s="802"/>
    </row>
    <row r="122" spans="2:37" ht="13.2">
      <c r="B122" s="238"/>
      <c r="C122" s="238"/>
      <c r="D122" s="238"/>
      <c r="E122" s="238"/>
      <c r="F122" s="238"/>
      <c r="G122" s="238"/>
      <c r="H122" s="238"/>
      <c r="I122" s="238"/>
      <c r="J122" s="238"/>
      <c r="K122" s="238"/>
      <c r="L122" s="238"/>
      <c r="M122" s="238"/>
      <c r="N122" s="238"/>
      <c r="O122" s="238"/>
      <c r="P122" s="238"/>
      <c r="Q122" s="238"/>
      <c r="R122" s="238"/>
      <c r="S122" s="238"/>
      <c r="T122" s="238"/>
      <c r="U122" s="238"/>
      <c r="V122" s="238"/>
      <c r="W122" s="238"/>
      <c r="X122" s="238"/>
      <c r="Y122" s="238"/>
      <c r="Z122" s="238"/>
      <c r="AA122" s="238"/>
      <c r="AB122" s="238"/>
      <c r="AC122" s="238"/>
      <c r="AD122" s="238"/>
      <c r="AE122" s="238"/>
      <c r="AF122" s="238"/>
      <c r="AG122" s="238"/>
      <c r="AH122" s="238"/>
      <c r="AI122" s="238"/>
      <c r="AJ122" s="238"/>
      <c r="AK122" s="238"/>
    </row>
    <row r="123" spans="2:37" ht="33.75" customHeight="1">
      <c r="B123" s="798" t="s">
        <v>201</v>
      </c>
      <c r="C123" s="798"/>
      <c r="D123" s="798"/>
      <c r="E123" s="798"/>
      <c r="F123" s="798"/>
      <c r="G123" s="798"/>
      <c r="H123" s="798"/>
      <c r="I123" s="798"/>
      <c r="J123" s="798"/>
      <c r="K123" s="798"/>
      <c r="L123" s="798"/>
      <c r="M123" s="798"/>
      <c r="N123" s="798"/>
      <c r="O123" s="798"/>
      <c r="P123" s="798"/>
      <c r="Q123" s="798"/>
      <c r="R123" s="798"/>
      <c r="S123" s="798"/>
      <c r="T123" s="798"/>
      <c r="U123" s="798"/>
      <c r="V123" s="798"/>
      <c r="W123" s="798"/>
      <c r="X123" s="798"/>
      <c r="Y123" s="798"/>
      <c r="Z123" s="798"/>
      <c r="AA123" s="798"/>
      <c r="AB123" s="798"/>
      <c r="AC123" s="798"/>
      <c r="AD123" s="798"/>
      <c r="AE123" s="798"/>
      <c r="AF123" s="798"/>
      <c r="AG123" s="798"/>
      <c r="AH123" s="798"/>
      <c r="AI123" s="798"/>
      <c r="AJ123" s="798"/>
      <c r="AK123" s="798"/>
    </row>
    <row r="124" spans="2:37" ht="8.1" customHeight="1">
      <c r="B124" s="271"/>
      <c r="C124" s="241"/>
      <c r="D124" s="241"/>
      <c r="E124" s="241"/>
      <c r="F124" s="241"/>
      <c r="G124" s="241"/>
      <c r="H124" s="241"/>
      <c r="I124" s="241"/>
      <c r="J124" s="241"/>
      <c r="K124" s="241"/>
      <c r="L124" s="241"/>
      <c r="M124" s="241"/>
      <c r="N124" s="241"/>
      <c r="O124" s="241"/>
      <c r="P124" s="241"/>
      <c r="Q124" s="241"/>
      <c r="R124" s="241"/>
      <c r="S124" s="241"/>
      <c r="T124" s="241"/>
      <c r="U124" s="241"/>
      <c r="V124" s="241"/>
      <c r="W124" s="241"/>
      <c r="X124" s="241"/>
      <c r="Y124" s="241"/>
      <c r="Z124" s="241"/>
      <c r="AA124" s="241"/>
      <c r="AB124" s="241"/>
      <c r="AC124" s="241"/>
      <c r="AD124" s="241"/>
      <c r="AE124" s="241"/>
      <c r="AF124" s="241"/>
      <c r="AG124" s="241"/>
      <c r="AH124" s="241"/>
      <c r="AI124" s="241"/>
      <c r="AJ124" s="241"/>
      <c r="AK124" s="241"/>
    </row>
    <row r="125" spans="2:37" ht="47.25" customHeight="1">
      <c r="B125" s="798" t="s">
        <v>202</v>
      </c>
      <c r="C125" s="798"/>
      <c r="D125" s="798"/>
      <c r="E125" s="798"/>
      <c r="F125" s="798"/>
      <c r="G125" s="798"/>
      <c r="H125" s="798"/>
      <c r="I125" s="798"/>
      <c r="J125" s="798"/>
      <c r="K125" s="798"/>
      <c r="L125" s="798"/>
      <c r="M125" s="798"/>
      <c r="N125" s="798"/>
      <c r="O125" s="798"/>
      <c r="P125" s="798"/>
      <c r="Q125" s="798"/>
      <c r="R125" s="798"/>
      <c r="S125" s="798"/>
      <c r="T125" s="798"/>
      <c r="U125" s="798"/>
      <c r="V125" s="798"/>
      <c r="W125" s="798"/>
      <c r="X125" s="798"/>
      <c r="Y125" s="798"/>
      <c r="Z125" s="798"/>
      <c r="AA125" s="798"/>
      <c r="AB125" s="798"/>
      <c r="AC125" s="798"/>
      <c r="AD125" s="798"/>
      <c r="AE125" s="798"/>
      <c r="AF125" s="798"/>
      <c r="AG125" s="798"/>
      <c r="AH125" s="798"/>
      <c r="AI125" s="798"/>
      <c r="AJ125" s="798"/>
      <c r="AK125" s="798"/>
    </row>
    <row r="126" spans="2:37" ht="8.1" customHeight="1">
      <c r="B126" s="271"/>
      <c r="C126" s="241"/>
      <c r="D126" s="241"/>
      <c r="E126" s="241"/>
      <c r="F126" s="241"/>
      <c r="G126" s="241"/>
      <c r="H126" s="241"/>
      <c r="I126" s="241"/>
      <c r="J126" s="241"/>
      <c r="K126" s="241"/>
      <c r="L126" s="241"/>
      <c r="M126" s="241"/>
      <c r="N126" s="241"/>
      <c r="O126" s="241"/>
      <c r="P126" s="241"/>
      <c r="Q126" s="241"/>
      <c r="R126" s="241"/>
      <c r="S126" s="241"/>
      <c r="T126" s="241"/>
      <c r="U126" s="241"/>
      <c r="V126" s="241"/>
      <c r="W126" s="241"/>
      <c r="X126" s="241"/>
      <c r="Y126" s="241"/>
      <c r="Z126" s="241"/>
      <c r="AA126" s="241"/>
      <c r="AB126" s="241"/>
      <c r="AC126" s="241"/>
      <c r="AD126" s="241"/>
      <c r="AE126" s="241"/>
      <c r="AF126" s="241"/>
      <c r="AG126" s="241"/>
      <c r="AH126" s="241"/>
      <c r="AI126" s="241"/>
      <c r="AJ126" s="241"/>
      <c r="AK126" s="241"/>
    </row>
    <row r="127" spans="2:37" ht="20.25" customHeight="1">
      <c r="B127" s="798" t="s">
        <v>203</v>
      </c>
      <c r="C127" s="798"/>
      <c r="D127" s="798"/>
      <c r="E127" s="798"/>
      <c r="F127" s="798"/>
      <c r="G127" s="798"/>
      <c r="H127" s="798"/>
      <c r="I127" s="798"/>
      <c r="J127" s="798"/>
      <c r="K127" s="798"/>
      <c r="L127" s="798"/>
      <c r="M127" s="798"/>
      <c r="N127" s="798"/>
      <c r="O127" s="798"/>
      <c r="P127" s="798"/>
      <c r="Q127" s="798"/>
      <c r="R127" s="798"/>
      <c r="S127" s="798"/>
      <c r="T127" s="798"/>
      <c r="U127" s="798"/>
      <c r="V127" s="798"/>
      <c r="W127" s="798"/>
      <c r="X127" s="798"/>
      <c r="Y127" s="798"/>
      <c r="Z127" s="798"/>
      <c r="AA127" s="798"/>
      <c r="AB127" s="798"/>
      <c r="AC127" s="798"/>
      <c r="AD127" s="798"/>
      <c r="AE127" s="798"/>
      <c r="AF127" s="798"/>
      <c r="AG127" s="798"/>
      <c r="AH127" s="798"/>
      <c r="AI127" s="798"/>
      <c r="AJ127" s="798"/>
      <c r="AK127" s="798"/>
    </row>
    <row r="128" spans="2:37" ht="8.1" customHeight="1">
      <c r="B128" s="271"/>
      <c r="C128" s="241"/>
      <c r="D128" s="241"/>
      <c r="E128" s="241"/>
      <c r="F128" s="241"/>
      <c r="G128" s="241"/>
      <c r="H128" s="241"/>
      <c r="I128" s="241"/>
      <c r="J128" s="241"/>
      <c r="K128" s="241"/>
      <c r="L128" s="241"/>
      <c r="M128" s="241"/>
      <c r="N128" s="241"/>
      <c r="O128" s="241"/>
      <c r="P128" s="241"/>
      <c r="Q128" s="241"/>
      <c r="R128" s="241"/>
      <c r="S128" s="241"/>
      <c r="T128" s="241"/>
      <c r="U128" s="241"/>
      <c r="V128" s="241"/>
      <c r="W128" s="241"/>
      <c r="X128" s="241"/>
      <c r="Y128" s="241"/>
      <c r="Z128" s="241"/>
      <c r="AA128" s="241"/>
      <c r="AB128" s="241"/>
      <c r="AC128" s="241"/>
      <c r="AD128" s="241"/>
      <c r="AE128" s="241"/>
      <c r="AF128" s="241"/>
      <c r="AG128" s="241"/>
      <c r="AH128" s="241"/>
      <c r="AI128" s="241"/>
      <c r="AJ128" s="241"/>
      <c r="AK128" s="241"/>
    </row>
    <row r="129" spans="2:37" ht="33" customHeight="1">
      <c r="B129" s="798" t="s">
        <v>204</v>
      </c>
      <c r="C129" s="798"/>
      <c r="D129" s="798"/>
      <c r="E129" s="798"/>
      <c r="F129" s="798"/>
      <c r="G129" s="798"/>
      <c r="H129" s="798"/>
      <c r="I129" s="798"/>
      <c r="J129" s="798"/>
      <c r="K129" s="798"/>
      <c r="L129" s="798"/>
      <c r="M129" s="798"/>
      <c r="N129" s="798"/>
      <c r="O129" s="798"/>
      <c r="P129" s="798"/>
      <c r="Q129" s="798"/>
      <c r="R129" s="798"/>
      <c r="S129" s="798"/>
      <c r="T129" s="798"/>
      <c r="U129" s="798"/>
      <c r="V129" s="798"/>
      <c r="W129" s="798"/>
      <c r="X129" s="798"/>
      <c r="Y129" s="798"/>
      <c r="Z129" s="798"/>
      <c r="AA129" s="798"/>
      <c r="AB129" s="798"/>
      <c r="AC129" s="798"/>
      <c r="AD129" s="798"/>
      <c r="AE129" s="798"/>
      <c r="AF129" s="798"/>
      <c r="AG129" s="798"/>
      <c r="AH129" s="798"/>
      <c r="AI129" s="798"/>
      <c r="AJ129" s="798"/>
      <c r="AK129" s="798"/>
    </row>
    <row r="130" spans="2:37" ht="8.1" customHeight="1">
      <c r="B130" s="271"/>
      <c r="C130" s="241"/>
      <c r="D130" s="241"/>
      <c r="E130" s="241"/>
      <c r="F130" s="241"/>
      <c r="G130" s="241"/>
      <c r="H130" s="241"/>
      <c r="I130" s="241"/>
      <c r="J130" s="241"/>
      <c r="K130" s="241"/>
      <c r="L130" s="241"/>
      <c r="M130" s="241"/>
      <c r="N130" s="241"/>
      <c r="O130" s="241"/>
      <c r="P130" s="241"/>
      <c r="Q130" s="241"/>
      <c r="R130" s="241"/>
      <c r="S130" s="241"/>
      <c r="T130" s="241"/>
      <c r="U130" s="241"/>
      <c r="V130" s="241"/>
      <c r="W130" s="241"/>
      <c r="X130" s="241"/>
      <c r="Y130" s="241"/>
      <c r="Z130" s="241"/>
      <c r="AA130" s="241"/>
      <c r="AB130" s="241"/>
      <c r="AC130" s="241"/>
      <c r="AD130" s="241"/>
      <c r="AE130" s="241"/>
      <c r="AF130" s="241"/>
      <c r="AG130" s="241"/>
      <c r="AH130" s="241"/>
      <c r="AI130" s="241"/>
      <c r="AJ130" s="241"/>
      <c r="AK130" s="241"/>
    </row>
    <row r="131" spans="2:37" ht="45.75" customHeight="1">
      <c r="B131" s="798" t="s">
        <v>205</v>
      </c>
      <c r="C131" s="798"/>
      <c r="D131" s="798"/>
      <c r="E131" s="798"/>
      <c r="F131" s="798"/>
      <c r="G131" s="798"/>
      <c r="H131" s="798"/>
      <c r="I131" s="798"/>
      <c r="J131" s="798"/>
      <c r="K131" s="798"/>
      <c r="L131" s="798"/>
      <c r="M131" s="798"/>
      <c r="N131" s="798"/>
      <c r="O131" s="798"/>
      <c r="P131" s="798"/>
      <c r="Q131" s="798"/>
      <c r="R131" s="798"/>
      <c r="S131" s="798"/>
      <c r="T131" s="798"/>
      <c r="U131" s="798"/>
      <c r="V131" s="798"/>
      <c r="W131" s="798"/>
      <c r="X131" s="798"/>
      <c r="Y131" s="798"/>
      <c r="Z131" s="798"/>
      <c r="AA131" s="798"/>
      <c r="AB131" s="798"/>
      <c r="AC131" s="798"/>
      <c r="AD131" s="798"/>
      <c r="AE131" s="798"/>
      <c r="AF131" s="798"/>
      <c r="AG131" s="798"/>
      <c r="AH131" s="798"/>
      <c r="AI131" s="798"/>
      <c r="AJ131" s="798"/>
      <c r="AK131" s="798"/>
    </row>
    <row r="132" spans="2:37" ht="8.1" customHeight="1">
      <c r="B132" s="271"/>
      <c r="C132" s="241"/>
      <c r="D132" s="241"/>
      <c r="E132" s="241"/>
      <c r="F132" s="241"/>
      <c r="G132" s="241"/>
      <c r="H132" s="241"/>
      <c r="I132" s="241"/>
      <c r="J132" s="241"/>
      <c r="K132" s="241"/>
      <c r="L132" s="241"/>
      <c r="M132" s="241"/>
      <c r="N132" s="241"/>
      <c r="O132" s="241"/>
      <c r="P132" s="241"/>
      <c r="Q132" s="241"/>
      <c r="R132" s="241"/>
      <c r="S132" s="241"/>
      <c r="T132" s="241"/>
      <c r="U132" s="241"/>
      <c r="V132" s="241"/>
      <c r="W132" s="241"/>
      <c r="X132" s="241"/>
      <c r="Y132" s="241"/>
      <c r="Z132" s="241"/>
      <c r="AA132" s="241"/>
      <c r="AB132" s="241"/>
      <c r="AC132" s="241"/>
      <c r="AD132" s="241"/>
      <c r="AE132" s="241"/>
      <c r="AF132" s="241"/>
      <c r="AG132" s="241"/>
      <c r="AH132" s="241"/>
      <c r="AI132" s="241"/>
      <c r="AJ132" s="241"/>
      <c r="AK132" s="241"/>
    </row>
    <row r="133" spans="2:37" ht="20.25" customHeight="1">
      <c r="B133" s="798" t="s">
        <v>206</v>
      </c>
      <c r="C133" s="798"/>
      <c r="D133" s="798"/>
      <c r="E133" s="798"/>
      <c r="F133" s="798"/>
      <c r="G133" s="798"/>
      <c r="H133" s="798"/>
      <c r="I133" s="798"/>
      <c r="J133" s="798"/>
      <c r="K133" s="798"/>
      <c r="L133" s="798"/>
      <c r="M133" s="798"/>
      <c r="N133" s="798"/>
      <c r="O133" s="798"/>
      <c r="P133" s="798"/>
      <c r="Q133" s="798"/>
      <c r="R133" s="798"/>
      <c r="S133" s="798"/>
      <c r="T133" s="798"/>
      <c r="U133" s="798"/>
      <c r="V133" s="798"/>
      <c r="W133" s="798"/>
      <c r="X133" s="798"/>
      <c r="Y133" s="798"/>
      <c r="Z133" s="798"/>
      <c r="AA133" s="798"/>
      <c r="AB133" s="798"/>
      <c r="AC133" s="798"/>
      <c r="AD133" s="798"/>
      <c r="AE133" s="798"/>
      <c r="AF133" s="798"/>
      <c r="AG133" s="798"/>
      <c r="AH133" s="798"/>
      <c r="AI133" s="798"/>
      <c r="AJ133" s="798"/>
      <c r="AK133" s="798"/>
    </row>
    <row r="134" spans="2:37" ht="6" customHeight="1">
      <c r="B134" s="272"/>
      <c r="C134" s="272"/>
      <c r="D134" s="272"/>
      <c r="E134" s="272"/>
      <c r="F134" s="272"/>
      <c r="G134" s="272"/>
      <c r="H134" s="272"/>
      <c r="I134" s="272"/>
      <c r="J134" s="272"/>
      <c r="K134" s="272"/>
      <c r="L134" s="272"/>
      <c r="M134" s="272"/>
      <c r="N134" s="272"/>
      <c r="O134" s="272"/>
      <c r="P134" s="272"/>
      <c r="Q134" s="272"/>
      <c r="R134" s="272"/>
      <c r="S134" s="272"/>
      <c r="T134" s="272"/>
      <c r="U134" s="272"/>
      <c r="V134" s="272"/>
      <c r="W134" s="272"/>
      <c r="X134" s="272"/>
      <c r="Y134" s="272"/>
      <c r="Z134" s="272"/>
      <c r="AA134" s="272"/>
      <c r="AB134" s="272"/>
      <c r="AC134" s="272"/>
      <c r="AD134" s="272"/>
      <c r="AE134" s="272"/>
      <c r="AF134" s="272"/>
      <c r="AG134" s="272"/>
      <c r="AH134" s="272"/>
      <c r="AI134" s="272"/>
      <c r="AJ134" s="272"/>
      <c r="AK134" s="272"/>
    </row>
    <row r="135" spans="2:37" ht="13.2">
      <c r="B135" s="562" t="s">
        <v>207</v>
      </c>
      <c r="C135" s="562"/>
      <c r="D135" s="562"/>
      <c r="E135" s="562"/>
      <c r="F135" s="562"/>
      <c r="G135" s="562"/>
      <c r="H135" s="562"/>
      <c r="I135" s="562"/>
      <c r="J135" s="562"/>
      <c r="K135" s="562"/>
      <c r="L135" s="562"/>
      <c r="M135" s="562"/>
      <c r="N135" s="562"/>
      <c r="O135" s="562"/>
      <c r="P135" s="562"/>
      <c r="Q135" s="562"/>
      <c r="R135" s="562"/>
      <c r="S135" s="562"/>
      <c r="T135" s="562"/>
      <c r="U135" s="562"/>
      <c r="V135" s="562"/>
      <c r="W135" s="562"/>
      <c r="X135" s="562"/>
      <c r="Y135" s="562"/>
      <c r="Z135" s="562"/>
      <c r="AA135" s="562"/>
      <c r="AB135" s="562"/>
      <c r="AC135" s="562"/>
      <c r="AD135" s="562"/>
      <c r="AE135" s="562"/>
      <c r="AF135" s="562"/>
      <c r="AG135" s="562"/>
      <c r="AH135" s="562"/>
      <c r="AI135" s="562"/>
      <c r="AJ135" s="562"/>
      <c r="AK135" s="562"/>
    </row>
    <row r="136" spans="2:37" ht="59.25" customHeight="1">
      <c r="B136" s="562" t="s">
        <v>344</v>
      </c>
      <c r="C136" s="562"/>
      <c r="D136" s="562"/>
      <c r="E136" s="562"/>
      <c r="F136" s="562"/>
      <c r="G136" s="562"/>
      <c r="H136" s="562"/>
      <c r="I136" s="562"/>
      <c r="J136" s="562"/>
      <c r="K136" s="562"/>
      <c r="L136" s="562"/>
      <c r="M136" s="562"/>
      <c r="N136" s="562"/>
      <c r="O136" s="562"/>
      <c r="P136" s="562"/>
      <c r="Q136" s="562"/>
      <c r="R136" s="562"/>
      <c r="S136" s="562"/>
      <c r="T136" s="562"/>
      <c r="U136" s="562"/>
      <c r="V136" s="562"/>
      <c r="W136" s="562"/>
      <c r="X136" s="562"/>
      <c r="Y136" s="562"/>
      <c r="Z136" s="562"/>
      <c r="AA136" s="562"/>
      <c r="AB136" s="562"/>
      <c r="AC136" s="562"/>
      <c r="AD136" s="562"/>
      <c r="AE136" s="562"/>
      <c r="AF136" s="562"/>
      <c r="AG136" s="562"/>
      <c r="AH136" s="562"/>
      <c r="AI136" s="562"/>
      <c r="AJ136" s="562"/>
      <c r="AK136" s="562"/>
    </row>
    <row r="137" spans="2:37" ht="21.75" customHeight="1">
      <c r="B137" s="562" t="s">
        <v>209</v>
      </c>
      <c r="C137" s="562"/>
      <c r="D137" s="562"/>
      <c r="E137" s="562"/>
      <c r="F137" s="562"/>
      <c r="G137" s="562"/>
      <c r="H137" s="562"/>
      <c r="I137" s="562"/>
      <c r="J137" s="562"/>
      <c r="K137" s="562"/>
      <c r="L137" s="562"/>
      <c r="M137" s="562"/>
      <c r="N137" s="562"/>
      <c r="O137" s="562"/>
      <c r="P137" s="562"/>
      <c r="Q137" s="562"/>
      <c r="R137" s="562"/>
      <c r="S137" s="562"/>
      <c r="T137" s="562"/>
      <c r="U137" s="562"/>
      <c r="V137" s="562"/>
      <c r="W137" s="562"/>
      <c r="X137" s="562"/>
      <c r="Y137" s="562"/>
      <c r="Z137" s="562"/>
      <c r="AA137" s="562"/>
      <c r="AB137" s="562"/>
      <c r="AC137" s="562"/>
      <c r="AD137" s="562"/>
      <c r="AE137" s="562"/>
      <c r="AF137" s="562"/>
      <c r="AG137" s="562"/>
      <c r="AH137" s="562"/>
      <c r="AI137" s="562"/>
      <c r="AJ137" s="562"/>
      <c r="AK137" s="562"/>
    </row>
    <row r="138" spans="2:37" ht="24" customHeight="1">
      <c r="B138" s="562" t="s">
        <v>210</v>
      </c>
      <c r="C138" s="562"/>
      <c r="D138" s="562"/>
      <c r="E138" s="562"/>
      <c r="F138" s="562"/>
      <c r="G138" s="562"/>
      <c r="H138" s="562"/>
      <c r="I138" s="562"/>
      <c r="J138" s="562"/>
      <c r="K138" s="562"/>
      <c r="L138" s="562"/>
      <c r="M138" s="562"/>
      <c r="N138" s="562"/>
      <c r="O138" s="562"/>
      <c r="P138" s="562"/>
      <c r="Q138" s="562"/>
      <c r="R138" s="562"/>
      <c r="S138" s="562"/>
      <c r="T138" s="562"/>
      <c r="U138" s="562"/>
      <c r="V138" s="562"/>
      <c r="W138" s="562"/>
      <c r="X138" s="562"/>
      <c r="Y138" s="562"/>
      <c r="Z138" s="562"/>
      <c r="AA138" s="562"/>
      <c r="AB138" s="562"/>
      <c r="AC138" s="562"/>
      <c r="AD138" s="562"/>
      <c r="AE138" s="562"/>
      <c r="AF138" s="562"/>
      <c r="AG138" s="562"/>
      <c r="AH138" s="562"/>
      <c r="AI138" s="562"/>
      <c r="AJ138" s="562"/>
      <c r="AK138" s="562"/>
    </row>
    <row r="139" spans="2:37" ht="34.5" customHeight="1">
      <c r="B139" s="562" t="s">
        <v>211</v>
      </c>
      <c r="C139" s="562"/>
      <c r="D139" s="562"/>
      <c r="E139" s="562"/>
      <c r="F139" s="562"/>
      <c r="G139" s="562"/>
      <c r="H139" s="562"/>
      <c r="I139" s="562"/>
      <c r="J139" s="562"/>
      <c r="K139" s="562"/>
      <c r="L139" s="562"/>
      <c r="M139" s="562"/>
      <c r="N139" s="562"/>
      <c r="O139" s="562"/>
      <c r="P139" s="562"/>
      <c r="Q139" s="562"/>
      <c r="R139" s="562"/>
      <c r="S139" s="562"/>
      <c r="T139" s="562"/>
      <c r="U139" s="562"/>
      <c r="V139" s="562"/>
      <c r="W139" s="562"/>
      <c r="X139" s="562"/>
      <c r="Y139" s="562"/>
      <c r="Z139" s="562"/>
      <c r="AA139" s="562"/>
      <c r="AB139" s="562"/>
      <c r="AC139" s="562"/>
      <c r="AD139" s="562"/>
      <c r="AE139" s="562"/>
      <c r="AF139" s="562"/>
      <c r="AG139" s="562"/>
      <c r="AH139" s="562"/>
      <c r="AI139" s="562"/>
      <c r="AJ139" s="562"/>
      <c r="AK139" s="562"/>
    </row>
    <row r="140" spans="2:37" ht="82.5" customHeight="1">
      <c r="B140" s="562" t="s">
        <v>212</v>
      </c>
      <c r="C140" s="562"/>
      <c r="D140" s="562"/>
      <c r="E140" s="562"/>
      <c r="F140" s="562"/>
      <c r="G140" s="562"/>
      <c r="H140" s="562"/>
      <c r="I140" s="562"/>
      <c r="J140" s="562"/>
      <c r="K140" s="562"/>
      <c r="L140" s="562"/>
      <c r="M140" s="562"/>
      <c r="N140" s="562"/>
      <c r="O140" s="562"/>
      <c r="P140" s="562"/>
      <c r="Q140" s="562"/>
      <c r="R140" s="562"/>
      <c r="S140" s="562"/>
      <c r="T140" s="562"/>
      <c r="U140" s="562"/>
      <c r="V140" s="562"/>
      <c r="W140" s="562"/>
      <c r="X140" s="562"/>
      <c r="Y140" s="562"/>
      <c r="Z140" s="562"/>
      <c r="AA140" s="562"/>
      <c r="AB140" s="562"/>
      <c r="AC140" s="562"/>
      <c r="AD140" s="562"/>
      <c r="AE140" s="562"/>
      <c r="AF140" s="562"/>
      <c r="AG140" s="562"/>
      <c r="AH140" s="562"/>
      <c r="AI140" s="562"/>
      <c r="AJ140" s="562"/>
      <c r="AK140" s="562"/>
    </row>
    <row r="141" spans="2:37" ht="13.2"/>
    <row r="142" spans="2:37" ht="48.75" customHeight="1">
      <c r="B142" s="566" t="s">
        <v>213</v>
      </c>
      <c r="C142" s="566"/>
      <c r="D142" s="566"/>
      <c r="E142" s="566"/>
      <c r="F142" s="566"/>
      <c r="G142" s="566"/>
      <c r="H142" s="566"/>
      <c r="I142" s="566"/>
      <c r="J142" s="566"/>
      <c r="K142" s="566"/>
      <c r="L142" s="566"/>
      <c r="M142" s="566"/>
      <c r="N142" s="566"/>
      <c r="O142" s="566"/>
      <c r="P142" s="566"/>
      <c r="Q142" s="566"/>
      <c r="R142" s="566"/>
      <c r="S142" s="566"/>
      <c r="T142" s="566"/>
      <c r="U142" s="566"/>
      <c r="V142" s="566"/>
      <c r="W142" s="566"/>
      <c r="X142" s="566"/>
      <c r="Y142" s="566"/>
      <c r="Z142" s="566"/>
      <c r="AA142" s="566"/>
      <c r="AB142" s="566"/>
      <c r="AC142" s="566"/>
      <c r="AD142" s="566"/>
      <c r="AE142" s="566"/>
      <c r="AF142" s="566"/>
      <c r="AG142" s="566"/>
      <c r="AH142" s="566"/>
      <c r="AI142" s="566"/>
      <c r="AJ142" s="566"/>
      <c r="AK142" s="566"/>
    </row>
    <row r="143" spans="2:37" ht="13.2">
      <c r="B143" s="232"/>
      <c r="C143" s="232"/>
      <c r="D143" s="232"/>
      <c r="E143" s="232"/>
      <c r="F143" s="232"/>
      <c r="G143" s="232"/>
      <c r="H143" s="232"/>
      <c r="I143" s="232"/>
      <c r="J143" s="232"/>
      <c r="K143" s="232"/>
      <c r="L143" s="232"/>
      <c r="M143" s="232"/>
      <c r="N143" s="232"/>
      <c r="O143" s="232"/>
      <c r="P143" s="232"/>
      <c r="Q143" s="232"/>
      <c r="R143" s="232"/>
      <c r="S143" s="232"/>
      <c r="T143" s="232"/>
      <c r="U143" s="232"/>
      <c r="V143" s="232"/>
      <c r="W143" s="232"/>
      <c r="X143" s="232"/>
      <c r="Y143" s="232"/>
      <c r="Z143" s="232"/>
      <c r="AA143" s="232"/>
      <c r="AB143" s="232"/>
      <c r="AC143" s="232"/>
      <c r="AD143" s="232"/>
      <c r="AE143" s="232"/>
      <c r="AF143" s="232"/>
      <c r="AG143" s="232"/>
      <c r="AH143" s="232"/>
      <c r="AI143" s="232"/>
      <c r="AJ143" s="232"/>
      <c r="AK143" s="232"/>
    </row>
    <row r="144" spans="2:37" ht="117.75" customHeight="1">
      <c r="B144" s="566" t="s">
        <v>214</v>
      </c>
      <c r="C144" s="566"/>
      <c r="D144" s="566"/>
      <c r="E144" s="566"/>
      <c r="F144" s="566"/>
      <c r="G144" s="566"/>
      <c r="H144" s="566"/>
      <c r="I144" s="566"/>
      <c r="J144" s="566"/>
      <c r="K144" s="566"/>
      <c r="L144" s="566"/>
      <c r="M144" s="566"/>
      <c r="N144" s="566"/>
      <c r="O144" s="566"/>
      <c r="P144" s="566"/>
      <c r="Q144" s="566"/>
      <c r="R144" s="566"/>
      <c r="S144" s="566"/>
      <c r="T144" s="566"/>
      <c r="U144" s="566"/>
      <c r="V144" s="566"/>
      <c r="W144" s="566"/>
      <c r="X144" s="566"/>
      <c r="Y144" s="566"/>
      <c r="Z144" s="566"/>
      <c r="AA144" s="566"/>
      <c r="AB144" s="566"/>
      <c r="AC144" s="566"/>
      <c r="AD144" s="566"/>
      <c r="AE144" s="566"/>
      <c r="AF144" s="566"/>
      <c r="AG144" s="566"/>
      <c r="AH144" s="566"/>
      <c r="AI144" s="566"/>
      <c r="AJ144" s="566"/>
      <c r="AK144" s="566"/>
    </row>
    <row r="145" spans="2:37" ht="106.5" customHeight="1">
      <c r="B145" s="562" t="s">
        <v>345</v>
      </c>
      <c r="C145" s="562"/>
      <c r="D145" s="562"/>
      <c r="E145" s="562"/>
      <c r="F145" s="562"/>
      <c r="G145" s="562"/>
      <c r="H145" s="562"/>
      <c r="I145" s="562"/>
      <c r="J145" s="562"/>
      <c r="K145" s="562"/>
      <c r="L145" s="562"/>
      <c r="M145" s="562"/>
      <c r="N145" s="562"/>
      <c r="O145" s="562"/>
      <c r="P145" s="562"/>
      <c r="Q145" s="562"/>
      <c r="R145" s="562"/>
      <c r="S145" s="562"/>
      <c r="T145" s="562"/>
      <c r="U145" s="562"/>
      <c r="V145" s="562"/>
      <c r="W145" s="562"/>
      <c r="X145" s="562"/>
      <c r="Y145" s="562"/>
      <c r="Z145" s="562"/>
      <c r="AA145" s="562"/>
      <c r="AB145" s="562"/>
      <c r="AC145" s="562"/>
      <c r="AD145" s="562"/>
      <c r="AE145" s="562"/>
      <c r="AF145" s="562"/>
      <c r="AG145" s="562"/>
      <c r="AH145" s="562"/>
      <c r="AI145" s="562"/>
      <c r="AJ145" s="562"/>
      <c r="AK145" s="562"/>
    </row>
    <row r="146" spans="2:37" ht="8.1" customHeight="1">
      <c r="B146" s="803"/>
      <c r="C146" s="803"/>
      <c r="D146" s="803"/>
      <c r="E146" s="803"/>
      <c r="F146" s="803"/>
      <c r="G146" s="803"/>
      <c r="H146" s="803"/>
      <c r="I146" s="803"/>
      <c r="J146" s="803"/>
      <c r="K146" s="803"/>
      <c r="L146" s="803"/>
      <c r="M146" s="803"/>
      <c r="N146" s="803"/>
      <c r="O146" s="803"/>
      <c r="P146" s="803"/>
      <c r="Q146" s="803"/>
      <c r="R146" s="803"/>
      <c r="S146" s="803"/>
      <c r="T146" s="803"/>
      <c r="U146" s="803"/>
      <c r="V146" s="803"/>
      <c r="W146" s="803"/>
      <c r="X146" s="803"/>
      <c r="Y146" s="803"/>
      <c r="Z146" s="803"/>
      <c r="AA146" s="803"/>
      <c r="AB146" s="803"/>
      <c r="AC146" s="803"/>
      <c r="AD146" s="803"/>
      <c r="AE146" s="803"/>
      <c r="AF146" s="803"/>
      <c r="AG146" s="803"/>
      <c r="AH146" s="803"/>
      <c r="AI146" s="803"/>
      <c r="AJ146" s="803"/>
      <c r="AK146" s="803"/>
    </row>
    <row r="147" spans="2:37" ht="36" customHeight="1">
      <c r="B147" s="566" t="s">
        <v>216</v>
      </c>
      <c r="C147" s="566"/>
      <c r="D147" s="566"/>
      <c r="E147" s="566"/>
      <c r="F147" s="566"/>
      <c r="G147" s="566"/>
      <c r="H147" s="566"/>
      <c r="I147" s="566"/>
      <c r="J147" s="566"/>
      <c r="K147" s="566"/>
      <c r="L147" s="566"/>
      <c r="M147" s="566"/>
      <c r="N147" s="566"/>
      <c r="O147" s="566"/>
      <c r="P147" s="566"/>
      <c r="Q147" s="566"/>
      <c r="R147" s="566"/>
      <c r="S147" s="566"/>
      <c r="T147" s="566"/>
      <c r="U147" s="566"/>
      <c r="V147" s="566"/>
      <c r="W147" s="566"/>
      <c r="X147" s="566"/>
      <c r="Y147" s="566"/>
      <c r="Z147" s="566"/>
      <c r="AA147" s="566"/>
      <c r="AB147" s="566"/>
      <c r="AC147" s="566"/>
      <c r="AD147" s="566"/>
      <c r="AE147" s="566"/>
      <c r="AF147" s="566"/>
      <c r="AG147" s="566"/>
      <c r="AH147" s="566"/>
      <c r="AI147" s="566"/>
      <c r="AJ147" s="566"/>
      <c r="AK147" s="566"/>
    </row>
    <row r="148" spans="2:37" ht="8.1" customHeight="1">
      <c r="B148" s="232"/>
      <c r="C148" s="232"/>
      <c r="D148" s="232"/>
      <c r="E148" s="232"/>
      <c r="F148" s="232"/>
      <c r="G148" s="232"/>
      <c r="H148" s="232"/>
      <c r="I148" s="232"/>
      <c r="J148" s="232"/>
      <c r="K148" s="232"/>
      <c r="L148" s="232"/>
      <c r="M148" s="232"/>
      <c r="N148" s="232"/>
      <c r="O148" s="232"/>
      <c r="P148" s="232"/>
      <c r="Q148" s="232"/>
      <c r="R148" s="232"/>
      <c r="S148" s="232"/>
      <c r="T148" s="232"/>
      <c r="U148" s="232"/>
      <c r="V148" s="232"/>
      <c r="W148" s="232"/>
      <c r="X148" s="232"/>
      <c r="Y148" s="232"/>
      <c r="Z148" s="232"/>
      <c r="AA148" s="232"/>
      <c r="AB148" s="232"/>
      <c r="AC148" s="232"/>
      <c r="AD148" s="232"/>
      <c r="AE148" s="232"/>
      <c r="AF148" s="232"/>
      <c r="AG148" s="232"/>
      <c r="AH148" s="232"/>
      <c r="AI148" s="232"/>
      <c r="AJ148" s="232"/>
      <c r="AK148" s="232"/>
    </row>
    <row r="149" spans="2:37" ht="71.25" customHeight="1">
      <c r="B149" s="566" t="s">
        <v>346</v>
      </c>
      <c r="C149" s="566"/>
      <c r="D149" s="566"/>
      <c r="E149" s="566"/>
      <c r="F149" s="566"/>
      <c r="G149" s="566"/>
      <c r="H149" s="566"/>
      <c r="I149" s="566"/>
      <c r="J149" s="566"/>
      <c r="K149" s="566"/>
      <c r="L149" s="566"/>
      <c r="M149" s="566"/>
      <c r="N149" s="566"/>
      <c r="O149" s="566"/>
      <c r="P149" s="566"/>
      <c r="Q149" s="566"/>
      <c r="R149" s="566"/>
      <c r="S149" s="566"/>
      <c r="T149" s="566"/>
      <c r="U149" s="566"/>
      <c r="V149" s="566"/>
      <c r="W149" s="566"/>
      <c r="X149" s="566"/>
      <c r="Y149" s="566"/>
      <c r="Z149" s="566"/>
      <c r="AA149" s="566"/>
      <c r="AB149" s="566"/>
      <c r="AC149" s="566"/>
      <c r="AD149" s="566"/>
      <c r="AE149" s="566"/>
      <c r="AF149" s="566"/>
      <c r="AG149" s="566"/>
      <c r="AH149" s="566"/>
      <c r="AI149" s="566"/>
      <c r="AJ149" s="566"/>
      <c r="AK149" s="566"/>
    </row>
    <row r="150" spans="2:37" ht="8.1" customHeight="1">
      <c r="B150" s="232"/>
      <c r="C150" s="232"/>
      <c r="D150" s="232"/>
      <c r="E150" s="232"/>
      <c r="F150" s="232"/>
      <c r="G150" s="232"/>
      <c r="H150" s="232"/>
      <c r="I150" s="232"/>
      <c r="J150" s="232"/>
      <c r="K150" s="232"/>
      <c r="L150" s="232"/>
      <c r="M150" s="232"/>
      <c r="N150" s="232"/>
      <c r="O150" s="232"/>
      <c r="P150" s="232"/>
      <c r="Q150" s="232"/>
      <c r="R150" s="232"/>
      <c r="S150" s="232"/>
      <c r="T150" s="232"/>
      <c r="U150" s="232"/>
      <c r="V150" s="232"/>
      <c r="W150" s="232"/>
      <c r="X150" s="232"/>
      <c r="Y150" s="232"/>
      <c r="Z150" s="232"/>
      <c r="AA150" s="232"/>
      <c r="AB150" s="232"/>
      <c r="AC150" s="232"/>
      <c r="AD150" s="232"/>
      <c r="AE150" s="232"/>
      <c r="AF150" s="232"/>
      <c r="AG150" s="232"/>
      <c r="AH150" s="232"/>
      <c r="AI150" s="232"/>
      <c r="AJ150" s="232"/>
      <c r="AK150" s="232"/>
    </row>
    <row r="151" spans="2:37" ht="34.5" customHeight="1">
      <c r="B151" s="566" t="s">
        <v>228</v>
      </c>
      <c r="C151" s="566"/>
      <c r="D151" s="566"/>
      <c r="E151" s="566"/>
      <c r="F151" s="566"/>
      <c r="G151" s="566"/>
      <c r="H151" s="566"/>
      <c r="I151" s="566"/>
      <c r="J151" s="566"/>
      <c r="K151" s="566"/>
      <c r="L151" s="566"/>
      <c r="M151" s="566"/>
      <c r="N151" s="566"/>
      <c r="O151" s="566"/>
      <c r="P151" s="566"/>
      <c r="Q151" s="566"/>
      <c r="R151" s="566"/>
      <c r="S151" s="566"/>
      <c r="T151" s="566"/>
      <c r="U151" s="566"/>
      <c r="V151" s="566"/>
      <c r="W151" s="566"/>
      <c r="X151" s="566"/>
      <c r="Y151" s="566"/>
      <c r="Z151" s="566"/>
      <c r="AA151" s="566"/>
      <c r="AB151" s="566"/>
      <c r="AC151" s="566"/>
      <c r="AD151" s="566"/>
      <c r="AE151" s="566"/>
      <c r="AF151" s="566"/>
      <c r="AG151" s="566"/>
      <c r="AH151" s="566"/>
      <c r="AI151" s="566"/>
      <c r="AJ151" s="566"/>
      <c r="AK151" s="566"/>
    </row>
    <row r="152" spans="2:37" ht="8.1" customHeight="1">
      <c r="B152" s="232"/>
      <c r="C152" s="232"/>
      <c r="D152" s="232"/>
      <c r="E152" s="232"/>
      <c r="F152" s="232"/>
      <c r="G152" s="232"/>
      <c r="H152" s="232"/>
      <c r="I152" s="232"/>
      <c r="J152" s="232"/>
      <c r="K152" s="232"/>
      <c r="L152" s="232"/>
      <c r="M152" s="232"/>
      <c r="N152" s="232"/>
      <c r="O152" s="232"/>
      <c r="P152" s="232"/>
      <c r="Q152" s="232"/>
      <c r="R152" s="232"/>
      <c r="S152" s="232"/>
      <c r="T152" s="232"/>
      <c r="U152" s="232"/>
      <c r="V152" s="232"/>
      <c r="W152" s="232"/>
      <c r="X152" s="232"/>
      <c r="Y152" s="232"/>
      <c r="Z152" s="232"/>
      <c r="AA152" s="232"/>
      <c r="AB152" s="232"/>
      <c r="AC152" s="232"/>
      <c r="AD152" s="232"/>
      <c r="AE152" s="232"/>
      <c r="AF152" s="232"/>
      <c r="AG152" s="232"/>
      <c r="AH152" s="232"/>
      <c r="AI152" s="232"/>
      <c r="AJ152" s="232"/>
      <c r="AK152" s="232"/>
    </row>
    <row r="153" spans="2:37" ht="47.25" customHeight="1">
      <c r="B153" s="566" t="s">
        <v>229</v>
      </c>
      <c r="C153" s="566"/>
      <c r="D153" s="566"/>
      <c r="E153" s="566"/>
      <c r="F153" s="566"/>
      <c r="G153" s="566"/>
      <c r="H153" s="566"/>
      <c r="I153" s="566"/>
      <c r="J153" s="566"/>
      <c r="K153" s="566"/>
      <c r="L153" s="566"/>
      <c r="M153" s="566"/>
      <c r="N153" s="566"/>
      <c r="O153" s="566"/>
      <c r="P153" s="566"/>
      <c r="Q153" s="566"/>
      <c r="R153" s="566"/>
      <c r="S153" s="566"/>
      <c r="T153" s="566"/>
      <c r="U153" s="566"/>
      <c r="V153" s="566"/>
      <c r="W153" s="566"/>
      <c r="X153" s="566"/>
      <c r="Y153" s="566"/>
      <c r="Z153" s="566"/>
      <c r="AA153" s="566"/>
      <c r="AB153" s="566"/>
      <c r="AC153" s="566"/>
      <c r="AD153" s="566"/>
      <c r="AE153" s="566"/>
      <c r="AF153" s="566"/>
      <c r="AG153" s="566"/>
      <c r="AH153" s="566"/>
      <c r="AI153" s="566"/>
      <c r="AJ153" s="566"/>
      <c r="AK153" s="566"/>
    </row>
    <row r="154" spans="2:37" ht="8.1" customHeight="1">
      <c r="B154" s="562"/>
      <c r="C154" s="562"/>
      <c r="D154" s="562"/>
      <c r="E154" s="562"/>
      <c r="F154" s="562"/>
      <c r="G154" s="562"/>
      <c r="H154" s="562"/>
      <c r="I154" s="562"/>
      <c r="J154" s="562"/>
      <c r="K154" s="562"/>
      <c r="L154" s="562"/>
      <c r="M154" s="562"/>
      <c r="N154" s="562"/>
      <c r="O154" s="562"/>
      <c r="P154" s="562"/>
      <c r="Q154" s="562"/>
      <c r="R154" s="562"/>
      <c r="S154" s="562"/>
      <c r="T154" s="562"/>
      <c r="U154" s="562"/>
      <c r="V154" s="562"/>
      <c r="W154" s="562"/>
      <c r="X154" s="562"/>
      <c r="Y154" s="562"/>
      <c r="Z154" s="562"/>
      <c r="AA154" s="562"/>
      <c r="AB154" s="562"/>
      <c r="AC154" s="562"/>
      <c r="AD154" s="562"/>
      <c r="AE154" s="562"/>
      <c r="AF154" s="562"/>
      <c r="AG154" s="562"/>
      <c r="AH154" s="562"/>
      <c r="AI154" s="562"/>
      <c r="AJ154" s="562"/>
      <c r="AK154" s="562"/>
    </row>
    <row r="155" spans="2:37" ht="62.25" customHeight="1">
      <c r="B155" s="566" t="s">
        <v>230</v>
      </c>
      <c r="C155" s="566"/>
      <c r="D155" s="566"/>
      <c r="E155" s="566"/>
      <c r="F155" s="566"/>
      <c r="G155" s="566"/>
      <c r="H155" s="566"/>
      <c r="I155" s="566"/>
      <c r="J155" s="566"/>
      <c r="K155" s="566"/>
      <c r="L155" s="566"/>
      <c r="M155" s="566"/>
      <c r="N155" s="566"/>
      <c r="O155" s="566"/>
      <c r="P155" s="566"/>
      <c r="Q155" s="566"/>
      <c r="R155" s="566"/>
      <c r="S155" s="566"/>
      <c r="T155" s="566"/>
      <c r="U155" s="566"/>
      <c r="V155" s="566"/>
      <c r="W155" s="566"/>
      <c r="X155" s="566"/>
      <c r="Y155" s="566"/>
      <c r="Z155" s="566"/>
      <c r="AA155" s="566"/>
      <c r="AB155" s="566"/>
      <c r="AC155" s="566"/>
      <c r="AD155" s="566"/>
      <c r="AE155" s="566"/>
      <c r="AF155" s="566"/>
      <c r="AG155" s="566"/>
      <c r="AH155" s="566"/>
      <c r="AI155" s="566"/>
      <c r="AJ155" s="566"/>
      <c r="AK155" s="566"/>
    </row>
    <row r="156" spans="2:37" ht="25.5" customHeight="1">
      <c r="B156" s="562" t="s">
        <v>231</v>
      </c>
      <c r="C156" s="562"/>
      <c r="D156" s="562"/>
      <c r="E156" s="562"/>
      <c r="F156" s="562"/>
      <c r="G156" s="562"/>
      <c r="H156" s="562"/>
      <c r="I156" s="562"/>
      <c r="J156" s="562"/>
      <c r="K156" s="562"/>
      <c r="L156" s="562"/>
      <c r="M156" s="562"/>
      <c r="N156" s="562"/>
      <c r="O156" s="562"/>
      <c r="P156" s="562"/>
      <c r="Q156" s="562"/>
      <c r="R156" s="562"/>
      <c r="S156" s="562"/>
      <c r="T156" s="562"/>
      <c r="U156" s="562"/>
      <c r="V156" s="562"/>
      <c r="W156" s="562"/>
      <c r="X156" s="562"/>
      <c r="Y156" s="562"/>
      <c r="Z156" s="562"/>
      <c r="AA156" s="562"/>
      <c r="AB156" s="562"/>
      <c r="AC156" s="562"/>
      <c r="AD156" s="562"/>
      <c r="AE156" s="562"/>
      <c r="AF156" s="562"/>
      <c r="AG156" s="562"/>
      <c r="AH156" s="562"/>
      <c r="AI156" s="562"/>
      <c r="AJ156" s="562"/>
      <c r="AK156" s="562"/>
    </row>
    <row r="157" spans="2:37" ht="8.1" customHeight="1">
      <c r="B157" s="232"/>
      <c r="C157" s="232"/>
      <c r="D157" s="232"/>
      <c r="E157" s="232"/>
      <c r="F157" s="232"/>
      <c r="G157" s="232"/>
      <c r="H157" s="232"/>
      <c r="I157" s="232"/>
      <c r="J157" s="232"/>
      <c r="K157" s="232"/>
      <c r="L157" s="232"/>
      <c r="M157" s="232"/>
      <c r="N157" s="232"/>
      <c r="O157" s="232"/>
      <c r="P157" s="232"/>
      <c r="Q157" s="232"/>
      <c r="R157" s="232"/>
      <c r="S157" s="232"/>
      <c r="T157" s="232"/>
      <c r="U157" s="232"/>
      <c r="V157" s="232"/>
      <c r="W157" s="232"/>
      <c r="X157" s="232"/>
      <c r="Y157" s="232"/>
      <c r="Z157" s="232"/>
      <c r="AA157" s="232"/>
      <c r="AB157" s="232"/>
      <c r="AC157" s="232"/>
      <c r="AD157" s="232"/>
      <c r="AE157" s="232"/>
      <c r="AF157" s="232"/>
      <c r="AG157" s="232"/>
      <c r="AH157" s="232"/>
      <c r="AI157" s="232"/>
      <c r="AJ157" s="232"/>
      <c r="AK157" s="232"/>
    </row>
    <row r="158" spans="2:37" ht="69.75" customHeight="1">
      <c r="B158" s="566" t="s">
        <v>232</v>
      </c>
      <c r="C158" s="566"/>
      <c r="D158" s="566"/>
      <c r="E158" s="566"/>
      <c r="F158" s="566"/>
      <c r="G158" s="566"/>
      <c r="H158" s="566"/>
      <c r="I158" s="566"/>
      <c r="J158" s="566"/>
      <c r="K158" s="566"/>
      <c r="L158" s="566"/>
      <c r="M158" s="566"/>
      <c r="N158" s="566"/>
      <c r="O158" s="566"/>
      <c r="P158" s="566"/>
      <c r="Q158" s="566"/>
      <c r="R158" s="566"/>
      <c r="S158" s="566"/>
      <c r="T158" s="566"/>
      <c r="U158" s="566"/>
      <c r="V158" s="566"/>
      <c r="W158" s="566"/>
      <c r="X158" s="566"/>
      <c r="Y158" s="566"/>
      <c r="Z158" s="566"/>
      <c r="AA158" s="566"/>
      <c r="AB158" s="566"/>
      <c r="AC158" s="566"/>
      <c r="AD158" s="566"/>
      <c r="AE158" s="566"/>
      <c r="AF158" s="566"/>
      <c r="AG158" s="566"/>
      <c r="AH158" s="566"/>
      <c r="AI158" s="566"/>
      <c r="AJ158" s="566"/>
      <c r="AK158" s="566"/>
    </row>
    <row r="159" spans="2:37" ht="8.1" customHeight="1">
      <c r="B159" s="232"/>
      <c r="C159" s="232"/>
      <c r="D159" s="232"/>
      <c r="E159" s="232"/>
      <c r="F159" s="232"/>
      <c r="G159" s="232"/>
      <c r="H159" s="232"/>
      <c r="I159" s="232"/>
      <c r="J159" s="232"/>
      <c r="K159" s="232"/>
      <c r="L159" s="232"/>
      <c r="M159" s="232"/>
      <c r="N159" s="232"/>
      <c r="O159" s="232"/>
      <c r="P159" s="232"/>
      <c r="Q159" s="232"/>
      <c r="R159" s="232"/>
      <c r="S159" s="232"/>
      <c r="T159" s="232"/>
      <c r="U159" s="232"/>
      <c r="V159" s="232"/>
      <c r="W159" s="232"/>
      <c r="X159" s="232"/>
      <c r="Y159" s="232"/>
      <c r="Z159" s="232"/>
      <c r="AA159" s="232"/>
      <c r="AB159" s="232"/>
      <c r="AC159" s="232"/>
      <c r="AD159" s="232"/>
      <c r="AE159" s="232"/>
      <c r="AF159" s="232"/>
      <c r="AG159" s="232"/>
      <c r="AH159" s="232"/>
      <c r="AI159" s="232"/>
      <c r="AJ159" s="232"/>
      <c r="AK159" s="232"/>
    </row>
    <row r="160" spans="2:37" ht="89.25" customHeight="1">
      <c r="B160" s="566" t="s">
        <v>233</v>
      </c>
      <c r="C160" s="566"/>
      <c r="D160" s="566"/>
      <c r="E160" s="566"/>
      <c r="F160" s="566"/>
      <c r="G160" s="566"/>
      <c r="H160" s="566"/>
      <c r="I160" s="566"/>
      <c r="J160" s="566"/>
      <c r="K160" s="566"/>
      <c r="L160" s="566"/>
      <c r="M160" s="566"/>
      <c r="N160" s="566"/>
      <c r="O160" s="566"/>
      <c r="P160" s="566"/>
      <c r="Q160" s="566"/>
      <c r="R160" s="566"/>
      <c r="S160" s="566"/>
      <c r="T160" s="566"/>
      <c r="U160" s="566"/>
      <c r="V160" s="566"/>
      <c r="W160" s="566"/>
      <c r="X160" s="566"/>
      <c r="Y160" s="566"/>
      <c r="Z160" s="566"/>
      <c r="AA160" s="566"/>
      <c r="AB160" s="566"/>
      <c r="AC160" s="566"/>
      <c r="AD160" s="566"/>
      <c r="AE160" s="566"/>
      <c r="AF160" s="566"/>
      <c r="AG160" s="566"/>
      <c r="AH160" s="566"/>
      <c r="AI160" s="566"/>
      <c r="AJ160" s="566"/>
      <c r="AK160" s="566"/>
    </row>
    <row r="161" spans="2:37" ht="60" customHeight="1">
      <c r="B161" s="562" t="s">
        <v>234</v>
      </c>
      <c r="C161" s="562"/>
      <c r="D161" s="562"/>
      <c r="E161" s="562"/>
      <c r="F161" s="562"/>
      <c r="G161" s="562"/>
      <c r="H161" s="562"/>
      <c r="I161" s="562"/>
      <c r="J161" s="562"/>
      <c r="K161" s="562"/>
      <c r="L161" s="562"/>
      <c r="M161" s="562"/>
      <c r="N161" s="562"/>
      <c r="O161" s="562"/>
      <c r="P161" s="562"/>
      <c r="Q161" s="562"/>
      <c r="R161" s="562"/>
      <c r="S161" s="562"/>
      <c r="T161" s="562"/>
      <c r="U161" s="562"/>
      <c r="V161" s="562"/>
      <c r="W161" s="562"/>
      <c r="X161" s="562"/>
      <c r="Y161" s="562"/>
      <c r="Z161" s="562"/>
      <c r="AA161" s="562"/>
      <c r="AB161" s="562"/>
      <c r="AC161" s="562"/>
      <c r="AD161" s="562"/>
      <c r="AE161" s="562"/>
      <c r="AF161" s="562"/>
      <c r="AG161" s="562"/>
      <c r="AH161" s="562"/>
      <c r="AI161" s="562"/>
      <c r="AJ161" s="562"/>
      <c r="AK161" s="562"/>
    </row>
    <row r="162" spans="2:37" ht="24.75" customHeight="1">
      <c r="B162" s="562" t="s">
        <v>235</v>
      </c>
      <c r="C162" s="562"/>
      <c r="D162" s="562"/>
      <c r="E162" s="562"/>
      <c r="F162" s="562"/>
      <c r="G162" s="562"/>
      <c r="H162" s="562"/>
      <c r="I162" s="562"/>
      <c r="J162" s="562"/>
      <c r="K162" s="562"/>
      <c r="L162" s="562"/>
      <c r="M162" s="562"/>
      <c r="N162" s="562"/>
      <c r="O162" s="562"/>
      <c r="P162" s="562"/>
      <c r="Q162" s="562"/>
      <c r="R162" s="562"/>
      <c r="S162" s="562"/>
      <c r="T162" s="562"/>
      <c r="U162" s="562"/>
      <c r="V162" s="562"/>
      <c r="W162" s="562"/>
      <c r="X162" s="562"/>
      <c r="Y162" s="562"/>
      <c r="Z162" s="562"/>
      <c r="AA162" s="562"/>
      <c r="AB162" s="562"/>
      <c r="AC162" s="562"/>
      <c r="AD162" s="562"/>
      <c r="AE162" s="562"/>
      <c r="AF162" s="562"/>
      <c r="AG162" s="562"/>
      <c r="AH162" s="562"/>
      <c r="AI162" s="562"/>
      <c r="AJ162" s="562"/>
      <c r="AK162" s="562"/>
    </row>
    <row r="163" spans="2:37" ht="8.1" customHeight="1">
      <c r="B163" s="232"/>
      <c r="C163" s="232"/>
      <c r="D163" s="232"/>
      <c r="E163" s="232"/>
      <c r="F163" s="232"/>
      <c r="G163" s="232"/>
      <c r="H163" s="232"/>
      <c r="I163" s="232"/>
      <c r="J163" s="232"/>
      <c r="K163" s="232"/>
      <c r="L163" s="232"/>
      <c r="M163" s="232"/>
      <c r="N163" s="232"/>
      <c r="O163" s="232"/>
      <c r="P163" s="232"/>
      <c r="Q163" s="232"/>
      <c r="R163" s="232"/>
      <c r="S163" s="232"/>
      <c r="T163" s="232"/>
      <c r="U163" s="232"/>
      <c r="V163" s="232"/>
      <c r="W163" s="232"/>
      <c r="X163" s="232"/>
      <c r="Y163" s="232"/>
      <c r="Z163" s="232"/>
      <c r="AA163" s="232"/>
      <c r="AB163" s="232"/>
      <c r="AC163" s="232"/>
      <c r="AD163" s="232"/>
      <c r="AE163" s="232"/>
      <c r="AF163" s="232"/>
      <c r="AG163" s="232"/>
      <c r="AH163" s="232"/>
      <c r="AI163" s="232"/>
      <c r="AJ163" s="232"/>
      <c r="AK163" s="232"/>
    </row>
    <row r="164" spans="2:37" ht="331.5" customHeight="1">
      <c r="B164" s="566" t="s">
        <v>347</v>
      </c>
      <c r="C164" s="566"/>
      <c r="D164" s="566"/>
      <c r="E164" s="566"/>
      <c r="F164" s="566"/>
      <c r="G164" s="566"/>
      <c r="H164" s="566"/>
      <c r="I164" s="566"/>
      <c r="J164" s="566"/>
      <c r="K164" s="566"/>
      <c r="L164" s="566"/>
      <c r="M164" s="566"/>
      <c r="N164" s="566"/>
      <c r="O164" s="566"/>
      <c r="P164" s="566"/>
      <c r="Q164" s="566"/>
      <c r="R164" s="566"/>
      <c r="S164" s="566"/>
      <c r="T164" s="566"/>
      <c r="U164" s="566"/>
      <c r="V164" s="566"/>
      <c r="W164" s="566"/>
      <c r="X164" s="566"/>
      <c r="Y164" s="566"/>
      <c r="Z164" s="566"/>
      <c r="AA164" s="566"/>
      <c r="AB164" s="566"/>
      <c r="AC164" s="566"/>
      <c r="AD164" s="566"/>
      <c r="AE164" s="566"/>
      <c r="AF164" s="566"/>
      <c r="AG164" s="566"/>
      <c r="AH164" s="566"/>
      <c r="AI164" s="566"/>
      <c r="AJ164" s="566"/>
      <c r="AK164" s="566"/>
    </row>
    <row r="165" spans="2:37" ht="8.1" customHeight="1">
      <c r="B165" s="562"/>
      <c r="C165" s="562"/>
      <c r="D165" s="562"/>
      <c r="E165" s="562"/>
      <c r="F165" s="562"/>
      <c r="G165" s="562"/>
      <c r="H165" s="562"/>
      <c r="I165" s="562"/>
      <c r="J165" s="562"/>
      <c r="K165" s="562"/>
      <c r="L165" s="562"/>
      <c r="M165" s="562"/>
      <c r="N165" s="562"/>
      <c r="O165" s="562"/>
      <c r="P165" s="562"/>
      <c r="Q165" s="562"/>
      <c r="R165" s="562"/>
      <c r="S165" s="562"/>
      <c r="T165" s="562"/>
      <c r="U165" s="562"/>
      <c r="V165" s="562"/>
      <c r="W165" s="562"/>
      <c r="X165" s="562"/>
      <c r="Y165" s="562"/>
      <c r="Z165" s="562"/>
      <c r="AA165" s="562"/>
      <c r="AB165" s="562"/>
      <c r="AC165" s="562"/>
      <c r="AD165" s="562"/>
      <c r="AE165" s="562"/>
      <c r="AF165" s="562"/>
      <c r="AG165" s="562"/>
      <c r="AH165" s="562"/>
      <c r="AI165" s="562"/>
      <c r="AJ165" s="562"/>
      <c r="AK165" s="562"/>
    </row>
    <row r="166" spans="2:37" ht="69.75" customHeight="1">
      <c r="B166" s="566" t="s">
        <v>237</v>
      </c>
      <c r="C166" s="566"/>
      <c r="D166" s="566"/>
      <c r="E166" s="566"/>
      <c r="F166" s="566"/>
      <c r="G166" s="566"/>
      <c r="H166" s="566"/>
      <c r="I166" s="566"/>
      <c r="J166" s="566"/>
      <c r="K166" s="566"/>
      <c r="L166" s="566"/>
      <c r="M166" s="566"/>
      <c r="N166" s="566"/>
      <c r="O166" s="566"/>
      <c r="P166" s="566"/>
      <c r="Q166" s="566"/>
      <c r="R166" s="566"/>
      <c r="S166" s="566"/>
      <c r="T166" s="566"/>
      <c r="U166" s="566"/>
      <c r="V166" s="566"/>
      <c r="W166" s="566"/>
      <c r="X166" s="566"/>
      <c r="Y166" s="566"/>
      <c r="Z166" s="566"/>
      <c r="AA166" s="566"/>
      <c r="AB166" s="566"/>
      <c r="AC166" s="566"/>
      <c r="AD166" s="566"/>
      <c r="AE166" s="566"/>
      <c r="AF166" s="566"/>
      <c r="AG166" s="566"/>
      <c r="AH166" s="566"/>
      <c r="AI166" s="566"/>
      <c r="AJ166" s="566"/>
      <c r="AK166" s="566"/>
    </row>
    <row r="167" spans="2:37" ht="13.2">
      <c r="B167" s="562"/>
      <c r="C167" s="562"/>
      <c r="D167" s="562"/>
      <c r="E167" s="562"/>
      <c r="F167" s="562"/>
      <c r="G167" s="562"/>
      <c r="H167" s="562"/>
      <c r="I167" s="562"/>
      <c r="J167" s="562"/>
      <c r="K167" s="562"/>
      <c r="L167" s="562"/>
      <c r="M167" s="562"/>
      <c r="N167" s="562"/>
      <c r="O167" s="562"/>
      <c r="P167" s="562"/>
      <c r="Q167" s="562"/>
      <c r="R167" s="562"/>
      <c r="S167" s="562"/>
      <c r="T167" s="562"/>
      <c r="U167" s="562"/>
      <c r="V167" s="562"/>
      <c r="W167" s="562"/>
      <c r="X167" s="562"/>
      <c r="Y167" s="562"/>
      <c r="Z167" s="562"/>
      <c r="AA167" s="562"/>
      <c r="AB167" s="562"/>
      <c r="AC167" s="562"/>
      <c r="AD167" s="562"/>
      <c r="AE167" s="562"/>
      <c r="AF167" s="562"/>
      <c r="AG167" s="562"/>
      <c r="AH167" s="562"/>
      <c r="AI167" s="562"/>
      <c r="AJ167" s="562"/>
      <c r="AK167" s="562"/>
    </row>
    <row r="168" spans="2:37" ht="13.2">
      <c r="B168" s="232"/>
      <c r="C168" s="232"/>
      <c r="D168" s="232"/>
      <c r="E168" s="232"/>
      <c r="F168" s="232"/>
      <c r="G168" s="232"/>
      <c r="H168" s="232"/>
      <c r="I168" s="232"/>
      <c r="J168" s="232"/>
      <c r="K168" s="232"/>
      <c r="L168" s="232"/>
      <c r="M168" s="232"/>
      <c r="N168" s="232"/>
      <c r="O168" s="232"/>
      <c r="P168" s="232"/>
      <c r="Q168" s="232"/>
      <c r="R168" s="232"/>
      <c r="S168" s="232"/>
      <c r="T168" s="232"/>
      <c r="U168" s="232"/>
      <c r="V168" s="232"/>
      <c r="W168" s="232"/>
      <c r="X168" s="232"/>
      <c r="Y168" s="232"/>
      <c r="Z168" s="232"/>
      <c r="AA168" s="232"/>
      <c r="AB168" s="232"/>
      <c r="AC168" s="232"/>
      <c r="AD168" s="232"/>
      <c r="AE168" s="232"/>
      <c r="AF168" s="232"/>
      <c r="AG168" s="232"/>
      <c r="AH168" s="232"/>
      <c r="AI168" s="232"/>
      <c r="AJ168" s="232"/>
      <c r="AK168" s="232"/>
    </row>
    <row r="169" spans="2:37" ht="386.25" customHeight="1">
      <c r="B169" s="566" t="s">
        <v>348</v>
      </c>
      <c r="C169" s="566"/>
      <c r="D169" s="566"/>
      <c r="E169" s="566"/>
      <c r="F169" s="566"/>
      <c r="G169" s="566"/>
      <c r="H169" s="566"/>
      <c r="I169" s="566"/>
      <c r="J169" s="566"/>
      <c r="K169" s="566"/>
      <c r="L169" s="566"/>
      <c r="M169" s="566"/>
      <c r="N169" s="566"/>
      <c r="O169" s="566"/>
      <c r="P169" s="566"/>
      <c r="Q169" s="566"/>
      <c r="R169" s="566"/>
      <c r="S169" s="566"/>
      <c r="T169" s="566"/>
      <c r="U169" s="566"/>
      <c r="V169" s="566"/>
      <c r="W169" s="566"/>
      <c r="X169" s="566"/>
      <c r="Y169" s="566"/>
      <c r="Z169" s="566"/>
      <c r="AA169" s="566"/>
      <c r="AB169" s="566"/>
      <c r="AC169" s="566"/>
      <c r="AD169" s="566"/>
      <c r="AE169" s="566"/>
      <c r="AF169" s="566"/>
      <c r="AG169" s="566"/>
      <c r="AH169" s="566"/>
      <c r="AI169" s="566"/>
      <c r="AJ169" s="566"/>
      <c r="AK169" s="566"/>
    </row>
    <row r="170" spans="2:37" ht="8.1" customHeight="1">
      <c r="B170" s="232"/>
      <c r="C170" s="232"/>
      <c r="D170" s="232"/>
      <c r="E170" s="232"/>
      <c r="F170" s="232"/>
      <c r="G170" s="232"/>
      <c r="H170" s="232"/>
      <c r="I170" s="232"/>
      <c r="J170" s="232"/>
      <c r="K170" s="232"/>
      <c r="L170" s="232"/>
      <c r="M170" s="232"/>
      <c r="N170" s="232"/>
      <c r="O170" s="232"/>
      <c r="P170" s="232"/>
      <c r="Q170" s="232"/>
      <c r="R170" s="232"/>
      <c r="S170" s="232"/>
      <c r="T170" s="232"/>
      <c r="U170" s="232"/>
      <c r="V170" s="232"/>
      <c r="W170" s="232"/>
      <c r="X170" s="232"/>
      <c r="Y170" s="232"/>
      <c r="Z170" s="232"/>
      <c r="AA170" s="232"/>
      <c r="AB170" s="232"/>
      <c r="AC170" s="232"/>
      <c r="AD170" s="232"/>
      <c r="AE170" s="232"/>
      <c r="AF170" s="232"/>
      <c r="AG170" s="232"/>
      <c r="AH170" s="232"/>
      <c r="AI170" s="232"/>
      <c r="AJ170" s="232"/>
      <c r="AK170" s="232"/>
    </row>
    <row r="171" spans="2:37" ht="25.5" customHeight="1">
      <c r="B171" s="566" t="s">
        <v>239</v>
      </c>
      <c r="C171" s="566"/>
      <c r="D171" s="566"/>
      <c r="E171" s="566"/>
      <c r="F171" s="566"/>
      <c r="G171" s="566"/>
      <c r="H171" s="566"/>
      <c r="I171" s="566"/>
      <c r="J171" s="566"/>
      <c r="K171" s="566"/>
      <c r="L171" s="566"/>
      <c r="M171" s="566"/>
      <c r="N171" s="566"/>
      <c r="O171" s="566"/>
      <c r="P171" s="566"/>
      <c r="Q171" s="566"/>
      <c r="R171" s="566"/>
      <c r="S171" s="566"/>
      <c r="T171" s="566"/>
      <c r="U171" s="566"/>
      <c r="V171" s="566"/>
      <c r="W171" s="566"/>
      <c r="X171" s="566"/>
      <c r="Y171" s="566"/>
      <c r="Z171" s="566"/>
      <c r="AA171" s="566"/>
      <c r="AB171" s="566"/>
      <c r="AC171" s="566"/>
      <c r="AD171" s="566"/>
      <c r="AE171" s="566"/>
      <c r="AF171" s="566"/>
      <c r="AG171" s="566"/>
      <c r="AH171" s="566"/>
      <c r="AI171" s="566"/>
      <c r="AJ171" s="566"/>
      <c r="AK171" s="566"/>
    </row>
    <row r="172" spans="2:37" ht="8.1" customHeight="1">
      <c r="B172" s="232"/>
      <c r="C172" s="232"/>
      <c r="D172" s="232"/>
      <c r="E172" s="232"/>
      <c r="F172" s="232"/>
      <c r="G172" s="232"/>
      <c r="H172" s="232"/>
      <c r="I172" s="232"/>
      <c r="J172" s="232"/>
      <c r="K172" s="232"/>
      <c r="L172" s="232"/>
      <c r="M172" s="232"/>
      <c r="N172" s="232"/>
      <c r="O172" s="232"/>
      <c r="P172" s="232"/>
      <c r="Q172" s="232"/>
      <c r="R172" s="232"/>
      <c r="S172" s="232"/>
      <c r="T172" s="232"/>
      <c r="U172" s="232"/>
      <c r="V172" s="232"/>
      <c r="W172" s="232"/>
      <c r="X172" s="232"/>
      <c r="Y172" s="232"/>
      <c r="Z172" s="232"/>
      <c r="AA172" s="232"/>
      <c r="AB172" s="232"/>
      <c r="AC172" s="232"/>
      <c r="AD172" s="232"/>
      <c r="AE172" s="232"/>
      <c r="AF172" s="232"/>
      <c r="AG172" s="232"/>
      <c r="AH172" s="232"/>
      <c r="AI172" s="232"/>
      <c r="AJ172" s="232"/>
      <c r="AK172" s="232"/>
    </row>
    <row r="173" spans="2:37" ht="36" customHeight="1">
      <c r="B173" s="566" t="s">
        <v>240</v>
      </c>
      <c r="C173" s="566"/>
      <c r="D173" s="566"/>
      <c r="E173" s="566"/>
      <c r="F173" s="566"/>
      <c r="G173" s="566"/>
      <c r="H173" s="566"/>
      <c r="I173" s="566"/>
      <c r="J173" s="566"/>
      <c r="K173" s="566"/>
      <c r="L173" s="566"/>
      <c r="M173" s="566"/>
      <c r="N173" s="566"/>
      <c r="O173" s="566"/>
      <c r="P173" s="566"/>
      <c r="Q173" s="566"/>
      <c r="R173" s="566"/>
      <c r="S173" s="566"/>
      <c r="T173" s="566"/>
      <c r="U173" s="566"/>
      <c r="V173" s="566"/>
      <c r="W173" s="566"/>
      <c r="X173" s="566"/>
      <c r="Y173" s="566"/>
      <c r="Z173" s="566"/>
      <c r="AA173" s="566"/>
      <c r="AB173" s="566"/>
      <c r="AC173" s="566"/>
      <c r="AD173" s="566"/>
      <c r="AE173" s="566"/>
      <c r="AF173" s="566"/>
      <c r="AG173" s="566"/>
      <c r="AH173" s="566"/>
      <c r="AI173" s="566"/>
      <c r="AJ173" s="566"/>
      <c r="AK173" s="566"/>
    </row>
    <row r="174" spans="2:37" ht="8.1" customHeight="1">
      <c r="B174" s="562"/>
      <c r="C174" s="562"/>
      <c r="D174" s="562"/>
      <c r="E174" s="562"/>
      <c r="F174" s="562"/>
      <c r="G174" s="562"/>
      <c r="H174" s="562"/>
      <c r="I174" s="562"/>
      <c r="J174" s="562"/>
      <c r="K174" s="562"/>
      <c r="L174" s="562"/>
      <c r="M174" s="562"/>
      <c r="N174" s="562"/>
      <c r="O174" s="562"/>
      <c r="P174" s="562"/>
      <c r="Q174" s="562"/>
      <c r="R174" s="562"/>
      <c r="S174" s="562"/>
      <c r="T174" s="562"/>
      <c r="U174" s="562"/>
      <c r="V174" s="562"/>
      <c r="W174" s="562"/>
      <c r="X174" s="562"/>
      <c r="Y174" s="562"/>
      <c r="Z174" s="562"/>
      <c r="AA174" s="562"/>
      <c r="AB174" s="562"/>
      <c r="AC174" s="562"/>
      <c r="AD174" s="562"/>
      <c r="AE174" s="562"/>
      <c r="AF174" s="562"/>
      <c r="AG174" s="562"/>
      <c r="AH174" s="562"/>
      <c r="AI174" s="562"/>
      <c r="AJ174" s="562"/>
      <c r="AK174" s="562"/>
    </row>
    <row r="175" spans="2:37" ht="49.5" customHeight="1">
      <c r="B175" s="566" t="s">
        <v>241</v>
      </c>
      <c r="C175" s="566"/>
      <c r="D175" s="566"/>
      <c r="E175" s="566"/>
      <c r="F175" s="566"/>
      <c r="G175" s="566"/>
      <c r="H175" s="566"/>
      <c r="I175" s="566"/>
      <c r="J175" s="566"/>
      <c r="K175" s="566"/>
      <c r="L175" s="566"/>
      <c r="M175" s="566"/>
      <c r="N175" s="566"/>
      <c r="O175" s="566"/>
      <c r="P175" s="566"/>
      <c r="Q175" s="566"/>
      <c r="R175" s="566"/>
      <c r="S175" s="566"/>
      <c r="T175" s="566"/>
      <c r="U175" s="566"/>
      <c r="V175" s="566"/>
      <c r="W175" s="566"/>
      <c r="X175" s="566"/>
      <c r="Y175" s="566"/>
      <c r="Z175" s="566"/>
      <c r="AA175" s="566"/>
      <c r="AB175" s="566"/>
      <c r="AC175" s="566"/>
      <c r="AD175" s="566"/>
      <c r="AE175" s="566"/>
      <c r="AF175" s="566"/>
      <c r="AG175" s="566"/>
      <c r="AH175" s="566"/>
      <c r="AI175" s="566"/>
      <c r="AJ175" s="566"/>
      <c r="AK175" s="566"/>
    </row>
    <row r="176" spans="2:37" ht="8.1" customHeight="1">
      <c r="B176" s="232"/>
      <c r="C176" s="232"/>
      <c r="D176" s="232"/>
      <c r="E176" s="232"/>
      <c r="F176" s="232"/>
      <c r="G176" s="232"/>
      <c r="H176" s="232"/>
      <c r="I176" s="232"/>
      <c r="J176" s="232"/>
      <c r="K176" s="232"/>
      <c r="L176" s="232"/>
      <c r="M176" s="232"/>
      <c r="N176" s="232"/>
      <c r="O176" s="232"/>
      <c r="P176" s="232"/>
      <c r="Q176" s="232"/>
      <c r="R176" s="232"/>
      <c r="S176" s="232"/>
      <c r="T176" s="232"/>
      <c r="U176" s="232"/>
      <c r="V176" s="232"/>
      <c r="W176" s="232"/>
      <c r="X176" s="232"/>
      <c r="Y176" s="232"/>
      <c r="Z176" s="232"/>
      <c r="AA176" s="232"/>
      <c r="AB176" s="232"/>
      <c r="AC176" s="232"/>
      <c r="AD176" s="232"/>
      <c r="AE176" s="232"/>
      <c r="AF176" s="232"/>
      <c r="AG176" s="232"/>
      <c r="AH176" s="232"/>
      <c r="AI176" s="232"/>
      <c r="AJ176" s="232"/>
      <c r="AK176" s="232"/>
    </row>
    <row r="177" spans="2:37" ht="24.75" customHeight="1">
      <c r="B177" s="566" t="s">
        <v>242</v>
      </c>
      <c r="C177" s="566"/>
      <c r="D177" s="566"/>
      <c r="E177" s="566"/>
      <c r="F177" s="566"/>
      <c r="G177" s="566"/>
      <c r="H177" s="566"/>
      <c r="I177" s="566"/>
      <c r="J177" s="566"/>
      <c r="K177" s="566"/>
      <c r="L177" s="566"/>
      <c r="M177" s="566"/>
      <c r="N177" s="566"/>
      <c r="O177" s="566"/>
      <c r="P177" s="566"/>
      <c r="Q177" s="566"/>
      <c r="R177" s="566"/>
      <c r="S177" s="566"/>
      <c r="T177" s="566"/>
      <c r="U177" s="566"/>
      <c r="V177" s="566"/>
      <c r="W177" s="566"/>
      <c r="X177" s="566"/>
      <c r="Y177" s="566"/>
      <c r="Z177" s="566"/>
      <c r="AA177" s="566"/>
      <c r="AB177" s="566"/>
      <c r="AC177" s="566"/>
      <c r="AD177" s="566"/>
      <c r="AE177" s="566"/>
      <c r="AF177" s="566"/>
      <c r="AG177" s="566"/>
      <c r="AH177" s="566"/>
      <c r="AI177" s="566"/>
      <c r="AJ177" s="566"/>
      <c r="AK177" s="566"/>
    </row>
    <row r="178" spans="2:37" ht="8.1" customHeight="1">
      <c r="B178" s="232"/>
      <c r="C178" s="232"/>
      <c r="D178" s="232"/>
      <c r="E178" s="232"/>
      <c r="F178" s="232"/>
      <c r="G178" s="232"/>
      <c r="H178" s="232"/>
      <c r="I178" s="232"/>
      <c r="J178" s="232"/>
      <c r="K178" s="232"/>
      <c r="L178" s="232"/>
      <c r="M178" s="232"/>
      <c r="N178" s="232"/>
      <c r="O178" s="232"/>
      <c r="P178" s="232"/>
      <c r="Q178" s="232"/>
      <c r="R178" s="232"/>
      <c r="S178" s="232"/>
      <c r="T178" s="232"/>
      <c r="U178" s="232"/>
      <c r="V178" s="232"/>
      <c r="W178" s="232"/>
      <c r="X178" s="232"/>
      <c r="Y178" s="232"/>
      <c r="Z178" s="232"/>
      <c r="AA178" s="232"/>
      <c r="AB178" s="232"/>
      <c r="AC178" s="232"/>
      <c r="AD178" s="232"/>
      <c r="AE178" s="232"/>
      <c r="AF178" s="232"/>
      <c r="AG178" s="232"/>
      <c r="AH178" s="232"/>
      <c r="AI178" s="232"/>
      <c r="AJ178" s="232"/>
      <c r="AK178" s="232"/>
    </row>
    <row r="179" spans="2:37" ht="34.5" customHeight="1">
      <c r="B179" s="566" t="s">
        <v>243</v>
      </c>
      <c r="C179" s="566"/>
      <c r="D179" s="566"/>
      <c r="E179" s="566"/>
      <c r="F179" s="566"/>
      <c r="G179" s="566"/>
      <c r="H179" s="566"/>
      <c r="I179" s="566"/>
      <c r="J179" s="566"/>
      <c r="K179" s="566"/>
      <c r="L179" s="566"/>
      <c r="M179" s="566"/>
      <c r="N179" s="566"/>
      <c r="O179" s="566"/>
      <c r="P179" s="566"/>
      <c r="Q179" s="566"/>
      <c r="R179" s="566"/>
      <c r="S179" s="566"/>
      <c r="T179" s="566"/>
      <c r="U179" s="566"/>
      <c r="V179" s="566"/>
      <c r="W179" s="566"/>
      <c r="X179" s="566"/>
      <c r="Y179" s="566"/>
      <c r="Z179" s="566"/>
      <c r="AA179" s="566"/>
      <c r="AB179" s="566"/>
      <c r="AC179" s="566"/>
      <c r="AD179" s="566"/>
      <c r="AE179" s="566"/>
      <c r="AF179" s="566"/>
      <c r="AG179" s="566"/>
      <c r="AH179" s="566"/>
      <c r="AI179" s="566"/>
      <c r="AJ179" s="566"/>
      <c r="AK179" s="566"/>
    </row>
    <row r="180" spans="2:37" ht="8.1" customHeight="1">
      <c r="B180" s="232"/>
      <c r="C180" s="232"/>
      <c r="D180" s="232"/>
      <c r="E180" s="232"/>
      <c r="F180" s="232"/>
      <c r="G180" s="232"/>
      <c r="H180" s="232"/>
      <c r="I180" s="232"/>
      <c r="J180" s="232"/>
      <c r="K180" s="232"/>
      <c r="L180" s="232"/>
      <c r="M180" s="232"/>
      <c r="N180" s="232"/>
      <c r="O180" s="232"/>
      <c r="P180" s="232"/>
      <c r="Q180" s="232"/>
      <c r="R180" s="232"/>
      <c r="S180" s="232"/>
      <c r="T180" s="232"/>
      <c r="U180" s="232"/>
      <c r="V180" s="232"/>
      <c r="W180" s="232"/>
      <c r="X180" s="232"/>
      <c r="Y180" s="232"/>
      <c r="Z180" s="232"/>
      <c r="AA180" s="232"/>
      <c r="AB180" s="232"/>
      <c r="AC180" s="232"/>
      <c r="AD180" s="232"/>
      <c r="AE180" s="232"/>
      <c r="AF180" s="232"/>
      <c r="AG180" s="232"/>
      <c r="AH180" s="232"/>
      <c r="AI180" s="232"/>
      <c r="AJ180" s="232"/>
      <c r="AK180" s="232"/>
    </row>
    <row r="181" spans="2:37" ht="37.5" customHeight="1">
      <c r="B181" s="566" t="s">
        <v>244</v>
      </c>
      <c r="C181" s="566"/>
      <c r="D181" s="566"/>
      <c r="E181" s="566"/>
      <c r="F181" s="566"/>
      <c r="G181" s="566"/>
      <c r="H181" s="566"/>
      <c r="I181" s="566"/>
      <c r="J181" s="566"/>
      <c r="K181" s="566"/>
      <c r="L181" s="566"/>
      <c r="M181" s="566"/>
      <c r="N181" s="566"/>
      <c r="O181" s="566"/>
      <c r="P181" s="566"/>
      <c r="Q181" s="566"/>
      <c r="R181" s="566"/>
      <c r="S181" s="566"/>
      <c r="T181" s="566"/>
      <c r="U181" s="566"/>
      <c r="V181" s="566"/>
      <c r="W181" s="566"/>
      <c r="X181" s="566"/>
      <c r="Y181" s="566"/>
      <c r="Z181" s="566"/>
      <c r="AA181" s="566"/>
      <c r="AB181" s="566"/>
      <c r="AC181" s="566"/>
      <c r="AD181" s="566"/>
      <c r="AE181" s="566"/>
      <c r="AF181" s="566"/>
      <c r="AG181" s="566"/>
      <c r="AH181" s="566"/>
      <c r="AI181" s="566"/>
      <c r="AJ181" s="566"/>
      <c r="AK181" s="566"/>
    </row>
    <row r="182" spans="2:37" ht="8.1" customHeight="1">
      <c r="B182" s="232"/>
      <c r="C182" s="232"/>
      <c r="D182" s="232"/>
      <c r="E182" s="232"/>
      <c r="F182" s="232"/>
      <c r="G182" s="232"/>
      <c r="H182" s="232"/>
      <c r="I182" s="232"/>
      <c r="J182" s="232"/>
      <c r="K182" s="232"/>
      <c r="L182" s="232"/>
      <c r="M182" s="232"/>
      <c r="N182" s="232"/>
      <c r="O182" s="232"/>
      <c r="P182" s="232"/>
      <c r="Q182" s="232"/>
      <c r="R182" s="232"/>
      <c r="S182" s="232"/>
      <c r="T182" s="232"/>
      <c r="U182" s="232"/>
      <c r="V182" s="232"/>
      <c r="W182" s="232"/>
      <c r="X182" s="232"/>
      <c r="Y182" s="232"/>
      <c r="Z182" s="232"/>
      <c r="AA182" s="232"/>
      <c r="AB182" s="232"/>
      <c r="AC182" s="232"/>
      <c r="AD182" s="232"/>
      <c r="AE182" s="232"/>
      <c r="AF182" s="232"/>
      <c r="AG182" s="232"/>
      <c r="AH182" s="232"/>
      <c r="AI182" s="232"/>
      <c r="AJ182" s="232"/>
      <c r="AK182" s="232"/>
    </row>
    <row r="183" spans="2:37" ht="59.25" customHeight="1">
      <c r="B183" s="566" t="s">
        <v>245</v>
      </c>
      <c r="C183" s="566"/>
      <c r="D183" s="566"/>
      <c r="E183" s="566"/>
      <c r="F183" s="566"/>
      <c r="G183" s="566"/>
      <c r="H183" s="566"/>
      <c r="I183" s="566"/>
      <c r="J183" s="566"/>
      <c r="K183" s="566"/>
      <c r="L183" s="566"/>
      <c r="M183" s="566"/>
      <c r="N183" s="566"/>
      <c r="O183" s="566"/>
      <c r="P183" s="566"/>
      <c r="Q183" s="566"/>
      <c r="R183" s="566"/>
      <c r="S183" s="566"/>
      <c r="T183" s="566"/>
      <c r="U183" s="566"/>
      <c r="V183" s="566"/>
      <c r="W183" s="566"/>
      <c r="X183" s="566"/>
      <c r="Y183" s="566"/>
      <c r="Z183" s="566"/>
      <c r="AA183" s="566"/>
      <c r="AB183" s="566"/>
      <c r="AC183" s="566"/>
      <c r="AD183" s="566"/>
      <c r="AE183" s="566"/>
      <c r="AF183" s="566"/>
      <c r="AG183" s="566"/>
      <c r="AH183" s="566"/>
      <c r="AI183" s="566"/>
      <c r="AJ183" s="566"/>
      <c r="AK183" s="566"/>
    </row>
    <row r="184" spans="2:37" ht="8.1" customHeight="1">
      <c r="B184" s="232"/>
      <c r="C184" s="232"/>
      <c r="D184" s="232"/>
      <c r="E184" s="232"/>
      <c r="F184" s="232"/>
      <c r="G184" s="232"/>
      <c r="H184" s="232"/>
      <c r="I184" s="232"/>
      <c r="J184" s="232"/>
      <c r="K184" s="232"/>
      <c r="L184" s="232"/>
      <c r="M184" s="232"/>
      <c r="N184" s="232"/>
      <c r="O184" s="232"/>
      <c r="P184" s="232"/>
      <c r="Q184" s="232"/>
      <c r="R184" s="232"/>
      <c r="S184" s="232"/>
      <c r="T184" s="232"/>
      <c r="U184" s="232"/>
      <c r="V184" s="232"/>
      <c r="W184" s="232"/>
      <c r="X184" s="232"/>
      <c r="Y184" s="232"/>
      <c r="Z184" s="232"/>
      <c r="AA184" s="232"/>
      <c r="AB184" s="232"/>
      <c r="AC184" s="232"/>
      <c r="AD184" s="232"/>
      <c r="AE184" s="232"/>
      <c r="AF184" s="232"/>
      <c r="AG184" s="232"/>
      <c r="AH184" s="232"/>
      <c r="AI184" s="232"/>
      <c r="AJ184" s="232"/>
      <c r="AK184" s="232"/>
    </row>
    <row r="185" spans="2:37" ht="37.5" customHeight="1">
      <c r="B185" s="566" t="s">
        <v>246</v>
      </c>
      <c r="C185" s="566"/>
      <c r="D185" s="566"/>
      <c r="E185" s="566"/>
      <c r="F185" s="566"/>
      <c r="G185" s="566"/>
      <c r="H185" s="566"/>
      <c r="I185" s="566"/>
      <c r="J185" s="566"/>
      <c r="K185" s="566"/>
      <c r="L185" s="566"/>
      <c r="M185" s="566"/>
      <c r="N185" s="566"/>
      <c r="O185" s="566"/>
      <c r="P185" s="566"/>
      <c r="Q185" s="566"/>
      <c r="R185" s="566"/>
      <c r="S185" s="566"/>
      <c r="T185" s="566"/>
      <c r="U185" s="566"/>
      <c r="V185" s="566"/>
      <c r="W185" s="566"/>
      <c r="X185" s="566"/>
      <c r="Y185" s="566"/>
      <c r="Z185" s="566"/>
      <c r="AA185" s="566"/>
      <c r="AB185" s="566"/>
      <c r="AC185" s="566"/>
      <c r="AD185" s="566"/>
      <c r="AE185" s="566"/>
      <c r="AF185" s="566"/>
      <c r="AG185" s="566"/>
      <c r="AH185" s="566"/>
      <c r="AI185" s="566"/>
      <c r="AJ185" s="566"/>
      <c r="AK185" s="566"/>
    </row>
    <row r="186" spans="2:37" ht="21.75" customHeight="1">
      <c r="B186" s="562" t="s">
        <v>349</v>
      </c>
      <c r="C186" s="562"/>
      <c r="D186" s="562"/>
      <c r="E186" s="562"/>
      <c r="F186" s="562"/>
      <c r="G186" s="562"/>
      <c r="H186" s="562"/>
      <c r="I186" s="562"/>
      <c r="J186" s="562"/>
      <c r="K186" s="562"/>
      <c r="L186" s="562"/>
      <c r="M186" s="562"/>
      <c r="N186" s="562"/>
      <c r="O186" s="562"/>
      <c r="P186" s="562"/>
      <c r="Q186" s="562"/>
      <c r="R186" s="562"/>
      <c r="S186" s="562"/>
      <c r="T186" s="562"/>
      <c r="U186" s="562"/>
      <c r="V186" s="562"/>
      <c r="W186" s="562"/>
      <c r="X186" s="562"/>
      <c r="Y186" s="562"/>
      <c r="Z186" s="562"/>
      <c r="AA186" s="562"/>
      <c r="AB186" s="562"/>
      <c r="AC186" s="562"/>
      <c r="AD186" s="562"/>
      <c r="AE186" s="562"/>
      <c r="AF186" s="562"/>
      <c r="AG186" s="562"/>
      <c r="AH186" s="562"/>
      <c r="AI186" s="562"/>
      <c r="AJ186" s="562"/>
      <c r="AK186" s="562"/>
    </row>
    <row r="187" spans="2:37" ht="51" customHeight="1">
      <c r="B187" s="562" t="s">
        <v>350</v>
      </c>
      <c r="C187" s="562"/>
      <c r="D187" s="562"/>
      <c r="E187" s="562"/>
      <c r="F187" s="562"/>
      <c r="G187" s="562"/>
      <c r="H187" s="562"/>
      <c r="I187" s="562"/>
      <c r="J187" s="562"/>
      <c r="K187" s="562"/>
      <c r="L187" s="562"/>
      <c r="M187" s="562"/>
      <c r="N187" s="562"/>
      <c r="O187" s="562"/>
      <c r="P187" s="562"/>
      <c r="Q187" s="562"/>
      <c r="R187" s="562"/>
      <c r="S187" s="562"/>
      <c r="T187" s="562"/>
      <c r="U187" s="562"/>
      <c r="V187" s="562"/>
      <c r="W187" s="562"/>
      <c r="X187" s="562"/>
      <c r="Y187" s="562"/>
      <c r="Z187" s="562"/>
      <c r="AA187" s="562"/>
      <c r="AB187" s="562"/>
      <c r="AC187" s="562"/>
      <c r="AD187" s="562"/>
      <c r="AE187" s="562"/>
      <c r="AF187" s="562"/>
      <c r="AG187" s="562"/>
      <c r="AH187" s="562"/>
      <c r="AI187" s="562"/>
      <c r="AJ187" s="562"/>
      <c r="AK187" s="562"/>
    </row>
    <row r="188" spans="2:37" ht="47.25" customHeight="1">
      <c r="B188" s="562" t="s">
        <v>248</v>
      </c>
      <c r="C188" s="562"/>
      <c r="D188" s="562"/>
      <c r="E188" s="562"/>
      <c r="F188" s="562"/>
      <c r="G188" s="562"/>
      <c r="H188" s="562"/>
      <c r="I188" s="562"/>
      <c r="J188" s="562"/>
      <c r="K188" s="562"/>
      <c r="L188" s="562"/>
      <c r="M188" s="562"/>
      <c r="N188" s="562"/>
      <c r="O188" s="562"/>
      <c r="P188" s="562"/>
      <c r="Q188" s="562"/>
      <c r="R188" s="562"/>
      <c r="S188" s="562"/>
      <c r="T188" s="562"/>
      <c r="U188" s="562"/>
      <c r="V188" s="562"/>
      <c r="W188" s="562"/>
      <c r="X188" s="562"/>
      <c r="Y188" s="562"/>
      <c r="Z188" s="562"/>
      <c r="AA188" s="562"/>
      <c r="AB188" s="562"/>
      <c r="AC188" s="562"/>
      <c r="AD188" s="562"/>
      <c r="AE188" s="562"/>
      <c r="AF188" s="562"/>
      <c r="AG188" s="562"/>
      <c r="AH188" s="562"/>
      <c r="AI188" s="562"/>
      <c r="AJ188" s="562"/>
      <c r="AK188" s="562"/>
    </row>
    <row r="189" spans="2:37" ht="23.25" customHeight="1">
      <c r="B189" s="562" t="s">
        <v>249</v>
      </c>
      <c r="C189" s="562"/>
      <c r="D189" s="562"/>
      <c r="E189" s="562"/>
      <c r="F189" s="562"/>
      <c r="G189" s="562"/>
      <c r="H189" s="562"/>
      <c r="I189" s="562"/>
      <c r="J189" s="562"/>
      <c r="K189" s="562"/>
      <c r="L189" s="562"/>
      <c r="M189" s="562"/>
      <c r="N189" s="562"/>
      <c r="O189" s="562"/>
      <c r="P189" s="562"/>
      <c r="Q189" s="562"/>
      <c r="R189" s="562"/>
      <c r="S189" s="562"/>
      <c r="T189" s="562"/>
      <c r="U189" s="562"/>
      <c r="V189" s="562"/>
      <c r="W189" s="562"/>
      <c r="X189" s="562"/>
      <c r="Y189" s="562"/>
      <c r="Z189" s="562"/>
      <c r="AA189" s="562"/>
      <c r="AB189" s="562"/>
      <c r="AC189" s="562"/>
      <c r="AD189" s="562"/>
      <c r="AE189" s="562"/>
      <c r="AF189" s="562"/>
      <c r="AG189" s="562"/>
      <c r="AH189" s="562"/>
      <c r="AI189" s="562"/>
      <c r="AJ189" s="562"/>
      <c r="AK189" s="562"/>
    </row>
    <row r="190" spans="2:37" ht="8.1" customHeight="1">
      <c r="B190" s="232"/>
      <c r="C190" s="232"/>
      <c r="D190" s="232"/>
      <c r="E190" s="232"/>
      <c r="F190" s="232"/>
      <c r="G190" s="232"/>
      <c r="H190" s="232"/>
      <c r="I190" s="232"/>
      <c r="J190" s="232"/>
      <c r="K190" s="232"/>
      <c r="L190" s="232"/>
      <c r="M190" s="232"/>
      <c r="N190" s="232"/>
      <c r="O190" s="232"/>
      <c r="P190" s="232"/>
      <c r="Q190" s="232"/>
      <c r="R190" s="232"/>
      <c r="S190" s="232"/>
      <c r="T190" s="232"/>
      <c r="U190" s="232"/>
      <c r="V190" s="232"/>
      <c r="W190" s="232"/>
      <c r="X190" s="232"/>
      <c r="Y190" s="232"/>
      <c r="Z190" s="232"/>
      <c r="AA190" s="232"/>
      <c r="AB190" s="232"/>
      <c r="AC190" s="232"/>
      <c r="AD190" s="232"/>
      <c r="AE190" s="232"/>
      <c r="AF190" s="232"/>
      <c r="AG190" s="232"/>
      <c r="AH190" s="232"/>
      <c r="AI190" s="232"/>
      <c r="AJ190" s="232"/>
      <c r="AK190" s="232"/>
    </row>
    <row r="191" spans="2:37" ht="90" customHeight="1">
      <c r="B191" s="566" t="s">
        <v>250</v>
      </c>
      <c r="C191" s="566"/>
      <c r="D191" s="566"/>
      <c r="E191" s="566"/>
      <c r="F191" s="566"/>
      <c r="G191" s="566"/>
      <c r="H191" s="566"/>
      <c r="I191" s="566"/>
      <c r="J191" s="566"/>
      <c r="K191" s="566"/>
      <c r="L191" s="566"/>
      <c r="M191" s="566"/>
      <c r="N191" s="566"/>
      <c r="O191" s="566"/>
      <c r="P191" s="566"/>
      <c r="Q191" s="566"/>
      <c r="R191" s="566"/>
      <c r="S191" s="566"/>
      <c r="T191" s="566"/>
      <c r="U191" s="566"/>
      <c r="V191" s="566"/>
      <c r="W191" s="566"/>
      <c r="X191" s="566"/>
      <c r="Y191" s="566"/>
      <c r="Z191" s="566"/>
      <c r="AA191" s="566"/>
      <c r="AB191" s="566"/>
      <c r="AC191" s="566"/>
      <c r="AD191" s="566"/>
      <c r="AE191" s="566"/>
      <c r="AF191" s="566"/>
      <c r="AG191" s="566"/>
      <c r="AH191" s="566"/>
      <c r="AI191" s="566"/>
      <c r="AJ191" s="566"/>
      <c r="AK191" s="566"/>
    </row>
    <row r="192" spans="2:37" ht="8.1" customHeight="1">
      <c r="B192" s="232"/>
      <c r="C192" s="232"/>
      <c r="D192" s="232"/>
      <c r="E192" s="232"/>
      <c r="F192" s="232"/>
      <c r="G192" s="232"/>
      <c r="H192" s="232"/>
      <c r="I192" s="232"/>
      <c r="J192" s="232"/>
      <c r="K192" s="232"/>
      <c r="L192" s="232"/>
      <c r="M192" s="232"/>
      <c r="N192" s="232"/>
      <c r="O192" s="232"/>
      <c r="P192" s="232"/>
      <c r="Q192" s="232"/>
      <c r="R192" s="232"/>
      <c r="S192" s="232"/>
      <c r="T192" s="232"/>
      <c r="U192" s="232"/>
      <c r="V192" s="232"/>
      <c r="W192" s="232"/>
      <c r="X192" s="232"/>
      <c r="Y192" s="232"/>
      <c r="Z192" s="232"/>
      <c r="AA192" s="232"/>
      <c r="AB192" s="232"/>
      <c r="AC192" s="232"/>
      <c r="AD192" s="232"/>
      <c r="AE192" s="232"/>
      <c r="AF192" s="232"/>
      <c r="AG192" s="232"/>
      <c r="AH192" s="232"/>
      <c r="AI192" s="232"/>
      <c r="AJ192" s="232"/>
      <c r="AK192" s="232"/>
    </row>
    <row r="193" spans="2:37" ht="25.5" customHeight="1">
      <c r="B193" s="566" t="s">
        <v>251</v>
      </c>
      <c r="C193" s="566"/>
      <c r="D193" s="566"/>
      <c r="E193" s="566"/>
      <c r="F193" s="566"/>
      <c r="G193" s="566"/>
      <c r="H193" s="566"/>
      <c r="I193" s="566"/>
      <c r="J193" s="566"/>
      <c r="K193" s="566"/>
      <c r="L193" s="566"/>
      <c r="M193" s="566"/>
      <c r="N193" s="566"/>
      <c r="O193" s="566"/>
      <c r="P193" s="566"/>
      <c r="Q193" s="566"/>
      <c r="R193" s="566"/>
      <c r="S193" s="566"/>
      <c r="T193" s="566"/>
      <c r="U193" s="566"/>
      <c r="V193" s="566"/>
      <c r="W193" s="566"/>
      <c r="X193" s="566"/>
      <c r="Y193" s="566"/>
      <c r="Z193" s="566"/>
      <c r="AA193" s="566"/>
      <c r="AB193" s="566"/>
      <c r="AC193" s="566"/>
      <c r="AD193" s="566"/>
      <c r="AE193" s="566"/>
      <c r="AF193" s="566"/>
      <c r="AG193" s="566"/>
      <c r="AH193" s="566"/>
      <c r="AI193" s="566"/>
      <c r="AJ193" s="566"/>
      <c r="AK193" s="566"/>
    </row>
    <row r="194" spans="2:37" ht="13.2">
      <c r="B194" s="562"/>
      <c r="C194" s="562"/>
      <c r="D194" s="562"/>
      <c r="E194" s="562"/>
      <c r="F194" s="562"/>
      <c r="G194" s="562"/>
      <c r="H194" s="562"/>
      <c r="I194" s="562"/>
      <c r="J194" s="562"/>
      <c r="K194" s="562"/>
      <c r="L194" s="562"/>
      <c r="M194" s="562"/>
      <c r="N194" s="562"/>
      <c r="O194" s="562"/>
      <c r="P194" s="562"/>
      <c r="Q194" s="562"/>
      <c r="R194" s="562"/>
      <c r="S194" s="562"/>
      <c r="T194" s="562"/>
      <c r="U194" s="562"/>
      <c r="V194" s="562"/>
      <c r="W194" s="562"/>
      <c r="X194" s="562"/>
      <c r="Y194" s="562"/>
      <c r="Z194" s="562"/>
      <c r="AA194" s="562"/>
      <c r="AB194" s="562"/>
      <c r="AC194" s="562"/>
      <c r="AD194" s="562"/>
      <c r="AE194" s="562"/>
      <c r="AF194" s="562"/>
      <c r="AG194" s="562"/>
      <c r="AH194" s="562"/>
      <c r="AI194" s="562"/>
      <c r="AJ194" s="562"/>
      <c r="AK194" s="562"/>
    </row>
    <row r="195" spans="2:37" ht="12.75" customHeight="1">
      <c r="B195" s="238"/>
      <c r="C195" s="238"/>
      <c r="D195" s="238"/>
      <c r="E195" s="238"/>
      <c r="F195" s="238"/>
      <c r="G195" s="600" t="s">
        <v>252</v>
      </c>
      <c r="H195" s="601"/>
      <c r="I195" s="601"/>
      <c r="J195" s="601"/>
      <c r="K195" s="601"/>
      <c r="L195" s="601"/>
      <c r="M195" s="601"/>
      <c r="N195" s="601"/>
      <c r="O195" s="601"/>
      <c r="P195" s="602"/>
      <c r="Q195" s="603" t="s">
        <v>253</v>
      </c>
      <c r="R195" s="604"/>
      <c r="S195" s="604"/>
      <c r="T195" s="604"/>
      <c r="U195" s="604"/>
      <c r="V195" s="604"/>
      <c r="W195" s="604"/>
      <c r="X195" s="604"/>
      <c r="Y195" s="604"/>
      <c r="Z195" s="604"/>
      <c r="AA195" s="604"/>
      <c r="AB195" s="604"/>
      <c r="AC195" s="604"/>
      <c r="AD195" s="604"/>
      <c r="AE195" s="604"/>
      <c r="AF195" s="604"/>
      <c r="AG195" s="605"/>
      <c r="AH195" s="238"/>
      <c r="AI195" s="238"/>
      <c r="AJ195" s="238"/>
      <c r="AK195" s="238"/>
    </row>
    <row r="196" spans="2:37" ht="12.75" customHeight="1">
      <c r="B196" s="238"/>
      <c r="C196" s="238"/>
      <c r="D196" s="238"/>
      <c r="E196" s="238"/>
      <c r="F196" s="238"/>
      <c r="G196" s="600" t="s">
        <v>254</v>
      </c>
      <c r="H196" s="601"/>
      <c r="I196" s="601"/>
      <c r="J196" s="601"/>
      <c r="K196" s="601"/>
      <c r="L196" s="601"/>
      <c r="M196" s="601"/>
      <c r="N196" s="601"/>
      <c r="O196" s="601"/>
      <c r="P196" s="602"/>
      <c r="Q196" s="606" t="s">
        <v>255</v>
      </c>
      <c r="R196" s="607"/>
      <c r="S196" s="607"/>
      <c r="T196" s="607"/>
      <c r="U196" s="607"/>
      <c r="V196" s="607"/>
      <c r="W196" s="607"/>
      <c r="X196" s="607"/>
      <c r="Y196" s="607"/>
      <c r="Z196" s="607"/>
      <c r="AA196" s="607"/>
      <c r="AB196" s="607"/>
      <c r="AC196" s="607"/>
      <c r="AD196" s="607"/>
      <c r="AE196" s="607"/>
      <c r="AF196" s="607"/>
      <c r="AG196" s="608"/>
      <c r="AH196" s="238"/>
      <c r="AI196" s="238"/>
      <c r="AJ196" s="238"/>
      <c r="AK196" s="238"/>
    </row>
    <row r="197" spans="2:37" ht="12.75" customHeight="1">
      <c r="G197" s="582" t="s">
        <v>256</v>
      </c>
      <c r="H197" s="583"/>
      <c r="I197" s="583"/>
      <c r="J197" s="583"/>
      <c r="K197" s="583"/>
      <c r="L197" s="583"/>
      <c r="M197" s="583"/>
      <c r="N197" s="583"/>
      <c r="O197" s="583"/>
      <c r="P197" s="584"/>
      <c r="Q197" s="588" t="s">
        <v>257</v>
      </c>
      <c r="R197" s="589"/>
      <c r="S197" s="589"/>
      <c r="T197" s="589"/>
      <c r="U197" s="589"/>
      <c r="V197" s="589"/>
      <c r="W197" s="589"/>
      <c r="X197" s="589"/>
      <c r="Y197" s="589"/>
      <c r="Z197" s="589"/>
      <c r="AA197" s="589"/>
      <c r="AB197" s="589"/>
      <c r="AC197" s="589"/>
      <c r="AD197" s="589"/>
      <c r="AE197" s="589"/>
      <c r="AF197" s="589"/>
      <c r="AG197" s="590"/>
    </row>
    <row r="198" spans="2:37" ht="12.75" customHeight="1">
      <c r="G198" s="585"/>
      <c r="H198" s="586"/>
      <c r="I198" s="586"/>
      <c r="J198" s="586"/>
      <c r="K198" s="586"/>
      <c r="L198" s="586"/>
      <c r="M198" s="586"/>
      <c r="N198" s="586"/>
      <c r="O198" s="586"/>
      <c r="P198" s="587"/>
      <c r="Q198" s="588" t="s">
        <v>258</v>
      </c>
      <c r="R198" s="589"/>
      <c r="S198" s="589"/>
      <c r="T198" s="589"/>
      <c r="U198" s="589"/>
      <c r="V198" s="589"/>
      <c r="W198" s="589"/>
      <c r="X198" s="589"/>
      <c r="Y198" s="589"/>
      <c r="Z198" s="589"/>
      <c r="AA198" s="589"/>
      <c r="AB198" s="589"/>
      <c r="AC198" s="589"/>
      <c r="AD198" s="589"/>
      <c r="AE198" s="589"/>
      <c r="AF198" s="589"/>
      <c r="AG198" s="590"/>
    </row>
    <row r="199" spans="2:37" ht="13.2">
      <c r="G199" s="585"/>
      <c r="H199" s="586"/>
      <c r="I199" s="586"/>
      <c r="J199" s="586"/>
      <c r="K199" s="586"/>
      <c r="L199" s="586"/>
      <c r="M199" s="586"/>
      <c r="N199" s="586"/>
      <c r="O199" s="586"/>
      <c r="P199" s="587"/>
      <c r="Q199" s="588"/>
      <c r="R199" s="589"/>
      <c r="S199" s="589"/>
      <c r="T199" s="589"/>
      <c r="U199" s="589"/>
      <c r="V199" s="589"/>
      <c r="W199" s="589"/>
      <c r="X199" s="589"/>
      <c r="Y199" s="589"/>
      <c r="Z199" s="589"/>
      <c r="AA199" s="589"/>
      <c r="AB199" s="589"/>
      <c r="AC199" s="589"/>
      <c r="AD199" s="589"/>
      <c r="AE199" s="589"/>
      <c r="AF199" s="589"/>
      <c r="AG199" s="590"/>
    </row>
    <row r="200" spans="2:37" ht="13.2">
      <c r="G200" s="585"/>
      <c r="H200" s="586"/>
      <c r="I200" s="586"/>
      <c r="J200" s="586"/>
      <c r="K200" s="586"/>
      <c r="L200" s="586"/>
      <c r="M200" s="586"/>
      <c r="N200" s="586"/>
      <c r="O200" s="586"/>
      <c r="P200" s="587"/>
      <c r="Q200" s="588"/>
      <c r="R200" s="589"/>
      <c r="S200" s="589"/>
      <c r="T200" s="589"/>
      <c r="U200" s="589"/>
      <c r="V200" s="589"/>
      <c r="W200" s="589"/>
      <c r="X200" s="589"/>
      <c r="Y200" s="589"/>
      <c r="Z200" s="589"/>
      <c r="AA200" s="589"/>
      <c r="AB200" s="589"/>
      <c r="AC200" s="589"/>
      <c r="AD200" s="589"/>
      <c r="AE200" s="589"/>
      <c r="AF200" s="589"/>
      <c r="AG200" s="590"/>
    </row>
    <row r="201" spans="2:37" ht="12.75" customHeight="1">
      <c r="G201" s="582" t="s">
        <v>259</v>
      </c>
      <c r="H201" s="583"/>
      <c r="I201" s="583"/>
      <c r="J201" s="583"/>
      <c r="K201" s="583"/>
      <c r="L201" s="583"/>
      <c r="M201" s="583"/>
      <c r="N201" s="583"/>
      <c r="O201" s="583"/>
      <c r="P201" s="584"/>
      <c r="Q201" s="594" t="s">
        <v>260</v>
      </c>
      <c r="R201" s="595"/>
      <c r="S201" s="595"/>
      <c r="T201" s="595"/>
      <c r="U201" s="595"/>
      <c r="V201" s="595"/>
      <c r="W201" s="595"/>
      <c r="X201" s="595"/>
      <c r="Y201" s="595"/>
      <c r="Z201" s="595"/>
      <c r="AA201" s="595"/>
      <c r="AB201" s="595"/>
      <c r="AC201" s="595"/>
      <c r="AD201" s="595"/>
      <c r="AE201" s="595"/>
      <c r="AF201" s="595"/>
      <c r="AG201" s="596"/>
    </row>
    <row r="202" spans="2:37" ht="12.75" customHeight="1">
      <c r="G202" s="585"/>
      <c r="H202" s="586"/>
      <c r="I202" s="586"/>
      <c r="J202" s="586"/>
      <c r="K202" s="586"/>
      <c r="L202" s="586"/>
      <c r="M202" s="586"/>
      <c r="N202" s="586"/>
      <c r="O202" s="586"/>
      <c r="P202" s="587"/>
      <c r="Q202" s="588" t="s">
        <v>261</v>
      </c>
      <c r="R202" s="589"/>
      <c r="S202" s="589"/>
      <c r="T202" s="589"/>
      <c r="U202" s="589"/>
      <c r="V202" s="589"/>
      <c r="W202" s="589"/>
      <c r="X202" s="589"/>
      <c r="Y202" s="589"/>
      <c r="Z202" s="589"/>
      <c r="AA202" s="589"/>
      <c r="AB202" s="589"/>
      <c r="AC202" s="589"/>
      <c r="AD202" s="589"/>
      <c r="AE202" s="589"/>
      <c r="AF202" s="589"/>
      <c r="AG202" s="590"/>
    </row>
    <row r="203" spans="2:37" ht="12.75" customHeight="1">
      <c r="G203" s="591"/>
      <c r="H203" s="592"/>
      <c r="I203" s="592"/>
      <c r="J203" s="592"/>
      <c r="K203" s="592"/>
      <c r="L203" s="592"/>
      <c r="M203" s="592"/>
      <c r="N203" s="592"/>
      <c r="O203" s="592"/>
      <c r="P203" s="593"/>
      <c r="Q203" s="597" t="s">
        <v>262</v>
      </c>
      <c r="R203" s="598"/>
      <c r="S203" s="598"/>
      <c r="T203" s="598"/>
      <c r="U203" s="598"/>
      <c r="V203" s="598"/>
      <c r="W203" s="598"/>
      <c r="X203" s="598"/>
      <c r="Y203" s="598"/>
      <c r="Z203" s="598"/>
      <c r="AA203" s="598"/>
      <c r="AB203" s="598"/>
      <c r="AC203" s="598"/>
      <c r="AD203" s="598"/>
      <c r="AE203" s="598"/>
      <c r="AF203" s="598"/>
      <c r="AG203" s="599"/>
    </row>
    <row r="204" spans="2:37" ht="22.5" customHeight="1">
      <c r="G204" s="582" t="s">
        <v>263</v>
      </c>
      <c r="H204" s="583"/>
      <c r="I204" s="583"/>
      <c r="J204" s="583"/>
      <c r="K204" s="583"/>
      <c r="L204" s="583"/>
      <c r="M204" s="583"/>
      <c r="N204" s="583"/>
      <c r="O204" s="583"/>
      <c r="P204" s="584"/>
      <c r="Q204" s="588" t="s">
        <v>264</v>
      </c>
      <c r="R204" s="589"/>
      <c r="S204" s="589"/>
      <c r="T204" s="589"/>
      <c r="U204" s="589"/>
      <c r="V204" s="589"/>
      <c r="W204" s="589"/>
      <c r="X204" s="589"/>
      <c r="Y204" s="589"/>
      <c r="Z204" s="589"/>
      <c r="AA204" s="589"/>
      <c r="AB204" s="589"/>
      <c r="AC204" s="589"/>
      <c r="AD204" s="589"/>
      <c r="AE204" s="589"/>
      <c r="AF204" s="589"/>
      <c r="AG204" s="590"/>
    </row>
    <row r="205" spans="2:37" ht="12.75" customHeight="1">
      <c r="G205" s="585"/>
      <c r="H205" s="586"/>
      <c r="I205" s="586"/>
      <c r="J205" s="586"/>
      <c r="K205" s="586"/>
      <c r="L205" s="586"/>
      <c r="M205" s="586"/>
      <c r="N205" s="586"/>
      <c r="O205" s="586"/>
      <c r="P205" s="587"/>
      <c r="Q205" s="588" t="s">
        <v>265</v>
      </c>
      <c r="R205" s="589"/>
      <c r="S205" s="589"/>
      <c r="T205" s="589"/>
      <c r="U205" s="589"/>
      <c r="V205" s="589"/>
      <c r="W205" s="589"/>
      <c r="X205" s="589"/>
      <c r="Y205" s="589"/>
      <c r="Z205" s="589"/>
      <c r="AA205" s="589"/>
      <c r="AB205" s="589"/>
      <c r="AC205" s="589"/>
      <c r="AD205" s="589"/>
      <c r="AE205" s="589"/>
      <c r="AF205" s="589"/>
      <c r="AG205" s="590"/>
    </row>
    <row r="206" spans="2:37" ht="12.75" customHeight="1">
      <c r="G206" s="585"/>
      <c r="H206" s="586"/>
      <c r="I206" s="586"/>
      <c r="J206" s="586"/>
      <c r="K206" s="586"/>
      <c r="L206" s="586"/>
      <c r="M206" s="586"/>
      <c r="N206" s="586"/>
      <c r="O206" s="586"/>
      <c r="P206" s="587"/>
      <c r="Q206" s="588" t="s">
        <v>266</v>
      </c>
      <c r="R206" s="589"/>
      <c r="S206" s="589"/>
      <c r="T206" s="589"/>
      <c r="U206" s="589"/>
      <c r="V206" s="589"/>
      <c r="W206" s="589"/>
      <c r="X206" s="589"/>
      <c r="Y206" s="589"/>
      <c r="Z206" s="589"/>
      <c r="AA206" s="589"/>
      <c r="AB206" s="589"/>
      <c r="AC206" s="589"/>
      <c r="AD206" s="589"/>
      <c r="AE206" s="589"/>
      <c r="AF206" s="589"/>
      <c r="AG206" s="590"/>
    </row>
    <row r="207" spans="2:37" ht="13.2">
      <c r="G207" s="591"/>
      <c r="H207" s="592"/>
      <c r="I207" s="592"/>
      <c r="J207" s="592"/>
      <c r="K207" s="592"/>
      <c r="L207" s="592"/>
      <c r="M207" s="592"/>
      <c r="N207" s="592"/>
      <c r="O207" s="592"/>
      <c r="P207" s="593"/>
      <c r="Q207" s="597"/>
      <c r="R207" s="598"/>
      <c r="S207" s="598"/>
      <c r="T207" s="598"/>
      <c r="U207" s="598"/>
      <c r="V207" s="598"/>
      <c r="W207" s="598"/>
      <c r="X207" s="598"/>
      <c r="Y207" s="598"/>
      <c r="Z207" s="598"/>
      <c r="AA207" s="598"/>
      <c r="AB207" s="598"/>
      <c r="AC207" s="598"/>
      <c r="AD207" s="598"/>
      <c r="AE207" s="598"/>
      <c r="AF207" s="598"/>
      <c r="AG207" s="599"/>
    </row>
    <row r="208" spans="2:37" ht="13.2"/>
    <row r="209" spans="2:37" ht="13.2"/>
    <row r="210" spans="2:37" ht="23.25" customHeight="1">
      <c r="B210" s="804" t="s">
        <v>351</v>
      </c>
      <c r="C210" s="804"/>
      <c r="D210" s="804"/>
      <c r="E210" s="804"/>
      <c r="F210" s="804"/>
      <c r="G210" s="804"/>
      <c r="H210" s="804"/>
      <c r="I210" s="804"/>
      <c r="J210" s="804"/>
      <c r="K210" s="804"/>
      <c r="L210" s="804"/>
      <c r="M210" s="804"/>
      <c r="N210" s="804"/>
      <c r="O210" s="804"/>
      <c r="P210" s="804"/>
      <c r="Q210" s="804"/>
      <c r="R210" s="804"/>
      <c r="S210" s="804"/>
      <c r="T210" s="804"/>
      <c r="U210" s="804"/>
      <c r="V210" s="804"/>
      <c r="W210" s="804"/>
      <c r="X210" s="804"/>
      <c r="Y210" s="804"/>
      <c r="Z210" s="804"/>
      <c r="AA210" s="804"/>
      <c r="AB210" s="804"/>
      <c r="AC210" s="804"/>
      <c r="AD210" s="804"/>
      <c r="AE210" s="804"/>
      <c r="AF210" s="804"/>
      <c r="AG210" s="804"/>
      <c r="AH210" s="804"/>
      <c r="AI210" s="804"/>
      <c r="AJ210" s="804"/>
      <c r="AK210" s="804"/>
    </row>
    <row r="211" spans="2:37" ht="8.1" customHeight="1">
      <c r="B211" s="490"/>
      <c r="C211" s="490"/>
      <c r="D211" s="490"/>
      <c r="E211" s="274"/>
      <c r="F211" s="274"/>
      <c r="G211" s="274"/>
      <c r="H211" s="274"/>
      <c r="I211" s="274"/>
      <c r="J211" s="274"/>
      <c r="K211" s="274"/>
      <c r="L211" s="274"/>
      <c r="M211" s="274"/>
      <c r="N211" s="274"/>
      <c r="O211" s="274"/>
      <c r="P211" s="274"/>
      <c r="Q211" s="274"/>
      <c r="R211" s="274"/>
      <c r="S211" s="274"/>
      <c r="T211" s="274"/>
      <c r="U211" s="274"/>
      <c r="V211" s="274"/>
      <c r="W211" s="274"/>
      <c r="X211" s="274"/>
      <c r="Y211" s="274"/>
      <c r="Z211" s="274"/>
      <c r="AA211" s="274"/>
      <c r="AB211" s="274"/>
      <c r="AC211" s="274"/>
      <c r="AD211" s="274"/>
      <c r="AE211" s="274"/>
      <c r="AF211" s="274"/>
      <c r="AG211" s="274"/>
      <c r="AH211" s="274"/>
      <c r="AI211" s="274"/>
      <c r="AJ211" s="274"/>
      <c r="AK211" s="274"/>
    </row>
    <row r="212" spans="2:37" ht="69" customHeight="1">
      <c r="B212" s="566" t="s">
        <v>352</v>
      </c>
      <c r="C212" s="566"/>
      <c r="D212" s="566"/>
      <c r="E212" s="566"/>
      <c r="F212" s="566"/>
      <c r="G212" s="566"/>
      <c r="H212" s="566"/>
      <c r="I212" s="566"/>
      <c r="J212" s="566"/>
      <c r="K212" s="566"/>
      <c r="L212" s="566"/>
      <c r="M212" s="566"/>
      <c r="N212" s="566"/>
      <c r="O212" s="566"/>
      <c r="P212" s="566"/>
      <c r="Q212" s="566"/>
      <c r="R212" s="566"/>
      <c r="S212" s="566"/>
      <c r="T212" s="566"/>
      <c r="U212" s="566"/>
      <c r="V212" s="566"/>
      <c r="W212" s="566"/>
      <c r="X212" s="566"/>
      <c r="Y212" s="566"/>
      <c r="Z212" s="566"/>
      <c r="AA212" s="566"/>
      <c r="AB212" s="566"/>
      <c r="AC212" s="566"/>
      <c r="AD212" s="566"/>
      <c r="AE212" s="566"/>
      <c r="AF212" s="566"/>
      <c r="AG212" s="566"/>
      <c r="AH212" s="566"/>
      <c r="AI212" s="566"/>
      <c r="AJ212" s="566"/>
      <c r="AK212" s="566"/>
    </row>
    <row r="213" spans="2:37" ht="39.75" customHeight="1">
      <c r="B213" s="562" t="s">
        <v>269</v>
      </c>
      <c r="C213" s="562"/>
      <c r="D213" s="562"/>
      <c r="E213" s="562"/>
      <c r="F213" s="562"/>
      <c r="G213" s="562"/>
      <c r="H213" s="562"/>
      <c r="I213" s="562"/>
      <c r="J213" s="562"/>
      <c r="K213" s="562"/>
      <c r="L213" s="562"/>
      <c r="M213" s="562"/>
      <c r="N213" s="562"/>
      <c r="O213" s="562"/>
      <c r="P213" s="562"/>
      <c r="Q213" s="562"/>
      <c r="R213" s="562"/>
      <c r="S213" s="562"/>
      <c r="T213" s="562"/>
      <c r="U213" s="562"/>
      <c r="V213" s="562"/>
      <c r="W213" s="562"/>
      <c r="X213" s="562"/>
      <c r="Y213" s="562"/>
      <c r="Z213" s="562"/>
      <c r="AA213" s="562"/>
      <c r="AB213" s="562"/>
      <c r="AC213" s="562"/>
      <c r="AD213" s="562"/>
      <c r="AE213" s="562"/>
      <c r="AF213" s="562"/>
      <c r="AG213" s="562"/>
      <c r="AH213" s="562"/>
      <c r="AI213" s="562"/>
      <c r="AJ213" s="562"/>
      <c r="AK213" s="562"/>
    </row>
    <row r="214" spans="2:37" ht="8.1" customHeight="1">
      <c r="B214" s="490"/>
      <c r="C214" s="274"/>
      <c r="D214" s="274"/>
      <c r="E214" s="274"/>
      <c r="F214" s="274"/>
      <c r="G214" s="274"/>
      <c r="H214" s="274"/>
      <c r="I214" s="274"/>
      <c r="J214" s="274"/>
      <c r="K214" s="274"/>
      <c r="L214" s="274"/>
      <c r="M214" s="274"/>
      <c r="N214" s="274"/>
      <c r="O214" s="274"/>
      <c r="P214" s="274"/>
      <c r="Q214" s="274"/>
      <c r="R214" s="274"/>
      <c r="S214" s="274"/>
      <c r="T214" s="274"/>
      <c r="U214" s="274"/>
      <c r="V214" s="274"/>
      <c r="W214" s="274"/>
      <c r="X214" s="274"/>
      <c r="Y214" s="274"/>
      <c r="Z214" s="274"/>
      <c r="AA214" s="274"/>
      <c r="AB214" s="274"/>
      <c r="AC214" s="274"/>
      <c r="AD214" s="274"/>
      <c r="AE214" s="274"/>
      <c r="AF214" s="274"/>
      <c r="AG214" s="274"/>
      <c r="AH214" s="274"/>
      <c r="AI214" s="274"/>
      <c r="AJ214" s="274"/>
      <c r="AK214" s="274"/>
    </row>
    <row r="215" spans="2:37" ht="47.25" customHeight="1">
      <c r="B215" s="804" t="s">
        <v>270</v>
      </c>
      <c r="C215" s="804"/>
      <c r="D215" s="804"/>
      <c r="E215" s="804"/>
      <c r="F215" s="804"/>
      <c r="G215" s="804"/>
      <c r="H215" s="804"/>
      <c r="I215" s="804"/>
      <c r="J215" s="804"/>
      <c r="K215" s="804"/>
      <c r="L215" s="804"/>
      <c r="M215" s="804"/>
      <c r="N215" s="804"/>
      <c r="O215" s="804"/>
      <c r="P215" s="804"/>
      <c r="Q215" s="804"/>
      <c r="R215" s="804"/>
      <c r="S215" s="804"/>
      <c r="T215" s="804"/>
      <c r="U215" s="804"/>
      <c r="V215" s="804"/>
      <c r="W215" s="804"/>
      <c r="X215" s="804"/>
      <c r="Y215" s="804"/>
      <c r="Z215" s="804"/>
      <c r="AA215" s="804"/>
      <c r="AB215" s="804"/>
      <c r="AC215" s="804"/>
      <c r="AD215" s="804"/>
      <c r="AE215" s="804"/>
      <c r="AF215" s="804"/>
      <c r="AG215" s="804"/>
      <c r="AH215" s="804"/>
      <c r="AI215" s="804"/>
      <c r="AJ215" s="804"/>
      <c r="AK215" s="804"/>
    </row>
    <row r="216" spans="2:37" ht="8.1" customHeight="1">
      <c r="B216" s="490"/>
      <c r="C216" s="490"/>
      <c r="D216" s="274"/>
      <c r="E216" s="274"/>
      <c r="F216" s="274"/>
      <c r="G216" s="274"/>
      <c r="H216" s="274"/>
      <c r="I216" s="274"/>
      <c r="J216" s="274"/>
      <c r="K216" s="274"/>
      <c r="L216" s="274"/>
      <c r="M216" s="274"/>
      <c r="N216" s="274"/>
      <c r="O216" s="274"/>
      <c r="P216" s="274"/>
      <c r="Q216" s="274"/>
      <c r="R216" s="274"/>
      <c r="S216" s="274"/>
      <c r="T216" s="274"/>
      <c r="U216" s="274"/>
      <c r="V216" s="274"/>
      <c r="W216" s="274"/>
      <c r="X216" s="274"/>
      <c r="Y216" s="274"/>
      <c r="Z216" s="274"/>
      <c r="AA216" s="274"/>
      <c r="AB216" s="274"/>
      <c r="AC216" s="274"/>
      <c r="AD216" s="274"/>
      <c r="AE216" s="274"/>
      <c r="AF216" s="274"/>
      <c r="AG216" s="274"/>
      <c r="AH216" s="274"/>
      <c r="AI216" s="274"/>
      <c r="AJ216" s="274"/>
      <c r="AK216" s="274"/>
    </row>
    <row r="217" spans="2:37" ht="46.5" customHeight="1">
      <c r="B217" s="804" t="s">
        <v>271</v>
      </c>
      <c r="C217" s="804"/>
      <c r="D217" s="804"/>
      <c r="E217" s="804"/>
      <c r="F217" s="804"/>
      <c r="G217" s="804"/>
      <c r="H217" s="804"/>
      <c r="I217" s="804"/>
      <c r="J217" s="804"/>
      <c r="K217" s="804"/>
      <c r="L217" s="804"/>
      <c r="M217" s="804"/>
      <c r="N217" s="804"/>
      <c r="O217" s="804"/>
      <c r="P217" s="804"/>
      <c r="Q217" s="804"/>
      <c r="R217" s="804"/>
      <c r="S217" s="804"/>
      <c r="T217" s="804"/>
      <c r="U217" s="804"/>
      <c r="V217" s="804"/>
      <c r="W217" s="804"/>
      <c r="X217" s="804"/>
      <c r="Y217" s="804"/>
      <c r="Z217" s="804"/>
      <c r="AA217" s="804"/>
      <c r="AB217" s="804"/>
      <c r="AC217" s="804"/>
      <c r="AD217" s="804"/>
      <c r="AE217" s="804"/>
      <c r="AF217" s="804"/>
      <c r="AG217" s="804"/>
      <c r="AH217" s="804"/>
      <c r="AI217" s="804"/>
      <c r="AJ217" s="804"/>
      <c r="AK217" s="804"/>
    </row>
    <row r="218" spans="2:37" ht="13.2">
      <c r="B218" s="259"/>
      <c r="C218" s="238"/>
      <c r="D218" s="238"/>
      <c r="E218" s="238"/>
      <c r="F218" s="238"/>
      <c r="G218" s="238"/>
      <c r="H218" s="238"/>
      <c r="I218" s="238"/>
      <c r="J218" s="238"/>
      <c r="K218" s="238"/>
      <c r="L218" s="238"/>
      <c r="M218" s="238"/>
      <c r="N218" s="238"/>
      <c r="O218" s="238"/>
      <c r="P218" s="238"/>
      <c r="Q218" s="238"/>
      <c r="R218" s="238"/>
      <c r="S218" s="238"/>
      <c r="T218" s="238"/>
      <c r="U218" s="238"/>
      <c r="V218" s="238"/>
      <c r="W218" s="238"/>
      <c r="X218" s="238"/>
      <c r="Y218" s="238"/>
      <c r="Z218" s="238"/>
      <c r="AA218" s="238"/>
      <c r="AB218" s="238"/>
      <c r="AC218" s="238"/>
      <c r="AD218" s="238"/>
      <c r="AE218" s="238"/>
      <c r="AF218" s="238"/>
      <c r="AG218" s="238"/>
      <c r="AH218" s="238"/>
      <c r="AI218" s="238"/>
      <c r="AJ218" s="238"/>
      <c r="AK218" s="238"/>
    </row>
    <row r="219" spans="2:37" ht="13.2">
      <c r="B219" s="805" t="s">
        <v>272</v>
      </c>
      <c r="C219" s="805"/>
      <c r="D219" s="805"/>
      <c r="E219" s="805"/>
      <c r="F219" s="805"/>
      <c r="G219" s="805"/>
      <c r="H219" s="805"/>
      <c r="I219" s="805"/>
      <c r="J219" s="805"/>
      <c r="K219" s="805"/>
      <c r="L219" s="805"/>
      <c r="M219" s="805"/>
      <c r="N219" s="805"/>
      <c r="O219" s="805"/>
      <c r="P219" s="805"/>
      <c r="Q219" s="805"/>
      <c r="R219" s="805"/>
      <c r="S219" s="805"/>
      <c r="T219" s="805"/>
      <c r="U219" s="805"/>
      <c r="V219" s="805"/>
      <c r="W219" s="805"/>
      <c r="X219" s="805"/>
      <c r="Y219" s="805"/>
      <c r="Z219" s="805"/>
      <c r="AA219" s="805"/>
      <c r="AB219" s="805"/>
      <c r="AC219" s="805"/>
      <c r="AD219" s="805"/>
      <c r="AE219" s="805"/>
      <c r="AF219" s="805"/>
      <c r="AG219" s="805"/>
      <c r="AH219" s="805"/>
      <c r="AI219" s="805"/>
      <c r="AJ219" s="805"/>
      <c r="AK219" s="805"/>
    </row>
    <row r="220" spans="2:37" ht="13.2">
      <c r="B220" s="257"/>
      <c r="C220" s="238"/>
      <c r="D220" s="238"/>
      <c r="E220" s="238"/>
      <c r="F220" s="238"/>
      <c r="G220" s="238"/>
      <c r="H220" s="238"/>
      <c r="I220" s="238"/>
      <c r="J220" s="238"/>
      <c r="K220" s="238"/>
      <c r="L220" s="238"/>
      <c r="M220" s="238"/>
      <c r="N220" s="238"/>
      <c r="O220" s="238"/>
      <c r="P220" s="238"/>
      <c r="Q220" s="238"/>
      <c r="R220" s="238"/>
      <c r="S220" s="238"/>
      <c r="T220" s="238"/>
      <c r="U220" s="238"/>
      <c r="V220" s="238"/>
      <c r="W220" s="238"/>
      <c r="X220" s="238"/>
      <c r="Y220" s="238"/>
      <c r="Z220" s="238"/>
      <c r="AA220" s="238"/>
      <c r="AB220" s="238"/>
      <c r="AC220" s="238"/>
      <c r="AD220" s="238"/>
      <c r="AE220" s="238"/>
      <c r="AF220" s="238"/>
      <c r="AG220" s="238"/>
      <c r="AH220" s="238"/>
      <c r="AI220" s="238"/>
      <c r="AJ220" s="238"/>
      <c r="AK220" s="238"/>
    </row>
    <row r="221" spans="2:37" ht="51.75" customHeight="1">
      <c r="B221" s="796" t="s">
        <v>337</v>
      </c>
      <c r="C221" s="796"/>
      <c r="D221" s="796"/>
      <c r="E221" s="796"/>
      <c r="F221" s="796"/>
      <c r="G221" s="796"/>
      <c r="H221" s="796"/>
      <c r="I221" s="796"/>
      <c r="J221" s="796"/>
      <c r="K221" s="796"/>
      <c r="L221" s="796"/>
      <c r="M221" s="796"/>
      <c r="N221" s="796"/>
      <c r="O221" s="796"/>
      <c r="P221" s="796"/>
      <c r="Q221" s="796"/>
      <c r="R221" s="796"/>
      <c r="S221" s="796"/>
      <c r="T221" s="796"/>
      <c r="U221" s="796"/>
      <c r="V221" s="796"/>
      <c r="W221" s="796"/>
      <c r="X221" s="796"/>
      <c r="Y221" s="796"/>
      <c r="Z221" s="796"/>
      <c r="AA221" s="796"/>
      <c r="AB221" s="796"/>
      <c r="AC221" s="796"/>
      <c r="AD221" s="796"/>
      <c r="AE221" s="796"/>
      <c r="AF221" s="796"/>
      <c r="AG221" s="796"/>
      <c r="AH221" s="796"/>
      <c r="AI221" s="796"/>
      <c r="AJ221" s="796"/>
      <c r="AK221" s="796"/>
    </row>
    <row r="222" spans="2:37" ht="12.75" customHeight="1"/>
    <row r="223" spans="2:37" ht="13.2">
      <c r="B223" s="490"/>
      <c r="C223" s="490"/>
      <c r="D223" s="490"/>
      <c r="E223" s="490"/>
      <c r="F223" s="490"/>
      <c r="G223" s="490"/>
      <c r="H223" s="490"/>
      <c r="I223" s="490"/>
      <c r="J223" s="490"/>
      <c r="K223" s="490"/>
      <c r="L223" s="490"/>
      <c r="M223" s="490"/>
      <c r="N223" s="490"/>
      <c r="O223" s="490"/>
      <c r="P223" s="490"/>
      <c r="Q223" s="490"/>
      <c r="R223" s="490"/>
      <c r="S223" s="490"/>
      <c r="T223" s="490"/>
      <c r="U223" s="490"/>
      <c r="V223" s="490"/>
      <c r="W223" s="490"/>
      <c r="X223" s="490"/>
      <c r="Y223" s="490"/>
      <c r="Z223" s="490"/>
      <c r="AA223" s="490"/>
      <c r="AB223" s="490"/>
      <c r="AC223" s="490"/>
      <c r="AD223" s="490"/>
      <c r="AE223" s="490"/>
      <c r="AF223" s="490"/>
      <c r="AG223" s="490"/>
      <c r="AH223" s="490"/>
      <c r="AI223" s="490"/>
      <c r="AJ223" s="490"/>
      <c r="AK223" s="490"/>
    </row>
    <row r="224" spans="2:37" ht="13.2">
      <c r="B224" s="807" t="s">
        <v>274</v>
      </c>
      <c r="C224" s="807"/>
      <c r="D224" s="807"/>
      <c r="E224" s="807"/>
      <c r="F224" s="807"/>
      <c r="G224" s="807"/>
      <c r="H224" s="807"/>
      <c r="I224" s="807"/>
      <c r="J224" s="807"/>
      <c r="K224" s="807"/>
      <c r="L224" s="807"/>
      <c r="M224" s="807"/>
      <c r="N224" s="807"/>
      <c r="O224" s="807"/>
      <c r="P224" s="807"/>
      <c r="Q224" s="807"/>
      <c r="R224" s="807"/>
      <c r="S224" s="807"/>
      <c r="T224" s="807"/>
      <c r="U224" s="807"/>
      <c r="V224" s="807"/>
      <c r="W224" s="807"/>
      <c r="X224" s="807"/>
      <c r="Y224" s="807"/>
      <c r="Z224" s="807"/>
      <c r="AA224" s="807"/>
      <c r="AB224" s="807"/>
      <c r="AC224" s="807"/>
      <c r="AD224" s="807"/>
      <c r="AE224" s="807"/>
      <c r="AF224" s="807"/>
      <c r="AG224" s="807"/>
      <c r="AH224" s="807"/>
      <c r="AI224" s="807"/>
      <c r="AJ224" s="807"/>
      <c r="AK224" s="807"/>
    </row>
    <row r="225" spans="2:37" ht="13.2">
      <c r="B225" s="490"/>
      <c r="C225" s="490"/>
      <c r="D225" s="490"/>
      <c r="E225" s="490"/>
      <c r="F225" s="490"/>
      <c r="G225" s="490"/>
      <c r="H225" s="490"/>
      <c r="I225" s="490"/>
      <c r="J225" s="490"/>
      <c r="K225" s="490"/>
      <c r="L225" s="490"/>
      <c r="M225" s="490"/>
      <c r="N225" s="490"/>
      <c r="O225" s="490"/>
      <c r="P225" s="490"/>
      <c r="Q225" s="490"/>
      <c r="R225" s="490"/>
      <c r="S225" s="490"/>
      <c r="T225" s="490"/>
      <c r="U225" s="490"/>
      <c r="V225" s="490"/>
      <c r="W225" s="490"/>
      <c r="X225" s="490"/>
      <c r="Y225" s="490"/>
      <c r="Z225" s="490"/>
      <c r="AA225" s="490"/>
      <c r="AB225" s="490"/>
      <c r="AC225" s="490"/>
      <c r="AD225" s="490"/>
      <c r="AE225" s="490"/>
      <c r="AF225" s="490"/>
      <c r="AG225" s="490"/>
      <c r="AH225" s="490"/>
      <c r="AI225" s="490"/>
      <c r="AJ225" s="490"/>
      <c r="AK225" s="490"/>
    </row>
    <row r="226" spans="2:37" ht="13.2">
      <c r="B226" s="490"/>
      <c r="C226" s="490"/>
      <c r="D226" s="490"/>
      <c r="E226" s="490"/>
      <c r="F226" s="490"/>
      <c r="G226" s="490"/>
      <c r="H226" s="490"/>
      <c r="I226" s="490"/>
      <c r="J226" s="490"/>
      <c r="K226" s="490"/>
      <c r="L226" s="490"/>
      <c r="M226" s="490"/>
      <c r="N226" s="490"/>
      <c r="O226" s="490"/>
      <c r="P226" s="490"/>
      <c r="Q226" s="490"/>
      <c r="R226" s="490"/>
      <c r="S226" s="490"/>
      <c r="T226" s="490"/>
      <c r="U226" s="490"/>
      <c r="V226" s="490"/>
      <c r="W226" s="490"/>
      <c r="X226" s="490"/>
      <c r="Y226" s="490"/>
      <c r="Z226" s="490"/>
      <c r="AA226" s="490"/>
      <c r="AB226" s="490"/>
      <c r="AC226" s="490"/>
      <c r="AD226" s="490"/>
      <c r="AE226" s="490"/>
      <c r="AF226" s="490"/>
      <c r="AG226" s="490"/>
      <c r="AH226" s="490"/>
      <c r="AI226" s="490"/>
      <c r="AJ226" s="490"/>
      <c r="AK226" s="490"/>
    </row>
    <row r="227" spans="2:37" ht="13.2">
      <c r="B227" s="490"/>
      <c r="C227" s="490"/>
      <c r="D227" s="490"/>
      <c r="E227" s="490"/>
      <c r="F227" s="490"/>
      <c r="G227" s="490"/>
      <c r="H227" s="490"/>
      <c r="I227" s="490"/>
      <c r="J227" s="490"/>
      <c r="K227" s="806"/>
      <c r="L227" s="806"/>
      <c r="M227" s="806"/>
      <c r="N227" s="806"/>
      <c r="O227" s="806"/>
      <c r="P227" s="806"/>
      <c r="Q227" s="806"/>
      <c r="R227" s="806"/>
      <c r="S227" s="806"/>
      <c r="T227" s="806"/>
      <c r="U227" s="806"/>
      <c r="V227" s="806"/>
      <c r="W227" s="806"/>
      <c r="X227" s="806"/>
      <c r="Y227" s="806"/>
      <c r="Z227" s="806"/>
      <c r="AA227" s="806"/>
      <c r="AB227" s="806"/>
      <c r="AC227" s="490"/>
      <c r="AD227" s="490"/>
      <c r="AE227" s="490"/>
      <c r="AF227" s="490"/>
      <c r="AG227" s="490"/>
      <c r="AH227" s="490"/>
      <c r="AI227" s="490"/>
      <c r="AJ227" s="490"/>
      <c r="AK227" s="490"/>
    </row>
    <row r="228" spans="2:37" ht="13.2">
      <c r="B228" s="490"/>
      <c r="C228" s="490"/>
      <c r="D228" s="490"/>
      <c r="E228" s="490"/>
      <c r="F228" s="490"/>
      <c r="G228" s="490"/>
      <c r="H228" s="490"/>
      <c r="I228" s="490"/>
      <c r="J228" s="490"/>
      <c r="K228" s="490"/>
      <c r="L228" s="490"/>
      <c r="M228" s="490"/>
      <c r="N228" s="490"/>
      <c r="O228" s="490"/>
      <c r="P228" s="490"/>
      <c r="Q228" s="490"/>
      <c r="R228" s="490"/>
      <c r="S228" s="490"/>
      <c r="T228" s="490"/>
      <c r="U228" s="490"/>
      <c r="V228" s="490"/>
      <c r="W228" s="490"/>
      <c r="X228" s="490"/>
      <c r="Y228" s="490"/>
      <c r="Z228" s="490"/>
      <c r="AA228" s="490"/>
      <c r="AB228" s="490"/>
      <c r="AC228" s="490"/>
      <c r="AD228" s="490"/>
      <c r="AE228" s="490"/>
      <c r="AF228" s="490"/>
      <c r="AG228" s="490"/>
      <c r="AH228" s="490"/>
      <c r="AI228" s="490"/>
      <c r="AJ228" s="490"/>
      <c r="AK228" s="490"/>
    </row>
    <row r="229" spans="2:37" ht="13.2">
      <c r="B229" s="490"/>
      <c r="C229" s="490"/>
      <c r="D229" s="490"/>
      <c r="E229" s="490"/>
      <c r="F229" s="490"/>
      <c r="G229" s="490"/>
      <c r="H229" s="490"/>
      <c r="I229" s="490"/>
      <c r="J229" s="490"/>
      <c r="K229" s="490"/>
      <c r="L229" s="490"/>
      <c r="M229" s="490"/>
      <c r="N229" s="490"/>
      <c r="O229" s="490"/>
      <c r="P229" s="490"/>
      <c r="Q229" s="490"/>
      <c r="R229" s="490"/>
      <c r="S229" s="490"/>
      <c r="T229" s="490"/>
      <c r="U229" s="490"/>
      <c r="V229" s="490"/>
      <c r="W229" s="490"/>
      <c r="X229" s="490"/>
      <c r="Y229" s="490"/>
      <c r="Z229" s="490"/>
      <c r="AA229" s="490"/>
      <c r="AB229" s="490"/>
      <c r="AC229" s="490"/>
      <c r="AD229" s="490"/>
      <c r="AE229" s="490"/>
      <c r="AF229" s="490"/>
      <c r="AG229" s="490"/>
      <c r="AH229" s="490"/>
      <c r="AI229" s="490"/>
      <c r="AJ229" s="490"/>
      <c r="AK229" s="490"/>
    </row>
    <row r="230" spans="2:37" ht="13.2">
      <c r="B230" s="490"/>
      <c r="C230" s="490"/>
      <c r="D230" s="490"/>
      <c r="E230" s="490"/>
      <c r="F230" s="490"/>
      <c r="G230" s="490"/>
      <c r="H230" s="490"/>
      <c r="I230" s="490"/>
      <c r="J230" s="490"/>
      <c r="K230" s="490"/>
      <c r="L230" s="490"/>
      <c r="M230" s="490"/>
      <c r="N230" s="490"/>
      <c r="O230" s="490"/>
      <c r="P230" s="490"/>
      <c r="Q230" s="490"/>
      <c r="R230" s="490"/>
      <c r="S230" s="490"/>
      <c r="T230" s="490"/>
      <c r="U230" s="490"/>
      <c r="V230" s="490"/>
      <c r="W230" s="490"/>
      <c r="X230" s="490"/>
      <c r="Y230" s="490"/>
      <c r="Z230" s="490"/>
      <c r="AA230" s="490"/>
      <c r="AB230" s="490"/>
      <c r="AC230" s="490"/>
      <c r="AD230" s="490"/>
      <c r="AE230" s="490"/>
      <c r="AF230" s="490"/>
      <c r="AG230" s="490"/>
      <c r="AH230" s="490"/>
      <c r="AI230" s="490"/>
      <c r="AJ230" s="490"/>
      <c r="AK230" s="490"/>
    </row>
    <row r="231" spans="2:37" ht="13.2">
      <c r="B231" s="490"/>
      <c r="C231" s="490"/>
      <c r="D231" s="490"/>
      <c r="E231" s="490"/>
      <c r="F231" s="490"/>
      <c r="G231" s="490"/>
      <c r="H231" s="490"/>
      <c r="I231" s="490"/>
      <c r="J231" s="490"/>
      <c r="K231" s="806"/>
      <c r="L231" s="806"/>
      <c r="M231" s="806"/>
      <c r="N231" s="806"/>
      <c r="O231" s="806"/>
      <c r="P231" s="806"/>
      <c r="Q231" s="806"/>
      <c r="R231" s="806"/>
      <c r="S231" s="806"/>
      <c r="T231" s="806"/>
      <c r="U231" s="806"/>
      <c r="V231" s="806"/>
      <c r="W231" s="806"/>
      <c r="X231" s="806"/>
      <c r="Y231" s="806"/>
      <c r="Z231" s="806"/>
      <c r="AA231" s="806"/>
      <c r="AB231" s="806"/>
      <c r="AC231" s="490"/>
      <c r="AD231" s="490"/>
      <c r="AE231" s="490"/>
      <c r="AF231" s="490"/>
      <c r="AG231" s="490"/>
      <c r="AH231" s="490"/>
      <c r="AI231" s="490"/>
      <c r="AJ231" s="490"/>
      <c r="AK231" s="490"/>
    </row>
    <row r="232" spans="2:37" ht="13.2">
      <c r="B232" s="806">
        <f>AA_024_DATOS_DE_LA_PARTE_ACREDITADA_NOMBRE_DEL_ACREDITADO_2</f>
        <v>0</v>
      </c>
      <c r="C232" s="806"/>
      <c r="D232" s="806"/>
      <c r="E232" s="806"/>
      <c r="F232" s="806"/>
      <c r="G232" s="806"/>
      <c r="H232" s="806"/>
      <c r="I232" s="806"/>
      <c r="J232" s="806"/>
      <c r="K232" s="806"/>
      <c r="L232" s="806"/>
      <c r="M232" s="806"/>
      <c r="N232" s="806"/>
      <c r="O232" s="806"/>
      <c r="P232" s="806"/>
      <c r="Q232" s="806"/>
      <c r="R232" s="806"/>
      <c r="S232" s="806"/>
      <c r="T232" s="806"/>
      <c r="U232" s="806"/>
      <c r="V232" s="806"/>
      <c r="W232" s="806"/>
      <c r="X232" s="806"/>
      <c r="Y232" s="806"/>
      <c r="Z232" s="806"/>
      <c r="AA232" s="806"/>
      <c r="AB232" s="806"/>
      <c r="AC232" s="806"/>
      <c r="AD232" s="806"/>
      <c r="AE232" s="806"/>
      <c r="AF232" s="806"/>
      <c r="AG232" s="806"/>
      <c r="AH232" s="806"/>
      <c r="AI232" s="806"/>
      <c r="AJ232" s="806"/>
      <c r="AK232" s="806"/>
    </row>
    <row r="233" spans="2:37" ht="13.2">
      <c r="B233" s="806"/>
      <c r="C233" s="806"/>
      <c r="D233" s="806"/>
      <c r="E233" s="806"/>
      <c r="F233" s="806"/>
      <c r="G233" s="806"/>
      <c r="H233" s="806"/>
      <c r="I233" s="806"/>
      <c r="J233" s="806"/>
      <c r="K233" s="806"/>
      <c r="L233" s="806"/>
      <c r="M233" s="806"/>
      <c r="N233" s="806"/>
      <c r="O233" s="806"/>
      <c r="P233" s="806"/>
      <c r="Q233" s="806"/>
      <c r="R233" s="806"/>
      <c r="S233" s="806"/>
      <c r="T233" s="806"/>
      <c r="U233" s="806"/>
      <c r="V233" s="806"/>
      <c r="W233" s="806"/>
      <c r="X233" s="806"/>
      <c r="Y233" s="806"/>
      <c r="Z233" s="806"/>
      <c r="AA233" s="806"/>
      <c r="AB233" s="806"/>
      <c r="AC233" s="806"/>
      <c r="AD233" s="806"/>
      <c r="AE233" s="806"/>
      <c r="AF233" s="806"/>
      <c r="AG233" s="806"/>
      <c r="AH233" s="806"/>
      <c r="AI233" s="806"/>
      <c r="AJ233" s="806"/>
      <c r="AK233" s="806"/>
    </row>
    <row r="234" spans="2:37" ht="41.25" customHeight="1">
      <c r="B234" s="490"/>
      <c r="C234" s="490"/>
      <c r="D234" s="490"/>
      <c r="E234" s="490"/>
      <c r="F234" s="490"/>
      <c r="G234" s="490"/>
      <c r="H234" s="490"/>
      <c r="I234" s="490"/>
      <c r="J234" s="490"/>
      <c r="K234" s="490"/>
      <c r="L234" s="490"/>
      <c r="M234" s="490"/>
      <c r="N234" s="490"/>
      <c r="O234" s="490"/>
      <c r="P234" s="490"/>
      <c r="Q234" s="490"/>
      <c r="R234" s="490"/>
      <c r="S234" s="490"/>
      <c r="T234" s="490"/>
      <c r="U234" s="490"/>
      <c r="V234" s="490"/>
      <c r="W234" s="490"/>
      <c r="X234" s="490"/>
      <c r="Y234" s="490"/>
      <c r="Z234" s="490"/>
      <c r="AA234" s="490"/>
      <c r="AB234" s="490"/>
      <c r="AC234" s="490"/>
      <c r="AD234" s="490"/>
      <c r="AE234" s="490"/>
      <c r="AF234" s="490"/>
      <c r="AG234" s="490"/>
      <c r="AH234" s="490"/>
      <c r="AI234" s="490"/>
      <c r="AJ234" s="490"/>
      <c r="AK234" s="490"/>
    </row>
    <row r="235" spans="2:37" ht="13.2">
      <c r="B235" s="565" t="s">
        <v>275</v>
      </c>
      <c r="C235" s="565"/>
      <c r="D235" s="565"/>
      <c r="E235" s="565"/>
      <c r="F235" s="565"/>
      <c r="G235" s="565"/>
      <c r="H235" s="565"/>
      <c r="I235" s="565"/>
      <c r="J235" s="565"/>
      <c r="K235" s="565"/>
      <c r="L235" s="565"/>
      <c r="M235" s="565"/>
      <c r="N235" s="565"/>
      <c r="O235" s="565"/>
      <c r="P235" s="565"/>
      <c r="Q235" s="565"/>
      <c r="R235" s="565"/>
      <c r="S235" s="565"/>
      <c r="T235" s="565"/>
      <c r="U235" s="565"/>
      <c r="V235" s="565"/>
      <c r="W235" s="565"/>
      <c r="X235" s="565"/>
      <c r="Y235" s="565"/>
      <c r="Z235" s="565"/>
      <c r="AA235" s="565"/>
      <c r="AB235" s="565"/>
      <c r="AC235" s="565"/>
      <c r="AD235" s="565"/>
      <c r="AE235" s="565"/>
      <c r="AF235" s="565"/>
      <c r="AG235" s="565"/>
      <c r="AH235" s="565"/>
      <c r="AI235" s="565"/>
      <c r="AJ235" s="565"/>
      <c r="AK235" s="565"/>
    </row>
    <row r="236" spans="2:37" ht="12.75" customHeight="1">
      <c r="B236" s="490"/>
      <c r="C236" s="490"/>
      <c r="D236" s="490"/>
      <c r="E236" s="490"/>
      <c r="F236" s="490"/>
      <c r="G236" s="490"/>
      <c r="H236" s="490"/>
      <c r="I236" s="490"/>
      <c r="J236" s="490"/>
      <c r="K236" s="490"/>
      <c r="L236" s="490"/>
      <c r="M236" s="490"/>
      <c r="N236" s="490"/>
      <c r="O236" s="490"/>
      <c r="P236" s="490"/>
      <c r="Q236" s="490"/>
      <c r="R236" s="490"/>
      <c r="S236" s="490"/>
      <c r="T236" s="490"/>
      <c r="U236" s="490"/>
      <c r="V236" s="490"/>
      <c r="W236" s="490"/>
      <c r="X236" s="490"/>
      <c r="Y236" s="490"/>
      <c r="Z236" s="490"/>
      <c r="AA236" s="490"/>
      <c r="AB236" s="490"/>
      <c r="AC236" s="490"/>
      <c r="AD236" s="490"/>
      <c r="AE236" s="490"/>
      <c r="AF236" s="490"/>
      <c r="AG236" s="490"/>
      <c r="AH236" s="490"/>
      <c r="AI236" s="490"/>
      <c r="AJ236" s="490"/>
      <c r="AK236" s="490"/>
    </row>
    <row r="237" spans="2:37" ht="12.75" customHeight="1">
      <c r="B237" s="490"/>
      <c r="C237" s="490"/>
      <c r="D237" s="490"/>
      <c r="E237" s="490"/>
      <c r="F237" s="490"/>
      <c r="G237" s="490"/>
      <c r="H237" s="490"/>
      <c r="I237" s="490"/>
      <c r="J237" s="490"/>
      <c r="K237" s="806"/>
      <c r="L237" s="806"/>
      <c r="M237" s="806"/>
      <c r="N237" s="806"/>
      <c r="O237" s="806"/>
      <c r="P237" s="806"/>
      <c r="Q237" s="806"/>
      <c r="R237" s="806"/>
      <c r="S237" s="806"/>
      <c r="T237" s="806"/>
      <c r="U237" s="806"/>
      <c r="V237" s="806"/>
      <c r="W237" s="806"/>
      <c r="X237" s="806"/>
      <c r="Y237" s="806"/>
      <c r="Z237" s="806"/>
      <c r="AA237" s="806"/>
      <c r="AB237" s="806"/>
      <c r="AC237" s="490"/>
      <c r="AD237" s="490"/>
      <c r="AE237" s="490"/>
      <c r="AF237" s="490"/>
      <c r="AG237" s="490"/>
      <c r="AH237" s="490"/>
      <c r="AI237" s="490"/>
      <c r="AJ237" s="490"/>
      <c r="AK237" s="490"/>
    </row>
    <row r="238" spans="2:37" ht="19.5" customHeight="1">
      <c r="B238" s="619">
        <f>AA_037_DATOS_FIADORES_NOMBRE_DEL_FIADOR_SOLIDARIO_UNO</f>
        <v>0</v>
      </c>
      <c r="C238" s="619"/>
      <c r="D238" s="619"/>
      <c r="E238" s="619"/>
      <c r="F238" s="619"/>
      <c r="G238" s="619"/>
      <c r="H238" s="619"/>
      <c r="I238" s="619"/>
      <c r="J238" s="619"/>
      <c r="K238" s="619"/>
      <c r="L238" s="619"/>
      <c r="M238" s="619"/>
      <c r="N238" s="619"/>
      <c r="O238" s="619"/>
      <c r="P238" s="619"/>
      <c r="Q238" s="619"/>
      <c r="R238" s="619"/>
      <c r="S238" s="619"/>
      <c r="T238" s="619"/>
      <c r="U238" s="619"/>
      <c r="V238" s="619"/>
      <c r="W238" s="619"/>
      <c r="X238" s="619"/>
      <c r="Y238" s="619"/>
      <c r="Z238" s="619"/>
      <c r="AA238" s="619"/>
      <c r="AB238" s="619"/>
      <c r="AC238" s="619"/>
      <c r="AD238" s="619"/>
      <c r="AE238" s="619"/>
      <c r="AF238" s="619"/>
      <c r="AG238" s="619"/>
      <c r="AH238" s="619"/>
      <c r="AI238" s="619"/>
      <c r="AJ238" s="619"/>
      <c r="AK238" s="619"/>
    </row>
    <row r="239" spans="2:37" ht="12.75" customHeight="1">
      <c r="B239" s="490"/>
      <c r="C239" s="490"/>
      <c r="D239" s="490"/>
      <c r="E239" s="490"/>
      <c r="F239" s="490"/>
      <c r="G239" s="490"/>
      <c r="H239" s="490"/>
      <c r="I239" s="490"/>
      <c r="J239" s="490"/>
      <c r="K239" s="490"/>
      <c r="L239" s="490"/>
      <c r="M239" s="490"/>
      <c r="N239" s="490"/>
      <c r="O239" s="490"/>
      <c r="P239" s="490"/>
      <c r="Q239" s="490"/>
      <c r="R239" s="490"/>
      <c r="S239" s="490"/>
      <c r="T239" s="490"/>
      <c r="U239" s="490"/>
      <c r="V239" s="490"/>
      <c r="W239" s="490"/>
      <c r="X239" s="490"/>
      <c r="Y239" s="490"/>
      <c r="Z239" s="490"/>
      <c r="AA239" s="490"/>
      <c r="AB239" s="490"/>
      <c r="AC239" s="490"/>
      <c r="AD239" s="490"/>
      <c r="AE239" s="490"/>
      <c r="AF239" s="490"/>
      <c r="AG239" s="490"/>
      <c r="AH239" s="490"/>
      <c r="AI239" s="490"/>
      <c r="AJ239" s="490"/>
      <c r="AK239" s="490"/>
    </row>
    <row r="240" spans="2:37" ht="12.75" customHeight="1">
      <c r="B240" s="238"/>
      <c r="C240" s="238"/>
      <c r="D240" s="238"/>
      <c r="E240" s="238"/>
      <c r="F240" s="238"/>
      <c r="G240" s="238"/>
      <c r="H240" s="238"/>
      <c r="I240" s="238"/>
      <c r="J240" s="238"/>
      <c r="K240" s="618"/>
      <c r="L240" s="618"/>
      <c r="M240" s="618"/>
      <c r="N240" s="618"/>
      <c r="O240" s="618"/>
      <c r="P240" s="618"/>
      <c r="Q240" s="618"/>
      <c r="R240" s="618"/>
      <c r="S240" s="618"/>
      <c r="T240" s="618"/>
      <c r="U240" s="618"/>
      <c r="V240" s="618"/>
      <c r="W240" s="618"/>
      <c r="X240" s="618"/>
      <c r="Y240" s="618"/>
      <c r="Z240" s="618"/>
      <c r="AA240" s="618"/>
      <c r="AB240" s="618"/>
      <c r="AC240" s="238"/>
      <c r="AD240" s="238"/>
      <c r="AE240" s="238"/>
      <c r="AF240" s="238"/>
      <c r="AG240" s="238"/>
      <c r="AH240" s="238"/>
      <c r="AI240" s="238"/>
      <c r="AJ240" s="238"/>
      <c r="AK240" s="238"/>
    </row>
    <row r="241" spans="2:37" ht="19.5" customHeight="1">
      <c r="B241" s="619">
        <f>AA_048_DATOS_FIADORES_NOMBRE_DEL_FIADOR_SOLIDARIO_DOS</f>
        <v>0</v>
      </c>
      <c r="C241" s="619"/>
      <c r="D241" s="619"/>
      <c r="E241" s="619"/>
      <c r="F241" s="619"/>
      <c r="G241" s="619"/>
      <c r="H241" s="619"/>
      <c r="I241" s="619"/>
      <c r="J241" s="619"/>
      <c r="K241" s="619"/>
      <c r="L241" s="619"/>
      <c r="M241" s="619"/>
      <c r="N241" s="619"/>
      <c r="O241" s="619"/>
      <c r="P241" s="619"/>
      <c r="Q241" s="619"/>
      <c r="R241" s="619"/>
      <c r="S241" s="619"/>
      <c r="T241" s="619"/>
      <c r="U241" s="619"/>
      <c r="V241" s="619"/>
      <c r="W241" s="619"/>
      <c r="X241" s="619"/>
      <c r="Y241" s="619"/>
      <c r="Z241" s="619"/>
      <c r="AA241" s="619"/>
      <c r="AB241" s="619"/>
      <c r="AC241" s="619"/>
      <c r="AD241" s="619"/>
      <c r="AE241" s="619"/>
      <c r="AF241" s="619"/>
      <c r="AG241" s="619"/>
      <c r="AH241" s="619"/>
      <c r="AI241" s="619"/>
      <c r="AJ241" s="619"/>
      <c r="AK241" s="619"/>
    </row>
    <row r="242" spans="2:37" ht="12.75" customHeight="1">
      <c r="B242" s="490"/>
      <c r="C242" s="490"/>
      <c r="D242" s="490"/>
      <c r="E242" s="490"/>
      <c r="F242" s="490"/>
      <c r="G242" s="490"/>
      <c r="H242" s="490"/>
      <c r="I242" s="490"/>
      <c r="J242" s="490"/>
      <c r="K242" s="490"/>
      <c r="L242" s="490"/>
      <c r="M242" s="490"/>
      <c r="N242" s="490"/>
      <c r="O242" s="490"/>
      <c r="P242" s="490"/>
      <c r="Q242" s="490"/>
      <c r="R242" s="490"/>
      <c r="S242" s="490"/>
      <c r="T242" s="490"/>
      <c r="U242" s="490"/>
      <c r="V242" s="490"/>
      <c r="W242" s="490"/>
      <c r="X242" s="490"/>
      <c r="Y242" s="490"/>
      <c r="Z242" s="490"/>
      <c r="AA242" s="490"/>
      <c r="AB242" s="490"/>
      <c r="AC242" s="490"/>
      <c r="AD242" s="490"/>
      <c r="AE242" s="490"/>
      <c r="AF242" s="490"/>
      <c r="AG242" s="490"/>
      <c r="AH242" s="490"/>
      <c r="AI242" s="490"/>
      <c r="AJ242" s="490"/>
      <c r="AK242" s="490"/>
    </row>
    <row r="243" spans="2:37" ht="12.75" customHeight="1">
      <c r="B243" s="238"/>
      <c r="C243" s="238"/>
      <c r="D243" s="238"/>
      <c r="E243" s="238"/>
      <c r="F243" s="238"/>
      <c r="G243" s="238"/>
      <c r="H243" s="238"/>
      <c r="I243" s="238"/>
      <c r="J243" s="238"/>
      <c r="K243" s="618"/>
      <c r="L243" s="618"/>
      <c r="M243" s="618"/>
      <c r="N243" s="618"/>
      <c r="O243" s="618"/>
      <c r="P243" s="618"/>
      <c r="Q243" s="618"/>
      <c r="R243" s="618"/>
      <c r="S243" s="618"/>
      <c r="T243" s="618"/>
      <c r="U243" s="618"/>
      <c r="V243" s="618"/>
      <c r="W243" s="618"/>
      <c r="X243" s="618"/>
      <c r="Y243" s="618"/>
      <c r="Z243" s="618"/>
      <c r="AA243" s="618"/>
      <c r="AB243" s="618"/>
      <c r="AC243" s="238"/>
      <c r="AD243" s="238"/>
      <c r="AE243" s="238"/>
      <c r="AF243" s="238"/>
      <c r="AG243" s="238"/>
      <c r="AH243" s="238"/>
      <c r="AI243" s="238"/>
      <c r="AJ243" s="238"/>
      <c r="AK243" s="238"/>
    </row>
    <row r="244" spans="2:37" ht="19.5" customHeight="1">
      <c r="B244" s="619">
        <f>AA_059_DATOS_FIADORES_NOMBRE_DEL_FIADOR_SOLIDARIO_TRES</f>
        <v>0</v>
      </c>
      <c r="C244" s="619"/>
      <c r="D244" s="619"/>
      <c r="E244" s="619"/>
      <c r="F244" s="619"/>
      <c r="G244" s="619"/>
      <c r="H244" s="619"/>
      <c r="I244" s="619"/>
      <c r="J244" s="619"/>
      <c r="K244" s="619"/>
      <c r="L244" s="619"/>
      <c r="M244" s="619"/>
      <c r="N244" s="619"/>
      <c r="O244" s="619"/>
      <c r="P244" s="619"/>
      <c r="Q244" s="619"/>
      <c r="R244" s="619"/>
      <c r="S244" s="619"/>
      <c r="T244" s="619"/>
      <c r="U244" s="619"/>
      <c r="V244" s="619"/>
      <c r="W244" s="619"/>
      <c r="X244" s="619"/>
      <c r="Y244" s="619"/>
      <c r="Z244" s="619"/>
      <c r="AA244" s="619"/>
      <c r="AB244" s="619"/>
      <c r="AC244" s="619"/>
      <c r="AD244" s="619"/>
      <c r="AE244" s="619"/>
      <c r="AF244" s="619"/>
      <c r="AG244" s="619"/>
      <c r="AH244" s="619"/>
      <c r="AI244" s="619"/>
      <c r="AJ244" s="619"/>
      <c r="AK244" s="619"/>
    </row>
    <row r="245" spans="2:37" ht="12.75" customHeight="1">
      <c r="B245" s="238"/>
      <c r="C245" s="238"/>
      <c r="D245" s="238"/>
      <c r="E245" s="238"/>
      <c r="F245" s="238"/>
      <c r="G245" s="238"/>
      <c r="H245" s="238"/>
      <c r="I245" s="238"/>
      <c r="J245" s="238"/>
      <c r="K245" s="238"/>
      <c r="L245" s="238"/>
      <c r="M245" s="238"/>
      <c r="N245" s="238"/>
      <c r="O245" s="238"/>
      <c r="P245" s="238"/>
      <c r="Q245" s="238"/>
      <c r="R245" s="238"/>
      <c r="S245" s="238"/>
      <c r="T245" s="238"/>
      <c r="U245" s="238"/>
      <c r="V245" s="238"/>
      <c r="W245" s="238"/>
      <c r="X245" s="238"/>
      <c r="Y245" s="238"/>
      <c r="Z245" s="238"/>
      <c r="AA245" s="238"/>
      <c r="AB245" s="238"/>
      <c r="AC245" s="238"/>
      <c r="AD245" s="238"/>
      <c r="AE245" s="238"/>
      <c r="AF245" s="238"/>
      <c r="AG245" s="238"/>
      <c r="AH245" s="238"/>
      <c r="AI245" s="238"/>
      <c r="AJ245" s="238"/>
      <c r="AK245" s="238"/>
    </row>
    <row r="246" spans="2:37" ht="13.2">
      <c r="B246" s="490"/>
      <c r="C246" s="490"/>
      <c r="D246" s="490"/>
      <c r="E246" s="490"/>
      <c r="F246" s="490"/>
      <c r="G246" s="490"/>
      <c r="H246" s="490"/>
      <c r="I246" s="490"/>
      <c r="J246" s="490"/>
      <c r="K246" s="490"/>
      <c r="L246" s="490"/>
      <c r="M246" s="490"/>
      <c r="N246" s="490"/>
      <c r="O246" s="490"/>
      <c r="P246" s="490"/>
      <c r="Q246" s="490"/>
      <c r="R246" s="490"/>
      <c r="S246" s="490"/>
      <c r="T246" s="490"/>
      <c r="U246" s="490"/>
      <c r="V246" s="490"/>
      <c r="W246" s="490"/>
      <c r="X246" s="490"/>
      <c r="Y246" s="490"/>
      <c r="Z246" s="490"/>
      <c r="AA246" s="490"/>
      <c r="AB246" s="490"/>
      <c r="AC246" s="490"/>
      <c r="AD246" s="490"/>
      <c r="AE246" s="490"/>
      <c r="AF246" s="490"/>
      <c r="AG246" s="490"/>
      <c r="AH246" s="490"/>
      <c r="AI246" s="490"/>
      <c r="AJ246" s="490"/>
      <c r="AK246" s="490"/>
    </row>
    <row r="247" spans="2:37" ht="13.2">
      <c r="B247" s="490"/>
      <c r="C247" s="490"/>
      <c r="D247" s="490"/>
      <c r="E247" s="490"/>
      <c r="F247" s="490"/>
      <c r="G247" s="490"/>
      <c r="H247" s="490"/>
      <c r="I247" s="490"/>
      <c r="J247" s="490"/>
      <c r="K247" s="490"/>
      <c r="L247" s="490"/>
      <c r="M247" s="490"/>
      <c r="N247" s="490"/>
      <c r="O247" s="490"/>
      <c r="P247" s="490"/>
      <c r="Q247" s="490"/>
      <c r="R247" s="490"/>
      <c r="S247" s="490"/>
      <c r="T247" s="490"/>
      <c r="U247" s="490"/>
      <c r="V247" s="490"/>
      <c r="W247" s="490"/>
      <c r="X247" s="490"/>
      <c r="Y247" s="490"/>
      <c r="Z247" s="490"/>
      <c r="AA247" s="490"/>
      <c r="AB247" s="490"/>
      <c r="AC247" s="490"/>
      <c r="AD247" s="490"/>
      <c r="AE247" s="490"/>
      <c r="AF247" s="490"/>
      <c r="AG247" s="490"/>
      <c r="AH247" s="490"/>
      <c r="AI247" s="490"/>
      <c r="AJ247" s="490"/>
      <c r="AK247" s="490"/>
    </row>
    <row r="248" spans="2:37" ht="13.2">
      <c r="B248" s="490"/>
      <c r="C248" s="490"/>
      <c r="D248" s="490"/>
      <c r="E248" s="490"/>
      <c r="F248" s="490"/>
      <c r="G248" s="490"/>
      <c r="H248" s="490"/>
      <c r="I248" s="490"/>
      <c r="J248" s="490"/>
      <c r="K248" s="490"/>
      <c r="L248" s="490"/>
      <c r="M248" s="490"/>
      <c r="N248" s="490"/>
      <c r="O248" s="490"/>
      <c r="P248" s="490"/>
      <c r="Q248" s="490"/>
      <c r="R248" s="490"/>
      <c r="S248" s="490"/>
      <c r="T248" s="490"/>
      <c r="U248" s="490"/>
      <c r="V248" s="490"/>
      <c r="W248" s="490"/>
      <c r="X248" s="490"/>
      <c r="Y248" s="490"/>
      <c r="Z248" s="490"/>
      <c r="AA248" s="490"/>
      <c r="AB248" s="490"/>
      <c r="AC248" s="490"/>
      <c r="AD248" s="490"/>
      <c r="AE248" s="490"/>
      <c r="AF248" s="490"/>
      <c r="AG248" s="490"/>
      <c r="AH248" s="490"/>
      <c r="AI248" s="490"/>
      <c r="AJ248" s="490"/>
      <c r="AK248" s="490"/>
    </row>
    <row r="249" spans="2:37" ht="17.25" customHeight="1">
      <c r="B249" s="565" t="s">
        <v>338</v>
      </c>
      <c r="C249" s="565"/>
      <c r="D249" s="565"/>
      <c r="E249" s="565"/>
      <c r="F249" s="565"/>
      <c r="G249" s="565"/>
      <c r="H249" s="565"/>
      <c r="I249" s="565"/>
      <c r="J249" s="565"/>
      <c r="K249" s="565"/>
      <c r="L249" s="565"/>
      <c r="M249" s="565"/>
      <c r="N249" s="565"/>
      <c r="O249" s="565"/>
      <c r="P249" s="565"/>
      <c r="Q249" s="565"/>
      <c r="R249" s="565"/>
      <c r="S249" s="565"/>
      <c r="T249" s="565"/>
      <c r="U249" s="565"/>
      <c r="V249" s="565"/>
      <c r="W249" s="565"/>
      <c r="X249" s="565"/>
      <c r="Y249" s="565"/>
      <c r="Z249" s="565"/>
      <c r="AA249" s="565"/>
      <c r="AB249" s="565"/>
      <c r="AC249" s="565"/>
      <c r="AD249" s="565"/>
      <c r="AE249" s="565"/>
      <c r="AF249" s="565"/>
      <c r="AG249" s="565"/>
      <c r="AH249" s="565"/>
      <c r="AI249" s="565"/>
      <c r="AJ249" s="565"/>
      <c r="AK249" s="565"/>
    </row>
    <row r="250" spans="2:37" ht="18.75" customHeight="1">
      <c r="B250" s="806" t="s">
        <v>339</v>
      </c>
      <c r="C250" s="806"/>
      <c r="D250" s="806"/>
      <c r="E250" s="806"/>
      <c r="F250" s="806"/>
      <c r="G250" s="806"/>
      <c r="H250" s="806"/>
      <c r="I250" s="806"/>
      <c r="J250" s="806"/>
      <c r="K250" s="806"/>
      <c r="L250" s="806"/>
      <c r="M250" s="806"/>
      <c r="N250" s="806"/>
      <c r="O250" s="806"/>
      <c r="P250" s="806"/>
      <c r="Q250" s="806"/>
      <c r="R250" s="806"/>
      <c r="S250" s="806"/>
      <c r="T250" s="806"/>
      <c r="U250" s="806"/>
      <c r="V250" s="806"/>
      <c r="W250" s="806"/>
      <c r="X250" s="806"/>
      <c r="Y250" s="806"/>
      <c r="Z250" s="806"/>
      <c r="AA250" s="806"/>
      <c r="AB250" s="806"/>
      <c r="AC250" s="806"/>
      <c r="AD250" s="806"/>
      <c r="AE250" s="806"/>
      <c r="AF250" s="806"/>
      <c r="AG250" s="806"/>
      <c r="AH250" s="806"/>
      <c r="AI250" s="806"/>
      <c r="AJ250" s="806"/>
      <c r="AK250" s="806"/>
    </row>
    <row r="251" spans="2:37" ht="13.2">
      <c r="B251" s="490"/>
      <c r="C251" s="490"/>
      <c r="D251" s="490"/>
      <c r="E251" s="490"/>
      <c r="F251" s="490"/>
      <c r="G251" s="490"/>
      <c r="H251" s="490"/>
      <c r="I251" s="490"/>
      <c r="J251" s="490"/>
      <c r="K251" s="490"/>
      <c r="L251" s="490"/>
      <c r="M251" s="490"/>
      <c r="N251" s="490"/>
      <c r="O251" s="490"/>
      <c r="P251" s="490"/>
      <c r="Q251" s="490"/>
      <c r="R251" s="490"/>
      <c r="S251" s="490"/>
      <c r="T251" s="490"/>
      <c r="U251" s="490"/>
      <c r="V251" s="490"/>
      <c r="W251" s="490"/>
      <c r="X251" s="490"/>
      <c r="Y251" s="490"/>
      <c r="Z251" s="490"/>
      <c r="AA251" s="490"/>
      <c r="AB251" s="490"/>
      <c r="AC251" s="490"/>
      <c r="AD251" s="490"/>
      <c r="AE251" s="490"/>
      <c r="AF251" s="490"/>
      <c r="AG251" s="490"/>
      <c r="AH251" s="490"/>
      <c r="AI251" s="490"/>
      <c r="AJ251" s="490"/>
      <c r="AK251" s="490"/>
    </row>
    <row r="252" spans="2:37" ht="12.75" customHeight="1">
      <c r="B252" s="490"/>
      <c r="C252" s="490"/>
      <c r="D252" s="490"/>
      <c r="E252" s="490"/>
      <c r="F252" s="490"/>
      <c r="G252" s="490"/>
      <c r="H252" s="490"/>
      <c r="I252" s="490"/>
      <c r="J252" s="490"/>
      <c r="K252" s="806"/>
      <c r="L252" s="806"/>
      <c r="M252" s="806"/>
      <c r="N252" s="806"/>
      <c r="O252" s="806"/>
      <c r="P252" s="806"/>
      <c r="Q252" s="806"/>
      <c r="R252" s="806"/>
      <c r="S252" s="806"/>
      <c r="T252" s="806"/>
      <c r="U252" s="806"/>
      <c r="V252" s="806"/>
      <c r="W252" s="806"/>
      <c r="X252" s="806"/>
      <c r="Y252" s="806"/>
      <c r="Z252" s="806"/>
      <c r="AA252" s="806"/>
      <c r="AB252" s="806"/>
      <c r="AC252" s="490"/>
      <c r="AD252" s="490"/>
      <c r="AE252" s="490"/>
      <c r="AF252" s="490"/>
      <c r="AG252" s="490"/>
      <c r="AH252" s="490"/>
      <c r="AI252" s="490"/>
      <c r="AJ252" s="490"/>
      <c r="AK252" s="490"/>
    </row>
    <row r="253" spans="2:37" ht="13.2">
      <c r="B253" s="490"/>
      <c r="C253" s="490"/>
      <c r="D253" s="490"/>
      <c r="E253" s="490"/>
      <c r="F253" s="490"/>
      <c r="G253" s="490"/>
      <c r="H253" s="490"/>
      <c r="I253" s="490"/>
      <c r="J253" s="490"/>
      <c r="K253" s="490"/>
      <c r="L253" s="490"/>
      <c r="M253" s="490"/>
      <c r="N253" s="490"/>
      <c r="O253" s="490"/>
      <c r="P253" s="490"/>
      <c r="Q253" s="490"/>
      <c r="R253" s="490"/>
      <c r="S253" s="490"/>
      <c r="T253" s="490"/>
      <c r="U253" s="490"/>
      <c r="V253" s="490"/>
      <c r="W253" s="490"/>
      <c r="X253" s="490"/>
      <c r="Y253" s="490"/>
      <c r="Z253" s="490"/>
      <c r="AA253" s="490"/>
      <c r="AB253" s="490"/>
      <c r="AC253" s="490"/>
      <c r="AD253" s="490"/>
      <c r="AE253" s="490"/>
      <c r="AF253" s="490"/>
      <c r="AG253" s="490"/>
      <c r="AH253" s="490"/>
      <c r="AI253" s="490"/>
      <c r="AJ253" s="490"/>
      <c r="AK253" s="490"/>
    </row>
    <row r="254" spans="2:37" ht="13.2">
      <c r="B254" s="806">
        <f>AA_089_DATOS_APODERADOS_BANCO_NOMBRE_APODERADO_DEL_BANCO_UNO</f>
        <v>0</v>
      </c>
      <c r="C254" s="806"/>
      <c r="D254" s="806"/>
      <c r="E254" s="806"/>
      <c r="F254" s="806"/>
      <c r="G254" s="806"/>
      <c r="H254" s="806"/>
      <c r="I254" s="806"/>
      <c r="J254" s="806"/>
      <c r="K254" s="806"/>
      <c r="L254" s="806"/>
      <c r="M254" s="806"/>
      <c r="N254" s="806"/>
      <c r="O254" s="806"/>
      <c r="P254" s="806"/>
      <c r="Q254" s="806"/>
      <c r="R254" s="806"/>
      <c r="S254" s="806"/>
      <c r="T254" s="806"/>
      <c r="U254" s="806"/>
      <c r="V254" s="806"/>
      <c r="W254" s="806"/>
      <c r="X254" s="806"/>
      <c r="Y254" s="806"/>
      <c r="Z254" s="806"/>
      <c r="AA254" s="806"/>
      <c r="AB254" s="806"/>
      <c r="AC254" s="806"/>
      <c r="AD254" s="806"/>
      <c r="AE254" s="806"/>
      <c r="AF254" s="806"/>
      <c r="AG254" s="806"/>
      <c r="AH254" s="806"/>
      <c r="AI254" s="806"/>
      <c r="AJ254" s="806"/>
      <c r="AK254" s="806"/>
    </row>
    <row r="255" spans="2:37" ht="13.2">
      <c r="B255" s="490"/>
      <c r="C255" s="490"/>
      <c r="D255" s="490"/>
      <c r="E255" s="490"/>
      <c r="F255" s="490"/>
      <c r="G255" s="490"/>
      <c r="H255" s="490"/>
      <c r="I255" s="490"/>
      <c r="J255" s="490"/>
      <c r="K255" s="490"/>
      <c r="L255" s="490"/>
      <c r="M255" s="490"/>
      <c r="N255" s="490"/>
      <c r="O255" s="490"/>
      <c r="P255" s="490"/>
      <c r="Q255" s="490"/>
      <c r="R255" s="490"/>
      <c r="S255" s="490"/>
      <c r="T255" s="490"/>
      <c r="U255" s="490"/>
      <c r="V255" s="490"/>
      <c r="W255" s="490"/>
      <c r="X255" s="490"/>
      <c r="Y255" s="490"/>
      <c r="Z255" s="490"/>
      <c r="AA255" s="490"/>
      <c r="AB255" s="490"/>
      <c r="AC255" s="490"/>
      <c r="AD255" s="490"/>
      <c r="AE255" s="490"/>
      <c r="AF255" s="490"/>
      <c r="AG255" s="490"/>
      <c r="AH255" s="490"/>
      <c r="AI255" s="490"/>
      <c r="AJ255" s="490"/>
      <c r="AK255" s="490"/>
    </row>
    <row r="256" spans="2:37" ht="13.2">
      <c r="B256" s="490"/>
      <c r="C256" s="490"/>
      <c r="D256" s="490"/>
      <c r="E256" s="490"/>
      <c r="F256" s="490"/>
      <c r="G256" s="490"/>
      <c r="H256" s="490"/>
      <c r="I256" s="490"/>
      <c r="J256" s="490"/>
      <c r="K256" s="806"/>
      <c r="L256" s="806"/>
      <c r="M256" s="806"/>
      <c r="N256" s="806"/>
      <c r="O256" s="806"/>
      <c r="P256" s="806"/>
      <c r="Q256" s="806"/>
      <c r="R256" s="806"/>
      <c r="S256" s="806"/>
      <c r="T256" s="806"/>
      <c r="U256" s="806"/>
      <c r="V256" s="806"/>
      <c r="W256" s="806"/>
      <c r="X256" s="806"/>
      <c r="Y256" s="806"/>
      <c r="Z256" s="806"/>
      <c r="AA256" s="806"/>
      <c r="AB256" s="806"/>
      <c r="AC256" s="490"/>
      <c r="AD256" s="490"/>
      <c r="AE256" s="490"/>
      <c r="AF256" s="490"/>
      <c r="AG256" s="490"/>
      <c r="AH256" s="490"/>
      <c r="AI256" s="490"/>
      <c r="AJ256" s="490"/>
      <c r="AK256" s="490"/>
    </row>
    <row r="257" spans="2:37" ht="13.2">
      <c r="B257" s="490"/>
      <c r="C257" s="490"/>
      <c r="D257" s="490"/>
      <c r="E257" s="490"/>
      <c r="F257" s="490"/>
      <c r="G257" s="490"/>
      <c r="H257" s="490"/>
      <c r="I257" s="490"/>
      <c r="J257" s="490"/>
      <c r="K257" s="490"/>
      <c r="L257" s="490"/>
      <c r="M257" s="490"/>
      <c r="N257" s="490"/>
      <c r="O257" s="490"/>
      <c r="P257" s="490"/>
      <c r="Q257" s="490"/>
      <c r="R257" s="490"/>
      <c r="S257" s="490"/>
      <c r="T257" s="490"/>
      <c r="U257" s="490"/>
      <c r="V257" s="490"/>
      <c r="W257" s="490"/>
      <c r="X257" s="490"/>
      <c r="Y257" s="490"/>
      <c r="Z257" s="490"/>
      <c r="AA257" s="490"/>
      <c r="AB257" s="490"/>
      <c r="AC257" s="490"/>
      <c r="AD257" s="490"/>
      <c r="AE257" s="490"/>
      <c r="AF257" s="490"/>
      <c r="AG257" s="490"/>
      <c r="AH257" s="490"/>
      <c r="AI257" s="490"/>
      <c r="AJ257" s="490"/>
      <c r="AK257" s="490"/>
    </row>
    <row r="258" spans="2:37" ht="13.2">
      <c r="B258" s="806">
        <f>AA_090_DATOS_APODERADOS_BANCO_NOMBRE_APODERADO_DEL_BANCO_DOS</f>
        <v>0</v>
      </c>
      <c r="C258" s="806"/>
      <c r="D258" s="806"/>
      <c r="E258" s="806"/>
      <c r="F258" s="806"/>
      <c r="G258" s="806"/>
      <c r="H258" s="806"/>
      <c r="I258" s="806"/>
      <c r="J258" s="806"/>
      <c r="K258" s="806"/>
      <c r="L258" s="806"/>
      <c r="M258" s="806"/>
      <c r="N258" s="806"/>
      <c r="O258" s="806"/>
      <c r="P258" s="806"/>
      <c r="Q258" s="806"/>
      <c r="R258" s="806"/>
      <c r="S258" s="806"/>
      <c r="T258" s="806"/>
      <c r="U258" s="806"/>
      <c r="V258" s="806"/>
      <c r="W258" s="806"/>
      <c r="X258" s="806"/>
      <c r="Y258" s="806"/>
      <c r="Z258" s="806"/>
      <c r="AA258" s="806"/>
      <c r="AB258" s="806"/>
      <c r="AC258" s="806"/>
      <c r="AD258" s="806"/>
      <c r="AE258" s="806"/>
      <c r="AF258" s="806"/>
      <c r="AG258" s="806"/>
      <c r="AH258" s="806"/>
      <c r="AI258" s="806"/>
      <c r="AJ258" s="806"/>
      <c r="AK258" s="806"/>
    </row>
    <row r="259" spans="2:37" ht="13.2">
      <c r="B259" s="274"/>
      <c r="C259" s="274"/>
      <c r="D259" s="274"/>
      <c r="E259" s="274"/>
      <c r="F259" s="274"/>
      <c r="G259" s="274"/>
      <c r="H259" s="274"/>
      <c r="I259" s="274"/>
      <c r="J259" s="274"/>
      <c r="K259" s="274"/>
      <c r="L259" s="274"/>
      <c r="M259" s="274"/>
      <c r="N259" s="274"/>
      <c r="O259" s="274"/>
      <c r="P259" s="274"/>
      <c r="Q259" s="274"/>
      <c r="R259" s="274"/>
      <c r="S259" s="274"/>
      <c r="T259" s="274"/>
      <c r="U259" s="274"/>
      <c r="V259" s="274"/>
      <c r="W259" s="274"/>
      <c r="X259" s="274"/>
      <c r="Y259" s="274"/>
      <c r="Z259" s="274"/>
      <c r="AA259" s="274"/>
      <c r="AB259" s="274"/>
      <c r="AC259" s="274"/>
      <c r="AD259" s="274"/>
      <c r="AE259" s="274"/>
      <c r="AF259" s="274"/>
      <c r="AG259" s="274"/>
      <c r="AH259" s="274"/>
      <c r="AI259" s="274"/>
      <c r="AJ259" s="274"/>
      <c r="AK259" s="274"/>
    </row>
    <row r="260" spans="2:37" ht="13.2">
      <c r="B260" s="274"/>
      <c r="C260" s="274"/>
      <c r="D260" s="274"/>
      <c r="E260" s="274"/>
      <c r="F260" s="274"/>
      <c r="G260" s="274"/>
      <c r="H260" s="274"/>
      <c r="I260" s="274"/>
      <c r="J260" s="274"/>
      <c r="K260" s="274"/>
      <c r="L260" s="274"/>
      <c r="M260" s="274"/>
      <c r="N260" s="274"/>
      <c r="O260" s="274"/>
      <c r="P260" s="274"/>
      <c r="Q260" s="274"/>
      <c r="R260" s="274"/>
      <c r="S260" s="274"/>
      <c r="T260" s="274"/>
      <c r="U260" s="274"/>
      <c r="V260" s="274"/>
      <c r="W260" s="274"/>
      <c r="X260" s="274"/>
      <c r="Y260" s="274"/>
      <c r="Z260" s="274"/>
      <c r="AA260" s="274"/>
      <c r="AB260" s="274"/>
      <c r="AC260" s="274"/>
      <c r="AD260" s="274"/>
      <c r="AE260" s="274"/>
      <c r="AF260" s="274"/>
      <c r="AG260" s="274"/>
      <c r="AH260" s="274"/>
      <c r="AI260" s="274"/>
      <c r="AJ260" s="274"/>
      <c r="AK260" s="274"/>
    </row>
    <row r="261" spans="2:37" ht="13.2">
      <c r="B261" s="274"/>
      <c r="C261" s="274"/>
      <c r="D261" s="274"/>
      <c r="E261" s="274"/>
      <c r="F261" s="274"/>
      <c r="G261" s="274"/>
      <c r="H261" s="274"/>
      <c r="I261" s="274"/>
      <c r="J261" s="274"/>
      <c r="K261" s="274"/>
      <c r="L261" s="274"/>
      <c r="M261" s="274"/>
      <c r="N261" s="274"/>
      <c r="O261" s="274"/>
      <c r="P261" s="274"/>
      <c r="Q261" s="274"/>
      <c r="R261" s="274"/>
      <c r="S261" s="274"/>
      <c r="T261" s="274"/>
      <c r="U261" s="274"/>
      <c r="V261" s="274"/>
      <c r="W261" s="274"/>
      <c r="X261" s="274"/>
      <c r="Y261" s="274"/>
      <c r="Z261" s="274"/>
      <c r="AA261" s="274"/>
      <c r="AB261" s="274"/>
      <c r="AC261" s="274"/>
      <c r="AD261" s="274"/>
      <c r="AE261" s="274"/>
      <c r="AF261" s="274"/>
      <c r="AG261" s="274"/>
      <c r="AH261" s="274"/>
      <c r="AI261" s="274"/>
      <c r="AJ261" s="274"/>
      <c r="AK261" s="274"/>
    </row>
    <row r="262" spans="2:37" ht="13.2">
      <c r="B262" s="274"/>
      <c r="C262" s="274"/>
      <c r="D262" s="274"/>
      <c r="E262" s="274"/>
      <c r="F262" s="274"/>
      <c r="G262" s="274"/>
      <c r="H262" s="274"/>
      <c r="I262" s="274"/>
      <c r="J262" s="274"/>
      <c r="K262" s="274"/>
      <c r="L262" s="274"/>
      <c r="M262" s="274"/>
      <c r="N262" s="274"/>
      <c r="O262" s="274"/>
      <c r="P262" s="274"/>
      <c r="Q262" s="274"/>
      <c r="R262" s="274"/>
      <c r="S262" s="274"/>
      <c r="T262" s="274"/>
      <c r="U262" s="274"/>
      <c r="V262" s="274"/>
      <c r="W262" s="274"/>
      <c r="X262" s="274"/>
      <c r="Y262" s="274"/>
      <c r="Z262" s="274"/>
      <c r="AA262" s="274"/>
      <c r="AB262" s="274"/>
      <c r="AC262" s="274"/>
      <c r="AD262" s="274"/>
      <c r="AE262" s="274"/>
      <c r="AF262" s="274"/>
      <c r="AG262" s="274"/>
      <c r="AH262" s="274"/>
      <c r="AI262" s="274"/>
      <c r="AJ262" s="274"/>
      <c r="AK262" s="274"/>
    </row>
    <row r="263" spans="2:37" ht="13.2">
      <c r="B263" s="274"/>
      <c r="C263" s="274"/>
      <c r="D263" s="274"/>
      <c r="E263" s="274"/>
      <c r="F263" s="274"/>
      <c r="G263" s="274"/>
      <c r="H263" s="274"/>
      <c r="I263" s="274"/>
      <c r="J263" s="274"/>
      <c r="K263" s="274"/>
      <c r="L263" s="274"/>
      <c r="M263" s="274"/>
      <c r="N263" s="274"/>
      <c r="O263" s="274"/>
      <c r="P263" s="274"/>
      <c r="Q263" s="274"/>
      <c r="R263" s="274"/>
      <c r="S263" s="274"/>
      <c r="T263" s="274"/>
      <c r="U263" s="274"/>
      <c r="V263" s="274"/>
      <c r="W263" s="274"/>
      <c r="X263" s="274"/>
      <c r="Y263" s="274"/>
      <c r="Z263" s="274"/>
      <c r="AA263" s="274"/>
      <c r="AB263" s="274"/>
      <c r="AC263" s="274"/>
      <c r="AD263" s="274"/>
      <c r="AE263" s="274"/>
      <c r="AF263" s="274"/>
      <c r="AG263" s="274"/>
      <c r="AH263" s="274"/>
      <c r="AI263" s="274"/>
      <c r="AJ263" s="274"/>
      <c r="AK263" s="274"/>
    </row>
    <row r="264" spans="2:37" ht="13.2">
      <c r="B264" s="274"/>
      <c r="C264" s="274"/>
      <c r="D264" s="274"/>
      <c r="E264" s="274"/>
      <c r="F264" s="274"/>
      <c r="G264" s="274"/>
      <c r="H264" s="274"/>
      <c r="I264" s="274"/>
      <c r="J264" s="274"/>
      <c r="K264" s="274"/>
      <c r="L264" s="274"/>
      <c r="M264" s="274"/>
      <c r="N264" s="274"/>
      <c r="O264" s="274"/>
      <c r="P264" s="274"/>
      <c r="Q264" s="274"/>
      <c r="R264" s="274"/>
      <c r="S264" s="274"/>
      <c r="T264" s="274"/>
      <c r="U264" s="274"/>
      <c r="V264" s="274"/>
      <c r="W264" s="274"/>
      <c r="X264" s="274"/>
      <c r="Y264" s="274"/>
      <c r="Z264" s="274"/>
      <c r="AA264" s="274"/>
      <c r="AB264" s="274"/>
      <c r="AC264" s="274"/>
      <c r="AD264" s="274"/>
      <c r="AE264" s="274"/>
      <c r="AF264" s="274"/>
      <c r="AG264" s="274"/>
      <c r="AH264" s="274"/>
      <c r="AI264" s="274"/>
      <c r="AJ264" s="274"/>
      <c r="AK264" s="274"/>
    </row>
    <row r="265" spans="2:37" ht="13.2">
      <c r="B265" s="274"/>
      <c r="C265" s="274"/>
      <c r="D265" s="274"/>
      <c r="E265" s="274"/>
      <c r="F265" s="274"/>
      <c r="G265" s="274"/>
      <c r="H265" s="274"/>
      <c r="I265" s="274"/>
      <c r="J265" s="274"/>
      <c r="K265" s="274"/>
      <c r="L265" s="274"/>
      <c r="M265" s="274"/>
      <c r="N265" s="274"/>
      <c r="O265" s="274"/>
      <c r="P265" s="274"/>
      <c r="Q265" s="274"/>
      <c r="R265" s="274"/>
      <c r="S265" s="274"/>
      <c r="T265" s="274"/>
      <c r="U265" s="274"/>
      <c r="V265" s="274"/>
      <c r="W265" s="274"/>
      <c r="X265" s="274"/>
      <c r="Y265" s="274"/>
      <c r="Z265" s="274"/>
      <c r="AA265" s="274"/>
      <c r="AB265" s="274"/>
      <c r="AC265" s="274"/>
      <c r="AD265" s="274"/>
      <c r="AE265" s="274"/>
      <c r="AF265" s="274"/>
      <c r="AG265" s="274"/>
      <c r="AH265" s="274"/>
      <c r="AI265" s="274"/>
      <c r="AJ265" s="274"/>
      <c r="AK265" s="274"/>
    </row>
    <row r="266" spans="2:37" ht="13.2"/>
    <row r="267" spans="2:37" ht="13.2"/>
    <row r="268" spans="2:37" ht="13.2"/>
    <row r="269" spans="2:37" ht="13.2"/>
    <row r="270" spans="2:37" ht="13.2"/>
    <row r="271" spans="2:37" ht="13.2"/>
    <row r="272" spans="2:37" ht="13.2"/>
    <row r="273" ht="13.2"/>
    <row r="274" ht="13.2"/>
    <row r="275" ht="13.2"/>
    <row r="276" ht="13.2"/>
    <row r="277" ht="13.2"/>
    <row r="278" ht="13.2"/>
    <row r="279" ht="13.2"/>
    <row r="280" ht="13.2"/>
    <row r="281" ht="13.2"/>
    <row r="282" ht="13.2"/>
    <row r="283" ht="13.2"/>
    <row r="284" ht="13.2"/>
    <row r="285" ht="13.2"/>
    <row r="286" ht="13.2"/>
    <row r="287" ht="13.2"/>
    <row r="288" ht="13.2"/>
    <row r="289" ht="13.2"/>
    <row r="290" ht="13.2"/>
    <row r="291" ht="13.2"/>
    <row r="292" ht="13.2"/>
    <row r="293" ht="13.2"/>
    <row r="294" ht="13.2"/>
    <row r="295" ht="13.2"/>
    <row r="296" ht="13.2"/>
    <row r="297" ht="13.2"/>
    <row r="298" ht="13.2"/>
    <row r="299" ht="13.2"/>
    <row r="300" ht="13.2"/>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sheetData>
  <mergeCells count="213">
    <mergeCell ref="B50:I50"/>
    <mergeCell ref="J50:P50"/>
    <mergeCell ref="Q50:U50"/>
    <mergeCell ref="V50:Z50"/>
    <mergeCell ref="AA50:AC50"/>
    <mergeCell ref="AD50:AG50"/>
    <mergeCell ref="AH50:AK50"/>
    <mergeCell ref="J44:P44"/>
    <mergeCell ref="Q44:U44"/>
    <mergeCell ref="V44:Z44"/>
    <mergeCell ref="AA44:AC44"/>
    <mergeCell ref="AD44:AG44"/>
    <mergeCell ref="B46:AF46"/>
    <mergeCell ref="AG46:AK46"/>
    <mergeCell ref="B48:T48"/>
    <mergeCell ref="U48:AK48"/>
    <mergeCell ref="B241:AK241"/>
    <mergeCell ref="B244:AK244"/>
    <mergeCell ref="B249:AK249"/>
    <mergeCell ref="B250:AK250"/>
    <mergeCell ref="B254:AK254"/>
    <mergeCell ref="B258:AK258"/>
    <mergeCell ref="B221:AK221"/>
    <mergeCell ref="B224:AK224"/>
    <mergeCell ref="B232:AK233"/>
    <mergeCell ref="B235:AK235"/>
    <mergeCell ref="B238:AK238"/>
    <mergeCell ref="K227:AB227"/>
    <mergeCell ref="K231:AB231"/>
    <mergeCell ref="K237:AB237"/>
    <mergeCell ref="K252:AB252"/>
    <mergeCell ref="K256:AB256"/>
    <mergeCell ref="K240:AB240"/>
    <mergeCell ref="K243:AB243"/>
    <mergeCell ref="B210:AK210"/>
    <mergeCell ref="B212:AK212"/>
    <mergeCell ref="B213:AK213"/>
    <mergeCell ref="B215:AK215"/>
    <mergeCell ref="B217:AK217"/>
    <mergeCell ref="B219:AK219"/>
    <mergeCell ref="G201:P203"/>
    <mergeCell ref="Q201:AG201"/>
    <mergeCell ref="Q202:AG202"/>
    <mergeCell ref="Q203:AG203"/>
    <mergeCell ref="G204:P207"/>
    <mergeCell ref="Q204:AG204"/>
    <mergeCell ref="Q205:AG205"/>
    <mergeCell ref="Q206:AG207"/>
    <mergeCell ref="G195:P195"/>
    <mergeCell ref="Q195:AG195"/>
    <mergeCell ref="G196:P196"/>
    <mergeCell ref="Q196:AG196"/>
    <mergeCell ref="G197:P200"/>
    <mergeCell ref="Q197:AG197"/>
    <mergeCell ref="Q198:AG200"/>
    <mergeCell ref="B187:AK187"/>
    <mergeCell ref="B188:AK188"/>
    <mergeCell ref="B189:AK189"/>
    <mergeCell ref="B191:AK191"/>
    <mergeCell ref="B193:AK193"/>
    <mergeCell ref="B194:AK194"/>
    <mergeCell ref="B177:AK177"/>
    <mergeCell ref="B179:AK179"/>
    <mergeCell ref="B181:AK181"/>
    <mergeCell ref="B183:AK183"/>
    <mergeCell ref="B185:AK185"/>
    <mergeCell ref="B186:AK186"/>
    <mergeCell ref="B167:AK167"/>
    <mergeCell ref="B169:AK169"/>
    <mergeCell ref="B171:AK171"/>
    <mergeCell ref="B173:AK173"/>
    <mergeCell ref="B174:AK174"/>
    <mergeCell ref="B175:AK175"/>
    <mergeCell ref="B160:AK160"/>
    <mergeCell ref="B161:AK161"/>
    <mergeCell ref="B162:AK162"/>
    <mergeCell ref="B164:AK164"/>
    <mergeCell ref="B165:AK165"/>
    <mergeCell ref="B166:AK166"/>
    <mergeCell ref="B151:AK151"/>
    <mergeCell ref="B153:AK153"/>
    <mergeCell ref="B154:AK154"/>
    <mergeCell ref="B155:AK155"/>
    <mergeCell ref="B156:AK156"/>
    <mergeCell ref="B158:AK158"/>
    <mergeCell ref="B142:AK142"/>
    <mergeCell ref="B144:AK144"/>
    <mergeCell ref="B145:AK145"/>
    <mergeCell ref="B146:AK146"/>
    <mergeCell ref="B147:AK147"/>
    <mergeCell ref="B149:AK149"/>
    <mergeCell ref="B135:AK135"/>
    <mergeCell ref="B136:AK136"/>
    <mergeCell ref="B137:AK137"/>
    <mergeCell ref="B138:AK138"/>
    <mergeCell ref="B139:AK139"/>
    <mergeCell ref="B140:AK140"/>
    <mergeCell ref="B125:AK125"/>
    <mergeCell ref="B127:AK127"/>
    <mergeCell ref="B129:AK129"/>
    <mergeCell ref="B131:AK131"/>
    <mergeCell ref="B133:AK133"/>
    <mergeCell ref="B111:AK111"/>
    <mergeCell ref="B113:AK113"/>
    <mergeCell ref="B115:AK115"/>
    <mergeCell ref="B117:AK117"/>
    <mergeCell ref="B119:AK119"/>
    <mergeCell ref="B121:AK121"/>
    <mergeCell ref="B107:AK107"/>
    <mergeCell ref="B109:AK109"/>
    <mergeCell ref="AH80:AK80"/>
    <mergeCell ref="B91:AK91"/>
    <mergeCell ref="B93:AK93"/>
    <mergeCell ref="B95:AK95"/>
    <mergeCell ref="B97:AK97"/>
    <mergeCell ref="B123:AK123"/>
    <mergeCell ref="B81:O82"/>
    <mergeCell ref="B83:O84"/>
    <mergeCell ref="B80:O80"/>
    <mergeCell ref="P80:T80"/>
    <mergeCell ref="U80:Y80"/>
    <mergeCell ref="Z80:AC80"/>
    <mergeCell ref="AD80:AG80"/>
    <mergeCell ref="B99:AK99"/>
    <mergeCell ref="B101:AK101"/>
    <mergeCell ref="B103:AK103"/>
    <mergeCell ref="B105:AK105"/>
    <mergeCell ref="B72:I72"/>
    <mergeCell ref="J72:P72"/>
    <mergeCell ref="Q72:X72"/>
    <mergeCell ref="Y72:AK72"/>
    <mergeCell ref="AG73:AK73"/>
    <mergeCell ref="B78:AK79"/>
    <mergeCell ref="J73:P73"/>
    <mergeCell ref="Q73:X73"/>
    <mergeCell ref="B73:I73"/>
    <mergeCell ref="Y73:AF73"/>
    <mergeCell ref="B74:J75"/>
    <mergeCell ref="K74:AK75"/>
    <mergeCell ref="G70:L70"/>
    <mergeCell ref="B60:AK60"/>
    <mergeCell ref="B62:AK62"/>
    <mergeCell ref="B64:AK65"/>
    <mergeCell ref="B71:D71"/>
    <mergeCell ref="G71:L71"/>
    <mergeCell ref="M71:R71"/>
    <mergeCell ref="S70:Y71"/>
    <mergeCell ref="Z70:AG71"/>
    <mergeCell ref="AH70:AI71"/>
    <mergeCell ref="AJ71:AK71"/>
    <mergeCell ref="B56:I56"/>
    <mergeCell ref="J56:P56"/>
    <mergeCell ref="Q56:U56"/>
    <mergeCell ref="V56:Z56"/>
    <mergeCell ref="AA56:AC56"/>
    <mergeCell ref="AD56:AG56"/>
    <mergeCell ref="AH56:AK56"/>
    <mergeCell ref="B69:F69"/>
    <mergeCell ref="G69:L69"/>
    <mergeCell ref="M69:R69"/>
    <mergeCell ref="S69:Y69"/>
    <mergeCell ref="Z69:AG69"/>
    <mergeCell ref="AH69:AK69"/>
    <mergeCell ref="B68:L68"/>
    <mergeCell ref="M68:AK68"/>
    <mergeCell ref="B52:AF52"/>
    <mergeCell ref="AG52:AK52"/>
    <mergeCell ref="B54:T54"/>
    <mergeCell ref="U54:AK54"/>
    <mergeCell ref="AA22:AC22"/>
    <mergeCell ref="AD22:AG22"/>
    <mergeCell ref="B24:AF24"/>
    <mergeCell ref="AG24:AK24"/>
    <mergeCell ref="B26:W26"/>
    <mergeCell ref="X26:AK26"/>
    <mergeCell ref="B28:I28"/>
    <mergeCell ref="J28:P28"/>
    <mergeCell ref="Q28:U28"/>
    <mergeCell ref="V28:Z28"/>
    <mergeCell ref="AA28:AC28"/>
    <mergeCell ref="AD28:AG28"/>
    <mergeCell ref="B32:AK32"/>
    <mergeCell ref="B34:AK34"/>
    <mergeCell ref="B36:AK36"/>
    <mergeCell ref="B40:AF40"/>
    <mergeCell ref="AG40:AK40"/>
    <mergeCell ref="B42:T42"/>
    <mergeCell ref="U42:AK42"/>
    <mergeCell ref="B44:I44"/>
    <mergeCell ref="AB4:AK4"/>
    <mergeCell ref="AF5:AK5"/>
    <mergeCell ref="X6:AK6"/>
    <mergeCell ref="B8:F8"/>
    <mergeCell ref="B9:F9"/>
    <mergeCell ref="B10:F10"/>
    <mergeCell ref="AH22:AK22"/>
    <mergeCell ref="AH28:AK28"/>
    <mergeCell ref="AH44:AK44"/>
    <mergeCell ref="G10:U10"/>
    <mergeCell ref="V10:AK10"/>
    <mergeCell ref="B14:L14"/>
    <mergeCell ref="M14:S14"/>
    <mergeCell ref="T14:Z14"/>
    <mergeCell ref="AA14:AG14"/>
    <mergeCell ref="AH14:AK14"/>
    <mergeCell ref="B18:AF18"/>
    <mergeCell ref="AG18:AK18"/>
    <mergeCell ref="B20:W20"/>
    <mergeCell ref="X20:AK20"/>
    <mergeCell ref="B22:I22"/>
    <mergeCell ref="J22:P22"/>
    <mergeCell ref="Q22:U22"/>
    <mergeCell ref="V22:Z22"/>
  </mergeCells>
  <printOptions horizontalCentered="1" verticalCentered="1"/>
  <pageMargins left="0" right="0" top="0" bottom="0" header="0" footer="0"/>
  <pageSetup scale="90"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M407"/>
  <sheetViews>
    <sheetView showZeros="0" zoomScale="115" zoomScaleNormal="115" workbookViewId="0">
      <selection activeCell="B9" sqref="B9:F9"/>
    </sheetView>
  </sheetViews>
  <sheetFormatPr defaultColWidth="0" defaultRowHeight="12.75" customHeight="1" zeroHeight="1"/>
  <cols>
    <col min="1" max="1" width="1.109375" style="179" customWidth="1"/>
    <col min="2" max="18" width="3" style="179" customWidth="1"/>
    <col min="19" max="19" width="3.44140625" style="179" customWidth="1"/>
    <col min="20" max="24" width="3" style="179" customWidth="1"/>
    <col min="25" max="25" width="3.88671875" style="179" customWidth="1"/>
    <col min="26" max="35" width="3" style="179" customWidth="1"/>
    <col min="36" max="36" width="3.6640625" style="179" customWidth="1"/>
    <col min="37" max="37" width="3" style="179" customWidth="1"/>
    <col min="38" max="39" width="0.5546875" style="179" customWidth="1"/>
    <col min="40" max="40" width="2.88671875" style="179" hidden="1" customWidth="1"/>
    <col min="41" max="16384" width="2.88671875" style="179" hidden="1"/>
  </cols>
  <sheetData>
    <row r="1" spans="1:37" ht="12.75" customHeight="1"/>
    <row r="2" spans="1:37" ht="12.75" customHeight="1"/>
    <row r="3" spans="1:37" ht="7.5" customHeight="1">
      <c r="A3" s="178"/>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row>
    <row r="4" spans="1:37" ht="13.8">
      <c r="A4" s="178"/>
      <c r="B4" s="178"/>
      <c r="C4" s="178"/>
      <c r="D4" s="178"/>
      <c r="E4" s="178"/>
      <c r="F4" s="178"/>
      <c r="G4" s="178"/>
      <c r="H4" s="178"/>
      <c r="I4" s="178"/>
      <c r="J4" s="178"/>
      <c r="K4" s="178"/>
      <c r="L4" s="178"/>
      <c r="M4" s="178"/>
      <c r="N4" s="178"/>
      <c r="O4" s="178"/>
      <c r="P4" s="178"/>
      <c r="Q4" s="178"/>
      <c r="R4" s="178"/>
      <c r="S4" s="178"/>
      <c r="T4" s="178"/>
      <c r="V4" s="180"/>
      <c r="W4" s="180"/>
      <c r="Y4" s="180"/>
      <c r="Z4" s="180"/>
      <c r="AA4" s="180"/>
      <c r="AB4" s="548" t="s">
        <v>135</v>
      </c>
      <c r="AC4" s="548"/>
      <c r="AD4" s="548"/>
      <c r="AE4" s="548"/>
      <c r="AF4" s="548"/>
      <c r="AG4" s="548"/>
      <c r="AH4" s="548"/>
      <c r="AI4" s="548"/>
      <c r="AJ4" s="548"/>
      <c r="AK4" s="548"/>
    </row>
    <row r="5" spans="1:37" ht="13.8">
      <c r="A5" s="178"/>
      <c r="B5" s="178"/>
      <c r="C5" s="178"/>
      <c r="D5" s="178"/>
      <c r="E5" s="178"/>
      <c r="F5" s="178"/>
      <c r="G5" s="178"/>
      <c r="H5" s="178"/>
      <c r="I5" s="178"/>
      <c r="J5" s="178"/>
      <c r="K5" s="178"/>
      <c r="L5" s="178"/>
      <c r="M5" s="178"/>
      <c r="N5" s="178"/>
      <c r="O5" s="178"/>
      <c r="P5" s="178"/>
      <c r="Q5" s="178"/>
      <c r="R5" s="178"/>
      <c r="S5" s="178"/>
      <c r="T5" s="178"/>
      <c r="U5" s="181"/>
      <c r="V5" s="181"/>
      <c r="X5" s="180"/>
      <c r="Y5" s="180"/>
      <c r="Z5" s="180"/>
      <c r="AA5" s="180"/>
      <c r="AB5" s="180"/>
      <c r="AC5" s="180"/>
      <c r="AD5" s="180"/>
      <c r="AE5" s="180"/>
      <c r="AF5" s="549" t="s">
        <v>136</v>
      </c>
      <c r="AG5" s="549"/>
      <c r="AH5" s="549"/>
      <c r="AI5" s="549"/>
      <c r="AJ5" s="549"/>
      <c r="AK5" s="549"/>
    </row>
    <row r="6" spans="1:37" ht="17.25" customHeight="1">
      <c r="A6" s="178"/>
      <c r="B6" s="182" t="s">
        <v>137</v>
      </c>
      <c r="C6" s="178"/>
      <c r="D6" s="178"/>
      <c r="E6" s="178"/>
      <c r="F6" s="178"/>
      <c r="G6" s="178"/>
      <c r="H6" s="178"/>
      <c r="I6" s="178"/>
      <c r="J6" s="178"/>
      <c r="K6" s="178"/>
      <c r="L6" s="178"/>
      <c r="M6" s="178"/>
      <c r="N6" s="178"/>
      <c r="O6" s="178"/>
      <c r="P6" s="178"/>
      <c r="Q6" s="178"/>
      <c r="R6" s="178"/>
      <c r="S6" s="178"/>
      <c r="T6" s="178"/>
      <c r="U6" s="181"/>
      <c r="V6" s="181"/>
      <c r="W6" s="183"/>
      <c r="X6" s="184"/>
      <c r="Y6" s="184"/>
      <c r="Z6" s="184"/>
      <c r="AA6" s="184"/>
      <c r="AB6" s="184"/>
      <c r="AC6" s="550" t="s">
        <v>353</v>
      </c>
      <c r="AD6" s="550"/>
      <c r="AE6" s="550"/>
      <c r="AF6" s="550"/>
      <c r="AG6" s="550"/>
      <c r="AH6" s="550"/>
      <c r="AI6" s="550"/>
      <c r="AJ6" s="550"/>
      <c r="AK6" s="550"/>
    </row>
    <row r="7" spans="1:37" s="187" customFormat="1" ht="2.25" customHeight="1">
      <c r="A7" s="186"/>
      <c r="B7" s="186"/>
      <c r="C7" s="186"/>
      <c r="D7" s="186"/>
      <c r="E7" s="186"/>
      <c r="F7" s="186"/>
      <c r="G7" s="186"/>
      <c r="H7" s="186"/>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row>
    <row r="8" spans="1:37" s="193" customFormat="1" ht="10.5" customHeight="1">
      <c r="A8" s="188"/>
      <c r="B8" s="551" t="s">
        <v>138</v>
      </c>
      <c r="C8" s="552"/>
      <c r="D8" s="552"/>
      <c r="E8" s="552"/>
      <c r="F8" s="552"/>
      <c r="G8" s="189" t="s">
        <v>139</v>
      </c>
      <c r="H8" s="190"/>
      <c r="I8" s="190"/>
      <c r="J8" s="190"/>
      <c r="K8" s="190"/>
      <c r="L8" s="190"/>
      <c r="M8" s="190"/>
      <c r="N8" s="190"/>
      <c r="O8" s="190"/>
      <c r="P8" s="190"/>
      <c r="Q8" s="190"/>
      <c r="R8" s="190"/>
      <c r="S8" s="190"/>
      <c r="T8" s="190"/>
      <c r="U8" s="191"/>
      <c r="V8" s="190" t="s">
        <v>140</v>
      </c>
      <c r="W8" s="190"/>
      <c r="X8" s="190"/>
      <c r="Y8" s="190"/>
      <c r="Z8" s="190"/>
      <c r="AA8" s="190"/>
      <c r="AB8" s="190"/>
      <c r="AC8" s="190"/>
      <c r="AD8" s="190"/>
      <c r="AE8" s="190"/>
      <c r="AF8" s="190"/>
      <c r="AG8" s="190"/>
      <c r="AH8" s="190"/>
      <c r="AI8" s="190"/>
      <c r="AJ8" s="190"/>
      <c r="AK8" s="192"/>
    </row>
    <row r="9" spans="1:37" s="193" customFormat="1" ht="10.5" customHeight="1">
      <c r="A9" s="188"/>
      <c r="B9" s="553" t="s">
        <v>141</v>
      </c>
      <c r="C9" s="554"/>
      <c r="D9" s="554"/>
      <c r="E9" s="554"/>
      <c r="F9" s="554"/>
      <c r="G9" s="194"/>
      <c r="H9" s="195"/>
      <c r="I9" s="195"/>
      <c r="J9" s="195"/>
      <c r="K9" s="195"/>
      <c r="L9" s="195"/>
      <c r="M9" s="195"/>
      <c r="N9" s="195"/>
      <c r="O9" s="195"/>
      <c r="P9" s="195"/>
      <c r="Q9" s="195"/>
      <c r="R9" s="195"/>
      <c r="S9" s="195"/>
      <c r="T9" s="195"/>
      <c r="U9" s="196"/>
      <c r="V9" s="195"/>
      <c r="W9" s="195"/>
      <c r="X9" s="195"/>
      <c r="Y9" s="195"/>
      <c r="Z9" s="195"/>
      <c r="AA9" s="195"/>
      <c r="AB9" s="195"/>
      <c r="AC9" s="195"/>
      <c r="AD9" s="195"/>
      <c r="AE9" s="195"/>
      <c r="AF9" s="195"/>
      <c r="AG9" s="195"/>
      <c r="AH9" s="195"/>
      <c r="AI9" s="195"/>
      <c r="AJ9" s="195"/>
      <c r="AK9" s="197"/>
    </row>
    <row r="10" spans="1:37" s="193" customFormat="1" ht="10.5" customHeight="1">
      <c r="A10" s="188"/>
      <c r="B10" s="555">
        <f ca="1">AA_002_GENERALES_FECHA</f>
        <v>42625</v>
      </c>
      <c r="C10" s="556"/>
      <c r="D10" s="556"/>
      <c r="E10" s="556"/>
      <c r="F10" s="557"/>
      <c r="G10" s="558" t="str">
        <f>AA_003_GENERALES_DIA</f>
        <v>Monterrey, Nuevo León</v>
      </c>
      <c r="H10" s="559"/>
      <c r="I10" s="559"/>
      <c r="J10" s="559"/>
      <c r="K10" s="559"/>
      <c r="L10" s="559"/>
      <c r="M10" s="559"/>
      <c r="N10" s="559"/>
      <c r="O10" s="559"/>
      <c r="P10" s="559"/>
      <c r="Q10" s="559"/>
      <c r="R10" s="559"/>
      <c r="S10" s="559"/>
      <c r="T10" s="559"/>
      <c r="U10" s="560"/>
      <c r="V10" s="558" t="str">
        <f>AA_007_GENERALES_NOMBRE_Y_NÚMERO_DE_SUCURSAL</f>
        <v>161 Morones Prieto</v>
      </c>
      <c r="W10" s="813"/>
      <c r="X10" s="813"/>
      <c r="Y10" s="813"/>
      <c r="Z10" s="813"/>
      <c r="AA10" s="813"/>
      <c r="AB10" s="813"/>
      <c r="AC10" s="813"/>
      <c r="AD10" s="813"/>
      <c r="AE10" s="813"/>
      <c r="AF10" s="813"/>
      <c r="AG10" s="813"/>
      <c r="AH10" s="813"/>
      <c r="AI10" s="813"/>
      <c r="AJ10" s="813"/>
      <c r="AK10" s="814"/>
    </row>
    <row r="11" spans="1:37" s="199" customFormat="1" ht="2.25" customHeight="1">
      <c r="A11" s="198"/>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row>
    <row r="12" spans="1:37" s="199" customFormat="1" ht="9.6">
      <c r="A12" s="198"/>
      <c r="B12" s="200" t="s">
        <v>142</v>
      </c>
      <c r="C12" s="18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row>
    <row r="13" spans="1:37" s="193" customFormat="1" ht="10.5" customHeight="1">
      <c r="A13" s="188"/>
      <c r="B13" s="201" t="s">
        <v>143</v>
      </c>
      <c r="C13" s="202"/>
      <c r="D13" s="202"/>
      <c r="E13" s="202" t="s">
        <v>144</v>
      </c>
      <c r="F13" s="202"/>
      <c r="G13" s="202"/>
      <c r="H13" s="202"/>
      <c r="I13" s="202"/>
      <c r="J13" s="202"/>
      <c r="K13" s="202"/>
      <c r="L13" s="203"/>
      <c r="M13" s="201" t="s">
        <v>145</v>
      </c>
      <c r="N13" s="202"/>
      <c r="O13" s="202"/>
      <c r="P13" s="202"/>
      <c r="Q13" s="202"/>
      <c r="R13" s="202"/>
      <c r="S13" s="203"/>
      <c r="T13" s="202" t="s">
        <v>146</v>
      </c>
      <c r="U13" s="202"/>
      <c r="V13" s="202"/>
      <c r="W13" s="202"/>
      <c r="X13" s="202"/>
      <c r="Y13" s="202"/>
      <c r="Z13" s="202"/>
      <c r="AA13" s="201" t="s">
        <v>147</v>
      </c>
      <c r="AB13" s="202"/>
      <c r="AC13" s="202"/>
      <c r="AD13" s="202"/>
      <c r="AE13" s="202"/>
      <c r="AF13" s="202"/>
      <c r="AG13" s="203"/>
      <c r="AH13" s="202" t="s">
        <v>148</v>
      </c>
      <c r="AI13" s="202"/>
      <c r="AJ13" s="202"/>
      <c r="AK13" s="203"/>
    </row>
    <row r="14" spans="1:37" s="193" customFormat="1" ht="10.5" customHeight="1">
      <c r="A14" s="188"/>
      <c r="B14" s="539">
        <f>AA_008_DATOS_DE_BANCO_DOMICILIO_CALLE_NÚMERO</f>
        <v>0</v>
      </c>
      <c r="C14" s="723"/>
      <c r="D14" s="723"/>
      <c r="E14" s="723"/>
      <c r="F14" s="723"/>
      <c r="G14" s="723"/>
      <c r="H14" s="723"/>
      <c r="I14" s="723"/>
      <c r="J14" s="723"/>
      <c r="K14" s="723"/>
      <c r="L14" s="724"/>
      <c r="M14" s="539">
        <f>AA_009_DATOS_DE_BANCO_COLONIA</f>
        <v>0</v>
      </c>
      <c r="N14" s="723"/>
      <c r="O14" s="723"/>
      <c r="P14" s="723"/>
      <c r="Q14" s="723"/>
      <c r="R14" s="723"/>
      <c r="S14" s="724"/>
      <c r="T14" s="539">
        <f>AA_010_DATOS_DE_BANCO_POBLACIÓN</f>
        <v>0</v>
      </c>
      <c r="U14" s="723"/>
      <c r="V14" s="723"/>
      <c r="W14" s="723"/>
      <c r="X14" s="723"/>
      <c r="Y14" s="723"/>
      <c r="Z14" s="724"/>
      <c r="AA14" s="539">
        <f>AA_011_DATOS_DE_BANCO_ESTADO</f>
        <v>0</v>
      </c>
      <c r="AB14" s="723"/>
      <c r="AC14" s="723"/>
      <c r="AD14" s="723"/>
      <c r="AE14" s="723"/>
      <c r="AF14" s="723"/>
      <c r="AG14" s="724"/>
      <c r="AH14" s="539">
        <f>AA_012_DATOS_DE_BANCO_CODIGO_POSTAL</f>
        <v>0</v>
      </c>
      <c r="AI14" s="723"/>
      <c r="AJ14" s="723"/>
      <c r="AK14" s="724"/>
    </row>
    <row r="15" spans="1:37" s="193" customFormat="1" ht="10.5" customHeight="1">
      <c r="A15" s="188"/>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row>
    <row r="16" spans="1:37" s="193" customFormat="1" ht="10.5" customHeight="1">
      <c r="A16" s="188"/>
      <c r="B16" s="204" t="s">
        <v>149</v>
      </c>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row>
    <row r="17" spans="1:37" s="193" customFormat="1" ht="10.5" customHeight="1">
      <c r="A17" s="188"/>
      <c r="B17" s="201" t="s">
        <v>150</v>
      </c>
      <c r="C17" s="202"/>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202"/>
      <c r="AF17" s="202"/>
      <c r="AG17" s="201" t="s">
        <v>151</v>
      </c>
      <c r="AH17" s="202"/>
      <c r="AI17" s="202"/>
      <c r="AJ17" s="202"/>
      <c r="AK17" s="203"/>
    </row>
    <row r="18" spans="1:37" s="193" customFormat="1" ht="10.5" customHeight="1">
      <c r="A18" s="188"/>
      <c r="B18" s="539"/>
      <c r="C18" s="723"/>
      <c r="D18" s="723"/>
      <c r="E18" s="723"/>
      <c r="F18" s="723"/>
      <c r="G18" s="723"/>
      <c r="H18" s="723"/>
      <c r="I18" s="723"/>
      <c r="J18" s="723"/>
      <c r="K18" s="723"/>
      <c r="L18" s="723"/>
      <c r="M18" s="723"/>
      <c r="N18" s="723"/>
      <c r="O18" s="723"/>
      <c r="P18" s="723"/>
      <c r="Q18" s="723"/>
      <c r="R18" s="723"/>
      <c r="S18" s="723"/>
      <c r="T18" s="723"/>
      <c r="U18" s="723"/>
      <c r="V18" s="723"/>
      <c r="W18" s="723"/>
      <c r="X18" s="723"/>
      <c r="Y18" s="723"/>
      <c r="Z18" s="723"/>
      <c r="AA18" s="723"/>
      <c r="AB18" s="723"/>
      <c r="AC18" s="723"/>
      <c r="AD18" s="723"/>
      <c r="AE18" s="723"/>
      <c r="AF18" s="724"/>
      <c r="AG18" s="539">
        <f>AA_014_DATOS_DE_LA_PARTE_ACREDITADA_R_F_C_</f>
        <v>0</v>
      </c>
      <c r="AH18" s="723"/>
      <c r="AI18" s="723"/>
      <c r="AJ18" s="723"/>
      <c r="AK18" s="724"/>
    </row>
    <row r="19" spans="1:37" s="193" customFormat="1" ht="10.5" customHeight="1">
      <c r="A19" s="188"/>
      <c r="B19" s="201" t="s">
        <v>143</v>
      </c>
      <c r="C19" s="202"/>
      <c r="D19" s="202"/>
      <c r="E19" s="202" t="s">
        <v>144</v>
      </c>
      <c r="F19" s="202"/>
      <c r="G19" s="202"/>
      <c r="H19" s="202"/>
      <c r="I19" s="202"/>
      <c r="J19" s="202"/>
      <c r="K19" s="202"/>
      <c r="L19" s="202"/>
      <c r="M19" s="202"/>
      <c r="N19" s="202"/>
      <c r="O19" s="202"/>
      <c r="P19" s="202"/>
      <c r="Q19" s="202"/>
      <c r="R19" s="202"/>
      <c r="S19" s="202"/>
      <c r="T19" s="202"/>
      <c r="U19" s="202"/>
      <c r="V19" s="202"/>
      <c r="W19" s="202"/>
      <c r="X19" s="201" t="s">
        <v>145</v>
      </c>
      <c r="Y19" s="202"/>
      <c r="Z19" s="202"/>
      <c r="AA19" s="202"/>
      <c r="AB19" s="202"/>
      <c r="AC19" s="202"/>
      <c r="AD19" s="202"/>
      <c r="AE19" s="202"/>
      <c r="AF19" s="202"/>
      <c r="AG19" s="202"/>
      <c r="AH19" s="202"/>
      <c r="AI19" s="202"/>
      <c r="AJ19" s="202"/>
      <c r="AK19" s="203"/>
    </row>
    <row r="20" spans="1:37" s="193" customFormat="1" ht="10.5" customHeight="1">
      <c r="A20" s="188"/>
      <c r="B20" s="539">
        <f>AA_015_DATOS_DE_LA_PARTE_ACREDITADA_DOMICILIO_CALLE_NÚMERO</f>
        <v>0</v>
      </c>
      <c r="C20" s="723"/>
      <c r="D20" s="723"/>
      <c r="E20" s="723"/>
      <c r="F20" s="723"/>
      <c r="G20" s="723"/>
      <c r="H20" s="723"/>
      <c r="I20" s="723"/>
      <c r="J20" s="723"/>
      <c r="K20" s="723"/>
      <c r="L20" s="723"/>
      <c r="M20" s="723"/>
      <c r="N20" s="723"/>
      <c r="O20" s="723"/>
      <c r="P20" s="723"/>
      <c r="Q20" s="723"/>
      <c r="R20" s="723"/>
      <c r="S20" s="723"/>
      <c r="T20" s="723"/>
      <c r="U20" s="723"/>
      <c r="V20" s="723"/>
      <c r="W20" s="724"/>
      <c r="X20" s="539">
        <f>AA_016_DATOS_DE_LA_PARTE_ACREDITADA_COLONIA</f>
        <v>0</v>
      </c>
      <c r="Y20" s="723"/>
      <c r="Z20" s="723"/>
      <c r="AA20" s="723"/>
      <c r="AB20" s="723"/>
      <c r="AC20" s="723"/>
      <c r="AD20" s="723"/>
      <c r="AE20" s="723"/>
      <c r="AF20" s="723"/>
      <c r="AG20" s="723"/>
      <c r="AH20" s="723"/>
      <c r="AI20" s="723"/>
      <c r="AJ20" s="723"/>
      <c r="AK20" s="724"/>
    </row>
    <row r="21" spans="1:37" s="193" customFormat="1" ht="10.5" customHeight="1">
      <c r="A21" s="188"/>
      <c r="B21" s="201" t="s">
        <v>146</v>
      </c>
      <c r="C21" s="202"/>
      <c r="D21" s="202"/>
      <c r="E21" s="202"/>
      <c r="F21" s="202"/>
      <c r="G21" s="202"/>
      <c r="H21" s="202"/>
      <c r="I21" s="195"/>
      <c r="J21" s="201" t="s">
        <v>147</v>
      </c>
      <c r="K21" s="195"/>
      <c r="L21" s="195"/>
      <c r="P21" s="202"/>
      <c r="Q21" s="194" t="s">
        <v>152</v>
      </c>
      <c r="S21" s="202"/>
      <c r="T21" s="202"/>
      <c r="V21" s="201" t="s">
        <v>153</v>
      </c>
      <c r="W21" s="202"/>
      <c r="X21" s="202"/>
      <c r="Y21" s="202"/>
      <c r="AA21" s="201" t="s">
        <v>154</v>
      </c>
      <c r="AB21" s="202"/>
      <c r="AC21" s="203"/>
      <c r="AD21" s="194" t="s">
        <v>155</v>
      </c>
      <c r="AE21" s="195"/>
      <c r="AF21" s="195"/>
      <c r="AG21" s="203"/>
      <c r="AH21" s="202" t="s">
        <v>156</v>
      </c>
      <c r="AI21" s="202"/>
      <c r="AJ21" s="202"/>
      <c r="AK21" s="203"/>
    </row>
    <row r="22" spans="1:37" s="193" customFormat="1" ht="10.5" customHeight="1">
      <c r="A22" s="188"/>
      <c r="B22" s="539">
        <f>AA_017_DATOS_DE_LA_PARTE_ACREDITADA_POBLACION</f>
        <v>0</v>
      </c>
      <c r="C22" s="723"/>
      <c r="D22" s="723"/>
      <c r="E22" s="723"/>
      <c r="F22" s="723"/>
      <c r="G22" s="723"/>
      <c r="H22" s="723"/>
      <c r="I22" s="724"/>
      <c r="J22" s="539">
        <f>AA_018_DATOS_DE_LA_PARTE_ACREDITADA_ESTADO</f>
        <v>0</v>
      </c>
      <c r="K22" s="723"/>
      <c r="L22" s="723"/>
      <c r="M22" s="723"/>
      <c r="N22" s="723"/>
      <c r="O22" s="723"/>
      <c r="P22" s="724"/>
      <c r="Q22" s="539">
        <f>AA_019_DATOS_DE_LA_PARTE_ACREDITADA_NACIONALIDAD</f>
        <v>0</v>
      </c>
      <c r="R22" s="723"/>
      <c r="S22" s="723"/>
      <c r="T22" s="723"/>
      <c r="U22" s="724"/>
      <c r="V22" s="539">
        <f>AA_020_DATOS_DE_LA_PARTE_ACREDITADA_ORIGINARIO</f>
        <v>0</v>
      </c>
      <c r="W22" s="723"/>
      <c r="X22" s="723"/>
      <c r="Y22" s="723"/>
      <c r="Z22" s="724"/>
      <c r="AA22" s="542">
        <f>AA_021_DATOS_DE_LA_PARTE_ACREDITADA_EDAD</f>
        <v>0</v>
      </c>
      <c r="AB22" s="815"/>
      <c r="AC22" s="816"/>
      <c r="AD22" s="539">
        <f>AA_022_DATOS_DE_LA_PARTE_ACREDITADA_ESTADO_CIVIL</f>
        <v>0</v>
      </c>
      <c r="AE22" s="723"/>
      <c r="AF22" s="723"/>
      <c r="AG22" s="724"/>
      <c r="AH22" s="539">
        <f>AA_023_DATOS_DE_LA_PARTE_ACREDITADA_TELEFONO</f>
        <v>0</v>
      </c>
      <c r="AI22" s="540"/>
      <c r="AJ22" s="540"/>
      <c r="AK22" s="541"/>
    </row>
    <row r="23" spans="1:37" s="193" customFormat="1" ht="10.5" customHeight="1">
      <c r="A23" s="188"/>
      <c r="B23" s="201" t="s">
        <v>157</v>
      </c>
      <c r="C23" s="202"/>
      <c r="D23" s="202"/>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202"/>
      <c r="AF23" s="202"/>
      <c r="AG23" s="201" t="s">
        <v>151</v>
      </c>
      <c r="AH23" s="202"/>
      <c r="AI23" s="202"/>
      <c r="AJ23" s="202"/>
      <c r="AK23" s="203"/>
    </row>
    <row r="24" spans="1:37" s="193" customFormat="1" ht="10.5" customHeight="1">
      <c r="A24" s="188"/>
      <c r="B24" s="545">
        <f>AA_024_DATOS_DE_LA_PARTE_ACREDITADA_NOMBRE_DEL_ACREDITADO_2</f>
        <v>0</v>
      </c>
      <c r="C24" s="546"/>
      <c r="D24" s="546"/>
      <c r="E24" s="546"/>
      <c r="F24" s="546"/>
      <c r="G24" s="546"/>
      <c r="H24" s="546"/>
      <c r="I24" s="546"/>
      <c r="J24" s="546"/>
      <c r="K24" s="546"/>
      <c r="L24" s="546"/>
      <c r="M24" s="546"/>
      <c r="N24" s="546"/>
      <c r="O24" s="546"/>
      <c r="P24" s="546"/>
      <c r="Q24" s="546"/>
      <c r="R24" s="546"/>
      <c r="S24" s="546"/>
      <c r="T24" s="546"/>
      <c r="U24" s="546"/>
      <c r="V24" s="546"/>
      <c r="W24" s="546"/>
      <c r="X24" s="546"/>
      <c r="Y24" s="546"/>
      <c r="Z24" s="546"/>
      <c r="AA24" s="546"/>
      <c r="AB24" s="546"/>
      <c r="AC24" s="546"/>
      <c r="AD24" s="546"/>
      <c r="AE24" s="546"/>
      <c r="AF24" s="547"/>
      <c r="AG24" s="539">
        <f>AA_025_DATOS_DE_LA_PARTE_ACREDITADA_R_F_C_</f>
        <v>0</v>
      </c>
      <c r="AH24" s="723"/>
      <c r="AI24" s="723"/>
      <c r="AJ24" s="723"/>
      <c r="AK24" s="724"/>
    </row>
    <row r="25" spans="1:37" s="193" customFormat="1" ht="10.5" customHeight="1">
      <c r="A25" s="188"/>
      <c r="B25" s="194" t="s">
        <v>143</v>
      </c>
      <c r="C25" s="195"/>
      <c r="D25" s="195"/>
      <c r="E25" s="195" t="s">
        <v>144</v>
      </c>
      <c r="F25" s="195"/>
      <c r="G25" s="195"/>
      <c r="H25" s="195"/>
      <c r="I25" s="195"/>
      <c r="J25" s="195"/>
      <c r="K25" s="195"/>
      <c r="L25" s="195"/>
      <c r="M25" s="195"/>
      <c r="N25" s="195"/>
      <c r="O25" s="195"/>
      <c r="P25" s="195"/>
      <c r="Q25" s="195"/>
      <c r="R25" s="195"/>
      <c r="S25" s="195"/>
      <c r="T25" s="195"/>
      <c r="U25" s="188"/>
      <c r="V25" s="188"/>
      <c r="W25" s="196"/>
      <c r="X25" s="194" t="s">
        <v>145</v>
      </c>
      <c r="Y25" s="195"/>
      <c r="Z25" s="195"/>
      <c r="AA25" s="195"/>
      <c r="AB25" s="195"/>
      <c r="AC25" s="195"/>
      <c r="AD25" s="195"/>
      <c r="AE25" s="195"/>
      <c r="AF25" s="195"/>
      <c r="AG25" s="202"/>
      <c r="AH25" s="202"/>
      <c r="AI25" s="202"/>
      <c r="AJ25" s="202"/>
      <c r="AK25" s="203"/>
    </row>
    <row r="26" spans="1:37" s="193" customFormat="1" ht="10.5" customHeight="1">
      <c r="A26" s="188"/>
      <c r="B26" s="545">
        <f>AA_026_DATOS_DE_LA_PARTE_ACREDITADA_DOMICILIO_CALLE_NÚMERO</f>
        <v>0</v>
      </c>
      <c r="C26" s="817"/>
      <c r="D26" s="817"/>
      <c r="E26" s="817"/>
      <c r="F26" s="817"/>
      <c r="G26" s="817"/>
      <c r="H26" s="817"/>
      <c r="I26" s="817"/>
      <c r="J26" s="817"/>
      <c r="K26" s="817"/>
      <c r="L26" s="817"/>
      <c r="M26" s="817"/>
      <c r="N26" s="817"/>
      <c r="O26" s="817"/>
      <c r="P26" s="817"/>
      <c r="Q26" s="817"/>
      <c r="R26" s="817"/>
      <c r="S26" s="817"/>
      <c r="T26" s="817"/>
      <c r="U26" s="817"/>
      <c r="V26" s="817"/>
      <c r="W26" s="818"/>
      <c r="X26" s="539">
        <f>AA_027_DATOS_DE_LA_PARTE_ACREDITADA_COLONIA</f>
        <v>0</v>
      </c>
      <c r="Y26" s="723"/>
      <c r="Z26" s="723"/>
      <c r="AA26" s="723"/>
      <c r="AB26" s="723"/>
      <c r="AC26" s="723"/>
      <c r="AD26" s="723"/>
      <c r="AE26" s="723"/>
      <c r="AF26" s="723"/>
      <c r="AG26" s="723"/>
      <c r="AH26" s="723"/>
      <c r="AI26" s="723"/>
      <c r="AJ26" s="723"/>
      <c r="AK26" s="724"/>
    </row>
    <row r="27" spans="1:37" s="193" customFormat="1" ht="10.5" customHeight="1">
      <c r="A27" s="188"/>
      <c r="B27" s="194" t="s">
        <v>146</v>
      </c>
      <c r="C27" s="195"/>
      <c r="D27" s="195"/>
      <c r="E27" s="195"/>
      <c r="F27" s="195"/>
      <c r="G27" s="195"/>
      <c r="H27" s="195"/>
      <c r="I27" s="195"/>
      <c r="J27" s="194" t="s">
        <v>147</v>
      </c>
      <c r="K27" s="195"/>
      <c r="L27" s="195"/>
      <c r="M27" s="188"/>
      <c r="N27" s="188"/>
      <c r="O27" s="188"/>
      <c r="P27" s="195"/>
      <c r="Q27" s="194" t="s">
        <v>152</v>
      </c>
      <c r="R27" s="188"/>
      <c r="S27" s="195"/>
      <c r="T27" s="195"/>
      <c r="U27" s="188"/>
      <c r="V27" s="194" t="s">
        <v>153</v>
      </c>
      <c r="W27" s="195"/>
      <c r="X27" s="202"/>
      <c r="Y27" s="202"/>
      <c r="Z27" s="188"/>
      <c r="AA27" s="201" t="s">
        <v>154</v>
      </c>
      <c r="AB27" s="202"/>
      <c r="AC27" s="203"/>
      <c r="AD27" s="194" t="s">
        <v>155</v>
      </c>
      <c r="AE27" s="195"/>
      <c r="AF27" s="195"/>
      <c r="AG27" s="203"/>
      <c r="AH27" s="202" t="s">
        <v>156</v>
      </c>
      <c r="AI27" s="202"/>
      <c r="AJ27" s="202"/>
      <c r="AK27" s="203"/>
    </row>
    <row r="28" spans="1:37" s="193" customFormat="1" ht="10.5" customHeight="1">
      <c r="A28" s="188"/>
      <c r="B28" s="539">
        <f>AA_028_DATOS_DE_LA_PARTE_ACREDITADA_POBLACION</f>
        <v>0</v>
      </c>
      <c r="C28" s="540"/>
      <c r="D28" s="540"/>
      <c r="E28" s="540"/>
      <c r="F28" s="540"/>
      <c r="G28" s="540"/>
      <c r="H28" s="540"/>
      <c r="I28" s="541"/>
      <c r="J28" s="539">
        <f>AA_029_DATOS_DE_LA_PARTE_ACREDITADA_ESTADO</f>
        <v>0</v>
      </c>
      <c r="K28" s="540"/>
      <c r="L28" s="540"/>
      <c r="M28" s="540"/>
      <c r="N28" s="540"/>
      <c r="O28" s="540"/>
      <c r="P28" s="541"/>
      <c r="Q28" s="539">
        <f>AA_030_DATOS_DE_LA_PARTE_ACREDITADA_NACIONALIDAD</f>
        <v>0</v>
      </c>
      <c r="R28" s="540"/>
      <c r="S28" s="540"/>
      <c r="T28" s="540"/>
      <c r="U28" s="541"/>
      <c r="V28" s="539">
        <f>AA_031_DATOS_DE_LA_PARTE_ACREDITADA_ORIGINARIO</f>
        <v>0</v>
      </c>
      <c r="W28" s="723"/>
      <c r="X28" s="723"/>
      <c r="Y28" s="723"/>
      <c r="Z28" s="724"/>
      <c r="AA28" s="542">
        <f>AA_032_DATOS_DE_LA_PARTE_ACREDITADA_EDAD</f>
        <v>0</v>
      </c>
      <c r="AB28" s="543"/>
      <c r="AC28" s="544"/>
      <c r="AD28" s="539">
        <f>AA_033_DATOS_DE_LA_PARTE_ACREDITADA_ESTADO_CIVIL</f>
        <v>0</v>
      </c>
      <c r="AE28" s="723"/>
      <c r="AF28" s="723"/>
      <c r="AG28" s="724"/>
      <c r="AH28" s="539">
        <f>AA_034_DATOS_DE_LA_PARTE_ACREDITADA_TELEFONO</f>
        <v>0</v>
      </c>
      <c r="AI28" s="540"/>
      <c r="AJ28" s="540"/>
      <c r="AK28" s="541"/>
    </row>
    <row r="29" spans="1:37" s="199" customFormat="1" ht="2.25" customHeight="1">
      <c r="A29" s="198"/>
      <c r="B29" s="182"/>
      <c r="C29" s="18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row>
    <row r="30" spans="1:37" s="199" customFormat="1" ht="9.6">
      <c r="A30" s="198"/>
      <c r="B30" s="200" t="s">
        <v>158</v>
      </c>
      <c r="C30" s="18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row>
    <row r="31" spans="1:37" s="193" customFormat="1" ht="10.5" customHeight="1">
      <c r="A31" s="188"/>
      <c r="B31" s="201" t="s">
        <v>159</v>
      </c>
      <c r="C31" s="202"/>
      <c r="D31" s="202"/>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202"/>
      <c r="AF31" s="202"/>
      <c r="AG31" s="202"/>
      <c r="AH31" s="202"/>
      <c r="AI31" s="202"/>
      <c r="AJ31" s="202"/>
      <c r="AK31" s="203"/>
    </row>
    <row r="32" spans="1:37" s="193" customFormat="1" ht="10.5" customHeight="1">
      <c r="A32" s="188"/>
      <c r="B32" s="539">
        <f>AA_035_DATOS_APODERADOS_ACREDITADO_NOMBRE_APODERADO_DEL_ACREDITADO_UNO</f>
        <v>0</v>
      </c>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c r="AE32" s="540"/>
      <c r="AF32" s="540"/>
      <c r="AG32" s="540"/>
      <c r="AH32" s="540"/>
      <c r="AI32" s="540"/>
      <c r="AJ32" s="540"/>
      <c r="AK32" s="541"/>
    </row>
    <row r="33" spans="1:37" s="193" customFormat="1" ht="10.5" customHeight="1">
      <c r="A33" s="188"/>
      <c r="B33" s="201" t="str">
        <f>B31</f>
        <v>NOMBRE  (Nombre(s) Apellidos Paterno y Materno)</v>
      </c>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202"/>
      <c r="AG33" s="202"/>
      <c r="AH33" s="202"/>
      <c r="AI33" s="202"/>
      <c r="AJ33" s="202"/>
      <c r="AK33" s="203"/>
    </row>
    <row r="34" spans="1:37" s="193" customFormat="1" ht="10.5" customHeight="1">
      <c r="A34" s="188"/>
      <c r="B34" s="539">
        <f>AA_036_DATOS_APODERADOS_ACREDITADO_NOMBRE_APODERADO_DEL_ACREDITADO_DOS</f>
        <v>0</v>
      </c>
      <c r="C34" s="723"/>
      <c r="D34" s="723"/>
      <c r="E34" s="723"/>
      <c r="F34" s="723"/>
      <c r="G34" s="723"/>
      <c r="H34" s="723"/>
      <c r="I34" s="723"/>
      <c r="J34" s="723"/>
      <c r="K34" s="723"/>
      <c r="L34" s="723"/>
      <c r="M34" s="723"/>
      <c r="N34" s="723"/>
      <c r="O34" s="723"/>
      <c r="P34" s="723"/>
      <c r="Q34" s="723"/>
      <c r="R34" s="723"/>
      <c r="S34" s="723"/>
      <c r="T34" s="723"/>
      <c r="U34" s="723"/>
      <c r="V34" s="723"/>
      <c r="W34" s="723"/>
      <c r="X34" s="723"/>
      <c r="Y34" s="723"/>
      <c r="Z34" s="723"/>
      <c r="AA34" s="723"/>
      <c r="AB34" s="723"/>
      <c r="AC34" s="723"/>
      <c r="AD34" s="723"/>
      <c r="AE34" s="723"/>
      <c r="AF34" s="723"/>
      <c r="AG34" s="723"/>
      <c r="AH34" s="723"/>
      <c r="AI34" s="723"/>
      <c r="AJ34" s="723"/>
      <c r="AK34" s="724"/>
    </row>
    <row r="35" spans="1:37" s="193" customFormat="1" ht="10.5" customHeight="1">
      <c r="A35" s="188"/>
      <c r="B35" s="201" t="str">
        <f>B33</f>
        <v>NOMBRE  (Nombre(s) Apellidos Paterno y Materno)</v>
      </c>
      <c r="C35" s="202"/>
      <c r="D35" s="202"/>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202"/>
      <c r="AF35" s="202"/>
      <c r="AG35" s="202"/>
      <c r="AH35" s="202"/>
      <c r="AI35" s="202"/>
      <c r="AJ35" s="202"/>
      <c r="AK35" s="203"/>
    </row>
    <row r="36" spans="1:37" s="193" customFormat="1" ht="10.5" customHeight="1">
      <c r="A36" s="188"/>
      <c r="B36" s="539">
        <f>AA_036a_DATOS_APODERADOS_ACREDITADO_NOMBRE_APODERADO_DEL_ACREDITADO_TRES</f>
        <v>0</v>
      </c>
      <c r="C36" s="723"/>
      <c r="D36" s="723"/>
      <c r="E36" s="723"/>
      <c r="F36" s="723"/>
      <c r="G36" s="723"/>
      <c r="H36" s="723"/>
      <c r="I36" s="723"/>
      <c r="J36" s="723"/>
      <c r="K36" s="723"/>
      <c r="L36" s="723"/>
      <c r="M36" s="723"/>
      <c r="N36" s="723"/>
      <c r="O36" s="723"/>
      <c r="P36" s="723"/>
      <c r="Q36" s="723"/>
      <c r="R36" s="723"/>
      <c r="S36" s="723"/>
      <c r="T36" s="723"/>
      <c r="U36" s="723"/>
      <c r="V36" s="723"/>
      <c r="W36" s="723"/>
      <c r="X36" s="723"/>
      <c r="Y36" s="723"/>
      <c r="Z36" s="723"/>
      <c r="AA36" s="723"/>
      <c r="AB36" s="723"/>
      <c r="AC36" s="723"/>
      <c r="AD36" s="723"/>
      <c r="AE36" s="723"/>
      <c r="AF36" s="723"/>
      <c r="AG36" s="723"/>
      <c r="AH36" s="723"/>
      <c r="AI36" s="723"/>
      <c r="AJ36" s="723"/>
      <c r="AK36" s="724"/>
    </row>
    <row r="37" spans="1:37" s="199" customFormat="1" ht="2.25" customHeight="1">
      <c r="A37" s="198"/>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row>
    <row r="38" spans="1:37" s="199" customFormat="1" ht="2.25" customHeight="1">
      <c r="A38" s="198"/>
      <c r="B38" s="182"/>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row>
    <row r="39" spans="1:37" s="199" customFormat="1" ht="2.25" customHeight="1">
      <c r="A39" s="198"/>
      <c r="B39" s="182"/>
      <c r="C39" s="18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row>
    <row r="40" spans="1:37" s="199" customFormat="1" ht="9.6">
      <c r="A40" s="198"/>
      <c r="B40" s="200" t="s">
        <v>160</v>
      </c>
      <c r="C40" s="18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82"/>
      <c r="AI40" s="182"/>
      <c r="AJ40" s="182"/>
      <c r="AK40" s="182"/>
    </row>
    <row r="41" spans="1:37" s="193" customFormat="1" ht="10.5" customHeight="1">
      <c r="A41" s="188"/>
      <c r="B41" s="201" t="s">
        <v>157</v>
      </c>
      <c r="C41" s="202"/>
      <c r="D41" s="202"/>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202"/>
      <c r="AF41" s="202"/>
      <c r="AG41" s="201" t="s">
        <v>151</v>
      </c>
      <c r="AH41" s="202"/>
      <c r="AI41" s="202"/>
      <c r="AJ41" s="202"/>
      <c r="AK41" s="203"/>
    </row>
    <row r="42" spans="1:37" s="193" customFormat="1" ht="10.5" customHeight="1">
      <c r="A42" s="188"/>
      <c r="B42" s="539">
        <f>AA_037_DATOS_FIADORES_NOMBRE_DEL_FIADOR_SOLIDARIO_UNO</f>
        <v>0</v>
      </c>
      <c r="C42" s="723"/>
      <c r="D42" s="723"/>
      <c r="E42" s="723"/>
      <c r="F42" s="723"/>
      <c r="G42" s="723"/>
      <c r="H42" s="723"/>
      <c r="I42" s="723"/>
      <c r="J42" s="723"/>
      <c r="K42" s="723"/>
      <c r="L42" s="723"/>
      <c r="M42" s="723"/>
      <c r="N42" s="723"/>
      <c r="O42" s="723"/>
      <c r="P42" s="723"/>
      <c r="Q42" s="723"/>
      <c r="R42" s="723"/>
      <c r="S42" s="723"/>
      <c r="T42" s="723"/>
      <c r="U42" s="723"/>
      <c r="V42" s="723"/>
      <c r="W42" s="723"/>
      <c r="X42" s="723"/>
      <c r="Y42" s="723"/>
      <c r="Z42" s="723"/>
      <c r="AA42" s="723"/>
      <c r="AB42" s="723"/>
      <c r="AC42" s="723"/>
      <c r="AD42" s="723"/>
      <c r="AE42" s="723"/>
      <c r="AF42" s="724"/>
      <c r="AG42" s="539">
        <f>AA_038_DATOS_FIADORES_RFC</f>
        <v>0</v>
      </c>
      <c r="AH42" s="723"/>
      <c r="AI42" s="723"/>
      <c r="AJ42" s="723"/>
      <c r="AK42" s="724"/>
    </row>
    <row r="43" spans="1:37" s="193" customFormat="1" ht="10.5" customHeight="1">
      <c r="A43" s="188"/>
      <c r="B43" s="201" t="s">
        <v>143</v>
      </c>
      <c r="C43" s="202"/>
      <c r="D43" s="202"/>
      <c r="E43" s="202" t="s">
        <v>144</v>
      </c>
      <c r="F43" s="202"/>
      <c r="G43" s="202"/>
      <c r="H43" s="202"/>
      <c r="I43" s="202"/>
      <c r="J43" s="202"/>
      <c r="K43" s="202"/>
      <c r="L43" s="202"/>
      <c r="M43" s="202"/>
      <c r="N43" s="202"/>
      <c r="O43" s="202"/>
      <c r="P43" s="202"/>
      <c r="Q43" s="202"/>
      <c r="R43" s="202"/>
      <c r="S43" s="202"/>
      <c r="T43" s="202"/>
      <c r="U43" s="201" t="s">
        <v>145</v>
      </c>
      <c r="V43" s="202"/>
      <c r="W43" s="202"/>
      <c r="X43" s="202"/>
      <c r="Y43" s="202"/>
      <c r="Z43" s="202"/>
      <c r="AA43" s="202"/>
      <c r="AB43" s="202"/>
      <c r="AC43" s="202"/>
      <c r="AD43" s="202"/>
      <c r="AE43" s="202"/>
      <c r="AF43" s="202"/>
      <c r="AG43" s="202"/>
      <c r="AH43" s="202"/>
      <c r="AI43" s="202"/>
      <c r="AJ43" s="202"/>
      <c r="AK43" s="203"/>
    </row>
    <row r="44" spans="1:37" s="193" customFormat="1" ht="10.5" customHeight="1">
      <c r="A44" s="188"/>
      <c r="B44" s="539">
        <f>AA_039_DATOS_FIADORES_DOMICILIO_CALLE_NÚMERO</f>
        <v>0</v>
      </c>
      <c r="C44" s="723"/>
      <c r="D44" s="723"/>
      <c r="E44" s="723"/>
      <c r="F44" s="723"/>
      <c r="G44" s="723"/>
      <c r="H44" s="723"/>
      <c r="I44" s="723"/>
      <c r="J44" s="723"/>
      <c r="K44" s="723"/>
      <c r="L44" s="723"/>
      <c r="M44" s="723"/>
      <c r="N44" s="723"/>
      <c r="O44" s="723"/>
      <c r="P44" s="723"/>
      <c r="Q44" s="723"/>
      <c r="R44" s="723"/>
      <c r="S44" s="723"/>
      <c r="T44" s="724"/>
      <c r="U44" s="539">
        <f>AA_040_DATOS_FIADORES_COLONIA</f>
        <v>0</v>
      </c>
      <c r="V44" s="723"/>
      <c r="W44" s="723"/>
      <c r="X44" s="723"/>
      <c r="Y44" s="723"/>
      <c r="Z44" s="723"/>
      <c r="AA44" s="723"/>
      <c r="AB44" s="723"/>
      <c r="AC44" s="723"/>
      <c r="AD44" s="723"/>
      <c r="AE44" s="723"/>
      <c r="AF44" s="723"/>
      <c r="AG44" s="723"/>
      <c r="AH44" s="723"/>
      <c r="AI44" s="723"/>
      <c r="AJ44" s="723"/>
      <c r="AK44" s="724"/>
    </row>
    <row r="45" spans="1:37" s="193" customFormat="1" ht="10.5" customHeight="1">
      <c r="A45" s="188"/>
      <c r="B45" s="201" t="s">
        <v>146</v>
      </c>
      <c r="C45" s="202"/>
      <c r="D45" s="202"/>
      <c r="E45" s="202"/>
      <c r="F45" s="202"/>
      <c r="G45" s="202"/>
      <c r="H45" s="202"/>
      <c r="I45" s="195"/>
      <c r="J45" s="201" t="s">
        <v>147</v>
      </c>
      <c r="K45" s="195"/>
      <c r="L45" s="195"/>
      <c r="P45" s="202"/>
      <c r="Q45" s="194" t="s">
        <v>152</v>
      </c>
      <c r="S45" s="202"/>
      <c r="T45" s="202"/>
      <c r="V45" s="201" t="s">
        <v>153</v>
      </c>
      <c r="W45" s="202"/>
      <c r="X45" s="202"/>
      <c r="Y45" s="202"/>
      <c r="AA45" s="201" t="s">
        <v>154</v>
      </c>
      <c r="AB45" s="202"/>
      <c r="AC45" s="203"/>
      <c r="AD45" s="194" t="s">
        <v>155</v>
      </c>
      <c r="AE45" s="195"/>
      <c r="AF45" s="195"/>
      <c r="AG45" s="203"/>
      <c r="AH45" s="202" t="s">
        <v>156</v>
      </c>
      <c r="AI45" s="202"/>
      <c r="AJ45" s="202"/>
      <c r="AK45" s="203"/>
    </row>
    <row r="46" spans="1:37" s="193" customFormat="1" ht="10.5" customHeight="1">
      <c r="A46" s="188"/>
      <c r="B46" s="539">
        <f>AA_041_DATOS_FIADORES_POBLACIÓN</f>
        <v>0</v>
      </c>
      <c r="C46" s="723"/>
      <c r="D46" s="723"/>
      <c r="E46" s="723"/>
      <c r="F46" s="723"/>
      <c r="G46" s="723"/>
      <c r="H46" s="723"/>
      <c r="I46" s="724"/>
      <c r="J46" s="539">
        <f>AA_042_DATOS_FIADORES_ESTADO</f>
        <v>0</v>
      </c>
      <c r="K46" s="723"/>
      <c r="L46" s="723"/>
      <c r="M46" s="723"/>
      <c r="N46" s="723"/>
      <c r="O46" s="723"/>
      <c r="P46" s="724"/>
      <c r="Q46" s="539">
        <f>AA_043_DATOS_FIADORES_NACIONALIDAD</f>
        <v>0</v>
      </c>
      <c r="R46" s="723"/>
      <c r="S46" s="723"/>
      <c r="T46" s="723"/>
      <c r="U46" s="724"/>
      <c r="V46" s="539">
        <f>AA_044_DATOS_FIADORES_ORIGINARIO</f>
        <v>0</v>
      </c>
      <c r="W46" s="723"/>
      <c r="X46" s="723"/>
      <c r="Y46" s="723"/>
      <c r="Z46" s="724"/>
      <c r="AA46" s="542">
        <f>AA_045_DATOS_FIADORES_EDAD</f>
        <v>0</v>
      </c>
      <c r="AB46" s="543"/>
      <c r="AC46" s="544"/>
      <c r="AD46" s="539">
        <f>AA_046_DATOS_FIADORES_ESTADO_CIVIL</f>
        <v>0</v>
      </c>
      <c r="AE46" s="723"/>
      <c r="AF46" s="723"/>
      <c r="AG46" s="724"/>
      <c r="AH46" s="539">
        <f>AA_047_DATOS_FIADORES_TELEFONO</f>
        <v>0</v>
      </c>
      <c r="AI46" s="540"/>
      <c r="AJ46" s="540"/>
      <c r="AK46" s="541"/>
    </row>
    <row r="47" spans="1:37" s="193" customFormat="1" ht="10.5" customHeight="1">
      <c r="A47" s="188"/>
      <c r="B47" s="201" t="s">
        <v>157</v>
      </c>
      <c r="C47" s="202"/>
      <c r="D47" s="202"/>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202"/>
      <c r="AF47" s="202"/>
      <c r="AG47" s="201" t="s">
        <v>151</v>
      </c>
      <c r="AH47" s="202"/>
      <c r="AI47" s="202"/>
      <c r="AJ47" s="202"/>
      <c r="AK47" s="203"/>
    </row>
    <row r="48" spans="1:37" s="193" customFormat="1" ht="10.5" customHeight="1">
      <c r="A48" s="188"/>
      <c r="B48" s="539">
        <f>AA_048_DATOS_FIADORES_NOMBRE_DEL_FIADOR_SOLIDARIO_DOS</f>
        <v>0</v>
      </c>
      <c r="C48" s="540"/>
      <c r="D48" s="540"/>
      <c r="E48" s="540"/>
      <c r="F48" s="540"/>
      <c r="G48" s="540"/>
      <c r="H48" s="540"/>
      <c r="I48" s="540"/>
      <c r="J48" s="540"/>
      <c r="K48" s="540"/>
      <c r="L48" s="540"/>
      <c r="M48" s="540"/>
      <c r="N48" s="540"/>
      <c r="O48" s="540"/>
      <c r="P48" s="540"/>
      <c r="Q48" s="540"/>
      <c r="R48" s="540"/>
      <c r="S48" s="540"/>
      <c r="T48" s="540"/>
      <c r="U48" s="540"/>
      <c r="V48" s="540"/>
      <c r="W48" s="540"/>
      <c r="X48" s="540"/>
      <c r="Y48" s="540"/>
      <c r="Z48" s="540"/>
      <c r="AA48" s="540"/>
      <c r="AB48" s="540"/>
      <c r="AC48" s="540"/>
      <c r="AD48" s="540"/>
      <c r="AE48" s="540"/>
      <c r="AF48" s="541"/>
      <c r="AG48" s="539">
        <f>AA_049_DATOS_FIADORES_RFC</f>
        <v>0</v>
      </c>
      <c r="AH48" s="723"/>
      <c r="AI48" s="723"/>
      <c r="AJ48" s="723"/>
      <c r="AK48" s="724"/>
    </row>
    <row r="49" spans="1:37" s="193" customFormat="1" ht="10.5" customHeight="1">
      <c r="A49" s="188"/>
      <c r="B49" s="201" t="s">
        <v>143</v>
      </c>
      <c r="C49" s="202"/>
      <c r="D49" s="202"/>
      <c r="E49" s="202" t="s">
        <v>144</v>
      </c>
      <c r="F49" s="202"/>
      <c r="G49" s="202"/>
      <c r="H49" s="202"/>
      <c r="I49" s="202"/>
      <c r="J49" s="202"/>
      <c r="K49" s="202"/>
      <c r="L49" s="202"/>
      <c r="M49" s="202"/>
      <c r="N49" s="202"/>
      <c r="O49" s="202"/>
      <c r="P49" s="202"/>
      <c r="Q49" s="202"/>
      <c r="R49" s="202"/>
      <c r="S49" s="202"/>
      <c r="T49" s="202"/>
      <c r="U49" s="201" t="s">
        <v>145</v>
      </c>
      <c r="V49" s="202"/>
      <c r="W49" s="202"/>
      <c r="X49" s="202"/>
      <c r="Y49" s="202"/>
      <c r="Z49" s="202"/>
      <c r="AA49" s="202"/>
      <c r="AB49" s="202"/>
      <c r="AC49" s="202"/>
      <c r="AD49" s="202"/>
      <c r="AE49" s="202"/>
      <c r="AF49" s="202"/>
      <c r="AG49" s="202"/>
      <c r="AH49" s="202"/>
      <c r="AI49" s="202"/>
      <c r="AJ49" s="202"/>
      <c r="AK49" s="203"/>
    </row>
    <row r="50" spans="1:37" s="193" customFormat="1" ht="10.5" customHeight="1">
      <c r="A50" s="188"/>
      <c r="B50" s="539">
        <f>AA_050_DATOS_FIADORES_DOMICILIO_CALLE_NÚMERO</f>
        <v>0</v>
      </c>
      <c r="C50" s="723"/>
      <c r="D50" s="723"/>
      <c r="E50" s="723"/>
      <c r="F50" s="723"/>
      <c r="G50" s="723"/>
      <c r="H50" s="723"/>
      <c r="I50" s="723"/>
      <c r="J50" s="723"/>
      <c r="K50" s="723"/>
      <c r="L50" s="723"/>
      <c r="M50" s="723"/>
      <c r="N50" s="723"/>
      <c r="O50" s="723"/>
      <c r="P50" s="723"/>
      <c r="Q50" s="723"/>
      <c r="R50" s="723"/>
      <c r="S50" s="723"/>
      <c r="T50" s="724"/>
      <c r="U50" s="539">
        <f>AA_051_DATOS_FIADORES_COLONIA</f>
        <v>0</v>
      </c>
      <c r="V50" s="723"/>
      <c r="W50" s="723"/>
      <c r="X50" s="723"/>
      <c r="Y50" s="723"/>
      <c r="Z50" s="723"/>
      <c r="AA50" s="723"/>
      <c r="AB50" s="723"/>
      <c r="AC50" s="723"/>
      <c r="AD50" s="723"/>
      <c r="AE50" s="723"/>
      <c r="AF50" s="723"/>
      <c r="AG50" s="723"/>
      <c r="AH50" s="723"/>
      <c r="AI50" s="723"/>
      <c r="AJ50" s="723"/>
      <c r="AK50" s="724"/>
    </row>
    <row r="51" spans="1:37" s="193" customFormat="1" ht="10.5" customHeight="1">
      <c r="A51" s="188"/>
      <c r="B51" s="201" t="s">
        <v>146</v>
      </c>
      <c r="C51" s="202"/>
      <c r="D51" s="202"/>
      <c r="E51" s="202"/>
      <c r="F51" s="202"/>
      <c r="G51" s="202"/>
      <c r="H51" s="202"/>
      <c r="I51" s="195"/>
      <c r="J51" s="201" t="s">
        <v>147</v>
      </c>
      <c r="K51" s="195"/>
      <c r="L51" s="195"/>
      <c r="P51" s="202"/>
      <c r="Q51" s="194" t="s">
        <v>152</v>
      </c>
      <c r="S51" s="202"/>
      <c r="T51" s="202"/>
      <c r="V51" s="201" t="s">
        <v>153</v>
      </c>
      <c r="W51" s="202"/>
      <c r="X51" s="202"/>
      <c r="Y51" s="202"/>
      <c r="AA51" s="201" t="s">
        <v>154</v>
      </c>
      <c r="AB51" s="202"/>
      <c r="AC51" s="203"/>
      <c r="AD51" s="194" t="s">
        <v>155</v>
      </c>
      <c r="AE51" s="195"/>
      <c r="AF51" s="195"/>
      <c r="AG51" s="203"/>
      <c r="AH51" s="202" t="s">
        <v>156</v>
      </c>
      <c r="AI51" s="202"/>
      <c r="AJ51" s="202"/>
      <c r="AK51" s="203"/>
    </row>
    <row r="52" spans="1:37" s="193" customFormat="1" ht="10.5" customHeight="1">
      <c r="A52" s="188"/>
      <c r="B52" s="539">
        <f>AA_052_DATOS_FIADORES_POBLACIÓN</f>
        <v>0</v>
      </c>
      <c r="C52" s="723"/>
      <c r="D52" s="723"/>
      <c r="E52" s="723"/>
      <c r="F52" s="723"/>
      <c r="G52" s="723"/>
      <c r="H52" s="723"/>
      <c r="I52" s="724"/>
      <c r="J52" s="539">
        <f>AA_053_DATOS_FIADORES_ESTADO</f>
        <v>0</v>
      </c>
      <c r="K52" s="723"/>
      <c r="L52" s="723"/>
      <c r="M52" s="723"/>
      <c r="N52" s="723"/>
      <c r="O52" s="723"/>
      <c r="P52" s="724"/>
      <c r="Q52" s="539">
        <f>AA_054_DATOS_FIADORES_NACIONALIDAD</f>
        <v>0</v>
      </c>
      <c r="R52" s="723"/>
      <c r="S52" s="723"/>
      <c r="T52" s="723"/>
      <c r="U52" s="724"/>
      <c r="V52" s="539">
        <f>AA_055_DATOS_FIADORES_ORIGINARIO</f>
        <v>0</v>
      </c>
      <c r="W52" s="723"/>
      <c r="X52" s="723"/>
      <c r="Y52" s="723"/>
      <c r="Z52" s="724"/>
      <c r="AA52" s="542">
        <f>AA_056_DATOS_FIADORES_EDAD</f>
        <v>0</v>
      </c>
      <c r="AB52" s="543"/>
      <c r="AC52" s="544"/>
      <c r="AD52" s="539">
        <f>AA_057_DATOS_FIADORES_ESTADO_CIVIL</f>
        <v>0</v>
      </c>
      <c r="AE52" s="723"/>
      <c r="AF52" s="723"/>
      <c r="AG52" s="724"/>
      <c r="AH52" s="539">
        <f>AA_058_DATOS_FIADORES_TELEFONO</f>
        <v>0</v>
      </c>
      <c r="AI52" s="540"/>
      <c r="AJ52" s="540"/>
      <c r="AK52" s="541"/>
    </row>
    <row r="53" spans="1:37" s="193" customFormat="1" ht="10.5" customHeight="1">
      <c r="A53" s="188"/>
      <c r="B53" s="201" t="s">
        <v>157</v>
      </c>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1" t="s">
        <v>151</v>
      </c>
      <c r="AH53" s="202"/>
      <c r="AI53" s="202"/>
      <c r="AJ53" s="202"/>
      <c r="AK53" s="203"/>
    </row>
    <row r="54" spans="1:37" s="193" customFormat="1" ht="10.5" customHeight="1">
      <c r="A54" s="188"/>
      <c r="B54" s="539">
        <f>AA_059_DATOS_FIADORES_NOMBRE_DEL_FIADOR_SOLIDARIO_TRES</f>
        <v>0</v>
      </c>
      <c r="C54" s="540"/>
      <c r="D54" s="540"/>
      <c r="E54" s="540"/>
      <c r="F54" s="540"/>
      <c r="G54" s="540"/>
      <c r="H54" s="540"/>
      <c r="I54" s="540"/>
      <c r="J54" s="540"/>
      <c r="K54" s="540"/>
      <c r="L54" s="540"/>
      <c r="M54" s="540"/>
      <c r="N54" s="540"/>
      <c r="O54" s="540"/>
      <c r="P54" s="540"/>
      <c r="Q54" s="540"/>
      <c r="R54" s="540"/>
      <c r="S54" s="540"/>
      <c r="T54" s="540"/>
      <c r="U54" s="540"/>
      <c r="V54" s="540"/>
      <c r="W54" s="540"/>
      <c r="X54" s="540"/>
      <c r="Y54" s="540"/>
      <c r="Z54" s="540"/>
      <c r="AA54" s="540"/>
      <c r="AB54" s="540"/>
      <c r="AC54" s="540"/>
      <c r="AD54" s="540"/>
      <c r="AE54" s="540"/>
      <c r="AF54" s="541"/>
      <c r="AG54" s="539">
        <f>AA_060_DATOS_FIADORES_RFC</f>
        <v>0</v>
      </c>
      <c r="AH54" s="723"/>
      <c r="AI54" s="723"/>
      <c r="AJ54" s="723"/>
      <c r="AK54" s="724"/>
    </row>
    <row r="55" spans="1:37" s="193" customFormat="1" ht="10.5" customHeight="1">
      <c r="A55" s="188"/>
      <c r="B55" s="201" t="s">
        <v>143</v>
      </c>
      <c r="C55" s="202"/>
      <c r="D55" s="202"/>
      <c r="E55" s="202" t="s">
        <v>144</v>
      </c>
      <c r="F55" s="202"/>
      <c r="G55" s="202"/>
      <c r="H55" s="202"/>
      <c r="I55" s="202"/>
      <c r="J55" s="202"/>
      <c r="K55" s="202"/>
      <c r="L55" s="202"/>
      <c r="M55" s="202"/>
      <c r="N55" s="202"/>
      <c r="O55" s="202"/>
      <c r="P55" s="202"/>
      <c r="Q55" s="202"/>
      <c r="R55" s="202"/>
      <c r="S55" s="202"/>
      <c r="T55" s="202"/>
      <c r="U55" s="201" t="s">
        <v>145</v>
      </c>
      <c r="V55" s="202"/>
      <c r="W55" s="202"/>
      <c r="X55" s="202"/>
      <c r="Y55" s="202"/>
      <c r="Z55" s="202"/>
      <c r="AA55" s="202"/>
      <c r="AB55" s="202"/>
      <c r="AC55" s="202"/>
      <c r="AD55" s="202"/>
      <c r="AE55" s="202"/>
      <c r="AF55" s="202"/>
      <c r="AG55" s="202"/>
      <c r="AH55" s="202"/>
      <c r="AI55" s="202"/>
      <c r="AJ55" s="202"/>
      <c r="AK55" s="203"/>
    </row>
    <row r="56" spans="1:37" s="193" customFormat="1" ht="10.5" customHeight="1">
      <c r="A56" s="188"/>
      <c r="B56" s="622">
        <f>AA_061_DATOS_FIADORES_DOMICILIO_CALLE_NÚMERO</f>
        <v>0</v>
      </c>
      <c r="C56" s="845"/>
      <c r="D56" s="845"/>
      <c r="E56" s="845"/>
      <c r="F56" s="845"/>
      <c r="G56" s="845"/>
      <c r="H56" s="845"/>
      <c r="I56" s="845"/>
      <c r="J56" s="845"/>
      <c r="K56" s="845"/>
      <c r="L56" s="845"/>
      <c r="M56" s="845"/>
      <c r="N56" s="845"/>
      <c r="O56" s="845"/>
      <c r="P56" s="845"/>
      <c r="Q56" s="845"/>
      <c r="R56" s="845"/>
      <c r="S56" s="845"/>
      <c r="T56" s="846"/>
      <c r="U56" s="622">
        <f>AA_062_DATOS_FIADORES_COLONIA</f>
        <v>0</v>
      </c>
      <c r="V56" s="845"/>
      <c r="W56" s="845"/>
      <c r="X56" s="845"/>
      <c r="Y56" s="845"/>
      <c r="Z56" s="845"/>
      <c r="AA56" s="845"/>
      <c r="AB56" s="845"/>
      <c r="AC56" s="845"/>
      <c r="AD56" s="845"/>
      <c r="AE56" s="845"/>
      <c r="AF56" s="845"/>
      <c r="AG56" s="845"/>
      <c r="AH56" s="845"/>
      <c r="AI56" s="845"/>
      <c r="AJ56" s="845"/>
      <c r="AK56" s="846"/>
    </row>
    <row r="57" spans="1:37" s="193" customFormat="1" ht="10.5" customHeight="1">
      <c r="A57" s="188"/>
      <c r="B57" s="206" t="s">
        <v>146</v>
      </c>
      <c r="C57" s="207"/>
      <c r="D57" s="207"/>
      <c r="E57" s="207"/>
      <c r="F57" s="207"/>
      <c r="G57" s="207"/>
      <c r="H57" s="207"/>
      <c r="I57" s="207"/>
      <c r="J57" s="208" t="s">
        <v>147</v>
      </c>
      <c r="K57" s="207"/>
      <c r="L57" s="207"/>
      <c r="M57" s="209"/>
      <c r="N57" s="209"/>
      <c r="O57" s="209"/>
      <c r="P57" s="207"/>
      <c r="Q57" s="208" t="s">
        <v>152</v>
      </c>
      <c r="R57" s="209"/>
      <c r="S57" s="207"/>
      <c r="T57" s="207"/>
      <c r="U57" s="209"/>
      <c r="V57" s="208" t="s">
        <v>153</v>
      </c>
      <c r="W57" s="207"/>
      <c r="X57" s="207"/>
      <c r="Y57" s="207"/>
      <c r="Z57" s="209"/>
      <c r="AA57" s="208" t="s">
        <v>154</v>
      </c>
      <c r="AB57" s="207"/>
      <c r="AC57" s="210"/>
      <c r="AD57" s="208" t="s">
        <v>155</v>
      </c>
      <c r="AE57" s="207"/>
      <c r="AF57" s="207"/>
      <c r="AG57" s="210"/>
      <c r="AH57" s="207" t="s">
        <v>156</v>
      </c>
      <c r="AI57" s="207"/>
      <c r="AJ57" s="207"/>
      <c r="AK57" s="211"/>
    </row>
    <row r="58" spans="1:37" s="193" customFormat="1" ht="10.5" customHeight="1">
      <c r="A58" s="188"/>
      <c r="B58" s="625">
        <f>AA_063_DATOS_FIADORES_POBLACIÓN</f>
        <v>0</v>
      </c>
      <c r="C58" s="845"/>
      <c r="D58" s="845"/>
      <c r="E58" s="845"/>
      <c r="F58" s="845"/>
      <c r="G58" s="845"/>
      <c r="H58" s="845"/>
      <c r="I58" s="846"/>
      <c r="J58" s="622">
        <f>AA_064_DATOS_FIADORES_ESTADO</f>
        <v>0</v>
      </c>
      <c r="K58" s="845"/>
      <c r="L58" s="845"/>
      <c r="M58" s="845"/>
      <c r="N58" s="845"/>
      <c r="O58" s="845"/>
      <c r="P58" s="846"/>
      <c r="Q58" s="622">
        <f>AA_065_DATOS_FIADORES_NACIONALIDAD</f>
        <v>0</v>
      </c>
      <c r="R58" s="845"/>
      <c r="S58" s="845"/>
      <c r="T58" s="845"/>
      <c r="U58" s="846"/>
      <c r="V58" s="622">
        <f>AA_066_DATOS_FIADORES_ORIGINARIO</f>
        <v>0</v>
      </c>
      <c r="W58" s="845"/>
      <c r="X58" s="845"/>
      <c r="Y58" s="845"/>
      <c r="Z58" s="846"/>
      <c r="AA58" s="626">
        <f>AA_067_DATOS_FIADORES_EDAD</f>
        <v>0</v>
      </c>
      <c r="AB58" s="627"/>
      <c r="AC58" s="628"/>
      <c r="AD58" s="626">
        <f>AA_068_DATOS_FIADORES_ESTADO_CIVIL</f>
        <v>0</v>
      </c>
      <c r="AE58" s="627"/>
      <c r="AF58" s="627"/>
      <c r="AG58" s="628"/>
      <c r="AH58" s="622">
        <f>AA_069_DATOS_FIADORES_TELEFONO</f>
        <v>0</v>
      </c>
      <c r="AI58" s="623"/>
      <c r="AJ58" s="623"/>
      <c r="AK58" s="629"/>
    </row>
    <row r="59" spans="1:37" s="199" customFormat="1" ht="2.25" customHeight="1">
      <c r="B59" s="182"/>
      <c r="C59" s="182"/>
      <c r="D59" s="182"/>
      <c r="E59" s="182"/>
      <c r="F59" s="182"/>
      <c r="G59" s="182"/>
      <c r="H59" s="182"/>
      <c r="I59" s="182"/>
      <c r="J59" s="182"/>
      <c r="K59" s="182"/>
      <c r="L59" s="182"/>
      <c r="M59" s="182"/>
      <c r="N59" s="182"/>
      <c r="O59" s="182"/>
      <c r="P59" s="182"/>
      <c r="Q59" s="182"/>
      <c r="R59" s="182"/>
      <c r="S59" s="182"/>
      <c r="T59" s="182"/>
      <c r="U59" s="182"/>
      <c r="V59" s="182"/>
      <c r="W59" s="182"/>
      <c r="X59" s="182"/>
      <c r="Y59" s="182"/>
      <c r="Z59" s="182"/>
      <c r="AA59" s="182"/>
      <c r="AB59" s="182"/>
      <c r="AC59" s="182"/>
      <c r="AD59" s="182"/>
      <c r="AE59" s="182"/>
      <c r="AF59" s="182"/>
      <c r="AG59" s="182"/>
      <c r="AH59" s="182"/>
      <c r="AI59" s="182"/>
      <c r="AJ59" s="182"/>
      <c r="AK59" s="182"/>
    </row>
    <row r="60" spans="1:37" s="199" customFormat="1" ht="9.6">
      <c r="B60" s="200" t="s">
        <v>161</v>
      </c>
      <c r="C60" s="182"/>
      <c r="D60" s="182"/>
      <c r="E60" s="182"/>
      <c r="F60" s="182"/>
      <c r="G60" s="182"/>
      <c r="H60" s="182"/>
      <c r="I60" s="182"/>
      <c r="J60" s="182"/>
      <c r="K60" s="182"/>
      <c r="L60" s="182"/>
      <c r="M60" s="182"/>
      <c r="N60" s="182"/>
      <c r="O60" s="182"/>
      <c r="P60" s="182"/>
      <c r="Q60" s="182"/>
      <c r="R60" s="182"/>
      <c r="S60" s="182"/>
      <c r="T60" s="182"/>
      <c r="U60" s="182"/>
      <c r="V60" s="182"/>
      <c r="W60" s="182"/>
      <c r="X60" s="182"/>
      <c r="Y60" s="182"/>
      <c r="Z60" s="182"/>
      <c r="AA60" s="182"/>
      <c r="AB60" s="182"/>
      <c r="AC60" s="182"/>
      <c r="AD60" s="182"/>
      <c r="AE60" s="182"/>
      <c r="AF60" s="182"/>
      <c r="AG60" s="182"/>
      <c r="AH60" s="182"/>
      <c r="AI60" s="182"/>
      <c r="AJ60" s="182"/>
      <c r="AK60" s="182"/>
    </row>
    <row r="61" spans="1:37" s="193" customFormat="1" ht="10.5" customHeight="1">
      <c r="A61" s="188"/>
      <c r="B61" s="201" t="str">
        <f>B31</f>
        <v>NOMBRE  (Nombre(s) Apellidos Paterno y Materno)</v>
      </c>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3"/>
    </row>
    <row r="62" spans="1:37" s="193" customFormat="1" ht="10.5" customHeight="1">
      <c r="A62" s="188"/>
      <c r="B62" s="539">
        <f>AA_070_DATOS_APODERADOS_FIADOR_NOMBRE_APODERADO_DEL_FIADOR_SOLIDARIO_UNO</f>
        <v>0</v>
      </c>
      <c r="C62" s="540"/>
      <c r="D62" s="540"/>
      <c r="E62" s="540"/>
      <c r="F62" s="540"/>
      <c r="G62" s="540"/>
      <c r="H62" s="540"/>
      <c r="I62" s="540"/>
      <c r="J62" s="540"/>
      <c r="K62" s="540"/>
      <c r="L62" s="540"/>
      <c r="M62" s="540"/>
      <c r="N62" s="540"/>
      <c r="O62" s="540"/>
      <c r="P62" s="540"/>
      <c r="Q62" s="540"/>
      <c r="R62" s="540"/>
      <c r="S62" s="540"/>
      <c r="T62" s="540"/>
      <c r="U62" s="540"/>
      <c r="V62" s="540"/>
      <c r="W62" s="540"/>
      <c r="X62" s="540"/>
      <c r="Y62" s="540"/>
      <c r="Z62" s="540"/>
      <c r="AA62" s="540"/>
      <c r="AB62" s="540"/>
      <c r="AC62" s="540"/>
      <c r="AD62" s="540"/>
      <c r="AE62" s="540"/>
      <c r="AF62" s="540"/>
      <c r="AG62" s="540"/>
      <c r="AH62" s="540"/>
      <c r="AI62" s="540"/>
      <c r="AJ62" s="540"/>
      <c r="AK62" s="541"/>
    </row>
    <row r="63" spans="1:37" s="193" customFormat="1" ht="10.5" customHeight="1">
      <c r="A63" s="188"/>
      <c r="B63" s="201" t="str">
        <f>B61</f>
        <v>NOMBRE  (Nombre(s) Apellidos Paterno y Materno)</v>
      </c>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3"/>
    </row>
    <row r="64" spans="1:37" s="193" customFormat="1" ht="10.5" customHeight="1">
      <c r="A64" s="188"/>
      <c r="B64" s="539">
        <f>AA_071_DATOS_APODERADOS_FIADOR_NOMBRE_APODERADO_DEL_FIADOR_SOLIDARIO_DOS</f>
        <v>0</v>
      </c>
      <c r="C64" s="723"/>
      <c r="D64" s="723"/>
      <c r="E64" s="723"/>
      <c r="F64" s="723"/>
      <c r="G64" s="723"/>
      <c r="H64" s="723"/>
      <c r="I64" s="723"/>
      <c r="J64" s="723"/>
      <c r="K64" s="723"/>
      <c r="L64" s="723"/>
      <c r="M64" s="723"/>
      <c r="N64" s="723"/>
      <c r="O64" s="723"/>
      <c r="P64" s="723"/>
      <c r="Q64" s="723"/>
      <c r="R64" s="723"/>
      <c r="S64" s="723"/>
      <c r="T64" s="723"/>
      <c r="U64" s="723"/>
      <c r="V64" s="723"/>
      <c r="W64" s="723"/>
      <c r="X64" s="723"/>
      <c r="Y64" s="723"/>
      <c r="Z64" s="723"/>
      <c r="AA64" s="723"/>
      <c r="AB64" s="723"/>
      <c r="AC64" s="723"/>
      <c r="AD64" s="723"/>
      <c r="AE64" s="723"/>
      <c r="AF64" s="723"/>
      <c r="AG64" s="723"/>
      <c r="AH64" s="723"/>
      <c r="AI64" s="723"/>
      <c r="AJ64" s="723"/>
      <c r="AK64" s="724"/>
    </row>
    <row r="65" spans="1:37" s="193" customFormat="1" ht="10.5" customHeight="1">
      <c r="A65" s="188"/>
      <c r="B65" s="201" t="str">
        <f>B63</f>
        <v>NOMBRE  (Nombre(s) Apellidos Paterno y Materno)</v>
      </c>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3"/>
    </row>
    <row r="66" spans="1:37" s="193" customFormat="1" ht="10.5" customHeight="1">
      <c r="A66" s="188"/>
      <c r="B66" s="539">
        <f>AA_072_DATOS_APODERADOS_FIADOR_NOMBRE_APODERADO_DEL_FIADOR_SOLIDARIO_TRES</f>
        <v>0</v>
      </c>
      <c r="C66" s="723"/>
      <c r="D66" s="723"/>
      <c r="E66" s="723"/>
      <c r="F66" s="723"/>
      <c r="G66" s="723"/>
      <c r="H66" s="723"/>
      <c r="I66" s="723"/>
      <c r="J66" s="723"/>
      <c r="K66" s="723"/>
      <c r="L66" s="723"/>
      <c r="M66" s="723"/>
      <c r="N66" s="723"/>
      <c r="O66" s="723"/>
      <c r="P66" s="723"/>
      <c r="Q66" s="723"/>
      <c r="R66" s="723"/>
      <c r="S66" s="723"/>
      <c r="T66" s="723"/>
      <c r="U66" s="723"/>
      <c r="V66" s="723"/>
      <c r="W66" s="723"/>
      <c r="X66" s="723"/>
      <c r="Y66" s="723"/>
      <c r="Z66" s="723"/>
      <c r="AA66" s="723"/>
      <c r="AB66" s="723"/>
      <c r="AC66" s="723"/>
      <c r="AD66" s="723"/>
      <c r="AE66" s="723"/>
      <c r="AF66" s="723"/>
      <c r="AG66" s="723"/>
      <c r="AH66" s="723"/>
      <c r="AI66" s="723"/>
      <c r="AJ66" s="723"/>
      <c r="AK66" s="724"/>
    </row>
    <row r="67" spans="1:37" s="199" customFormat="1" ht="2.25" customHeight="1">
      <c r="B67" s="182"/>
      <c r="C67" s="182"/>
      <c r="D67" s="182"/>
      <c r="E67" s="182"/>
      <c r="F67" s="182"/>
      <c r="G67" s="182"/>
      <c r="H67" s="182"/>
      <c r="I67" s="182"/>
      <c r="J67" s="182"/>
      <c r="K67" s="182"/>
      <c r="L67" s="182"/>
      <c r="M67" s="182"/>
      <c r="N67" s="182"/>
      <c r="O67" s="182"/>
      <c r="P67" s="182"/>
      <c r="Q67" s="182"/>
      <c r="R67" s="182"/>
      <c r="S67" s="182"/>
      <c r="T67" s="182"/>
      <c r="U67" s="182"/>
      <c r="V67" s="182"/>
      <c r="W67" s="182"/>
      <c r="X67" s="182"/>
      <c r="Y67" s="182"/>
      <c r="Z67" s="182"/>
      <c r="AA67" s="182"/>
      <c r="AB67" s="182"/>
      <c r="AC67" s="182"/>
      <c r="AD67" s="182"/>
      <c r="AE67" s="182"/>
      <c r="AF67" s="182"/>
      <c r="AG67" s="182"/>
      <c r="AH67" s="182"/>
      <c r="AI67" s="182"/>
      <c r="AJ67" s="182"/>
      <c r="AK67" s="182"/>
    </row>
    <row r="68" spans="1:37" s="199" customFormat="1" ht="9.6">
      <c r="B68" s="200" t="s">
        <v>162</v>
      </c>
      <c r="C68" s="182"/>
      <c r="D68" s="182"/>
      <c r="E68" s="182"/>
      <c r="F68" s="182"/>
      <c r="G68" s="182"/>
      <c r="H68" s="182"/>
      <c r="I68" s="182"/>
      <c r="J68" s="182"/>
      <c r="K68" s="182"/>
      <c r="L68" s="182"/>
      <c r="M68" s="182"/>
      <c r="N68" s="182"/>
      <c r="O68" s="182"/>
      <c r="P68" s="182"/>
      <c r="Q68" s="182"/>
      <c r="R68" s="182"/>
      <c r="S68" s="182"/>
      <c r="T68" s="182"/>
      <c r="U68" s="182"/>
      <c r="V68" s="182"/>
      <c r="W68" s="182"/>
      <c r="X68" s="182"/>
      <c r="Y68" s="182"/>
      <c r="Z68" s="182"/>
      <c r="AA68" s="182"/>
      <c r="AB68" s="182"/>
      <c r="AC68" s="182"/>
      <c r="AD68" s="182"/>
      <c r="AE68" s="182"/>
      <c r="AF68" s="182"/>
      <c r="AG68" s="182"/>
      <c r="AH68" s="182"/>
      <c r="AI68" s="182"/>
      <c r="AJ68" s="182"/>
      <c r="AK68" s="182"/>
    </row>
    <row r="69" spans="1:37" s="193" customFormat="1" ht="10.5" customHeight="1">
      <c r="B69" s="201" t="s">
        <v>163</v>
      </c>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202"/>
      <c r="AF69" s="202"/>
      <c r="AG69" s="202"/>
      <c r="AH69" s="202"/>
      <c r="AI69" s="202"/>
      <c r="AJ69" s="202"/>
      <c r="AK69" s="214"/>
    </row>
    <row r="70" spans="1:37" s="216" customFormat="1" ht="10.5" customHeight="1">
      <c r="B70" s="679">
        <f>AA_073_CARACTERISTICAS_CREDITO_IMPORTE_NÚMERO_LETRA</f>
        <v>1000000</v>
      </c>
      <c r="C70" s="680"/>
      <c r="D70" s="680"/>
      <c r="E70" s="680"/>
      <c r="F70" s="680"/>
      <c r="G70" s="680"/>
      <c r="H70" s="680"/>
      <c r="I70" s="680"/>
      <c r="J70" s="680"/>
      <c r="K70" s="680"/>
      <c r="L70" s="680"/>
      <c r="M70" s="681" t="str">
        <f>AA_106_CARACTERISTICAS_CREDITO_IMPORTE_NÚMERO_LETRA</f>
        <v>(UN MILLON DE PESOS 00/100 M.N.)</v>
      </c>
      <c r="N70" s="681"/>
      <c r="O70" s="681"/>
      <c r="P70" s="681"/>
      <c r="Q70" s="681"/>
      <c r="R70" s="681"/>
      <c r="S70" s="681"/>
      <c r="T70" s="681"/>
      <c r="U70" s="681"/>
      <c r="V70" s="681"/>
      <c r="W70" s="681"/>
      <c r="X70" s="681"/>
      <c r="Y70" s="681"/>
      <c r="Z70" s="681"/>
      <c r="AA70" s="681"/>
      <c r="AB70" s="681"/>
      <c r="AC70" s="681"/>
      <c r="AD70" s="681"/>
      <c r="AE70" s="681"/>
      <c r="AF70" s="681"/>
      <c r="AG70" s="681"/>
      <c r="AH70" s="681"/>
      <c r="AI70" s="681"/>
      <c r="AJ70" s="681"/>
      <c r="AK70" s="682"/>
    </row>
    <row r="71" spans="1:37" s="193" customFormat="1" ht="10.5" customHeight="1">
      <c r="B71" s="571" t="s">
        <v>164</v>
      </c>
      <c r="C71" s="572"/>
      <c r="D71" s="572"/>
      <c r="E71" s="572"/>
      <c r="F71" s="676"/>
      <c r="G71" s="571" t="s">
        <v>165</v>
      </c>
      <c r="H71" s="572"/>
      <c r="I71" s="572"/>
      <c r="J71" s="572"/>
      <c r="K71" s="572"/>
      <c r="L71" s="676"/>
      <c r="M71" s="571" t="s">
        <v>166</v>
      </c>
      <c r="N71" s="572"/>
      <c r="O71" s="572"/>
      <c r="P71" s="572"/>
      <c r="Q71" s="572"/>
      <c r="R71" s="572"/>
      <c r="S71" s="676"/>
      <c r="T71" s="571" t="s">
        <v>167</v>
      </c>
      <c r="U71" s="572"/>
      <c r="V71" s="572"/>
      <c r="W71" s="572"/>
      <c r="X71" s="572"/>
      <c r="Y71" s="676"/>
      <c r="Z71" s="571" t="s">
        <v>289</v>
      </c>
      <c r="AA71" s="572"/>
      <c r="AB71" s="572"/>
      <c r="AC71" s="572"/>
      <c r="AD71" s="572"/>
      <c r="AE71" s="572"/>
      <c r="AF71" s="572"/>
      <c r="AG71" s="676"/>
      <c r="AH71" s="764" t="s">
        <v>168</v>
      </c>
      <c r="AI71" s="765"/>
      <c r="AJ71" s="765"/>
      <c r="AK71" s="766"/>
    </row>
    <row r="72" spans="1:37" s="193" customFormat="1" ht="10.5" customHeight="1">
      <c r="B72" s="268"/>
      <c r="C72" s="195"/>
      <c r="D72" s="195"/>
      <c r="E72" s="195"/>
      <c r="F72" s="267"/>
      <c r="G72" s="808" t="s">
        <v>169</v>
      </c>
      <c r="H72" s="664"/>
      <c r="I72" s="664"/>
      <c r="J72" s="664"/>
      <c r="K72" s="664"/>
      <c r="L72" s="809"/>
      <c r="M72" s="276"/>
      <c r="N72" s="188"/>
      <c r="O72" s="269"/>
      <c r="P72" s="269"/>
      <c r="Q72" s="195"/>
      <c r="R72" s="195"/>
      <c r="S72" s="254"/>
      <c r="T72" s="777">
        <f>IF(AA_077_CARACTERISTICAS_CREDITO_COMISIÓN_POR_APERTURA=0,"0",AA_077_CARACTERISTICAS_CREDITO_COMISIÓN_POR_APERTURA)</f>
        <v>0.02</v>
      </c>
      <c r="U72" s="656"/>
      <c r="V72" s="656"/>
      <c r="W72" s="656"/>
      <c r="X72" s="656"/>
      <c r="Y72" s="657"/>
      <c r="Z72" s="265"/>
      <c r="AA72" s="277"/>
      <c r="AB72" s="277"/>
      <c r="AC72" s="277"/>
      <c r="AD72" s="277"/>
      <c r="AE72" s="277"/>
      <c r="AF72" s="277"/>
      <c r="AG72" s="266"/>
      <c r="AH72" s="783">
        <f>AA_078_CARACTERISTICAS_CREDITO_CAT_SIN_IVA</f>
        <v>0.17247098775006298</v>
      </c>
      <c r="AI72" s="644"/>
      <c r="AJ72" s="481"/>
      <c r="AK72" s="483"/>
    </row>
    <row r="73" spans="1:37" s="193" customFormat="1" ht="10.5" customHeight="1">
      <c r="B73" s="847">
        <f>AA_074_CARACTERISTICAS_CREDITO_PLAZO_DEL_CRÉDITO_MESES</f>
        <v>60</v>
      </c>
      <c r="C73" s="848"/>
      <c r="D73" s="848"/>
      <c r="E73" s="195" t="s">
        <v>170</v>
      </c>
      <c r="F73" s="254"/>
      <c r="G73" s="849">
        <f>AA_075_CARACTERISTICAS_CREDITO_FECHA_DE_VENCIMIENTO</f>
        <v>42614</v>
      </c>
      <c r="H73" s="791"/>
      <c r="I73" s="791"/>
      <c r="J73" s="791"/>
      <c r="K73" s="791"/>
      <c r="L73" s="792"/>
      <c r="M73" s="850" t="str">
        <f>AA_076_CARACTERISTICAS_CREDITO_CUENTA_DE_CHEQUES</f>
        <v>161-25351-5</v>
      </c>
      <c r="N73" s="574"/>
      <c r="O73" s="574"/>
      <c r="P73" s="574"/>
      <c r="Q73" s="574"/>
      <c r="R73" s="574"/>
      <c r="S73" s="851"/>
      <c r="T73" s="779"/>
      <c r="U73" s="659"/>
      <c r="V73" s="659"/>
      <c r="W73" s="659"/>
      <c r="X73" s="659"/>
      <c r="Y73" s="660"/>
      <c r="Z73" s="715" t="str">
        <f>IF(Combos!$C$22=1,"",IF(AA_080_CARACTERISTICAS_CREDITO_DIFERENCIAL_TASA_VARIABLE_TIIE=0,"0",AA_080_CARACTERISTICAS_CREDITO_DIFERENCIAL_TASA_VARIABLE_TIIE))</f>
        <v/>
      </c>
      <c r="AA73" s="716"/>
      <c r="AB73" s="220" t="s">
        <v>354</v>
      </c>
      <c r="AC73" s="278"/>
      <c r="AD73" s="278"/>
      <c r="AE73" s="278"/>
      <c r="AF73" s="278"/>
      <c r="AG73" s="279"/>
      <c r="AH73" s="784"/>
      <c r="AI73" s="646"/>
      <c r="AJ73" s="546" t="s">
        <v>96</v>
      </c>
      <c r="AK73" s="547"/>
    </row>
    <row r="74" spans="1:37" s="193" customFormat="1" ht="10.5" customHeight="1">
      <c r="B74" s="810" t="s">
        <v>355</v>
      </c>
      <c r="C74" s="811"/>
      <c r="D74" s="811"/>
      <c r="E74" s="811"/>
      <c r="F74" s="812"/>
      <c r="G74" s="810" t="s">
        <v>291</v>
      </c>
      <c r="H74" s="811"/>
      <c r="I74" s="811"/>
      <c r="J74" s="811"/>
      <c r="K74" s="811"/>
      <c r="L74" s="812"/>
      <c r="M74" s="280"/>
      <c r="N74" s="275"/>
      <c r="O74" s="275"/>
      <c r="P74" s="275"/>
      <c r="Q74" s="275"/>
      <c r="R74" s="275"/>
      <c r="S74" s="832" t="str">
        <f>AA_083_CARACTERISTICAS_CREDITO_DESTINO_DEL_CRÉDITO</f>
        <v>Capital de Trabajo</v>
      </c>
      <c r="T74" s="832"/>
      <c r="U74" s="832"/>
      <c r="V74" s="832"/>
      <c r="W74" s="832"/>
      <c r="X74" s="833"/>
      <c r="Y74" s="678" t="s">
        <v>174</v>
      </c>
      <c r="Z74" s="572"/>
      <c r="AA74" s="572"/>
      <c r="AB74" s="572"/>
      <c r="AC74" s="572"/>
      <c r="AD74" s="572"/>
      <c r="AE74" s="572"/>
      <c r="AF74" s="572"/>
      <c r="AG74" s="572"/>
      <c r="AH74" s="572"/>
      <c r="AI74" s="572"/>
      <c r="AJ74" s="572"/>
      <c r="AK74" s="677"/>
    </row>
    <row r="75" spans="1:37" s="193" customFormat="1" ht="10.5" customHeight="1">
      <c r="B75" s="838" t="s">
        <v>356</v>
      </c>
      <c r="C75" s="664"/>
      <c r="D75" s="664"/>
      <c r="E75" s="664"/>
      <c r="F75" s="839"/>
      <c r="G75" s="838" t="s">
        <v>295</v>
      </c>
      <c r="H75" s="664"/>
      <c r="I75" s="664"/>
      <c r="J75" s="664"/>
      <c r="K75" s="664"/>
      <c r="L75" s="839"/>
      <c r="M75" s="838" t="s">
        <v>176</v>
      </c>
      <c r="N75" s="664"/>
      <c r="O75" s="664"/>
      <c r="P75" s="664"/>
      <c r="Q75" s="664"/>
      <c r="R75" s="664"/>
      <c r="S75" s="834"/>
      <c r="T75" s="834"/>
      <c r="U75" s="834"/>
      <c r="V75" s="834"/>
      <c r="W75" s="834"/>
      <c r="X75" s="835"/>
      <c r="Y75" s="480"/>
      <c r="Z75" s="481"/>
      <c r="AA75" s="481"/>
      <c r="AB75" s="481"/>
      <c r="AC75" s="481"/>
      <c r="AD75" s="481"/>
      <c r="AE75" s="481"/>
      <c r="AF75" s="481"/>
      <c r="AG75" s="481"/>
      <c r="AH75" s="481"/>
      <c r="AI75" s="481"/>
      <c r="AJ75" s="481"/>
      <c r="AK75" s="482"/>
    </row>
    <row r="76" spans="1:37" s="193" customFormat="1" ht="10.5" customHeight="1">
      <c r="B76" s="826" t="str">
        <f>IF(AA_081_CARACTERISTICAS_CREDITO_MESES_DE_GRACIA_DE_CAPITAL=0,"0",AA_081_CARACTERISTICAS_CREDITO_MESES_DE_GRACIA_DE_CAPITAL)</f>
        <v>0</v>
      </c>
      <c r="C76" s="827"/>
      <c r="D76" s="827"/>
      <c r="E76" s="827"/>
      <c r="F76" s="828"/>
      <c r="G76" s="829">
        <f>IF(AA_084_CARACTERISTICAS_CREDITO_PORCENTAJE_DE_COMISIÓN_POR_PAGOS_ANTICIPADOS=0,"0.00%",AA_084_CARACTERISTICAS_CREDITO_PORCENTAJE_DE_COMISIÓN_POR_PAGOS_ANTICIPADOS)</f>
        <v>0.1</v>
      </c>
      <c r="H76" s="830"/>
      <c r="I76" s="830"/>
      <c r="J76" s="830"/>
      <c r="K76" s="830"/>
      <c r="L76" s="831"/>
      <c r="M76" s="213"/>
      <c r="N76" s="213"/>
      <c r="O76" s="212"/>
      <c r="P76" s="212"/>
      <c r="Q76" s="223"/>
      <c r="R76" s="223"/>
      <c r="S76" s="836"/>
      <c r="T76" s="836"/>
      <c r="U76" s="836"/>
      <c r="V76" s="836"/>
      <c r="W76" s="836"/>
      <c r="X76" s="837"/>
      <c r="Y76" s="661">
        <f>AA_082_CARACTERISTICAS_CREDITO_DÍA_DE_PAGO_DE_CAPITAL_E_INTERESES_ORDINARIOS</f>
        <v>3</v>
      </c>
      <c r="Z76" s="631"/>
      <c r="AA76" s="631"/>
      <c r="AB76" s="631"/>
      <c r="AC76" s="631"/>
      <c r="AD76" s="631"/>
      <c r="AE76" s="631"/>
      <c r="AF76" s="631"/>
      <c r="AG76" s="623" t="s">
        <v>175</v>
      </c>
      <c r="AH76" s="623"/>
      <c r="AI76" s="623"/>
      <c r="AJ76" s="623"/>
      <c r="AK76" s="629"/>
    </row>
    <row r="77" spans="1:37" s="199" customFormat="1" ht="11.25" customHeight="1">
      <c r="B77" s="182"/>
      <c r="C77" s="182"/>
      <c r="D77" s="182"/>
      <c r="E77" s="182"/>
      <c r="F77" s="182"/>
      <c r="G77" s="182"/>
      <c r="H77" s="182"/>
      <c r="I77" s="182"/>
      <c r="J77" s="182"/>
      <c r="K77" s="182"/>
      <c r="L77" s="182"/>
      <c r="M77" s="182"/>
      <c r="N77" s="182"/>
      <c r="O77" s="182"/>
      <c r="P77" s="182"/>
      <c r="Q77" s="182"/>
      <c r="R77" s="182"/>
      <c r="S77" s="182"/>
      <c r="T77" s="182"/>
      <c r="U77" s="182"/>
      <c r="V77" s="182"/>
      <c r="W77" s="182"/>
      <c r="X77" s="182"/>
      <c r="Y77" s="182"/>
      <c r="Z77" s="182"/>
      <c r="AA77" s="182"/>
      <c r="AB77" s="182"/>
      <c r="AI77" s="182"/>
      <c r="AJ77" s="182"/>
      <c r="AK77" s="182"/>
    </row>
    <row r="78" spans="1:37" s="199" customFormat="1" ht="9.6">
      <c r="B78" s="200" t="s">
        <v>177</v>
      </c>
      <c r="C78" s="182"/>
      <c r="D78" s="182"/>
      <c r="E78" s="182"/>
      <c r="F78" s="182"/>
      <c r="G78" s="182"/>
      <c r="H78" s="182"/>
      <c r="I78" s="182"/>
      <c r="J78" s="182"/>
      <c r="K78" s="182"/>
      <c r="L78" s="182"/>
      <c r="M78" s="182"/>
      <c r="N78" s="182"/>
      <c r="O78" s="182"/>
      <c r="P78" s="182"/>
      <c r="Q78" s="182"/>
      <c r="R78" s="182"/>
      <c r="S78" s="182"/>
      <c r="T78" s="182"/>
      <c r="U78" s="182"/>
      <c r="V78" s="182"/>
      <c r="W78" s="182"/>
      <c r="X78" s="182"/>
      <c r="Y78" s="182"/>
      <c r="Z78" s="182"/>
      <c r="AA78" s="182"/>
      <c r="AB78" s="182"/>
      <c r="AC78" s="182"/>
      <c r="AD78" s="182"/>
      <c r="AE78" s="182"/>
      <c r="AF78" s="182"/>
      <c r="AG78" s="182"/>
      <c r="AH78" s="182"/>
      <c r="AI78" s="182"/>
      <c r="AJ78" s="182"/>
      <c r="AK78" s="182"/>
    </row>
    <row r="79" spans="1:37" s="199" customFormat="1" ht="15.75" customHeight="1">
      <c r="B79" s="674" t="s">
        <v>178</v>
      </c>
      <c r="C79" s="675"/>
      <c r="D79" s="675"/>
      <c r="E79" s="675"/>
      <c r="F79" s="675"/>
      <c r="G79" s="675"/>
      <c r="H79" s="675"/>
      <c r="I79" s="675"/>
      <c r="J79" s="675"/>
      <c r="K79" s="675"/>
      <c r="L79" s="675"/>
      <c r="M79" s="675"/>
      <c r="N79" s="675"/>
      <c r="O79" s="675"/>
      <c r="P79" s="675"/>
      <c r="Q79" s="675"/>
      <c r="R79" s="675"/>
      <c r="S79" s="675"/>
      <c r="T79" s="675"/>
      <c r="U79" s="675"/>
      <c r="V79" s="675"/>
      <c r="W79" s="675"/>
      <c r="X79" s="675"/>
      <c r="Y79" s="675"/>
      <c r="Z79" s="675"/>
      <c r="AA79" s="675"/>
      <c r="AB79" s="675"/>
      <c r="AC79" s="675"/>
      <c r="AD79" s="675"/>
      <c r="AE79" s="675"/>
      <c r="AF79" s="675"/>
      <c r="AG79" s="675"/>
      <c r="AH79" s="675"/>
      <c r="AI79" s="675"/>
      <c r="AJ79" s="675"/>
      <c r="AK79" s="675"/>
    </row>
    <row r="80" spans="1:37" s="199" customFormat="1" ht="9.6">
      <c r="B80" s="675"/>
      <c r="C80" s="675"/>
      <c r="D80" s="675"/>
      <c r="E80" s="675"/>
      <c r="F80" s="675"/>
      <c r="G80" s="675"/>
      <c r="H80" s="675"/>
      <c r="I80" s="675"/>
      <c r="J80" s="675"/>
      <c r="K80" s="675"/>
      <c r="L80" s="675"/>
      <c r="M80" s="675"/>
      <c r="N80" s="675"/>
      <c r="O80" s="675"/>
      <c r="P80" s="675"/>
      <c r="Q80" s="675"/>
      <c r="R80" s="675"/>
      <c r="S80" s="675"/>
      <c r="T80" s="675"/>
      <c r="U80" s="675"/>
      <c r="V80" s="675"/>
      <c r="W80" s="675"/>
      <c r="X80" s="675"/>
      <c r="Y80" s="675"/>
      <c r="Z80" s="675"/>
      <c r="AA80" s="675"/>
      <c r="AB80" s="675"/>
      <c r="AC80" s="675"/>
      <c r="AD80" s="675"/>
      <c r="AE80" s="675"/>
      <c r="AF80" s="675"/>
      <c r="AG80" s="675"/>
      <c r="AH80" s="675"/>
      <c r="AI80" s="675"/>
      <c r="AJ80" s="675"/>
      <c r="AK80" s="675"/>
    </row>
    <row r="81" spans="2:37" s="193" customFormat="1" ht="10.5" customHeight="1">
      <c r="B81" s="649" t="s">
        <v>179</v>
      </c>
      <c r="C81" s="650"/>
      <c r="D81" s="650"/>
      <c r="E81" s="650"/>
      <c r="F81" s="650"/>
      <c r="G81" s="650"/>
      <c r="H81" s="650"/>
      <c r="I81" s="650"/>
      <c r="J81" s="650"/>
      <c r="K81" s="650"/>
      <c r="L81" s="650"/>
      <c r="M81" s="650"/>
      <c r="N81" s="650"/>
      <c r="O81" s="662"/>
      <c r="P81" s="570" t="s">
        <v>180</v>
      </c>
      <c r="Q81" s="563"/>
      <c r="R81" s="563"/>
      <c r="S81" s="563"/>
      <c r="T81" s="564"/>
      <c r="U81" s="570" t="s">
        <v>180</v>
      </c>
      <c r="V81" s="563"/>
      <c r="W81" s="563"/>
      <c r="X81" s="563"/>
      <c r="Y81" s="564"/>
      <c r="Z81" s="570" t="s">
        <v>181</v>
      </c>
      <c r="AA81" s="563"/>
      <c r="AB81" s="563"/>
      <c r="AC81" s="564"/>
      <c r="AD81" s="563" t="s">
        <v>181</v>
      </c>
      <c r="AE81" s="563"/>
      <c r="AF81" s="563"/>
      <c r="AG81" s="564"/>
      <c r="AH81" s="563" t="s">
        <v>181</v>
      </c>
      <c r="AI81" s="563"/>
      <c r="AJ81" s="563"/>
      <c r="AK81" s="564"/>
    </row>
    <row r="82" spans="2:37" s="193" customFormat="1" ht="12.75" customHeight="1">
      <c r="B82" s="819">
        <f>AA_089_DATOS_APODERADOS_BANCO_NOMBRE_APODERADO_DEL_BANCO_UNO</f>
        <v>0</v>
      </c>
      <c r="C82" s="820"/>
      <c r="D82" s="820"/>
      <c r="E82" s="820"/>
      <c r="F82" s="820"/>
      <c r="G82" s="820"/>
      <c r="H82" s="820"/>
      <c r="I82" s="820"/>
      <c r="J82" s="820"/>
      <c r="K82" s="820"/>
      <c r="L82" s="820"/>
      <c r="M82" s="820"/>
      <c r="N82" s="820"/>
      <c r="O82" s="821"/>
      <c r="P82" s="225"/>
      <c r="Q82" s="209"/>
      <c r="R82" s="209"/>
      <c r="S82" s="209"/>
      <c r="T82" s="222"/>
      <c r="U82" s="225"/>
      <c r="V82" s="209"/>
      <c r="W82" s="209"/>
      <c r="X82" s="209"/>
      <c r="Y82" s="222"/>
      <c r="Z82" s="226"/>
      <c r="AA82" s="188"/>
      <c r="AB82" s="188"/>
      <c r="AC82" s="218"/>
      <c r="AD82" s="188"/>
      <c r="AE82" s="188"/>
      <c r="AF82" s="188"/>
      <c r="AG82" s="218"/>
      <c r="AH82" s="188"/>
      <c r="AI82" s="188"/>
      <c r="AJ82" s="188"/>
      <c r="AK82" s="218"/>
    </row>
    <row r="83" spans="2:37" s="193" customFormat="1" ht="12.75" customHeight="1">
      <c r="B83" s="822"/>
      <c r="C83" s="710"/>
      <c r="D83" s="710"/>
      <c r="E83" s="710"/>
      <c r="F83" s="710"/>
      <c r="G83" s="710"/>
      <c r="H83" s="710"/>
      <c r="I83" s="710"/>
      <c r="J83" s="710"/>
      <c r="K83" s="710"/>
      <c r="L83" s="710"/>
      <c r="M83" s="710"/>
      <c r="N83" s="710"/>
      <c r="O83" s="823"/>
      <c r="P83" s="226"/>
      <c r="Q83" s="188"/>
      <c r="R83" s="188"/>
      <c r="S83" s="188"/>
      <c r="T83" s="218"/>
      <c r="U83" s="226"/>
      <c r="V83" s="188"/>
      <c r="W83" s="188"/>
      <c r="X83" s="188"/>
      <c r="Y83" s="218"/>
      <c r="Z83" s="226"/>
      <c r="AA83" s="188"/>
      <c r="AB83" s="188"/>
      <c r="AC83" s="218"/>
      <c r="AD83" s="188"/>
      <c r="AE83" s="188"/>
      <c r="AF83" s="188"/>
      <c r="AG83" s="218"/>
      <c r="AH83" s="188"/>
      <c r="AI83" s="188"/>
      <c r="AJ83" s="188"/>
      <c r="AK83" s="218"/>
    </row>
    <row r="84" spans="2:37" s="193" customFormat="1" ht="12.75" customHeight="1">
      <c r="B84" s="824">
        <f>AA_090_DATOS_APODERADOS_BANCO_NOMBRE_APODERADO_DEL_BANCO_DOS</f>
        <v>0</v>
      </c>
      <c r="C84" s="707"/>
      <c r="D84" s="707"/>
      <c r="E84" s="707"/>
      <c r="F84" s="707"/>
      <c r="G84" s="707"/>
      <c r="H84" s="707"/>
      <c r="I84" s="707"/>
      <c r="J84" s="707"/>
      <c r="K84" s="707"/>
      <c r="L84" s="707"/>
      <c r="M84" s="707"/>
      <c r="N84" s="707"/>
      <c r="O84" s="825"/>
      <c r="P84" s="226"/>
      <c r="Q84" s="188"/>
      <c r="R84" s="188"/>
      <c r="S84" s="188"/>
      <c r="T84" s="218"/>
      <c r="U84" s="226"/>
      <c r="V84" s="188"/>
      <c r="W84" s="188"/>
      <c r="X84" s="188"/>
      <c r="Y84" s="218"/>
      <c r="Z84" s="226"/>
      <c r="AA84" s="188"/>
      <c r="AB84" s="188"/>
      <c r="AC84" s="218"/>
      <c r="AD84" s="188"/>
      <c r="AE84" s="188"/>
      <c r="AF84" s="188"/>
      <c r="AG84" s="218"/>
      <c r="AH84" s="188"/>
      <c r="AI84" s="188"/>
      <c r="AJ84" s="188"/>
      <c r="AK84" s="218"/>
    </row>
    <row r="85" spans="2:37" s="193" customFormat="1" ht="12.75" customHeight="1">
      <c r="B85" s="578"/>
      <c r="C85" s="579"/>
      <c r="D85" s="579"/>
      <c r="E85" s="579"/>
      <c r="F85" s="579"/>
      <c r="G85" s="579"/>
      <c r="H85" s="579"/>
      <c r="I85" s="579"/>
      <c r="J85" s="579"/>
      <c r="K85" s="579"/>
      <c r="L85" s="579"/>
      <c r="M85" s="579"/>
      <c r="N85" s="579"/>
      <c r="O85" s="580"/>
      <c r="P85" s="227"/>
      <c r="Q85" s="213"/>
      <c r="R85" s="213"/>
      <c r="S85" s="213"/>
      <c r="T85" s="224"/>
      <c r="U85" s="227"/>
      <c r="V85" s="213"/>
      <c r="W85" s="213"/>
      <c r="X85" s="213"/>
      <c r="Y85" s="224"/>
      <c r="Z85" s="227"/>
      <c r="AA85" s="213"/>
      <c r="AB85" s="213"/>
      <c r="AC85" s="224"/>
      <c r="AD85" s="213"/>
      <c r="AE85" s="213"/>
      <c r="AF85" s="213"/>
      <c r="AG85" s="224"/>
      <c r="AH85" s="213"/>
      <c r="AI85" s="213"/>
      <c r="AJ85" s="213"/>
      <c r="AK85" s="224"/>
    </row>
    <row r="86" spans="2:37" s="187" customFormat="1" ht="7.8">
      <c r="B86" s="256"/>
      <c r="C86" s="256"/>
      <c r="D86" s="256"/>
      <c r="E86" s="256"/>
      <c r="F86" s="256"/>
      <c r="G86" s="256"/>
      <c r="H86" s="256"/>
      <c r="I86" s="256"/>
      <c r="J86" s="256"/>
      <c r="K86" s="256"/>
      <c r="L86" s="256"/>
      <c r="M86" s="256"/>
      <c r="N86" s="256"/>
      <c r="O86" s="256"/>
      <c r="P86" s="256"/>
      <c r="Q86" s="256"/>
      <c r="R86" s="256"/>
      <c r="S86" s="256"/>
      <c r="T86" s="256"/>
      <c r="U86" s="256"/>
      <c r="V86" s="256"/>
      <c r="W86" s="256"/>
      <c r="X86" s="256"/>
      <c r="Y86" s="256"/>
      <c r="Z86" s="256"/>
      <c r="AA86" s="256"/>
      <c r="AB86" s="256"/>
      <c r="AC86" s="256"/>
      <c r="AD86" s="256"/>
      <c r="AE86" s="256"/>
      <c r="AF86" s="256"/>
      <c r="AG86" s="256"/>
      <c r="AH86" s="256"/>
      <c r="AI86" s="256"/>
      <c r="AJ86" s="256"/>
      <c r="AK86" s="256"/>
    </row>
    <row r="87" spans="2:37" s="187" customFormat="1" ht="7.8">
      <c r="B87" s="228"/>
      <c r="C87" s="228"/>
      <c r="D87" s="228"/>
      <c r="E87" s="228"/>
      <c r="F87" s="228"/>
      <c r="G87" s="228"/>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228"/>
    </row>
    <row r="88" spans="2:37" s="187" customFormat="1" ht="2.25" customHeight="1">
      <c r="B88" s="228"/>
      <c r="C88" s="228"/>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28"/>
      <c r="AC88" s="228"/>
      <c r="AD88" s="228"/>
      <c r="AE88" s="228"/>
      <c r="AF88" s="228"/>
      <c r="AG88" s="228"/>
      <c r="AH88" s="228"/>
      <c r="AI88" s="228"/>
      <c r="AJ88" s="228"/>
      <c r="AK88" s="228"/>
    </row>
    <row r="89" spans="2:37" s="187" customFormat="1" ht="10.199999999999999">
      <c r="B89" s="229" t="s">
        <v>182</v>
      </c>
      <c r="C89" s="228"/>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28"/>
      <c r="AC89" s="228"/>
      <c r="AD89" s="228"/>
      <c r="AE89" s="228"/>
      <c r="AF89" s="228"/>
      <c r="AG89" s="228" t="s">
        <v>183</v>
      </c>
      <c r="AI89" s="228"/>
      <c r="AJ89" s="228"/>
      <c r="AK89" s="228"/>
    </row>
    <row r="90" spans="2:37" s="187" customFormat="1" ht="2.25" customHeight="1"/>
    <row r="91" spans="2:37" s="187" customFormat="1" ht="7.8"/>
    <row r="92" spans="2:37" s="187" customFormat="1" ht="54.75" customHeight="1">
      <c r="B92" s="566" t="s">
        <v>184</v>
      </c>
      <c r="C92" s="566"/>
      <c r="D92" s="566"/>
      <c r="E92" s="566"/>
      <c r="F92" s="566"/>
      <c r="G92" s="566"/>
      <c r="H92" s="566"/>
      <c r="I92" s="566"/>
      <c r="J92" s="566"/>
      <c r="K92" s="566"/>
      <c r="L92" s="566"/>
      <c r="M92" s="566"/>
      <c r="N92" s="566"/>
      <c r="O92" s="566"/>
      <c r="P92" s="566"/>
      <c r="Q92" s="566"/>
      <c r="R92" s="566"/>
      <c r="S92" s="566"/>
      <c r="T92" s="566"/>
      <c r="U92" s="566"/>
      <c r="V92" s="566"/>
      <c r="W92" s="566"/>
      <c r="X92" s="566"/>
      <c r="Y92" s="566"/>
      <c r="Z92" s="566"/>
      <c r="AA92" s="566"/>
      <c r="AB92" s="566"/>
      <c r="AC92" s="566"/>
      <c r="AD92" s="566"/>
      <c r="AE92" s="566"/>
      <c r="AF92" s="566"/>
      <c r="AG92" s="566"/>
      <c r="AH92" s="566"/>
      <c r="AI92" s="566"/>
      <c r="AJ92" s="566"/>
      <c r="AK92" s="566"/>
    </row>
    <row r="93" spans="2:37" s="187" customFormat="1" ht="11.25" customHeight="1">
      <c r="B93" s="231"/>
      <c r="C93" s="232"/>
      <c r="D93" s="232"/>
      <c r="E93" s="232"/>
      <c r="F93" s="232"/>
      <c r="G93" s="232"/>
      <c r="H93" s="232"/>
      <c r="I93" s="232"/>
      <c r="J93" s="232"/>
      <c r="K93" s="232"/>
      <c r="L93" s="232"/>
      <c r="M93" s="232"/>
      <c r="N93" s="232"/>
      <c r="O93" s="232"/>
      <c r="P93" s="232"/>
      <c r="Q93" s="232"/>
      <c r="R93" s="232"/>
      <c r="S93" s="232"/>
      <c r="T93" s="232"/>
      <c r="U93" s="232"/>
      <c r="V93" s="232"/>
      <c r="W93" s="232"/>
      <c r="X93" s="232"/>
      <c r="Y93" s="232"/>
      <c r="Z93" s="232"/>
      <c r="AA93" s="232"/>
      <c r="AB93" s="232"/>
      <c r="AC93" s="232"/>
      <c r="AD93" s="232"/>
      <c r="AE93" s="232"/>
      <c r="AF93" s="232"/>
      <c r="AG93" s="232"/>
      <c r="AH93" s="232"/>
      <c r="AI93" s="232"/>
      <c r="AJ93" s="232"/>
      <c r="AK93" s="232"/>
    </row>
    <row r="94" spans="2:37" s="187" customFormat="1" ht="10.199999999999999">
      <c r="B94" s="565" t="s">
        <v>185</v>
      </c>
      <c r="C94" s="565"/>
      <c r="D94" s="565"/>
      <c r="E94" s="565"/>
      <c r="F94" s="565"/>
      <c r="G94" s="565"/>
      <c r="H94" s="565"/>
      <c r="I94" s="565"/>
      <c r="J94" s="565"/>
      <c r="K94" s="565"/>
      <c r="L94" s="565"/>
      <c r="M94" s="565"/>
      <c r="N94" s="565"/>
      <c r="O94" s="565"/>
      <c r="P94" s="565"/>
      <c r="Q94" s="565"/>
      <c r="R94" s="565"/>
      <c r="S94" s="565"/>
      <c r="T94" s="565"/>
      <c r="U94" s="565"/>
      <c r="V94" s="565"/>
      <c r="W94" s="565"/>
      <c r="X94" s="565"/>
      <c r="Y94" s="565"/>
      <c r="Z94" s="565"/>
      <c r="AA94" s="565"/>
      <c r="AB94" s="565"/>
      <c r="AC94" s="565"/>
      <c r="AD94" s="565"/>
      <c r="AE94" s="565"/>
      <c r="AF94" s="565"/>
      <c r="AG94" s="565"/>
      <c r="AH94" s="565"/>
      <c r="AI94" s="565"/>
      <c r="AJ94" s="565"/>
      <c r="AK94" s="565"/>
    </row>
    <row r="95" spans="2:37" s="187" customFormat="1" ht="11.25" customHeight="1">
      <c r="B95" s="231"/>
      <c r="C95" s="232"/>
      <c r="D95" s="232"/>
      <c r="E95" s="232"/>
      <c r="F95" s="232"/>
      <c r="G95" s="232"/>
      <c r="H95" s="232"/>
      <c r="I95" s="232"/>
      <c r="J95" s="232"/>
      <c r="K95" s="232"/>
      <c r="L95" s="232"/>
      <c r="M95" s="232"/>
      <c r="N95" s="232"/>
      <c r="O95" s="232"/>
      <c r="P95" s="232"/>
      <c r="Q95" s="232"/>
      <c r="R95" s="232"/>
      <c r="S95" s="232"/>
      <c r="T95" s="232"/>
      <c r="U95" s="232"/>
      <c r="V95" s="232"/>
      <c r="W95" s="232"/>
      <c r="X95" s="232"/>
      <c r="Y95" s="232"/>
      <c r="Z95" s="232"/>
      <c r="AA95" s="232"/>
      <c r="AB95" s="232"/>
      <c r="AC95" s="232"/>
      <c r="AD95" s="232"/>
      <c r="AE95" s="232"/>
      <c r="AF95" s="232"/>
      <c r="AG95" s="232"/>
      <c r="AH95" s="232"/>
      <c r="AI95" s="232"/>
      <c r="AJ95" s="232"/>
      <c r="AK95" s="232"/>
    </row>
    <row r="96" spans="2:37" s="187" customFormat="1" ht="10.199999999999999">
      <c r="B96" s="562" t="s">
        <v>357</v>
      </c>
      <c r="C96" s="562"/>
      <c r="D96" s="562"/>
      <c r="E96" s="562"/>
      <c r="F96" s="562"/>
      <c r="G96" s="562"/>
      <c r="H96" s="562"/>
      <c r="I96" s="562"/>
      <c r="J96" s="562"/>
      <c r="K96" s="562"/>
      <c r="L96" s="562"/>
      <c r="M96" s="562"/>
      <c r="N96" s="562"/>
      <c r="O96" s="562"/>
      <c r="P96" s="562"/>
      <c r="Q96" s="562"/>
      <c r="R96" s="562"/>
      <c r="S96" s="562"/>
      <c r="T96" s="562"/>
      <c r="U96" s="562"/>
      <c r="V96" s="562"/>
      <c r="W96" s="562"/>
      <c r="X96" s="562"/>
      <c r="Y96" s="562"/>
      <c r="Z96" s="562"/>
      <c r="AA96" s="562"/>
      <c r="AB96" s="562"/>
      <c r="AC96" s="562"/>
      <c r="AD96" s="562"/>
      <c r="AE96" s="562"/>
      <c r="AF96" s="562"/>
      <c r="AG96" s="562"/>
      <c r="AH96" s="562"/>
      <c r="AI96" s="562"/>
      <c r="AJ96" s="562"/>
      <c r="AK96" s="562"/>
    </row>
    <row r="97" spans="2:37" ht="78.75" customHeight="1">
      <c r="B97" s="562" t="s">
        <v>187</v>
      </c>
      <c r="C97" s="562"/>
      <c r="D97" s="562"/>
      <c r="E97" s="562"/>
      <c r="F97" s="562"/>
      <c r="G97" s="562"/>
      <c r="H97" s="562"/>
      <c r="I97" s="562"/>
      <c r="J97" s="562"/>
      <c r="K97" s="562"/>
      <c r="L97" s="562"/>
      <c r="M97" s="562"/>
      <c r="N97" s="562"/>
      <c r="O97" s="562"/>
      <c r="P97" s="562"/>
      <c r="Q97" s="562"/>
      <c r="R97" s="562"/>
      <c r="S97" s="562"/>
      <c r="T97" s="562"/>
      <c r="U97" s="562"/>
      <c r="V97" s="562"/>
      <c r="W97" s="562"/>
      <c r="X97" s="562"/>
      <c r="Y97" s="562"/>
      <c r="Z97" s="562"/>
      <c r="AA97" s="562"/>
      <c r="AB97" s="562"/>
      <c r="AC97" s="562"/>
      <c r="AD97" s="562"/>
      <c r="AE97" s="562"/>
      <c r="AF97" s="562"/>
      <c r="AG97" s="562"/>
      <c r="AH97" s="562"/>
      <c r="AI97" s="562"/>
      <c r="AJ97" s="562"/>
      <c r="AK97" s="562"/>
    </row>
    <row r="98" spans="2:37" ht="36.75" customHeight="1">
      <c r="B98" s="562" t="s">
        <v>188</v>
      </c>
      <c r="C98" s="562"/>
      <c r="D98" s="562"/>
      <c r="E98" s="562"/>
      <c r="F98" s="562"/>
      <c r="G98" s="562"/>
      <c r="H98" s="562"/>
      <c r="I98" s="562"/>
      <c r="J98" s="562"/>
      <c r="K98" s="562"/>
      <c r="L98" s="562"/>
      <c r="M98" s="562"/>
      <c r="N98" s="562"/>
      <c r="O98" s="562"/>
      <c r="P98" s="562"/>
      <c r="Q98" s="562"/>
      <c r="R98" s="562"/>
      <c r="S98" s="562"/>
      <c r="T98" s="562"/>
      <c r="U98" s="562"/>
      <c r="V98" s="562"/>
      <c r="W98" s="562"/>
      <c r="X98" s="562"/>
      <c r="Y98" s="562"/>
      <c r="Z98" s="562"/>
      <c r="AA98" s="562"/>
      <c r="AB98" s="562"/>
      <c r="AC98" s="562"/>
      <c r="AD98" s="562"/>
      <c r="AE98" s="562"/>
      <c r="AF98" s="562"/>
      <c r="AG98" s="562"/>
      <c r="AH98" s="562"/>
      <c r="AI98" s="562"/>
      <c r="AJ98" s="562"/>
      <c r="AK98" s="562"/>
    </row>
    <row r="99" spans="2:37" ht="33.75" customHeight="1">
      <c r="B99" s="562" t="s">
        <v>189</v>
      </c>
      <c r="C99" s="562"/>
      <c r="D99" s="562"/>
      <c r="E99" s="562"/>
      <c r="F99" s="562"/>
      <c r="G99" s="562"/>
      <c r="H99" s="562"/>
      <c r="I99" s="562"/>
      <c r="J99" s="562"/>
      <c r="K99" s="562"/>
      <c r="L99" s="562"/>
      <c r="M99" s="562"/>
      <c r="N99" s="562"/>
      <c r="O99" s="562"/>
      <c r="P99" s="562"/>
      <c r="Q99" s="562"/>
      <c r="R99" s="562"/>
      <c r="S99" s="562"/>
      <c r="T99" s="562"/>
      <c r="U99" s="562"/>
      <c r="V99" s="562"/>
      <c r="W99" s="562"/>
      <c r="X99" s="562"/>
      <c r="Y99" s="562"/>
      <c r="Z99" s="562"/>
      <c r="AA99" s="562"/>
      <c r="AB99" s="562"/>
      <c r="AC99" s="562"/>
      <c r="AD99" s="562"/>
      <c r="AE99" s="562"/>
      <c r="AF99" s="562"/>
      <c r="AG99" s="562"/>
      <c r="AH99" s="562"/>
      <c r="AI99" s="562"/>
      <c r="AJ99" s="562"/>
      <c r="AK99" s="562"/>
    </row>
    <row r="100" spans="2:37" ht="23.25" customHeight="1">
      <c r="B100" s="562" t="s">
        <v>190</v>
      </c>
      <c r="C100" s="562"/>
      <c r="D100" s="562"/>
      <c r="E100" s="562"/>
      <c r="F100" s="562"/>
      <c r="G100" s="562"/>
      <c r="H100" s="562"/>
      <c r="I100" s="562"/>
      <c r="J100" s="562"/>
      <c r="K100" s="562"/>
      <c r="L100" s="562"/>
      <c r="M100" s="562"/>
      <c r="N100" s="562"/>
      <c r="O100" s="562"/>
      <c r="P100" s="562"/>
      <c r="Q100" s="562"/>
      <c r="R100" s="562"/>
      <c r="S100" s="562"/>
      <c r="T100" s="562"/>
      <c r="U100" s="562"/>
      <c r="V100" s="562"/>
      <c r="W100" s="562"/>
      <c r="X100" s="562"/>
      <c r="Y100" s="562"/>
      <c r="Z100" s="562"/>
      <c r="AA100" s="562"/>
      <c r="AB100" s="562"/>
      <c r="AC100" s="562"/>
      <c r="AD100" s="562"/>
      <c r="AE100" s="562"/>
      <c r="AF100" s="562"/>
      <c r="AG100" s="562"/>
      <c r="AH100" s="562"/>
      <c r="AI100" s="562"/>
      <c r="AJ100" s="562"/>
      <c r="AK100" s="562"/>
    </row>
    <row r="101" spans="2:37" ht="36.75" customHeight="1">
      <c r="B101" s="562" t="s">
        <v>191</v>
      </c>
      <c r="C101" s="562"/>
      <c r="D101" s="562"/>
      <c r="E101" s="562"/>
      <c r="F101" s="562"/>
      <c r="G101" s="562"/>
      <c r="H101" s="562"/>
      <c r="I101" s="562"/>
      <c r="J101" s="562"/>
      <c r="K101" s="562"/>
      <c r="L101" s="562"/>
      <c r="M101" s="562"/>
      <c r="N101" s="562"/>
      <c r="O101" s="562"/>
      <c r="P101" s="562"/>
      <c r="Q101" s="562"/>
      <c r="R101" s="562"/>
      <c r="S101" s="562"/>
      <c r="T101" s="562"/>
      <c r="U101" s="562"/>
      <c r="V101" s="562"/>
      <c r="W101" s="562"/>
      <c r="X101" s="562"/>
      <c r="Y101" s="562"/>
      <c r="Z101" s="562"/>
      <c r="AA101" s="562"/>
      <c r="AB101" s="562"/>
      <c r="AC101" s="562"/>
      <c r="AD101" s="562"/>
      <c r="AE101" s="562"/>
      <c r="AF101" s="562"/>
      <c r="AG101" s="562"/>
      <c r="AH101" s="562"/>
      <c r="AI101" s="562"/>
      <c r="AJ101" s="562"/>
      <c r="AK101" s="562"/>
    </row>
    <row r="102" spans="2:37" ht="51" customHeight="1">
      <c r="B102" s="562" t="s">
        <v>192</v>
      </c>
      <c r="C102" s="562"/>
      <c r="D102" s="562"/>
      <c r="E102" s="562"/>
      <c r="F102" s="562"/>
      <c r="G102" s="562"/>
      <c r="H102" s="562"/>
      <c r="I102" s="562"/>
      <c r="J102" s="562"/>
      <c r="K102" s="562"/>
      <c r="L102" s="562"/>
      <c r="M102" s="562"/>
      <c r="N102" s="562"/>
      <c r="O102" s="562"/>
      <c r="P102" s="562"/>
      <c r="Q102" s="562"/>
      <c r="R102" s="562"/>
      <c r="S102" s="562"/>
      <c r="T102" s="562"/>
      <c r="U102" s="562"/>
      <c r="V102" s="562"/>
      <c r="W102" s="562"/>
      <c r="X102" s="562"/>
      <c r="Y102" s="562"/>
      <c r="Z102" s="562"/>
      <c r="AA102" s="562"/>
      <c r="AB102" s="562"/>
      <c r="AC102" s="562"/>
      <c r="AD102" s="562"/>
      <c r="AE102" s="562"/>
      <c r="AF102" s="562"/>
      <c r="AG102" s="562"/>
      <c r="AH102" s="562"/>
      <c r="AI102" s="562"/>
      <c r="AJ102" s="562"/>
      <c r="AK102" s="562"/>
    </row>
    <row r="103" spans="2:37" ht="34.5" customHeight="1">
      <c r="B103" s="562" t="s">
        <v>193</v>
      </c>
      <c r="C103" s="562"/>
      <c r="D103" s="562"/>
      <c r="E103" s="562"/>
      <c r="F103" s="562"/>
      <c r="G103" s="562"/>
      <c r="H103" s="562"/>
      <c r="I103" s="562"/>
      <c r="J103" s="562"/>
      <c r="K103" s="562"/>
      <c r="L103" s="562"/>
      <c r="M103" s="562"/>
      <c r="N103" s="562"/>
      <c r="O103" s="562"/>
      <c r="P103" s="562"/>
      <c r="Q103" s="562"/>
      <c r="R103" s="562"/>
      <c r="S103" s="562"/>
      <c r="T103" s="562"/>
      <c r="U103" s="562"/>
      <c r="V103" s="562"/>
      <c r="W103" s="562"/>
      <c r="X103" s="562"/>
      <c r="Y103" s="562"/>
      <c r="Z103" s="562"/>
      <c r="AA103" s="562"/>
      <c r="AB103" s="562"/>
      <c r="AC103" s="562"/>
      <c r="AD103" s="562"/>
      <c r="AE103" s="562"/>
      <c r="AF103" s="562"/>
      <c r="AG103" s="562"/>
      <c r="AH103" s="562"/>
      <c r="AI103" s="562"/>
      <c r="AJ103" s="562"/>
      <c r="AK103" s="562"/>
    </row>
    <row r="104" spans="2:37" ht="21.75" customHeight="1">
      <c r="B104" s="562" t="s">
        <v>358</v>
      </c>
      <c r="C104" s="562"/>
      <c r="D104" s="562"/>
      <c r="E104" s="562"/>
      <c r="F104" s="562"/>
      <c r="G104" s="562"/>
      <c r="H104" s="562"/>
      <c r="I104" s="562"/>
      <c r="J104" s="562"/>
      <c r="K104" s="562"/>
      <c r="L104" s="562"/>
      <c r="M104" s="562"/>
      <c r="N104" s="562"/>
      <c r="O104" s="562"/>
      <c r="P104" s="562"/>
      <c r="Q104" s="562"/>
      <c r="R104" s="562"/>
      <c r="S104" s="562"/>
      <c r="T104" s="562"/>
      <c r="U104" s="562"/>
      <c r="V104" s="562"/>
      <c r="W104" s="562"/>
      <c r="X104" s="562"/>
      <c r="Y104" s="562"/>
      <c r="Z104" s="562"/>
      <c r="AA104" s="562"/>
      <c r="AB104" s="562"/>
      <c r="AC104" s="562"/>
      <c r="AD104" s="562"/>
      <c r="AE104" s="562"/>
      <c r="AF104" s="562"/>
      <c r="AG104" s="562"/>
      <c r="AH104" s="562"/>
      <c r="AI104" s="562"/>
      <c r="AJ104" s="562"/>
      <c r="AK104" s="562"/>
    </row>
    <row r="105" spans="2:37" ht="12.75" customHeight="1">
      <c r="B105" s="238"/>
      <c r="C105" s="238"/>
      <c r="D105" s="238"/>
      <c r="E105" s="238"/>
      <c r="F105" s="238"/>
      <c r="G105" s="238"/>
      <c r="H105" s="238"/>
      <c r="I105" s="238"/>
      <c r="J105" s="238"/>
      <c r="K105" s="238"/>
      <c r="L105" s="238"/>
      <c r="M105" s="238"/>
      <c r="N105" s="238"/>
      <c r="O105" s="238"/>
      <c r="P105" s="238"/>
      <c r="Q105" s="238"/>
      <c r="R105" s="238"/>
      <c r="S105" s="238"/>
      <c r="T105" s="238"/>
      <c r="U105" s="238"/>
      <c r="V105" s="238"/>
      <c r="W105" s="238"/>
      <c r="X105" s="238"/>
      <c r="Y105" s="238"/>
      <c r="Z105" s="238"/>
      <c r="AA105" s="238"/>
      <c r="AB105" s="238"/>
      <c r="AC105" s="238"/>
      <c r="AD105" s="238"/>
      <c r="AE105" s="238"/>
      <c r="AF105" s="238"/>
      <c r="AG105" s="238"/>
      <c r="AH105" s="238"/>
      <c r="AI105" s="238"/>
      <c r="AJ105" s="238"/>
      <c r="AK105" s="238"/>
    </row>
    <row r="106" spans="2:37" ht="13.2">
      <c r="B106" s="798" t="s">
        <v>359</v>
      </c>
      <c r="C106" s="798"/>
      <c r="D106" s="798"/>
      <c r="E106" s="798"/>
      <c r="F106" s="798"/>
      <c r="G106" s="798"/>
      <c r="H106" s="798"/>
      <c r="I106" s="798"/>
      <c r="J106" s="798"/>
      <c r="K106" s="798"/>
      <c r="L106" s="798"/>
      <c r="M106" s="798"/>
      <c r="N106" s="798"/>
      <c r="O106" s="798"/>
      <c r="P106" s="798"/>
      <c r="Q106" s="798"/>
      <c r="R106" s="798"/>
      <c r="S106" s="798"/>
      <c r="T106" s="798"/>
      <c r="U106" s="798"/>
      <c r="V106" s="798"/>
      <c r="W106" s="798"/>
      <c r="X106" s="798"/>
      <c r="Y106" s="798"/>
      <c r="Z106" s="798"/>
      <c r="AA106" s="798"/>
      <c r="AB106" s="798"/>
      <c r="AC106" s="798"/>
      <c r="AD106" s="798"/>
      <c r="AE106" s="798"/>
      <c r="AF106" s="798"/>
      <c r="AG106" s="798"/>
      <c r="AH106" s="798"/>
      <c r="AI106" s="798"/>
      <c r="AJ106" s="798"/>
      <c r="AK106" s="798"/>
    </row>
    <row r="107" spans="2:37" ht="38.25" customHeight="1">
      <c r="B107" s="725" t="s">
        <v>196</v>
      </c>
      <c r="C107" s="725"/>
      <c r="D107" s="725"/>
      <c r="E107" s="725"/>
      <c r="F107" s="725"/>
      <c r="G107" s="725"/>
      <c r="H107" s="725"/>
      <c r="I107" s="725"/>
      <c r="J107" s="725"/>
      <c r="K107" s="725"/>
      <c r="L107" s="725"/>
      <c r="M107" s="725"/>
      <c r="N107" s="725"/>
      <c r="O107" s="725"/>
      <c r="P107" s="725"/>
      <c r="Q107" s="725"/>
      <c r="R107" s="725"/>
      <c r="S107" s="725"/>
      <c r="T107" s="725"/>
      <c r="U107" s="725"/>
      <c r="V107" s="725"/>
      <c r="W107" s="725"/>
      <c r="X107" s="725"/>
      <c r="Y107" s="725"/>
      <c r="Z107" s="725"/>
      <c r="AA107" s="725"/>
      <c r="AB107" s="725"/>
      <c r="AC107" s="725"/>
      <c r="AD107" s="725"/>
      <c r="AE107" s="725"/>
      <c r="AF107" s="725"/>
      <c r="AG107" s="725"/>
      <c r="AH107" s="725"/>
      <c r="AI107" s="725"/>
      <c r="AJ107" s="725"/>
      <c r="AK107" s="725"/>
    </row>
    <row r="108" spans="2:37" ht="12.75" customHeight="1">
      <c r="B108" s="271"/>
      <c r="C108" s="241"/>
      <c r="D108" s="241"/>
      <c r="E108" s="241"/>
      <c r="F108" s="241"/>
      <c r="G108" s="241"/>
      <c r="H108" s="241"/>
      <c r="I108" s="241"/>
      <c r="J108" s="241"/>
      <c r="K108" s="241"/>
      <c r="L108" s="241"/>
      <c r="M108" s="241"/>
      <c r="N108" s="241"/>
      <c r="O108" s="241"/>
      <c r="P108" s="241"/>
      <c r="Q108" s="241"/>
      <c r="R108" s="241"/>
      <c r="S108" s="241"/>
      <c r="T108" s="241"/>
      <c r="U108" s="241"/>
      <c r="V108" s="241"/>
      <c r="W108" s="241"/>
      <c r="X108" s="241"/>
      <c r="Y108" s="241"/>
      <c r="Z108" s="241"/>
      <c r="AA108" s="241"/>
      <c r="AB108" s="241"/>
      <c r="AC108" s="241"/>
      <c r="AD108" s="241"/>
      <c r="AE108" s="241"/>
      <c r="AF108" s="241"/>
      <c r="AG108" s="241"/>
      <c r="AH108" s="241"/>
      <c r="AI108" s="241"/>
      <c r="AJ108" s="241"/>
      <c r="AK108" s="241"/>
    </row>
    <row r="109" spans="2:37" ht="13.2">
      <c r="B109" s="798" t="s">
        <v>360</v>
      </c>
      <c r="C109" s="798"/>
      <c r="D109" s="798"/>
      <c r="E109" s="798"/>
      <c r="F109" s="798"/>
      <c r="G109" s="798"/>
      <c r="H109" s="798"/>
      <c r="I109" s="798"/>
      <c r="J109" s="798"/>
      <c r="K109" s="798"/>
      <c r="L109" s="798"/>
      <c r="M109" s="798"/>
      <c r="N109" s="798"/>
      <c r="O109" s="798"/>
      <c r="P109" s="798"/>
      <c r="Q109" s="798"/>
      <c r="R109" s="798"/>
      <c r="S109" s="798"/>
      <c r="T109" s="798"/>
      <c r="U109" s="798"/>
      <c r="V109" s="798"/>
      <c r="W109" s="798"/>
      <c r="X109" s="798"/>
      <c r="Y109" s="798"/>
      <c r="Z109" s="798"/>
      <c r="AA109" s="798"/>
      <c r="AB109" s="798"/>
      <c r="AC109" s="798"/>
      <c r="AD109" s="798"/>
      <c r="AE109" s="798"/>
      <c r="AF109" s="798"/>
      <c r="AG109" s="798"/>
      <c r="AH109" s="798"/>
      <c r="AI109" s="798"/>
      <c r="AJ109" s="798"/>
      <c r="AK109" s="798"/>
    </row>
    <row r="110" spans="2:37" ht="21.75" customHeight="1">
      <c r="B110" s="725" t="s">
        <v>198</v>
      </c>
      <c r="C110" s="725"/>
      <c r="D110" s="725"/>
      <c r="E110" s="725"/>
      <c r="F110" s="725"/>
      <c r="G110" s="725"/>
      <c r="H110" s="725"/>
      <c r="I110" s="725"/>
      <c r="J110" s="725"/>
      <c r="K110" s="725"/>
      <c r="L110" s="725"/>
      <c r="M110" s="725"/>
      <c r="N110" s="725"/>
      <c r="O110" s="725"/>
      <c r="P110" s="725"/>
      <c r="Q110" s="725"/>
      <c r="R110" s="725"/>
      <c r="S110" s="725"/>
      <c r="T110" s="725"/>
      <c r="U110" s="725"/>
      <c r="V110" s="725"/>
      <c r="W110" s="725"/>
      <c r="X110" s="725"/>
      <c r="Y110" s="725"/>
      <c r="Z110" s="725"/>
      <c r="AA110" s="725"/>
      <c r="AB110" s="725"/>
      <c r="AC110" s="725"/>
      <c r="AD110" s="725"/>
      <c r="AE110" s="725"/>
      <c r="AF110" s="725"/>
      <c r="AG110" s="725"/>
      <c r="AH110" s="725"/>
      <c r="AI110" s="725"/>
      <c r="AJ110" s="725"/>
      <c r="AK110" s="725"/>
    </row>
    <row r="111" spans="2:37" ht="12.75" customHeight="1">
      <c r="B111" s="271"/>
      <c r="C111" s="241"/>
      <c r="D111" s="241"/>
      <c r="E111" s="241"/>
      <c r="F111" s="241"/>
      <c r="G111" s="241"/>
      <c r="H111" s="241"/>
      <c r="I111" s="241"/>
      <c r="J111" s="241"/>
      <c r="K111" s="241"/>
      <c r="L111" s="241"/>
      <c r="M111" s="241"/>
      <c r="N111" s="241"/>
      <c r="O111" s="241"/>
      <c r="P111" s="241"/>
      <c r="Q111" s="241"/>
      <c r="R111" s="241"/>
      <c r="S111" s="241"/>
      <c r="T111" s="241"/>
      <c r="U111" s="241"/>
      <c r="V111" s="241"/>
      <c r="W111" s="241"/>
      <c r="X111" s="241"/>
      <c r="Y111" s="241"/>
      <c r="Z111" s="241"/>
      <c r="AA111" s="241"/>
      <c r="AB111" s="241"/>
      <c r="AC111" s="241"/>
      <c r="AD111" s="241"/>
      <c r="AE111" s="241"/>
      <c r="AF111" s="241"/>
      <c r="AG111" s="241"/>
      <c r="AH111" s="241"/>
      <c r="AI111" s="241"/>
      <c r="AJ111" s="241"/>
      <c r="AK111" s="241"/>
    </row>
    <row r="112" spans="2:37" ht="13.2">
      <c r="B112" s="725" t="s">
        <v>199</v>
      </c>
      <c r="C112" s="725"/>
      <c r="D112" s="725"/>
      <c r="E112" s="725"/>
      <c r="F112" s="725"/>
      <c r="G112" s="725"/>
      <c r="H112" s="725"/>
      <c r="I112" s="725"/>
      <c r="J112" s="725"/>
      <c r="K112" s="725"/>
      <c r="L112" s="725"/>
      <c r="M112" s="725"/>
      <c r="N112" s="725"/>
      <c r="O112" s="725"/>
      <c r="P112" s="725"/>
      <c r="Q112" s="725"/>
      <c r="R112" s="725"/>
      <c r="S112" s="725"/>
      <c r="T112" s="725"/>
      <c r="U112" s="725"/>
      <c r="V112" s="725"/>
      <c r="W112" s="725"/>
      <c r="X112" s="725"/>
      <c r="Y112" s="725"/>
      <c r="Z112" s="725"/>
      <c r="AA112" s="725"/>
      <c r="AB112" s="725"/>
      <c r="AC112" s="725"/>
      <c r="AD112" s="725"/>
      <c r="AE112" s="725"/>
      <c r="AF112" s="725"/>
      <c r="AG112" s="725"/>
      <c r="AH112" s="725"/>
      <c r="AI112" s="725"/>
      <c r="AJ112" s="725"/>
      <c r="AK112" s="725"/>
    </row>
    <row r="113" spans="2:37" ht="12.75" customHeight="1">
      <c r="B113" s="281"/>
      <c r="C113" s="240"/>
      <c r="D113" s="238"/>
      <c r="E113" s="238"/>
      <c r="F113" s="238"/>
      <c r="G113" s="238"/>
      <c r="H113" s="238"/>
      <c r="I113" s="238"/>
      <c r="J113" s="238"/>
      <c r="K113" s="238"/>
      <c r="L113" s="238"/>
      <c r="M113" s="238"/>
      <c r="N113" s="238"/>
      <c r="O113" s="238"/>
      <c r="P113" s="238"/>
      <c r="Q113" s="238"/>
      <c r="R113" s="238"/>
      <c r="S113" s="238"/>
      <c r="T113" s="238"/>
      <c r="U113" s="238"/>
      <c r="V113" s="238"/>
      <c r="W113" s="238"/>
      <c r="X113" s="238"/>
      <c r="Y113" s="238"/>
      <c r="Z113" s="238"/>
      <c r="AA113" s="238"/>
      <c r="AB113" s="238"/>
      <c r="AC113" s="238"/>
      <c r="AD113" s="238"/>
      <c r="AE113" s="238"/>
      <c r="AF113" s="238"/>
      <c r="AG113" s="238"/>
      <c r="AH113" s="238"/>
      <c r="AI113" s="238"/>
      <c r="AJ113" s="238"/>
      <c r="AK113" s="238"/>
    </row>
    <row r="114" spans="2:37" ht="13.2">
      <c r="B114" s="726" t="s">
        <v>200</v>
      </c>
      <c r="C114" s="726"/>
      <c r="D114" s="726"/>
      <c r="E114" s="726"/>
      <c r="F114" s="726"/>
      <c r="G114" s="726"/>
      <c r="H114" s="726"/>
      <c r="I114" s="726"/>
      <c r="J114" s="726"/>
      <c r="K114" s="726"/>
      <c r="L114" s="726"/>
      <c r="M114" s="726"/>
      <c r="N114" s="726"/>
      <c r="O114" s="726"/>
      <c r="P114" s="726"/>
      <c r="Q114" s="726"/>
      <c r="R114" s="726"/>
      <c r="S114" s="726"/>
      <c r="T114" s="726"/>
      <c r="U114" s="726"/>
      <c r="V114" s="726"/>
      <c r="W114" s="726"/>
      <c r="X114" s="726"/>
      <c r="Y114" s="726"/>
      <c r="Z114" s="726"/>
      <c r="AA114" s="726"/>
      <c r="AB114" s="726"/>
      <c r="AC114" s="726"/>
      <c r="AD114" s="726"/>
      <c r="AE114" s="726"/>
      <c r="AF114" s="726"/>
      <c r="AG114" s="726"/>
      <c r="AH114" s="726"/>
      <c r="AI114" s="726"/>
      <c r="AJ114" s="726"/>
      <c r="AK114" s="726"/>
    </row>
    <row r="115" spans="2:37" ht="13.2">
      <c r="B115" s="238"/>
      <c r="C115" s="238"/>
      <c r="D115" s="238"/>
      <c r="E115" s="238"/>
      <c r="F115" s="238"/>
      <c r="G115" s="238"/>
      <c r="H115" s="238"/>
      <c r="I115" s="238"/>
      <c r="J115" s="238"/>
      <c r="K115" s="238"/>
      <c r="L115" s="238"/>
      <c r="M115" s="238"/>
      <c r="N115" s="238"/>
      <c r="O115" s="238"/>
      <c r="P115" s="238"/>
      <c r="Q115" s="238"/>
      <c r="R115" s="238"/>
      <c r="S115" s="238"/>
      <c r="T115" s="238"/>
      <c r="U115" s="238"/>
      <c r="V115" s="238"/>
      <c r="W115" s="238"/>
      <c r="X115" s="238"/>
      <c r="Y115" s="238"/>
      <c r="Z115" s="238"/>
      <c r="AA115" s="238"/>
      <c r="AB115" s="238"/>
      <c r="AC115" s="238"/>
      <c r="AD115" s="238"/>
      <c r="AE115" s="238"/>
      <c r="AF115" s="238"/>
      <c r="AG115" s="238"/>
      <c r="AH115" s="238"/>
      <c r="AI115" s="238"/>
      <c r="AJ115" s="238"/>
      <c r="AK115" s="238"/>
    </row>
    <row r="116" spans="2:37" ht="33.75" customHeight="1">
      <c r="B116" s="566" t="s">
        <v>361</v>
      </c>
      <c r="C116" s="566"/>
      <c r="D116" s="566"/>
      <c r="E116" s="566"/>
      <c r="F116" s="566"/>
      <c r="G116" s="566"/>
      <c r="H116" s="566"/>
      <c r="I116" s="566"/>
      <c r="J116" s="566"/>
      <c r="K116" s="566"/>
      <c r="L116" s="566"/>
      <c r="M116" s="566"/>
      <c r="N116" s="566"/>
      <c r="O116" s="566"/>
      <c r="P116" s="566"/>
      <c r="Q116" s="566"/>
      <c r="R116" s="566"/>
      <c r="S116" s="566"/>
      <c r="T116" s="566"/>
      <c r="U116" s="566"/>
      <c r="V116" s="566"/>
      <c r="W116" s="566"/>
      <c r="X116" s="566"/>
      <c r="Y116" s="566"/>
      <c r="Z116" s="566"/>
      <c r="AA116" s="566"/>
      <c r="AB116" s="566"/>
      <c r="AC116" s="566"/>
      <c r="AD116" s="566"/>
      <c r="AE116" s="566"/>
      <c r="AF116" s="566"/>
      <c r="AG116" s="566"/>
      <c r="AH116" s="566"/>
      <c r="AI116" s="566"/>
      <c r="AJ116" s="566"/>
      <c r="AK116" s="566"/>
    </row>
    <row r="117" spans="2:37" ht="12.75" customHeight="1">
      <c r="B117" s="231"/>
      <c r="C117" s="232"/>
      <c r="D117" s="232"/>
      <c r="E117" s="232"/>
      <c r="F117" s="232"/>
      <c r="G117" s="232"/>
      <c r="H117" s="232"/>
      <c r="I117" s="232"/>
      <c r="J117" s="232"/>
      <c r="K117" s="232"/>
      <c r="L117" s="232"/>
      <c r="M117" s="232"/>
      <c r="N117" s="232"/>
      <c r="O117" s="232"/>
      <c r="P117" s="232"/>
      <c r="Q117" s="232"/>
      <c r="R117" s="232"/>
      <c r="S117" s="232"/>
      <c r="T117" s="232"/>
      <c r="U117" s="232"/>
      <c r="V117" s="232"/>
      <c r="W117" s="232"/>
      <c r="X117" s="232"/>
      <c r="Y117" s="232"/>
      <c r="Z117" s="232"/>
      <c r="AA117" s="232"/>
      <c r="AB117" s="232"/>
      <c r="AC117" s="232"/>
      <c r="AD117" s="232"/>
      <c r="AE117" s="232"/>
      <c r="AF117" s="232"/>
      <c r="AG117" s="232"/>
      <c r="AH117" s="232"/>
      <c r="AI117" s="232"/>
      <c r="AJ117" s="232"/>
      <c r="AK117" s="232"/>
    </row>
    <row r="118" spans="2:37" ht="46.5" customHeight="1">
      <c r="B118" s="566" t="s">
        <v>202</v>
      </c>
      <c r="C118" s="566"/>
      <c r="D118" s="566"/>
      <c r="E118" s="566"/>
      <c r="F118" s="566"/>
      <c r="G118" s="566"/>
      <c r="H118" s="566"/>
      <c r="I118" s="566"/>
      <c r="J118" s="566"/>
      <c r="K118" s="566"/>
      <c r="L118" s="566"/>
      <c r="M118" s="566"/>
      <c r="N118" s="566"/>
      <c r="O118" s="566"/>
      <c r="P118" s="566"/>
      <c r="Q118" s="566"/>
      <c r="R118" s="566"/>
      <c r="S118" s="566"/>
      <c r="T118" s="566"/>
      <c r="U118" s="566"/>
      <c r="V118" s="566"/>
      <c r="W118" s="566"/>
      <c r="X118" s="566"/>
      <c r="Y118" s="566"/>
      <c r="Z118" s="566"/>
      <c r="AA118" s="566"/>
      <c r="AB118" s="566"/>
      <c r="AC118" s="566"/>
      <c r="AD118" s="566"/>
      <c r="AE118" s="566"/>
      <c r="AF118" s="566"/>
      <c r="AG118" s="566"/>
      <c r="AH118" s="566"/>
      <c r="AI118" s="566"/>
      <c r="AJ118" s="566"/>
      <c r="AK118" s="566"/>
    </row>
    <row r="119" spans="2:37" ht="12.75" customHeight="1">
      <c r="B119" s="232"/>
      <c r="C119" s="232"/>
      <c r="D119" s="232"/>
      <c r="E119" s="232"/>
      <c r="F119" s="232"/>
      <c r="G119" s="232"/>
      <c r="H119" s="232"/>
      <c r="I119" s="232"/>
      <c r="J119" s="232"/>
      <c r="K119" s="232"/>
      <c r="L119" s="232"/>
      <c r="M119" s="232"/>
      <c r="N119" s="232"/>
      <c r="O119" s="232"/>
      <c r="P119" s="232"/>
      <c r="Q119" s="232"/>
      <c r="R119" s="232"/>
      <c r="S119" s="232"/>
      <c r="T119" s="232"/>
      <c r="U119" s="232"/>
      <c r="V119" s="232"/>
      <c r="W119" s="232"/>
      <c r="X119" s="232"/>
      <c r="Y119" s="232"/>
      <c r="Z119" s="232"/>
      <c r="AA119" s="232"/>
      <c r="AB119" s="232"/>
      <c r="AC119" s="232"/>
      <c r="AD119" s="232"/>
      <c r="AE119" s="232"/>
      <c r="AF119" s="232"/>
      <c r="AG119" s="232"/>
      <c r="AH119" s="232"/>
      <c r="AI119" s="232"/>
      <c r="AJ119" s="232"/>
      <c r="AK119" s="232"/>
    </row>
    <row r="120" spans="2:37" ht="22.5" customHeight="1">
      <c r="B120" s="566" t="s">
        <v>203</v>
      </c>
      <c r="C120" s="566"/>
      <c r="D120" s="566"/>
      <c r="E120" s="566"/>
      <c r="F120" s="566"/>
      <c r="G120" s="566"/>
      <c r="H120" s="566"/>
      <c r="I120" s="566"/>
      <c r="J120" s="566"/>
      <c r="K120" s="566"/>
      <c r="L120" s="566"/>
      <c r="M120" s="566"/>
      <c r="N120" s="566"/>
      <c r="O120" s="566"/>
      <c r="P120" s="566"/>
      <c r="Q120" s="566"/>
      <c r="R120" s="566"/>
      <c r="S120" s="566"/>
      <c r="T120" s="566"/>
      <c r="U120" s="566"/>
      <c r="V120" s="566"/>
      <c r="W120" s="566"/>
      <c r="X120" s="566"/>
      <c r="Y120" s="566"/>
      <c r="Z120" s="566"/>
      <c r="AA120" s="566"/>
      <c r="AB120" s="566"/>
      <c r="AC120" s="566"/>
      <c r="AD120" s="566"/>
      <c r="AE120" s="566"/>
      <c r="AF120" s="566"/>
      <c r="AG120" s="566"/>
      <c r="AH120" s="566"/>
      <c r="AI120" s="566"/>
      <c r="AJ120" s="566"/>
      <c r="AK120" s="566"/>
    </row>
    <row r="121" spans="2:37" ht="12.75" customHeight="1">
      <c r="B121" s="232"/>
      <c r="C121" s="232"/>
      <c r="D121" s="232"/>
      <c r="E121" s="232"/>
      <c r="F121" s="232"/>
      <c r="G121" s="232"/>
      <c r="H121" s="232"/>
      <c r="I121" s="232"/>
      <c r="J121" s="232"/>
      <c r="K121" s="232"/>
      <c r="L121" s="232"/>
      <c r="M121" s="232"/>
      <c r="N121" s="232"/>
      <c r="O121" s="232"/>
      <c r="P121" s="232"/>
      <c r="Q121" s="232"/>
      <c r="R121" s="232"/>
      <c r="S121" s="232"/>
      <c r="T121" s="232"/>
      <c r="U121" s="232"/>
      <c r="V121" s="232"/>
      <c r="W121" s="232"/>
      <c r="X121" s="232"/>
      <c r="Y121" s="232"/>
      <c r="Z121" s="232"/>
      <c r="AA121" s="232"/>
      <c r="AB121" s="232"/>
      <c r="AC121" s="232"/>
      <c r="AD121" s="232"/>
      <c r="AE121" s="232"/>
      <c r="AF121" s="232"/>
      <c r="AG121" s="232"/>
      <c r="AH121" s="232"/>
      <c r="AI121" s="232"/>
      <c r="AJ121" s="232"/>
      <c r="AK121" s="232"/>
    </row>
    <row r="122" spans="2:37" ht="36.75" customHeight="1">
      <c r="B122" s="566" t="s">
        <v>204</v>
      </c>
      <c r="C122" s="566"/>
      <c r="D122" s="566"/>
      <c r="E122" s="566"/>
      <c r="F122" s="566"/>
      <c r="G122" s="566"/>
      <c r="H122" s="566"/>
      <c r="I122" s="566"/>
      <c r="J122" s="566"/>
      <c r="K122" s="566"/>
      <c r="L122" s="566"/>
      <c r="M122" s="566"/>
      <c r="N122" s="566"/>
      <c r="O122" s="566"/>
      <c r="P122" s="566"/>
      <c r="Q122" s="566"/>
      <c r="R122" s="566"/>
      <c r="S122" s="566"/>
      <c r="T122" s="566"/>
      <c r="U122" s="566"/>
      <c r="V122" s="566"/>
      <c r="W122" s="566"/>
      <c r="X122" s="566"/>
      <c r="Y122" s="566"/>
      <c r="Z122" s="566"/>
      <c r="AA122" s="566"/>
      <c r="AB122" s="566"/>
      <c r="AC122" s="566"/>
      <c r="AD122" s="566"/>
      <c r="AE122" s="566"/>
      <c r="AF122" s="566"/>
      <c r="AG122" s="566"/>
      <c r="AH122" s="566"/>
      <c r="AI122" s="566"/>
      <c r="AJ122" s="566"/>
      <c r="AK122" s="566"/>
    </row>
    <row r="123" spans="2:37" ht="12.75" customHeight="1">
      <c r="B123" s="231"/>
      <c r="C123" s="232"/>
      <c r="D123" s="232"/>
      <c r="E123" s="232"/>
      <c r="F123" s="232"/>
      <c r="G123" s="232"/>
      <c r="H123" s="232"/>
      <c r="I123" s="232"/>
      <c r="J123" s="232"/>
      <c r="K123" s="232"/>
      <c r="L123" s="232"/>
      <c r="M123" s="232"/>
      <c r="N123" s="232"/>
      <c r="O123" s="232"/>
      <c r="P123" s="232"/>
      <c r="Q123" s="232"/>
      <c r="R123" s="232"/>
      <c r="S123" s="232"/>
      <c r="T123" s="232"/>
      <c r="U123" s="232"/>
      <c r="V123" s="232"/>
      <c r="W123" s="232"/>
      <c r="X123" s="232"/>
      <c r="Y123" s="232"/>
      <c r="Z123" s="232"/>
      <c r="AA123" s="232"/>
      <c r="AB123" s="232"/>
      <c r="AC123" s="232"/>
      <c r="AD123" s="232"/>
      <c r="AE123" s="232"/>
      <c r="AF123" s="232"/>
      <c r="AG123" s="232"/>
      <c r="AH123" s="232"/>
      <c r="AI123" s="232"/>
      <c r="AJ123" s="232"/>
      <c r="AK123" s="232"/>
    </row>
    <row r="124" spans="2:37" ht="45.75" customHeight="1">
      <c r="B124" s="566" t="s">
        <v>362</v>
      </c>
      <c r="C124" s="566"/>
      <c r="D124" s="566"/>
      <c r="E124" s="566"/>
      <c r="F124" s="566"/>
      <c r="G124" s="566"/>
      <c r="H124" s="566"/>
      <c r="I124" s="566"/>
      <c r="J124" s="566"/>
      <c r="K124" s="566"/>
      <c r="L124" s="566"/>
      <c r="M124" s="566"/>
      <c r="N124" s="566"/>
      <c r="O124" s="566"/>
      <c r="P124" s="566"/>
      <c r="Q124" s="566"/>
      <c r="R124" s="566"/>
      <c r="S124" s="566"/>
      <c r="T124" s="566"/>
      <c r="U124" s="566"/>
      <c r="V124" s="566"/>
      <c r="W124" s="566"/>
      <c r="X124" s="566"/>
      <c r="Y124" s="566"/>
      <c r="Z124" s="566"/>
      <c r="AA124" s="566"/>
      <c r="AB124" s="566"/>
      <c r="AC124" s="566"/>
      <c r="AD124" s="566"/>
      <c r="AE124" s="566"/>
      <c r="AF124" s="566"/>
      <c r="AG124" s="566"/>
      <c r="AH124" s="566"/>
      <c r="AI124" s="566"/>
      <c r="AJ124" s="566"/>
      <c r="AK124" s="566"/>
    </row>
    <row r="125" spans="2:37" ht="12.75" customHeight="1">
      <c r="B125" s="232"/>
      <c r="C125" s="232"/>
      <c r="D125" s="232"/>
      <c r="E125" s="232"/>
      <c r="F125" s="232"/>
      <c r="G125" s="232"/>
      <c r="H125" s="232"/>
      <c r="I125" s="232"/>
      <c r="J125" s="232"/>
      <c r="K125" s="232"/>
      <c r="L125" s="232"/>
      <c r="M125" s="232"/>
      <c r="N125" s="232"/>
      <c r="O125" s="232"/>
      <c r="P125" s="232"/>
      <c r="Q125" s="232"/>
      <c r="R125" s="232"/>
      <c r="S125" s="232"/>
      <c r="T125" s="232"/>
      <c r="U125" s="232"/>
      <c r="V125" s="232"/>
      <c r="W125" s="232"/>
      <c r="X125" s="232"/>
      <c r="Y125" s="232"/>
      <c r="Z125" s="232"/>
      <c r="AA125" s="232"/>
      <c r="AB125" s="232"/>
      <c r="AC125" s="232"/>
      <c r="AD125" s="232"/>
      <c r="AE125" s="232"/>
      <c r="AF125" s="232"/>
      <c r="AG125" s="232"/>
      <c r="AH125" s="232"/>
      <c r="AI125" s="232"/>
      <c r="AJ125" s="232"/>
      <c r="AK125" s="232"/>
    </row>
    <row r="126" spans="2:37" ht="79.5" customHeight="1">
      <c r="B126" s="566" t="s">
        <v>363</v>
      </c>
      <c r="C126" s="566"/>
      <c r="D126" s="566"/>
      <c r="E126" s="566"/>
      <c r="F126" s="566"/>
      <c r="G126" s="566"/>
      <c r="H126" s="566"/>
      <c r="I126" s="566"/>
      <c r="J126" s="566"/>
      <c r="K126" s="566"/>
      <c r="L126" s="566"/>
      <c r="M126" s="566"/>
      <c r="N126" s="566"/>
      <c r="O126" s="566"/>
      <c r="P126" s="566"/>
      <c r="Q126" s="566"/>
      <c r="R126" s="566"/>
      <c r="S126" s="566"/>
      <c r="T126" s="566"/>
      <c r="U126" s="566"/>
      <c r="V126" s="566"/>
      <c r="W126" s="566"/>
      <c r="X126" s="566"/>
      <c r="Y126" s="566"/>
      <c r="Z126" s="566"/>
      <c r="AA126" s="566"/>
      <c r="AB126" s="566"/>
      <c r="AC126" s="566"/>
      <c r="AD126" s="566"/>
      <c r="AE126" s="566"/>
      <c r="AF126" s="566"/>
      <c r="AG126" s="566"/>
      <c r="AH126" s="566"/>
      <c r="AI126" s="566"/>
      <c r="AJ126" s="566"/>
      <c r="AK126" s="566"/>
    </row>
    <row r="127" spans="2:37" ht="23.25" customHeight="1">
      <c r="B127" s="562" t="s">
        <v>364</v>
      </c>
      <c r="C127" s="562"/>
      <c r="D127" s="562"/>
      <c r="E127" s="562"/>
      <c r="F127" s="562"/>
      <c r="G127" s="562"/>
      <c r="H127" s="562"/>
      <c r="I127" s="562"/>
      <c r="J127" s="562"/>
      <c r="K127" s="562"/>
      <c r="L127" s="562"/>
      <c r="M127" s="562"/>
      <c r="N127" s="562"/>
      <c r="O127" s="562"/>
      <c r="P127" s="562"/>
      <c r="Q127" s="562"/>
      <c r="R127" s="562"/>
      <c r="S127" s="562"/>
      <c r="T127" s="562"/>
      <c r="U127" s="562"/>
      <c r="V127" s="562"/>
      <c r="W127" s="562"/>
      <c r="X127" s="562"/>
      <c r="Y127" s="562"/>
      <c r="Z127" s="562"/>
      <c r="AA127" s="562"/>
      <c r="AB127" s="562"/>
      <c r="AC127" s="562"/>
      <c r="AD127" s="562"/>
      <c r="AE127" s="562"/>
      <c r="AF127" s="562"/>
      <c r="AG127" s="562"/>
      <c r="AH127" s="562"/>
      <c r="AI127" s="562"/>
      <c r="AJ127" s="562"/>
      <c r="AK127" s="562"/>
    </row>
    <row r="128" spans="2:37" ht="21.75" customHeight="1">
      <c r="B128" s="562" t="s">
        <v>210</v>
      </c>
      <c r="C128" s="562"/>
      <c r="D128" s="562"/>
      <c r="E128" s="562"/>
      <c r="F128" s="562"/>
      <c r="G128" s="562"/>
      <c r="H128" s="562"/>
      <c r="I128" s="562"/>
      <c r="J128" s="562"/>
      <c r="K128" s="562"/>
      <c r="L128" s="562"/>
      <c r="M128" s="562"/>
      <c r="N128" s="562"/>
      <c r="O128" s="562"/>
      <c r="P128" s="562"/>
      <c r="Q128" s="562"/>
      <c r="R128" s="562"/>
      <c r="S128" s="562"/>
      <c r="T128" s="562"/>
      <c r="U128" s="562"/>
      <c r="V128" s="562"/>
      <c r="W128" s="562"/>
      <c r="X128" s="562"/>
      <c r="Y128" s="562"/>
      <c r="Z128" s="562"/>
      <c r="AA128" s="562"/>
      <c r="AB128" s="562"/>
      <c r="AC128" s="562"/>
      <c r="AD128" s="562"/>
      <c r="AE128" s="562"/>
      <c r="AF128" s="562"/>
      <c r="AG128" s="562"/>
      <c r="AH128" s="562"/>
      <c r="AI128" s="562"/>
      <c r="AJ128" s="562"/>
      <c r="AK128" s="562"/>
    </row>
    <row r="129" spans="2:37" ht="33.75" customHeight="1">
      <c r="B129" s="562" t="s">
        <v>211</v>
      </c>
      <c r="C129" s="562"/>
      <c r="D129" s="562"/>
      <c r="E129" s="562"/>
      <c r="F129" s="562"/>
      <c r="G129" s="562"/>
      <c r="H129" s="562"/>
      <c r="I129" s="562"/>
      <c r="J129" s="562"/>
      <c r="K129" s="562"/>
      <c r="L129" s="562"/>
      <c r="M129" s="562"/>
      <c r="N129" s="562"/>
      <c r="O129" s="562"/>
      <c r="P129" s="562"/>
      <c r="Q129" s="562"/>
      <c r="R129" s="562"/>
      <c r="S129" s="562"/>
      <c r="T129" s="562"/>
      <c r="U129" s="562"/>
      <c r="V129" s="562"/>
      <c r="W129" s="562"/>
      <c r="X129" s="562"/>
      <c r="Y129" s="562"/>
      <c r="Z129" s="562"/>
      <c r="AA129" s="562"/>
      <c r="AB129" s="562"/>
      <c r="AC129" s="562"/>
      <c r="AD129" s="562"/>
      <c r="AE129" s="562"/>
      <c r="AF129" s="562"/>
      <c r="AG129" s="562"/>
      <c r="AH129" s="562"/>
      <c r="AI129" s="562"/>
      <c r="AJ129" s="562"/>
      <c r="AK129" s="562"/>
    </row>
    <row r="130" spans="2:37" ht="12.75" customHeight="1">
      <c r="B130" s="231"/>
      <c r="C130" s="232"/>
      <c r="D130" s="232"/>
      <c r="E130" s="232"/>
      <c r="F130" s="232"/>
      <c r="G130" s="232"/>
      <c r="H130" s="232"/>
      <c r="I130" s="232"/>
      <c r="J130" s="232"/>
      <c r="K130" s="232"/>
      <c r="L130" s="232"/>
      <c r="M130" s="232"/>
      <c r="N130" s="232"/>
      <c r="O130" s="232"/>
      <c r="P130" s="232"/>
      <c r="Q130" s="232"/>
      <c r="R130" s="232"/>
      <c r="S130" s="232"/>
      <c r="T130" s="232"/>
      <c r="U130" s="232"/>
      <c r="V130" s="232"/>
      <c r="W130" s="232"/>
      <c r="X130" s="232"/>
      <c r="Y130" s="232"/>
      <c r="Z130" s="232"/>
      <c r="AA130" s="232"/>
      <c r="AB130" s="232"/>
      <c r="AC130" s="232"/>
      <c r="AD130" s="232"/>
      <c r="AE130" s="232"/>
      <c r="AF130" s="232"/>
      <c r="AG130" s="232"/>
      <c r="AH130" s="232"/>
      <c r="AI130" s="232"/>
      <c r="AJ130" s="232"/>
      <c r="AK130" s="232"/>
    </row>
    <row r="131" spans="2:37" ht="44.25" customHeight="1">
      <c r="B131" s="566" t="s">
        <v>365</v>
      </c>
      <c r="C131" s="566"/>
      <c r="D131" s="566"/>
      <c r="E131" s="566"/>
      <c r="F131" s="566"/>
      <c r="G131" s="566"/>
      <c r="H131" s="566"/>
      <c r="I131" s="566"/>
      <c r="J131" s="566"/>
      <c r="K131" s="566"/>
      <c r="L131" s="566"/>
      <c r="M131" s="566"/>
      <c r="N131" s="566"/>
      <c r="O131" s="566"/>
      <c r="P131" s="566"/>
      <c r="Q131" s="566"/>
      <c r="R131" s="566"/>
      <c r="S131" s="566"/>
      <c r="T131" s="566"/>
      <c r="U131" s="566"/>
      <c r="V131" s="566"/>
      <c r="W131" s="566"/>
      <c r="X131" s="566"/>
      <c r="Y131" s="566"/>
      <c r="Z131" s="566"/>
      <c r="AA131" s="566"/>
      <c r="AB131" s="566"/>
      <c r="AC131" s="566"/>
      <c r="AD131" s="566"/>
      <c r="AE131" s="566"/>
      <c r="AF131" s="566"/>
      <c r="AG131" s="566"/>
      <c r="AH131" s="566"/>
      <c r="AI131" s="566"/>
      <c r="AJ131" s="566"/>
      <c r="AK131" s="566"/>
    </row>
    <row r="132" spans="2:37" ht="12.75" customHeight="1">
      <c r="B132" s="232"/>
      <c r="C132" s="232"/>
      <c r="D132" s="232"/>
      <c r="E132" s="232"/>
      <c r="F132" s="232"/>
      <c r="G132" s="232"/>
      <c r="H132" s="232"/>
      <c r="I132" s="232"/>
      <c r="J132" s="232"/>
      <c r="K132" s="232"/>
      <c r="L132" s="232"/>
      <c r="M132" s="232"/>
      <c r="N132" s="232"/>
      <c r="O132" s="232"/>
      <c r="P132" s="232"/>
      <c r="Q132" s="232"/>
      <c r="R132" s="232"/>
      <c r="S132" s="232"/>
      <c r="T132" s="232"/>
      <c r="U132" s="232"/>
      <c r="V132" s="232"/>
      <c r="W132" s="232"/>
      <c r="X132" s="232"/>
      <c r="Y132" s="232"/>
      <c r="Z132" s="232"/>
      <c r="AA132" s="232"/>
      <c r="AB132" s="232"/>
      <c r="AC132" s="232"/>
      <c r="AD132" s="232"/>
      <c r="AE132" s="232"/>
      <c r="AF132" s="232"/>
      <c r="AG132" s="232"/>
      <c r="AH132" s="232"/>
      <c r="AI132" s="232"/>
      <c r="AJ132" s="232"/>
      <c r="AK132" s="232"/>
    </row>
    <row r="133" spans="2:37" ht="75" customHeight="1">
      <c r="B133" s="566" t="s">
        <v>366</v>
      </c>
      <c r="C133" s="566"/>
      <c r="D133" s="566"/>
      <c r="E133" s="566"/>
      <c r="F133" s="566"/>
      <c r="G133" s="566"/>
      <c r="H133" s="566"/>
      <c r="I133" s="566"/>
      <c r="J133" s="566"/>
      <c r="K133" s="566"/>
      <c r="L133" s="566"/>
      <c r="M133" s="566"/>
      <c r="N133" s="566"/>
      <c r="O133" s="566"/>
      <c r="P133" s="566"/>
      <c r="Q133" s="566"/>
      <c r="R133" s="566"/>
      <c r="S133" s="566"/>
      <c r="T133" s="566"/>
      <c r="U133" s="566"/>
      <c r="V133" s="566"/>
      <c r="W133" s="566"/>
      <c r="X133" s="566"/>
      <c r="Y133" s="566"/>
      <c r="Z133" s="566"/>
      <c r="AA133" s="566"/>
      <c r="AB133" s="566"/>
      <c r="AC133" s="566"/>
      <c r="AD133" s="566"/>
      <c r="AE133" s="566"/>
      <c r="AF133" s="566"/>
      <c r="AG133" s="566"/>
      <c r="AH133" s="566"/>
      <c r="AI133" s="566"/>
      <c r="AJ133" s="566"/>
      <c r="AK133" s="566"/>
    </row>
    <row r="134" spans="2:37" ht="12.75" customHeight="1">
      <c r="B134" s="231"/>
      <c r="C134" s="232"/>
      <c r="D134" s="232"/>
      <c r="E134" s="232"/>
      <c r="F134" s="232"/>
      <c r="G134" s="232"/>
      <c r="H134" s="232"/>
      <c r="I134" s="232"/>
      <c r="J134" s="232"/>
      <c r="K134" s="232"/>
      <c r="L134" s="232"/>
      <c r="M134" s="232"/>
      <c r="N134" s="232"/>
      <c r="O134" s="232"/>
      <c r="P134" s="232"/>
      <c r="Q134" s="232"/>
      <c r="R134" s="232"/>
      <c r="S134" s="232"/>
      <c r="T134" s="232"/>
      <c r="U134" s="232"/>
      <c r="V134" s="232"/>
      <c r="W134" s="232"/>
      <c r="X134" s="232"/>
      <c r="Y134" s="232"/>
      <c r="Z134" s="232"/>
      <c r="AA134" s="232"/>
      <c r="AB134" s="232"/>
      <c r="AC134" s="232"/>
      <c r="AD134" s="232"/>
      <c r="AE134" s="232"/>
      <c r="AF134" s="232"/>
      <c r="AG134" s="232"/>
      <c r="AH134" s="232"/>
      <c r="AI134" s="232"/>
      <c r="AJ134" s="232"/>
      <c r="AK134" s="232"/>
    </row>
    <row r="135" spans="2:37" ht="33.75" customHeight="1">
      <c r="B135" s="566" t="s">
        <v>367</v>
      </c>
      <c r="C135" s="566"/>
      <c r="D135" s="566"/>
      <c r="E135" s="566"/>
      <c r="F135" s="566"/>
      <c r="G135" s="566"/>
      <c r="H135" s="566"/>
      <c r="I135" s="566"/>
      <c r="J135" s="566"/>
      <c r="K135" s="566"/>
      <c r="L135" s="566"/>
      <c r="M135" s="566"/>
      <c r="N135" s="566"/>
      <c r="O135" s="566"/>
      <c r="P135" s="566"/>
      <c r="Q135" s="566"/>
      <c r="R135" s="566"/>
      <c r="S135" s="566"/>
      <c r="T135" s="566"/>
      <c r="U135" s="566"/>
      <c r="V135" s="566"/>
      <c r="W135" s="566"/>
      <c r="X135" s="566"/>
      <c r="Y135" s="566"/>
      <c r="Z135" s="566"/>
      <c r="AA135" s="566"/>
      <c r="AB135" s="566"/>
      <c r="AC135" s="566"/>
      <c r="AD135" s="566"/>
      <c r="AE135" s="566"/>
      <c r="AF135" s="566"/>
      <c r="AG135" s="566"/>
      <c r="AH135" s="566"/>
      <c r="AI135" s="566"/>
      <c r="AJ135" s="566"/>
      <c r="AK135" s="566"/>
    </row>
    <row r="136" spans="2:37" ht="12.75" customHeight="1">
      <c r="B136" s="231"/>
      <c r="C136" s="232"/>
      <c r="D136" s="232"/>
      <c r="E136" s="232"/>
      <c r="F136" s="232"/>
      <c r="G136" s="232"/>
      <c r="H136" s="232"/>
      <c r="I136" s="232"/>
      <c r="J136" s="232"/>
      <c r="K136" s="232"/>
      <c r="L136" s="232"/>
      <c r="M136" s="232"/>
      <c r="N136" s="232"/>
      <c r="O136" s="232"/>
      <c r="P136" s="232"/>
      <c r="Q136" s="232"/>
      <c r="R136" s="232"/>
      <c r="S136" s="232"/>
      <c r="T136" s="232"/>
      <c r="U136" s="232"/>
      <c r="V136" s="232"/>
      <c r="W136" s="232"/>
      <c r="X136" s="232"/>
      <c r="Y136" s="232"/>
      <c r="Z136" s="232"/>
      <c r="AA136" s="232"/>
      <c r="AB136" s="232"/>
      <c r="AC136" s="232"/>
      <c r="AD136" s="232"/>
      <c r="AE136" s="232"/>
      <c r="AF136" s="232"/>
      <c r="AG136" s="232"/>
      <c r="AH136" s="232"/>
      <c r="AI136" s="232"/>
      <c r="AJ136" s="232"/>
      <c r="AK136" s="232"/>
    </row>
    <row r="137" spans="2:37" ht="77.25" customHeight="1">
      <c r="B137" s="566" t="s">
        <v>368</v>
      </c>
      <c r="C137" s="566"/>
      <c r="D137" s="566"/>
      <c r="E137" s="566"/>
      <c r="F137" s="566"/>
      <c r="G137" s="566"/>
      <c r="H137" s="566"/>
      <c r="I137" s="566"/>
      <c r="J137" s="566"/>
      <c r="K137" s="566"/>
      <c r="L137" s="566"/>
      <c r="M137" s="566"/>
      <c r="N137" s="566"/>
      <c r="O137" s="566"/>
      <c r="P137" s="566"/>
      <c r="Q137" s="566"/>
      <c r="R137" s="566"/>
      <c r="S137" s="566"/>
      <c r="T137" s="566"/>
      <c r="U137" s="566"/>
      <c r="V137" s="566"/>
      <c r="W137" s="566"/>
      <c r="X137" s="566"/>
      <c r="Y137" s="566"/>
      <c r="Z137" s="566"/>
      <c r="AA137" s="566"/>
      <c r="AB137" s="566"/>
      <c r="AC137" s="566"/>
      <c r="AD137" s="566"/>
      <c r="AE137" s="566"/>
      <c r="AF137" s="566"/>
      <c r="AG137" s="566"/>
      <c r="AH137" s="566"/>
      <c r="AI137" s="566"/>
      <c r="AJ137" s="566"/>
      <c r="AK137" s="566"/>
    </row>
    <row r="138" spans="2:37" ht="12.75" customHeight="1">
      <c r="B138" s="231"/>
      <c r="C138" s="232"/>
      <c r="D138" s="232"/>
      <c r="E138" s="232"/>
      <c r="F138" s="232"/>
      <c r="G138" s="232"/>
      <c r="H138" s="232"/>
      <c r="I138" s="232"/>
      <c r="J138" s="232"/>
      <c r="K138" s="232"/>
      <c r="L138" s="232"/>
      <c r="M138" s="232"/>
      <c r="N138" s="232"/>
      <c r="O138" s="232"/>
      <c r="P138" s="232"/>
      <c r="Q138" s="232"/>
      <c r="R138" s="232"/>
      <c r="S138" s="232"/>
      <c r="T138" s="232"/>
      <c r="U138" s="232"/>
      <c r="V138" s="232"/>
      <c r="W138" s="232"/>
      <c r="X138" s="232"/>
      <c r="Y138" s="232"/>
      <c r="Z138" s="232"/>
      <c r="AA138" s="232"/>
      <c r="AB138" s="232"/>
      <c r="AC138" s="232"/>
      <c r="AD138" s="232"/>
      <c r="AE138" s="232"/>
      <c r="AF138" s="232"/>
      <c r="AG138" s="232"/>
      <c r="AH138" s="232"/>
      <c r="AI138" s="232"/>
      <c r="AJ138" s="232"/>
      <c r="AK138" s="232"/>
    </row>
    <row r="139" spans="2:37" ht="34.5" customHeight="1">
      <c r="B139" s="566" t="s">
        <v>369</v>
      </c>
      <c r="C139" s="566"/>
      <c r="D139" s="566"/>
      <c r="E139" s="566"/>
      <c r="F139" s="566"/>
      <c r="G139" s="566"/>
      <c r="H139" s="566"/>
      <c r="I139" s="566"/>
      <c r="J139" s="566"/>
      <c r="K139" s="566"/>
      <c r="L139" s="566"/>
      <c r="M139" s="566"/>
      <c r="N139" s="566"/>
      <c r="O139" s="566"/>
      <c r="P139" s="566"/>
      <c r="Q139" s="566"/>
      <c r="R139" s="566"/>
      <c r="S139" s="566"/>
      <c r="T139" s="566"/>
      <c r="U139" s="566"/>
      <c r="V139" s="566"/>
      <c r="W139" s="566"/>
      <c r="X139" s="566"/>
      <c r="Y139" s="566"/>
      <c r="Z139" s="566"/>
      <c r="AA139" s="566"/>
      <c r="AB139" s="566"/>
      <c r="AC139" s="566"/>
      <c r="AD139" s="566"/>
      <c r="AE139" s="566"/>
      <c r="AF139" s="566"/>
      <c r="AG139" s="566"/>
      <c r="AH139" s="566"/>
      <c r="AI139" s="566"/>
      <c r="AJ139" s="566"/>
      <c r="AK139" s="566"/>
    </row>
    <row r="140" spans="2:37" ht="12.75" customHeight="1">
      <c r="B140" s="232"/>
      <c r="C140" s="232"/>
      <c r="D140" s="232"/>
      <c r="E140" s="232"/>
      <c r="F140" s="232"/>
      <c r="G140" s="232"/>
      <c r="H140" s="232"/>
      <c r="I140" s="232"/>
      <c r="J140" s="232"/>
      <c r="K140" s="232"/>
      <c r="L140" s="232"/>
      <c r="M140" s="232"/>
      <c r="N140" s="232"/>
      <c r="O140" s="232"/>
      <c r="P140" s="232"/>
      <c r="Q140" s="232"/>
      <c r="R140" s="232"/>
      <c r="S140" s="232"/>
      <c r="T140" s="232"/>
      <c r="U140" s="232"/>
      <c r="V140" s="232"/>
      <c r="W140" s="232"/>
      <c r="X140" s="232"/>
      <c r="Y140" s="232"/>
      <c r="Z140" s="232"/>
      <c r="AA140" s="232"/>
      <c r="AB140" s="232"/>
      <c r="AC140" s="232"/>
      <c r="AD140" s="232"/>
      <c r="AE140" s="232"/>
      <c r="AF140" s="232"/>
      <c r="AG140" s="232"/>
      <c r="AH140" s="232"/>
      <c r="AI140" s="232"/>
      <c r="AJ140" s="232"/>
      <c r="AK140" s="232"/>
    </row>
    <row r="141" spans="2:37" ht="71.25" customHeight="1">
      <c r="B141" s="566" t="s">
        <v>370</v>
      </c>
      <c r="C141" s="566"/>
      <c r="D141" s="566"/>
      <c r="E141" s="566"/>
      <c r="F141" s="566"/>
      <c r="G141" s="566"/>
      <c r="H141" s="566"/>
      <c r="I141" s="566"/>
      <c r="J141" s="566"/>
      <c r="K141" s="566"/>
      <c r="L141" s="566"/>
      <c r="M141" s="566"/>
      <c r="N141" s="566"/>
      <c r="O141" s="566"/>
      <c r="P141" s="566"/>
      <c r="Q141" s="566"/>
      <c r="R141" s="566"/>
      <c r="S141" s="566"/>
      <c r="T141" s="566"/>
      <c r="U141" s="566"/>
      <c r="V141" s="566"/>
      <c r="W141" s="566"/>
      <c r="X141" s="566"/>
      <c r="Y141" s="566"/>
      <c r="Z141" s="566"/>
      <c r="AA141" s="566"/>
      <c r="AB141" s="566"/>
      <c r="AC141" s="566"/>
      <c r="AD141" s="566"/>
      <c r="AE141" s="566"/>
      <c r="AF141" s="566"/>
      <c r="AG141" s="566"/>
      <c r="AH141" s="566"/>
      <c r="AI141" s="566"/>
      <c r="AJ141" s="566"/>
      <c r="AK141" s="566"/>
    </row>
    <row r="142" spans="2:37" ht="12.75" customHeight="1">
      <c r="B142" s="231"/>
      <c r="C142" s="232"/>
      <c r="D142" s="232"/>
      <c r="E142" s="232"/>
      <c r="F142" s="232"/>
      <c r="G142" s="232"/>
      <c r="H142" s="232"/>
      <c r="I142" s="232"/>
      <c r="J142" s="232"/>
      <c r="K142" s="232"/>
      <c r="L142" s="232"/>
      <c r="M142" s="232"/>
      <c r="N142" s="232"/>
      <c r="O142" s="232"/>
      <c r="P142" s="232"/>
      <c r="Q142" s="232"/>
      <c r="R142" s="232"/>
      <c r="S142" s="232"/>
      <c r="T142" s="232"/>
      <c r="U142" s="232"/>
      <c r="V142" s="232"/>
      <c r="W142" s="232"/>
      <c r="X142" s="232"/>
      <c r="Y142" s="232"/>
      <c r="Z142" s="232"/>
      <c r="AA142" s="232"/>
      <c r="AB142" s="232"/>
      <c r="AC142" s="232"/>
      <c r="AD142" s="232"/>
      <c r="AE142" s="232"/>
      <c r="AF142" s="232"/>
      <c r="AG142" s="232"/>
      <c r="AH142" s="232"/>
      <c r="AI142" s="232"/>
      <c r="AJ142" s="232"/>
      <c r="AK142" s="232"/>
    </row>
    <row r="143" spans="2:37" ht="62.25" customHeight="1">
      <c r="B143" s="566" t="s">
        <v>371</v>
      </c>
      <c r="C143" s="566"/>
      <c r="D143" s="566"/>
      <c r="E143" s="566"/>
      <c r="F143" s="566"/>
      <c r="G143" s="566"/>
      <c r="H143" s="566"/>
      <c r="I143" s="566"/>
      <c r="J143" s="566"/>
      <c r="K143" s="566"/>
      <c r="L143" s="566"/>
      <c r="M143" s="566"/>
      <c r="N143" s="566"/>
      <c r="O143" s="566"/>
      <c r="P143" s="566"/>
      <c r="Q143" s="566"/>
      <c r="R143" s="566"/>
      <c r="S143" s="566"/>
      <c r="T143" s="566"/>
      <c r="U143" s="566"/>
      <c r="V143" s="566"/>
      <c r="W143" s="566"/>
      <c r="X143" s="566"/>
      <c r="Y143" s="566"/>
      <c r="Z143" s="566"/>
      <c r="AA143" s="566"/>
      <c r="AB143" s="566"/>
      <c r="AC143" s="566"/>
      <c r="AD143" s="566"/>
      <c r="AE143" s="566"/>
      <c r="AF143" s="566"/>
      <c r="AG143" s="566"/>
      <c r="AH143" s="566"/>
      <c r="AI143" s="566"/>
      <c r="AJ143" s="566"/>
      <c r="AK143" s="566"/>
    </row>
    <row r="144" spans="2:37" ht="22.5" customHeight="1">
      <c r="B144" s="562" t="s">
        <v>231</v>
      </c>
      <c r="C144" s="562"/>
      <c r="D144" s="562"/>
      <c r="E144" s="562"/>
      <c r="F144" s="562"/>
      <c r="G144" s="562"/>
      <c r="H144" s="562"/>
      <c r="I144" s="562"/>
      <c r="J144" s="562"/>
      <c r="K144" s="562"/>
      <c r="L144" s="562"/>
      <c r="M144" s="562"/>
      <c r="N144" s="562"/>
      <c r="O144" s="562"/>
      <c r="P144" s="562"/>
      <c r="Q144" s="562"/>
      <c r="R144" s="562"/>
      <c r="S144" s="562"/>
      <c r="T144" s="562"/>
      <c r="U144" s="562"/>
      <c r="V144" s="562"/>
      <c r="W144" s="562"/>
      <c r="X144" s="562"/>
      <c r="Y144" s="562"/>
      <c r="Z144" s="562"/>
      <c r="AA144" s="562"/>
      <c r="AB144" s="562"/>
      <c r="AC144" s="562"/>
      <c r="AD144" s="562"/>
      <c r="AE144" s="562"/>
      <c r="AF144" s="562"/>
      <c r="AG144" s="562"/>
      <c r="AH144" s="562"/>
      <c r="AI144" s="562"/>
      <c r="AJ144" s="562"/>
      <c r="AK144" s="562"/>
    </row>
    <row r="145" spans="2:37" ht="12.75" customHeight="1">
      <c r="B145" s="231"/>
      <c r="C145" s="232"/>
      <c r="D145" s="232"/>
      <c r="E145" s="232"/>
      <c r="F145" s="232"/>
      <c r="G145" s="232"/>
      <c r="H145" s="232"/>
      <c r="I145" s="232"/>
      <c r="J145" s="232"/>
      <c r="K145" s="232"/>
      <c r="L145" s="232"/>
      <c r="M145" s="232"/>
      <c r="N145" s="232"/>
      <c r="O145" s="232"/>
      <c r="P145" s="232"/>
      <c r="Q145" s="232"/>
      <c r="R145" s="232"/>
      <c r="S145" s="232"/>
      <c r="T145" s="232"/>
      <c r="U145" s="232"/>
      <c r="V145" s="232"/>
      <c r="W145" s="232"/>
      <c r="X145" s="232"/>
      <c r="Y145" s="232"/>
      <c r="Z145" s="232"/>
      <c r="AA145" s="232"/>
      <c r="AB145" s="232"/>
      <c r="AC145" s="232"/>
      <c r="AD145" s="232"/>
      <c r="AE145" s="232"/>
      <c r="AF145" s="232"/>
      <c r="AG145" s="232"/>
      <c r="AH145" s="232"/>
      <c r="AI145" s="232"/>
      <c r="AJ145" s="232"/>
      <c r="AK145" s="232"/>
    </row>
    <row r="146" spans="2:37" ht="72.75" customHeight="1">
      <c r="B146" s="566" t="s">
        <v>232</v>
      </c>
      <c r="C146" s="566"/>
      <c r="D146" s="566"/>
      <c r="E146" s="566"/>
      <c r="F146" s="566"/>
      <c r="G146" s="566"/>
      <c r="H146" s="566"/>
      <c r="I146" s="566"/>
      <c r="J146" s="566"/>
      <c r="K146" s="566"/>
      <c r="L146" s="566"/>
      <c r="M146" s="566"/>
      <c r="N146" s="566"/>
      <c r="O146" s="566"/>
      <c r="P146" s="566"/>
      <c r="Q146" s="566"/>
      <c r="R146" s="566"/>
      <c r="S146" s="566"/>
      <c r="T146" s="566"/>
      <c r="U146" s="566"/>
      <c r="V146" s="566"/>
      <c r="W146" s="566"/>
      <c r="X146" s="566"/>
      <c r="Y146" s="566"/>
      <c r="Z146" s="566"/>
      <c r="AA146" s="566"/>
      <c r="AB146" s="566"/>
      <c r="AC146" s="566"/>
      <c r="AD146" s="566"/>
      <c r="AE146" s="566"/>
      <c r="AF146" s="566"/>
      <c r="AG146" s="566"/>
      <c r="AH146" s="566"/>
      <c r="AI146" s="566"/>
      <c r="AJ146" s="566"/>
      <c r="AK146" s="566"/>
    </row>
    <row r="147" spans="2:37" ht="12.75" customHeight="1">
      <c r="B147" s="232"/>
      <c r="C147" s="232"/>
      <c r="D147" s="232"/>
      <c r="E147" s="232"/>
      <c r="F147" s="232"/>
      <c r="G147" s="232"/>
      <c r="H147" s="232"/>
      <c r="I147" s="232"/>
      <c r="J147" s="232"/>
      <c r="K147" s="232"/>
      <c r="L147" s="232"/>
      <c r="M147" s="232"/>
      <c r="N147" s="232"/>
      <c r="O147" s="232"/>
      <c r="P147" s="232"/>
      <c r="Q147" s="232"/>
      <c r="R147" s="232"/>
      <c r="S147" s="232"/>
      <c r="T147" s="232"/>
      <c r="U147" s="232"/>
      <c r="V147" s="232"/>
      <c r="W147" s="232"/>
      <c r="X147" s="232"/>
      <c r="Y147" s="232"/>
      <c r="Z147" s="232"/>
      <c r="AA147" s="232"/>
      <c r="AB147" s="232"/>
      <c r="AC147" s="232"/>
      <c r="AD147" s="232"/>
      <c r="AE147" s="232"/>
      <c r="AF147" s="232"/>
      <c r="AG147" s="232"/>
      <c r="AH147" s="232"/>
      <c r="AI147" s="232"/>
      <c r="AJ147" s="232"/>
      <c r="AK147" s="232"/>
    </row>
    <row r="148" spans="2:37" ht="93.75" customHeight="1">
      <c r="B148" s="566" t="s">
        <v>372</v>
      </c>
      <c r="C148" s="566"/>
      <c r="D148" s="566"/>
      <c r="E148" s="566"/>
      <c r="F148" s="566"/>
      <c r="G148" s="566"/>
      <c r="H148" s="566"/>
      <c r="I148" s="566"/>
      <c r="J148" s="566"/>
      <c r="K148" s="566"/>
      <c r="L148" s="566"/>
      <c r="M148" s="566"/>
      <c r="N148" s="566"/>
      <c r="O148" s="566"/>
      <c r="P148" s="566"/>
      <c r="Q148" s="566"/>
      <c r="R148" s="566"/>
      <c r="S148" s="566"/>
      <c r="T148" s="566"/>
      <c r="U148" s="566"/>
      <c r="V148" s="566"/>
      <c r="W148" s="566"/>
      <c r="X148" s="566"/>
      <c r="Y148" s="566"/>
      <c r="Z148" s="566"/>
      <c r="AA148" s="566"/>
      <c r="AB148" s="566"/>
      <c r="AC148" s="566"/>
      <c r="AD148" s="566"/>
      <c r="AE148" s="566"/>
      <c r="AF148" s="566"/>
      <c r="AG148" s="566"/>
      <c r="AH148" s="566"/>
      <c r="AI148" s="566"/>
      <c r="AJ148" s="566"/>
      <c r="AK148" s="566"/>
    </row>
    <row r="149" spans="2:37" ht="60" customHeight="1">
      <c r="B149" s="562" t="s">
        <v>373</v>
      </c>
      <c r="C149" s="562"/>
      <c r="D149" s="562"/>
      <c r="E149" s="562"/>
      <c r="F149" s="562"/>
      <c r="G149" s="562"/>
      <c r="H149" s="562"/>
      <c r="I149" s="562"/>
      <c r="J149" s="562"/>
      <c r="K149" s="562"/>
      <c r="L149" s="562"/>
      <c r="M149" s="562"/>
      <c r="N149" s="562"/>
      <c r="O149" s="562"/>
      <c r="P149" s="562"/>
      <c r="Q149" s="562"/>
      <c r="R149" s="562"/>
      <c r="S149" s="562"/>
      <c r="T149" s="562"/>
      <c r="U149" s="562"/>
      <c r="V149" s="562"/>
      <c r="W149" s="562"/>
      <c r="X149" s="562"/>
      <c r="Y149" s="562"/>
      <c r="Z149" s="562"/>
      <c r="AA149" s="562"/>
      <c r="AB149" s="562"/>
      <c r="AC149" s="562"/>
      <c r="AD149" s="562"/>
      <c r="AE149" s="562"/>
      <c r="AF149" s="562"/>
      <c r="AG149" s="562"/>
      <c r="AH149" s="562"/>
      <c r="AI149" s="562"/>
      <c r="AJ149" s="562"/>
      <c r="AK149" s="562"/>
    </row>
    <row r="150" spans="2:37" ht="24.75" customHeight="1">
      <c r="B150" s="562" t="s">
        <v>374</v>
      </c>
      <c r="C150" s="562"/>
      <c r="D150" s="562"/>
      <c r="E150" s="562"/>
      <c r="F150" s="562"/>
      <c r="G150" s="562"/>
      <c r="H150" s="562"/>
      <c r="I150" s="562"/>
      <c r="J150" s="562"/>
      <c r="K150" s="562"/>
      <c r="L150" s="562"/>
      <c r="M150" s="562"/>
      <c r="N150" s="562"/>
      <c r="O150" s="562"/>
      <c r="P150" s="562"/>
      <c r="Q150" s="562"/>
      <c r="R150" s="562"/>
      <c r="S150" s="562"/>
      <c r="T150" s="562"/>
      <c r="U150" s="562"/>
      <c r="V150" s="562"/>
      <c r="W150" s="562"/>
      <c r="X150" s="562"/>
      <c r="Y150" s="562"/>
      <c r="Z150" s="562"/>
      <c r="AA150" s="562"/>
      <c r="AB150" s="562"/>
      <c r="AC150" s="562"/>
      <c r="AD150" s="562"/>
      <c r="AE150" s="562"/>
      <c r="AF150" s="562"/>
      <c r="AG150" s="562"/>
      <c r="AH150" s="562"/>
      <c r="AI150" s="562"/>
      <c r="AJ150" s="562"/>
      <c r="AK150" s="562"/>
    </row>
    <row r="151" spans="2:37" ht="13.2">
      <c r="B151" s="231" t="s">
        <v>119</v>
      </c>
      <c r="C151" s="232"/>
      <c r="D151" s="232"/>
      <c r="E151" s="232"/>
      <c r="F151" s="232"/>
      <c r="G151" s="232"/>
      <c r="H151" s="232"/>
      <c r="I151" s="232"/>
      <c r="J151" s="232"/>
      <c r="K151" s="232"/>
      <c r="L151" s="232"/>
      <c r="M151" s="232"/>
      <c r="N151" s="232"/>
      <c r="O151" s="232"/>
      <c r="P151" s="232"/>
      <c r="Q151" s="232"/>
      <c r="R151" s="232"/>
      <c r="S151" s="232"/>
      <c r="T151" s="232"/>
      <c r="U151" s="232"/>
      <c r="V151" s="232"/>
      <c r="W151" s="232"/>
      <c r="X151" s="232"/>
      <c r="Y151" s="232"/>
      <c r="Z151" s="232"/>
      <c r="AA151" s="232"/>
      <c r="AB151" s="232"/>
      <c r="AC151" s="232"/>
      <c r="AD151" s="232"/>
      <c r="AE151" s="232"/>
      <c r="AF151" s="232"/>
      <c r="AG151" s="232"/>
      <c r="AH151" s="232"/>
      <c r="AI151" s="232"/>
      <c r="AJ151" s="232"/>
      <c r="AK151" s="232"/>
    </row>
    <row r="152" spans="2:37" ht="247.5" customHeight="1">
      <c r="B152" s="566" t="s">
        <v>375</v>
      </c>
      <c r="C152" s="566"/>
      <c r="D152" s="566"/>
      <c r="E152" s="566"/>
      <c r="F152" s="566"/>
      <c r="G152" s="566"/>
      <c r="H152" s="566"/>
      <c r="I152" s="566"/>
      <c r="J152" s="566"/>
      <c r="K152" s="566"/>
      <c r="L152" s="566"/>
      <c r="M152" s="566"/>
      <c r="N152" s="566"/>
      <c r="O152" s="566"/>
      <c r="P152" s="566"/>
      <c r="Q152" s="566"/>
      <c r="R152" s="566"/>
      <c r="S152" s="566"/>
      <c r="T152" s="566"/>
      <c r="U152" s="566"/>
      <c r="V152" s="566"/>
      <c r="W152" s="566"/>
      <c r="X152" s="566"/>
      <c r="Y152" s="566"/>
      <c r="Z152" s="566"/>
      <c r="AA152" s="566"/>
      <c r="AB152" s="566"/>
      <c r="AC152" s="566"/>
      <c r="AD152" s="566"/>
      <c r="AE152" s="566"/>
      <c r="AF152" s="566"/>
      <c r="AG152" s="566"/>
      <c r="AH152" s="566"/>
      <c r="AI152" s="566"/>
      <c r="AJ152" s="566"/>
      <c r="AK152" s="566"/>
    </row>
    <row r="153" spans="2:37" ht="12.75" customHeight="1">
      <c r="B153" s="232"/>
      <c r="C153" s="232"/>
      <c r="D153" s="232"/>
      <c r="E153" s="232"/>
      <c r="F153" s="232"/>
      <c r="G153" s="232"/>
      <c r="H153" s="232"/>
      <c r="I153" s="232"/>
      <c r="J153" s="232"/>
      <c r="K153" s="232"/>
      <c r="L153" s="232"/>
      <c r="M153" s="232"/>
      <c r="N153" s="232"/>
      <c r="O153" s="232"/>
      <c r="P153" s="232"/>
      <c r="Q153" s="232"/>
      <c r="R153" s="232"/>
      <c r="S153" s="232"/>
      <c r="T153" s="232"/>
      <c r="U153" s="232"/>
      <c r="V153" s="232"/>
      <c r="W153" s="232"/>
      <c r="X153" s="232"/>
      <c r="Y153" s="232"/>
      <c r="Z153" s="232"/>
      <c r="AA153" s="232"/>
      <c r="AB153" s="232"/>
      <c r="AC153" s="232"/>
      <c r="AD153" s="232"/>
      <c r="AE153" s="232"/>
      <c r="AF153" s="232"/>
      <c r="AG153" s="232"/>
      <c r="AH153" s="232"/>
      <c r="AI153" s="232"/>
      <c r="AJ153" s="232"/>
      <c r="AK153" s="232"/>
    </row>
    <row r="154" spans="2:37" ht="58.5" customHeight="1">
      <c r="B154" s="566" t="s">
        <v>376</v>
      </c>
      <c r="C154" s="566"/>
      <c r="D154" s="566"/>
      <c r="E154" s="566"/>
      <c r="F154" s="566"/>
      <c r="G154" s="566"/>
      <c r="H154" s="566"/>
      <c r="I154" s="566"/>
      <c r="J154" s="566"/>
      <c r="K154" s="566"/>
      <c r="L154" s="566"/>
      <c r="M154" s="566"/>
      <c r="N154" s="566"/>
      <c r="O154" s="566"/>
      <c r="P154" s="566"/>
      <c r="Q154" s="566"/>
      <c r="R154" s="566"/>
      <c r="S154" s="566"/>
      <c r="T154" s="566"/>
      <c r="U154" s="566"/>
      <c r="V154" s="566"/>
      <c r="W154" s="566"/>
      <c r="X154" s="566"/>
      <c r="Y154" s="566"/>
      <c r="Z154" s="566"/>
      <c r="AA154" s="566"/>
      <c r="AB154" s="566"/>
      <c r="AC154" s="566"/>
      <c r="AD154" s="566"/>
      <c r="AE154" s="566"/>
      <c r="AF154" s="566"/>
      <c r="AG154" s="566"/>
      <c r="AH154" s="566"/>
      <c r="AI154" s="566"/>
      <c r="AJ154" s="566"/>
      <c r="AK154" s="566"/>
    </row>
    <row r="155" spans="2:37" ht="12.75" customHeight="1">
      <c r="B155" s="238"/>
      <c r="C155" s="238"/>
      <c r="D155" s="238"/>
      <c r="E155" s="238"/>
      <c r="F155" s="238"/>
      <c r="G155" s="238"/>
      <c r="H155" s="238"/>
      <c r="I155" s="238"/>
      <c r="J155" s="238"/>
      <c r="K155" s="238"/>
      <c r="L155" s="238"/>
      <c r="M155" s="238"/>
      <c r="N155" s="238"/>
      <c r="O155" s="238"/>
      <c r="P155" s="238"/>
      <c r="Q155" s="238"/>
      <c r="R155" s="238"/>
      <c r="S155" s="238"/>
      <c r="T155" s="238"/>
      <c r="U155" s="238"/>
      <c r="V155" s="238"/>
      <c r="W155" s="238"/>
      <c r="X155" s="238"/>
      <c r="Y155" s="238"/>
      <c r="Z155" s="238"/>
      <c r="AA155" s="238"/>
      <c r="AB155" s="238"/>
      <c r="AC155" s="238"/>
      <c r="AD155" s="238"/>
      <c r="AE155" s="238"/>
      <c r="AF155" s="238"/>
      <c r="AG155" s="238"/>
      <c r="AH155" s="238"/>
      <c r="AI155" s="238"/>
      <c r="AJ155" s="238"/>
      <c r="AK155" s="238"/>
    </row>
    <row r="156" spans="2:37" ht="386.25" customHeight="1">
      <c r="B156" s="566" t="s">
        <v>377</v>
      </c>
      <c r="C156" s="566"/>
      <c r="D156" s="566"/>
      <c r="E156" s="566"/>
      <c r="F156" s="566"/>
      <c r="G156" s="566"/>
      <c r="H156" s="566"/>
      <c r="I156" s="566"/>
      <c r="J156" s="566"/>
      <c r="K156" s="566"/>
      <c r="L156" s="566"/>
      <c r="M156" s="566"/>
      <c r="N156" s="566"/>
      <c r="O156" s="566"/>
      <c r="P156" s="566"/>
      <c r="Q156" s="566"/>
      <c r="R156" s="566"/>
      <c r="S156" s="566"/>
      <c r="T156" s="566"/>
      <c r="U156" s="566"/>
      <c r="V156" s="566"/>
      <c r="W156" s="566"/>
      <c r="X156" s="566"/>
      <c r="Y156" s="566"/>
      <c r="Z156" s="566"/>
      <c r="AA156" s="566"/>
      <c r="AB156" s="566"/>
      <c r="AC156" s="566"/>
      <c r="AD156" s="566"/>
      <c r="AE156" s="566"/>
      <c r="AF156" s="566"/>
      <c r="AG156" s="566"/>
      <c r="AH156" s="566"/>
      <c r="AI156" s="566"/>
      <c r="AJ156" s="566"/>
      <c r="AK156" s="566"/>
    </row>
    <row r="157" spans="2:37" ht="12.75" customHeight="1">
      <c r="B157" s="231"/>
      <c r="C157" s="232"/>
      <c r="D157" s="232"/>
      <c r="E157" s="232"/>
      <c r="F157" s="232"/>
      <c r="G157" s="232"/>
      <c r="H157" s="232"/>
      <c r="I157" s="232"/>
      <c r="J157" s="232"/>
      <c r="K157" s="232"/>
      <c r="L157" s="232"/>
      <c r="M157" s="232"/>
      <c r="N157" s="232"/>
      <c r="O157" s="232"/>
      <c r="P157" s="232"/>
      <c r="Q157" s="232"/>
      <c r="R157" s="232"/>
      <c r="S157" s="232"/>
      <c r="T157" s="232"/>
      <c r="U157" s="232"/>
      <c r="V157" s="232"/>
      <c r="W157" s="232"/>
      <c r="X157" s="232"/>
      <c r="Y157" s="232"/>
      <c r="Z157" s="232"/>
      <c r="AA157" s="232"/>
      <c r="AB157" s="232"/>
      <c r="AC157" s="232"/>
      <c r="AD157" s="232"/>
      <c r="AE157" s="232"/>
      <c r="AF157" s="232"/>
      <c r="AG157" s="232"/>
      <c r="AH157" s="232"/>
      <c r="AI157" s="232"/>
      <c r="AJ157" s="232"/>
      <c r="AK157" s="232"/>
    </row>
    <row r="158" spans="2:37" ht="24" customHeight="1">
      <c r="B158" s="566" t="s">
        <v>239</v>
      </c>
      <c r="C158" s="566"/>
      <c r="D158" s="566"/>
      <c r="E158" s="566"/>
      <c r="F158" s="566"/>
      <c r="G158" s="566"/>
      <c r="H158" s="566"/>
      <c r="I158" s="566"/>
      <c r="J158" s="566"/>
      <c r="K158" s="566"/>
      <c r="L158" s="566"/>
      <c r="M158" s="566"/>
      <c r="N158" s="566"/>
      <c r="O158" s="566"/>
      <c r="P158" s="566"/>
      <c r="Q158" s="566"/>
      <c r="R158" s="566"/>
      <c r="S158" s="566"/>
      <c r="T158" s="566"/>
      <c r="U158" s="566"/>
      <c r="V158" s="566"/>
      <c r="W158" s="566"/>
      <c r="X158" s="566"/>
      <c r="Y158" s="566"/>
      <c r="Z158" s="566"/>
      <c r="AA158" s="566"/>
      <c r="AB158" s="566"/>
      <c r="AC158" s="566"/>
      <c r="AD158" s="566"/>
      <c r="AE158" s="566"/>
      <c r="AF158" s="566"/>
      <c r="AG158" s="566"/>
      <c r="AH158" s="566"/>
      <c r="AI158" s="566"/>
      <c r="AJ158" s="566"/>
      <c r="AK158" s="566"/>
    </row>
    <row r="159" spans="2:37" ht="12.75" customHeight="1">
      <c r="B159" s="231"/>
      <c r="C159" s="232"/>
      <c r="D159" s="232"/>
      <c r="E159" s="232"/>
      <c r="F159" s="232"/>
      <c r="G159" s="232"/>
      <c r="H159" s="232"/>
      <c r="I159" s="232"/>
      <c r="J159" s="232"/>
      <c r="K159" s="232"/>
      <c r="L159" s="232"/>
      <c r="M159" s="232"/>
      <c r="N159" s="232"/>
      <c r="O159" s="232"/>
      <c r="P159" s="232"/>
      <c r="Q159" s="232"/>
      <c r="R159" s="232"/>
      <c r="S159" s="232"/>
      <c r="T159" s="232"/>
      <c r="U159" s="232"/>
      <c r="V159" s="232"/>
      <c r="W159" s="232"/>
      <c r="X159" s="232"/>
      <c r="Y159" s="232"/>
      <c r="Z159" s="232"/>
      <c r="AA159" s="232"/>
      <c r="AB159" s="232"/>
      <c r="AC159" s="232"/>
      <c r="AD159" s="232"/>
      <c r="AE159" s="232"/>
      <c r="AF159" s="232"/>
      <c r="AG159" s="232"/>
      <c r="AH159" s="232"/>
      <c r="AI159" s="232"/>
      <c r="AJ159" s="232"/>
      <c r="AK159" s="232"/>
    </row>
    <row r="160" spans="2:37" ht="38.25" customHeight="1">
      <c r="B160" s="566" t="s">
        <v>240</v>
      </c>
      <c r="C160" s="566"/>
      <c r="D160" s="566"/>
      <c r="E160" s="566"/>
      <c r="F160" s="566"/>
      <c r="G160" s="566"/>
      <c r="H160" s="566"/>
      <c r="I160" s="566"/>
      <c r="J160" s="566"/>
      <c r="K160" s="566"/>
      <c r="L160" s="566"/>
      <c r="M160" s="566"/>
      <c r="N160" s="566"/>
      <c r="O160" s="566"/>
      <c r="P160" s="566"/>
      <c r="Q160" s="566"/>
      <c r="R160" s="566"/>
      <c r="S160" s="566"/>
      <c r="T160" s="566"/>
      <c r="U160" s="566"/>
      <c r="V160" s="566"/>
      <c r="W160" s="566"/>
      <c r="X160" s="566"/>
      <c r="Y160" s="566"/>
      <c r="Z160" s="566"/>
      <c r="AA160" s="566"/>
      <c r="AB160" s="566"/>
      <c r="AC160" s="566"/>
      <c r="AD160" s="566"/>
      <c r="AE160" s="566"/>
      <c r="AF160" s="566"/>
      <c r="AG160" s="566"/>
      <c r="AH160" s="566"/>
      <c r="AI160" s="566"/>
      <c r="AJ160" s="566"/>
      <c r="AK160" s="566"/>
    </row>
    <row r="161" spans="2:37" ht="12.75" customHeight="1">
      <c r="B161" s="231"/>
      <c r="C161" s="232"/>
      <c r="D161" s="232"/>
      <c r="E161" s="232"/>
      <c r="F161" s="232"/>
      <c r="G161" s="232"/>
      <c r="H161" s="232"/>
      <c r="I161" s="232"/>
      <c r="J161" s="232"/>
      <c r="K161" s="232"/>
      <c r="L161" s="232"/>
      <c r="M161" s="232"/>
      <c r="N161" s="232"/>
      <c r="O161" s="232"/>
      <c r="P161" s="232"/>
      <c r="Q161" s="232"/>
      <c r="R161" s="232"/>
      <c r="S161" s="232"/>
      <c r="T161" s="232"/>
      <c r="U161" s="232"/>
      <c r="V161" s="232"/>
      <c r="W161" s="232"/>
      <c r="X161" s="232"/>
      <c r="Y161" s="232"/>
      <c r="Z161" s="232"/>
      <c r="AA161" s="232"/>
      <c r="AB161" s="232"/>
      <c r="AC161" s="232"/>
      <c r="AD161" s="232"/>
      <c r="AE161" s="232"/>
      <c r="AF161" s="232"/>
      <c r="AG161" s="232"/>
      <c r="AH161" s="232"/>
      <c r="AI161" s="232"/>
      <c r="AJ161" s="232"/>
      <c r="AK161" s="232"/>
    </row>
    <row r="162" spans="2:37" ht="53.25" customHeight="1">
      <c r="B162" s="566" t="s">
        <v>241</v>
      </c>
      <c r="C162" s="566"/>
      <c r="D162" s="566"/>
      <c r="E162" s="566"/>
      <c r="F162" s="566"/>
      <c r="G162" s="566"/>
      <c r="H162" s="566"/>
      <c r="I162" s="566"/>
      <c r="J162" s="566"/>
      <c r="K162" s="566"/>
      <c r="L162" s="566"/>
      <c r="M162" s="566"/>
      <c r="N162" s="566"/>
      <c r="O162" s="566"/>
      <c r="P162" s="566"/>
      <c r="Q162" s="566"/>
      <c r="R162" s="566"/>
      <c r="S162" s="566"/>
      <c r="T162" s="566"/>
      <c r="U162" s="566"/>
      <c r="V162" s="566"/>
      <c r="W162" s="566"/>
      <c r="X162" s="566"/>
      <c r="Y162" s="566"/>
      <c r="Z162" s="566"/>
      <c r="AA162" s="566"/>
      <c r="AB162" s="566"/>
      <c r="AC162" s="566"/>
      <c r="AD162" s="566"/>
      <c r="AE162" s="566"/>
      <c r="AF162" s="566"/>
      <c r="AG162" s="566"/>
      <c r="AH162" s="566"/>
      <c r="AI162" s="566"/>
      <c r="AJ162" s="566"/>
      <c r="AK162" s="566"/>
    </row>
    <row r="163" spans="2:37" ht="12.75" customHeight="1">
      <c r="B163" s="231"/>
      <c r="C163" s="232"/>
      <c r="D163" s="232"/>
      <c r="E163" s="232"/>
      <c r="F163" s="232"/>
      <c r="G163" s="232"/>
      <c r="H163" s="232"/>
      <c r="I163" s="232"/>
      <c r="J163" s="232"/>
      <c r="K163" s="232"/>
      <c r="L163" s="232"/>
      <c r="M163" s="232"/>
      <c r="N163" s="232"/>
      <c r="O163" s="232"/>
      <c r="P163" s="232"/>
      <c r="Q163" s="232"/>
      <c r="R163" s="232"/>
      <c r="S163" s="232"/>
      <c r="T163" s="232"/>
      <c r="U163" s="232"/>
      <c r="V163" s="232"/>
      <c r="W163" s="232"/>
      <c r="X163" s="232"/>
      <c r="Y163" s="232"/>
      <c r="Z163" s="232"/>
      <c r="AA163" s="232"/>
      <c r="AB163" s="232"/>
      <c r="AC163" s="232"/>
      <c r="AD163" s="232"/>
      <c r="AE163" s="232"/>
      <c r="AF163" s="232"/>
      <c r="AG163" s="232"/>
      <c r="AH163" s="232"/>
      <c r="AI163" s="232"/>
      <c r="AJ163" s="232"/>
      <c r="AK163" s="232"/>
    </row>
    <row r="164" spans="2:37" ht="26.25" customHeight="1">
      <c r="B164" s="566" t="s">
        <v>242</v>
      </c>
      <c r="C164" s="566"/>
      <c r="D164" s="566"/>
      <c r="E164" s="566"/>
      <c r="F164" s="566"/>
      <c r="G164" s="566"/>
      <c r="H164" s="566"/>
      <c r="I164" s="566"/>
      <c r="J164" s="566"/>
      <c r="K164" s="566"/>
      <c r="L164" s="566"/>
      <c r="M164" s="566"/>
      <c r="N164" s="566"/>
      <c r="O164" s="566"/>
      <c r="P164" s="566"/>
      <c r="Q164" s="566"/>
      <c r="R164" s="566"/>
      <c r="S164" s="566"/>
      <c r="T164" s="566"/>
      <c r="U164" s="566"/>
      <c r="V164" s="566"/>
      <c r="W164" s="566"/>
      <c r="X164" s="566"/>
      <c r="Y164" s="566"/>
      <c r="Z164" s="566"/>
      <c r="AA164" s="566"/>
      <c r="AB164" s="566"/>
      <c r="AC164" s="566"/>
      <c r="AD164" s="566"/>
      <c r="AE164" s="566"/>
      <c r="AF164" s="566"/>
      <c r="AG164" s="566"/>
      <c r="AH164" s="566"/>
      <c r="AI164" s="566"/>
      <c r="AJ164" s="566"/>
      <c r="AK164" s="566"/>
    </row>
    <row r="165" spans="2:37" ht="12.75" customHeight="1">
      <c r="B165" s="231"/>
      <c r="C165" s="232"/>
      <c r="D165" s="232"/>
      <c r="E165" s="232"/>
      <c r="F165" s="232"/>
      <c r="G165" s="232"/>
      <c r="H165" s="232"/>
      <c r="I165" s="232"/>
      <c r="J165" s="232"/>
      <c r="K165" s="232"/>
      <c r="L165" s="232"/>
      <c r="M165" s="232"/>
      <c r="N165" s="232"/>
      <c r="O165" s="232"/>
      <c r="P165" s="232"/>
      <c r="Q165" s="232"/>
      <c r="R165" s="232"/>
      <c r="S165" s="232"/>
      <c r="T165" s="232"/>
      <c r="U165" s="232"/>
      <c r="V165" s="232"/>
      <c r="W165" s="232"/>
      <c r="X165" s="232"/>
      <c r="Y165" s="232"/>
      <c r="Z165" s="232"/>
      <c r="AA165" s="232"/>
      <c r="AB165" s="232"/>
      <c r="AC165" s="232"/>
      <c r="AD165" s="232"/>
      <c r="AE165" s="232"/>
      <c r="AF165" s="232"/>
      <c r="AG165" s="232"/>
      <c r="AH165" s="232"/>
      <c r="AI165" s="232"/>
      <c r="AJ165" s="232"/>
      <c r="AK165" s="232"/>
    </row>
    <row r="166" spans="2:37" ht="38.25" customHeight="1">
      <c r="B166" s="566" t="s">
        <v>243</v>
      </c>
      <c r="C166" s="566"/>
      <c r="D166" s="566"/>
      <c r="E166" s="566"/>
      <c r="F166" s="566"/>
      <c r="G166" s="566"/>
      <c r="H166" s="566"/>
      <c r="I166" s="566"/>
      <c r="J166" s="566"/>
      <c r="K166" s="566"/>
      <c r="L166" s="566"/>
      <c r="M166" s="566"/>
      <c r="N166" s="566"/>
      <c r="O166" s="566"/>
      <c r="P166" s="566"/>
      <c r="Q166" s="566"/>
      <c r="R166" s="566"/>
      <c r="S166" s="566"/>
      <c r="T166" s="566"/>
      <c r="U166" s="566"/>
      <c r="V166" s="566"/>
      <c r="W166" s="566"/>
      <c r="X166" s="566"/>
      <c r="Y166" s="566"/>
      <c r="Z166" s="566"/>
      <c r="AA166" s="566"/>
      <c r="AB166" s="566"/>
      <c r="AC166" s="566"/>
      <c r="AD166" s="566"/>
      <c r="AE166" s="566"/>
      <c r="AF166" s="566"/>
      <c r="AG166" s="566"/>
      <c r="AH166" s="566"/>
      <c r="AI166" s="566"/>
      <c r="AJ166" s="566"/>
      <c r="AK166" s="566"/>
    </row>
    <row r="167" spans="2:37" ht="12.75" customHeight="1">
      <c r="B167" s="231"/>
      <c r="C167" s="232"/>
      <c r="D167" s="232"/>
      <c r="E167" s="232"/>
      <c r="F167" s="232"/>
      <c r="G167" s="232"/>
      <c r="H167" s="232"/>
      <c r="I167" s="232"/>
      <c r="J167" s="232"/>
      <c r="K167" s="232"/>
      <c r="L167" s="232"/>
      <c r="M167" s="232"/>
      <c r="N167" s="232"/>
      <c r="O167" s="232"/>
      <c r="P167" s="232"/>
      <c r="Q167" s="232"/>
      <c r="R167" s="232"/>
      <c r="S167" s="232"/>
      <c r="T167" s="232"/>
      <c r="U167" s="232"/>
      <c r="V167" s="232"/>
      <c r="W167" s="232"/>
      <c r="X167" s="232"/>
      <c r="Y167" s="232"/>
      <c r="Z167" s="232"/>
      <c r="AA167" s="232"/>
      <c r="AB167" s="232"/>
      <c r="AC167" s="232"/>
      <c r="AD167" s="232"/>
      <c r="AE167" s="232"/>
      <c r="AF167" s="232"/>
      <c r="AG167" s="232"/>
      <c r="AH167" s="232"/>
      <c r="AI167" s="232"/>
      <c r="AJ167" s="232"/>
      <c r="AK167" s="232"/>
    </row>
    <row r="168" spans="2:37" ht="38.25" customHeight="1">
      <c r="B168" s="566" t="s">
        <v>244</v>
      </c>
      <c r="C168" s="566"/>
      <c r="D168" s="566"/>
      <c r="E168" s="566"/>
      <c r="F168" s="566"/>
      <c r="G168" s="566"/>
      <c r="H168" s="566"/>
      <c r="I168" s="566"/>
      <c r="J168" s="566"/>
      <c r="K168" s="566"/>
      <c r="L168" s="566"/>
      <c r="M168" s="566"/>
      <c r="N168" s="566"/>
      <c r="O168" s="566"/>
      <c r="P168" s="566"/>
      <c r="Q168" s="566"/>
      <c r="R168" s="566"/>
      <c r="S168" s="566"/>
      <c r="T168" s="566"/>
      <c r="U168" s="566"/>
      <c r="V168" s="566"/>
      <c r="W168" s="566"/>
      <c r="X168" s="566"/>
      <c r="Y168" s="566"/>
      <c r="Z168" s="566"/>
      <c r="AA168" s="566"/>
      <c r="AB168" s="566"/>
      <c r="AC168" s="566"/>
      <c r="AD168" s="566"/>
      <c r="AE168" s="566"/>
      <c r="AF168" s="566"/>
      <c r="AG168" s="566"/>
      <c r="AH168" s="566"/>
      <c r="AI168" s="566"/>
      <c r="AJ168" s="566"/>
      <c r="AK168" s="566"/>
    </row>
    <row r="169" spans="2:37" ht="12.75" customHeight="1">
      <c r="B169" s="231"/>
      <c r="C169" s="232"/>
      <c r="D169" s="232"/>
      <c r="E169" s="232"/>
      <c r="F169" s="232"/>
      <c r="G169" s="232"/>
      <c r="H169" s="232"/>
      <c r="I169" s="232"/>
      <c r="J169" s="232"/>
      <c r="K169" s="232"/>
      <c r="L169" s="232"/>
      <c r="M169" s="232"/>
      <c r="N169" s="232"/>
      <c r="O169" s="232"/>
      <c r="P169" s="232"/>
      <c r="Q169" s="232"/>
      <c r="R169" s="232"/>
      <c r="S169" s="232"/>
      <c r="T169" s="232"/>
      <c r="U169" s="232"/>
      <c r="V169" s="232"/>
      <c r="W169" s="232"/>
      <c r="X169" s="232"/>
      <c r="Y169" s="232"/>
      <c r="Z169" s="232"/>
      <c r="AA169" s="232"/>
      <c r="AB169" s="232"/>
      <c r="AC169" s="232"/>
      <c r="AD169" s="232"/>
      <c r="AE169" s="232"/>
      <c r="AF169" s="232"/>
      <c r="AG169" s="232"/>
      <c r="AH169" s="232"/>
      <c r="AI169" s="232"/>
      <c r="AJ169" s="232"/>
      <c r="AK169" s="232"/>
    </row>
    <row r="170" spans="2:37" ht="65.25" customHeight="1">
      <c r="B170" s="566" t="s">
        <v>378</v>
      </c>
      <c r="C170" s="566"/>
      <c r="D170" s="566"/>
      <c r="E170" s="566"/>
      <c r="F170" s="566"/>
      <c r="G170" s="566"/>
      <c r="H170" s="566"/>
      <c r="I170" s="566"/>
      <c r="J170" s="566"/>
      <c r="K170" s="566"/>
      <c r="L170" s="566"/>
      <c r="M170" s="566"/>
      <c r="N170" s="566"/>
      <c r="O170" s="566"/>
      <c r="P170" s="566"/>
      <c r="Q170" s="566"/>
      <c r="R170" s="566"/>
      <c r="S170" s="566"/>
      <c r="T170" s="566"/>
      <c r="U170" s="566"/>
      <c r="V170" s="566"/>
      <c r="W170" s="566"/>
      <c r="X170" s="566"/>
      <c r="Y170" s="566"/>
      <c r="Z170" s="566"/>
      <c r="AA170" s="566"/>
      <c r="AB170" s="566"/>
      <c r="AC170" s="566"/>
      <c r="AD170" s="566"/>
      <c r="AE170" s="566"/>
      <c r="AF170" s="566"/>
      <c r="AG170" s="566"/>
      <c r="AH170" s="566"/>
      <c r="AI170" s="566"/>
      <c r="AJ170" s="566"/>
      <c r="AK170" s="566"/>
    </row>
    <row r="171" spans="2:37" ht="12.75" customHeight="1">
      <c r="B171" s="231"/>
      <c r="C171" s="232"/>
      <c r="D171" s="232"/>
      <c r="E171" s="232"/>
      <c r="F171" s="232"/>
      <c r="G171" s="232"/>
      <c r="H171" s="232"/>
      <c r="I171" s="232"/>
      <c r="J171" s="232"/>
      <c r="K171" s="232"/>
      <c r="L171" s="232"/>
      <c r="M171" s="232"/>
      <c r="N171" s="232"/>
      <c r="O171" s="232"/>
      <c r="P171" s="232"/>
      <c r="Q171" s="232"/>
      <c r="R171" s="232"/>
      <c r="S171" s="232"/>
      <c r="T171" s="232"/>
      <c r="U171" s="232"/>
      <c r="V171" s="232"/>
      <c r="W171" s="232"/>
      <c r="X171" s="232"/>
      <c r="Y171" s="232"/>
      <c r="Z171" s="232"/>
      <c r="AA171" s="232"/>
      <c r="AB171" s="232"/>
      <c r="AC171" s="232"/>
      <c r="AD171" s="232"/>
      <c r="AE171" s="232"/>
      <c r="AF171" s="232"/>
      <c r="AG171" s="232"/>
      <c r="AH171" s="232"/>
      <c r="AI171" s="232"/>
      <c r="AJ171" s="232"/>
      <c r="AK171" s="232"/>
    </row>
    <row r="172" spans="2:37" ht="39.75" customHeight="1">
      <c r="B172" s="566" t="s">
        <v>379</v>
      </c>
      <c r="C172" s="566"/>
      <c r="D172" s="566"/>
      <c r="E172" s="566"/>
      <c r="F172" s="566"/>
      <c r="G172" s="566"/>
      <c r="H172" s="566"/>
      <c r="I172" s="566"/>
      <c r="J172" s="566"/>
      <c r="K172" s="566"/>
      <c r="L172" s="566"/>
      <c r="M172" s="566"/>
      <c r="N172" s="566"/>
      <c r="O172" s="566"/>
      <c r="P172" s="566"/>
      <c r="Q172" s="566"/>
      <c r="R172" s="566"/>
      <c r="S172" s="566"/>
      <c r="T172" s="566"/>
      <c r="U172" s="566"/>
      <c r="V172" s="566"/>
      <c r="W172" s="566"/>
      <c r="X172" s="566"/>
      <c r="Y172" s="566"/>
      <c r="Z172" s="566"/>
      <c r="AA172" s="566"/>
      <c r="AB172" s="566"/>
      <c r="AC172" s="566"/>
      <c r="AD172" s="566"/>
      <c r="AE172" s="566"/>
      <c r="AF172" s="566"/>
      <c r="AG172" s="566"/>
      <c r="AH172" s="566"/>
      <c r="AI172" s="566"/>
      <c r="AJ172" s="566"/>
      <c r="AK172" s="566"/>
    </row>
    <row r="173" spans="2:37" ht="74.25" customHeight="1">
      <c r="B173" s="562" t="s">
        <v>247</v>
      </c>
      <c r="C173" s="562"/>
      <c r="D173" s="562"/>
      <c r="E173" s="562"/>
      <c r="F173" s="562"/>
      <c r="G173" s="562"/>
      <c r="H173" s="562"/>
      <c r="I173" s="562"/>
      <c r="J173" s="562"/>
      <c r="K173" s="562"/>
      <c r="L173" s="562"/>
      <c r="M173" s="562"/>
      <c r="N173" s="562"/>
      <c r="O173" s="562"/>
      <c r="P173" s="562"/>
      <c r="Q173" s="562"/>
      <c r="R173" s="562"/>
      <c r="S173" s="562"/>
      <c r="T173" s="562"/>
      <c r="U173" s="562"/>
      <c r="V173" s="562"/>
      <c r="W173" s="562"/>
      <c r="X173" s="562"/>
      <c r="Y173" s="562"/>
      <c r="Z173" s="562"/>
      <c r="AA173" s="562"/>
      <c r="AB173" s="562"/>
      <c r="AC173" s="562"/>
      <c r="AD173" s="562"/>
      <c r="AE173" s="562"/>
      <c r="AF173" s="562"/>
      <c r="AG173" s="562"/>
      <c r="AH173" s="562"/>
      <c r="AI173" s="562"/>
      <c r="AJ173" s="562"/>
      <c r="AK173" s="562"/>
    </row>
    <row r="174" spans="2:37" ht="51.75" customHeight="1">
      <c r="B174" s="562" t="s">
        <v>248</v>
      </c>
      <c r="C174" s="562"/>
      <c r="D174" s="562"/>
      <c r="E174" s="562"/>
      <c r="F174" s="562"/>
      <c r="G174" s="562"/>
      <c r="H174" s="562"/>
      <c r="I174" s="562"/>
      <c r="J174" s="562"/>
      <c r="K174" s="562"/>
      <c r="L174" s="562"/>
      <c r="M174" s="562"/>
      <c r="N174" s="562"/>
      <c r="O174" s="562"/>
      <c r="P174" s="562"/>
      <c r="Q174" s="562"/>
      <c r="R174" s="562"/>
      <c r="S174" s="562"/>
      <c r="T174" s="562"/>
      <c r="U174" s="562"/>
      <c r="V174" s="562"/>
      <c r="W174" s="562"/>
      <c r="X174" s="562"/>
      <c r="Y174" s="562"/>
      <c r="Z174" s="562"/>
      <c r="AA174" s="562"/>
      <c r="AB174" s="562"/>
      <c r="AC174" s="562"/>
      <c r="AD174" s="562"/>
      <c r="AE174" s="562"/>
      <c r="AF174" s="562"/>
      <c r="AG174" s="562"/>
      <c r="AH174" s="562"/>
      <c r="AI174" s="562"/>
      <c r="AJ174" s="562"/>
      <c r="AK174" s="562"/>
    </row>
    <row r="175" spans="2:37" ht="27.75" customHeight="1">
      <c r="B175" s="562" t="s">
        <v>249</v>
      </c>
      <c r="C175" s="562"/>
      <c r="D175" s="562"/>
      <c r="E175" s="562"/>
      <c r="F175" s="562"/>
      <c r="G175" s="562"/>
      <c r="H175" s="562"/>
      <c r="I175" s="562"/>
      <c r="J175" s="562"/>
      <c r="K175" s="562"/>
      <c r="L175" s="562"/>
      <c r="M175" s="562"/>
      <c r="N175" s="562"/>
      <c r="O175" s="562"/>
      <c r="P175" s="562"/>
      <c r="Q175" s="562"/>
      <c r="R175" s="562"/>
      <c r="S175" s="562"/>
      <c r="T175" s="562"/>
      <c r="U175" s="562"/>
      <c r="V175" s="562"/>
      <c r="W175" s="562"/>
      <c r="X175" s="562"/>
      <c r="Y175" s="562"/>
      <c r="Z175" s="562"/>
      <c r="AA175" s="562"/>
      <c r="AB175" s="562"/>
      <c r="AC175" s="562"/>
      <c r="AD175" s="562"/>
      <c r="AE175" s="562"/>
      <c r="AF175" s="562"/>
      <c r="AG175" s="562"/>
      <c r="AH175" s="562"/>
      <c r="AI175" s="562"/>
      <c r="AJ175" s="562"/>
      <c r="AK175" s="562"/>
    </row>
    <row r="176" spans="2:37" ht="12.75" customHeight="1">
      <c r="B176" s="231"/>
      <c r="C176" s="232"/>
      <c r="D176" s="232"/>
      <c r="E176" s="232"/>
      <c r="F176" s="232"/>
      <c r="G176" s="232"/>
      <c r="H176" s="232"/>
      <c r="I176" s="232"/>
      <c r="J176" s="232"/>
      <c r="K176" s="232"/>
      <c r="L176" s="232"/>
      <c r="M176" s="232"/>
      <c r="N176" s="232"/>
      <c r="O176" s="232"/>
      <c r="P176" s="232"/>
      <c r="Q176" s="232"/>
      <c r="R176" s="232"/>
      <c r="S176" s="232"/>
      <c r="T176" s="232"/>
      <c r="U176" s="232"/>
      <c r="V176" s="232"/>
      <c r="W176" s="232"/>
      <c r="X176" s="232"/>
      <c r="Y176" s="232"/>
      <c r="Z176" s="232"/>
      <c r="AA176" s="232"/>
      <c r="AB176" s="232"/>
      <c r="AC176" s="232"/>
      <c r="AD176" s="232"/>
      <c r="AE176" s="232"/>
      <c r="AF176" s="232"/>
      <c r="AG176" s="232"/>
      <c r="AH176" s="232"/>
      <c r="AI176" s="232"/>
      <c r="AJ176" s="232"/>
      <c r="AK176" s="232"/>
    </row>
    <row r="177" spans="2:37" ht="84.75" customHeight="1">
      <c r="B177" s="566" t="s">
        <v>380</v>
      </c>
      <c r="C177" s="566"/>
      <c r="D177" s="566"/>
      <c r="E177" s="566"/>
      <c r="F177" s="566"/>
      <c r="G177" s="566"/>
      <c r="H177" s="566"/>
      <c r="I177" s="566"/>
      <c r="J177" s="566"/>
      <c r="K177" s="566"/>
      <c r="L177" s="566"/>
      <c r="M177" s="566"/>
      <c r="N177" s="566"/>
      <c r="O177" s="566"/>
      <c r="P177" s="566"/>
      <c r="Q177" s="566"/>
      <c r="R177" s="566"/>
      <c r="S177" s="566"/>
      <c r="T177" s="566"/>
      <c r="U177" s="566"/>
      <c r="V177" s="566"/>
      <c r="W177" s="566"/>
      <c r="X177" s="566"/>
      <c r="Y177" s="566"/>
      <c r="Z177" s="566"/>
      <c r="AA177" s="566"/>
      <c r="AB177" s="566"/>
      <c r="AC177" s="566"/>
      <c r="AD177" s="566"/>
      <c r="AE177" s="566"/>
      <c r="AF177" s="566"/>
      <c r="AG177" s="566"/>
      <c r="AH177" s="566"/>
      <c r="AI177" s="566"/>
      <c r="AJ177" s="566"/>
      <c r="AK177" s="566"/>
    </row>
    <row r="178" spans="2:37" ht="12.75" customHeight="1">
      <c r="B178" s="231"/>
      <c r="C178" s="232"/>
      <c r="D178" s="232"/>
      <c r="E178" s="232"/>
      <c r="F178" s="232"/>
      <c r="G178" s="232"/>
      <c r="H178" s="232"/>
      <c r="I178" s="232"/>
      <c r="J178" s="232"/>
      <c r="K178" s="232"/>
      <c r="L178" s="232"/>
      <c r="M178" s="232"/>
      <c r="N178" s="232"/>
      <c r="O178" s="232"/>
      <c r="P178" s="232"/>
      <c r="Q178" s="232"/>
      <c r="R178" s="232"/>
      <c r="S178" s="232"/>
      <c r="T178" s="232"/>
      <c r="U178" s="232"/>
      <c r="V178" s="232"/>
      <c r="W178" s="232"/>
      <c r="X178" s="232"/>
      <c r="Y178" s="232"/>
      <c r="Z178" s="232"/>
      <c r="AA178" s="232"/>
      <c r="AB178" s="232"/>
      <c r="AC178" s="232"/>
      <c r="AD178" s="232"/>
      <c r="AE178" s="232"/>
      <c r="AF178" s="232"/>
      <c r="AG178" s="232"/>
      <c r="AH178" s="232"/>
      <c r="AI178" s="232"/>
      <c r="AJ178" s="232"/>
      <c r="AK178" s="232"/>
    </row>
    <row r="179" spans="2:37" ht="27.75" customHeight="1">
      <c r="B179" s="566" t="s">
        <v>251</v>
      </c>
      <c r="C179" s="566"/>
      <c r="D179" s="566"/>
      <c r="E179" s="566"/>
      <c r="F179" s="566"/>
      <c r="G179" s="566"/>
      <c r="H179" s="566"/>
      <c r="I179" s="566"/>
      <c r="J179" s="566"/>
      <c r="K179" s="566"/>
      <c r="L179" s="566"/>
      <c r="M179" s="566"/>
      <c r="N179" s="566"/>
      <c r="O179" s="566"/>
      <c r="P179" s="566"/>
      <c r="Q179" s="566"/>
      <c r="R179" s="566"/>
      <c r="S179" s="566"/>
      <c r="T179" s="566"/>
      <c r="U179" s="566"/>
      <c r="V179" s="566"/>
      <c r="W179" s="566"/>
      <c r="X179" s="566"/>
      <c r="Y179" s="566"/>
      <c r="Z179" s="566"/>
      <c r="AA179" s="566"/>
      <c r="AB179" s="566"/>
      <c r="AC179" s="566"/>
      <c r="AD179" s="566"/>
      <c r="AE179" s="566"/>
      <c r="AF179" s="566"/>
      <c r="AG179" s="566"/>
      <c r="AH179" s="566"/>
      <c r="AI179" s="566"/>
      <c r="AJ179" s="566"/>
      <c r="AK179" s="566"/>
    </row>
    <row r="180" spans="2:37" ht="12.75" customHeight="1">
      <c r="B180" s="238"/>
      <c r="C180" s="238"/>
      <c r="D180" s="238"/>
      <c r="E180" s="238"/>
      <c r="F180" s="238"/>
      <c r="G180" s="238"/>
      <c r="H180" s="238"/>
      <c r="I180" s="238"/>
      <c r="J180" s="238"/>
      <c r="K180" s="238"/>
      <c r="L180" s="238"/>
      <c r="M180" s="238"/>
      <c r="N180" s="238"/>
      <c r="O180" s="238"/>
      <c r="P180" s="238"/>
      <c r="Q180" s="238"/>
      <c r="R180" s="238"/>
      <c r="S180" s="238"/>
      <c r="T180" s="238"/>
      <c r="U180" s="238"/>
      <c r="V180" s="238"/>
      <c r="W180" s="238"/>
      <c r="X180" s="238"/>
      <c r="Y180" s="238"/>
      <c r="Z180" s="238"/>
      <c r="AA180" s="238"/>
      <c r="AB180" s="238"/>
      <c r="AC180" s="238"/>
      <c r="AD180" s="238"/>
      <c r="AE180" s="238"/>
      <c r="AF180" s="238"/>
      <c r="AG180" s="238"/>
      <c r="AH180" s="238"/>
      <c r="AI180" s="238"/>
      <c r="AJ180" s="238"/>
      <c r="AK180" s="238"/>
    </row>
    <row r="181" spans="2:37" ht="12.75" customHeight="1">
      <c r="B181" s="238"/>
      <c r="C181" s="238"/>
      <c r="D181" s="238"/>
      <c r="E181" s="238"/>
      <c r="F181" s="238"/>
      <c r="G181" s="600" t="s">
        <v>252</v>
      </c>
      <c r="H181" s="601"/>
      <c r="I181" s="601"/>
      <c r="J181" s="601"/>
      <c r="K181" s="601"/>
      <c r="L181" s="601"/>
      <c r="M181" s="601"/>
      <c r="N181" s="601"/>
      <c r="O181" s="601"/>
      <c r="P181" s="602"/>
      <c r="Q181" s="603" t="s">
        <v>253</v>
      </c>
      <c r="R181" s="604"/>
      <c r="S181" s="604"/>
      <c r="T181" s="604"/>
      <c r="U181" s="604"/>
      <c r="V181" s="604"/>
      <c r="W181" s="604"/>
      <c r="X181" s="604"/>
      <c r="Y181" s="604"/>
      <c r="Z181" s="604"/>
      <c r="AA181" s="604"/>
      <c r="AB181" s="604"/>
      <c r="AC181" s="604"/>
      <c r="AD181" s="604"/>
      <c r="AE181" s="604"/>
      <c r="AF181" s="604"/>
      <c r="AG181" s="605"/>
      <c r="AH181" s="238"/>
      <c r="AI181" s="238"/>
      <c r="AJ181" s="238"/>
      <c r="AK181" s="238"/>
    </row>
    <row r="182" spans="2:37" ht="12.75" customHeight="1">
      <c r="B182" s="238"/>
      <c r="C182" s="238"/>
      <c r="D182" s="238"/>
      <c r="E182" s="238"/>
      <c r="F182" s="238"/>
      <c r="G182" s="600" t="s">
        <v>254</v>
      </c>
      <c r="H182" s="601"/>
      <c r="I182" s="601"/>
      <c r="J182" s="601"/>
      <c r="K182" s="601"/>
      <c r="L182" s="601"/>
      <c r="M182" s="601"/>
      <c r="N182" s="601"/>
      <c r="O182" s="601"/>
      <c r="P182" s="602"/>
      <c r="Q182" s="606" t="s">
        <v>255</v>
      </c>
      <c r="R182" s="607"/>
      <c r="S182" s="607"/>
      <c r="T182" s="607"/>
      <c r="U182" s="607"/>
      <c r="V182" s="607"/>
      <c r="W182" s="607"/>
      <c r="X182" s="607"/>
      <c r="Y182" s="607"/>
      <c r="Z182" s="607"/>
      <c r="AA182" s="607"/>
      <c r="AB182" s="607"/>
      <c r="AC182" s="607"/>
      <c r="AD182" s="607"/>
      <c r="AE182" s="607"/>
      <c r="AF182" s="607"/>
      <c r="AG182" s="608"/>
      <c r="AH182" s="238"/>
      <c r="AI182" s="238"/>
      <c r="AJ182" s="238"/>
      <c r="AK182" s="238"/>
    </row>
    <row r="183" spans="2:37" ht="12.75" customHeight="1">
      <c r="B183" s="238"/>
      <c r="C183" s="238"/>
      <c r="D183" s="238"/>
      <c r="E183" s="238"/>
      <c r="F183" s="238"/>
      <c r="G183" s="582" t="s">
        <v>256</v>
      </c>
      <c r="H183" s="583"/>
      <c r="I183" s="583"/>
      <c r="J183" s="583"/>
      <c r="K183" s="583"/>
      <c r="L183" s="583"/>
      <c r="M183" s="583"/>
      <c r="N183" s="583"/>
      <c r="O183" s="583"/>
      <c r="P183" s="584"/>
      <c r="Q183" s="588" t="s">
        <v>257</v>
      </c>
      <c r="R183" s="589"/>
      <c r="S183" s="589"/>
      <c r="T183" s="589"/>
      <c r="U183" s="589"/>
      <c r="V183" s="589"/>
      <c r="W183" s="589"/>
      <c r="X183" s="589"/>
      <c r="Y183" s="589"/>
      <c r="Z183" s="589"/>
      <c r="AA183" s="589"/>
      <c r="AB183" s="589"/>
      <c r="AC183" s="589"/>
      <c r="AD183" s="589"/>
      <c r="AE183" s="589"/>
      <c r="AF183" s="589"/>
      <c r="AG183" s="590"/>
      <c r="AH183" s="238"/>
      <c r="AI183" s="238"/>
      <c r="AJ183" s="238"/>
      <c r="AK183" s="238"/>
    </row>
    <row r="184" spans="2:37" ht="12.75" customHeight="1">
      <c r="B184" s="238"/>
      <c r="C184" s="238"/>
      <c r="D184" s="238"/>
      <c r="E184" s="238"/>
      <c r="F184" s="238"/>
      <c r="G184" s="585"/>
      <c r="H184" s="586"/>
      <c r="I184" s="586"/>
      <c r="J184" s="586"/>
      <c r="K184" s="586"/>
      <c r="L184" s="586"/>
      <c r="M184" s="586"/>
      <c r="N184" s="586"/>
      <c r="O184" s="586"/>
      <c r="P184" s="587"/>
      <c r="Q184" s="588" t="s">
        <v>258</v>
      </c>
      <c r="R184" s="589"/>
      <c r="S184" s="589"/>
      <c r="T184" s="589"/>
      <c r="U184" s="589"/>
      <c r="V184" s="589"/>
      <c r="W184" s="589"/>
      <c r="X184" s="589"/>
      <c r="Y184" s="589"/>
      <c r="Z184" s="589"/>
      <c r="AA184" s="589"/>
      <c r="AB184" s="589"/>
      <c r="AC184" s="589"/>
      <c r="AD184" s="589"/>
      <c r="AE184" s="589"/>
      <c r="AF184" s="589"/>
      <c r="AG184" s="590"/>
      <c r="AH184" s="238"/>
      <c r="AI184" s="238"/>
      <c r="AJ184" s="238"/>
      <c r="AK184" s="238"/>
    </row>
    <row r="185" spans="2:37" ht="12.75" customHeight="1">
      <c r="B185" s="238"/>
      <c r="C185" s="238"/>
      <c r="D185" s="238"/>
      <c r="E185" s="238"/>
      <c r="F185" s="238"/>
      <c r="G185" s="585"/>
      <c r="H185" s="586"/>
      <c r="I185" s="586"/>
      <c r="J185" s="586"/>
      <c r="K185" s="586"/>
      <c r="L185" s="586"/>
      <c r="M185" s="586"/>
      <c r="N185" s="586"/>
      <c r="O185" s="586"/>
      <c r="P185" s="587"/>
      <c r="Q185" s="588"/>
      <c r="R185" s="589"/>
      <c r="S185" s="589"/>
      <c r="T185" s="589"/>
      <c r="U185" s="589"/>
      <c r="V185" s="589"/>
      <c r="W185" s="589"/>
      <c r="X185" s="589"/>
      <c r="Y185" s="589"/>
      <c r="Z185" s="589"/>
      <c r="AA185" s="589"/>
      <c r="AB185" s="589"/>
      <c r="AC185" s="589"/>
      <c r="AD185" s="589"/>
      <c r="AE185" s="589"/>
      <c r="AF185" s="589"/>
      <c r="AG185" s="590"/>
      <c r="AH185" s="238"/>
      <c r="AI185" s="238"/>
      <c r="AJ185" s="238"/>
      <c r="AK185" s="238"/>
    </row>
    <row r="186" spans="2:37" ht="12.75" customHeight="1">
      <c r="B186" s="238"/>
      <c r="C186" s="238"/>
      <c r="D186" s="238"/>
      <c r="E186" s="238"/>
      <c r="F186" s="238"/>
      <c r="G186" s="585"/>
      <c r="H186" s="586"/>
      <c r="I186" s="586"/>
      <c r="J186" s="586"/>
      <c r="K186" s="586"/>
      <c r="L186" s="586"/>
      <c r="M186" s="586"/>
      <c r="N186" s="586"/>
      <c r="O186" s="586"/>
      <c r="P186" s="587"/>
      <c r="Q186" s="588"/>
      <c r="R186" s="589"/>
      <c r="S186" s="589"/>
      <c r="T186" s="589"/>
      <c r="U186" s="589"/>
      <c r="V186" s="589"/>
      <c r="W186" s="589"/>
      <c r="X186" s="589"/>
      <c r="Y186" s="589"/>
      <c r="Z186" s="589"/>
      <c r="AA186" s="589"/>
      <c r="AB186" s="589"/>
      <c r="AC186" s="589"/>
      <c r="AD186" s="589"/>
      <c r="AE186" s="589"/>
      <c r="AF186" s="589"/>
      <c r="AG186" s="590"/>
      <c r="AH186" s="238"/>
      <c r="AI186" s="238"/>
      <c r="AJ186" s="238"/>
      <c r="AK186" s="238"/>
    </row>
    <row r="187" spans="2:37" ht="12.75" customHeight="1">
      <c r="B187" s="238"/>
      <c r="C187" s="238"/>
      <c r="D187" s="238"/>
      <c r="E187" s="238"/>
      <c r="F187" s="238"/>
      <c r="G187" s="582" t="s">
        <v>259</v>
      </c>
      <c r="H187" s="583"/>
      <c r="I187" s="583"/>
      <c r="J187" s="583"/>
      <c r="K187" s="583"/>
      <c r="L187" s="583"/>
      <c r="M187" s="583"/>
      <c r="N187" s="583"/>
      <c r="O187" s="583"/>
      <c r="P187" s="584"/>
      <c r="Q187" s="594" t="s">
        <v>260</v>
      </c>
      <c r="R187" s="595"/>
      <c r="S187" s="595"/>
      <c r="T187" s="595"/>
      <c r="U187" s="595"/>
      <c r="V187" s="595"/>
      <c r="W187" s="595"/>
      <c r="X187" s="595"/>
      <c r="Y187" s="595"/>
      <c r="Z187" s="595"/>
      <c r="AA187" s="595"/>
      <c r="AB187" s="595"/>
      <c r="AC187" s="595"/>
      <c r="AD187" s="595"/>
      <c r="AE187" s="595"/>
      <c r="AF187" s="595"/>
      <c r="AG187" s="596"/>
      <c r="AH187" s="238"/>
      <c r="AI187" s="238"/>
      <c r="AJ187" s="238"/>
      <c r="AK187" s="238"/>
    </row>
    <row r="188" spans="2:37" ht="12.75" customHeight="1">
      <c r="B188" s="238"/>
      <c r="C188" s="238"/>
      <c r="D188" s="238"/>
      <c r="E188" s="238"/>
      <c r="F188" s="238"/>
      <c r="G188" s="585"/>
      <c r="H188" s="586"/>
      <c r="I188" s="586"/>
      <c r="J188" s="586"/>
      <c r="K188" s="586"/>
      <c r="L188" s="586"/>
      <c r="M188" s="586"/>
      <c r="N188" s="586"/>
      <c r="O188" s="586"/>
      <c r="P188" s="587"/>
      <c r="Q188" s="588" t="s">
        <v>261</v>
      </c>
      <c r="R188" s="589"/>
      <c r="S188" s="589"/>
      <c r="T188" s="589"/>
      <c r="U188" s="589"/>
      <c r="V188" s="589"/>
      <c r="W188" s="589"/>
      <c r="X188" s="589"/>
      <c r="Y188" s="589"/>
      <c r="Z188" s="589"/>
      <c r="AA188" s="589"/>
      <c r="AB188" s="589"/>
      <c r="AC188" s="589"/>
      <c r="AD188" s="589"/>
      <c r="AE188" s="589"/>
      <c r="AF188" s="589"/>
      <c r="AG188" s="590"/>
      <c r="AH188" s="238"/>
      <c r="AI188" s="238"/>
      <c r="AJ188" s="238"/>
      <c r="AK188" s="238"/>
    </row>
    <row r="189" spans="2:37" ht="12.75" customHeight="1">
      <c r="B189" s="238"/>
      <c r="C189" s="238"/>
      <c r="D189" s="238"/>
      <c r="E189" s="238"/>
      <c r="F189" s="238"/>
      <c r="G189" s="591"/>
      <c r="H189" s="592"/>
      <c r="I189" s="592"/>
      <c r="J189" s="592"/>
      <c r="K189" s="592"/>
      <c r="L189" s="592"/>
      <c r="M189" s="592"/>
      <c r="N189" s="592"/>
      <c r="O189" s="592"/>
      <c r="P189" s="593"/>
      <c r="Q189" s="597" t="s">
        <v>262</v>
      </c>
      <c r="R189" s="598"/>
      <c r="S189" s="598"/>
      <c r="T189" s="598"/>
      <c r="U189" s="598"/>
      <c r="V189" s="598"/>
      <c r="W189" s="598"/>
      <c r="X189" s="598"/>
      <c r="Y189" s="598"/>
      <c r="Z189" s="598"/>
      <c r="AA189" s="598"/>
      <c r="AB189" s="598"/>
      <c r="AC189" s="598"/>
      <c r="AD189" s="598"/>
      <c r="AE189" s="598"/>
      <c r="AF189" s="598"/>
      <c r="AG189" s="599"/>
      <c r="AH189" s="238"/>
      <c r="AI189" s="238"/>
      <c r="AJ189" s="238"/>
      <c r="AK189" s="238"/>
    </row>
    <row r="190" spans="2:37" ht="22.5" customHeight="1">
      <c r="B190" s="238"/>
      <c r="C190" s="238"/>
      <c r="D190" s="238"/>
      <c r="E190" s="238"/>
      <c r="F190" s="238"/>
      <c r="G190" s="582" t="s">
        <v>263</v>
      </c>
      <c r="H190" s="583"/>
      <c r="I190" s="583"/>
      <c r="J190" s="583"/>
      <c r="K190" s="583"/>
      <c r="L190" s="583"/>
      <c r="M190" s="583"/>
      <c r="N190" s="583"/>
      <c r="O190" s="583"/>
      <c r="P190" s="584"/>
      <c r="Q190" s="588" t="s">
        <v>264</v>
      </c>
      <c r="R190" s="589"/>
      <c r="S190" s="589"/>
      <c r="T190" s="589"/>
      <c r="U190" s="589"/>
      <c r="V190" s="589"/>
      <c r="W190" s="589"/>
      <c r="X190" s="589"/>
      <c r="Y190" s="589"/>
      <c r="Z190" s="589"/>
      <c r="AA190" s="589"/>
      <c r="AB190" s="589"/>
      <c r="AC190" s="589"/>
      <c r="AD190" s="589"/>
      <c r="AE190" s="589"/>
      <c r="AF190" s="589"/>
      <c r="AG190" s="590"/>
      <c r="AH190" s="238"/>
      <c r="AI190" s="238"/>
      <c r="AJ190" s="238"/>
      <c r="AK190" s="238"/>
    </row>
    <row r="191" spans="2:37" ht="12.75" customHeight="1">
      <c r="B191" s="238"/>
      <c r="C191" s="238"/>
      <c r="D191" s="238"/>
      <c r="E191" s="238"/>
      <c r="F191" s="238"/>
      <c r="G191" s="585"/>
      <c r="H191" s="586"/>
      <c r="I191" s="586"/>
      <c r="J191" s="586"/>
      <c r="K191" s="586"/>
      <c r="L191" s="586"/>
      <c r="M191" s="586"/>
      <c r="N191" s="586"/>
      <c r="O191" s="586"/>
      <c r="P191" s="587"/>
      <c r="Q191" s="588" t="s">
        <v>265</v>
      </c>
      <c r="R191" s="589"/>
      <c r="S191" s="589"/>
      <c r="T191" s="589"/>
      <c r="U191" s="589"/>
      <c r="V191" s="589"/>
      <c r="W191" s="589"/>
      <c r="X191" s="589"/>
      <c r="Y191" s="589"/>
      <c r="Z191" s="589"/>
      <c r="AA191" s="589"/>
      <c r="AB191" s="589"/>
      <c r="AC191" s="589"/>
      <c r="AD191" s="589"/>
      <c r="AE191" s="589"/>
      <c r="AF191" s="589"/>
      <c r="AG191" s="590"/>
      <c r="AH191" s="238"/>
      <c r="AI191" s="238"/>
      <c r="AJ191" s="238"/>
      <c r="AK191" s="238"/>
    </row>
    <row r="192" spans="2:37" ht="12.75" customHeight="1">
      <c r="B192" s="238"/>
      <c r="C192" s="238"/>
      <c r="D192" s="238"/>
      <c r="E192" s="238"/>
      <c r="F192" s="238"/>
      <c r="G192" s="585"/>
      <c r="H192" s="586"/>
      <c r="I192" s="586"/>
      <c r="J192" s="586"/>
      <c r="K192" s="586"/>
      <c r="L192" s="586"/>
      <c r="M192" s="586"/>
      <c r="N192" s="586"/>
      <c r="O192" s="586"/>
      <c r="P192" s="587"/>
      <c r="Q192" s="588" t="s">
        <v>266</v>
      </c>
      <c r="R192" s="589"/>
      <c r="S192" s="589"/>
      <c r="T192" s="589"/>
      <c r="U192" s="589"/>
      <c r="V192" s="589"/>
      <c r="W192" s="589"/>
      <c r="X192" s="589"/>
      <c r="Y192" s="589"/>
      <c r="Z192" s="589"/>
      <c r="AA192" s="589"/>
      <c r="AB192" s="589"/>
      <c r="AC192" s="589"/>
      <c r="AD192" s="589"/>
      <c r="AE192" s="589"/>
      <c r="AF192" s="589"/>
      <c r="AG192" s="590"/>
      <c r="AH192" s="238"/>
      <c r="AI192" s="238"/>
      <c r="AJ192" s="238"/>
      <c r="AK192" s="238"/>
    </row>
    <row r="193" spans="2:37" ht="12.75" customHeight="1">
      <c r="B193" s="238"/>
      <c r="C193" s="238"/>
      <c r="D193" s="238"/>
      <c r="E193" s="238"/>
      <c r="F193" s="238"/>
      <c r="G193" s="591"/>
      <c r="H193" s="592"/>
      <c r="I193" s="592"/>
      <c r="J193" s="592"/>
      <c r="K193" s="592"/>
      <c r="L193" s="592"/>
      <c r="M193" s="592"/>
      <c r="N193" s="592"/>
      <c r="O193" s="592"/>
      <c r="P193" s="593"/>
      <c r="Q193" s="597"/>
      <c r="R193" s="598"/>
      <c r="S193" s="598"/>
      <c r="T193" s="598"/>
      <c r="U193" s="598"/>
      <c r="V193" s="598"/>
      <c r="W193" s="598"/>
      <c r="X193" s="598"/>
      <c r="Y193" s="598"/>
      <c r="Z193" s="598"/>
      <c r="AA193" s="598"/>
      <c r="AB193" s="598"/>
      <c r="AC193" s="598"/>
      <c r="AD193" s="598"/>
      <c r="AE193" s="598"/>
      <c r="AF193" s="598"/>
      <c r="AG193" s="599"/>
      <c r="AH193" s="238"/>
      <c r="AI193" s="238"/>
      <c r="AJ193" s="238"/>
      <c r="AK193" s="238"/>
    </row>
    <row r="194" spans="2:37" ht="12.75" customHeight="1">
      <c r="B194" s="238"/>
      <c r="C194" s="238"/>
      <c r="D194" s="238"/>
      <c r="E194" s="238"/>
      <c r="F194" s="238"/>
      <c r="G194" s="238"/>
      <c r="H194" s="238"/>
      <c r="I194" s="238"/>
      <c r="J194" s="238"/>
      <c r="K194" s="238"/>
      <c r="L194" s="238"/>
      <c r="M194" s="238"/>
      <c r="N194" s="238"/>
      <c r="O194" s="238"/>
      <c r="P194" s="238"/>
      <c r="Q194" s="238"/>
      <c r="R194" s="238"/>
      <c r="S194" s="238"/>
      <c r="T194" s="238"/>
      <c r="U194" s="238"/>
      <c r="V194" s="238"/>
      <c r="W194" s="238"/>
      <c r="X194" s="238"/>
      <c r="Y194" s="238"/>
      <c r="Z194" s="238"/>
      <c r="AA194" s="238"/>
      <c r="AB194" s="238"/>
      <c r="AC194" s="238"/>
      <c r="AD194" s="238"/>
      <c r="AE194" s="238"/>
      <c r="AF194" s="238"/>
      <c r="AG194" s="238"/>
      <c r="AH194" s="238"/>
      <c r="AI194" s="238"/>
      <c r="AJ194" s="238"/>
      <c r="AK194" s="238"/>
    </row>
    <row r="195" spans="2:37" ht="12.75" customHeight="1">
      <c r="B195" s="238"/>
      <c r="C195" s="238"/>
      <c r="D195" s="238"/>
      <c r="E195" s="238"/>
      <c r="F195" s="238"/>
      <c r="G195" s="238"/>
      <c r="H195" s="238"/>
      <c r="I195" s="238"/>
      <c r="J195" s="238"/>
      <c r="K195" s="238"/>
      <c r="L195" s="238"/>
      <c r="M195" s="238"/>
      <c r="N195" s="238"/>
      <c r="O195" s="238"/>
      <c r="P195" s="238"/>
      <c r="Q195" s="238"/>
      <c r="R195" s="238"/>
      <c r="S195" s="238"/>
      <c r="T195" s="238"/>
      <c r="U195" s="238"/>
      <c r="V195" s="238"/>
      <c r="W195" s="238"/>
      <c r="X195" s="238"/>
      <c r="Y195" s="238"/>
      <c r="Z195" s="238"/>
      <c r="AA195" s="238"/>
      <c r="AB195" s="238"/>
      <c r="AC195" s="238"/>
      <c r="AD195" s="238"/>
      <c r="AE195" s="238"/>
      <c r="AF195" s="238"/>
      <c r="AG195" s="238"/>
      <c r="AH195" s="238"/>
      <c r="AI195" s="238"/>
      <c r="AJ195" s="238"/>
      <c r="AK195" s="238"/>
    </row>
    <row r="196" spans="2:37" ht="23.25" customHeight="1">
      <c r="B196" s="566" t="s">
        <v>351</v>
      </c>
      <c r="C196" s="566"/>
      <c r="D196" s="566"/>
      <c r="E196" s="566"/>
      <c r="F196" s="566"/>
      <c r="G196" s="566"/>
      <c r="H196" s="566"/>
      <c r="I196" s="566"/>
      <c r="J196" s="566"/>
      <c r="K196" s="566"/>
      <c r="L196" s="566"/>
      <c r="M196" s="566"/>
      <c r="N196" s="566"/>
      <c r="O196" s="566"/>
      <c r="P196" s="566"/>
      <c r="Q196" s="566"/>
      <c r="R196" s="566"/>
      <c r="S196" s="566"/>
      <c r="T196" s="566"/>
      <c r="U196" s="566"/>
      <c r="V196" s="566"/>
      <c r="W196" s="566"/>
      <c r="X196" s="566"/>
      <c r="Y196" s="566"/>
      <c r="Z196" s="566"/>
      <c r="AA196" s="566"/>
      <c r="AB196" s="566"/>
      <c r="AC196" s="566"/>
      <c r="AD196" s="566"/>
      <c r="AE196" s="566"/>
      <c r="AF196" s="566"/>
      <c r="AG196" s="566"/>
      <c r="AH196" s="566"/>
      <c r="AI196" s="566"/>
      <c r="AJ196" s="566"/>
      <c r="AK196" s="566"/>
    </row>
    <row r="197" spans="2:37" ht="12.75" customHeight="1">
      <c r="B197" s="231"/>
      <c r="C197" s="232"/>
      <c r="D197" s="232"/>
      <c r="E197" s="232"/>
      <c r="F197" s="232"/>
      <c r="G197" s="232"/>
      <c r="H197" s="232"/>
      <c r="I197" s="232"/>
      <c r="J197" s="232"/>
      <c r="K197" s="232"/>
      <c r="L197" s="232"/>
      <c r="M197" s="232"/>
      <c r="N197" s="232"/>
      <c r="O197" s="232"/>
      <c r="P197" s="232"/>
      <c r="Q197" s="232"/>
      <c r="R197" s="232"/>
      <c r="S197" s="232"/>
      <c r="T197" s="232"/>
      <c r="U197" s="232"/>
      <c r="V197" s="232"/>
      <c r="W197" s="232"/>
      <c r="X197" s="232"/>
      <c r="Y197" s="232"/>
      <c r="Z197" s="232"/>
      <c r="AA197" s="232"/>
      <c r="AB197" s="232"/>
      <c r="AC197" s="232"/>
      <c r="AD197" s="232"/>
      <c r="AE197" s="232"/>
      <c r="AF197" s="232"/>
      <c r="AG197" s="232"/>
      <c r="AH197" s="232"/>
      <c r="AI197" s="232"/>
      <c r="AJ197" s="232"/>
      <c r="AK197" s="232"/>
    </row>
    <row r="198" spans="2:37" ht="69" customHeight="1">
      <c r="B198" s="566" t="s">
        <v>381</v>
      </c>
      <c r="C198" s="566"/>
      <c r="D198" s="566"/>
      <c r="E198" s="566"/>
      <c r="F198" s="566"/>
      <c r="G198" s="566"/>
      <c r="H198" s="566"/>
      <c r="I198" s="566"/>
      <c r="J198" s="566"/>
      <c r="K198" s="566"/>
      <c r="L198" s="566"/>
      <c r="M198" s="566"/>
      <c r="N198" s="566"/>
      <c r="O198" s="566"/>
      <c r="P198" s="566"/>
      <c r="Q198" s="566"/>
      <c r="R198" s="566"/>
      <c r="S198" s="566"/>
      <c r="T198" s="566"/>
      <c r="U198" s="566"/>
      <c r="V198" s="566"/>
      <c r="W198" s="566"/>
      <c r="X198" s="566"/>
      <c r="Y198" s="566"/>
      <c r="Z198" s="566"/>
      <c r="AA198" s="566"/>
      <c r="AB198" s="566"/>
      <c r="AC198" s="566"/>
      <c r="AD198" s="566"/>
      <c r="AE198" s="566"/>
      <c r="AF198" s="566"/>
      <c r="AG198" s="566"/>
      <c r="AH198" s="566"/>
      <c r="AI198" s="566"/>
      <c r="AJ198" s="566"/>
      <c r="AK198" s="566"/>
    </row>
    <row r="199" spans="2:37" ht="37.5" customHeight="1">
      <c r="B199" s="562" t="s">
        <v>269</v>
      </c>
      <c r="C199" s="562"/>
      <c r="D199" s="562"/>
      <c r="E199" s="562"/>
      <c r="F199" s="562"/>
      <c r="G199" s="562"/>
      <c r="H199" s="562"/>
      <c r="I199" s="562"/>
      <c r="J199" s="562"/>
      <c r="K199" s="562"/>
      <c r="L199" s="562"/>
      <c r="M199" s="562"/>
      <c r="N199" s="562"/>
      <c r="O199" s="562"/>
      <c r="P199" s="562"/>
      <c r="Q199" s="562"/>
      <c r="R199" s="562"/>
      <c r="S199" s="562"/>
      <c r="T199" s="562"/>
      <c r="U199" s="562"/>
      <c r="V199" s="562"/>
      <c r="W199" s="562"/>
      <c r="X199" s="562"/>
      <c r="Y199" s="562"/>
      <c r="Z199" s="562"/>
      <c r="AA199" s="562"/>
      <c r="AB199" s="562"/>
      <c r="AC199" s="562"/>
      <c r="AD199" s="562"/>
      <c r="AE199" s="562"/>
      <c r="AF199" s="562"/>
      <c r="AG199" s="562"/>
      <c r="AH199" s="562"/>
      <c r="AI199" s="562"/>
      <c r="AJ199" s="562"/>
      <c r="AK199" s="562"/>
    </row>
    <row r="200" spans="2:37" ht="12.75" customHeight="1">
      <c r="B200" s="231"/>
      <c r="C200" s="232"/>
      <c r="D200" s="232"/>
      <c r="E200" s="232"/>
      <c r="F200" s="232"/>
      <c r="G200" s="232"/>
      <c r="H200" s="232"/>
      <c r="I200" s="232"/>
      <c r="J200" s="232"/>
      <c r="K200" s="232"/>
      <c r="L200" s="232"/>
      <c r="M200" s="232"/>
      <c r="N200" s="232"/>
      <c r="O200" s="232"/>
      <c r="P200" s="232"/>
      <c r="Q200" s="232"/>
      <c r="R200" s="232"/>
      <c r="S200" s="232"/>
      <c r="T200" s="232"/>
      <c r="U200" s="232"/>
      <c r="V200" s="232"/>
      <c r="W200" s="232"/>
      <c r="X200" s="232"/>
      <c r="Y200" s="232"/>
      <c r="Z200" s="232"/>
      <c r="AA200" s="232"/>
      <c r="AB200" s="232"/>
      <c r="AC200" s="232"/>
      <c r="AD200" s="232"/>
      <c r="AE200" s="232"/>
      <c r="AF200" s="232"/>
      <c r="AG200" s="232"/>
      <c r="AH200" s="232"/>
      <c r="AI200" s="232"/>
      <c r="AJ200" s="232"/>
      <c r="AK200" s="232"/>
    </row>
    <row r="201" spans="2:37" ht="45.75" customHeight="1">
      <c r="B201" s="566" t="s">
        <v>382</v>
      </c>
      <c r="C201" s="566"/>
      <c r="D201" s="566"/>
      <c r="E201" s="566"/>
      <c r="F201" s="566"/>
      <c r="G201" s="566"/>
      <c r="H201" s="566"/>
      <c r="I201" s="566"/>
      <c r="J201" s="566"/>
      <c r="K201" s="566"/>
      <c r="L201" s="566"/>
      <c r="M201" s="566"/>
      <c r="N201" s="566"/>
      <c r="O201" s="566"/>
      <c r="P201" s="566"/>
      <c r="Q201" s="566"/>
      <c r="R201" s="566"/>
      <c r="S201" s="566"/>
      <c r="T201" s="566"/>
      <c r="U201" s="566"/>
      <c r="V201" s="566"/>
      <c r="W201" s="566"/>
      <c r="X201" s="566"/>
      <c r="Y201" s="566"/>
      <c r="Z201" s="566"/>
      <c r="AA201" s="566"/>
      <c r="AB201" s="566"/>
      <c r="AC201" s="566"/>
      <c r="AD201" s="566"/>
      <c r="AE201" s="566"/>
      <c r="AF201" s="566"/>
      <c r="AG201" s="566"/>
      <c r="AH201" s="566"/>
      <c r="AI201" s="566"/>
      <c r="AJ201" s="566"/>
      <c r="AK201" s="566"/>
    </row>
    <row r="202" spans="2:37" ht="12.75" customHeight="1">
      <c r="B202" s="232"/>
      <c r="C202" s="232"/>
      <c r="D202" s="232"/>
      <c r="E202" s="232"/>
      <c r="F202" s="232"/>
      <c r="G202" s="232"/>
      <c r="H202" s="232"/>
      <c r="I202" s="232"/>
      <c r="J202" s="232"/>
      <c r="K202" s="232"/>
      <c r="L202" s="232"/>
      <c r="M202" s="232"/>
      <c r="N202" s="232"/>
      <c r="O202" s="232"/>
      <c r="P202" s="232"/>
      <c r="Q202" s="232"/>
      <c r="R202" s="232"/>
      <c r="S202" s="232"/>
      <c r="T202" s="232"/>
      <c r="U202" s="232"/>
      <c r="V202" s="232"/>
      <c r="W202" s="232"/>
      <c r="X202" s="232"/>
      <c r="Y202" s="232"/>
      <c r="Z202" s="232"/>
      <c r="AA202" s="232"/>
      <c r="AB202" s="232"/>
      <c r="AC202" s="232"/>
      <c r="AD202" s="232"/>
      <c r="AE202" s="232"/>
      <c r="AF202" s="232"/>
      <c r="AG202" s="232"/>
      <c r="AH202" s="232"/>
      <c r="AI202" s="232"/>
      <c r="AJ202" s="232"/>
      <c r="AK202" s="232"/>
    </row>
    <row r="203" spans="2:37" ht="48" customHeight="1">
      <c r="B203" s="566" t="s">
        <v>271</v>
      </c>
      <c r="C203" s="566"/>
      <c r="D203" s="566"/>
      <c r="E203" s="566"/>
      <c r="F203" s="566"/>
      <c r="G203" s="566"/>
      <c r="H203" s="566"/>
      <c r="I203" s="566"/>
      <c r="J203" s="566"/>
      <c r="K203" s="566"/>
      <c r="L203" s="566"/>
      <c r="M203" s="566"/>
      <c r="N203" s="566"/>
      <c r="O203" s="566"/>
      <c r="P203" s="566"/>
      <c r="Q203" s="566"/>
      <c r="R203" s="566"/>
      <c r="S203" s="566"/>
      <c r="T203" s="566"/>
      <c r="U203" s="566"/>
      <c r="V203" s="566"/>
      <c r="W203" s="566"/>
      <c r="X203" s="566"/>
      <c r="Y203" s="566"/>
      <c r="Z203" s="566"/>
      <c r="AA203" s="566"/>
      <c r="AB203" s="566"/>
      <c r="AC203" s="566"/>
      <c r="AD203" s="566"/>
      <c r="AE203" s="566"/>
      <c r="AF203" s="566"/>
      <c r="AG203" s="566"/>
      <c r="AH203" s="566"/>
      <c r="AI203" s="566"/>
      <c r="AJ203" s="566"/>
      <c r="AK203" s="566"/>
    </row>
    <row r="204" spans="2:37" ht="12.75" customHeight="1">
      <c r="B204" s="232"/>
      <c r="C204" s="232"/>
      <c r="D204" s="232"/>
      <c r="E204" s="232"/>
      <c r="F204" s="232"/>
      <c r="G204" s="232"/>
      <c r="H204" s="232"/>
      <c r="I204" s="232"/>
      <c r="J204" s="232"/>
      <c r="K204" s="232"/>
      <c r="L204" s="232"/>
      <c r="M204" s="232"/>
      <c r="N204" s="232"/>
      <c r="O204" s="232"/>
      <c r="P204" s="232"/>
      <c r="Q204" s="232"/>
      <c r="R204" s="232"/>
      <c r="S204" s="232"/>
      <c r="T204" s="232"/>
      <c r="U204" s="232"/>
      <c r="V204" s="232"/>
      <c r="W204" s="232"/>
      <c r="X204" s="232"/>
      <c r="Y204" s="232"/>
      <c r="Z204" s="232"/>
      <c r="AA204" s="232"/>
      <c r="AB204" s="232"/>
      <c r="AC204" s="232"/>
      <c r="AD204" s="232"/>
      <c r="AE204" s="232"/>
      <c r="AF204" s="232"/>
      <c r="AG204" s="232"/>
      <c r="AH204" s="232"/>
      <c r="AI204" s="232"/>
      <c r="AJ204" s="232"/>
      <c r="AK204" s="232"/>
    </row>
    <row r="205" spans="2:37" ht="12.75" customHeight="1">
      <c r="B205" s="239"/>
      <c r="C205" s="238"/>
      <c r="D205" s="238"/>
      <c r="E205" s="238"/>
      <c r="F205" s="238"/>
      <c r="G205" s="238"/>
      <c r="H205" s="238"/>
      <c r="I205" s="238"/>
      <c r="J205" s="238"/>
      <c r="K205" s="238"/>
      <c r="L205" s="238"/>
      <c r="M205" s="238"/>
      <c r="N205" s="238"/>
      <c r="O205" s="238"/>
      <c r="P205" s="238"/>
      <c r="Q205" s="238"/>
      <c r="R205" s="238"/>
      <c r="S205" s="238"/>
      <c r="T205" s="238"/>
      <c r="U205" s="238"/>
      <c r="V205" s="238"/>
      <c r="W205" s="238"/>
      <c r="X205" s="238"/>
      <c r="Y205" s="238"/>
      <c r="Z205" s="238"/>
      <c r="AA205" s="238"/>
      <c r="AB205" s="238"/>
      <c r="AC205" s="238"/>
      <c r="AD205" s="238"/>
      <c r="AE205" s="238"/>
      <c r="AF205" s="238"/>
      <c r="AG205" s="238"/>
      <c r="AH205" s="238"/>
      <c r="AI205" s="238"/>
      <c r="AJ205" s="238"/>
      <c r="AK205" s="238"/>
    </row>
    <row r="206" spans="2:37" ht="12.75" customHeight="1">
      <c r="B206" s="805" t="s">
        <v>272</v>
      </c>
      <c r="C206" s="805"/>
      <c r="D206" s="805"/>
      <c r="E206" s="805"/>
      <c r="F206" s="805"/>
      <c r="G206" s="805"/>
      <c r="H206" s="805"/>
      <c r="I206" s="805"/>
      <c r="J206" s="805"/>
      <c r="K206" s="805"/>
      <c r="L206" s="805"/>
      <c r="M206" s="805"/>
      <c r="N206" s="805"/>
      <c r="O206" s="805"/>
      <c r="P206" s="805"/>
      <c r="Q206" s="805"/>
      <c r="R206" s="805"/>
      <c r="S206" s="805"/>
      <c r="T206" s="805"/>
      <c r="U206" s="805"/>
      <c r="V206" s="805"/>
      <c r="W206" s="805"/>
      <c r="X206" s="805"/>
      <c r="Y206" s="805"/>
      <c r="Z206" s="805"/>
      <c r="AA206" s="805"/>
      <c r="AB206" s="805"/>
      <c r="AC206" s="805"/>
      <c r="AD206" s="805"/>
      <c r="AE206" s="805"/>
      <c r="AF206" s="805"/>
      <c r="AG206" s="805"/>
      <c r="AH206" s="805"/>
      <c r="AI206" s="805"/>
      <c r="AJ206" s="805"/>
      <c r="AK206" s="805"/>
    </row>
    <row r="207" spans="2:37" ht="12.75" customHeight="1">
      <c r="B207" s="282"/>
      <c r="C207" s="238"/>
      <c r="D207" s="238"/>
      <c r="E207" s="238"/>
      <c r="F207" s="238"/>
      <c r="G207" s="238"/>
      <c r="H207" s="238"/>
      <c r="I207" s="238"/>
      <c r="J207" s="238"/>
      <c r="K207" s="238"/>
      <c r="L207" s="238"/>
      <c r="M207" s="238"/>
      <c r="N207" s="238"/>
      <c r="O207" s="238"/>
      <c r="P207" s="238"/>
      <c r="Q207" s="238"/>
      <c r="R207" s="238"/>
      <c r="S207" s="238"/>
      <c r="T207" s="238"/>
      <c r="U207" s="238"/>
      <c r="V207" s="238"/>
      <c r="W207" s="238"/>
      <c r="X207" s="238"/>
      <c r="Y207" s="238"/>
      <c r="Z207" s="238"/>
      <c r="AA207" s="238"/>
      <c r="AB207" s="238"/>
      <c r="AC207" s="238"/>
      <c r="AD207" s="238"/>
      <c r="AE207" s="238"/>
      <c r="AF207" s="238"/>
      <c r="AG207" s="238"/>
      <c r="AH207" s="238"/>
      <c r="AI207" s="238"/>
      <c r="AJ207" s="238"/>
      <c r="AK207" s="238"/>
    </row>
    <row r="208" spans="2:37" ht="46.5" customHeight="1">
      <c r="B208" s="562" t="s">
        <v>383</v>
      </c>
      <c r="C208" s="562"/>
      <c r="D208" s="562"/>
      <c r="E208" s="562"/>
      <c r="F208" s="562"/>
      <c r="G208" s="562"/>
      <c r="H208" s="562"/>
      <c r="I208" s="562"/>
      <c r="J208" s="562"/>
      <c r="K208" s="562"/>
      <c r="L208" s="562"/>
      <c r="M208" s="562"/>
      <c r="N208" s="562"/>
      <c r="O208" s="562"/>
      <c r="P208" s="562"/>
      <c r="Q208" s="562"/>
      <c r="R208" s="562"/>
      <c r="S208" s="562"/>
      <c r="T208" s="562"/>
      <c r="U208" s="562"/>
      <c r="V208" s="562"/>
      <c r="W208" s="562"/>
      <c r="X208" s="562"/>
      <c r="Y208" s="562"/>
      <c r="Z208" s="562"/>
      <c r="AA208" s="562"/>
      <c r="AB208" s="562"/>
      <c r="AC208" s="562"/>
      <c r="AD208" s="562"/>
      <c r="AE208" s="562"/>
      <c r="AF208" s="562"/>
      <c r="AG208" s="562"/>
      <c r="AH208" s="562"/>
      <c r="AI208" s="562"/>
      <c r="AJ208" s="562"/>
      <c r="AK208" s="562"/>
    </row>
    <row r="209" spans="2:37" ht="12.75" customHeight="1">
      <c r="B209" s="238"/>
      <c r="C209" s="238"/>
      <c r="D209" s="238"/>
      <c r="E209" s="238"/>
      <c r="F209" s="238"/>
      <c r="G209" s="238"/>
      <c r="H209" s="238"/>
      <c r="I209" s="238"/>
      <c r="J209" s="238"/>
      <c r="K209" s="238"/>
      <c r="L209" s="238"/>
      <c r="M209" s="238"/>
      <c r="N209" s="238"/>
      <c r="O209" s="238"/>
      <c r="P209" s="238"/>
      <c r="Q209" s="238"/>
      <c r="R209" s="238"/>
      <c r="S209" s="238"/>
      <c r="T209" s="238"/>
      <c r="U209" s="238"/>
      <c r="V209" s="238"/>
      <c r="W209" s="238"/>
      <c r="X209" s="238"/>
      <c r="Y209" s="238"/>
      <c r="Z209" s="238"/>
      <c r="AA209" s="238"/>
      <c r="AB209" s="238"/>
      <c r="AC209" s="238"/>
      <c r="AD209" s="238"/>
      <c r="AE209" s="238"/>
      <c r="AF209" s="238"/>
      <c r="AG209" s="238"/>
      <c r="AH209" s="238"/>
      <c r="AI209" s="238"/>
      <c r="AJ209" s="238"/>
      <c r="AK209" s="238"/>
    </row>
    <row r="210" spans="2:37" ht="12.75" customHeight="1">
      <c r="B210" s="238"/>
      <c r="C210" s="238"/>
      <c r="D210" s="238"/>
      <c r="E210" s="238"/>
      <c r="F210" s="238"/>
      <c r="G210" s="238"/>
      <c r="H210" s="238"/>
      <c r="I210" s="238"/>
      <c r="J210" s="238"/>
      <c r="K210" s="238"/>
      <c r="L210" s="238"/>
      <c r="M210" s="238"/>
      <c r="N210" s="238"/>
      <c r="O210" s="238"/>
      <c r="P210" s="238"/>
      <c r="Q210" s="238"/>
      <c r="R210" s="238"/>
      <c r="S210" s="238"/>
      <c r="T210" s="238"/>
      <c r="U210" s="238"/>
      <c r="V210" s="238"/>
      <c r="W210" s="238"/>
      <c r="X210" s="238"/>
      <c r="Y210" s="238"/>
      <c r="Z210" s="238"/>
      <c r="AA210" s="238"/>
      <c r="AB210" s="238"/>
      <c r="AC210" s="238"/>
      <c r="AD210" s="238"/>
      <c r="AE210" s="238"/>
      <c r="AF210" s="238"/>
      <c r="AG210" s="238"/>
      <c r="AH210" s="238"/>
      <c r="AI210" s="238"/>
      <c r="AJ210" s="238"/>
      <c r="AK210" s="238"/>
    </row>
    <row r="211" spans="2:37" ht="12.75" customHeight="1">
      <c r="B211" s="238"/>
      <c r="C211" s="238"/>
      <c r="D211" s="238"/>
      <c r="E211" s="238"/>
      <c r="F211" s="238"/>
      <c r="G211" s="238"/>
      <c r="H211" s="232"/>
      <c r="I211" s="232"/>
      <c r="J211" s="232"/>
      <c r="K211" s="232"/>
      <c r="L211" s="232"/>
      <c r="M211" s="232"/>
      <c r="N211" s="232"/>
      <c r="O211" s="232"/>
      <c r="P211" s="232"/>
      <c r="Q211" s="232"/>
      <c r="R211" s="232"/>
      <c r="S211" s="232"/>
      <c r="T211" s="232"/>
      <c r="U211" s="232"/>
      <c r="V211" s="232"/>
      <c r="W211" s="232"/>
      <c r="X211" s="232"/>
      <c r="Y211" s="232"/>
      <c r="Z211" s="232"/>
      <c r="AA211" s="232"/>
      <c r="AB211" s="232"/>
      <c r="AC211" s="232"/>
      <c r="AD211" s="238"/>
      <c r="AE211" s="238"/>
      <c r="AF211" s="238"/>
      <c r="AG211" s="238"/>
      <c r="AH211" s="238"/>
      <c r="AI211" s="238"/>
      <c r="AJ211" s="238"/>
      <c r="AK211" s="238"/>
    </row>
    <row r="212" spans="2:37" ht="12.75" customHeight="1">
      <c r="B212" s="238"/>
      <c r="C212" s="238"/>
      <c r="D212" s="238"/>
      <c r="E212" s="238"/>
      <c r="F212" s="238"/>
      <c r="G212" s="238"/>
      <c r="H212" s="283"/>
      <c r="I212" s="283"/>
      <c r="J212" s="283"/>
      <c r="K212" s="283"/>
      <c r="L212" s="233"/>
      <c r="M212" s="233"/>
      <c r="N212" s="233"/>
      <c r="O212" s="609" t="s">
        <v>274</v>
      </c>
      <c r="P212" s="609"/>
      <c r="Q212" s="609"/>
      <c r="R212" s="609"/>
      <c r="S212" s="609"/>
      <c r="T212" s="609"/>
      <c r="U212" s="609"/>
      <c r="V212" s="609"/>
      <c r="W212" s="609"/>
      <c r="X212" s="609"/>
      <c r="Y212" s="234"/>
      <c r="Z212" s="233"/>
      <c r="AA212" s="233"/>
      <c r="AB212" s="283"/>
      <c r="AC212" s="283"/>
      <c r="AD212" s="238"/>
      <c r="AE212" s="238"/>
      <c r="AF212" s="238"/>
      <c r="AG212" s="238"/>
      <c r="AH212" s="238"/>
      <c r="AI212" s="238"/>
      <c r="AJ212" s="238"/>
      <c r="AK212" s="238"/>
    </row>
    <row r="213" spans="2:37" ht="12.75" customHeight="1">
      <c r="B213" s="238"/>
      <c r="C213" s="238"/>
      <c r="D213" s="238"/>
      <c r="E213" s="238"/>
      <c r="F213" s="238"/>
      <c r="G213" s="238"/>
      <c r="H213" s="283"/>
      <c r="I213" s="283"/>
      <c r="J213" s="283"/>
      <c r="K213" s="283"/>
      <c r="L213" s="233"/>
      <c r="M213" s="233"/>
      <c r="N213" s="233"/>
      <c r="O213" s="235"/>
      <c r="P213" s="235"/>
      <c r="Q213" s="235"/>
      <c r="R213" s="235"/>
      <c r="S213" s="235"/>
      <c r="T213" s="235"/>
      <c r="U213" s="235"/>
      <c r="V213" s="235"/>
      <c r="W213" s="233"/>
      <c r="X213" s="233"/>
      <c r="Y213" s="233"/>
      <c r="Z213" s="233"/>
      <c r="AA213" s="233"/>
      <c r="AB213" s="283"/>
      <c r="AC213" s="283"/>
      <c r="AD213" s="238"/>
      <c r="AE213" s="238"/>
      <c r="AF213" s="238"/>
      <c r="AG213" s="238"/>
      <c r="AH213" s="238"/>
      <c r="AI213" s="238"/>
      <c r="AJ213" s="238"/>
      <c r="AK213" s="238"/>
    </row>
    <row r="214" spans="2:37" ht="12.75" customHeight="1">
      <c r="B214" s="238"/>
      <c r="C214" s="238"/>
      <c r="D214" s="238"/>
      <c r="E214" s="238"/>
      <c r="F214" s="238"/>
      <c r="G214" s="238"/>
      <c r="H214" s="283"/>
      <c r="I214" s="283"/>
      <c r="J214" s="283"/>
      <c r="K214" s="283"/>
      <c r="L214" s="840"/>
      <c r="M214" s="840"/>
      <c r="N214" s="840"/>
      <c r="O214" s="840"/>
      <c r="P214" s="840"/>
      <c r="Q214" s="840"/>
      <c r="R214" s="840"/>
      <c r="S214" s="840"/>
      <c r="T214" s="840"/>
      <c r="U214" s="840"/>
      <c r="V214" s="840"/>
      <c r="W214" s="840"/>
      <c r="X214" s="840"/>
      <c r="Y214" s="840"/>
      <c r="Z214" s="840"/>
      <c r="AA214" s="840"/>
      <c r="AB214" s="283"/>
      <c r="AC214" s="283"/>
      <c r="AD214" s="238"/>
      <c r="AE214" s="238"/>
      <c r="AF214" s="238"/>
      <c r="AG214" s="238"/>
      <c r="AH214" s="238"/>
      <c r="AI214" s="238"/>
      <c r="AJ214" s="238"/>
      <c r="AK214" s="238"/>
    </row>
    <row r="215" spans="2:37" ht="12.75" customHeight="1">
      <c r="B215" s="238"/>
      <c r="C215" s="238"/>
      <c r="D215" s="238"/>
      <c r="E215" s="238"/>
      <c r="F215" s="238"/>
      <c r="G215" s="238"/>
      <c r="H215" s="283"/>
      <c r="I215" s="283"/>
      <c r="J215" s="283"/>
      <c r="K215" s="283"/>
      <c r="L215" s="841">
        <f>AA_013_DATOS_DE_LA_PARTE_ACREDITADA_NOMBRE_DEL_ACREDITADO</f>
        <v>0</v>
      </c>
      <c r="M215" s="841"/>
      <c r="N215" s="841"/>
      <c r="O215" s="841"/>
      <c r="P215" s="841"/>
      <c r="Q215" s="841"/>
      <c r="R215" s="841"/>
      <c r="S215" s="841"/>
      <c r="T215" s="841"/>
      <c r="U215" s="841"/>
      <c r="V215" s="841"/>
      <c r="W215" s="841"/>
      <c r="X215" s="841"/>
      <c r="Y215" s="841"/>
      <c r="Z215" s="841"/>
      <c r="AA215" s="841"/>
      <c r="AB215" s="283"/>
      <c r="AC215" s="283"/>
      <c r="AD215" s="238"/>
      <c r="AE215" s="238"/>
      <c r="AF215" s="238"/>
      <c r="AG215" s="238"/>
      <c r="AH215" s="238"/>
      <c r="AI215" s="238"/>
      <c r="AJ215" s="238"/>
      <c r="AK215" s="238"/>
    </row>
    <row r="216" spans="2:37" ht="12.75" customHeight="1">
      <c r="B216" s="238"/>
      <c r="C216" s="238"/>
      <c r="D216" s="238"/>
      <c r="E216" s="238"/>
      <c r="F216" s="238"/>
      <c r="G216" s="238"/>
      <c r="H216" s="283"/>
      <c r="I216" s="283"/>
      <c r="J216" s="283"/>
      <c r="K216" s="283"/>
      <c r="L216" s="283"/>
      <c r="M216" s="283"/>
      <c r="N216" s="283"/>
      <c r="O216" s="283"/>
      <c r="P216" s="283"/>
      <c r="Q216" s="283"/>
      <c r="R216" s="283"/>
      <c r="S216" s="283"/>
      <c r="T216" s="283"/>
      <c r="U216" s="283"/>
      <c r="V216" s="283"/>
      <c r="W216" s="283"/>
      <c r="X216" s="283"/>
      <c r="Y216" s="283"/>
      <c r="Z216" s="283"/>
      <c r="AA216" s="283"/>
      <c r="AB216" s="283"/>
      <c r="AC216" s="283"/>
      <c r="AD216" s="238"/>
      <c r="AE216" s="238"/>
      <c r="AF216" s="238"/>
      <c r="AG216" s="238"/>
      <c r="AH216" s="238"/>
      <c r="AI216" s="238"/>
      <c r="AJ216" s="238"/>
      <c r="AK216" s="238"/>
    </row>
    <row r="217" spans="2:37" ht="12.75" customHeight="1">
      <c r="B217" s="238"/>
      <c r="C217" s="238"/>
      <c r="D217" s="238"/>
      <c r="E217" s="238"/>
      <c r="F217" s="238"/>
      <c r="G217" s="238"/>
      <c r="H217" s="284"/>
      <c r="I217" s="284"/>
      <c r="J217" s="284"/>
      <c r="K217" s="284"/>
      <c r="L217" s="842"/>
      <c r="M217" s="842"/>
      <c r="N217" s="842"/>
      <c r="O217" s="842"/>
      <c r="P217" s="842"/>
      <c r="Q217" s="842"/>
      <c r="R217" s="842"/>
      <c r="S217" s="842"/>
      <c r="T217" s="842"/>
      <c r="U217" s="842"/>
      <c r="V217" s="842"/>
      <c r="W217" s="842"/>
      <c r="X217" s="842"/>
      <c r="Y217" s="842"/>
      <c r="Z217" s="842"/>
      <c r="AA217" s="842"/>
      <c r="AB217" s="284"/>
      <c r="AC217" s="284"/>
      <c r="AD217" s="238"/>
      <c r="AE217" s="238"/>
      <c r="AF217" s="238"/>
      <c r="AG217" s="238"/>
      <c r="AH217" s="238"/>
      <c r="AI217" s="238"/>
      <c r="AJ217" s="238"/>
      <c r="AK217" s="238"/>
    </row>
    <row r="218" spans="2:37" ht="12.75" customHeight="1">
      <c r="B218" s="238"/>
      <c r="C218" s="238"/>
      <c r="D218" s="238"/>
      <c r="E218" s="238"/>
      <c r="F218" s="238"/>
      <c r="G218" s="238"/>
      <c r="H218" s="284"/>
      <c r="I218" s="284"/>
      <c r="J218" s="284"/>
      <c r="K218" s="284"/>
      <c r="L218" s="841">
        <f>AA_024_DATOS_DE_LA_PARTE_ACREDITADA_NOMBRE_DEL_ACREDITADO_2</f>
        <v>0</v>
      </c>
      <c r="M218" s="841"/>
      <c r="N218" s="841"/>
      <c r="O218" s="841"/>
      <c r="P218" s="841"/>
      <c r="Q218" s="841"/>
      <c r="R218" s="841"/>
      <c r="S218" s="841"/>
      <c r="T218" s="841"/>
      <c r="U218" s="841"/>
      <c r="V218" s="841"/>
      <c r="W218" s="841"/>
      <c r="X218" s="841"/>
      <c r="Y218" s="841"/>
      <c r="Z218" s="841"/>
      <c r="AA218" s="841"/>
      <c r="AB218" s="284"/>
      <c r="AC218" s="284"/>
      <c r="AD218" s="238"/>
      <c r="AE218" s="238"/>
      <c r="AF218" s="238"/>
      <c r="AG218" s="238"/>
      <c r="AH218" s="238"/>
      <c r="AI218" s="238"/>
      <c r="AJ218" s="238"/>
      <c r="AK218" s="238"/>
    </row>
    <row r="219" spans="2:37" ht="12.75" customHeight="1">
      <c r="B219" s="238"/>
      <c r="C219" s="238"/>
      <c r="D219" s="238"/>
      <c r="E219" s="238"/>
      <c r="F219" s="238"/>
      <c r="G219" s="238"/>
      <c r="H219" s="284"/>
      <c r="I219" s="284"/>
      <c r="J219" s="284"/>
      <c r="K219" s="284"/>
      <c r="L219" s="284"/>
      <c r="M219" s="284"/>
      <c r="N219" s="284"/>
      <c r="O219" s="284"/>
      <c r="P219" s="284"/>
      <c r="Q219" s="284"/>
      <c r="R219" s="284"/>
      <c r="S219" s="284"/>
      <c r="T219" s="284"/>
      <c r="U219" s="284"/>
      <c r="V219" s="284"/>
      <c r="W219" s="284"/>
      <c r="X219" s="284"/>
      <c r="Y219" s="284"/>
      <c r="Z219" s="284"/>
      <c r="AA219" s="284"/>
      <c r="AB219" s="284"/>
      <c r="AC219" s="284"/>
      <c r="AD219" s="238"/>
      <c r="AE219" s="238"/>
      <c r="AF219" s="238"/>
      <c r="AG219" s="238"/>
      <c r="AH219" s="238"/>
      <c r="AI219" s="238"/>
      <c r="AJ219" s="238"/>
      <c r="AK219" s="238"/>
    </row>
    <row r="220" spans="2:37" ht="12.75" customHeight="1">
      <c r="B220" s="238"/>
      <c r="C220" s="238"/>
      <c r="D220" s="238"/>
      <c r="E220" s="238"/>
      <c r="F220" s="238"/>
      <c r="G220" s="238"/>
      <c r="H220" s="284"/>
      <c r="I220" s="284"/>
      <c r="J220" s="284"/>
      <c r="K220" s="284"/>
      <c r="L220" s="284"/>
      <c r="M220" s="284"/>
      <c r="N220" s="284"/>
      <c r="O220" s="284"/>
      <c r="P220" s="284"/>
      <c r="Q220" s="284"/>
      <c r="R220" s="284"/>
      <c r="S220" s="284"/>
      <c r="T220" s="284"/>
      <c r="U220" s="284"/>
      <c r="V220" s="284"/>
      <c r="W220" s="284"/>
      <c r="X220" s="284"/>
      <c r="Y220" s="284"/>
      <c r="Z220" s="284"/>
      <c r="AA220" s="284"/>
      <c r="AB220" s="284"/>
      <c r="AC220" s="284"/>
      <c r="AD220" s="238"/>
      <c r="AE220" s="238"/>
      <c r="AF220" s="238"/>
      <c r="AG220" s="238"/>
      <c r="AH220" s="238"/>
      <c r="AI220" s="238"/>
      <c r="AJ220" s="238"/>
      <c r="AK220" s="238"/>
    </row>
    <row r="221" spans="2:37" ht="12.75" customHeight="1">
      <c r="B221" s="238"/>
      <c r="C221" s="238"/>
      <c r="D221" s="238"/>
      <c r="E221" s="238"/>
      <c r="F221" s="238"/>
      <c r="G221" s="238"/>
      <c r="H221" s="284"/>
      <c r="I221" s="284"/>
      <c r="J221" s="284"/>
      <c r="K221" s="284"/>
      <c r="L221" s="284"/>
      <c r="M221" s="284"/>
      <c r="N221" s="284"/>
      <c r="O221" s="284"/>
      <c r="P221" s="284"/>
      <c r="Q221" s="284"/>
      <c r="R221" s="284"/>
      <c r="S221" s="284"/>
      <c r="T221" s="284"/>
      <c r="U221" s="284"/>
      <c r="V221" s="284"/>
      <c r="W221" s="284"/>
      <c r="X221" s="284"/>
      <c r="Y221" s="284"/>
      <c r="Z221" s="284"/>
      <c r="AA221" s="284"/>
      <c r="AB221" s="284"/>
      <c r="AC221" s="284"/>
      <c r="AD221" s="238"/>
      <c r="AE221" s="238"/>
      <c r="AF221" s="238"/>
      <c r="AG221" s="238"/>
      <c r="AH221" s="238"/>
      <c r="AI221" s="238"/>
      <c r="AJ221" s="238"/>
      <c r="AK221" s="238"/>
    </row>
    <row r="222" spans="2:37" ht="12.75" customHeight="1">
      <c r="B222" s="238"/>
      <c r="C222" s="238"/>
      <c r="D222" s="238"/>
      <c r="E222" s="238"/>
      <c r="F222" s="238"/>
      <c r="G222" s="238"/>
      <c r="H222" s="284"/>
      <c r="I222" s="284"/>
      <c r="J222" s="284"/>
      <c r="K222" s="284"/>
      <c r="L222" s="284"/>
      <c r="M222" s="843" t="s">
        <v>275</v>
      </c>
      <c r="N222" s="843"/>
      <c r="O222" s="843"/>
      <c r="P222" s="843"/>
      <c r="Q222" s="843"/>
      <c r="R222" s="843"/>
      <c r="S222" s="843"/>
      <c r="T222" s="843"/>
      <c r="U222" s="843"/>
      <c r="V222" s="843"/>
      <c r="W222" s="843"/>
      <c r="X222" s="843"/>
      <c r="Y222" s="843"/>
      <c r="Z222" s="284"/>
      <c r="AA222" s="284"/>
      <c r="AB222" s="284"/>
      <c r="AC222" s="284"/>
      <c r="AD222" s="238"/>
      <c r="AE222" s="238"/>
      <c r="AF222" s="238"/>
      <c r="AG222" s="238"/>
      <c r="AH222" s="238"/>
      <c r="AI222" s="238"/>
      <c r="AJ222" s="238"/>
      <c r="AK222" s="238"/>
    </row>
    <row r="223" spans="2:37" ht="12.75" customHeight="1">
      <c r="B223" s="238"/>
      <c r="C223" s="238"/>
      <c r="D223" s="238"/>
      <c r="E223" s="238"/>
      <c r="F223" s="238"/>
      <c r="G223" s="238"/>
      <c r="H223" s="284"/>
      <c r="I223" s="284"/>
      <c r="J223" s="284"/>
      <c r="K223" s="284"/>
      <c r="L223" s="284"/>
      <c r="M223" s="284"/>
      <c r="N223" s="284"/>
      <c r="O223" s="284"/>
      <c r="P223" s="284"/>
      <c r="Q223" s="284"/>
      <c r="R223" s="284"/>
      <c r="S223" s="284"/>
      <c r="T223" s="284"/>
      <c r="U223" s="284"/>
      <c r="V223" s="284"/>
      <c r="W223" s="284"/>
      <c r="X223" s="284"/>
      <c r="Y223" s="284"/>
      <c r="Z223" s="284"/>
      <c r="AA223" s="284"/>
      <c r="AB223" s="284"/>
      <c r="AC223" s="284"/>
      <c r="AD223" s="238"/>
      <c r="AE223" s="238"/>
      <c r="AF223" s="238"/>
      <c r="AG223" s="238"/>
      <c r="AH223" s="238"/>
      <c r="AI223" s="238"/>
      <c r="AJ223" s="238"/>
      <c r="AK223" s="238"/>
    </row>
    <row r="224" spans="2:37" ht="12.75" customHeight="1">
      <c r="B224" s="238"/>
      <c r="C224" s="238"/>
      <c r="D224" s="238"/>
      <c r="E224" s="238"/>
      <c r="F224" s="238"/>
      <c r="G224" s="238"/>
      <c r="H224" s="284"/>
      <c r="I224" s="284"/>
      <c r="J224" s="284"/>
      <c r="K224" s="284"/>
      <c r="L224" s="842"/>
      <c r="M224" s="842"/>
      <c r="N224" s="842"/>
      <c r="O224" s="842"/>
      <c r="P224" s="842"/>
      <c r="Q224" s="842"/>
      <c r="R224" s="842"/>
      <c r="S224" s="842"/>
      <c r="T224" s="842"/>
      <c r="U224" s="842"/>
      <c r="V224" s="842"/>
      <c r="W224" s="842"/>
      <c r="X224" s="842"/>
      <c r="Y224" s="842"/>
      <c r="Z224" s="842"/>
      <c r="AA224" s="842"/>
      <c r="AB224" s="284"/>
      <c r="AC224" s="284"/>
      <c r="AD224" s="238"/>
      <c r="AE224" s="238"/>
      <c r="AF224" s="238"/>
      <c r="AG224" s="238"/>
      <c r="AH224" s="238"/>
      <c r="AI224" s="238"/>
      <c r="AJ224" s="238"/>
      <c r="AK224" s="238"/>
    </row>
    <row r="225" spans="2:39" ht="12.75" customHeight="1">
      <c r="B225" s="238"/>
      <c r="C225" s="238"/>
      <c r="D225" s="238"/>
      <c r="E225" s="238"/>
      <c r="F225" s="238"/>
      <c r="G225" s="238"/>
      <c r="H225" s="284"/>
      <c r="I225" s="284"/>
      <c r="J225" s="284"/>
      <c r="K225" s="284"/>
      <c r="L225" s="841">
        <f>AA_037_DATOS_FIADORES_NOMBRE_DEL_FIADOR_SOLIDARIO_UNO</f>
        <v>0</v>
      </c>
      <c r="M225" s="841"/>
      <c r="N225" s="841"/>
      <c r="O225" s="841"/>
      <c r="P225" s="841"/>
      <c r="Q225" s="841"/>
      <c r="R225" s="841"/>
      <c r="S225" s="841"/>
      <c r="T225" s="841"/>
      <c r="U225" s="841"/>
      <c r="V225" s="841"/>
      <c r="W225" s="841"/>
      <c r="X225" s="841"/>
      <c r="Y225" s="841"/>
      <c r="Z225" s="841"/>
      <c r="AA225" s="841"/>
      <c r="AB225" s="284"/>
      <c r="AC225" s="284"/>
      <c r="AD225" s="238"/>
      <c r="AE225" s="238"/>
      <c r="AF225" s="238"/>
      <c r="AG225" s="238"/>
      <c r="AH225" s="238"/>
      <c r="AI225" s="238"/>
      <c r="AJ225" s="238"/>
      <c r="AK225" s="238"/>
    </row>
    <row r="226" spans="2:39" ht="12.75" customHeight="1">
      <c r="B226" s="238"/>
      <c r="C226" s="238"/>
      <c r="D226" s="238"/>
      <c r="E226" s="238"/>
      <c r="F226" s="238"/>
      <c r="G226" s="238"/>
      <c r="H226" s="284"/>
      <c r="I226" s="284"/>
      <c r="J226" s="284"/>
      <c r="K226" s="284"/>
      <c r="L226" s="284"/>
      <c r="M226" s="284"/>
      <c r="N226" s="284"/>
      <c r="O226" s="284"/>
      <c r="P226" s="284"/>
      <c r="Q226" s="284"/>
      <c r="R226" s="284"/>
      <c r="S226" s="284"/>
      <c r="T226" s="284"/>
      <c r="U226" s="284"/>
      <c r="V226" s="284"/>
      <c r="W226" s="284"/>
      <c r="X226" s="284"/>
      <c r="Y226" s="284"/>
      <c r="Z226" s="284"/>
      <c r="AA226" s="284"/>
      <c r="AB226" s="284"/>
      <c r="AC226" s="284"/>
      <c r="AD226" s="238"/>
      <c r="AE226" s="238"/>
      <c r="AF226" s="238"/>
      <c r="AG226" s="238"/>
      <c r="AH226" s="238"/>
      <c r="AI226" s="238"/>
      <c r="AJ226" s="238"/>
      <c r="AK226" s="238"/>
    </row>
    <row r="227" spans="2:39" ht="12.75" customHeight="1">
      <c r="B227" s="238"/>
      <c r="C227" s="238"/>
      <c r="D227" s="238"/>
      <c r="E227" s="238"/>
      <c r="F227" s="238"/>
      <c r="G227" s="238"/>
      <c r="H227" s="284"/>
      <c r="I227" s="284"/>
      <c r="J227" s="284"/>
      <c r="K227" s="284"/>
      <c r="L227" s="842"/>
      <c r="M227" s="842"/>
      <c r="N227" s="842"/>
      <c r="O227" s="842"/>
      <c r="P227" s="842"/>
      <c r="Q227" s="842"/>
      <c r="R227" s="842"/>
      <c r="S227" s="842"/>
      <c r="T227" s="842"/>
      <c r="U227" s="842"/>
      <c r="V227" s="842"/>
      <c r="W227" s="842"/>
      <c r="X227" s="842"/>
      <c r="Y227" s="842"/>
      <c r="Z227" s="842"/>
      <c r="AA227" s="842"/>
      <c r="AB227" s="284"/>
      <c r="AC227" s="284"/>
      <c r="AD227" s="238"/>
      <c r="AE227" s="238"/>
      <c r="AF227" s="238"/>
      <c r="AG227" s="238"/>
      <c r="AH227" s="238"/>
      <c r="AI227" s="238"/>
      <c r="AJ227" s="238"/>
      <c r="AK227" s="238"/>
    </row>
    <row r="228" spans="2:39" ht="12.75" customHeight="1">
      <c r="B228" s="238"/>
      <c r="C228" s="238"/>
      <c r="D228" s="238"/>
      <c r="E228" s="238"/>
      <c r="F228" s="238"/>
      <c r="G228" s="238"/>
      <c r="H228" s="284"/>
      <c r="I228" s="284"/>
      <c r="J228" s="284"/>
      <c r="K228" s="284"/>
      <c r="L228" s="841">
        <f>AA_048_DATOS_FIADORES_NOMBRE_DEL_FIADOR_SOLIDARIO_DOS</f>
        <v>0</v>
      </c>
      <c r="M228" s="841"/>
      <c r="N228" s="841"/>
      <c r="O228" s="841"/>
      <c r="P228" s="841"/>
      <c r="Q228" s="841"/>
      <c r="R228" s="841"/>
      <c r="S228" s="841"/>
      <c r="T228" s="841"/>
      <c r="U228" s="841"/>
      <c r="V228" s="841"/>
      <c r="W228" s="841"/>
      <c r="X228" s="841"/>
      <c r="Y228" s="841"/>
      <c r="Z228" s="841"/>
      <c r="AA228" s="841"/>
      <c r="AB228" s="284"/>
      <c r="AC228" s="284"/>
      <c r="AD228" s="238"/>
      <c r="AE228" s="238"/>
      <c r="AF228" s="238"/>
      <c r="AG228" s="238"/>
      <c r="AH228" s="238"/>
      <c r="AI228" s="238"/>
      <c r="AJ228" s="238"/>
      <c r="AK228" s="238"/>
    </row>
    <row r="229" spans="2:39" ht="12.75" customHeight="1">
      <c r="B229" s="238"/>
      <c r="C229" s="238"/>
      <c r="D229" s="238"/>
      <c r="E229" s="238"/>
      <c r="F229" s="238"/>
      <c r="G229" s="238"/>
      <c r="H229" s="284"/>
      <c r="I229" s="284"/>
      <c r="J229" s="284"/>
      <c r="K229" s="284"/>
      <c r="L229" s="284"/>
      <c r="M229" s="284"/>
      <c r="N229" s="284"/>
      <c r="O229" s="284"/>
      <c r="P229" s="284"/>
      <c r="Q229" s="284"/>
      <c r="R229" s="284"/>
      <c r="S229" s="284"/>
      <c r="T229" s="284"/>
      <c r="U229" s="284"/>
      <c r="V229" s="284"/>
      <c r="W229" s="284"/>
      <c r="X229" s="284"/>
      <c r="Y229" s="284"/>
      <c r="Z229" s="284"/>
      <c r="AA229" s="284"/>
      <c r="AB229" s="284"/>
      <c r="AC229" s="284"/>
      <c r="AD229" s="238"/>
      <c r="AE229" s="238"/>
      <c r="AF229" s="238"/>
      <c r="AG229" s="238"/>
      <c r="AH229" s="238"/>
      <c r="AI229" s="238"/>
      <c r="AJ229" s="238"/>
      <c r="AK229" s="238"/>
    </row>
    <row r="230" spans="2:39" ht="12.75" customHeight="1">
      <c r="B230" s="238"/>
      <c r="C230" s="238"/>
      <c r="D230" s="238"/>
      <c r="E230" s="238"/>
      <c r="F230" s="238"/>
      <c r="G230" s="238"/>
      <c r="H230" s="284"/>
      <c r="I230" s="284"/>
      <c r="J230" s="284"/>
      <c r="K230" s="284"/>
      <c r="L230" s="842"/>
      <c r="M230" s="842"/>
      <c r="N230" s="842"/>
      <c r="O230" s="842"/>
      <c r="P230" s="842"/>
      <c r="Q230" s="842"/>
      <c r="R230" s="842"/>
      <c r="S230" s="842"/>
      <c r="T230" s="842"/>
      <c r="U230" s="842"/>
      <c r="V230" s="842"/>
      <c r="W230" s="842"/>
      <c r="X230" s="842"/>
      <c r="Y230" s="842"/>
      <c r="Z230" s="842"/>
      <c r="AA230" s="842"/>
      <c r="AB230" s="284"/>
      <c r="AC230" s="284"/>
      <c r="AD230" s="238"/>
      <c r="AE230" s="238"/>
      <c r="AF230" s="238"/>
      <c r="AG230" s="238"/>
      <c r="AH230" s="238"/>
      <c r="AI230" s="238"/>
      <c r="AJ230" s="238"/>
      <c r="AK230" s="238"/>
    </row>
    <row r="231" spans="2:39" ht="12.75" customHeight="1">
      <c r="B231" s="238"/>
      <c r="C231" s="238"/>
      <c r="D231" s="238"/>
      <c r="E231" s="238"/>
      <c r="F231" s="238"/>
      <c r="G231" s="238"/>
      <c r="H231" s="284"/>
      <c r="I231" s="284"/>
      <c r="J231" s="284"/>
      <c r="K231" s="284"/>
      <c r="L231" s="841">
        <f>AA_059_DATOS_FIADORES_NOMBRE_DEL_FIADOR_SOLIDARIO_TRES</f>
        <v>0</v>
      </c>
      <c r="M231" s="841"/>
      <c r="N231" s="841"/>
      <c r="O231" s="841"/>
      <c r="P231" s="841"/>
      <c r="Q231" s="841"/>
      <c r="R231" s="841"/>
      <c r="S231" s="841"/>
      <c r="T231" s="841"/>
      <c r="U231" s="841"/>
      <c r="V231" s="841"/>
      <c r="W231" s="841"/>
      <c r="X231" s="841"/>
      <c r="Y231" s="841"/>
      <c r="Z231" s="841"/>
      <c r="AA231" s="841"/>
      <c r="AB231" s="284"/>
      <c r="AC231" s="284"/>
      <c r="AD231" s="238"/>
      <c r="AE231" s="238"/>
      <c r="AF231" s="238"/>
      <c r="AG231" s="238"/>
      <c r="AH231" s="238"/>
      <c r="AI231" s="238"/>
      <c r="AJ231" s="238"/>
      <c r="AK231" s="238"/>
    </row>
    <row r="232" spans="2:39" ht="12.75" customHeight="1">
      <c r="B232" s="238"/>
      <c r="C232" s="238"/>
      <c r="D232" s="238"/>
      <c r="E232" s="238"/>
      <c r="F232" s="238"/>
      <c r="G232" s="238"/>
      <c r="H232" s="284"/>
      <c r="I232" s="284"/>
      <c r="J232" s="284"/>
      <c r="K232" s="284"/>
      <c r="L232" s="284"/>
      <c r="M232" s="284"/>
      <c r="N232" s="284"/>
      <c r="O232" s="284"/>
      <c r="P232" s="284"/>
      <c r="Q232" s="284"/>
      <c r="R232" s="284"/>
      <c r="S232" s="284"/>
      <c r="T232" s="284"/>
      <c r="U232" s="284"/>
      <c r="V232" s="284"/>
      <c r="W232" s="284"/>
      <c r="X232" s="284"/>
      <c r="Y232" s="284"/>
      <c r="Z232" s="284"/>
      <c r="AA232" s="284"/>
      <c r="AB232" s="284"/>
      <c r="AC232" s="284"/>
      <c r="AD232" s="238"/>
      <c r="AE232" s="238"/>
      <c r="AF232" s="238"/>
      <c r="AG232" s="238"/>
      <c r="AH232" s="238"/>
      <c r="AI232" s="238"/>
      <c r="AJ232" s="238"/>
      <c r="AK232" s="238"/>
    </row>
    <row r="233" spans="2:39" ht="12.75" customHeight="1">
      <c r="B233" s="238"/>
      <c r="C233" s="238"/>
      <c r="D233" s="238"/>
      <c r="E233" s="238"/>
      <c r="F233" s="238"/>
      <c r="G233" s="238"/>
      <c r="H233" s="284"/>
      <c r="I233" s="284"/>
      <c r="J233" s="284"/>
      <c r="K233" s="284"/>
      <c r="L233" s="284"/>
      <c r="M233" s="284"/>
      <c r="N233" s="284"/>
      <c r="O233" s="284"/>
      <c r="P233" s="284"/>
      <c r="Q233" s="284"/>
      <c r="R233" s="284"/>
      <c r="S233" s="284"/>
      <c r="T233" s="284"/>
      <c r="U233" s="284"/>
      <c r="V233" s="284"/>
      <c r="W233" s="284"/>
      <c r="X233" s="284"/>
      <c r="Y233" s="284"/>
      <c r="Z233" s="284"/>
      <c r="AA233" s="284"/>
      <c r="AB233" s="284"/>
      <c r="AC233" s="284"/>
      <c r="AD233" s="238"/>
      <c r="AE233" s="238"/>
      <c r="AF233" s="238"/>
      <c r="AG233" s="238"/>
      <c r="AH233" s="238"/>
      <c r="AI233" s="238"/>
      <c r="AJ233" s="238"/>
      <c r="AK233" s="238"/>
    </row>
    <row r="234" spans="2:39" ht="12.75" customHeight="1">
      <c r="B234" s="238"/>
      <c r="C234" s="238"/>
      <c r="D234" s="238"/>
      <c r="E234" s="238"/>
      <c r="F234" s="238"/>
      <c r="G234" s="238"/>
      <c r="H234" s="236"/>
      <c r="I234" s="236"/>
      <c r="J234" s="236"/>
      <c r="K234" s="236"/>
      <c r="L234" s="234"/>
      <c r="M234" s="234"/>
      <c r="N234" s="234"/>
      <c r="O234" s="609" t="s">
        <v>276</v>
      </c>
      <c r="P234" s="609"/>
      <c r="Q234" s="609"/>
      <c r="R234" s="609"/>
      <c r="S234" s="609"/>
      <c r="T234" s="609"/>
      <c r="U234" s="609"/>
      <c r="V234" s="609"/>
      <c r="W234" s="609"/>
      <c r="X234" s="234"/>
      <c r="Y234" s="234"/>
      <c r="Z234" s="234"/>
      <c r="AA234" s="234"/>
      <c r="AB234" s="235"/>
      <c r="AC234" s="236"/>
      <c r="AD234" s="238"/>
      <c r="AE234" s="238"/>
      <c r="AF234" s="238"/>
      <c r="AG234" s="238"/>
      <c r="AH234" s="238"/>
      <c r="AI234" s="238"/>
      <c r="AJ234" s="238"/>
      <c r="AK234" s="238"/>
    </row>
    <row r="235" spans="2:39" ht="12.75" customHeight="1">
      <c r="B235" s="238"/>
      <c r="C235" s="238"/>
      <c r="D235" s="238"/>
      <c r="E235" s="238"/>
      <c r="F235" s="238"/>
      <c r="G235" s="238"/>
      <c r="H235" s="612" t="s">
        <v>277</v>
      </c>
      <c r="I235" s="612"/>
      <c r="J235" s="612"/>
      <c r="K235" s="612"/>
      <c r="L235" s="612"/>
      <c r="M235" s="612"/>
      <c r="N235" s="612"/>
      <c r="O235" s="612"/>
      <c r="P235" s="612"/>
      <c r="Q235" s="612"/>
      <c r="R235" s="612"/>
      <c r="S235" s="612"/>
      <c r="T235" s="612"/>
      <c r="U235" s="612"/>
      <c r="V235" s="612"/>
      <c r="W235" s="612"/>
      <c r="X235" s="612"/>
      <c r="Y235" s="612"/>
      <c r="Z235" s="612"/>
      <c r="AA235" s="612"/>
      <c r="AB235" s="612"/>
      <c r="AC235" s="612"/>
      <c r="AD235" s="238"/>
      <c r="AE235" s="238"/>
      <c r="AF235" s="238"/>
      <c r="AG235" s="238"/>
      <c r="AH235" s="238"/>
      <c r="AI235" s="238"/>
      <c r="AJ235" s="238"/>
      <c r="AK235" s="238"/>
    </row>
    <row r="236" spans="2:39" ht="12.75" customHeight="1">
      <c r="B236" s="238"/>
      <c r="C236" s="238"/>
      <c r="D236" s="238"/>
      <c r="E236" s="238"/>
      <c r="F236" s="238"/>
      <c r="G236" s="238"/>
      <c r="H236" s="236"/>
      <c r="I236" s="236"/>
      <c r="J236" s="236"/>
      <c r="K236" s="236"/>
      <c r="L236" s="285"/>
      <c r="M236" s="234"/>
      <c r="N236" s="234"/>
      <c r="O236" s="612" t="s">
        <v>278</v>
      </c>
      <c r="P236" s="612"/>
      <c r="Q236" s="612"/>
      <c r="R236" s="612"/>
      <c r="S236" s="612"/>
      <c r="T236" s="612"/>
      <c r="U236" s="612"/>
      <c r="V236" s="612"/>
      <c r="W236" s="612"/>
      <c r="X236" s="234"/>
      <c r="Y236" s="234"/>
      <c r="Z236" s="234"/>
      <c r="AA236" s="234"/>
      <c r="AB236" s="236"/>
      <c r="AC236" s="236"/>
      <c r="AD236" s="238"/>
      <c r="AE236" s="238"/>
      <c r="AF236" s="238"/>
      <c r="AG236" s="238"/>
      <c r="AH236" s="238"/>
      <c r="AI236" s="238"/>
      <c r="AJ236" s="238"/>
      <c r="AK236" s="238"/>
    </row>
    <row r="237" spans="2:39" ht="12.75" customHeight="1">
      <c r="B237" s="238"/>
      <c r="C237" s="238"/>
      <c r="D237" s="238"/>
      <c r="E237" s="238"/>
      <c r="F237" s="238"/>
      <c r="G237" s="238"/>
      <c r="H237" s="236"/>
      <c r="I237" s="236"/>
      <c r="J237" s="236"/>
      <c r="K237" s="236"/>
      <c r="L237" s="236"/>
      <c r="M237" s="236"/>
      <c r="N237" s="236"/>
      <c r="O237" s="236"/>
      <c r="P237" s="236"/>
      <c r="Q237" s="236"/>
      <c r="R237" s="236"/>
      <c r="S237" s="236"/>
      <c r="T237" s="236"/>
      <c r="U237" s="236"/>
      <c r="V237" s="236"/>
      <c r="W237" s="236"/>
      <c r="X237" s="236"/>
      <c r="Y237" s="236"/>
      <c r="Z237" s="236"/>
      <c r="AA237" s="236"/>
      <c r="AB237" s="236"/>
      <c r="AC237" s="236"/>
      <c r="AD237" s="238"/>
      <c r="AE237" s="238"/>
      <c r="AF237" s="238"/>
      <c r="AG237" s="238"/>
      <c r="AH237" s="238"/>
      <c r="AI237" s="238"/>
      <c r="AJ237" s="238"/>
      <c r="AK237" s="238"/>
    </row>
    <row r="238" spans="2:39" ht="12.75" customHeight="1">
      <c r="B238" s="238"/>
      <c r="C238" s="238"/>
      <c r="D238" s="238"/>
      <c r="E238" s="238"/>
      <c r="F238" s="238"/>
      <c r="G238" s="238"/>
      <c r="H238" s="284"/>
      <c r="I238" s="284"/>
      <c r="J238" s="284"/>
      <c r="K238" s="284"/>
      <c r="L238" s="284"/>
      <c r="M238" s="284"/>
      <c r="N238" s="284"/>
      <c r="O238" s="284"/>
      <c r="P238" s="284"/>
      <c r="Q238" s="284"/>
      <c r="R238" s="284"/>
      <c r="S238" s="284"/>
      <c r="T238" s="284"/>
      <c r="U238" s="284"/>
      <c r="V238" s="284"/>
      <c r="W238" s="284"/>
      <c r="X238" s="284"/>
      <c r="Y238" s="284"/>
      <c r="Z238" s="284"/>
      <c r="AA238" s="284"/>
      <c r="AB238" s="284"/>
      <c r="AC238" s="284"/>
      <c r="AD238" s="238"/>
      <c r="AE238" s="238"/>
      <c r="AF238" s="238"/>
      <c r="AG238" s="238"/>
      <c r="AH238" s="238"/>
      <c r="AI238" s="238"/>
      <c r="AJ238" s="238"/>
      <c r="AK238" s="238"/>
    </row>
    <row r="239" spans="2:39" ht="12.75" customHeight="1">
      <c r="B239" s="238"/>
      <c r="C239" s="238"/>
      <c r="D239" s="238"/>
      <c r="E239" s="238"/>
      <c r="F239" s="238"/>
      <c r="G239" s="238"/>
      <c r="H239" s="284"/>
      <c r="I239" s="284"/>
      <c r="J239" s="284"/>
      <c r="K239" s="284"/>
      <c r="L239" s="840"/>
      <c r="M239" s="840"/>
      <c r="N239" s="840"/>
      <c r="O239" s="840"/>
      <c r="P239" s="840"/>
      <c r="Q239" s="840"/>
      <c r="R239" s="840"/>
      <c r="S239" s="840"/>
      <c r="T239" s="840"/>
      <c r="U239" s="840"/>
      <c r="V239" s="840"/>
      <c r="W239" s="840"/>
      <c r="X239" s="840"/>
      <c r="Y239" s="840"/>
      <c r="Z239" s="840"/>
      <c r="AA239" s="840"/>
      <c r="AB239" s="236"/>
      <c r="AC239" s="236"/>
      <c r="AD239" s="238"/>
      <c r="AE239" s="238"/>
      <c r="AF239" s="238"/>
      <c r="AG239" s="238"/>
      <c r="AH239" s="238"/>
      <c r="AI239" s="238"/>
      <c r="AJ239" s="238"/>
      <c r="AK239" s="238"/>
      <c r="AL239" s="238"/>
      <c r="AM239" s="238"/>
    </row>
    <row r="240" spans="2:39" ht="12.75" customHeight="1">
      <c r="B240" s="238"/>
      <c r="C240" s="238"/>
      <c r="D240" s="238"/>
      <c r="E240" s="238"/>
      <c r="F240" s="238"/>
      <c r="G240" s="238"/>
      <c r="H240" s="284"/>
      <c r="I240" s="284"/>
      <c r="J240" s="284"/>
      <c r="K240" s="284"/>
      <c r="L240" s="613">
        <f>AA_089_DATOS_APODERADOS_BANCO_NOMBRE_APODERADO_DEL_BANCO_UNO</f>
        <v>0</v>
      </c>
      <c r="M240" s="613"/>
      <c r="N240" s="613"/>
      <c r="O240" s="613"/>
      <c r="P240" s="613"/>
      <c r="Q240" s="613"/>
      <c r="R240" s="613"/>
      <c r="S240" s="613"/>
      <c r="T240" s="613"/>
      <c r="U240" s="613"/>
      <c r="V240" s="613"/>
      <c r="W240" s="613"/>
      <c r="X240" s="613"/>
      <c r="Y240" s="613"/>
      <c r="Z240" s="613"/>
      <c r="AA240" s="613"/>
      <c r="AB240" s="236"/>
      <c r="AC240" s="236"/>
      <c r="AD240" s="238"/>
      <c r="AE240" s="238"/>
      <c r="AF240" s="238"/>
      <c r="AG240" s="238"/>
      <c r="AH240" s="238"/>
      <c r="AI240" s="238"/>
      <c r="AJ240" s="238"/>
      <c r="AK240" s="238"/>
      <c r="AL240" s="238"/>
      <c r="AM240" s="238"/>
    </row>
    <row r="241" spans="2:39" ht="12.75" customHeight="1">
      <c r="B241" s="238"/>
      <c r="C241" s="238"/>
      <c r="D241" s="238"/>
      <c r="E241" s="238"/>
      <c r="F241" s="238"/>
      <c r="G241" s="238"/>
      <c r="H241" s="274"/>
      <c r="I241" s="274"/>
      <c r="J241" s="274"/>
      <c r="K241" s="274"/>
      <c r="L241" s="490"/>
      <c r="M241" s="490"/>
      <c r="N241" s="490"/>
      <c r="O241" s="490"/>
      <c r="P241" s="490"/>
      <c r="Q241" s="490"/>
      <c r="R241" s="490"/>
      <c r="S241" s="490"/>
      <c r="T241" s="490"/>
      <c r="U241" s="490"/>
      <c r="V241" s="490"/>
      <c r="W241" s="490"/>
      <c r="X241" s="490"/>
      <c r="Y241" s="490"/>
      <c r="Z241" s="490"/>
      <c r="AA241" s="490"/>
      <c r="AB241" s="490"/>
      <c r="AC241" s="490"/>
      <c r="AD241" s="238"/>
      <c r="AE241" s="238"/>
      <c r="AF241" s="238"/>
      <c r="AG241" s="238"/>
      <c r="AH241" s="238"/>
      <c r="AI241" s="238"/>
      <c r="AJ241" s="238"/>
      <c r="AK241" s="238"/>
      <c r="AL241" s="238"/>
      <c r="AM241" s="238"/>
    </row>
    <row r="242" spans="2:39" ht="12.75" customHeight="1">
      <c r="B242" s="238"/>
      <c r="C242" s="238"/>
      <c r="D242" s="238"/>
      <c r="E242" s="238"/>
      <c r="F242" s="238"/>
      <c r="G242" s="238"/>
      <c r="H242" s="274"/>
      <c r="I242" s="274"/>
      <c r="J242" s="274"/>
      <c r="K242" s="274"/>
      <c r="L242" s="844"/>
      <c r="M242" s="844"/>
      <c r="N242" s="844"/>
      <c r="O242" s="844"/>
      <c r="P242" s="844"/>
      <c r="Q242" s="844"/>
      <c r="R242" s="844"/>
      <c r="S242" s="844"/>
      <c r="T242" s="844"/>
      <c r="U242" s="844"/>
      <c r="V242" s="844"/>
      <c r="W242" s="844"/>
      <c r="X242" s="844"/>
      <c r="Y242" s="844"/>
      <c r="Z242" s="844"/>
      <c r="AA242" s="844"/>
      <c r="AB242" s="490"/>
      <c r="AC242" s="490"/>
      <c r="AD242" s="238"/>
      <c r="AE242" s="238"/>
      <c r="AF242" s="238"/>
      <c r="AG242" s="238"/>
      <c r="AH242" s="238"/>
      <c r="AI242" s="238"/>
      <c r="AJ242" s="238"/>
      <c r="AK242" s="238"/>
      <c r="AL242" s="238"/>
      <c r="AM242" s="238"/>
    </row>
    <row r="243" spans="2:39" ht="12.75" customHeight="1">
      <c r="B243" s="238"/>
      <c r="C243" s="238"/>
      <c r="D243" s="238"/>
      <c r="E243" s="238"/>
      <c r="F243" s="238"/>
      <c r="G243" s="238"/>
      <c r="H243" s="274"/>
      <c r="I243" s="274"/>
      <c r="J243" s="274"/>
      <c r="K243" s="274"/>
      <c r="L243" s="613">
        <f>AA_090_DATOS_APODERADOS_BANCO_NOMBRE_APODERADO_DEL_BANCO_DOS</f>
        <v>0</v>
      </c>
      <c r="M243" s="613"/>
      <c r="N243" s="613"/>
      <c r="O243" s="613"/>
      <c r="P243" s="613"/>
      <c r="Q243" s="613"/>
      <c r="R243" s="613"/>
      <c r="S243" s="613"/>
      <c r="T243" s="613"/>
      <c r="U243" s="613"/>
      <c r="V243" s="613"/>
      <c r="W243" s="613"/>
      <c r="X243" s="613"/>
      <c r="Y243" s="613"/>
      <c r="Z243" s="613"/>
      <c r="AA243" s="613"/>
      <c r="AB243" s="490"/>
      <c r="AC243" s="490"/>
      <c r="AD243" s="238"/>
      <c r="AE243" s="238"/>
      <c r="AF243" s="238"/>
      <c r="AG243" s="238"/>
      <c r="AH243" s="238"/>
      <c r="AI243" s="238"/>
      <c r="AJ243" s="238"/>
      <c r="AK243" s="238"/>
      <c r="AL243" s="238"/>
      <c r="AM243" s="238"/>
    </row>
    <row r="244" spans="2:39" ht="12.75" customHeight="1">
      <c r="B244" s="238"/>
      <c r="C244" s="238"/>
      <c r="D244" s="238"/>
      <c r="E244" s="238"/>
      <c r="F244" s="238"/>
      <c r="G244" s="238"/>
      <c r="H244" s="238"/>
      <c r="I244" s="238"/>
      <c r="J244" s="238"/>
      <c r="K244" s="238"/>
      <c r="L244" s="238"/>
      <c r="M244" s="238"/>
      <c r="N244" s="238"/>
      <c r="O244" s="238"/>
      <c r="P244" s="238"/>
      <c r="Q244" s="238"/>
      <c r="R244" s="238"/>
      <c r="S244" s="238"/>
      <c r="T244" s="238"/>
      <c r="U244" s="238"/>
      <c r="V244" s="238"/>
      <c r="W244" s="238"/>
      <c r="X244" s="238"/>
      <c r="Y244" s="238"/>
      <c r="Z244" s="238"/>
      <c r="AA244" s="238"/>
      <c r="AB244" s="238"/>
      <c r="AC244" s="238"/>
      <c r="AD244" s="238"/>
      <c r="AE244" s="238"/>
      <c r="AF244" s="238"/>
      <c r="AG244" s="238"/>
      <c r="AH244" s="238"/>
      <c r="AI244" s="238"/>
      <c r="AJ244" s="238"/>
      <c r="AK244" s="238"/>
      <c r="AL244" s="238"/>
      <c r="AM244" s="238"/>
    </row>
    <row r="245" spans="2:39" ht="12.75" customHeight="1">
      <c r="B245" s="238"/>
      <c r="C245" s="238"/>
      <c r="D245" s="238"/>
      <c r="E245" s="238"/>
      <c r="F245" s="238"/>
      <c r="G245" s="238"/>
      <c r="H245" s="238"/>
      <c r="I245" s="238"/>
      <c r="J245" s="238"/>
      <c r="K245" s="238"/>
      <c r="L245" s="238"/>
      <c r="M245" s="238"/>
      <c r="N245" s="238"/>
      <c r="O245" s="238"/>
      <c r="P245" s="238"/>
      <c r="Q245" s="238"/>
      <c r="R245" s="238"/>
      <c r="S245" s="238"/>
      <c r="T245" s="238"/>
      <c r="U245" s="238"/>
      <c r="V245" s="238"/>
      <c r="W245" s="238"/>
      <c r="X245" s="238"/>
      <c r="Y245" s="238"/>
      <c r="Z245" s="238"/>
      <c r="AA245" s="238"/>
      <c r="AB245" s="238"/>
      <c r="AC245" s="238"/>
      <c r="AD245" s="238"/>
      <c r="AE245" s="238"/>
      <c r="AF245" s="238"/>
      <c r="AG245" s="238"/>
      <c r="AH245" s="238"/>
      <c r="AI245" s="238"/>
      <c r="AJ245" s="238"/>
      <c r="AK245" s="238"/>
      <c r="AL245" s="238"/>
      <c r="AM245" s="238"/>
    </row>
    <row r="246" spans="2:39" ht="12.75" customHeight="1"/>
    <row r="247" spans="2:39" ht="12.75" customHeight="1"/>
    <row r="248" spans="2:39" ht="12.75" customHeight="1"/>
    <row r="249" spans="2:39" ht="12.75" customHeight="1"/>
    <row r="250" spans="2:39" ht="12.75" customHeight="1"/>
    <row r="251" spans="2:39" ht="12.75" customHeight="1"/>
    <row r="252" spans="2:39" ht="12.75" customHeight="1"/>
    <row r="253" spans="2:39" ht="12.75" customHeight="1"/>
    <row r="254" spans="2:39" ht="12.75" customHeight="1"/>
    <row r="255" spans="2:39" ht="12.75" customHeight="1"/>
    <row r="256" spans="2:39"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3.2"/>
    <row r="386" ht="12.75" customHeight="1"/>
    <row r="387" ht="13.2"/>
    <row r="388" ht="12.75" customHeight="1"/>
    <row r="389" ht="13.2"/>
    <row r="390" ht="12.75" customHeight="1"/>
    <row r="391" ht="13.2"/>
    <row r="392" ht="12.75" customHeight="1"/>
    <row r="393" ht="13.2"/>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sheetData>
  <mergeCells count="205">
    <mergeCell ref="B62:AK62"/>
    <mergeCell ref="B64:AK64"/>
    <mergeCell ref="B66:AK66"/>
    <mergeCell ref="B73:D73"/>
    <mergeCell ref="G73:L73"/>
    <mergeCell ref="M73:S73"/>
    <mergeCell ref="Z73:AA73"/>
    <mergeCell ref="T71:Y71"/>
    <mergeCell ref="T72:Y73"/>
    <mergeCell ref="AH72:AI73"/>
    <mergeCell ref="AJ73:AK73"/>
    <mergeCell ref="B70:L70"/>
    <mergeCell ref="M70:AK70"/>
    <mergeCell ref="B54:AF54"/>
    <mergeCell ref="AG54:AK54"/>
    <mergeCell ref="B56:T56"/>
    <mergeCell ref="U56:AK56"/>
    <mergeCell ref="B58:I58"/>
    <mergeCell ref="J58:P58"/>
    <mergeCell ref="Q58:U58"/>
    <mergeCell ref="V58:Z58"/>
    <mergeCell ref="AD58:AG58"/>
    <mergeCell ref="AA58:AC58"/>
    <mergeCell ref="AA46:AC46"/>
    <mergeCell ref="B48:AF48"/>
    <mergeCell ref="AG48:AK48"/>
    <mergeCell ref="B50:T50"/>
    <mergeCell ref="U50:AK50"/>
    <mergeCell ref="B52:I52"/>
    <mergeCell ref="J52:P52"/>
    <mergeCell ref="Q52:U52"/>
    <mergeCell ref="V52:Z52"/>
    <mergeCell ref="AD52:AG52"/>
    <mergeCell ref="AA52:AC52"/>
    <mergeCell ref="O234:W234"/>
    <mergeCell ref="H235:AC235"/>
    <mergeCell ref="O236:W236"/>
    <mergeCell ref="L239:AA239"/>
    <mergeCell ref="L240:AA240"/>
    <mergeCell ref="L243:AA243"/>
    <mergeCell ref="L224:AA224"/>
    <mergeCell ref="L225:AA225"/>
    <mergeCell ref="L227:AA227"/>
    <mergeCell ref="L228:AA228"/>
    <mergeCell ref="L230:AA230"/>
    <mergeCell ref="L231:AA231"/>
    <mergeCell ref="L242:AA242"/>
    <mergeCell ref="L214:AA214"/>
    <mergeCell ref="L215:AA215"/>
    <mergeCell ref="L217:AA217"/>
    <mergeCell ref="L218:AA218"/>
    <mergeCell ref="M222:Y222"/>
    <mergeCell ref="B199:AK199"/>
    <mergeCell ref="B201:AK201"/>
    <mergeCell ref="B203:AK203"/>
    <mergeCell ref="B206:AK206"/>
    <mergeCell ref="B208:AK208"/>
    <mergeCell ref="O212:X212"/>
    <mergeCell ref="G190:P193"/>
    <mergeCell ref="Q190:AG190"/>
    <mergeCell ref="Q191:AG191"/>
    <mergeCell ref="Q192:AG193"/>
    <mergeCell ref="B196:AK196"/>
    <mergeCell ref="B198:AK198"/>
    <mergeCell ref="G183:P186"/>
    <mergeCell ref="Q183:AG183"/>
    <mergeCell ref="Q184:AG186"/>
    <mergeCell ref="G187:P189"/>
    <mergeCell ref="Q187:AG187"/>
    <mergeCell ref="Q188:AG188"/>
    <mergeCell ref="Q189:AG189"/>
    <mergeCell ref="B177:AK177"/>
    <mergeCell ref="B179:AK179"/>
    <mergeCell ref="G181:P181"/>
    <mergeCell ref="Q181:AG181"/>
    <mergeCell ref="G182:P182"/>
    <mergeCell ref="Q182:AG182"/>
    <mergeCell ref="B168:AK168"/>
    <mergeCell ref="B170:AK170"/>
    <mergeCell ref="B172:AK172"/>
    <mergeCell ref="B173:AK173"/>
    <mergeCell ref="B174:AK174"/>
    <mergeCell ref="B175:AK175"/>
    <mergeCell ref="B156:AK156"/>
    <mergeCell ref="B158:AK158"/>
    <mergeCell ref="B160:AK160"/>
    <mergeCell ref="B162:AK162"/>
    <mergeCell ref="B164:AK164"/>
    <mergeCell ref="B166:AK166"/>
    <mergeCell ref="B146:AK146"/>
    <mergeCell ref="B148:AK148"/>
    <mergeCell ref="B149:AK149"/>
    <mergeCell ref="B150:AK150"/>
    <mergeCell ref="B152:AK152"/>
    <mergeCell ref="B154:AK154"/>
    <mergeCell ref="B135:AK135"/>
    <mergeCell ref="B137:AK137"/>
    <mergeCell ref="B139:AK139"/>
    <mergeCell ref="B141:AK141"/>
    <mergeCell ref="B143:AK143"/>
    <mergeCell ref="B144:AK144"/>
    <mergeCell ref="B126:AK126"/>
    <mergeCell ref="B127:AK127"/>
    <mergeCell ref="B128:AK128"/>
    <mergeCell ref="B129:AK129"/>
    <mergeCell ref="B131:AK131"/>
    <mergeCell ref="B133:AK133"/>
    <mergeCell ref="B114:AK114"/>
    <mergeCell ref="B116:AK116"/>
    <mergeCell ref="B118:AK118"/>
    <mergeCell ref="B120:AK120"/>
    <mergeCell ref="B122:AK122"/>
    <mergeCell ref="B124:AK124"/>
    <mergeCell ref="B104:AK104"/>
    <mergeCell ref="B106:AK106"/>
    <mergeCell ref="B107:AK107"/>
    <mergeCell ref="B109:AK109"/>
    <mergeCell ref="B110:AK110"/>
    <mergeCell ref="B112:AK112"/>
    <mergeCell ref="B98:AK98"/>
    <mergeCell ref="B99:AK99"/>
    <mergeCell ref="B100:AK100"/>
    <mergeCell ref="B101:AK101"/>
    <mergeCell ref="B102:AK102"/>
    <mergeCell ref="B103:AK103"/>
    <mergeCell ref="B92:AK92"/>
    <mergeCell ref="B94:AK94"/>
    <mergeCell ref="B96:AK96"/>
    <mergeCell ref="B97:AK97"/>
    <mergeCell ref="B82:O83"/>
    <mergeCell ref="B84:O85"/>
    <mergeCell ref="AG76:AK76"/>
    <mergeCell ref="B79:AK80"/>
    <mergeCell ref="B81:O81"/>
    <mergeCell ref="P81:T81"/>
    <mergeCell ref="U81:Y81"/>
    <mergeCell ref="Z81:AC81"/>
    <mergeCell ref="AD81:AG81"/>
    <mergeCell ref="AH81:AK81"/>
    <mergeCell ref="B76:F76"/>
    <mergeCell ref="G76:L76"/>
    <mergeCell ref="S74:X76"/>
    <mergeCell ref="Y76:AF76"/>
    <mergeCell ref="B75:F75"/>
    <mergeCell ref="M75:R75"/>
    <mergeCell ref="G74:L74"/>
    <mergeCell ref="G75:L75"/>
    <mergeCell ref="B22:I22"/>
    <mergeCell ref="J22:P22"/>
    <mergeCell ref="Q22:U22"/>
    <mergeCell ref="V22:Z22"/>
    <mergeCell ref="AA22:AC22"/>
    <mergeCell ref="AD22:AG22"/>
    <mergeCell ref="B24:AF24"/>
    <mergeCell ref="AG24:AK24"/>
    <mergeCell ref="B26:W26"/>
    <mergeCell ref="X26:AK26"/>
    <mergeCell ref="AH28:AK28"/>
    <mergeCell ref="AH46:AK46"/>
    <mergeCell ref="AH52:AK52"/>
    <mergeCell ref="AH58:AK58"/>
    <mergeCell ref="B71:F71"/>
    <mergeCell ref="G71:L71"/>
    <mergeCell ref="M71:S71"/>
    <mergeCell ref="Z71:AG71"/>
    <mergeCell ref="AH71:AK71"/>
    <mergeCell ref="B28:I28"/>
    <mergeCell ref="AD28:AG28"/>
    <mergeCell ref="AA28:AC28"/>
    <mergeCell ref="B32:AK32"/>
    <mergeCell ref="B34:AK34"/>
    <mergeCell ref="B36:AK36"/>
    <mergeCell ref="B42:AF42"/>
    <mergeCell ref="AG42:AK42"/>
    <mergeCell ref="B44:T44"/>
    <mergeCell ref="U44:AK44"/>
    <mergeCell ref="B46:I46"/>
    <mergeCell ref="J46:P46"/>
    <mergeCell ref="Q46:U46"/>
    <mergeCell ref="V46:Z46"/>
    <mergeCell ref="AD46:AG46"/>
    <mergeCell ref="AB4:AK4"/>
    <mergeCell ref="AF5:AK5"/>
    <mergeCell ref="AC6:AK6"/>
    <mergeCell ref="B8:F8"/>
    <mergeCell ref="B9:F9"/>
    <mergeCell ref="B10:F10"/>
    <mergeCell ref="G72:L72"/>
    <mergeCell ref="B74:F74"/>
    <mergeCell ref="Y74:AK74"/>
    <mergeCell ref="G10:U10"/>
    <mergeCell ref="V10:AK10"/>
    <mergeCell ref="B14:L14"/>
    <mergeCell ref="M14:S14"/>
    <mergeCell ref="T14:Z14"/>
    <mergeCell ref="AA14:AG14"/>
    <mergeCell ref="AH14:AK14"/>
    <mergeCell ref="B18:AF18"/>
    <mergeCell ref="AG18:AK18"/>
    <mergeCell ref="B20:W20"/>
    <mergeCell ref="X20:AK20"/>
    <mergeCell ref="J28:P28"/>
    <mergeCell ref="Q28:U28"/>
    <mergeCell ref="V28:Z28"/>
    <mergeCell ref="AH22:AK22"/>
  </mergeCells>
  <printOptions horizontalCentered="1" verticalCentered="1"/>
  <pageMargins left="0" right="0" top="0" bottom="0" header="0" footer="0"/>
  <pageSetup scale="90"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AM966"/>
  <sheetViews>
    <sheetView showZeros="0" zoomScale="115" zoomScaleNormal="115" workbookViewId="0">
      <selection activeCell="B8" sqref="B8:F8"/>
    </sheetView>
  </sheetViews>
  <sheetFormatPr defaultColWidth="0" defaultRowHeight="12.75" customHeight="1" zeroHeight="1"/>
  <cols>
    <col min="1" max="1" width="1.109375" style="179" customWidth="1"/>
    <col min="2" max="28" width="3" style="179" customWidth="1"/>
    <col min="29" max="29" width="3.33203125" style="179" customWidth="1"/>
    <col min="30" max="30" width="3.6640625" style="179" customWidth="1"/>
    <col min="31" max="35" width="3" style="179" customWidth="1"/>
    <col min="36" max="36" width="4" style="179" customWidth="1"/>
    <col min="37" max="37" width="3" style="179" customWidth="1"/>
    <col min="38" max="39" width="0.5546875" style="179" customWidth="1"/>
    <col min="40" max="40" width="2.88671875" style="179" hidden="1" customWidth="1"/>
    <col min="41" max="16384" width="2.88671875" style="179" hidden="1"/>
  </cols>
  <sheetData>
    <row r="1" spans="1:37" ht="12.75" customHeight="1"/>
    <row r="2" spans="1:37" ht="12.75" customHeight="1"/>
    <row r="3" spans="1:37" ht="7.5" customHeight="1">
      <c r="A3" s="178"/>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row>
    <row r="4" spans="1:37" ht="13.8">
      <c r="A4" s="178"/>
      <c r="B4" s="178"/>
      <c r="C4" s="178"/>
      <c r="D4" s="178"/>
      <c r="E4" s="178"/>
      <c r="F4" s="178"/>
      <c r="G4" s="178"/>
      <c r="H4" s="178"/>
      <c r="I4" s="178"/>
      <c r="J4" s="178"/>
      <c r="K4" s="178"/>
      <c r="L4" s="178"/>
      <c r="M4" s="178"/>
      <c r="N4" s="178"/>
      <c r="O4" s="178"/>
      <c r="P4" s="178"/>
      <c r="Q4" s="178"/>
      <c r="R4" s="178"/>
      <c r="S4" s="178"/>
      <c r="T4" s="178"/>
      <c r="V4" s="180"/>
      <c r="W4" s="180"/>
      <c r="Y4" s="180"/>
      <c r="Z4" s="180"/>
      <c r="AA4" s="180"/>
      <c r="AB4" s="548" t="s">
        <v>135</v>
      </c>
      <c r="AC4" s="548"/>
      <c r="AD4" s="548"/>
      <c r="AE4" s="548"/>
      <c r="AF4" s="548"/>
      <c r="AG4" s="548"/>
      <c r="AH4" s="548"/>
      <c r="AI4" s="548"/>
      <c r="AJ4" s="548"/>
      <c r="AK4" s="548"/>
    </row>
    <row r="5" spans="1:37" ht="13.8">
      <c r="A5" s="178"/>
      <c r="B5" s="178"/>
      <c r="C5" s="178"/>
      <c r="D5" s="178"/>
      <c r="E5" s="178"/>
      <c r="F5" s="178"/>
      <c r="G5" s="178"/>
      <c r="H5" s="178"/>
      <c r="I5" s="178"/>
      <c r="J5" s="178"/>
      <c r="K5" s="178"/>
      <c r="L5" s="178"/>
      <c r="M5" s="178"/>
      <c r="N5" s="178"/>
      <c r="O5" s="178"/>
      <c r="P5" s="178"/>
      <c r="Q5" s="178"/>
      <c r="R5" s="178"/>
      <c r="S5" s="178"/>
      <c r="T5" s="178"/>
      <c r="U5" s="181"/>
      <c r="V5" s="181"/>
      <c r="X5" s="180"/>
      <c r="Y5" s="180"/>
      <c r="Z5" s="180"/>
      <c r="AA5" s="548" t="s">
        <v>287</v>
      </c>
      <c r="AB5" s="548"/>
      <c r="AC5" s="548"/>
      <c r="AD5" s="548"/>
      <c r="AE5" s="548"/>
      <c r="AF5" s="548"/>
      <c r="AG5" s="548"/>
      <c r="AH5" s="548"/>
      <c r="AI5" s="548"/>
      <c r="AJ5" s="548"/>
      <c r="AK5" s="548"/>
    </row>
    <row r="6" spans="1:37" ht="17.25" customHeight="1">
      <c r="A6" s="178"/>
      <c r="B6" s="182" t="s">
        <v>137</v>
      </c>
      <c r="C6" s="178"/>
      <c r="D6" s="178"/>
      <c r="E6" s="178"/>
      <c r="F6" s="178"/>
      <c r="G6" s="178"/>
      <c r="H6" s="178"/>
      <c r="I6" s="178"/>
      <c r="J6" s="178"/>
      <c r="K6" s="178"/>
      <c r="L6" s="178"/>
      <c r="M6" s="178"/>
      <c r="N6" s="178"/>
      <c r="O6" s="178"/>
      <c r="P6" s="178"/>
      <c r="Q6" s="178"/>
      <c r="R6" s="178"/>
      <c r="S6" s="178"/>
      <c r="T6" s="178"/>
      <c r="U6" s="181"/>
      <c r="V6" s="181"/>
      <c r="W6" s="183"/>
      <c r="X6" s="184"/>
      <c r="Y6" s="184"/>
      <c r="Z6" s="184"/>
      <c r="AA6" s="184"/>
      <c r="AB6" s="184"/>
      <c r="AC6" s="550" t="s">
        <v>353</v>
      </c>
      <c r="AD6" s="550"/>
      <c r="AE6" s="550"/>
      <c r="AF6" s="550"/>
      <c r="AG6" s="550"/>
      <c r="AH6" s="550"/>
      <c r="AI6" s="550"/>
      <c r="AJ6" s="550"/>
      <c r="AK6" s="550"/>
    </row>
    <row r="7" spans="1:37" s="187" customFormat="1" ht="2.25" customHeight="1">
      <c r="A7" s="186"/>
      <c r="B7" s="186"/>
      <c r="C7" s="186"/>
      <c r="D7" s="186"/>
      <c r="E7" s="186"/>
      <c r="F7" s="186"/>
      <c r="G7" s="186"/>
      <c r="H7" s="186"/>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row>
    <row r="8" spans="1:37" s="193" customFormat="1" ht="10.5" customHeight="1">
      <c r="A8" s="188"/>
      <c r="B8" s="551" t="s">
        <v>138</v>
      </c>
      <c r="C8" s="552"/>
      <c r="D8" s="552"/>
      <c r="E8" s="552"/>
      <c r="F8" s="552"/>
      <c r="G8" s="189" t="s">
        <v>139</v>
      </c>
      <c r="H8" s="190"/>
      <c r="I8" s="190"/>
      <c r="J8" s="190"/>
      <c r="K8" s="190"/>
      <c r="L8" s="190"/>
      <c r="M8" s="190"/>
      <c r="N8" s="190"/>
      <c r="O8" s="190"/>
      <c r="P8" s="190"/>
      <c r="Q8" s="190"/>
      <c r="R8" s="190"/>
      <c r="S8" s="190"/>
      <c r="T8" s="190"/>
      <c r="U8" s="191"/>
      <c r="V8" s="190" t="s">
        <v>140</v>
      </c>
      <c r="W8" s="190"/>
      <c r="X8" s="190"/>
      <c r="Y8" s="190"/>
      <c r="Z8" s="190"/>
      <c r="AA8" s="190"/>
      <c r="AB8" s="190"/>
      <c r="AC8" s="190"/>
      <c r="AD8" s="190"/>
      <c r="AE8" s="190"/>
      <c r="AF8" s="190"/>
      <c r="AG8" s="190"/>
      <c r="AH8" s="190"/>
      <c r="AI8" s="190"/>
      <c r="AJ8" s="190"/>
      <c r="AK8" s="192"/>
    </row>
    <row r="9" spans="1:37" s="193" customFormat="1" ht="10.5" customHeight="1">
      <c r="A9" s="188"/>
      <c r="B9" s="553" t="s">
        <v>141</v>
      </c>
      <c r="C9" s="554"/>
      <c r="D9" s="554"/>
      <c r="E9" s="554"/>
      <c r="F9" s="554"/>
      <c r="G9" s="194"/>
      <c r="H9" s="195"/>
      <c r="I9" s="195"/>
      <c r="J9" s="195"/>
      <c r="K9" s="195"/>
      <c r="L9" s="195"/>
      <c r="M9" s="195"/>
      <c r="N9" s="195"/>
      <c r="O9" s="195"/>
      <c r="P9" s="195"/>
      <c r="Q9" s="195"/>
      <c r="R9" s="195"/>
      <c r="S9" s="195"/>
      <c r="T9" s="195"/>
      <c r="U9" s="196"/>
      <c r="V9" s="195"/>
      <c r="W9" s="195"/>
      <c r="X9" s="195"/>
      <c r="Y9" s="195"/>
      <c r="Z9" s="195"/>
      <c r="AA9" s="195"/>
      <c r="AB9" s="195"/>
      <c r="AC9" s="195"/>
      <c r="AD9" s="195"/>
      <c r="AE9" s="195"/>
      <c r="AF9" s="195"/>
      <c r="AG9" s="195"/>
      <c r="AH9" s="195"/>
      <c r="AI9" s="195"/>
      <c r="AJ9" s="195"/>
      <c r="AK9" s="197"/>
    </row>
    <row r="10" spans="1:37" s="193" customFormat="1" ht="10.5" customHeight="1">
      <c r="A10" s="188"/>
      <c r="B10" s="555">
        <f ca="1">AA_002_GENERALES_FECHA</f>
        <v>42625</v>
      </c>
      <c r="C10" s="556"/>
      <c r="D10" s="556"/>
      <c r="E10" s="556"/>
      <c r="F10" s="557"/>
      <c r="G10" s="558" t="str">
        <f>AA_003_GENERALES_DIA</f>
        <v>Monterrey, Nuevo León</v>
      </c>
      <c r="H10" s="559"/>
      <c r="I10" s="559"/>
      <c r="J10" s="559"/>
      <c r="K10" s="559"/>
      <c r="L10" s="559"/>
      <c r="M10" s="559"/>
      <c r="N10" s="559"/>
      <c r="O10" s="559"/>
      <c r="P10" s="559"/>
      <c r="Q10" s="559"/>
      <c r="R10" s="559"/>
      <c r="S10" s="559"/>
      <c r="T10" s="559"/>
      <c r="U10" s="560"/>
      <c r="V10" s="558" t="str">
        <f>AA_007_GENERALES_NOMBRE_Y_NÚMERO_DE_SUCURSAL</f>
        <v>161 Morones Prieto</v>
      </c>
      <c r="W10" s="813"/>
      <c r="X10" s="813"/>
      <c r="Y10" s="813"/>
      <c r="Z10" s="813"/>
      <c r="AA10" s="813"/>
      <c r="AB10" s="813"/>
      <c r="AC10" s="813"/>
      <c r="AD10" s="813"/>
      <c r="AE10" s="813"/>
      <c r="AF10" s="813"/>
      <c r="AG10" s="813"/>
      <c r="AH10" s="813"/>
      <c r="AI10" s="813"/>
      <c r="AJ10" s="813"/>
      <c r="AK10" s="814"/>
    </row>
    <row r="11" spans="1:37" s="199" customFormat="1" ht="2.25" customHeight="1">
      <c r="A11" s="198"/>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row>
    <row r="12" spans="1:37" s="199" customFormat="1" ht="9.6">
      <c r="A12" s="198"/>
      <c r="B12" s="200" t="s">
        <v>142</v>
      </c>
      <c r="C12" s="18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row>
    <row r="13" spans="1:37" s="193" customFormat="1" ht="10.5" customHeight="1">
      <c r="A13" s="188"/>
      <c r="B13" s="201" t="s">
        <v>143</v>
      </c>
      <c r="C13" s="202"/>
      <c r="D13" s="202"/>
      <c r="E13" s="202" t="s">
        <v>144</v>
      </c>
      <c r="F13" s="202"/>
      <c r="G13" s="202"/>
      <c r="H13" s="202"/>
      <c r="I13" s="202"/>
      <c r="J13" s="202"/>
      <c r="K13" s="202"/>
      <c r="L13" s="203"/>
      <c r="M13" s="201" t="s">
        <v>145</v>
      </c>
      <c r="N13" s="202"/>
      <c r="O13" s="202"/>
      <c r="P13" s="202"/>
      <c r="Q13" s="202"/>
      <c r="R13" s="202"/>
      <c r="S13" s="203"/>
      <c r="T13" s="202" t="s">
        <v>146</v>
      </c>
      <c r="U13" s="202"/>
      <c r="V13" s="202"/>
      <c r="W13" s="202"/>
      <c r="X13" s="202"/>
      <c r="Y13" s="202"/>
      <c r="Z13" s="202"/>
      <c r="AA13" s="201" t="s">
        <v>147</v>
      </c>
      <c r="AB13" s="202"/>
      <c r="AC13" s="202"/>
      <c r="AD13" s="202"/>
      <c r="AE13" s="202"/>
      <c r="AF13" s="202"/>
      <c r="AG13" s="203"/>
      <c r="AH13" s="202" t="s">
        <v>148</v>
      </c>
      <c r="AI13" s="202"/>
      <c r="AJ13" s="202"/>
      <c r="AK13" s="203"/>
    </row>
    <row r="14" spans="1:37" s="193" customFormat="1" ht="10.5" customHeight="1">
      <c r="A14" s="188"/>
      <c r="B14" s="539">
        <f>AA_008_DATOS_DE_BANCO_DOMICILIO_CALLE_NÚMERO</f>
        <v>0</v>
      </c>
      <c r="C14" s="723"/>
      <c r="D14" s="723"/>
      <c r="E14" s="723"/>
      <c r="F14" s="723"/>
      <c r="G14" s="723"/>
      <c r="H14" s="723"/>
      <c r="I14" s="723"/>
      <c r="J14" s="723"/>
      <c r="K14" s="723"/>
      <c r="L14" s="724"/>
      <c r="M14" s="539">
        <f>AA_009_DATOS_DE_BANCO_COLONIA</f>
        <v>0</v>
      </c>
      <c r="N14" s="723"/>
      <c r="O14" s="723"/>
      <c r="P14" s="723"/>
      <c r="Q14" s="723"/>
      <c r="R14" s="723"/>
      <c r="S14" s="724"/>
      <c r="T14" s="539">
        <f>AA_010_DATOS_DE_BANCO_POBLACIÓN</f>
        <v>0</v>
      </c>
      <c r="U14" s="723"/>
      <c r="V14" s="723"/>
      <c r="W14" s="723"/>
      <c r="X14" s="723"/>
      <c r="Y14" s="723"/>
      <c r="Z14" s="724"/>
      <c r="AA14" s="539">
        <f>AA_011_DATOS_DE_BANCO_ESTADO</f>
        <v>0</v>
      </c>
      <c r="AB14" s="723"/>
      <c r="AC14" s="723"/>
      <c r="AD14" s="723"/>
      <c r="AE14" s="723"/>
      <c r="AF14" s="723"/>
      <c r="AG14" s="724"/>
      <c r="AH14" s="539">
        <f>AA_012_DATOS_DE_BANCO_CODIGO_POSTAL</f>
        <v>0</v>
      </c>
      <c r="AI14" s="723"/>
      <c r="AJ14" s="723"/>
      <c r="AK14" s="724"/>
    </row>
    <row r="15" spans="1:37" s="193" customFormat="1" ht="10.5" customHeight="1">
      <c r="A15" s="188"/>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row>
    <row r="16" spans="1:37" s="193" customFormat="1" ht="10.5" customHeight="1">
      <c r="A16" s="188"/>
      <c r="B16" s="204" t="s">
        <v>149</v>
      </c>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row>
    <row r="17" spans="1:37" s="193" customFormat="1" ht="10.5" customHeight="1">
      <c r="A17" s="188"/>
      <c r="B17" s="201" t="s">
        <v>150</v>
      </c>
      <c r="C17" s="202"/>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202"/>
      <c r="AF17" s="202"/>
      <c r="AG17" s="201" t="s">
        <v>151</v>
      </c>
      <c r="AH17" s="202"/>
      <c r="AI17" s="202"/>
      <c r="AJ17" s="202"/>
      <c r="AK17" s="203"/>
    </row>
    <row r="18" spans="1:37" s="193" customFormat="1" ht="10.5" customHeight="1">
      <c r="A18" s="188"/>
      <c r="B18" s="539">
        <f>AA_013_DATOS_DE_LA_PARTE_ACREDITADA_NOMBRE_DEL_ACREDITADO</f>
        <v>0</v>
      </c>
      <c r="C18" s="723"/>
      <c r="D18" s="723"/>
      <c r="E18" s="723"/>
      <c r="F18" s="723"/>
      <c r="G18" s="723"/>
      <c r="H18" s="723"/>
      <c r="I18" s="723"/>
      <c r="J18" s="723"/>
      <c r="K18" s="723"/>
      <c r="L18" s="723"/>
      <c r="M18" s="723"/>
      <c r="N18" s="723"/>
      <c r="O18" s="723"/>
      <c r="P18" s="723"/>
      <c r="Q18" s="723"/>
      <c r="R18" s="723"/>
      <c r="S18" s="723"/>
      <c r="T18" s="723"/>
      <c r="U18" s="723"/>
      <c r="V18" s="723"/>
      <c r="W18" s="723"/>
      <c r="X18" s="723"/>
      <c r="Y18" s="723"/>
      <c r="Z18" s="723"/>
      <c r="AA18" s="723"/>
      <c r="AB18" s="723"/>
      <c r="AC18" s="723"/>
      <c r="AD18" s="723"/>
      <c r="AE18" s="723"/>
      <c r="AF18" s="724"/>
      <c r="AG18" s="539">
        <f>AA_014_DATOS_DE_LA_PARTE_ACREDITADA_R_F_C_</f>
        <v>0</v>
      </c>
      <c r="AH18" s="723"/>
      <c r="AI18" s="723"/>
      <c r="AJ18" s="723"/>
      <c r="AK18" s="724"/>
    </row>
    <row r="19" spans="1:37" s="193" customFormat="1" ht="10.5" customHeight="1">
      <c r="A19" s="188"/>
      <c r="B19" s="201" t="s">
        <v>143</v>
      </c>
      <c r="C19" s="202"/>
      <c r="D19" s="202"/>
      <c r="E19" s="202" t="s">
        <v>144</v>
      </c>
      <c r="F19" s="202"/>
      <c r="G19" s="202"/>
      <c r="H19" s="202"/>
      <c r="I19" s="202"/>
      <c r="J19" s="202"/>
      <c r="K19" s="202"/>
      <c r="L19" s="202"/>
      <c r="M19" s="202"/>
      <c r="N19" s="202"/>
      <c r="O19" s="202"/>
      <c r="P19" s="202"/>
      <c r="Q19" s="202"/>
      <c r="R19" s="202"/>
      <c r="S19" s="202"/>
      <c r="T19" s="202"/>
      <c r="U19" s="202"/>
      <c r="V19" s="202"/>
      <c r="W19" s="202"/>
      <c r="X19" s="201" t="s">
        <v>145</v>
      </c>
      <c r="Y19" s="202"/>
      <c r="Z19" s="202"/>
      <c r="AA19" s="202"/>
      <c r="AB19" s="202"/>
      <c r="AC19" s="202"/>
      <c r="AD19" s="202"/>
      <c r="AE19" s="202"/>
      <c r="AF19" s="202"/>
      <c r="AG19" s="202"/>
      <c r="AH19" s="202"/>
      <c r="AI19" s="202"/>
      <c r="AJ19" s="202"/>
      <c r="AK19" s="203"/>
    </row>
    <row r="20" spans="1:37" s="193" customFormat="1" ht="10.5" customHeight="1">
      <c r="A20" s="188"/>
      <c r="B20" s="539">
        <f>AA_015_DATOS_DE_LA_PARTE_ACREDITADA_DOMICILIO_CALLE_NÚMERO</f>
        <v>0</v>
      </c>
      <c r="C20" s="723"/>
      <c r="D20" s="723"/>
      <c r="E20" s="723"/>
      <c r="F20" s="723"/>
      <c r="G20" s="723"/>
      <c r="H20" s="723"/>
      <c r="I20" s="723"/>
      <c r="J20" s="723"/>
      <c r="K20" s="723"/>
      <c r="L20" s="723"/>
      <c r="M20" s="723"/>
      <c r="N20" s="723"/>
      <c r="O20" s="723"/>
      <c r="P20" s="723"/>
      <c r="Q20" s="723"/>
      <c r="R20" s="723"/>
      <c r="S20" s="723"/>
      <c r="T20" s="723"/>
      <c r="U20" s="723"/>
      <c r="V20" s="723"/>
      <c r="W20" s="724"/>
      <c r="X20" s="539">
        <f>AA_016_DATOS_DE_LA_PARTE_ACREDITADA_COLONIA</f>
        <v>0</v>
      </c>
      <c r="Y20" s="723"/>
      <c r="Z20" s="723"/>
      <c r="AA20" s="723"/>
      <c r="AB20" s="723"/>
      <c r="AC20" s="723"/>
      <c r="AD20" s="723"/>
      <c r="AE20" s="723"/>
      <c r="AF20" s="723"/>
      <c r="AG20" s="723"/>
      <c r="AH20" s="723"/>
      <c r="AI20" s="723"/>
      <c r="AJ20" s="723"/>
      <c r="AK20" s="724"/>
    </row>
    <row r="21" spans="1:37" s="193" customFormat="1" ht="10.5" customHeight="1">
      <c r="A21" s="188"/>
      <c r="B21" s="201" t="s">
        <v>146</v>
      </c>
      <c r="C21" s="202"/>
      <c r="D21" s="202"/>
      <c r="E21" s="202"/>
      <c r="F21" s="202"/>
      <c r="G21" s="202"/>
      <c r="H21" s="202"/>
      <c r="I21" s="195"/>
      <c r="J21" s="201" t="s">
        <v>147</v>
      </c>
      <c r="K21" s="195"/>
      <c r="L21" s="195"/>
      <c r="P21" s="202"/>
      <c r="Q21" s="194" t="s">
        <v>152</v>
      </c>
      <c r="S21" s="202"/>
      <c r="T21" s="202"/>
      <c r="V21" s="201" t="s">
        <v>153</v>
      </c>
      <c r="W21" s="202"/>
      <c r="X21" s="202"/>
      <c r="Y21" s="202"/>
      <c r="AA21" s="201" t="s">
        <v>154</v>
      </c>
      <c r="AB21" s="202"/>
      <c r="AC21" s="203"/>
      <c r="AD21" s="194" t="s">
        <v>155</v>
      </c>
      <c r="AE21" s="195"/>
      <c r="AF21" s="195"/>
      <c r="AG21" s="203"/>
      <c r="AH21" s="202" t="s">
        <v>156</v>
      </c>
      <c r="AI21" s="202"/>
      <c r="AJ21" s="202"/>
      <c r="AK21" s="203"/>
    </row>
    <row r="22" spans="1:37" s="193" customFormat="1" ht="10.5" customHeight="1">
      <c r="A22" s="188"/>
      <c r="B22" s="539">
        <f>AA_017_DATOS_DE_LA_PARTE_ACREDITADA_POBLACION</f>
        <v>0</v>
      </c>
      <c r="C22" s="723"/>
      <c r="D22" s="723"/>
      <c r="E22" s="723"/>
      <c r="F22" s="723"/>
      <c r="G22" s="723"/>
      <c r="H22" s="723"/>
      <c r="I22" s="724"/>
      <c r="J22" s="539">
        <f>AA_018_DATOS_DE_LA_PARTE_ACREDITADA_ESTADO</f>
        <v>0</v>
      </c>
      <c r="K22" s="723"/>
      <c r="L22" s="723"/>
      <c r="M22" s="723"/>
      <c r="N22" s="723"/>
      <c r="O22" s="723"/>
      <c r="P22" s="724"/>
      <c r="Q22" s="539">
        <f>AA_019_DATOS_DE_LA_PARTE_ACREDITADA_NACIONALIDAD</f>
        <v>0</v>
      </c>
      <c r="R22" s="723"/>
      <c r="S22" s="723"/>
      <c r="T22" s="723"/>
      <c r="U22" s="724"/>
      <c r="V22" s="539">
        <f>AA_020_DATOS_DE_LA_PARTE_ACREDITADA_ORIGINARIO</f>
        <v>0</v>
      </c>
      <c r="W22" s="723"/>
      <c r="X22" s="723"/>
      <c r="Y22" s="723"/>
      <c r="Z22" s="724"/>
      <c r="AA22" s="542">
        <f>AA_021_DATOS_DE_LA_PARTE_ACREDITADA_EDAD</f>
        <v>0</v>
      </c>
      <c r="AB22" s="543"/>
      <c r="AC22" s="544"/>
      <c r="AD22" s="539">
        <f>AA_022_DATOS_DE_LA_PARTE_ACREDITADA_ESTADO_CIVIL</f>
        <v>0</v>
      </c>
      <c r="AE22" s="723"/>
      <c r="AF22" s="723"/>
      <c r="AG22" s="724"/>
      <c r="AH22" s="539">
        <f>AA_023_DATOS_DE_LA_PARTE_ACREDITADA_TELEFONO</f>
        <v>0</v>
      </c>
      <c r="AI22" s="540"/>
      <c r="AJ22" s="540"/>
      <c r="AK22" s="541"/>
    </row>
    <row r="23" spans="1:37" s="193" customFormat="1" ht="10.5" customHeight="1">
      <c r="A23" s="188"/>
      <c r="B23" s="201" t="s">
        <v>157</v>
      </c>
      <c r="C23" s="202"/>
      <c r="D23" s="202"/>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202"/>
      <c r="AF23" s="202"/>
      <c r="AG23" s="201" t="s">
        <v>151</v>
      </c>
      <c r="AH23" s="202"/>
      <c r="AI23" s="202"/>
      <c r="AJ23" s="202"/>
      <c r="AK23" s="203"/>
    </row>
    <row r="24" spans="1:37" s="193" customFormat="1" ht="10.5" customHeight="1">
      <c r="A24" s="188"/>
      <c r="B24" s="545">
        <f>AA_024_DATOS_DE_LA_PARTE_ACREDITADA_NOMBRE_DEL_ACREDITADO_2</f>
        <v>0</v>
      </c>
      <c r="C24" s="817"/>
      <c r="D24" s="817"/>
      <c r="E24" s="817"/>
      <c r="F24" s="817"/>
      <c r="G24" s="817"/>
      <c r="H24" s="817"/>
      <c r="I24" s="817"/>
      <c r="J24" s="817"/>
      <c r="K24" s="817"/>
      <c r="L24" s="817"/>
      <c r="M24" s="817"/>
      <c r="N24" s="817"/>
      <c r="O24" s="817"/>
      <c r="P24" s="817"/>
      <c r="Q24" s="817"/>
      <c r="R24" s="817"/>
      <c r="S24" s="817"/>
      <c r="T24" s="817"/>
      <c r="U24" s="817"/>
      <c r="V24" s="817"/>
      <c r="W24" s="817"/>
      <c r="X24" s="817"/>
      <c r="Y24" s="817"/>
      <c r="Z24" s="817"/>
      <c r="AA24" s="817"/>
      <c r="AB24" s="817"/>
      <c r="AC24" s="817"/>
      <c r="AD24" s="817"/>
      <c r="AE24" s="817"/>
      <c r="AF24" s="818"/>
      <c r="AG24" s="539">
        <f>AA_025_DATOS_DE_LA_PARTE_ACREDITADA_R_F_C_</f>
        <v>0</v>
      </c>
      <c r="AH24" s="723"/>
      <c r="AI24" s="723"/>
      <c r="AJ24" s="723"/>
      <c r="AK24" s="724"/>
    </row>
    <row r="25" spans="1:37" s="193" customFormat="1" ht="10.5" customHeight="1">
      <c r="A25" s="188"/>
      <c r="B25" s="194" t="s">
        <v>143</v>
      </c>
      <c r="C25" s="195"/>
      <c r="D25" s="195"/>
      <c r="E25" s="195" t="s">
        <v>144</v>
      </c>
      <c r="F25" s="195"/>
      <c r="G25" s="195"/>
      <c r="H25" s="195"/>
      <c r="I25" s="195"/>
      <c r="J25" s="195"/>
      <c r="K25" s="195"/>
      <c r="L25" s="195"/>
      <c r="M25" s="195"/>
      <c r="N25" s="195"/>
      <c r="O25" s="195"/>
      <c r="P25" s="195"/>
      <c r="Q25" s="195"/>
      <c r="R25" s="195"/>
      <c r="S25" s="195"/>
      <c r="T25" s="195"/>
      <c r="U25" s="188"/>
      <c r="V25" s="195"/>
      <c r="W25" s="195"/>
      <c r="X25" s="194" t="s">
        <v>145</v>
      </c>
      <c r="Y25" s="195"/>
      <c r="Z25" s="195"/>
      <c r="AA25" s="195"/>
      <c r="AB25" s="195"/>
      <c r="AC25" s="195"/>
      <c r="AD25" s="195"/>
      <c r="AE25" s="195"/>
      <c r="AF25" s="195"/>
      <c r="AG25" s="202"/>
      <c r="AH25" s="202"/>
      <c r="AI25" s="202"/>
      <c r="AJ25" s="202"/>
      <c r="AK25" s="203"/>
    </row>
    <row r="26" spans="1:37" s="193" customFormat="1" ht="10.5" customHeight="1">
      <c r="A26" s="188"/>
      <c r="B26" s="545">
        <f>AA_026_DATOS_DE_LA_PARTE_ACREDITADA_DOMICILIO_CALLE_NÚMERO</f>
        <v>0</v>
      </c>
      <c r="C26" s="817"/>
      <c r="D26" s="817"/>
      <c r="E26" s="817"/>
      <c r="F26" s="817"/>
      <c r="G26" s="817"/>
      <c r="H26" s="817"/>
      <c r="I26" s="817"/>
      <c r="J26" s="817"/>
      <c r="K26" s="817"/>
      <c r="L26" s="817"/>
      <c r="M26" s="817"/>
      <c r="N26" s="817"/>
      <c r="O26" s="817"/>
      <c r="P26" s="817"/>
      <c r="Q26" s="817"/>
      <c r="R26" s="817"/>
      <c r="S26" s="817"/>
      <c r="T26" s="817"/>
      <c r="U26" s="817"/>
      <c r="V26" s="817"/>
      <c r="W26" s="818"/>
      <c r="X26" s="539">
        <f>AA_027_DATOS_DE_LA_PARTE_ACREDITADA_COLONIA</f>
        <v>0</v>
      </c>
      <c r="Y26" s="723"/>
      <c r="Z26" s="723"/>
      <c r="AA26" s="723"/>
      <c r="AB26" s="723"/>
      <c r="AC26" s="723"/>
      <c r="AD26" s="723"/>
      <c r="AE26" s="723"/>
      <c r="AF26" s="723"/>
      <c r="AG26" s="723"/>
      <c r="AH26" s="723"/>
      <c r="AI26" s="723"/>
      <c r="AJ26" s="723"/>
      <c r="AK26" s="724"/>
    </row>
    <row r="27" spans="1:37" s="193" customFormat="1" ht="10.5" customHeight="1">
      <c r="A27" s="188"/>
      <c r="B27" s="194" t="s">
        <v>146</v>
      </c>
      <c r="C27" s="195"/>
      <c r="D27" s="195"/>
      <c r="E27" s="195"/>
      <c r="F27" s="195"/>
      <c r="G27" s="195"/>
      <c r="H27" s="195"/>
      <c r="I27" s="195"/>
      <c r="J27" s="194" t="s">
        <v>147</v>
      </c>
      <c r="K27" s="195"/>
      <c r="L27" s="195"/>
      <c r="M27" s="188"/>
      <c r="N27" s="188"/>
      <c r="O27" s="188"/>
      <c r="P27" s="195"/>
      <c r="Q27" s="194" t="s">
        <v>152</v>
      </c>
      <c r="R27" s="188"/>
      <c r="S27" s="195"/>
      <c r="T27" s="195"/>
      <c r="U27" s="444"/>
      <c r="V27" s="194" t="s">
        <v>153</v>
      </c>
      <c r="W27" s="195"/>
      <c r="X27" s="202"/>
      <c r="Y27" s="202"/>
      <c r="Z27" s="188"/>
      <c r="AA27" s="201" t="s">
        <v>154</v>
      </c>
      <c r="AB27" s="202"/>
      <c r="AC27" s="203"/>
      <c r="AD27" s="194" t="s">
        <v>155</v>
      </c>
      <c r="AE27" s="195"/>
      <c r="AF27" s="195"/>
      <c r="AG27" s="203"/>
      <c r="AH27" s="202" t="s">
        <v>156</v>
      </c>
      <c r="AI27" s="202"/>
      <c r="AJ27" s="202"/>
      <c r="AK27" s="203"/>
    </row>
    <row r="28" spans="1:37" s="193" customFormat="1" ht="10.5" customHeight="1">
      <c r="A28" s="188"/>
      <c r="B28" s="539">
        <f>AA_028_DATOS_DE_LA_PARTE_ACREDITADA_POBLACION</f>
        <v>0</v>
      </c>
      <c r="C28" s="723"/>
      <c r="D28" s="723"/>
      <c r="E28" s="723"/>
      <c r="F28" s="723"/>
      <c r="G28" s="723"/>
      <c r="H28" s="723"/>
      <c r="I28" s="724"/>
      <c r="J28" s="539">
        <f>AA_029_DATOS_DE_LA_PARTE_ACREDITADA_ESTADO</f>
        <v>0</v>
      </c>
      <c r="K28" s="723"/>
      <c r="L28" s="723"/>
      <c r="M28" s="723"/>
      <c r="N28" s="723"/>
      <c r="O28" s="723"/>
      <c r="P28" s="724"/>
      <c r="Q28" s="539">
        <f>AA_030_DATOS_DE_LA_PARTE_ACREDITADA_NACIONALIDAD</f>
        <v>0</v>
      </c>
      <c r="R28" s="723"/>
      <c r="S28" s="723"/>
      <c r="T28" s="723"/>
      <c r="U28" s="724"/>
      <c r="V28" s="539">
        <f>AA_031_DATOS_DE_LA_PARTE_ACREDITADA_ORIGINARIO</f>
        <v>0</v>
      </c>
      <c r="W28" s="723"/>
      <c r="X28" s="723"/>
      <c r="Y28" s="723"/>
      <c r="Z28" s="724"/>
      <c r="AA28" s="542">
        <f>AA_032_DATOS_DE_LA_PARTE_ACREDITADA_EDAD</f>
        <v>0</v>
      </c>
      <c r="AB28" s="543"/>
      <c r="AC28" s="544"/>
      <c r="AD28" s="539">
        <f>AA_033_DATOS_DE_LA_PARTE_ACREDITADA_ESTADO_CIVIL</f>
        <v>0</v>
      </c>
      <c r="AE28" s="723"/>
      <c r="AF28" s="723"/>
      <c r="AG28" s="724"/>
      <c r="AH28" s="539">
        <f>AA_034_DATOS_DE_LA_PARTE_ACREDITADA_TELEFONO</f>
        <v>0</v>
      </c>
      <c r="AI28" s="540"/>
      <c r="AJ28" s="540"/>
      <c r="AK28" s="541"/>
    </row>
    <row r="29" spans="1:37" s="199" customFormat="1" ht="2.25" customHeight="1">
      <c r="A29" s="198"/>
      <c r="B29" s="182"/>
      <c r="C29" s="18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row>
    <row r="30" spans="1:37" s="199" customFormat="1" ht="9.6">
      <c r="A30" s="198"/>
      <c r="B30" s="200" t="s">
        <v>158</v>
      </c>
      <c r="C30" s="18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row>
    <row r="31" spans="1:37" s="193" customFormat="1" ht="10.5" customHeight="1">
      <c r="A31" s="188"/>
      <c r="B31" s="201" t="s">
        <v>159</v>
      </c>
      <c r="C31" s="202"/>
      <c r="D31" s="202"/>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202"/>
      <c r="AF31" s="202"/>
      <c r="AG31" s="202"/>
      <c r="AH31" s="202"/>
      <c r="AI31" s="202"/>
      <c r="AJ31" s="202"/>
      <c r="AK31" s="203"/>
    </row>
    <row r="32" spans="1:37" s="193" customFormat="1" ht="10.5" customHeight="1">
      <c r="A32" s="188"/>
      <c r="B32" s="539">
        <f>AA_035_DATOS_APODERADOS_ACREDITADO_NOMBRE_APODERADO_DEL_ACREDITADO_UNO</f>
        <v>0</v>
      </c>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c r="AE32" s="540"/>
      <c r="AF32" s="540"/>
      <c r="AG32" s="540"/>
      <c r="AH32" s="540"/>
      <c r="AI32" s="540"/>
      <c r="AJ32" s="540"/>
      <c r="AK32" s="541"/>
    </row>
    <row r="33" spans="1:37" s="193" customFormat="1" ht="10.5" customHeight="1">
      <c r="A33" s="188"/>
      <c r="B33" s="201" t="str">
        <f>B31</f>
        <v>NOMBRE  (Nombre(s) Apellidos Paterno y Materno)</v>
      </c>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202"/>
      <c r="AG33" s="202"/>
      <c r="AH33" s="202"/>
      <c r="AI33" s="202"/>
      <c r="AJ33" s="202"/>
      <c r="AK33" s="203"/>
    </row>
    <row r="34" spans="1:37" s="193" customFormat="1" ht="10.5" customHeight="1">
      <c r="A34" s="188"/>
      <c r="B34" s="539">
        <f>AA_036_DATOS_APODERADOS_ACREDITADO_NOMBRE_APODERADO_DEL_ACREDITADO_DOS</f>
        <v>0</v>
      </c>
      <c r="C34" s="723"/>
      <c r="D34" s="723"/>
      <c r="E34" s="723"/>
      <c r="F34" s="723"/>
      <c r="G34" s="723"/>
      <c r="H34" s="723"/>
      <c r="I34" s="723"/>
      <c r="J34" s="723"/>
      <c r="K34" s="723"/>
      <c r="L34" s="723"/>
      <c r="M34" s="723"/>
      <c r="N34" s="723"/>
      <c r="O34" s="723"/>
      <c r="P34" s="723"/>
      <c r="Q34" s="723"/>
      <c r="R34" s="723"/>
      <c r="S34" s="723"/>
      <c r="T34" s="723"/>
      <c r="U34" s="723"/>
      <c r="V34" s="723"/>
      <c r="W34" s="723"/>
      <c r="X34" s="723"/>
      <c r="Y34" s="723"/>
      <c r="Z34" s="723"/>
      <c r="AA34" s="723"/>
      <c r="AB34" s="723"/>
      <c r="AC34" s="723"/>
      <c r="AD34" s="723"/>
      <c r="AE34" s="723"/>
      <c r="AF34" s="723"/>
      <c r="AG34" s="723"/>
      <c r="AH34" s="723"/>
      <c r="AI34" s="723"/>
      <c r="AJ34" s="723"/>
      <c r="AK34" s="724"/>
    </row>
    <row r="35" spans="1:37" s="193" customFormat="1" ht="10.5" customHeight="1">
      <c r="A35" s="188"/>
      <c r="B35" s="201" t="str">
        <f>B33</f>
        <v>NOMBRE  (Nombre(s) Apellidos Paterno y Materno)</v>
      </c>
      <c r="C35" s="202"/>
      <c r="D35" s="202"/>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202"/>
      <c r="AF35" s="202"/>
      <c r="AG35" s="202"/>
      <c r="AH35" s="202"/>
      <c r="AI35" s="202"/>
      <c r="AJ35" s="202"/>
      <c r="AK35" s="203"/>
    </row>
    <row r="36" spans="1:37" s="193" customFormat="1" ht="10.5" customHeight="1">
      <c r="A36" s="188"/>
      <c r="B36" s="539">
        <f>AA_036a_DATOS_APODERADOS_ACREDITADO_NOMBRE_APODERADO_DEL_ACREDITADO_TRES</f>
        <v>0</v>
      </c>
      <c r="C36" s="723"/>
      <c r="D36" s="723"/>
      <c r="E36" s="723"/>
      <c r="F36" s="723"/>
      <c r="G36" s="723"/>
      <c r="H36" s="723"/>
      <c r="I36" s="723"/>
      <c r="J36" s="723"/>
      <c r="K36" s="723"/>
      <c r="L36" s="723"/>
      <c r="M36" s="723"/>
      <c r="N36" s="723"/>
      <c r="O36" s="723"/>
      <c r="P36" s="723"/>
      <c r="Q36" s="723"/>
      <c r="R36" s="723"/>
      <c r="S36" s="723"/>
      <c r="T36" s="723"/>
      <c r="U36" s="723"/>
      <c r="V36" s="723"/>
      <c r="W36" s="723"/>
      <c r="X36" s="723"/>
      <c r="Y36" s="723"/>
      <c r="Z36" s="723"/>
      <c r="AA36" s="723"/>
      <c r="AB36" s="723"/>
      <c r="AC36" s="723"/>
      <c r="AD36" s="723"/>
      <c r="AE36" s="723"/>
      <c r="AF36" s="723"/>
      <c r="AG36" s="723"/>
      <c r="AH36" s="723"/>
      <c r="AI36" s="723"/>
      <c r="AJ36" s="723"/>
      <c r="AK36" s="724"/>
    </row>
    <row r="37" spans="1:37" s="199" customFormat="1" ht="2.25" customHeight="1">
      <c r="A37" s="198"/>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row>
    <row r="38" spans="1:37" s="199" customFormat="1" ht="9.6">
      <c r="A38" s="198"/>
      <c r="B38" s="200" t="s">
        <v>160</v>
      </c>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row>
    <row r="39" spans="1:37" s="193" customFormat="1" ht="10.5" customHeight="1">
      <c r="A39" s="188"/>
      <c r="B39" s="201" t="s">
        <v>157</v>
      </c>
      <c r="C39" s="202"/>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202"/>
      <c r="AF39" s="202"/>
      <c r="AG39" s="201" t="s">
        <v>151</v>
      </c>
      <c r="AH39" s="202"/>
      <c r="AI39" s="202"/>
      <c r="AJ39" s="202"/>
      <c r="AK39" s="203"/>
    </row>
    <row r="40" spans="1:37" s="193" customFormat="1" ht="10.5" customHeight="1">
      <c r="A40" s="188"/>
      <c r="B40" s="539">
        <f>AA_037_DATOS_FIADORES_NOMBRE_DEL_FIADOR_SOLIDARIO_UNO</f>
        <v>0</v>
      </c>
      <c r="C40" s="723"/>
      <c r="D40" s="723"/>
      <c r="E40" s="723"/>
      <c r="F40" s="723"/>
      <c r="G40" s="723"/>
      <c r="H40" s="723"/>
      <c r="I40" s="723"/>
      <c r="J40" s="723"/>
      <c r="K40" s="723"/>
      <c r="L40" s="723"/>
      <c r="M40" s="723"/>
      <c r="N40" s="723"/>
      <c r="O40" s="723"/>
      <c r="P40" s="723"/>
      <c r="Q40" s="723"/>
      <c r="R40" s="723"/>
      <c r="S40" s="723"/>
      <c r="T40" s="723"/>
      <c r="U40" s="723"/>
      <c r="V40" s="723"/>
      <c r="W40" s="723"/>
      <c r="X40" s="723"/>
      <c r="Y40" s="723"/>
      <c r="Z40" s="723"/>
      <c r="AA40" s="723"/>
      <c r="AB40" s="723"/>
      <c r="AC40" s="723"/>
      <c r="AD40" s="723"/>
      <c r="AE40" s="723"/>
      <c r="AF40" s="724"/>
      <c r="AG40" s="539">
        <f>AA_038_DATOS_FIADORES_RFC</f>
        <v>0</v>
      </c>
      <c r="AH40" s="723"/>
      <c r="AI40" s="723"/>
      <c r="AJ40" s="723"/>
      <c r="AK40" s="724"/>
    </row>
    <row r="41" spans="1:37" s="193" customFormat="1" ht="10.5" customHeight="1">
      <c r="A41" s="188"/>
      <c r="B41" s="201" t="s">
        <v>143</v>
      </c>
      <c r="C41" s="202"/>
      <c r="D41" s="202"/>
      <c r="E41" s="202" t="s">
        <v>144</v>
      </c>
      <c r="F41" s="202"/>
      <c r="G41" s="202"/>
      <c r="H41" s="202"/>
      <c r="I41" s="202"/>
      <c r="J41" s="202"/>
      <c r="K41" s="202"/>
      <c r="L41" s="202"/>
      <c r="M41" s="202"/>
      <c r="N41" s="202"/>
      <c r="O41" s="202"/>
      <c r="P41" s="202"/>
      <c r="Q41" s="202"/>
      <c r="R41" s="202"/>
      <c r="S41" s="202"/>
      <c r="T41" s="202"/>
      <c r="U41" s="201" t="s">
        <v>145</v>
      </c>
      <c r="V41" s="202"/>
      <c r="W41" s="202"/>
      <c r="X41" s="202"/>
      <c r="Y41" s="202"/>
      <c r="Z41" s="202"/>
      <c r="AA41" s="202"/>
      <c r="AB41" s="202"/>
      <c r="AC41" s="202"/>
      <c r="AD41" s="202"/>
      <c r="AE41" s="202"/>
      <c r="AF41" s="202"/>
      <c r="AG41" s="202"/>
      <c r="AH41" s="202"/>
      <c r="AI41" s="202"/>
      <c r="AJ41" s="202"/>
      <c r="AK41" s="203"/>
    </row>
    <row r="42" spans="1:37" s="193" customFormat="1" ht="10.5" customHeight="1">
      <c r="A42" s="188"/>
      <c r="B42" s="539">
        <f>AA_039_DATOS_FIADORES_DOMICILIO_CALLE_NÚMERO</f>
        <v>0</v>
      </c>
      <c r="C42" s="723"/>
      <c r="D42" s="723"/>
      <c r="E42" s="723"/>
      <c r="F42" s="723"/>
      <c r="G42" s="723"/>
      <c r="H42" s="723"/>
      <c r="I42" s="723"/>
      <c r="J42" s="723"/>
      <c r="K42" s="723"/>
      <c r="L42" s="723"/>
      <c r="M42" s="723"/>
      <c r="N42" s="723"/>
      <c r="O42" s="723"/>
      <c r="P42" s="723"/>
      <c r="Q42" s="723"/>
      <c r="R42" s="723"/>
      <c r="S42" s="723"/>
      <c r="T42" s="724"/>
      <c r="U42" s="539">
        <f>AA_039_DATOS_FIADORES_DOMICILIO_CALLE_NÚMERO</f>
        <v>0</v>
      </c>
      <c r="V42" s="723"/>
      <c r="W42" s="723"/>
      <c r="X42" s="723"/>
      <c r="Y42" s="723"/>
      <c r="Z42" s="723"/>
      <c r="AA42" s="723"/>
      <c r="AB42" s="723"/>
      <c r="AC42" s="723"/>
      <c r="AD42" s="723"/>
      <c r="AE42" s="723"/>
      <c r="AF42" s="723"/>
      <c r="AG42" s="723"/>
      <c r="AH42" s="723"/>
      <c r="AI42" s="723"/>
      <c r="AJ42" s="723"/>
      <c r="AK42" s="724"/>
    </row>
    <row r="43" spans="1:37" s="193" customFormat="1" ht="10.5" customHeight="1">
      <c r="A43" s="188"/>
      <c r="B43" s="201" t="s">
        <v>146</v>
      </c>
      <c r="C43" s="202"/>
      <c r="D43" s="202"/>
      <c r="E43" s="202"/>
      <c r="F43" s="202"/>
      <c r="G43" s="202"/>
      <c r="H43" s="202"/>
      <c r="I43" s="195"/>
      <c r="J43" s="201" t="s">
        <v>147</v>
      </c>
      <c r="K43" s="195"/>
      <c r="L43" s="195"/>
      <c r="P43" s="202"/>
      <c r="Q43" s="194" t="s">
        <v>152</v>
      </c>
      <c r="S43" s="202"/>
      <c r="T43" s="202"/>
      <c r="V43" s="201" t="s">
        <v>153</v>
      </c>
      <c r="W43" s="202"/>
      <c r="X43" s="202"/>
      <c r="Y43" s="202"/>
      <c r="AA43" s="201" t="s">
        <v>154</v>
      </c>
      <c r="AB43" s="202"/>
      <c r="AC43" s="203"/>
      <c r="AD43" s="194" t="s">
        <v>155</v>
      </c>
      <c r="AE43" s="195"/>
      <c r="AF43" s="195"/>
      <c r="AG43" s="203"/>
      <c r="AH43" s="202" t="s">
        <v>156</v>
      </c>
      <c r="AI43" s="202"/>
      <c r="AJ43" s="202"/>
      <c r="AK43" s="203"/>
    </row>
    <row r="44" spans="1:37" s="193" customFormat="1" ht="10.5" customHeight="1">
      <c r="A44" s="188"/>
      <c r="B44" s="539">
        <f>AA_041_DATOS_FIADORES_POBLACIÓN</f>
        <v>0</v>
      </c>
      <c r="C44" s="723"/>
      <c r="D44" s="723"/>
      <c r="E44" s="723"/>
      <c r="F44" s="723"/>
      <c r="G44" s="723"/>
      <c r="H44" s="723"/>
      <c r="I44" s="724"/>
      <c r="J44" s="539">
        <f>AA_042_DATOS_FIADORES_ESTADO</f>
        <v>0</v>
      </c>
      <c r="K44" s="723"/>
      <c r="L44" s="723"/>
      <c r="M44" s="723"/>
      <c r="N44" s="723"/>
      <c r="O44" s="723"/>
      <c r="P44" s="724"/>
      <c r="Q44" s="539">
        <f>AA_043_DATOS_FIADORES_NACIONALIDAD</f>
        <v>0</v>
      </c>
      <c r="R44" s="723"/>
      <c r="S44" s="723"/>
      <c r="T44" s="723"/>
      <c r="U44" s="724"/>
      <c r="V44" s="539">
        <f>AA_044_DATOS_FIADORES_ORIGINARIO</f>
        <v>0</v>
      </c>
      <c r="W44" s="723"/>
      <c r="X44" s="723"/>
      <c r="Y44" s="723"/>
      <c r="Z44" s="724"/>
      <c r="AA44" s="542">
        <f>AA_045_DATOS_FIADORES_EDAD</f>
        <v>0</v>
      </c>
      <c r="AB44" s="543"/>
      <c r="AC44" s="544"/>
      <c r="AD44" s="539">
        <f>AA_046_DATOS_FIADORES_ESTADO_CIVIL</f>
        <v>0</v>
      </c>
      <c r="AE44" s="723"/>
      <c r="AF44" s="723"/>
      <c r="AG44" s="724"/>
      <c r="AH44" s="539">
        <f>AA_047_DATOS_FIADORES_TELEFONO</f>
        <v>0</v>
      </c>
      <c r="AI44" s="540"/>
      <c r="AJ44" s="540"/>
      <c r="AK44" s="541"/>
    </row>
    <row r="45" spans="1:37" s="193" customFormat="1" ht="10.5" customHeight="1">
      <c r="A45" s="188"/>
      <c r="B45" s="201" t="s">
        <v>157</v>
      </c>
      <c r="C45" s="202"/>
      <c r="D45" s="202"/>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202"/>
      <c r="AF45" s="202"/>
      <c r="AG45" s="201" t="s">
        <v>151</v>
      </c>
      <c r="AH45" s="202"/>
      <c r="AI45" s="202"/>
      <c r="AJ45" s="202"/>
      <c r="AK45" s="203"/>
    </row>
    <row r="46" spans="1:37" s="193" customFormat="1" ht="10.5" customHeight="1">
      <c r="A46" s="188"/>
      <c r="B46" s="539">
        <f>AA_048_DATOS_FIADORES_NOMBRE_DEL_FIADOR_SOLIDARIO_DOS</f>
        <v>0</v>
      </c>
      <c r="C46" s="723"/>
      <c r="D46" s="723"/>
      <c r="E46" s="723"/>
      <c r="F46" s="723"/>
      <c r="G46" s="723"/>
      <c r="H46" s="723"/>
      <c r="I46" s="723"/>
      <c r="J46" s="723"/>
      <c r="K46" s="723"/>
      <c r="L46" s="723"/>
      <c r="M46" s="723"/>
      <c r="N46" s="723"/>
      <c r="O46" s="723"/>
      <c r="P46" s="723"/>
      <c r="Q46" s="723"/>
      <c r="R46" s="723"/>
      <c r="S46" s="723"/>
      <c r="T46" s="723"/>
      <c r="U46" s="723"/>
      <c r="V46" s="723"/>
      <c r="W46" s="723"/>
      <c r="X46" s="723"/>
      <c r="Y46" s="723"/>
      <c r="Z46" s="723"/>
      <c r="AA46" s="723"/>
      <c r="AB46" s="723"/>
      <c r="AC46" s="723"/>
      <c r="AD46" s="723"/>
      <c r="AE46" s="723"/>
      <c r="AF46" s="724"/>
      <c r="AG46" s="539">
        <f>AA_049_DATOS_FIADORES_RFC</f>
        <v>0</v>
      </c>
      <c r="AH46" s="723"/>
      <c r="AI46" s="723"/>
      <c r="AJ46" s="723"/>
      <c r="AK46" s="724"/>
    </row>
    <row r="47" spans="1:37" s="193" customFormat="1" ht="10.5" customHeight="1">
      <c r="A47" s="188"/>
      <c r="B47" s="201" t="s">
        <v>143</v>
      </c>
      <c r="C47" s="202"/>
      <c r="D47" s="202"/>
      <c r="E47" s="202" t="s">
        <v>144</v>
      </c>
      <c r="F47" s="202"/>
      <c r="G47" s="202"/>
      <c r="H47" s="202"/>
      <c r="I47" s="202"/>
      <c r="J47" s="202"/>
      <c r="K47" s="202"/>
      <c r="L47" s="202"/>
      <c r="M47" s="202"/>
      <c r="N47" s="202"/>
      <c r="O47" s="202"/>
      <c r="P47" s="202"/>
      <c r="Q47" s="202"/>
      <c r="R47" s="202"/>
      <c r="S47" s="202"/>
      <c r="T47" s="202"/>
      <c r="U47" s="201" t="s">
        <v>145</v>
      </c>
      <c r="V47" s="202"/>
      <c r="W47" s="202"/>
      <c r="X47" s="202"/>
      <c r="Y47" s="202"/>
      <c r="Z47" s="202"/>
      <c r="AA47" s="202"/>
      <c r="AB47" s="202"/>
      <c r="AC47" s="202"/>
      <c r="AD47" s="202"/>
      <c r="AE47" s="202"/>
      <c r="AF47" s="202"/>
      <c r="AG47" s="202"/>
      <c r="AH47" s="202"/>
      <c r="AI47" s="202"/>
      <c r="AJ47" s="202"/>
      <c r="AK47" s="203"/>
    </row>
    <row r="48" spans="1:37" s="193" customFormat="1" ht="10.5" customHeight="1">
      <c r="A48" s="188"/>
      <c r="B48" s="539">
        <f>AA_050_DATOS_FIADORES_DOMICILIO_CALLE_NÚMERO</f>
        <v>0</v>
      </c>
      <c r="C48" s="723"/>
      <c r="D48" s="723"/>
      <c r="E48" s="723"/>
      <c r="F48" s="723"/>
      <c r="G48" s="723"/>
      <c r="H48" s="723"/>
      <c r="I48" s="723"/>
      <c r="J48" s="723"/>
      <c r="K48" s="723"/>
      <c r="L48" s="723"/>
      <c r="M48" s="723"/>
      <c r="N48" s="723"/>
      <c r="O48" s="723"/>
      <c r="P48" s="723"/>
      <c r="Q48" s="723"/>
      <c r="R48" s="723"/>
      <c r="S48" s="723"/>
      <c r="T48" s="724"/>
      <c r="U48" s="539">
        <f>AA_051_DATOS_FIADORES_COLONIA</f>
        <v>0</v>
      </c>
      <c r="V48" s="723"/>
      <c r="W48" s="723"/>
      <c r="X48" s="723"/>
      <c r="Y48" s="723"/>
      <c r="Z48" s="723"/>
      <c r="AA48" s="723"/>
      <c r="AB48" s="723"/>
      <c r="AC48" s="723"/>
      <c r="AD48" s="723"/>
      <c r="AE48" s="723"/>
      <c r="AF48" s="723"/>
      <c r="AG48" s="723"/>
      <c r="AH48" s="723"/>
      <c r="AI48" s="723"/>
      <c r="AJ48" s="723"/>
      <c r="AK48" s="724"/>
    </row>
    <row r="49" spans="1:37" s="193" customFormat="1" ht="10.5" customHeight="1">
      <c r="A49" s="188"/>
      <c r="B49" s="201" t="s">
        <v>146</v>
      </c>
      <c r="C49" s="202"/>
      <c r="D49" s="202"/>
      <c r="E49" s="202"/>
      <c r="F49" s="202"/>
      <c r="G49" s="202"/>
      <c r="H49" s="202"/>
      <c r="I49" s="195"/>
      <c r="J49" s="201" t="s">
        <v>147</v>
      </c>
      <c r="K49" s="195"/>
      <c r="L49" s="195"/>
      <c r="P49" s="202"/>
      <c r="Q49" s="194" t="s">
        <v>152</v>
      </c>
      <c r="S49" s="202"/>
      <c r="T49" s="202"/>
      <c r="V49" s="201" t="s">
        <v>153</v>
      </c>
      <c r="W49" s="202"/>
      <c r="X49" s="202"/>
      <c r="Y49" s="202"/>
      <c r="AA49" s="201" t="s">
        <v>154</v>
      </c>
      <c r="AB49" s="202"/>
      <c r="AC49" s="203"/>
      <c r="AD49" s="194" t="s">
        <v>155</v>
      </c>
      <c r="AE49" s="195"/>
      <c r="AF49" s="195"/>
      <c r="AG49" s="203"/>
      <c r="AH49" s="202" t="s">
        <v>156</v>
      </c>
      <c r="AI49" s="202"/>
      <c r="AJ49" s="202"/>
      <c r="AK49" s="203"/>
    </row>
    <row r="50" spans="1:37" s="193" customFormat="1" ht="10.5" customHeight="1">
      <c r="A50" s="188"/>
      <c r="B50" s="539">
        <f>AA_052_DATOS_FIADORES_POBLACIÓN</f>
        <v>0</v>
      </c>
      <c r="C50" s="723"/>
      <c r="D50" s="723"/>
      <c r="E50" s="723"/>
      <c r="F50" s="723"/>
      <c r="G50" s="723"/>
      <c r="H50" s="723"/>
      <c r="I50" s="724"/>
      <c r="J50" s="539">
        <f>AA_053_DATOS_FIADORES_ESTADO</f>
        <v>0</v>
      </c>
      <c r="K50" s="723"/>
      <c r="L50" s="723"/>
      <c r="M50" s="723"/>
      <c r="N50" s="723"/>
      <c r="O50" s="723"/>
      <c r="P50" s="724"/>
      <c r="Q50" s="539">
        <f>AA_054_DATOS_FIADORES_NACIONALIDAD</f>
        <v>0</v>
      </c>
      <c r="R50" s="723"/>
      <c r="S50" s="723"/>
      <c r="T50" s="723"/>
      <c r="U50" s="724"/>
      <c r="V50" s="539">
        <f>AA_055_DATOS_FIADORES_ORIGINARIO</f>
        <v>0</v>
      </c>
      <c r="W50" s="723"/>
      <c r="X50" s="723"/>
      <c r="Y50" s="723"/>
      <c r="Z50" s="724"/>
      <c r="AA50" s="542">
        <f>AA_056_DATOS_FIADORES_EDAD</f>
        <v>0</v>
      </c>
      <c r="AB50" s="543"/>
      <c r="AC50" s="544"/>
      <c r="AD50" s="539">
        <f>AA_057_DATOS_FIADORES_ESTADO_CIVIL</f>
        <v>0</v>
      </c>
      <c r="AE50" s="723"/>
      <c r="AF50" s="723"/>
      <c r="AG50" s="724"/>
      <c r="AH50" s="539">
        <f>AA_058_DATOS_FIADORES_TELEFONO</f>
        <v>0</v>
      </c>
      <c r="AI50" s="540"/>
      <c r="AJ50" s="540"/>
      <c r="AK50" s="541"/>
    </row>
    <row r="51" spans="1:37" s="193" customFormat="1" ht="10.5" customHeight="1">
      <c r="A51" s="188"/>
      <c r="B51" s="201" t="s">
        <v>157</v>
      </c>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202"/>
      <c r="AF51" s="202"/>
      <c r="AG51" s="201" t="s">
        <v>151</v>
      </c>
      <c r="AH51" s="202"/>
      <c r="AI51" s="202"/>
      <c r="AJ51" s="202"/>
      <c r="AK51" s="203"/>
    </row>
    <row r="52" spans="1:37" s="193" customFormat="1" ht="10.5" customHeight="1">
      <c r="A52" s="188"/>
      <c r="B52" s="539">
        <f>AA_059_DATOS_FIADORES_NOMBRE_DEL_FIADOR_SOLIDARIO_TRES</f>
        <v>0</v>
      </c>
      <c r="C52" s="723"/>
      <c r="D52" s="723"/>
      <c r="E52" s="723"/>
      <c r="F52" s="723"/>
      <c r="G52" s="723"/>
      <c r="H52" s="723"/>
      <c r="I52" s="723"/>
      <c r="J52" s="723"/>
      <c r="K52" s="723"/>
      <c r="L52" s="723"/>
      <c r="M52" s="723"/>
      <c r="N52" s="723"/>
      <c r="O52" s="723"/>
      <c r="P52" s="723"/>
      <c r="Q52" s="723"/>
      <c r="R52" s="723"/>
      <c r="S52" s="723"/>
      <c r="T52" s="723"/>
      <c r="U52" s="723"/>
      <c r="V52" s="723"/>
      <c r="W52" s="723"/>
      <c r="X52" s="723"/>
      <c r="Y52" s="723"/>
      <c r="Z52" s="723"/>
      <c r="AA52" s="723"/>
      <c r="AB52" s="723"/>
      <c r="AC52" s="723"/>
      <c r="AD52" s="723"/>
      <c r="AE52" s="723"/>
      <c r="AF52" s="724"/>
      <c r="AG52" s="539">
        <f>AA_060_DATOS_FIADORES_RFC</f>
        <v>0</v>
      </c>
      <c r="AH52" s="723"/>
      <c r="AI52" s="723"/>
      <c r="AJ52" s="723"/>
      <c r="AK52" s="724"/>
    </row>
    <row r="53" spans="1:37" s="193" customFormat="1" ht="10.5" customHeight="1">
      <c r="A53" s="188"/>
      <c r="B53" s="201" t="s">
        <v>143</v>
      </c>
      <c r="C53" s="202"/>
      <c r="D53" s="202"/>
      <c r="E53" s="202" t="s">
        <v>144</v>
      </c>
      <c r="F53" s="202"/>
      <c r="G53" s="202"/>
      <c r="H53" s="202"/>
      <c r="I53" s="202"/>
      <c r="J53" s="202"/>
      <c r="K53" s="202"/>
      <c r="L53" s="202"/>
      <c r="M53" s="202"/>
      <c r="N53" s="202"/>
      <c r="O53" s="202"/>
      <c r="P53" s="202"/>
      <c r="Q53" s="202"/>
      <c r="R53" s="202"/>
      <c r="S53" s="202"/>
      <c r="T53" s="202"/>
      <c r="U53" s="201" t="s">
        <v>145</v>
      </c>
      <c r="V53" s="202"/>
      <c r="W53" s="202"/>
      <c r="X53" s="202"/>
      <c r="Y53" s="202"/>
      <c r="Z53" s="202"/>
      <c r="AA53" s="202"/>
      <c r="AB53" s="202"/>
      <c r="AC53" s="202"/>
      <c r="AD53" s="202"/>
      <c r="AE53" s="202"/>
      <c r="AF53" s="202"/>
      <c r="AG53" s="202"/>
      <c r="AH53" s="202"/>
      <c r="AI53" s="202"/>
      <c r="AJ53" s="202"/>
      <c r="AK53" s="203"/>
    </row>
    <row r="54" spans="1:37" s="193" customFormat="1" ht="10.5" customHeight="1">
      <c r="A54" s="188"/>
      <c r="B54" s="545">
        <f>AA_061_DATOS_FIADORES_DOMICILIO_CALLE_NÚMERO</f>
        <v>0</v>
      </c>
      <c r="C54" s="817"/>
      <c r="D54" s="817"/>
      <c r="E54" s="817"/>
      <c r="F54" s="817"/>
      <c r="G54" s="817"/>
      <c r="H54" s="817"/>
      <c r="I54" s="817"/>
      <c r="J54" s="817"/>
      <c r="K54" s="817"/>
      <c r="L54" s="817"/>
      <c r="M54" s="817"/>
      <c r="N54" s="817"/>
      <c r="O54" s="817"/>
      <c r="P54" s="817"/>
      <c r="Q54" s="817"/>
      <c r="R54" s="817"/>
      <c r="S54" s="817"/>
      <c r="T54" s="818"/>
      <c r="U54" s="545">
        <f>AA_062_DATOS_FIADORES_COLONIA</f>
        <v>0</v>
      </c>
      <c r="V54" s="817"/>
      <c r="W54" s="817"/>
      <c r="X54" s="817"/>
      <c r="Y54" s="817"/>
      <c r="Z54" s="817"/>
      <c r="AA54" s="817"/>
      <c r="AB54" s="817"/>
      <c r="AC54" s="817"/>
      <c r="AD54" s="817"/>
      <c r="AE54" s="817"/>
      <c r="AF54" s="817"/>
      <c r="AG54" s="817"/>
      <c r="AH54" s="817"/>
      <c r="AI54" s="817"/>
      <c r="AJ54" s="817"/>
      <c r="AK54" s="818"/>
    </row>
    <row r="55" spans="1:37" s="193" customFormat="1" ht="10.5" customHeight="1">
      <c r="A55" s="188"/>
      <c r="B55" s="244" t="s">
        <v>146</v>
      </c>
      <c r="C55" s="243"/>
      <c r="D55" s="243"/>
      <c r="E55" s="243"/>
      <c r="F55" s="243"/>
      <c r="G55" s="243"/>
      <c r="H55" s="243"/>
      <c r="I55" s="243"/>
      <c r="J55" s="245" t="s">
        <v>147</v>
      </c>
      <c r="K55" s="243"/>
      <c r="L55" s="243"/>
      <c r="M55" s="246"/>
      <c r="N55" s="246"/>
      <c r="O55" s="246"/>
      <c r="P55" s="243"/>
      <c r="Q55" s="245" t="s">
        <v>152</v>
      </c>
      <c r="R55" s="246"/>
      <c r="S55" s="243"/>
      <c r="T55" s="243"/>
      <c r="U55" s="246"/>
      <c r="V55" s="245" t="s">
        <v>153</v>
      </c>
      <c r="W55" s="243"/>
      <c r="X55" s="243"/>
      <c r="Y55" s="243"/>
      <c r="Z55" s="246"/>
      <c r="AA55" s="245" t="s">
        <v>154</v>
      </c>
      <c r="AB55" s="243"/>
      <c r="AC55" s="247"/>
      <c r="AD55" s="245" t="s">
        <v>155</v>
      </c>
      <c r="AE55" s="243"/>
      <c r="AF55" s="243"/>
      <c r="AG55" s="247"/>
      <c r="AH55" s="243" t="s">
        <v>156</v>
      </c>
      <c r="AI55" s="243"/>
      <c r="AJ55" s="243"/>
      <c r="AK55" s="248"/>
    </row>
    <row r="56" spans="1:37" s="193" customFormat="1" ht="10.5" customHeight="1">
      <c r="A56" s="188"/>
      <c r="B56" s="771">
        <f>AA_063_DATOS_FIADORES_POBLACIÓN</f>
        <v>0</v>
      </c>
      <c r="C56" s="817"/>
      <c r="D56" s="817"/>
      <c r="E56" s="817"/>
      <c r="F56" s="817"/>
      <c r="G56" s="817"/>
      <c r="H56" s="817"/>
      <c r="I56" s="818"/>
      <c r="J56" s="545">
        <f>AA_064_DATOS_FIADORES_ESTADO</f>
        <v>0</v>
      </c>
      <c r="K56" s="817"/>
      <c r="L56" s="817"/>
      <c r="M56" s="817"/>
      <c r="N56" s="817"/>
      <c r="O56" s="817"/>
      <c r="P56" s="818"/>
      <c r="Q56" s="545">
        <f>AA_065_DATOS_FIADORES_NACIONALIDAD</f>
        <v>0</v>
      </c>
      <c r="R56" s="817"/>
      <c r="S56" s="817"/>
      <c r="T56" s="817"/>
      <c r="U56" s="818"/>
      <c r="V56" s="545">
        <f>AA_066_DATOS_FIADORES_ORIGINARIO</f>
        <v>0</v>
      </c>
      <c r="W56" s="817"/>
      <c r="X56" s="817"/>
      <c r="Y56" s="817"/>
      <c r="Z56" s="818"/>
      <c r="AA56" s="857">
        <f>AA_067_DATOS_FIADORES_EDAD</f>
        <v>0</v>
      </c>
      <c r="AB56" s="574"/>
      <c r="AC56" s="775"/>
      <c r="AD56" s="545">
        <f>AA_068_DATOS_FIADORES_ESTADO_CIVIL</f>
        <v>0</v>
      </c>
      <c r="AE56" s="817"/>
      <c r="AF56" s="817"/>
      <c r="AG56" s="818"/>
      <c r="AH56" s="545">
        <f>AA_069_DATOS_FIADORES_TELEFONO</f>
        <v>0</v>
      </c>
      <c r="AI56" s="546"/>
      <c r="AJ56" s="546"/>
      <c r="AK56" s="642"/>
    </row>
    <row r="57" spans="1:37" s="199" customFormat="1" ht="2.25" customHeight="1">
      <c r="B57" s="182"/>
      <c r="C57" s="182"/>
      <c r="D57" s="182"/>
      <c r="E57" s="182"/>
      <c r="F57" s="182"/>
      <c r="G57" s="182"/>
      <c r="H57" s="182"/>
      <c r="I57" s="182"/>
      <c r="J57" s="182"/>
      <c r="K57" s="182"/>
      <c r="L57" s="182"/>
      <c r="M57" s="182"/>
      <c r="N57" s="182"/>
      <c r="O57" s="182"/>
      <c r="P57" s="182"/>
      <c r="Q57" s="182"/>
      <c r="R57" s="182"/>
      <c r="S57" s="182"/>
      <c r="T57" s="182"/>
      <c r="U57" s="182"/>
      <c r="V57" s="182"/>
      <c r="W57" s="182"/>
      <c r="X57" s="182"/>
      <c r="Y57" s="182"/>
      <c r="Z57" s="182"/>
      <c r="AA57" s="182"/>
      <c r="AB57" s="182"/>
      <c r="AC57" s="182"/>
      <c r="AD57" s="182"/>
      <c r="AE57" s="182"/>
      <c r="AF57" s="182"/>
      <c r="AG57" s="182"/>
      <c r="AH57" s="182"/>
      <c r="AI57" s="182"/>
      <c r="AJ57" s="182"/>
      <c r="AK57" s="182"/>
    </row>
    <row r="58" spans="1:37" s="199" customFormat="1" ht="9.6">
      <c r="B58" s="200" t="s">
        <v>161</v>
      </c>
      <c r="C58" s="182"/>
      <c r="D58" s="182"/>
      <c r="E58" s="182"/>
      <c r="F58" s="182"/>
      <c r="G58" s="182"/>
      <c r="H58" s="182"/>
      <c r="I58" s="182"/>
      <c r="J58" s="182"/>
      <c r="K58" s="182"/>
      <c r="L58" s="182"/>
      <c r="M58" s="182"/>
      <c r="N58" s="182"/>
      <c r="O58" s="182"/>
      <c r="P58" s="182"/>
      <c r="Q58" s="182"/>
      <c r="R58" s="182"/>
      <c r="S58" s="182"/>
      <c r="T58" s="182"/>
      <c r="U58" s="182"/>
      <c r="V58" s="182"/>
      <c r="W58" s="182"/>
      <c r="X58" s="182"/>
      <c r="Y58" s="182"/>
      <c r="Z58" s="182"/>
      <c r="AA58" s="182"/>
      <c r="AB58" s="182"/>
      <c r="AC58" s="182"/>
      <c r="AD58" s="182"/>
      <c r="AE58" s="182"/>
      <c r="AF58" s="182"/>
      <c r="AG58" s="182"/>
      <c r="AH58" s="182"/>
      <c r="AI58" s="182"/>
      <c r="AJ58" s="182"/>
      <c r="AK58" s="182"/>
    </row>
    <row r="59" spans="1:37" s="193" customFormat="1" ht="10.5" customHeight="1">
      <c r="A59" s="188"/>
      <c r="B59" s="201" t="str">
        <f>B31</f>
        <v>NOMBRE  (Nombre(s) Apellidos Paterno y Materno)</v>
      </c>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202"/>
      <c r="AF59" s="202"/>
      <c r="AG59" s="202"/>
      <c r="AH59" s="202"/>
      <c r="AI59" s="202"/>
      <c r="AJ59" s="202"/>
      <c r="AK59" s="203"/>
    </row>
    <row r="60" spans="1:37" s="193" customFormat="1" ht="10.5" customHeight="1">
      <c r="A60" s="188"/>
      <c r="B60" s="539">
        <f>AA_070_DATOS_APODERADOS_FIADOR_NOMBRE_APODERADO_DEL_FIADOR_SOLIDARIO_UNO</f>
        <v>0</v>
      </c>
      <c r="C60" s="540"/>
      <c r="D60" s="540"/>
      <c r="E60" s="540"/>
      <c r="F60" s="540"/>
      <c r="G60" s="540"/>
      <c r="H60" s="540"/>
      <c r="I60" s="540"/>
      <c r="J60" s="540"/>
      <c r="K60" s="540"/>
      <c r="L60" s="540"/>
      <c r="M60" s="540"/>
      <c r="N60" s="540"/>
      <c r="O60" s="540"/>
      <c r="P60" s="540"/>
      <c r="Q60" s="540"/>
      <c r="R60" s="540"/>
      <c r="S60" s="540"/>
      <c r="T60" s="540"/>
      <c r="U60" s="540"/>
      <c r="V60" s="540"/>
      <c r="W60" s="540"/>
      <c r="X60" s="540"/>
      <c r="Y60" s="540"/>
      <c r="Z60" s="540"/>
      <c r="AA60" s="540"/>
      <c r="AB60" s="540"/>
      <c r="AC60" s="540"/>
      <c r="AD60" s="540"/>
      <c r="AE60" s="540"/>
      <c r="AF60" s="540"/>
      <c r="AG60" s="540"/>
      <c r="AH60" s="540"/>
      <c r="AI60" s="540"/>
      <c r="AJ60" s="540"/>
      <c r="AK60" s="541"/>
    </row>
    <row r="61" spans="1:37" s="193" customFormat="1" ht="10.5" customHeight="1">
      <c r="A61" s="188"/>
      <c r="B61" s="201" t="str">
        <f>B33</f>
        <v>NOMBRE  (Nombre(s) Apellidos Paterno y Materno)</v>
      </c>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3"/>
    </row>
    <row r="62" spans="1:37" s="193" customFormat="1" ht="10.5" customHeight="1">
      <c r="A62" s="188"/>
      <c r="B62" s="539">
        <f>AA_071_DATOS_APODERADOS_FIADOR_NOMBRE_APODERADO_DEL_FIADOR_SOLIDARIO_DOS</f>
        <v>0</v>
      </c>
      <c r="C62" s="723"/>
      <c r="D62" s="723"/>
      <c r="E62" s="723"/>
      <c r="F62" s="723"/>
      <c r="G62" s="723"/>
      <c r="H62" s="723"/>
      <c r="I62" s="723"/>
      <c r="J62" s="723"/>
      <c r="K62" s="723"/>
      <c r="L62" s="723"/>
      <c r="M62" s="723"/>
      <c r="N62" s="723"/>
      <c r="O62" s="723"/>
      <c r="P62" s="723"/>
      <c r="Q62" s="723"/>
      <c r="R62" s="723"/>
      <c r="S62" s="723"/>
      <c r="T62" s="723"/>
      <c r="U62" s="723"/>
      <c r="V62" s="723"/>
      <c r="W62" s="723"/>
      <c r="X62" s="723"/>
      <c r="Y62" s="723"/>
      <c r="Z62" s="723"/>
      <c r="AA62" s="723"/>
      <c r="AB62" s="723"/>
      <c r="AC62" s="723"/>
      <c r="AD62" s="723"/>
      <c r="AE62" s="723"/>
      <c r="AF62" s="723"/>
      <c r="AG62" s="723"/>
      <c r="AH62" s="723"/>
      <c r="AI62" s="723"/>
      <c r="AJ62" s="723"/>
      <c r="AK62" s="724"/>
    </row>
    <row r="63" spans="1:37" s="193" customFormat="1" ht="10.5" customHeight="1">
      <c r="A63" s="188"/>
      <c r="B63" s="201" t="str">
        <f>B59</f>
        <v>NOMBRE  (Nombre(s) Apellidos Paterno y Materno)</v>
      </c>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3"/>
    </row>
    <row r="64" spans="1:37" s="193" customFormat="1" ht="10.5" customHeight="1">
      <c r="A64" s="188"/>
      <c r="B64" s="539">
        <f>AA_072_DATOS_APODERADOS_FIADOR_NOMBRE_APODERADO_DEL_FIADOR_SOLIDARIO_TRES</f>
        <v>0</v>
      </c>
      <c r="C64" s="723"/>
      <c r="D64" s="723"/>
      <c r="E64" s="723"/>
      <c r="F64" s="723"/>
      <c r="G64" s="723"/>
      <c r="H64" s="723"/>
      <c r="I64" s="723"/>
      <c r="J64" s="723"/>
      <c r="K64" s="723"/>
      <c r="L64" s="723"/>
      <c r="M64" s="723"/>
      <c r="N64" s="723"/>
      <c r="O64" s="723"/>
      <c r="P64" s="723"/>
      <c r="Q64" s="723"/>
      <c r="R64" s="723"/>
      <c r="S64" s="723"/>
      <c r="T64" s="723"/>
      <c r="U64" s="723"/>
      <c r="V64" s="723"/>
      <c r="W64" s="723"/>
      <c r="X64" s="723"/>
      <c r="Y64" s="723"/>
      <c r="Z64" s="723"/>
      <c r="AA64" s="723"/>
      <c r="AB64" s="723"/>
      <c r="AC64" s="723"/>
      <c r="AD64" s="723"/>
      <c r="AE64" s="723"/>
      <c r="AF64" s="723"/>
      <c r="AG64" s="723"/>
      <c r="AH64" s="723"/>
      <c r="AI64" s="723"/>
      <c r="AJ64" s="723"/>
      <c r="AK64" s="724"/>
    </row>
    <row r="65" spans="2:38" s="199" customFormat="1" ht="2.25" customHeight="1">
      <c r="B65" s="182"/>
      <c r="C65" s="182"/>
      <c r="D65" s="182"/>
      <c r="E65" s="182"/>
      <c r="F65" s="182"/>
      <c r="G65" s="182"/>
      <c r="H65" s="182"/>
      <c r="I65" s="182"/>
      <c r="J65" s="182"/>
      <c r="K65" s="182"/>
      <c r="L65" s="182"/>
      <c r="M65" s="182"/>
      <c r="N65" s="182"/>
      <c r="O65" s="182"/>
      <c r="P65" s="182"/>
      <c r="Q65" s="182"/>
      <c r="R65" s="182"/>
      <c r="S65" s="182"/>
      <c r="T65" s="182"/>
      <c r="U65" s="182"/>
      <c r="V65" s="182"/>
      <c r="W65" s="182"/>
      <c r="X65" s="182"/>
      <c r="Y65" s="182"/>
      <c r="Z65" s="182"/>
      <c r="AA65" s="182"/>
      <c r="AB65" s="182"/>
      <c r="AC65" s="182"/>
      <c r="AD65" s="182"/>
      <c r="AE65" s="182"/>
      <c r="AF65" s="182"/>
      <c r="AG65" s="182"/>
      <c r="AH65" s="182"/>
      <c r="AI65" s="182"/>
      <c r="AJ65" s="182"/>
      <c r="AK65" s="182"/>
    </row>
    <row r="66" spans="2:38" s="199" customFormat="1" ht="9.6">
      <c r="B66" s="200" t="s">
        <v>162</v>
      </c>
      <c r="C66" s="182"/>
      <c r="D66" s="182"/>
      <c r="E66" s="182"/>
      <c r="F66" s="182"/>
      <c r="G66" s="182"/>
      <c r="H66" s="182"/>
      <c r="I66" s="182"/>
      <c r="J66" s="182"/>
      <c r="K66" s="182"/>
      <c r="L66" s="182"/>
      <c r="M66" s="182"/>
      <c r="N66" s="182"/>
      <c r="O66" s="182"/>
      <c r="P66" s="182"/>
      <c r="Q66" s="182"/>
      <c r="R66" s="182"/>
      <c r="S66" s="182"/>
      <c r="T66" s="182"/>
      <c r="U66" s="182"/>
      <c r="V66" s="182"/>
      <c r="W66" s="182"/>
      <c r="X66" s="182"/>
      <c r="Y66" s="182"/>
      <c r="Z66" s="182"/>
      <c r="AA66" s="182"/>
      <c r="AB66" s="182"/>
      <c r="AC66" s="182"/>
      <c r="AD66" s="182"/>
      <c r="AE66" s="182"/>
      <c r="AF66" s="182"/>
      <c r="AG66" s="182"/>
      <c r="AH66" s="182"/>
      <c r="AI66" s="182"/>
      <c r="AJ66" s="182"/>
      <c r="AK66" s="182"/>
    </row>
    <row r="67" spans="2:38" s="193" customFormat="1" ht="10.5" customHeight="1">
      <c r="B67" s="201" t="s">
        <v>163</v>
      </c>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202"/>
      <c r="AF67" s="202"/>
      <c r="AG67" s="202"/>
      <c r="AH67" s="202"/>
      <c r="AI67" s="202"/>
      <c r="AJ67" s="202"/>
      <c r="AK67" s="214"/>
    </row>
    <row r="68" spans="2:38" s="216" customFormat="1" ht="10.5" customHeight="1">
      <c r="B68" s="679">
        <f>AA_073_CARACTERISTICAS_CREDITO_IMPORTE_NÚMERO_LETRA</f>
        <v>1000000</v>
      </c>
      <c r="C68" s="680"/>
      <c r="D68" s="680"/>
      <c r="E68" s="680"/>
      <c r="F68" s="680"/>
      <c r="G68" s="680"/>
      <c r="H68" s="680"/>
      <c r="I68" s="680"/>
      <c r="J68" s="680"/>
      <c r="K68" s="680"/>
      <c r="L68" s="680"/>
      <c r="M68" s="681" t="str">
        <f>AA_106_CARACTERISTICAS_CREDITO_IMPORTE_NÚMERO_LETRA</f>
        <v>(UN MILLON DE PESOS 00/100 M.N.)</v>
      </c>
      <c r="N68" s="681"/>
      <c r="O68" s="681"/>
      <c r="P68" s="681"/>
      <c r="Q68" s="681"/>
      <c r="R68" s="681"/>
      <c r="S68" s="681"/>
      <c r="T68" s="681"/>
      <c r="U68" s="681"/>
      <c r="V68" s="681"/>
      <c r="W68" s="681"/>
      <c r="X68" s="681"/>
      <c r="Y68" s="681"/>
      <c r="Z68" s="681"/>
      <c r="AA68" s="681"/>
      <c r="AB68" s="681"/>
      <c r="AC68" s="681"/>
      <c r="AD68" s="681"/>
      <c r="AE68" s="681"/>
      <c r="AF68" s="681"/>
      <c r="AG68" s="681"/>
      <c r="AH68" s="681"/>
      <c r="AI68" s="681"/>
      <c r="AJ68" s="681"/>
      <c r="AK68" s="682"/>
    </row>
    <row r="69" spans="2:38" s="193" customFormat="1" ht="10.5" customHeight="1">
      <c r="B69" s="683" t="s">
        <v>164</v>
      </c>
      <c r="C69" s="684"/>
      <c r="D69" s="684"/>
      <c r="E69" s="684"/>
      <c r="F69" s="684"/>
      <c r="G69" s="684"/>
      <c r="H69" s="684"/>
      <c r="I69" s="685"/>
      <c r="J69" s="683" t="s">
        <v>165</v>
      </c>
      <c r="K69" s="684"/>
      <c r="L69" s="684"/>
      <c r="M69" s="684"/>
      <c r="N69" s="684"/>
      <c r="O69" s="684"/>
      <c r="P69" s="685"/>
      <c r="Q69" s="872" t="s">
        <v>166</v>
      </c>
      <c r="R69" s="873"/>
      <c r="S69" s="873"/>
      <c r="T69" s="873"/>
      <c r="U69" s="873"/>
      <c r="V69" s="873"/>
      <c r="W69" s="874"/>
      <c r="X69" s="872" t="s">
        <v>167</v>
      </c>
      <c r="Y69" s="873"/>
      <c r="Z69" s="873"/>
      <c r="AA69" s="873"/>
      <c r="AB69" s="873"/>
      <c r="AC69" s="873"/>
      <c r="AD69" s="873"/>
      <c r="AE69" s="873"/>
      <c r="AF69" s="874"/>
      <c r="AG69" s="683" t="s">
        <v>168</v>
      </c>
      <c r="AH69" s="684"/>
      <c r="AI69" s="684"/>
      <c r="AJ69" s="684"/>
      <c r="AK69" s="685"/>
    </row>
    <row r="70" spans="2:38" s="193" customFormat="1" ht="10.5" customHeight="1">
      <c r="B70" s="268"/>
      <c r="C70" s="195"/>
      <c r="D70" s="195"/>
      <c r="E70" s="195"/>
      <c r="F70" s="195"/>
      <c r="G70" s="249"/>
      <c r="H70" s="249"/>
      <c r="I70" s="286"/>
      <c r="J70" s="754" t="s">
        <v>169</v>
      </c>
      <c r="K70" s="749"/>
      <c r="L70" s="749"/>
      <c r="M70" s="749"/>
      <c r="N70" s="749"/>
      <c r="O70" s="749"/>
      <c r="P70" s="875"/>
      <c r="Q70" s="852"/>
      <c r="R70" s="853"/>
      <c r="S70" s="853"/>
      <c r="T70" s="853"/>
      <c r="U70" s="287"/>
      <c r="V70" s="287"/>
      <c r="W70" s="288"/>
      <c r="X70" s="289"/>
      <c r="Y70" s="287"/>
      <c r="Z70" s="188"/>
      <c r="AA70" s="249"/>
      <c r="AB70" s="249"/>
      <c r="AC70" s="249"/>
      <c r="AD70" s="249"/>
      <c r="AE70" s="249"/>
      <c r="AF70" s="286"/>
      <c r="AG70" s="249"/>
      <c r="AH70" s="249"/>
      <c r="AI70" s="250"/>
      <c r="AJ70" s="188"/>
      <c r="AK70" s="290"/>
    </row>
    <row r="71" spans="2:38" s="193" customFormat="1" ht="10.5" customHeight="1">
      <c r="B71" s="868">
        <f>AA_074_CARACTERISTICAS_CREDITO_PLAZO_DEL_CRÉDITO_MESES</f>
        <v>60</v>
      </c>
      <c r="C71" s="869"/>
      <c r="D71" s="869"/>
      <c r="E71" s="869"/>
      <c r="F71" s="869"/>
      <c r="G71" s="866" t="s">
        <v>170</v>
      </c>
      <c r="H71" s="866"/>
      <c r="I71" s="867"/>
      <c r="J71" s="870">
        <f>AA_075_CARACTERISTICAS_CREDITO_FECHA_DE_VENCIMIENTO</f>
        <v>42614</v>
      </c>
      <c r="K71" s="574"/>
      <c r="L71" s="574"/>
      <c r="M71" s="574"/>
      <c r="N71" s="574"/>
      <c r="O71" s="574"/>
      <c r="P71" s="851"/>
      <c r="Q71" s="871" t="str">
        <f>AA_076_CARACTERISTICAS_CREDITO_CUENTA_DE_CHEQUES</f>
        <v>161-25351-5</v>
      </c>
      <c r="R71" s="716"/>
      <c r="S71" s="716"/>
      <c r="T71" s="716"/>
      <c r="U71" s="716"/>
      <c r="V71" s="716"/>
      <c r="W71" s="717"/>
      <c r="X71" s="779">
        <f>IF(AA_077_CARACTERISTICAS_CREDITO_COMISIÓN_POR_APERTURA=0,"0",AA_077_CARACTERISTICAS_CREDITO_COMISIÓN_POR_APERTURA)</f>
        <v>0.02</v>
      </c>
      <c r="Y71" s="659"/>
      <c r="Z71" s="659"/>
      <c r="AA71" s="659"/>
      <c r="AB71" s="659"/>
      <c r="AC71" s="659"/>
      <c r="AD71" s="659"/>
      <c r="AE71" s="659"/>
      <c r="AF71" s="660"/>
      <c r="AG71" s="645">
        <f>AA_078_CARACTERISTICAS_CREDITO_CAT_SIN_IVA</f>
        <v>0.17247098775006298</v>
      </c>
      <c r="AH71" s="646"/>
      <c r="AI71" s="646"/>
      <c r="AJ71" s="546" t="s">
        <v>96</v>
      </c>
      <c r="AK71" s="547"/>
    </row>
    <row r="72" spans="2:38" s="193" customFormat="1" ht="10.5" customHeight="1">
      <c r="B72" s="683" t="s">
        <v>341</v>
      </c>
      <c r="C72" s="684"/>
      <c r="D72" s="684"/>
      <c r="E72" s="684"/>
      <c r="F72" s="684"/>
      <c r="G72" s="684"/>
      <c r="H72" s="684"/>
      <c r="I72" s="684"/>
      <c r="J72" s="685"/>
      <c r="K72" s="292"/>
      <c r="L72" s="293" t="s">
        <v>289</v>
      </c>
      <c r="M72" s="293"/>
      <c r="N72" s="293"/>
      <c r="O72" s="293"/>
      <c r="P72" s="293"/>
      <c r="Q72" s="293"/>
      <c r="R72" s="293"/>
      <c r="S72" s="293"/>
      <c r="T72" s="293"/>
      <c r="U72" s="293"/>
      <c r="V72" s="294"/>
      <c r="W72" s="571" t="s">
        <v>174</v>
      </c>
      <c r="X72" s="572"/>
      <c r="Y72" s="572"/>
      <c r="Z72" s="572"/>
      <c r="AA72" s="572"/>
      <c r="AB72" s="572"/>
      <c r="AC72" s="572"/>
      <c r="AD72" s="572"/>
      <c r="AE72" s="572"/>
      <c r="AF72" s="572"/>
      <c r="AG72" s="572"/>
      <c r="AH72" s="572"/>
      <c r="AI72" s="572"/>
      <c r="AJ72" s="572"/>
      <c r="AK72" s="676"/>
    </row>
    <row r="73" spans="2:38" s="193" customFormat="1" ht="10.5" customHeight="1">
      <c r="B73" s="295"/>
      <c r="C73" s="249"/>
      <c r="D73" s="249"/>
      <c r="E73" s="249"/>
      <c r="F73" s="249"/>
      <c r="G73" s="249"/>
      <c r="H73" s="249"/>
      <c r="I73" s="249"/>
      <c r="J73" s="286"/>
      <c r="K73" s="295"/>
      <c r="L73" s="249"/>
      <c r="M73" s="249"/>
      <c r="N73" s="249"/>
      <c r="O73" s="249"/>
      <c r="P73" s="249"/>
      <c r="Q73" s="249"/>
      <c r="R73" s="249"/>
      <c r="S73" s="249"/>
      <c r="T73" s="249"/>
      <c r="U73" s="249"/>
      <c r="V73" s="286"/>
      <c r="W73" s="249"/>
      <c r="X73" s="249"/>
      <c r="Y73" s="249"/>
      <c r="Z73" s="249"/>
      <c r="AA73" s="249"/>
      <c r="AB73" s="749"/>
      <c r="AC73" s="749"/>
      <c r="AD73" s="749"/>
      <c r="AE73" s="749"/>
      <c r="AF73" s="749"/>
      <c r="AG73" s="749"/>
      <c r="AH73" s="249"/>
      <c r="AI73" s="249"/>
      <c r="AJ73" s="249"/>
      <c r="AK73" s="286"/>
    </row>
    <row r="74" spans="2:38" s="193" customFormat="1" ht="10.5" customHeight="1">
      <c r="B74" s="863">
        <f>IF(AA_084_CARACTERISTICAS_CREDITO_PORCENTAJE_DE_COMISIÓN_POR_PAGOS_ANTICIPADOS=0,"0.00%",AA_084_CARACTERISTICAS_CREDITO_PORCENTAJE_DE_COMISIÓN_POR_PAGOS_ANTICIPADOS)</f>
        <v>0.1</v>
      </c>
      <c r="C74" s="864"/>
      <c r="D74" s="864"/>
      <c r="E74" s="864"/>
      <c r="F74" s="864"/>
      <c r="G74" s="864"/>
      <c r="H74" s="864"/>
      <c r="I74" s="864"/>
      <c r="J74" s="865"/>
      <c r="K74" s="856" t="str">
        <f>IF(Combos!$C$22=1,"",IF(AA_080_CARACTERISTICAS_CREDITO_DIFERENCIAL_TASA_VARIABLE_TIIE=0,"0",AA_080_CARACTERISTICAS_CREDITO_DIFERENCIAL_TASA_VARIABLE_TIIE))</f>
        <v/>
      </c>
      <c r="L74" s="854"/>
      <c r="M74" s="854"/>
      <c r="N74" s="854"/>
      <c r="O74" s="854"/>
      <c r="P74" s="854" t="s">
        <v>354</v>
      </c>
      <c r="Q74" s="854"/>
      <c r="R74" s="854"/>
      <c r="S74" s="854"/>
      <c r="T74" s="854"/>
      <c r="U74" s="854"/>
      <c r="V74" s="855"/>
      <c r="W74" s="291"/>
      <c r="X74" s="291"/>
      <c r="Y74" s="291"/>
      <c r="Z74" s="291"/>
      <c r="AA74" s="291"/>
      <c r="AB74" s="291"/>
      <c r="AC74" s="854" t="s">
        <v>296</v>
      </c>
      <c r="AD74" s="854"/>
      <c r="AE74" s="854"/>
      <c r="AF74" s="854"/>
      <c r="AG74" s="291"/>
      <c r="AH74" s="291"/>
      <c r="AI74" s="291"/>
      <c r="AJ74" s="291"/>
      <c r="AK74" s="296"/>
    </row>
    <row r="75" spans="2:38" s="199" customFormat="1" ht="2.25" customHeight="1">
      <c r="B75" s="182"/>
      <c r="C75" s="182"/>
      <c r="D75" s="182"/>
      <c r="E75" s="182"/>
      <c r="F75" s="182"/>
      <c r="G75" s="182"/>
      <c r="H75" s="182"/>
      <c r="I75" s="182"/>
      <c r="J75" s="182"/>
      <c r="K75" s="182"/>
      <c r="L75" s="182"/>
      <c r="M75" s="182"/>
      <c r="N75" s="182"/>
      <c r="O75" s="182"/>
      <c r="P75" s="182"/>
      <c r="Q75" s="182"/>
      <c r="R75" s="182"/>
      <c r="S75" s="182"/>
      <c r="T75" s="182"/>
      <c r="U75" s="182"/>
      <c r="V75" s="182"/>
      <c r="W75" s="182"/>
      <c r="X75" s="182"/>
      <c r="Y75" s="182"/>
      <c r="Z75" s="182"/>
      <c r="AA75" s="182"/>
      <c r="AB75" s="182"/>
      <c r="AI75" s="182"/>
      <c r="AJ75" s="182"/>
      <c r="AK75" s="182"/>
    </row>
    <row r="76" spans="2:38" s="199" customFormat="1" ht="9.6">
      <c r="B76" s="200" t="s">
        <v>177</v>
      </c>
      <c r="C76" s="182"/>
      <c r="D76" s="182"/>
      <c r="E76" s="182"/>
      <c r="F76" s="182"/>
      <c r="G76" s="182"/>
      <c r="H76" s="182"/>
      <c r="I76" s="182"/>
      <c r="J76" s="182"/>
      <c r="K76" s="182"/>
      <c r="L76" s="182"/>
      <c r="M76" s="182"/>
      <c r="N76" s="182"/>
      <c r="O76" s="182"/>
      <c r="P76" s="182"/>
      <c r="Q76" s="182"/>
      <c r="R76" s="182"/>
      <c r="S76" s="182"/>
      <c r="T76" s="182"/>
      <c r="U76" s="182"/>
      <c r="V76" s="182"/>
      <c r="W76" s="182"/>
      <c r="X76" s="182"/>
      <c r="Y76" s="182"/>
      <c r="Z76" s="182"/>
      <c r="AA76" s="182"/>
      <c r="AB76" s="182"/>
      <c r="AC76" s="182"/>
      <c r="AD76" s="182"/>
      <c r="AE76" s="182"/>
      <c r="AF76" s="182"/>
      <c r="AG76" s="182"/>
      <c r="AH76" s="182"/>
      <c r="AI76" s="182"/>
      <c r="AJ76" s="182"/>
      <c r="AK76" s="182"/>
    </row>
    <row r="77" spans="2:38" s="199" customFormat="1" ht="15.75" customHeight="1">
      <c r="B77" s="674" t="s">
        <v>297</v>
      </c>
      <c r="C77" s="675"/>
      <c r="D77" s="675"/>
      <c r="E77" s="675"/>
      <c r="F77" s="675"/>
      <c r="G77" s="675"/>
      <c r="H77" s="675"/>
      <c r="I77" s="675"/>
      <c r="J77" s="675"/>
      <c r="K77" s="675"/>
      <c r="L77" s="675"/>
      <c r="M77" s="675"/>
      <c r="N77" s="675"/>
      <c r="O77" s="675"/>
      <c r="P77" s="675"/>
      <c r="Q77" s="675"/>
      <c r="R77" s="675"/>
      <c r="S77" s="675"/>
      <c r="T77" s="675"/>
      <c r="U77" s="675"/>
      <c r="V77" s="675"/>
      <c r="W77" s="675"/>
      <c r="X77" s="675"/>
      <c r="Y77" s="675"/>
      <c r="Z77" s="675"/>
      <c r="AA77" s="675"/>
      <c r="AB77" s="675"/>
      <c r="AC77" s="675"/>
      <c r="AD77" s="675"/>
      <c r="AE77" s="675"/>
      <c r="AF77" s="675"/>
      <c r="AG77" s="675"/>
      <c r="AH77" s="675"/>
      <c r="AI77" s="675"/>
      <c r="AJ77" s="675"/>
      <c r="AK77" s="675"/>
    </row>
    <row r="78" spans="2:38" s="199" customFormat="1" ht="9.6">
      <c r="B78" s="675"/>
      <c r="C78" s="675"/>
      <c r="D78" s="675"/>
      <c r="E78" s="675"/>
      <c r="F78" s="675"/>
      <c r="G78" s="675"/>
      <c r="H78" s="675"/>
      <c r="I78" s="675"/>
      <c r="J78" s="675"/>
      <c r="K78" s="675"/>
      <c r="L78" s="675"/>
      <c r="M78" s="675"/>
      <c r="N78" s="675"/>
      <c r="O78" s="675"/>
      <c r="P78" s="675"/>
      <c r="Q78" s="675"/>
      <c r="R78" s="675"/>
      <c r="S78" s="675"/>
      <c r="T78" s="675"/>
      <c r="U78" s="675"/>
      <c r="V78" s="675"/>
      <c r="W78" s="675"/>
      <c r="X78" s="675"/>
      <c r="Y78" s="675"/>
      <c r="Z78" s="675"/>
      <c r="AA78" s="675"/>
      <c r="AB78" s="675"/>
      <c r="AC78" s="675"/>
      <c r="AD78" s="675"/>
      <c r="AE78" s="675"/>
      <c r="AF78" s="675"/>
      <c r="AG78" s="675"/>
      <c r="AH78" s="675"/>
      <c r="AI78" s="675"/>
      <c r="AJ78" s="675"/>
      <c r="AK78" s="675"/>
    </row>
    <row r="79" spans="2:38" s="193" customFormat="1" ht="10.5" customHeight="1">
      <c r="B79" s="718" t="s">
        <v>179</v>
      </c>
      <c r="C79" s="719"/>
      <c r="D79" s="719"/>
      <c r="E79" s="719"/>
      <c r="F79" s="719"/>
      <c r="G79" s="719"/>
      <c r="H79" s="719"/>
      <c r="I79" s="719"/>
      <c r="J79" s="719"/>
      <c r="K79" s="719"/>
      <c r="L79" s="719"/>
      <c r="M79" s="719"/>
      <c r="N79" s="719"/>
      <c r="O79" s="719"/>
      <c r="P79" s="719"/>
      <c r="Q79" s="720" t="s">
        <v>180</v>
      </c>
      <c r="R79" s="721"/>
      <c r="S79" s="721"/>
      <c r="T79" s="721"/>
      <c r="U79" s="721"/>
      <c r="V79" s="722"/>
      <c r="W79" s="720" t="s">
        <v>180</v>
      </c>
      <c r="X79" s="721"/>
      <c r="Y79" s="721"/>
      <c r="Z79" s="721"/>
      <c r="AA79" s="721"/>
      <c r="AB79" s="722"/>
      <c r="AC79" s="720" t="s">
        <v>181</v>
      </c>
      <c r="AD79" s="721"/>
      <c r="AE79" s="722"/>
      <c r="AF79" s="720" t="s">
        <v>181</v>
      </c>
      <c r="AG79" s="721"/>
      <c r="AH79" s="722"/>
      <c r="AI79" s="721" t="s">
        <v>181</v>
      </c>
      <c r="AJ79" s="721"/>
      <c r="AK79" s="722"/>
      <c r="AL79" s="215"/>
    </row>
    <row r="80" spans="2:38" s="193" customFormat="1" ht="12.75" customHeight="1">
      <c r="B80" s="706">
        <f>AA_089_DATOS_APODERADOS_BANCO_NOMBRE_APODERADO_DEL_BANCO_UNO</f>
        <v>0</v>
      </c>
      <c r="C80" s="707"/>
      <c r="D80" s="707"/>
      <c r="E80" s="707"/>
      <c r="F80" s="707"/>
      <c r="G80" s="707"/>
      <c r="H80" s="707"/>
      <c r="I80" s="707"/>
      <c r="J80" s="707"/>
      <c r="K80" s="707"/>
      <c r="L80" s="707"/>
      <c r="M80" s="707"/>
      <c r="N80" s="707"/>
      <c r="O80" s="707"/>
      <c r="P80" s="708"/>
      <c r="Q80" s="253"/>
      <c r="R80" s="188"/>
      <c r="S80" s="188"/>
      <c r="T80" s="188"/>
      <c r="U80" s="188"/>
      <c r="V80" s="254"/>
      <c r="W80" s="253"/>
      <c r="X80" s="188"/>
      <c r="Y80" s="188"/>
      <c r="Z80" s="188"/>
      <c r="AA80" s="188"/>
      <c r="AB80" s="254"/>
      <c r="AC80" s="253"/>
      <c r="AD80" s="188"/>
      <c r="AE80" s="254"/>
      <c r="AF80" s="253"/>
      <c r="AG80" s="188"/>
      <c r="AH80" s="254"/>
      <c r="AI80" s="188"/>
      <c r="AJ80" s="188"/>
      <c r="AK80" s="254"/>
      <c r="AL80" s="218"/>
    </row>
    <row r="81" spans="2:38" s="193" customFormat="1" ht="12.75" customHeight="1">
      <c r="B81" s="709"/>
      <c r="C81" s="710"/>
      <c r="D81" s="710"/>
      <c r="E81" s="710"/>
      <c r="F81" s="710"/>
      <c r="G81" s="710"/>
      <c r="H81" s="710"/>
      <c r="I81" s="710"/>
      <c r="J81" s="710"/>
      <c r="K81" s="710"/>
      <c r="L81" s="710"/>
      <c r="M81" s="710"/>
      <c r="N81" s="710"/>
      <c r="O81" s="710"/>
      <c r="P81" s="711"/>
      <c r="Q81" s="253"/>
      <c r="R81" s="188"/>
      <c r="S81" s="188"/>
      <c r="T81" s="188"/>
      <c r="U81" s="188"/>
      <c r="V81" s="254"/>
      <c r="W81" s="253"/>
      <c r="X81" s="188"/>
      <c r="Y81" s="188"/>
      <c r="Z81" s="188"/>
      <c r="AA81" s="188"/>
      <c r="AB81" s="254"/>
      <c r="AC81" s="253"/>
      <c r="AD81" s="188"/>
      <c r="AE81" s="254"/>
      <c r="AF81" s="253"/>
      <c r="AG81" s="188"/>
      <c r="AH81" s="254"/>
      <c r="AI81" s="188"/>
      <c r="AJ81" s="188"/>
      <c r="AK81" s="254"/>
      <c r="AL81" s="218"/>
    </row>
    <row r="82" spans="2:38" s="193" customFormat="1" ht="12.75" customHeight="1">
      <c r="B82" s="808">
        <f>AA_090_DATOS_APODERADOS_BANCO_NOMBRE_APODERADO_DEL_BANCO_DOS</f>
        <v>0</v>
      </c>
      <c r="C82" s="664"/>
      <c r="D82" s="664"/>
      <c r="E82" s="664"/>
      <c r="F82" s="664"/>
      <c r="G82" s="664"/>
      <c r="H82" s="664"/>
      <c r="I82" s="664"/>
      <c r="J82" s="664"/>
      <c r="K82" s="664"/>
      <c r="L82" s="664"/>
      <c r="M82" s="664"/>
      <c r="N82" s="664"/>
      <c r="O82" s="664"/>
      <c r="P82" s="809"/>
      <c r="Q82" s="253"/>
      <c r="R82" s="188"/>
      <c r="S82" s="188"/>
      <c r="T82" s="188"/>
      <c r="U82" s="188"/>
      <c r="V82" s="254"/>
      <c r="W82" s="253"/>
      <c r="X82" s="188"/>
      <c r="Y82" s="188"/>
      <c r="Z82" s="188"/>
      <c r="AA82" s="188"/>
      <c r="AB82" s="254"/>
      <c r="AC82" s="253"/>
      <c r="AD82" s="188"/>
      <c r="AE82" s="254"/>
      <c r="AF82" s="253"/>
      <c r="AG82" s="188"/>
      <c r="AH82" s="254"/>
      <c r="AI82" s="188"/>
      <c r="AJ82" s="188"/>
      <c r="AK82" s="254"/>
      <c r="AL82" s="218"/>
    </row>
    <row r="83" spans="2:38" s="193" customFormat="1" ht="12.75" customHeight="1">
      <c r="B83" s="573"/>
      <c r="C83" s="574"/>
      <c r="D83" s="574"/>
      <c r="E83" s="574"/>
      <c r="F83" s="574"/>
      <c r="G83" s="574"/>
      <c r="H83" s="574"/>
      <c r="I83" s="574"/>
      <c r="J83" s="574"/>
      <c r="K83" s="574"/>
      <c r="L83" s="574"/>
      <c r="M83" s="574"/>
      <c r="N83" s="574"/>
      <c r="O83" s="574"/>
      <c r="P83" s="851"/>
      <c r="Q83" s="255"/>
      <c r="R83" s="205"/>
      <c r="S83" s="205"/>
      <c r="T83" s="205"/>
      <c r="U83" s="205"/>
      <c r="V83" s="221"/>
      <c r="W83" s="255"/>
      <c r="X83" s="205"/>
      <c r="Y83" s="205"/>
      <c r="Z83" s="205"/>
      <c r="AA83" s="205"/>
      <c r="AB83" s="221"/>
      <c r="AC83" s="255"/>
      <c r="AD83" s="205"/>
      <c r="AE83" s="221"/>
      <c r="AF83" s="255"/>
      <c r="AG83" s="205"/>
      <c r="AH83" s="221"/>
      <c r="AI83" s="205"/>
      <c r="AJ83" s="205"/>
      <c r="AK83" s="221"/>
      <c r="AL83" s="224"/>
    </row>
    <row r="84" spans="2:38" s="187" customFormat="1" ht="7.8">
      <c r="B84" s="256"/>
      <c r="C84" s="256"/>
      <c r="D84" s="256"/>
      <c r="E84" s="256"/>
      <c r="F84" s="256"/>
      <c r="G84" s="256"/>
      <c r="H84" s="256"/>
      <c r="I84" s="256"/>
      <c r="J84" s="256"/>
      <c r="K84" s="256"/>
      <c r="L84" s="256"/>
      <c r="M84" s="256"/>
      <c r="N84" s="256"/>
      <c r="O84" s="256"/>
      <c r="P84" s="256"/>
      <c r="Q84" s="256"/>
      <c r="R84" s="256"/>
      <c r="S84" s="256"/>
      <c r="T84" s="256"/>
      <c r="U84" s="256"/>
      <c r="V84" s="256"/>
      <c r="W84" s="256"/>
      <c r="X84" s="256"/>
      <c r="Y84" s="256"/>
      <c r="Z84" s="256"/>
      <c r="AA84" s="256"/>
      <c r="AB84" s="256"/>
      <c r="AC84" s="256"/>
      <c r="AD84" s="256"/>
      <c r="AE84" s="256"/>
      <c r="AF84" s="256"/>
      <c r="AG84" s="256"/>
      <c r="AH84" s="256"/>
      <c r="AI84" s="256"/>
      <c r="AJ84" s="256"/>
      <c r="AK84" s="256"/>
    </row>
    <row r="85" spans="2:38" s="187" customFormat="1" ht="7.8">
      <c r="B85" s="228"/>
      <c r="C85" s="228"/>
      <c r="D85" s="228"/>
      <c r="E85" s="228"/>
      <c r="F85" s="228"/>
      <c r="G85" s="228"/>
      <c r="H85" s="228"/>
      <c r="I85" s="228"/>
      <c r="J85" s="228"/>
      <c r="K85" s="228"/>
      <c r="L85" s="228"/>
      <c r="M85" s="228"/>
      <c r="N85" s="228"/>
      <c r="O85" s="228"/>
      <c r="P85" s="228"/>
      <c r="Q85" s="228"/>
      <c r="R85" s="228"/>
      <c r="S85" s="228"/>
      <c r="T85" s="228"/>
      <c r="U85" s="228"/>
      <c r="V85" s="228"/>
      <c r="W85" s="228"/>
      <c r="X85" s="228"/>
      <c r="Y85" s="228"/>
      <c r="Z85" s="228"/>
      <c r="AA85" s="228"/>
      <c r="AB85" s="228"/>
      <c r="AC85" s="228"/>
      <c r="AD85" s="228"/>
      <c r="AE85" s="228"/>
      <c r="AF85" s="228"/>
      <c r="AG85" s="228"/>
      <c r="AH85" s="228"/>
      <c r="AI85" s="228"/>
      <c r="AJ85" s="228"/>
      <c r="AK85" s="228"/>
    </row>
    <row r="86" spans="2:38" s="187" customFormat="1" ht="2.25" customHeight="1">
      <c r="B86" s="228"/>
      <c r="C86" s="228"/>
      <c r="D86" s="228"/>
      <c r="E86" s="228"/>
      <c r="F86" s="228"/>
      <c r="G86" s="228"/>
      <c r="H86" s="228"/>
      <c r="I86" s="228"/>
      <c r="J86" s="228"/>
      <c r="K86" s="228"/>
      <c r="L86" s="228"/>
      <c r="M86" s="228"/>
      <c r="N86" s="228"/>
      <c r="O86" s="228"/>
      <c r="P86" s="228"/>
      <c r="Q86" s="228"/>
      <c r="R86" s="228"/>
      <c r="S86" s="228"/>
      <c r="T86" s="228"/>
      <c r="U86" s="228"/>
      <c r="V86" s="228"/>
      <c r="W86" s="228"/>
      <c r="X86" s="228"/>
      <c r="Y86" s="228"/>
      <c r="Z86" s="228"/>
      <c r="AA86" s="228"/>
      <c r="AB86" s="228"/>
      <c r="AC86" s="228"/>
      <c r="AD86" s="228"/>
      <c r="AE86" s="228"/>
      <c r="AF86" s="228"/>
      <c r="AG86" s="228"/>
      <c r="AH86" s="228"/>
      <c r="AI86" s="228"/>
      <c r="AJ86" s="228"/>
      <c r="AK86" s="228"/>
    </row>
    <row r="87" spans="2:38" s="187" customFormat="1" ht="10.199999999999999">
      <c r="B87" s="229" t="s">
        <v>182</v>
      </c>
      <c r="C87" s="228"/>
      <c r="D87" s="228"/>
      <c r="E87" s="228"/>
      <c r="F87" s="228"/>
      <c r="G87" s="228"/>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t="s">
        <v>183</v>
      </c>
      <c r="AI87" s="228"/>
      <c r="AJ87" s="228"/>
      <c r="AK87" s="228"/>
    </row>
    <row r="88" spans="2:38" s="187" customFormat="1" ht="2.25" customHeight="1"/>
    <row r="89" spans="2:38" s="187" customFormat="1" ht="7.8"/>
    <row r="90" spans="2:38" s="187" customFormat="1" ht="57.75" customHeight="1">
      <c r="B90" s="858" t="s">
        <v>298</v>
      </c>
      <c r="C90" s="858"/>
      <c r="D90" s="858"/>
      <c r="E90" s="858"/>
      <c r="F90" s="858"/>
      <c r="G90" s="858"/>
      <c r="H90" s="858"/>
      <c r="I90" s="858"/>
      <c r="J90" s="858"/>
      <c r="K90" s="858"/>
      <c r="L90" s="858"/>
      <c r="M90" s="858"/>
      <c r="N90" s="858"/>
      <c r="O90" s="858"/>
      <c r="P90" s="858"/>
      <c r="Q90" s="858"/>
      <c r="R90" s="858"/>
      <c r="S90" s="858"/>
      <c r="T90" s="858"/>
      <c r="U90" s="858"/>
      <c r="V90" s="858"/>
      <c r="W90" s="858"/>
      <c r="X90" s="858"/>
      <c r="Y90" s="858"/>
      <c r="Z90" s="858"/>
      <c r="AA90" s="858"/>
      <c r="AB90" s="858"/>
      <c r="AC90" s="858"/>
      <c r="AD90" s="858"/>
      <c r="AE90" s="858"/>
      <c r="AF90" s="858"/>
      <c r="AG90" s="858"/>
      <c r="AH90" s="858"/>
      <c r="AI90" s="858"/>
      <c r="AJ90" s="858"/>
      <c r="AK90" s="858"/>
    </row>
    <row r="91" spans="2:38" s="187" customFormat="1" ht="10.199999999999999">
      <c r="B91" s="297"/>
      <c r="C91" s="298"/>
      <c r="D91" s="298"/>
      <c r="E91" s="298"/>
      <c r="F91" s="298"/>
      <c r="G91" s="298"/>
      <c r="H91" s="298"/>
      <c r="I91" s="298"/>
      <c r="J91" s="298"/>
      <c r="K91" s="298"/>
      <c r="L91" s="298"/>
      <c r="M91" s="298"/>
      <c r="N91" s="298"/>
      <c r="O91" s="298"/>
      <c r="P91" s="298"/>
      <c r="Q91" s="298"/>
      <c r="R91" s="298"/>
      <c r="S91" s="298"/>
      <c r="T91" s="298"/>
      <c r="U91" s="298"/>
      <c r="V91" s="298"/>
      <c r="W91" s="298"/>
      <c r="X91" s="298"/>
      <c r="Y91" s="298"/>
      <c r="Z91" s="298"/>
      <c r="AA91" s="298"/>
      <c r="AB91" s="298"/>
      <c r="AC91" s="298"/>
      <c r="AD91" s="298"/>
      <c r="AE91" s="298"/>
      <c r="AF91" s="298"/>
      <c r="AG91" s="298"/>
      <c r="AH91" s="298"/>
      <c r="AI91" s="298"/>
      <c r="AJ91" s="298"/>
      <c r="AK91" s="298"/>
    </row>
    <row r="92" spans="2:38" s="187" customFormat="1" ht="10.199999999999999">
      <c r="B92" s="859" t="s">
        <v>185</v>
      </c>
      <c r="C92" s="859"/>
      <c r="D92" s="859"/>
      <c r="E92" s="859"/>
      <c r="F92" s="859"/>
      <c r="G92" s="859"/>
      <c r="H92" s="859"/>
      <c r="I92" s="859"/>
      <c r="J92" s="859"/>
      <c r="K92" s="859"/>
      <c r="L92" s="859"/>
      <c r="M92" s="859"/>
      <c r="N92" s="859"/>
      <c r="O92" s="859"/>
      <c r="P92" s="859"/>
      <c r="Q92" s="859"/>
      <c r="R92" s="859"/>
      <c r="S92" s="859"/>
      <c r="T92" s="859"/>
      <c r="U92" s="859"/>
      <c r="V92" s="859"/>
      <c r="W92" s="859"/>
      <c r="X92" s="859"/>
      <c r="Y92" s="859"/>
      <c r="Z92" s="859"/>
      <c r="AA92" s="859"/>
      <c r="AB92" s="859"/>
      <c r="AC92" s="859"/>
      <c r="AD92" s="859"/>
      <c r="AE92" s="859"/>
      <c r="AF92" s="859"/>
      <c r="AG92" s="859"/>
      <c r="AH92" s="859"/>
      <c r="AI92" s="859"/>
      <c r="AJ92" s="859"/>
      <c r="AK92" s="859"/>
    </row>
    <row r="93" spans="2:38" s="187" customFormat="1" ht="10.199999999999999">
      <c r="B93" s="297"/>
      <c r="C93" s="298"/>
      <c r="D93" s="298"/>
      <c r="E93" s="298"/>
      <c r="F93" s="298"/>
      <c r="G93" s="298"/>
      <c r="H93" s="298"/>
      <c r="I93" s="298"/>
      <c r="J93" s="298"/>
      <c r="K93" s="298"/>
      <c r="L93" s="298"/>
      <c r="M93" s="298"/>
      <c r="N93" s="298"/>
      <c r="O93" s="298"/>
      <c r="P93" s="298"/>
      <c r="Q93" s="298"/>
      <c r="R93" s="298"/>
      <c r="S93" s="298"/>
      <c r="T93" s="298"/>
      <c r="U93" s="298"/>
      <c r="V93" s="298"/>
      <c r="W93" s="298"/>
      <c r="X93" s="298"/>
      <c r="Y93" s="298"/>
      <c r="Z93" s="298"/>
      <c r="AA93" s="298"/>
      <c r="AB93" s="298"/>
      <c r="AC93" s="298"/>
      <c r="AD93" s="298"/>
      <c r="AE93" s="298"/>
      <c r="AF93" s="298"/>
      <c r="AG93" s="298"/>
      <c r="AH93" s="298"/>
      <c r="AI93" s="298"/>
      <c r="AJ93" s="298"/>
      <c r="AK93" s="298"/>
    </row>
    <row r="94" spans="2:38" s="187" customFormat="1" ht="12.75" customHeight="1">
      <c r="B94" s="729" t="s">
        <v>357</v>
      </c>
      <c r="C94" s="729"/>
      <c r="D94" s="729"/>
      <c r="E94" s="729"/>
      <c r="F94" s="729"/>
      <c r="G94" s="729"/>
      <c r="H94" s="729"/>
      <c r="I94" s="729"/>
      <c r="J94" s="729"/>
      <c r="K94" s="729"/>
      <c r="L94" s="729"/>
      <c r="M94" s="729"/>
      <c r="N94" s="729"/>
      <c r="O94" s="729"/>
      <c r="P94" s="729"/>
      <c r="Q94" s="729"/>
      <c r="R94" s="729"/>
      <c r="S94" s="729"/>
      <c r="T94" s="729"/>
      <c r="U94" s="729"/>
      <c r="V94" s="729"/>
      <c r="W94" s="729"/>
      <c r="X94" s="729"/>
      <c r="Y94" s="729"/>
      <c r="Z94" s="729"/>
      <c r="AA94" s="729"/>
      <c r="AB94" s="729"/>
      <c r="AC94" s="729"/>
      <c r="AD94" s="729"/>
      <c r="AE94" s="729"/>
      <c r="AF94" s="729"/>
      <c r="AG94" s="729"/>
      <c r="AH94" s="729"/>
      <c r="AI94" s="729"/>
      <c r="AJ94" s="729"/>
      <c r="AK94" s="729"/>
    </row>
    <row r="95" spans="2:38" ht="78" customHeight="1">
      <c r="B95" s="729" t="s">
        <v>187</v>
      </c>
      <c r="C95" s="729"/>
      <c r="D95" s="729"/>
      <c r="E95" s="729"/>
      <c r="F95" s="729"/>
      <c r="G95" s="729"/>
      <c r="H95" s="729"/>
      <c r="I95" s="729"/>
      <c r="J95" s="729"/>
      <c r="K95" s="729"/>
      <c r="L95" s="729"/>
      <c r="M95" s="729"/>
      <c r="N95" s="729"/>
      <c r="O95" s="729"/>
      <c r="P95" s="729"/>
      <c r="Q95" s="729"/>
      <c r="R95" s="729"/>
      <c r="S95" s="729"/>
      <c r="T95" s="729"/>
      <c r="U95" s="729"/>
      <c r="V95" s="729"/>
      <c r="W95" s="729"/>
      <c r="X95" s="729"/>
      <c r="Y95" s="729"/>
      <c r="Z95" s="729"/>
      <c r="AA95" s="729"/>
      <c r="AB95" s="729"/>
      <c r="AC95" s="729"/>
      <c r="AD95" s="729"/>
      <c r="AE95" s="729"/>
      <c r="AF95" s="729"/>
      <c r="AG95" s="729"/>
      <c r="AH95" s="729"/>
      <c r="AI95" s="729"/>
      <c r="AJ95" s="729"/>
      <c r="AK95" s="729"/>
    </row>
    <row r="96" spans="2:38" ht="33.75" customHeight="1">
      <c r="B96" s="729" t="s">
        <v>188</v>
      </c>
      <c r="C96" s="729"/>
      <c r="D96" s="729"/>
      <c r="E96" s="729"/>
      <c r="F96" s="729"/>
      <c r="G96" s="729"/>
      <c r="H96" s="729"/>
      <c r="I96" s="729"/>
      <c r="J96" s="729"/>
      <c r="K96" s="729"/>
      <c r="L96" s="729"/>
      <c r="M96" s="729"/>
      <c r="N96" s="729"/>
      <c r="O96" s="729"/>
      <c r="P96" s="729"/>
      <c r="Q96" s="729"/>
      <c r="R96" s="729"/>
      <c r="S96" s="729"/>
      <c r="T96" s="729"/>
      <c r="U96" s="729"/>
      <c r="V96" s="729"/>
      <c r="W96" s="729"/>
      <c r="X96" s="729"/>
      <c r="Y96" s="729"/>
      <c r="Z96" s="729"/>
      <c r="AA96" s="729"/>
      <c r="AB96" s="729"/>
      <c r="AC96" s="729"/>
      <c r="AD96" s="729"/>
      <c r="AE96" s="729"/>
      <c r="AF96" s="729"/>
      <c r="AG96" s="729"/>
      <c r="AH96" s="729"/>
      <c r="AI96" s="729"/>
      <c r="AJ96" s="729"/>
      <c r="AK96" s="729"/>
    </row>
    <row r="97" spans="2:37" ht="33.75" customHeight="1">
      <c r="B97" s="729" t="s">
        <v>189</v>
      </c>
      <c r="C97" s="729"/>
      <c r="D97" s="729"/>
      <c r="E97" s="729"/>
      <c r="F97" s="729"/>
      <c r="G97" s="729"/>
      <c r="H97" s="729"/>
      <c r="I97" s="729"/>
      <c r="J97" s="729"/>
      <c r="K97" s="729"/>
      <c r="L97" s="729"/>
      <c r="M97" s="729"/>
      <c r="N97" s="729"/>
      <c r="O97" s="729"/>
      <c r="P97" s="729"/>
      <c r="Q97" s="729"/>
      <c r="R97" s="729"/>
      <c r="S97" s="729"/>
      <c r="T97" s="729"/>
      <c r="U97" s="729"/>
      <c r="V97" s="729"/>
      <c r="W97" s="729"/>
      <c r="X97" s="729"/>
      <c r="Y97" s="729"/>
      <c r="Z97" s="729"/>
      <c r="AA97" s="729"/>
      <c r="AB97" s="729"/>
      <c r="AC97" s="729"/>
      <c r="AD97" s="729"/>
      <c r="AE97" s="729"/>
      <c r="AF97" s="729"/>
      <c r="AG97" s="729"/>
      <c r="AH97" s="729"/>
      <c r="AI97" s="729"/>
      <c r="AJ97" s="729"/>
      <c r="AK97" s="729"/>
    </row>
    <row r="98" spans="2:37" ht="22.5" customHeight="1">
      <c r="B98" s="729" t="s">
        <v>190</v>
      </c>
      <c r="C98" s="729"/>
      <c r="D98" s="729"/>
      <c r="E98" s="729"/>
      <c r="F98" s="729"/>
      <c r="G98" s="729"/>
      <c r="H98" s="729"/>
      <c r="I98" s="729"/>
      <c r="J98" s="729"/>
      <c r="K98" s="729"/>
      <c r="L98" s="729"/>
      <c r="M98" s="729"/>
      <c r="N98" s="729"/>
      <c r="O98" s="729"/>
      <c r="P98" s="729"/>
      <c r="Q98" s="729"/>
      <c r="R98" s="729"/>
      <c r="S98" s="729"/>
      <c r="T98" s="729"/>
      <c r="U98" s="729"/>
      <c r="V98" s="729"/>
      <c r="W98" s="729"/>
      <c r="X98" s="729"/>
      <c r="Y98" s="729"/>
      <c r="Z98" s="729"/>
      <c r="AA98" s="729"/>
      <c r="AB98" s="729"/>
      <c r="AC98" s="729"/>
      <c r="AD98" s="729"/>
      <c r="AE98" s="729"/>
      <c r="AF98" s="729"/>
      <c r="AG98" s="729"/>
      <c r="AH98" s="729"/>
      <c r="AI98" s="729"/>
      <c r="AJ98" s="729"/>
      <c r="AK98" s="729"/>
    </row>
    <row r="99" spans="2:37" ht="33.75" customHeight="1">
      <c r="B99" s="729" t="s">
        <v>191</v>
      </c>
      <c r="C99" s="729"/>
      <c r="D99" s="729"/>
      <c r="E99" s="729"/>
      <c r="F99" s="729"/>
      <c r="G99" s="729"/>
      <c r="H99" s="729"/>
      <c r="I99" s="729"/>
      <c r="J99" s="729"/>
      <c r="K99" s="729"/>
      <c r="L99" s="729"/>
      <c r="M99" s="729"/>
      <c r="N99" s="729"/>
      <c r="O99" s="729"/>
      <c r="P99" s="729"/>
      <c r="Q99" s="729"/>
      <c r="R99" s="729"/>
      <c r="S99" s="729"/>
      <c r="T99" s="729"/>
      <c r="U99" s="729"/>
      <c r="V99" s="729"/>
      <c r="W99" s="729"/>
      <c r="X99" s="729"/>
      <c r="Y99" s="729"/>
      <c r="Z99" s="729"/>
      <c r="AA99" s="729"/>
      <c r="AB99" s="729"/>
      <c r="AC99" s="729"/>
      <c r="AD99" s="729"/>
      <c r="AE99" s="729"/>
      <c r="AF99" s="729"/>
      <c r="AG99" s="729"/>
      <c r="AH99" s="729"/>
      <c r="AI99" s="729"/>
      <c r="AJ99" s="729"/>
      <c r="AK99" s="729"/>
    </row>
    <row r="100" spans="2:37" ht="45" customHeight="1">
      <c r="B100" s="729" t="s">
        <v>192</v>
      </c>
      <c r="C100" s="729"/>
      <c r="D100" s="729"/>
      <c r="E100" s="729"/>
      <c r="F100" s="729"/>
      <c r="G100" s="729"/>
      <c r="H100" s="729"/>
      <c r="I100" s="729"/>
      <c r="J100" s="729"/>
      <c r="K100" s="729"/>
      <c r="L100" s="729"/>
      <c r="M100" s="729"/>
      <c r="N100" s="729"/>
      <c r="O100" s="729"/>
      <c r="P100" s="729"/>
      <c r="Q100" s="729"/>
      <c r="R100" s="729"/>
      <c r="S100" s="729"/>
      <c r="T100" s="729"/>
      <c r="U100" s="729"/>
      <c r="V100" s="729"/>
      <c r="W100" s="729"/>
      <c r="X100" s="729"/>
      <c r="Y100" s="729"/>
      <c r="Z100" s="729"/>
      <c r="AA100" s="729"/>
      <c r="AB100" s="729"/>
      <c r="AC100" s="729"/>
      <c r="AD100" s="729"/>
      <c r="AE100" s="729"/>
      <c r="AF100" s="729"/>
      <c r="AG100" s="729"/>
      <c r="AH100" s="729"/>
      <c r="AI100" s="729"/>
      <c r="AJ100" s="729"/>
      <c r="AK100" s="729"/>
    </row>
    <row r="101" spans="2:37" ht="33.75" customHeight="1">
      <c r="B101" s="729" t="s">
        <v>193</v>
      </c>
      <c r="C101" s="729"/>
      <c r="D101" s="729"/>
      <c r="E101" s="729"/>
      <c r="F101" s="729"/>
      <c r="G101" s="729"/>
      <c r="H101" s="729"/>
      <c r="I101" s="729"/>
      <c r="J101" s="729"/>
      <c r="K101" s="729"/>
      <c r="L101" s="729"/>
      <c r="M101" s="729"/>
      <c r="N101" s="729"/>
      <c r="O101" s="729"/>
      <c r="P101" s="729"/>
      <c r="Q101" s="729"/>
      <c r="R101" s="729"/>
      <c r="S101" s="729"/>
      <c r="T101" s="729"/>
      <c r="U101" s="729"/>
      <c r="V101" s="729"/>
      <c r="W101" s="729"/>
      <c r="X101" s="729"/>
      <c r="Y101" s="729"/>
      <c r="Z101" s="729"/>
      <c r="AA101" s="729"/>
      <c r="AB101" s="729"/>
      <c r="AC101" s="729"/>
      <c r="AD101" s="729"/>
      <c r="AE101" s="729"/>
      <c r="AF101" s="729"/>
      <c r="AG101" s="729"/>
      <c r="AH101" s="729"/>
      <c r="AI101" s="729"/>
      <c r="AJ101" s="729"/>
      <c r="AK101" s="729"/>
    </row>
    <row r="102" spans="2:37" ht="13.2">
      <c r="B102" s="298"/>
      <c r="C102" s="298"/>
      <c r="D102" s="298"/>
      <c r="E102" s="298"/>
      <c r="F102" s="298"/>
      <c r="G102" s="298"/>
      <c r="H102" s="298"/>
      <c r="I102" s="298"/>
      <c r="J102" s="298"/>
      <c r="K102" s="298"/>
      <c r="L102" s="298"/>
      <c r="M102" s="298"/>
      <c r="N102" s="298"/>
      <c r="O102" s="298"/>
      <c r="P102" s="298"/>
      <c r="Q102" s="298"/>
      <c r="R102" s="298"/>
      <c r="S102" s="298"/>
      <c r="T102" s="298"/>
      <c r="U102" s="298"/>
      <c r="V102" s="298"/>
      <c r="W102" s="298"/>
      <c r="X102" s="298"/>
      <c r="Y102" s="298"/>
      <c r="Z102" s="298"/>
      <c r="AA102" s="298"/>
      <c r="AB102" s="298"/>
      <c r="AC102" s="298"/>
      <c r="AD102" s="298"/>
      <c r="AE102" s="298"/>
      <c r="AF102" s="298"/>
      <c r="AG102" s="298"/>
      <c r="AH102" s="298"/>
      <c r="AI102" s="298"/>
      <c r="AJ102" s="298"/>
      <c r="AK102" s="298"/>
    </row>
    <row r="103" spans="2:37" ht="13.2">
      <c r="B103" s="729" t="s">
        <v>384</v>
      </c>
      <c r="C103" s="729"/>
      <c r="D103" s="729"/>
      <c r="E103" s="729"/>
      <c r="F103" s="729"/>
      <c r="G103" s="729"/>
      <c r="H103" s="729"/>
      <c r="I103" s="729"/>
      <c r="J103" s="729"/>
      <c r="K103" s="729"/>
      <c r="L103" s="729"/>
      <c r="M103" s="729"/>
      <c r="N103" s="729"/>
      <c r="O103" s="729"/>
      <c r="P103" s="729"/>
      <c r="Q103" s="729"/>
      <c r="R103" s="729"/>
      <c r="S103" s="729"/>
      <c r="T103" s="729"/>
      <c r="U103" s="729"/>
      <c r="V103" s="729"/>
      <c r="W103" s="729"/>
      <c r="X103" s="729"/>
      <c r="Y103" s="729"/>
      <c r="Z103" s="729"/>
      <c r="AA103" s="729"/>
      <c r="AB103" s="729"/>
      <c r="AC103" s="729"/>
      <c r="AD103" s="729"/>
      <c r="AE103" s="729"/>
      <c r="AF103" s="729"/>
      <c r="AG103" s="729"/>
      <c r="AH103" s="729"/>
      <c r="AI103" s="729"/>
      <c r="AJ103" s="729"/>
      <c r="AK103" s="729"/>
    </row>
    <row r="104" spans="2:37" ht="33.75" customHeight="1">
      <c r="B104" s="729" t="s">
        <v>196</v>
      </c>
      <c r="C104" s="729"/>
      <c r="D104" s="729"/>
      <c r="E104" s="729"/>
      <c r="F104" s="729"/>
      <c r="G104" s="729"/>
      <c r="H104" s="729"/>
      <c r="I104" s="729"/>
      <c r="J104" s="729"/>
      <c r="K104" s="729"/>
      <c r="L104" s="729"/>
      <c r="M104" s="729"/>
      <c r="N104" s="729"/>
      <c r="O104" s="729"/>
      <c r="P104" s="729"/>
      <c r="Q104" s="729"/>
      <c r="R104" s="729"/>
      <c r="S104" s="729"/>
      <c r="T104" s="729"/>
      <c r="U104" s="729"/>
      <c r="V104" s="729"/>
      <c r="W104" s="729"/>
      <c r="X104" s="729"/>
      <c r="Y104" s="729"/>
      <c r="Z104" s="729"/>
      <c r="AA104" s="729"/>
      <c r="AB104" s="729"/>
      <c r="AC104" s="729"/>
      <c r="AD104" s="729"/>
      <c r="AE104" s="729"/>
      <c r="AF104" s="729"/>
      <c r="AG104" s="729"/>
      <c r="AH104" s="729"/>
      <c r="AI104" s="729"/>
      <c r="AJ104" s="729"/>
      <c r="AK104" s="729"/>
    </row>
    <row r="105" spans="2:37" ht="13.2">
      <c r="B105" s="298"/>
      <c r="C105" s="298"/>
      <c r="D105" s="298"/>
      <c r="E105" s="298"/>
      <c r="F105" s="298"/>
      <c r="G105" s="298"/>
      <c r="H105" s="298"/>
      <c r="I105" s="298"/>
      <c r="J105" s="298"/>
      <c r="K105" s="298"/>
      <c r="L105" s="298"/>
      <c r="M105" s="298"/>
      <c r="N105" s="298"/>
      <c r="O105" s="298"/>
      <c r="P105" s="298"/>
      <c r="Q105" s="298"/>
      <c r="R105" s="298"/>
      <c r="S105" s="298"/>
      <c r="T105" s="298"/>
      <c r="U105" s="298"/>
      <c r="V105" s="298"/>
      <c r="W105" s="298"/>
      <c r="X105" s="298"/>
      <c r="Y105" s="298"/>
      <c r="Z105" s="298"/>
      <c r="AA105" s="298"/>
      <c r="AB105" s="298"/>
      <c r="AC105" s="298"/>
      <c r="AD105" s="298"/>
      <c r="AE105" s="298"/>
      <c r="AF105" s="298"/>
      <c r="AG105" s="298"/>
      <c r="AH105" s="298"/>
      <c r="AI105" s="298"/>
      <c r="AJ105" s="298"/>
      <c r="AK105" s="298"/>
    </row>
    <row r="106" spans="2:37" ht="13.2">
      <c r="B106" s="858" t="s">
        <v>360</v>
      </c>
      <c r="C106" s="858"/>
      <c r="D106" s="858"/>
      <c r="E106" s="858"/>
      <c r="F106" s="858"/>
      <c r="G106" s="858"/>
      <c r="H106" s="858"/>
      <c r="I106" s="858"/>
      <c r="J106" s="858"/>
      <c r="K106" s="858"/>
      <c r="L106" s="858"/>
      <c r="M106" s="858"/>
      <c r="N106" s="858"/>
      <c r="O106" s="858"/>
      <c r="P106" s="858"/>
      <c r="Q106" s="858"/>
      <c r="R106" s="858"/>
      <c r="S106" s="858"/>
      <c r="T106" s="858"/>
      <c r="U106" s="858"/>
      <c r="V106" s="858"/>
      <c r="W106" s="858"/>
      <c r="X106" s="858"/>
      <c r="Y106" s="858"/>
      <c r="Z106" s="858"/>
      <c r="AA106" s="858"/>
      <c r="AB106" s="858"/>
      <c r="AC106" s="858"/>
      <c r="AD106" s="858"/>
      <c r="AE106" s="858"/>
      <c r="AF106" s="858"/>
      <c r="AG106" s="858"/>
      <c r="AH106" s="858"/>
      <c r="AI106" s="858"/>
      <c r="AJ106" s="858"/>
      <c r="AK106" s="858"/>
    </row>
    <row r="107" spans="2:37" ht="22.5" customHeight="1">
      <c r="B107" s="729" t="s">
        <v>198</v>
      </c>
      <c r="C107" s="729"/>
      <c r="D107" s="729"/>
      <c r="E107" s="729"/>
      <c r="F107" s="729"/>
      <c r="G107" s="729"/>
      <c r="H107" s="729"/>
      <c r="I107" s="729"/>
      <c r="J107" s="729"/>
      <c r="K107" s="729"/>
      <c r="L107" s="729"/>
      <c r="M107" s="729"/>
      <c r="N107" s="729"/>
      <c r="O107" s="729"/>
      <c r="P107" s="729"/>
      <c r="Q107" s="729"/>
      <c r="R107" s="729"/>
      <c r="S107" s="729"/>
      <c r="T107" s="729"/>
      <c r="U107" s="729"/>
      <c r="V107" s="729"/>
      <c r="W107" s="729"/>
      <c r="X107" s="729"/>
      <c r="Y107" s="729"/>
      <c r="Z107" s="729"/>
      <c r="AA107" s="729"/>
      <c r="AB107" s="729"/>
      <c r="AC107" s="729"/>
      <c r="AD107" s="729"/>
      <c r="AE107" s="729"/>
      <c r="AF107" s="729"/>
      <c r="AG107" s="729"/>
      <c r="AH107" s="729"/>
      <c r="AI107" s="729"/>
      <c r="AJ107" s="729"/>
      <c r="AK107" s="729"/>
    </row>
    <row r="108" spans="2:37" ht="13.2">
      <c r="B108" s="298"/>
      <c r="C108" s="298"/>
      <c r="D108" s="298"/>
      <c r="E108" s="298"/>
      <c r="F108" s="298"/>
      <c r="G108" s="298"/>
      <c r="H108" s="298"/>
      <c r="I108" s="298"/>
      <c r="J108" s="298"/>
      <c r="K108" s="298"/>
      <c r="L108" s="298"/>
      <c r="M108" s="298"/>
      <c r="N108" s="298"/>
      <c r="O108" s="298"/>
      <c r="P108" s="298"/>
      <c r="Q108" s="298"/>
      <c r="R108" s="298"/>
      <c r="S108" s="298"/>
      <c r="T108" s="298"/>
      <c r="U108" s="298"/>
      <c r="V108" s="298"/>
      <c r="W108" s="298"/>
      <c r="X108" s="298"/>
      <c r="Y108" s="298"/>
      <c r="Z108" s="298"/>
      <c r="AA108" s="298"/>
      <c r="AB108" s="298"/>
      <c r="AC108" s="298"/>
      <c r="AD108" s="298"/>
      <c r="AE108" s="298"/>
      <c r="AF108" s="298"/>
      <c r="AG108" s="298"/>
      <c r="AH108" s="298"/>
      <c r="AI108" s="298"/>
      <c r="AJ108" s="298"/>
      <c r="AK108" s="298"/>
    </row>
    <row r="109" spans="2:37" ht="13.2">
      <c r="B109" s="729" t="s">
        <v>199</v>
      </c>
      <c r="C109" s="729"/>
      <c r="D109" s="729"/>
      <c r="E109" s="729"/>
      <c r="F109" s="729"/>
      <c r="G109" s="729"/>
      <c r="H109" s="729"/>
      <c r="I109" s="729"/>
      <c r="J109" s="729"/>
      <c r="K109" s="729"/>
      <c r="L109" s="729"/>
      <c r="M109" s="729"/>
      <c r="N109" s="729"/>
      <c r="O109" s="729"/>
      <c r="P109" s="729"/>
      <c r="Q109" s="729"/>
      <c r="R109" s="729"/>
      <c r="S109" s="729"/>
      <c r="T109" s="729"/>
      <c r="U109" s="729"/>
      <c r="V109" s="729"/>
      <c r="W109" s="729"/>
      <c r="X109" s="729"/>
      <c r="Y109" s="729"/>
      <c r="Z109" s="729"/>
      <c r="AA109" s="729"/>
      <c r="AB109" s="729"/>
      <c r="AC109" s="729"/>
      <c r="AD109" s="729"/>
      <c r="AE109" s="729"/>
      <c r="AF109" s="729"/>
      <c r="AG109" s="729"/>
      <c r="AH109" s="729"/>
      <c r="AI109" s="729"/>
      <c r="AJ109" s="729"/>
      <c r="AK109" s="729"/>
    </row>
    <row r="110" spans="2:37" ht="13.2">
      <c r="B110" s="297"/>
      <c r="C110" s="298"/>
      <c r="D110" s="298"/>
      <c r="E110" s="298"/>
      <c r="F110" s="298"/>
      <c r="G110" s="298"/>
      <c r="H110" s="298"/>
      <c r="I110" s="298"/>
      <c r="J110" s="298"/>
      <c r="K110" s="298"/>
      <c r="L110" s="298"/>
      <c r="M110" s="298"/>
      <c r="N110" s="298"/>
      <c r="O110" s="298"/>
      <c r="P110" s="298"/>
      <c r="Q110" s="298"/>
      <c r="R110" s="298"/>
      <c r="S110" s="298"/>
      <c r="T110" s="298"/>
      <c r="U110" s="298"/>
      <c r="V110" s="298"/>
      <c r="W110" s="298"/>
      <c r="X110" s="298"/>
      <c r="Y110" s="298"/>
      <c r="Z110" s="298"/>
      <c r="AA110" s="298"/>
      <c r="AB110" s="298"/>
      <c r="AC110" s="298"/>
      <c r="AD110" s="298"/>
      <c r="AE110" s="298"/>
      <c r="AF110" s="298"/>
      <c r="AG110" s="298"/>
      <c r="AH110" s="298"/>
      <c r="AI110" s="298"/>
      <c r="AJ110" s="298"/>
      <c r="AK110" s="298"/>
    </row>
    <row r="111" spans="2:37" ht="13.2">
      <c r="B111" s="859" t="s">
        <v>200</v>
      </c>
      <c r="C111" s="859"/>
      <c r="D111" s="859"/>
      <c r="E111" s="859"/>
      <c r="F111" s="859"/>
      <c r="G111" s="859"/>
      <c r="H111" s="859"/>
      <c r="I111" s="859"/>
      <c r="J111" s="859"/>
      <c r="K111" s="859"/>
      <c r="L111" s="859"/>
      <c r="M111" s="859"/>
      <c r="N111" s="859"/>
      <c r="O111" s="859"/>
      <c r="P111" s="859"/>
      <c r="Q111" s="859"/>
      <c r="R111" s="859"/>
      <c r="S111" s="859"/>
      <c r="T111" s="859"/>
      <c r="U111" s="859"/>
      <c r="V111" s="859"/>
      <c r="W111" s="859"/>
      <c r="X111" s="859"/>
      <c r="Y111" s="859"/>
      <c r="Z111" s="859"/>
      <c r="AA111" s="859"/>
      <c r="AB111" s="859"/>
      <c r="AC111" s="859"/>
      <c r="AD111" s="859"/>
      <c r="AE111" s="859"/>
      <c r="AF111" s="859"/>
      <c r="AG111" s="859"/>
      <c r="AH111" s="859"/>
      <c r="AI111" s="859"/>
      <c r="AJ111" s="859"/>
      <c r="AK111" s="859"/>
    </row>
    <row r="112" spans="2:37" ht="13.2">
      <c r="B112" s="297"/>
      <c r="C112" s="298"/>
      <c r="D112" s="298"/>
      <c r="E112" s="298"/>
      <c r="F112" s="298"/>
      <c r="G112" s="298"/>
      <c r="H112" s="298"/>
      <c r="I112" s="298"/>
      <c r="J112" s="298"/>
      <c r="K112" s="298"/>
      <c r="L112" s="298"/>
      <c r="M112" s="298"/>
      <c r="N112" s="298"/>
      <c r="O112" s="298"/>
      <c r="P112" s="298"/>
      <c r="Q112" s="298"/>
      <c r="R112" s="298"/>
      <c r="S112" s="298"/>
      <c r="T112" s="298"/>
      <c r="U112" s="298"/>
      <c r="V112" s="298"/>
      <c r="W112" s="298"/>
      <c r="X112" s="298"/>
      <c r="Y112" s="298"/>
      <c r="Z112" s="298"/>
      <c r="AA112" s="298"/>
      <c r="AB112" s="298"/>
      <c r="AC112" s="298"/>
      <c r="AD112" s="298"/>
      <c r="AE112" s="298"/>
      <c r="AF112" s="298"/>
      <c r="AG112" s="298"/>
      <c r="AH112" s="298"/>
      <c r="AI112" s="298"/>
      <c r="AJ112" s="298"/>
      <c r="AK112" s="298"/>
    </row>
    <row r="113" spans="2:37" ht="33.75" customHeight="1">
      <c r="B113" s="858" t="s">
        <v>385</v>
      </c>
      <c r="C113" s="858"/>
      <c r="D113" s="858"/>
      <c r="E113" s="858"/>
      <c r="F113" s="858"/>
      <c r="G113" s="858"/>
      <c r="H113" s="858"/>
      <c r="I113" s="858"/>
      <c r="J113" s="858"/>
      <c r="K113" s="858"/>
      <c r="L113" s="858"/>
      <c r="M113" s="858"/>
      <c r="N113" s="858"/>
      <c r="O113" s="858"/>
      <c r="P113" s="858"/>
      <c r="Q113" s="858"/>
      <c r="R113" s="858"/>
      <c r="S113" s="858"/>
      <c r="T113" s="858"/>
      <c r="U113" s="858"/>
      <c r="V113" s="858"/>
      <c r="W113" s="858"/>
      <c r="X113" s="858"/>
      <c r="Y113" s="858"/>
      <c r="Z113" s="858"/>
      <c r="AA113" s="858"/>
      <c r="AB113" s="858"/>
      <c r="AC113" s="858"/>
      <c r="AD113" s="858"/>
      <c r="AE113" s="858"/>
      <c r="AF113" s="858"/>
      <c r="AG113" s="858"/>
      <c r="AH113" s="858"/>
      <c r="AI113" s="858"/>
      <c r="AJ113" s="858"/>
      <c r="AK113" s="858"/>
    </row>
    <row r="114" spans="2:37" ht="13.2">
      <c r="B114" s="297"/>
      <c r="C114" s="298"/>
      <c r="D114" s="298"/>
      <c r="E114" s="298"/>
      <c r="F114" s="298"/>
      <c r="G114" s="298"/>
      <c r="H114" s="298"/>
      <c r="I114" s="298"/>
      <c r="J114" s="298"/>
      <c r="K114" s="298"/>
      <c r="L114" s="298"/>
      <c r="M114" s="298"/>
      <c r="N114" s="298"/>
      <c r="O114" s="298"/>
      <c r="P114" s="298"/>
      <c r="Q114" s="298"/>
      <c r="R114" s="298"/>
      <c r="S114" s="298"/>
      <c r="T114" s="298"/>
      <c r="U114" s="298"/>
      <c r="V114" s="298"/>
      <c r="W114" s="298"/>
      <c r="X114" s="298"/>
      <c r="Y114" s="298"/>
      <c r="Z114" s="298"/>
      <c r="AA114" s="298"/>
      <c r="AB114" s="298"/>
      <c r="AC114" s="298"/>
      <c r="AD114" s="298"/>
      <c r="AE114" s="298"/>
      <c r="AF114" s="298"/>
      <c r="AG114" s="298"/>
      <c r="AH114" s="298"/>
      <c r="AI114" s="298"/>
      <c r="AJ114" s="298"/>
      <c r="AK114" s="298"/>
    </row>
    <row r="115" spans="2:37" ht="45" customHeight="1">
      <c r="B115" s="858" t="s">
        <v>386</v>
      </c>
      <c r="C115" s="858"/>
      <c r="D115" s="858"/>
      <c r="E115" s="858"/>
      <c r="F115" s="858"/>
      <c r="G115" s="858"/>
      <c r="H115" s="858"/>
      <c r="I115" s="858"/>
      <c r="J115" s="858"/>
      <c r="K115" s="858"/>
      <c r="L115" s="858"/>
      <c r="M115" s="858"/>
      <c r="N115" s="858"/>
      <c r="O115" s="858"/>
      <c r="P115" s="858"/>
      <c r="Q115" s="858"/>
      <c r="R115" s="858"/>
      <c r="S115" s="858"/>
      <c r="T115" s="858"/>
      <c r="U115" s="858"/>
      <c r="V115" s="858"/>
      <c r="W115" s="858"/>
      <c r="X115" s="858"/>
      <c r="Y115" s="858"/>
      <c r="Z115" s="858"/>
      <c r="AA115" s="858"/>
      <c r="AB115" s="858"/>
      <c r="AC115" s="858"/>
      <c r="AD115" s="858"/>
      <c r="AE115" s="858"/>
      <c r="AF115" s="858"/>
      <c r="AG115" s="858"/>
      <c r="AH115" s="858"/>
      <c r="AI115" s="858"/>
      <c r="AJ115" s="858"/>
      <c r="AK115" s="858"/>
    </row>
    <row r="116" spans="2:37" ht="13.2">
      <c r="B116" s="298"/>
      <c r="C116" s="298"/>
      <c r="D116" s="298"/>
      <c r="E116" s="298"/>
      <c r="F116" s="298"/>
      <c r="G116" s="298"/>
      <c r="H116" s="298"/>
      <c r="I116" s="298"/>
      <c r="J116" s="298"/>
      <c r="K116" s="298"/>
      <c r="L116" s="298"/>
      <c r="M116" s="298"/>
      <c r="N116" s="298"/>
      <c r="O116" s="298"/>
      <c r="P116" s="298"/>
      <c r="Q116" s="298"/>
      <c r="R116" s="298"/>
      <c r="S116" s="298"/>
      <c r="T116" s="298"/>
      <c r="U116" s="298"/>
      <c r="V116" s="298"/>
      <c r="W116" s="298"/>
      <c r="X116" s="298"/>
      <c r="Y116" s="298"/>
      <c r="Z116" s="298"/>
      <c r="AA116" s="298"/>
      <c r="AB116" s="298"/>
      <c r="AC116" s="298"/>
      <c r="AD116" s="298"/>
      <c r="AE116" s="298"/>
      <c r="AF116" s="298"/>
      <c r="AG116" s="298"/>
      <c r="AH116" s="298"/>
      <c r="AI116" s="298"/>
      <c r="AJ116" s="298"/>
      <c r="AK116" s="298"/>
    </row>
    <row r="117" spans="2:37" ht="12" customHeight="1">
      <c r="B117" s="858" t="s">
        <v>387</v>
      </c>
      <c r="C117" s="858"/>
      <c r="D117" s="858"/>
      <c r="E117" s="858"/>
      <c r="F117" s="858"/>
      <c r="G117" s="858"/>
      <c r="H117" s="858"/>
      <c r="I117" s="858"/>
      <c r="J117" s="858"/>
      <c r="K117" s="858"/>
      <c r="L117" s="858"/>
      <c r="M117" s="858"/>
      <c r="N117" s="858"/>
      <c r="O117" s="858"/>
      <c r="P117" s="858"/>
      <c r="Q117" s="858"/>
      <c r="R117" s="858"/>
      <c r="S117" s="858"/>
      <c r="T117" s="858"/>
      <c r="U117" s="858"/>
      <c r="V117" s="858"/>
      <c r="W117" s="858"/>
      <c r="X117" s="858"/>
      <c r="Y117" s="858"/>
      <c r="Z117" s="858"/>
      <c r="AA117" s="858"/>
      <c r="AB117" s="858"/>
      <c r="AC117" s="858"/>
      <c r="AD117" s="858"/>
      <c r="AE117" s="858"/>
      <c r="AF117" s="858"/>
      <c r="AG117" s="858"/>
      <c r="AH117" s="858"/>
      <c r="AI117" s="858"/>
      <c r="AJ117" s="858"/>
      <c r="AK117" s="858"/>
    </row>
    <row r="118" spans="2:37" ht="13.2">
      <c r="B118" s="298"/>
      <c r="C118" s="298"/>
      <c r="D118" s="298"/>
      <c r="E118" s="298"/>
      <c r="F118" s="298"/>
      <c r="G118" s="298"/>
      <c r="H118" s="298"/>
      <c r="I118" s="298"/>
      <c r="J118" s="298"/>
      <c r="K118" s="298"/>
      <c r="L118" s="298"/>
      <c r="M118" s="298"/>
      <c r="N118" s="298"/>
      <c r="O118" s="298"/>
      <c r="P118" s="298"/>
      <c r="Q118" s="298"/>
      <c r="R118" s="298"/>
      <c r="S118" s="298"/>
      <c r="T118" s="298"/>
      <c r="U118" s="298"/>
      <c r="V118" s="298"/>
      <c r="W118" s="298"/>
      <c r="X118" s="298"/>
      <c r="Y118" s="298"/>
      <c r="Z118" s="298"/>
      <c r="AA118" s="298"/>
      <c r="AB118" s="298"/>
      <c r="AC118" s="298"/>
      <c r="AD118" s="298"/>
      <c r="AE118" s="298"/>
      <c r="AF118" s="298"/>
      <c r="AG118" s="298"/>
      <c r="AH118" s="298"/>
      <c r="AI118" s="298"/>
      <c r="AJ118" s="298"/>
      <c r="AK118" s="298"/>
    </row>
    <row r="119" spans="2:37" ht="33.75" customHeight="1">
      <c r="B119" s="858" t="s">
        <v>204</v>
      </c>
      <c r="C119" s="858"/>
      <c r="D119" s="858"/>
      <c r="E119" s="858"/>
      <c r="F119" s="858"/>
      <c r="G119" s="858"/>
      <c r="H119" s="858"/>
      <c r="I119" s="858"/>
      <c r="J119" s="858"/>
      <c r="K119" s="858"/>
      <c r="L119" s="858"/>
      <c r="M119" s="858"/>
      <c r="N119" s="858"/>
      <c r="O119" s="858"/>
      <c r="P119" s="858"/>
      <c r="Q119" s="858"/>
      <c r="R119" s="858"/>
      <c r="S119" s="858"/>
      <c r="T119" s="858"/>
      <c r="U119" s="858"/>
      <c r="V119" s="858"/>
      <c r="W119" s="858"/>
      <c r="X119" s="858"/>
      <c r="Y119" s="858"/>
      <c r="Z119" s="858"/>
      <c r="AA119" s="858"/>
      <c r="AB119" s="858"/>
      <c r="AC119" s="858"/>
      <c r="AD119" s="858"/>
      <c r="AE119" s="858"/>
      <c r="AF119" s="858"/>
      <c r="AG119" s="858"/>
      <c r="AH119" s="858"/>
      <c r="AI119" s="858"/>
      <c r="AJ119" s="858"/>
      <c r="AK119" s="858"/>
    </row>
    <row r="120" spans="2:37" ht="13.2">
      <c r="B120" s="298"/>
      <c r="C120" s="298"/>
      <c r="D120" s="298"/>
      <c r="E120" s="298"/>
      <c r="F120" s="298"/>
      <c r="G120" s="298"/>
      <c r="H120" s="298"/>
      <c r="I120" s="298"/>
      <c r="J120" s="298"/>
      <c r="K120" s="298"/>
      <c r="L120" s="298"/>
      <c r="M120" s="298"/>
      <c r="N120" s="298"/>
      <c r="O120" s="298"/>
      <c r="P120" s="298"/>
      <c r="Q120" s="298"/>
      <c r="R120" s="298"/>
      <c r="S120" s="298"/>
      <c r="T120" s="298"/>
      <c r="U120" s="298"/>
      <c r="V120" s="298"/>
      <c r="W120" s="298"/>
      <c r="X120" s="298"/>
      <c r="Y120" s="298"/>
      <c r="Z120" s="298"/>
      <c r="AA120" s="298"/>
      <c r="AB120" s="298"/>
      <c r="AC120" s="298"/>
      <c r="AD120" s="298"/>
      <c r="AE120" s="298"/>
      <c r="AF120" s="298"/>
      <c r="AG120" s="298"/>
      <c r="AH120" s="298"/>
      <c r="AI120" s="298"/>
      <c r="AJ120" s="298"/>
      <c r="AK120" s="298"/>
    </row>
    <row r="121" spans="2:37" ht="56.25" customHeight="1">
      <c r="B121" s="860" t="s">
        <v>388</v>
      </c>
      <c r="C121" s="860"/>
      <c r="D121" s="860"/>
      <c r="E121" s="860"/>
      <c r="F121" s="860"/>
      <c r="G121" s="860"/>
      <c r="H121" s="860"/>
      <c r="I121" s="860"/>
      <c r="J121" s="860"/>
      <c r="K121" s="860"/>
      <c r="L121" s="860"/>
      <c r="M121" s="860"/>
      <c r="N121" s="860"/>
      <c r="O121" s="860"/>
      <c r="P121" s="860"/>
      <c r="Q121" s="860"/>
      <c r="R121" s="860"/>
      <c r="S121" s="860"/>
      <c r="T121" s="860"/>
      <c r="U121" s="860"/>
      <c r="V121" s="860"/>
      <c r="W121" s="860"/>
      <c r="X121" s="860"/>
      <c r="Y121" s="860"/>
      <c r="Z121" s="860"/>
      <c r="AA121" s="860"/>
      <c r="AB121" s="860"/>
      <c r="AC121" s="860"/>
      <c r="AD121" s="860"/>
      <c r="AE121" s="860"/>
      <c r="AF121" s="860"/>
      <c r="AG121" s="860"/>
      <c r="AH121" s="860"/>
      <c r="AI121" s="860"/>
      <c r="AJ121" s="860"/>
      <c r="AK121" s="860"/>
    </row>
    <row r="122" spans="2:37" ht="13.2">
      <c r="B122" s="297"/>
      <c r="C122" s="298"/>
      <c r="D122" s="298"/>
      <c r="E122" s="298"/>
      <c r="F122" s="298"/>
      <c r="G122" s="298"/>
      <c r="H122" s="298"/>
      <c r="I122" s="298"/>
      <c r="J122" s="298"/>
      <c r="K122" s="298"/>
      <c r="L122" s="298"/>
      <c r="M122" s="298"/>
      <c r="N122" s="298"/>
      <c r="O122" s="298"/>
      <c r="P122" s="298"/>
      <c r="Q122" s="298"/>
      <c r="R122" s="298"/>
      <c r="S122" s="298"/>
      <c r="T122" s="298"/>
      <c r="U122" s="298"/>
      <c r="V122" s="298"/>
      <c r="W122" s="298"/>
      <c r="X122" s="298"/>
      <c r="Y122" s="298"/>
      <c r="Z122" s="298"/>
      <c r="AA122" s="298"/>
      <c r="AB122" s="298"/>
      <c r="AC122" s="298"/>
      <c r="AD122" s="298"/>
      <c r="AE122" s="298"/>
      <c r="AF122" s="298"/>
      <c r="AG122" s="298"/>
      <c r="AH122" s="298"/>
      <c r="AI122" s="298"/>
      <c r="AJ122" s="298"/>
      <c r="AK122" s="298"/>
    </row>
    <row r="123" spans="2:37" ht="45" customHeight="1">
      <c r="B123" s="858" t="s">
        <v>389</v>
      </c>
      <c r="C123" s="858"/>
      <c r="D123" s="858"/>
      <c r="E123" s="858"/>
      <c r="F123" s="858"/>
      <c r="G123" s="858"/>
      <c r="H123" s="858"/>
      <c r="I123" s="858"/>
      <c r="J123" s="858"/>
      <c r="K123" s="858"/>
      <c r="L123" s="858"/>
      <c r="M123" s="858"/>
      <c r="N123" s="858"/>
      <c r="O123" s="858"/>
      <c r="P123" s="858"/>
      <c r="Q123" s="858"/>
      <c r="R123" s="858"/>
      <c r="S123" s="858"/>
      <c r="T123" s="858"/>
      <c r="U123" s="858"/>
      <c r="V123" s="858"/>
      <c r="W123" s="858"/>
      <c r="X123" s="858"/>
      <c r="Y123" s="858"/>
      <c r="Z123" s="858"/>
      <c r="AA123" s="858"/>
      <c r="AB123" s="858"/>
      <c r="AC123" s="858"/>
      <c r="AD123" s="858"/>
      <c r="AE123" s="858"/>
      <c r="AF123" s="858"/>
      <c r="AG123" s="858"/>
      <c r="AH123" s="858"/>
      <c r="AI123" s="858"/>
      <c r="AJ123" s="858"/>
      <c r="AK123" s="858"/>
    </row>
    <row r="124" spans="2:37" ht="13.2">
      <c r="B124" s="298"/>
      <c r="C124" s="298"/>
      <c r="D124" s="298"/>
      <c r="E124" s="298"/>
      <c r="F124" s="298"/>
      <c r="G124" s="298"/>
      <c r="H124" s="298"/>
      <c r="I124" s="298"/>
      <c r="J124" s="298"/>
      <c r="K124" s="298"/>
      <c r="L124" s="298"/>
      <c r="M124" s="298"/>
      <c r="N124" s="298"/>
      <c r="O124" s="298"/>
      <c r="P124" s="298"/>
      <c r="Q124" s="298"/>
      <c r="R124" s="298"/>
      <c r="S124" s="298"/>
      <c r="T124" s="298"/>
      <c r="U124" s="298"/>
      <c r="V124" s="298"/>
      <c r="W124" s="298"/>
      <c r="X124" s="298"/>
      <c r="Y124" s="298"/>
      <c r="Z124" s="298"/>
      <c r="AA124" s="298"/>
      <c r="AB124" s="298"/>
      <c r="AC124" s="298"/>
      <c r="AD124" s="298"/>
      <c r="AE124" s="298"/>
      <c r="AF124" s="298"/>
      <c r="AG124" s="298"/>
      <c r="AH124" s="298"/>
      <c r="AI124" s="298"/>
      <c r="AJ124" s="298"/>
      <c r="AK124" s="298"/>
    </row>
    <row r="125" spans="2:37" ht="78.75" customHeight="1">
      <c r="B125" s="858" t="s">
        <v>390</v>
      </c>
      <c r="C125" s="858"/>
      <c r="D125" s="858"/>
      <c r="E125" s="858"/>
      <c r="F125" s="858"/>
      <c r="G125" s="858"/>
      <c r="H125" s="858"/>
      <c r="I125" s="858"/>
      <c r="J125" s="858"/>
      <c r="K125" s="858"/>
      <c r="L125" s="858"/>
      <c r="M125" s="858"/>
      <c r="N125" s="858"/>
      <c r="O125" s="858"/>
      <c r="P125" s="858"/>
      <c r="Q125" s="858"/>
      <c r="R125" s="858"/>
      <c r="S125" s="858"/>
      <c r="T125" s="858"/>
      <c r="U125" s="858"/>
      <c r="V125" s="858"/>
      <c r="W125" s="858"/>
      <c r="X125" s="858"/>
      <c r="Y125" s="858"/>
      <c r="Z125" s="858"/>
      <c r="AA125" s="858"/>
      <c r="AB125" s="858"/>
      <c r="AC125" s="858"/>
      <c r="AD125" s="858"/>
      <c r="AE125" s="858"/>
      <c r="AF125" s="858"/>
      <c r="AG125" s="858"/>
      <c r="AH125" s="858"/>
      <c r="AI125" s="858"/>
      <c r="AJ125" s="858"/>
      <c r="AK125" s="858"/>
    </row>
    <row r="126" spans="2:37" ht="22.5" customHeight="1">
      <c r="B126" s="729" t="s">
        <v>364</v>
      </c>
      <c r="C126" s="729"/>
      <c r="D126" s="729"/>
      <c r="E126" s="729"/>
      <c r="F126" s="729"/>
      <c r="G126" s="729"/>
      <c r="H126" s="729"/>
      <c r="I126" s="729"/>
      <c r="J126" s="729"/>
      <c r="K126" s="729"/>
      <c r="L126" s="729"/>
      <c r="M126" s="729"/>
      <c r="N126" s="729"/>
      <c r="O126" s="729"/>
      <c r="P126" s="729"/>
      <c r="Q126" s="729"/>
      <c r="R126" s="729"/>
      <c r="S126" s="729"/>
      <c r="T126" s="729"/>
      <c r="U126" s="729"/>
      <c r="V126" s="729"/>
      <c r="W126" s="729"/>
      <c r="X126" s="729"/>
      <c r="Y126" s="729"/>
      <c r="Z126" s="729"/>
      <c r="AA126" s="729"/>
      <c r="AB126" s="729"/>
      <c r="AC126" s="729"/>
      <c r="AD126" s="729"/>
      <c r="AE126" s="729"/>
      <c r="AF126" s="729"/>
      <c r="AG126" s="729"/>
      <c r="AH126" s="729"/>
      <c r="AI126" s="729"/>
      <c r="AJ126" s="729"/>
      <c r="AK126" s="729"/>
    </row>
    <row r="127" spans="2:37" ht="22.5" customHeight="1">
      <c r="B127" s="729" t="s">
        <v>210</v>
      </c>
      <c r="C127" s="729"/>
      <c r="D127" s="729"/>
      <c r="E127" s="729"/>
      <c r="F127" s="729"/>
      <c r="G127" s="729"/>
      <c r="H127" s="729"/>
      <c r="I127" s="729"/>
      <c r="J127" s="729"/>
      <c r="K127" s="729"/>
      <c r="L127" s="729"/>
      <c r="M127" s="729"/>
      <c r="N127" s="729"/>
      <c r="O127" s="729"/>
      <c r="P127" s="729"/>
      <c r="Q127" s="729"/>
      <c r="R127" s="729"/>
      <c r="S127" s="729"/>
      <c r="T127" s="729"/>
      <c r="U127" s="729"/>
      <c r="V127" s="729"/>
      <c r="W127" s="729"/>
      <c r="X127" s="729"/>
      <c r="Y127" s="729"/>
      <c r="Z127" s="729"/>
      <c r="AA127" s="729"/>
      <c r="AB127" s="729"/>
      <c r="AC127" s="729"/>
      <c r="AD127" s="729"/>
      <c r="AE127" s="729"/>
      <c r="AF127" s="729"/>
      <c r="AG127" s="729"/>
      <c r="AH127" s="729"/>
      <c r="AI127" s="729"/>
      <c r="AJ127" s="729"/>
      <c r="AK127" s="729"/>
    </row>
    <row r="128" spans="2:37" ht="33.75" customHeight="1">
      <c r="B128" s="729" t="s">
        <v>211</v>
      </c>
      <c r="C128" s="729"/>
      <c r="D128" s="729"/>
      <c r="E128" s="729"/>
      <c r="F128" s="729"/>
      <c r="G128" s="729"/>
      <c r="H128" s="729"/>
      <c r="I128" s="729"/>
      <c r="J128" s="729"/>
      <c r="K128" s="729"/>
      <c r="L128" s="729"/>
      <c r="M128" s="729"/>
      <c r="N128" s="729"/>
      <c r="O128" s="729"/>
      <c r="P128" s="729"/>
      <c r="Q128" s="729"/>
      <c r="R128" s="729"/>
      <c r="S128" s="729"/>
      <c r="T128" s="729"/>
      <c r="U128" s="729"/>
      <c r="V128" s="729"/>
      <c r="W128" s="729"/>
      <c r="X128" s="729"/>
      <c r="Y128" s="729"/>
      <c r="Z128" s="729"/>
      <c r="AA128" s="729"/>
      <c r="AB128" s="729"/>
      <c r="AC128" s="729"/>
      <c r="AD128" s="729"/>
      <c r="AE128" s="729"/>
      <c r="AF128" s="729"/>
      <c r="AG128" s="729"/>
      <c r="AH128" s="729"/>
      <c r="AI128" s="729"/>
      <c r="AJ128" s="729"/>
      <c r="AK128" s="729"/>
    </row>
    <row r="129" spans="2:37" ht="13.2">
      <c r="B129" s="297"/>
      <c r="C129" s="298"/>
      <c r="D129" s="298"/>
      <c r="E129" s="298"/>
      <c r="F129" s="298"/>
      <c r="G129" s="298"/>
      <c r="H129" s="298"/>
      <c r="I129" s="298"/>
      <c r="J129" s="298"/>
      <c r="K129" s="298"/>
      <c r="L129" s="298"/>
      <c r="M129" s="298"/>
      <c r="N129" s="298"/>
      <c r="O129" s="298"/>
      <c r="P129" s="298"/>
      <c r="Q129" s="298"/>
      <c r="R129" s="298"/>
      <c r="S129" s="298"/>
      <c r="T129" s="298"/>
      <c r="U129" s="298"/>
      <c r="V129" s="298"/>
      <c r="W129" s="298"/>
      <c r="X129" s="298"/>
      <c r="Y129" s="298"/>
      <c r="Z129" s="298"/>
      <c r="AA129" s="298"/>
      <c r="AB129" s="298"/>
      <c r="AC129" s="298"/>
      <c r="AD129" s="298"/>
      <c r="AE129" s="298"/>
      <c r="AF129" s="298"/>
      <c r="AG129" s="298"/>
      <c r="AH129" s="298"/>
      <c r="AI129" s="298"/>
      <c r="AJ129" s="298"/>
      <c r="AK129" s="298"/>
    </row>
    <row r="130" spans="2:37" ht="45" customHeight="1">
      <c r="B130" s="858" t="s">
        <v>391</v>
      </c>
      <c r="C130" s="858"/>
      <c r="D130" s="858"/>
      <c r="E130" s="858"/>
      <c r="F130" s="858"/>
      <c r="G130" s="858"/>
      <c r="H130" s="858"/>
      <c r="I130" s="858"/>
      <c r="J130" s="858"/>
      <c r="K130" s="858"/>
      <c r="L130" s="858"/>
      <c r="M130" s="858"/>
      <c r="N130" s="858"/>
      <c r="O130" s="858"/>
      <c r="P130" s="858"/>
      <c r="Q130" s="858"/>
      <c r="R130" s="858"/>
      <c r="S130" s="858"/>
      <c r="T130" s="858"/>
      <c r="U130" s="858"/>
      <c r="V130" s="858"/>
      <c r="W130" s="858"/>
      <c r="X130" s="858"/>
      <c r="Y130" s="858"/>
      <c r="Z130" s="858"/>
      <c r="AA130" s="858"/>
      <c r="AB130" s="858"/>
      <c r="AC130" s="858"/>
      <c r="AD130" s="858"/>
      <c r="AE130" s="858"/>
      <c r="AF130" s="858"/>
      <c r="AG130" s="858"/>
      <c r="AH130" s="858"/>
      <c r="AI130" s="858"/>
      <c r="AJ130" s="858"/>
      <c r="AK130" s="858"/>
    </row>
    <row r="131" spans="2:37" ht="13.2">
      <c r="B131" s="298"/>
      <c r="C131" s="298"/>
      <c r="D131" s="298"/>
      <c r="E131" s="298"/>
      <c r="F131" s="298"/>
      <c r="G131" s="298"/>
      <c r="H131" s="298"/>
      <c r="I131" s="298"/>
      <c r="J131" s="298"/>
      <c r="K131" s="298"/>
      <c r="L131" s="298"/>
      <c r="M131" s="298"/>
      <c r="N131" s="298"/>
      <c r="O131" s="298"/>
      <c r="P131" s="298"/>
      <c r="Q131" s="298"/>
      <c r="R131" s="298"/>
      <c r="S131" s="298"/>
      <c r="T131" s="298"/>
      <c r="U131" s="298"/>
      <c r="V131" s="298"/>
      <c r="W131" s="298"/>
      <c r="X131" s="298"/>
      <c r="Y131" s="298"/>
      <c r="Z131" s="298"/>
      <c r="AA131" s="298"/>
      <c r="AB131" s="298"/>
      <c r="AC131" s="298"/>
      <c r="AD131" s="298"/>
      <c r="AE131" s="298"/>
      <c r="AF131" s="298"/>
      <c r="AG131" s="298"/>
      <c r="AH131" s="298"/>
      <c r="AI131" s="298"/>
      <c r="AJ131" s="298"/>
      <c r="AK131" s="298"/>
    </row>
    <row r="132" spans="2:37" ht="67.5" customHeight="1">
      <c r="B132" s="858" t="s">
        <v>392</v>
      </c>
      <c r="C132" s="858"/>
      <c r="D132" s="858"/>
      <c r="E132" s="858"/>
      <c r="F132" s="858"/>
      <c r="G132" s="858"/>
      <c r="H132" s="858"/>
      <c r="I132" s="858"/>
      <c r="J132" s="858"/>
      <c r="K132" s="858"/>
      <c r="L132" s="858"/>
      <c r="M132" s="858"/>
      <c r="N132" s="858"/>
      <c r="O132" s="858"/>
      <c r="P132" s="858"/>
      <c r="Q132" s="858"/>
      <c r="R132" s="858"/>
      <c r="S132" s="858"/>
      <c r="T132" s="858"/>
      <c r="U132" s="858"/>
      <c r="V132" s="858"/>
      <c r="W132" s="858"/>
      <c r="X132" s="858"/>
      <c r="Y132" s="858"/>
      <c r="Z132" s="858"/>
      <c r="AA132" s="858"/>
      <c r="AB132" s="858"/>
      <c r="AC132" s="858"/>
      <c r="AD132" s="858"/>
      <c r="AE132" s="858"/>
      <c r="AF132" s="858"/>
      <c r="AG132" s="858"/>
      <c r="AH132" s="858"/>
      <c r="AI132" s="858"/>
      <c r="AJ132" s="858"/>
      <c r="AK132" s="858"/>
    </row>
    <row r="133" spans="2:37" ht="13.2">
      <c r="B133" s="281"/>
      <c r="C133" s="281"/>
      <c r="D133" s="281"/>
      <c r="E133" s="281"/>
      <c r="F133" s="281"/>
      <c r="G133" s="281"/>
      <c r="H133" s="281"/>
      <c r="I133" s="281"/>
      <c r="J133" s="281"/>
      <c r="K133" s="281"/>
      <c r="L133" s="281"/>
      <c r="M133" s="281"/>
      <c r="N133" s="281"/>
      <c r="O133" s="281"/>
      <c r="P133" s="281"/>
      <c r="Q133" s="281"/>
      <c r="R133" s="281"/>
      <c r="S133" s="281"/>
      <c r="T133" s="281"/>
      <c r="U133" s="281"/>
      <c r="V133" s="281"/>
      <c r="W133" s="281"/>
      <c r="X133" s="281"/>
      <c r="Y133" s="281"/>
      <c r="Z133" s="281"/>
      <c r="AA133" s="281"/>
      <c r="AB133" s="281"/>
      <c r="AC133" s="281"/>
      <c r="AD133" s="281"/>
      <c r="AE133" s="281"/>
      <c r="AF133" s="281"/>
      <c r="AG133" s="281"/>
      <c r="AH133" s="281"/>
      <c r="AI133" s="281"/>
      <c r="AJ133" s="281"/>
      <c r="AK133" s="281"/>
    </row>
    <row r="134" spans="2:37" ht="33.75" customHeight="1">
      <c r="B134" s="566" t="s">
        <v>393</v>
      </c>
      <c r="C134" s="566"/>
      <c r="D134" s="566"/>
      <c r="E134" s="566"/>
      <c r="F134" s="566"/>
      <c r="G134" s="566"/>
      <c r="H134" s="566"/>
      <c r="I134" s="566"/>
      <c r="J134" s="566"/>
      <c r="K134" s="566"/>
      <c r="L134" s="566"/>
      <c r="M134" s="566"/>
      <c r="N134" s="566"/>
      <c r="O134" s="566"/>
      <c r="P134" s="566"/>
      <c r="Q134" s="566"/>
      <c r="R134" s="566"/>
      <c r="S134" s="566"/>
      <c r="T134" s="566"/>
      <c r="U134" s="566"/>
      <c r="V134" s="566"/>
      <c r="W134" s="566"/>
      <c r="X134" s="566"/>
      <c r="Y134" s="566"/>
      <c r="Z134" s="566"/>
      <c r="AA134" s="566"/>
      <c r="AB134" s="566"/>
      <c r="AC134" s="566"/>
      <c r="AD134" s="566"/>
      <c r="AE134" s="566"/>
      <c r="AF134" s="566"/>
      <c r="AG134" s="566"/>
      <c r="AH134" s="566"/>
      <c r="AI134" s="566"/>
      <c r="AJ134" s="566"/>
      <c r="AK134" s="566"/>
    </row>
    <row r="135" spans="2:37" ht="13.2">
      <c r="B135" s="231"/>
      <c r="C135" s="231"/>
      <c r="D135" s="231"/>
      <c r="E135" s="231"/>
      <c r="F135" s="231"/>
      <c r="G135" s="231"/>
      <c r="H135" s="231"/>
      <c r="I135" s="231"/>
      <c r="J135" s="231"/>
      <c r="K135" s="231"/>
      <c r="L135" s="231"/>
      <c r="M135" s="231"/>
      <c r="N135" s="231"/>
      <c r="O135" s="231"/>
      <c r="P135" s="231"/>
      <c r="Q135" s="231"/>
      <c r="R135" s="231"/>
      <c r="S135" s="231"/>
      <c r="T135" s="231"/>
      <c r="U135" s="231"/>
      <c r="V135" s="231"/>
      <c r="W135" s="231"/>
      <c r="X135" s="231"/>
      <c r="Y135" s="231"/>
      <c r="Z135" s="231"/>
      <c r="AA135" s="231"/>
      <c r="AB135" s="231"/>
      <c r="AC135" s="231"/>
      <c r="AD135" s="231"/>
      <c r="AE135" s="231"/>
      <c r="AF135" s="231"/>
      <c r="AG135" s="231"/>
      <c r="AH135" s="231"/>
      <c r="AI135" s="231"/>
      <c r="AJ135" s="231"/>
      <c r="AK135" s="231"/>
    </row>
    <row r="136" spans="2:37" ht="67.5" customHeight="1">
      <c r="B136" s="566" t="s">
        <v>394</v>
      </c>
      <c r="C136" s="566"/>
      <c r="D136" s="566"/>
      <c r="E136" s="566"/>
      <c r="F136" s="566"/>
      <c r="G136" s="566"/>
      <c r="H136" s="566"/>
      <c r="I136" s="566"/>
      <c r="J136" s="566"/>
      <c r="K136" s="566"/>
      <c r="L136" s="566"/>
      <c r="M136" s="566"/>
      <c r="N136" s="566"/>
      <c r="O136" s="566"/>
      <c r="P136" s="566"/>
      <c r="Q136" s="566"/>
      <c r="R136" s="566"/>
      <c r="S136" s="566"/>
      <c r="T136" s="566"/>
      <c r="U136" s="566"/>
      <c r="V136" s="566"/>
      <c r="W136" s="566"/>
      <c r="X136" s="566"/>
      <c r="Y136" s="566"/>
      <c r="Z136" s="566"/>
      <c r="AA136" s="566"/>
      <c r="AB136" s="566"/>
      <c r="AC136" s="566"/>
      <c r="AD136" s="566"/>
      <c r="AE136" s="566"/>
      <c r="AF136" s="566"/>
      <c r="AG136" s="566"/>
      <c r="AH136" s="566"/>
      <c r="AI136" s="566"/>
      <c r="AJ136" s="566"/>
      <c r="AK136" s="566"/>
    </row>
    <row r="137" spans="2:37" ht="13.2">
      <c r="B137" s="231"/>
      <c r="C137" s="231"/>
      <c r="D137" s="231"/>
      <c r="E137" s="231"/>
      <c r="F137" s="231"/>
      <c r="G137" s="231"/>
      <c r="H137" s="231"/>
      <c r="I137" s="231"/>
      <c r="J137" s="231"/>
      <c r="K137" s="231"/>
      <c r="L137" s="231"/>
      <c r="M137" s="231"/>
      <c r="N137" s="231"/>
      <c r="O137" s="231"/>
      <c r="P137" s="231"/>
      <c r="Q137" s="231"/>
      <c r="R137" s="231"/>
      <c r="S137" s="231"/>
      <c r="T137" s="231"/>
      <c r="U137" s="231"/>
      <c r="V137" s="231"/>
      <c r="W137" s="231"/>
      <c r="X137" s="231"/>
      <c r="Y137" s="231"/>
      <c r="Z137" s="231"/>
      <c r="AA137" s="231"/>
      <c r="AB137" s="231"/>
      <c r="AC137" s="231"/>
      <c r="AD137" s="231"/>
      <c r="AE137" s="231"/>
      <c r="AF137" s="231"/>
      <c r="AG137" s="231"/>
      <c r="AH137" s="231"/>
      <c r="AI137" s="231"/>
      <c r="AJ137" s="231"/>
      <c r="AK137" s="231"/>
    </row>
    <row r="138" spans="2:37" ht="33.75" customHeight="1">
      <c r="B138" s="566" t="s">
        <v>395</v>
      </c>
      <c r="C138" s="566"/>
      <c r="D138" s="566"/>
      <c r="E138" s="566"/>
      <c r="F138" s="566"/>
      <c r="G138" s="566"/>
      <c r="H138" s="566"/>
      <c r="I138" s="566"/>
      <c r="J138" s="566"/>
      <c r="K138" s="566"/>
      <c r="L138" s="566"/>
      <c r="M138" s="566"/>
      <c r="N138" s="566"/>
      <c r="O138" s="566"/>
      <c r="P138" s="566"/>
      <c r="Q138" s="566"/>
      <c r="R138" s="566"/>
      <c r="S138" s="566"/>
      <c r="T138" s="566"/>
      <c r="U138" s="566"/>
      <c r="V138" s="566"/>
      <c r="W138" s="566"/>
      <c r="X138" s="566"/>
      <c r="Y138" s="566"/>
      <c r="Z138" s="566"/>
      <c r="AA138" s="566"/>
      <c r="AB138" s="566"/>
      <c r="AC138" s="566"/>
      <c r="AD138" s="566"/>
      <c r="AE138" s="566"/>
      <c r="AF138" s="566"/>
      <c r="AG138" s="566"/>
      <c r="AH138" s="566"/>
      <c r="AI138" s="566"/>
      <c r="AJ138" s="566"/>
      <c r="AK138" s="566"/>
    </row>
    <row r="139" spans="2:37" ht="13.2">
      <c r="B139" s="232"/>
      <c r="C139" s="231"/>
      <c r="D139" s="231"/>
      <c r="E139" s="231"/>
      <c r="F139" s="231"/>
      <c r="G139" s="231"/>
      <c r="H139" s="231"/>
      <c r="I139" s="231"/>
      <c r="J139" s="231"/>
      <c r="K139" s="231"/>
      <c r="L139" s="231"/>
      <c r="M139" s="231"/>
      <c r="N139" s="231"/>
      <c r="O139" s="231"/>
      <c r="P139" s="231"/>
      <c r="Q139" s="231"/>
      <c r="R139" s="231"/>
      <c r="S139" s="231"/>
      <c r="T139" s="231"/>
      <c r="U139" s="231"/>
      <c r="V139" s="231"/>
      <c r="W139" s="231"/>
      <c r="X139" s="231"/>
      <c r="Y139" s="231"/>
      <c r="Z139" s="231"/>
      <c r="AA139" s="231"/>
      <c r="AB139" s="231"/>
      <c r="AC139" s="231"/>
      <c r="AD139" s="231"/>
      <c r="AE139" s="231"/>
      <c r="AF139" s="231"/>
      <c r="AG139" s="231"/>
      <c r="AH139" s="231"/>
      <c r="AI139" s="231"/>
      <c r="AJ139" s="231"/>
      <c r="AK139" s="231"/>
    </row>
    <row r="140" spans="2:37" ht="67.5" customHeight="1">
      <c r="B140" s="566" t="s">
        <v>396</v>
      </c>
      <c r="C140" s="566"/>
      <c r="D140" s="566"/>
      <c r="E140" s="566"/>
      <c r="F140" s="566"/>
      <c r="G140" s="566"/>
      <c r="H140" s="566"/>
      <c r="I140" s="566"/>
      <c r="J140" s="566"/>
      <c r="K140" s="566"/>
      <c r="L140" s="566"/>
      <c r="M140" s="566"/>
      <c r="N140" s="566"/>
      <c r="O140" s="566"/>
      <c r="P140" s="566"/>
      <c r="Q140" s="566"/>
      <c r="R140" s="566"/>
      <c r="S140" s="566"/>
      <c r="T140" s="566"/>
      <c r="U140" s="566"/>
      <c r="V140" s="566"/>
      <c r="W140" s="566"/>
      <c r="X140" s="566"/>
      <c r="Y140" s="566"/>
      <c r="Z140" s="566"/>
      <c r="AA140" s="566"/>
      <c r="AB140" s="566"/>
      <c r="AC140" s="566"/>
      <c r="AD140" s="566"/>
      <c r="AE140" s="566"/>
      <c r="AF140" s="566"/>
      <c r="AG140" s="566"/>
      <c r="AH140" s="566"/>
      <c r="AI140" s="566"/>
      <c r="AJ140" s="566"/>
      <c r="AK140" s="566"/>
    </row>
    <row r="141" spans="2:37" ht="13.2">
      <c r="B141" s="231"/>
      <c r="C141" s="231"/>
      <c r="D141" s="231"/>
      <c r="E141" s="231"/>
      <c r="F141" s="231"/>
      <c r="G141" s="231"/>
      <c r="H141" s="231"/>
      <c r="I141" s="231"/>
      <c r="J141" s="231"/>
      <c r="K141" s="231"/>
      <c r="L141" s="231"/>
      <c r="M141" s="231"/>
      <c r="N141" s="231"/>
      <c r="O141" s="231"/>
      <c r="P141" s="231"/>
      <c r="Q141" s="231"/>
      <c r="R141" s="231"/>
      <c r="S141" s="231"/>
      <c r="T141" s="231"/>
      <c r="U141" s="231"/>
      <c r="V141" s="231"/>
      <c r="W141" s="231"/>
      <c r="X141" s="231"/>
      <c r="Y141" s="231"/>
      <c r="Z141" s="231"/>
      <c r="AA141" s="231"/>
      <c r="AB141" s="231"/>
      <c r="AC141" s="231"/>
      <c r="AD141" s="231"/>
      <c r="AE141" s="231"/>
      <c r="AF141" s="231"/>
      <c r="AG141" s="231"/>
      <c r="AH141" s="231"/>
      <c r="AI141" s="231"/>
      <c r="AJ141" s="231"/>
      <c r="AK141" s="231"/>
    </row>
    <row r="142" spans="2:37" ht="56.25" customHeight="1">
      <c r="B142" s="566" t="s">
        <v>397</v>
      </c>
      <c r="C142" s="566"/>
      <c r="D142" s="566"/>
      <c r="E142" s="566"/>
      <c r="F142" s="566"/>
      <c r="G142" s="566"/>
      <c r="H142" s="566"/>
      <c r="I142" s="566"/>
      <c r="J142" s="566"/>
      <c r="K142" s="566"/>
      <c r="L142" s="566"/>
      <c r="M142" s="566"/>
      <c r="N142" s="566"/>
      <c r="O142" s="566"/>
      <c r="P142" s="566"/>
      <c r="Q142" s="566"/>
      <c r="R142" s="566"/>
      <c r="S142" s="566"/>
      <c r="T142" s="566"/>
      <c r="U142" s="566"/>
      <c r="V142" s="566"/>
      <c r="W142" s="566"/>
      <c r="X142" s="566"/>
      <c r="Y142" s="566"/>
      <c r="Z142" s="566"/>
      <c r="AA142" s="566"/>
      <c r="AB142" s="566"/>
      <c r="AC142" s="566"/>
      <c r="AD142" s="566"/>
      <c r="AE142" s="566"/>
      <c r="AF142" s="566"/>
      <c r="AG142" s="566"/>
      <c r="AH142" s="566"/>
      <c r="AI142" s="566"/>
      <c r="AJ142" s="566"/>
      <c r="AK142" s="566"/>
    </row>
    <row r="143" spans="2:37" ht="22.5" customHeight="1">
      <c r="B143" s="562" t="s">
        <v>231</v>
      </c>
      <c r="C143" s="562"/>
      <c r="D143" s="562"/>
      <c r="E143" s="562"/>
      <c r="F143" s="562"/>
      <c r="G143" s="562"/>
      <c r="H143" s="562"/>
      <c r="I143" s="562"/>
      <c r="J143" s="562"/>
      <c r="K143" s="562"/>
      <c r="L143" s="562"/>
      <c r="M143" s="562"/>
      <c r="N143" s="562"/>
      <c r="O143" s="562"/>
      <c r="P143" s="562"/>
      <c r="Q143" s="562"/>
      <c r="R143" s="562"/>
      <c r="S143" s="562"/>
      <c r="T143" s="562"/>
      <c r="U143" s="562"/>
      <c r="V143" s="562"/>
      <c r="W143" s="562"/>
      <c r="X143" s="562"/>
      <c r="Y143" s="562"/>
      <c r="Z143" s="562"/>
      <c r="AA143" s="562"/>
      <c r="AB143" s="562"/>
      <c r="AC143" s="562"/>
      <c r="AD143" s="562"/>
      <c r="AE143" s="562"/>
      <c r="AF143" s="562"/>
      <c r="AG143" s="562"/>
      <c r="AH143" s="562"/>
      <c r="AI143" s="562"/>
      <c r="AJ143" s="562"/>
      <c r="AK143" s="562"/>
    </row>
    <row r="144" spans="2:37" ht="13.2">
      <c r="B144" s="231"/>
      <c r="C144" s="231"/>
      <c r="D144" s="231"/>
      <c r="E144" s="231"/>
      <c r="F144" s="231"/>
      <c r="G144" s="231"/>
      <c r="H144" s="231"/>
      <c r="I144" s="231"/>
      <c r="J144" s="231"/>
      <c r="K144" s="231"/>
      <c r="L144" s="231"/>
      <c r="M144" s="231"/>
      <c r="N144" s="231"/>
      <c r="O144" s="231"/>
      <c r="P144" s="231"/>
      <c r="Q144" s="231"/>
      <c r="R144" s="231"/>
      <c r="S144" s="231"/>
      <c r="T144" s="231"/>
      <c r="U144" s="231"/>
      <c r="V144" s="231"/>
      <c r="W144" s="231"/>
      <c r="X144" s="231"/>
      <c r="Y144" s="231"/>
      <c r="Z144" s="231"/>
      <c r="AA144" s="231"/>
      <c r="AB144" s="231"/>
      <c r="AC144" s="231"/>
      <c r="AD144" s="231"/>
      <c r="AE144" s="231"/>
      <c r="AF144" s="231"/>
      <c r="AG144" s="231"/>
      <c r="AH144" s="231"/>
      <c r="AI144" s="231"/>
      <c r="AJ144" s="231"/>
      <c r="AK144" s="231"/>
    </row>
    <row r="145" spans="2:37" ht="67.5" customHeight="1">
      <c r="B145" s="566" t="s">
        <v>317</v>
      </c>
      <c r="C145" s="566"/>
      <c r="D145" s="566"/>
      <c r="E145" s="566"/>
      <c r="F145" s="566"/>
      <c r="G145" s="566"/>
      <c r="H145" s="566"/>
      <c r="I145" s="566"/>
      <c r="J145" s="566"/>
      <c r="K145" s="566"/>
      <c r="L145" s="566"/>
      <c r="M145" s="566"/>
      <c r="N145" s="566"/>
      <c r="O145" s="566"/>
      <c r="P145" s="566"/>
      <c r="Q145" s="566"/>
      <c r="R145" s="566"/>
      <c r="S145" s="566"/>
      <c r="T145" s="566"/>
      <c r="U145" s="566"/>
      <c r="V145" s="566"/>
      <c r="W145" s="566"/>
      <c r="X145" s="566"/>
      <c r="Y145" s="566"/>
      <c r="Z145" s="566"/>
      <c r="AA145" s="566"/>
      <c r="AB145" s="566"/>
      <c r="AC145" s="566"/>
      <c r="AD145" s="566"/>
      <c r="AE145" s="566"/>
      <c r="AF145" s="566"/>
      <c r="AG145" s="566"/>
      <c r="AH145" s="566"/>
      <c r="AI145" s="566"/>
      <c r="AJ145" s="566"/>
      <c r="AK145" s="566"/>
    </row>
    <row r="146" spans="2:37" ht="13.2">
      <c r="B146" s="232"/>
      <c r="C146" s="231"/>
      <c r="D146" s="231"/>
      <c r="E146" s="231"/>
      <c r="F146" s="231"/>
      <c r="G146" s="231"/>
      <c r="H146" s="231"/>
      <c r="I146" s="231"/>
      <c r="J146" s="231"/>
      <c r="K146" s="231"/>
      <c r="L146" s="231"/>
      <c r="M146" s="231"/>
      <c r="N146" s="231"/>
      <c r="O146" s="231"/>
      <c r="P146" s="231"/>
      <c r="Q146" s="231"/>
      <c r="R146" s="231"/>
      <c r="S146" s="231"/>
      <c r="T146" s="231"/>
      <c r="U146" s="231"/>
      <c r="V146" s="231"/>
      <c r="W146" s="231"/>
      <c r="X146" s="231"/>
      <c r="Y146" s="231"/>
      <c r="Z146" s="231"/>
      <c r="AA146" s="231"/>
      <c r="AB146" s="231"/>
      <c r="AC146" s="231"/>
      <c r="AD146" s="231"/>
      <c r="AE146" s="231"/>
      <c r="AF146" s="231"/>
      <c r="AG146" s="231"/>
      <c r="AH146" s="231"/>
      <c r="AI146" s="231"/>
      <c r="AJ146" s="231"/>
      <c r="AK146" s="231"/>
    </row>
    <row r="147" spans="2:37" ht="78.75" customHeight="1">
      <c r="B147" s="566" t="s">
        <v>398</v>
      </c>
      <c r="C147" s="566"/>
      <c r="D147" s="566"/>
      <c r="E147" s="566"/>
      <c r="F147" s="566"/>
      <c r="G147" s="566"/>
      <c r="H147" s="566"/>
      <c r="I147" s="566"/>
      <c r="J147" s="566"/>
      <c r="K147" s="566"/>
      <c r="L147" s="566"/>
      <c r="M147" s="566"/>
      <c r="N147" s="566"/>
      <c r="O147" s="566"/>
      <c r="P147" s="566"/>
      <c r="Q147" s="566"/>
      <c r="R147" s="566"/>
      <c r="S147" s="566"/>
      <c r="T147" s="566"/>
      <c r="U147" s="566"/>
      <c r="V147" s="566"/>
      <c r="W147" s="566"/>
      <c r="X147" s="566"/>
      <c r="Y147" s="566"/>
      <c r="Z147" s="566"/>
      <c r="AA147" s="566"/>
      <c r="AB147" s="566"/>
      <c r="AC147" s="566"/>
      <c r="AD147" s="566"/>
      <c r="AE147" s="566"/>
      <c r="AF147" s="566"/>
      <c r="AG147" s="566"/>
      <c r="AH147" s="566"/>
      <c r="AI147" s="566"/>
      <c r="AJ147" s="566"/>
      <c r="AK147" s="566"/>
    </row>
    <row r="148" spans="2:37" ht="56.25" customHeight="1">
      <c r="B148" s="562" t="s">
        <v>373</v>
      </c>
      <c r="C148" s="562"/>
      <c r="D148" s="562"/>
      <c r="E148" s="562"/>
      <c r="F148" s="562"/>
      <c r="G148" s="562"/>
      <c r="H148" s="562"/>
      <c r="I148" s="562"/>
      <c r="J148" s="562"/>
      <c r="K148" s="562"/>
      <c r="L148" s="562"/>
      <c r="M148" s="562"/>
      <c r="N148" s="562"/>
      <c r="O148" s="562"/>
      <c r="P148" s="562"/>
      <c r="Q148" s="562"/>
      <c r="R148" s="562"/>
      <c r="S148" s="562"/>
      <c r="T148" s="562"/>
      <c r="U148" s="562"/>
      <c r="V148" s="562"/>
      <c r="W148" s="562"/>
      <c r="X148" s="562"/>
      <c r="Y148" s="562"/>
      <c r="Z148" s="562"/>
      <c r="AA148" s="562"/>
      <c r="AB148" s="562"/>
      <c r="AC148" s="562"/>
      <c r="AD148" s="562"/>
      <c r="AE148" s="562"/>
      <c r="AF148" s="562"/>
      <c r="AG148" s="562"/>
      <c r="AH148" s="562"/>
      <c r="AI148" s="562"/>
      <c r="AJ148" s="562"/>
      <c r="AK148" s="562"/>
    </row>
    <row r="149" spans="2:37" ht="22.5" customHeight="1">
      <c r="B149" s="562" t="s">
        <v>374</v>
      </c>
      <c r="C149" s="562"/>
      <c r="D149" s="562"/>
      <c r="E149" s="562"/>
      <c r="F149" s="562"/>
      <c r="G149" s="562"/>
      <c r="H149" s="562"/>
      <c r="I149" s="562"/>
      <c r="J149" s="562"/>
      <c r="K149" s="562"/>
      <c r="L149" s="562"/>
      <c r="M149" s="562"/>
      <c r="N149" s="562"/>
      <c r="O149" s="562"/>
      <c r="P149" s="562"/>
      <c r="Q149" s="562"/>
      <c r="R149" s="562"/>
      <c r="S149" s="562"/>
      <c r="T149" s="562"/>
      <c r="U149" s="562"/>
      <c r="V149" s="562"/>
      <c r="W149" s="562"/>
      <c r="X149" s="562"/>
      <c r="Y149" s="562"/>
      <c r="Z149" s="562"/>
      <c r="AA149" s="562"/>
      <c r="AB149" s="562"/>
      <c r="AC149" s="562"/>
      <c r="AD149" s="562"/>
      <c r="AE149" s="562"/>
      <c r="AF149" s="562"/>
      <c r="AG149" s="562"/>
      <c r="AH149" s="562"/>
      <c r="AI149" s="562"/>
      <c r="AJ149" s="562"/>
      <c r="AK149" s="562"/>
    </row>
    <row r="150" spans="2:37" ht="13.2">
      <c r="B150" s="231" t="s">
        <v>119</v>
      </c>
      <c r="C150" s="231"/>
      <c r="D150" s="231"/>
      <c r="E150" s="231"/>
      <c r="F150" s="231"/>
      <c r="G150" s="231"/>
      <c r="H150" s="231"/>
      <c r="I150" s="231"/>
      <c r="J150" s="231"/>
      <c r="K150" s="231"/>
      <c r="L150" s="231"/>
      <c r="M150" s="231"/>
      <c r="N150" s="231"/>
      <c r="O150" s="231"/>
      <c r="P150" s="231"/>
      <c r="Q150" s="231"/>
      <c r="R150" s="231"/>
      <c r="S150" s="231"/>
      <c r="T150" s="231"/>
      <c r="U150" s="231"/>
      <c r="V150" s="231"/>
      <c r="W150" s="231"/>
      <c r="X150" s="231"/>
      <c r="Y150" s="231"/>
      <c r="Z150" s="231"/>
      <c r="AA150" s="231"/>
      <c r="AB150" s="231"/>
      <c r="AC150" s="231"/>
      <c r="AD150" s="231"/>
      <c r="AE150" s="231"/>
      <c r="AF150" s="231"/>
      <c r="AG150" s="231"/>
      <c r="AH150" s="231"/>
      <c r="AI150" s="231"/>
      <c r="AJ150" s="231"/>
      <c r="AK150" s="231"/>
    </row>
    <row r="151" spans="2:37" ht="247.5" customHeight="1">
      <c r="B151" s="566" t="s">
        <v>399</v>
      </c>
      <c r="C151" s="566"/>
      <c r="D151" s="566"/>
      <c r="E151" s="566"/>
      <c r="F151" s="566"/>
      <c r="G151" s="566"/>
      <c r="H151" s="566"/>
      <c r="I151" s="566"/>
      <c r="J151" s="566"/>
      <c r="K151" s="566"/>
      <c r="L151" s="566"/>
      <c r="M151" s="566"/>
      <c r="N151" s="566"/>
      <c r="O151" s="566"/>
      <c r="P151" s="566"/>
      <c r="Q151" s="566"/>
      <c r="R151" s="566"/>
      <c r="S151" s="566"/>
      <c r="T151" s="566"/>
      <c r="U151" s="566"/>
      <c r="V151" s="566"/>
      <c r="W151" s="566"/>
      <c r="X151" s="566"/>
      <c r="Y151" s="566"/>
      <c r="Z151" s="566"/>
      <c r="AA151" s="566"/>
      <c r="AB151" s="566"/>
      <c r="AC151" s="566"/>
      <c r="AD151" s="566"/>
      <c r="AE151" s="566"/>
      <c r="AF151" s="566"/>
      <c r="AG151" s="566"/>
      <c r="AH151" s="566"/>
      <c r="AI151" s="566"/>
      <c r="AJ151" s="566"/>
      <c r="AK151" s="566"/>
    </row>
    <row r="152" spans="2:37" ht="13.2">
      <c r="B152" s="232"/>
      <c r="C152" s="231"/>
      <c r="D152" s="231"/>
      <c r="E152" s="231"/>
      <c r="F152" s="231"/>
      <c r="G152" s="231"/>
      <c r="H152" s="231"/>
      <c r="I152" s="231"/>
      <c r="J152" s="231"/>
      <c r="K152" s="231"/>
      <c r="L152" s="231"/>
      <c r="M152" s="231"/>
      <c r="N152" s="231"/>
      <c r="O152" s="231"/>
      <c r="P152" s="231"/>
      <c r="Q152" s="231"/>
      <c r="R152" s="231"/>
      <c r="S152" s="231"/>
      <c r="T152" s="231"/>
      <c r="U152" s="231"/>
      <c r="V152" s="231"/>
      <c r="W152" s="231"/>
      <c r="X152" s="231"/>
      <c r="Y152" s="231"/>
      <c r="Z152" s="231"/>
      <c r="AA152" s="231"/>
      <c r="AB152" s="231"/>
      <c r="AC152" s="231"/>
      <c r="AD152" s="231"/>
      <c r="AE152" s="231"/>
      <c r="AF152" s="231"/>
      <c r="AG152" s="231"/>
      <c r="AH152" s="231"/>
      <c r="AI152" s="231"/>
      <c r="AJ152" s="231"/>
      <c r="AK152" s="231"/>
    </row>
    <row r="153" spans="2:37" ht="56.25" customHeight="1">
      <c r="B153" s="566" t="s">
        <v>400</v>
      </c>
      <c r="C153" s="566"/>
      <c r="D153" s="566"/>
      <c r="E153" s="566"/>
      <c r="F153" s="566"/>
      <c r="G153" s="566"/>
      <c r="H153" s="566"/>
      <c r="I153" s="566"/>
      <c r="J153" s="566"/>
      <c r="K153" s="566"/>
      <c r="L153" s="566"/>
      <c r="M153" s="566"/>
      <c r="N153" s="566"/>
      <c r="O153" s="566"/>
      <c r="P153" s="566"/>
      <c r="Q153" s="566"/>
      <c r="R153" s="566"/>
      <c r="S153" s="566"/>
      <c r="T153" s="566"/>
      <c r="U153" s="566"/>
      <c r="V153" s="566"/>
      <c r="W153" s="566"/>
      <c r="X153" s="566"/>
      <c r="Y153" s="566"/>
      <c r="Z153" s="566"/>
      <c r="AA153" s="566"/>
      <c r="AB153" s="566"/>
      <c r="AC153" s="566"/>
      <c r="AD153" s="566"/>
      <c r="AE153" s="566"/>
      <c r="AF153" s="566"/>
      <c r="AG153" s="566"/>
      <c r="AH153" s="566"/>
      <c r="AI153" s="566"/>
      <c r="AJ153" s="566"/>
      <c r="AK153" s="566"/>
    </row>
    <row r="154" spans="2:37" ht="13.2">
      <c r="B154" s="231"/>
      <c r="C154" s="231"/>
      <c r="D154" s="231"/>
      <c r="E154" s="231"/>
      <c r="F154" s="231"/>
      <c r="G154" s="231"/>
      <c r="H154" s="231"/>
      <c r="I154" s="231"/>
      <c r="J154" s="231"/>
      <c r="K154" s="231"/>
      <c r="L154" s="231"/>
      <c r="M154" s="231"/>
      <c r="N154" s="231"/>
      <c r="O154" s="231"/>
      <c r="P154" s="231"/>
      <c r="Q154" s="231"/>
      <c r="R154" s="231"/>
      <c r="S154" s="231"/>
      <c r="T154" s="231"/>
      <c r="U154" s="231"/>
      <c r="V154" s="231"/>
      <c r="W154" s="231"/>
      <c r="X154" s="231"/>
      <c r="Y154" s="231"/>
      <c r="Z154" s="231"/>
      <c r="AA154" s="231"/>
      <c r="AB154" s="231"/>
      <c r="AC154" s="231"/>
      <c r="AD154" s="231"/>
      <c r="AE154" s="231"/>
      <c r="AF154" s="231"/>
      <c r="AG154" s="231"/>
      <c r="AH154" s="231"/>
      <c r="AI154" s="231"/>
      <c r="AJ154" s="231"/>
      <c r="AK154" s="231"/>
    </row>
    <row r="155" spans="2:37" ht="381" customHeight="1">
      <c r="B155" s="566" t="s">
        <v>401</v>
      </c>
      <c r="C155" s="566"/>
      <c r="D155" s="566"/>
      <c r="E155" s="566"/>
      <c r="F155" s="566"/>
      <c r="G155" s="566"/>
      <c r="H155" s="566"/>
      <c r="I155" s="566"/>
      <c r="J155" s="566"/>
      <c r="K155" s="566"/>
      <c r="L155" s="566"/>
      <c r="M155" s="566"/>
      <c r="N155" s="566"/>
      <c r="O155" s="566"/>
      <c r="P155" s="566"/>
      <c r="Q155" s="566"/>
      <c r="R155" s="566"/>
      <c r="S155" s="566"/>
      <c r="T155" s="566"/>
      <c r="U155" s="566"/>
      <c r="V155" s="566"/>
      <c r="W155" s="566"/>
      <c r="X155" s="566"/>
      <c r="Y155" s="566"/>
      <c r="Z155" s="566"/>
      <c r="AA155" s="566"/>
      <c r="AB155" s="566"/>
      <c r="AC155" s="566"/>
      <c r="AD155" s="566"/>
      <c r="AE155" s="566"/>
      <c r="AF155" s="566"/>
      <c r="AG155" s="566"/>
      <c r="AH155" s="566"/>
      <c r="AI155" s="566"/>
      <c r="AJ155" s="566"/>
      <c r="AK155" s="566"/>
    </row>
    <row r="156" spans="2:37" ht="13.2">
      <c r="B156" s="231"/>
      <c r="C156" s="231"/>
      <c r="D156" s="231"/>
      <c r="E156" s="231"/>
      <c r="F156" s="231"/>
      <c r="G156" s="231"/>
      <c r="H156" s="231"/>
      <c r="I156" s="231"/>
      <c r="J156" s="231"/>
      <c r="K156" s="231"/>
      <c r="L156" s="231"/>
      <c r="M156" s="231"/>
      <c r="N156" s="231"/>
      <c r="O156" s="231"/>
      <c r="P156" s="231"/>
      <c r="Q156" s="231"/>
      <c r="R156" s="231"/>
      <c r="S156" s="231"/>
      <c r="T156" s="231"/>
      <c r="U156" s="231"/>
      <c r="V156" s="231"/>
      <c r="W156" s="231"/>
      <c r="X156" s="231"/>
      <c r="Y156" s="231"/>
      <c r="Z156" s="231"/>
      <c r="AA156" s="231"/>
      <c r="AB156" s="231"/>
      <c r="AC156" s="231"/>
      <c r="AD156" s="231"/>
      <c r="AE156" s="231"/>
      <c r="AF156" s="231"/>
      <c r="AG156" s="231"/>
      <c r="AH156" s="231"/>
      <c r="AI156" s="231"/>
      <c r="AJ156" s="231"/>
      <c r="AK156" s="231"/>
    </row>
    <row r="157" spans="2:37" ht="22.5" customHeight="1">
      <c r="B157" s="566" t="s">
        <v>402</v>
      </c>
      <c r="C157" s="566"/>
      <c r="D157" s="566"/>
      <c r="E157" s="566"/>
      <c r="F157" s="566"/>
      <c r="G157" s="566"/>
      <c r="H157" s="566"/>
      <c r="I157" s="566"/>
      <c r="J157" s="566"/>
      <c r="K157" s="566"/>
      <c r="L157" s="566"/>
      <c r="M157" s="566"/>
      <c r="N157" s="566"/>
      <c r="O157" s="566"/>
      <c r="P157" s="566"/>
      <c r="Q157" s="566"/>
      <c r="R157" s="566"/>
      <c r="S157" s="566"/>
      <c r="T157" s="566"/>
      <c r="U157" s="566"/>
      <c r="V157" s="566"/>
      <c r="W157" s="566"/>
      <c r="X157" s="566"/>
      <c r="Y157" s="566"/>
      <c r="Z157" s="566"/>
      <c r="AA157" s="566"/>
      <c r="AB157" s="566"/>
      <c r="AC157" s="566"/>
      <c r="AD157" s="566"/>
      <c r="AE157" s="566"/>
      <c r="AF157" s="566"/>
      <c r="AG157" s="566"/>
      <c r="AH157" s="566"/>
      <c r="AI157" s="566"/>
      <c r="AJ157" s="566"/>
      <c r="AK157" s="566"/>
    </row>
    <row r="158" spans="2:37" ht="13.2">
      <c r="B158" s="231"/>
      <c r="C158" s="231"/>
      <c r="D158" s="231"/>
      <c r="E158" s="231"/>
      <c r="F158" s="231"/>
      <c r="G158" s="231"/>
      <c r="H158" s="231"/>
      <c r="I158" s="231"/>
      <c r="J158" s="231"/>
      <c r="K158" s="231"/>
      <c r="L158" s="231"/>
      <c r="M158" s="231"/>
      <c r="N158" s="231"/>
      <c r="O158" s="231"/>
      <c r="P158" s="231"/>
      <c r="Q158" s="231"/>
      <c r="R158" s="231"/>
      <c r="S158" s="231"/>
      <c r="T158" s="231"/>
      <c r="U158" s="231"/>
      <c r="V158" s="231"/>
      <c r="W158" s="231"/>
      <c r="X158" s="231"/>
      <c r="Y158" s="231"/>
      <c r="Z158" s="231"/>
      <c r="AA158" s="231"/>
      <c r="AB158" s="231"/>
      <c r="AC158" s="231"/>
      <c r="AD158" s="231"/>
      <c r="AE158" s="231"/>
      <c r="AF158" s="231"/>
      <c r="AG158" s="231"/>
      <c r="AH158" s="231"/>
      <c r="AI158" s="231"/>
      <c r="AJ158" s="231"/>
      <c r="AK158" s="231"/>
    </row>
    <row r="159" spans="2:37" ht="33.75" customHeight="1">
      <c r="B159" s="566" t="s">
        <v>324</v>
      </c>
      <c r="C159" s="566"/>
      <c r="D159" s="566"/>
      <c r="E159" s="566"/>
      <c r="F159" s="566"/>
      <c r="G159" s="566"/>
      <c r="H159" s="566"/>
      <c r="I159" s="566"/>
      <c r="J159" s="566"/>
      <c r="K159" s="566"/>
      <c r="L159" s="566"/>
      <c r="M159" s="566"/>
      <c r="N159" s="566"/>
      <c r="O159" s="566"/>
      <c r="P159" s="566"/>
      <c r="Q159" s="566"/>
      <c r="R159" s="566"/>
      <c r="S159" s="566"/>
      <c r="T159" s="566"/>
      <c r="U159" s="566"/>
      <c r="V159" s="566"/>
      <c r="W159" s="566"/>
      <c r="X159" s="566"/>
      <c r="Y159" s="566"/>
      <c r="Z159" s="566"/>
      <c r="AA159" s="566"/>
      <c r="AB159" s="566"/>
      <c r="AC159" s="566"/>
      <c r="AD159" s="566"/>
      <c r="AE159" s="566"/>
      <c r="AF159" s="566"/>
      <c r="AG159" s="566"/>
      <c r="AH159" s="566"/>
      <c r="AI159" s="566"/>
      <c r="AJ159" s="566"/>
      <c r="AK159" s="566"/>
    </row>
    <row r="160" spans="2:37" ht="13.2">
      <c r="B160" s="231"/>
      <c r="C160" s="231"/>
      <c r="D160" s="231"/>
      <c r="E160" s="231"/>
      <c r="F160" s="231"/>
      <c r="G160" s="231"/>
      <c r="H160" s="231"/>
      <c r="I160" s="231"/>
      <c r="J160" s="231"/>
      <c r="K160" s="231"/>
      <c r="L160" s="231"/>
      <c r="M160" s="231"/>
      <c r="N160" s="231"/>
      <c r="O160" s="231"/>
      <c r="P160" s="231"/>
      <c r="Q160" s="231"/>
      <c r="R160" s="231"/>
      <c r="S160" s="231"/>
      <c r="T160" s="231"/>
      <c r="U160" s="231"/>
      <c r="V160" s="231"/>
      <c r="W160" s="231"/>
      <c r="X160" s="231"/>
      <c r="Y160" s="231"/>
      <c r="Z160" s="231"/>
      <c r="AA160" s="231"/>
      <c r="AB160" s="231"/>
      <c r="AC160" s="231"/>
      <c r="AD160" s="231"/>
      <c r="AE160" s="231"/>
      <c r="AF160" s="231"/>
      <c r="AG160" s="231"/>
      <c r="AH160" s="231"/>
      <c r="AI160" s="231"/>
      <c r="AJ160" s="231"/>
      <c r="AK160" s="231"/>
    </row>
    <row r="161" spans="2:37" ht="45" customHeight="1">
      <c r="B161" s="566" t="s">
        <v>325</v>
      </c>
      <c r="C161" s="566"/>
      <c r="D161" s="566"/>
      <c r="E161" s="566"/>
      <c r="F161" s="566"/>
      <c r="G161" s="566"/>
      <c r="H161" s="566"/>
      <c r="I161" s="566"/>
      <c r="J161" s="566"/>
      <c r="K161" s="566"/>
      <c r="L161" s="566"/>
      <c r="M161" s="566"/>
      <c r="N161" s="566"/>
      <c r="O161" s="566"/>
      <c r="P161" s="566"/>
      <c r="Q161" s="566"/>
      <c r="R161" s="566"/>
      <c r="S161" s="566"/>
      <c r="T161" s="566"/>
      <c r="U161" s="566"/>
      <c r="V161" s="566"/>
      <c r="W161" s="566"/>
      <c r="X161" s="566"/>
      <c r="Y161" s="566"/>
      <c r="Z161" s="566"/>
      <c r="AA161" s="566"/>
      <c r="AB161" s="566"/>
      <c r="AC161" s="566"/>
      <c r="AD161" s="566"/>
      <c r="AE161" s="566"/>
      <c r="AF161" s="566"/>
      <c r="AG161" s="566"/>
      <c r="AH161" s="566"/>
      <c r="AI161" s="566"/>
      <c r="AJ161" s="566"/>
      <c r="AK161" s="566"/>
    </row>
    <row r="162" spans="2:37" ht="13.2">
      <c r="B162" s="231"/>
      <c r="C162" s="231"/>
      <c r="D162" s="231"/>
      <c r="E162" s="231"/>
      <c r="F162" s="231"/>
      <c r="G162" s="231"/>
      <c r="H162" s="231"/>
      <c r="I162" s="231"/>
      <c r="J162" s="231"/>
      <c r="K162" s="231"/>
      <c r="L162" s="231"/>
      <c r="M162" s="231"/>
      <c r="N162" s="231"/>
      <c r="O162" s="231"/>
      <c r="P162" s="231"/>
      <c r="Q162" s="231"/>
      <c r="R162" s="231"/>
      <c r="S162" s="231"/>
      <c r="T162" s="231"/>
      <c r="U162" s="231"/>
      <c r="V162" s="231"/>
      <c r="W162" s="231"/>
      <c r="X162" s="231"/>
      <c r="Y162" s="231"/>
      <c r="Z162" s="231"/>
      <c r="AA162" s="231"/>
      <c r="AB162" s="231"/>
      <c r="AC162" s="231"/>
      <c r="AD162" s="231"/>
      <c r="AE162" s="231"/>
      <c r="AF162" s="231"/>
      <c r="AG162" s="231"/>
      <c r="AH162" s="231"/>
      <c r="AI162" s="231"/>
      <c r="AJ162" s="231"/>
      <c r="AK162" s="231"/>
    </row>
    <row r="163" spans="2:37" ht="22.5" customHeight="1">
      <c r="B163" s="566" t="s">
        <v>326</v>
      </c>
      <c r="C163" s="566"/>
      <c r="D163" s="566"/>
      <c r="E163" s="566"/>
      <c r="F163" s="566"/>
      <c r="G163" s="566"/>
      <c r="H163" s="566"/>
      <c r="I163" s="566"/>
      <c r="J163" s="566"/>
      <c r="K163" s="566"/>
      <c r="L163" s="566"/>
      <c r="M163" s="566"/>
      <c r="N163" s="566"/>
      <c r="O163" s="566"/>
      <c r="P163" s="566"/>
      <c r="Q163" s="566"/>
      <c r="R163" s="566"/>
      <c r="S163" s="566"/>
      <c r="T163" s="566"/>
      <c r="U163" s="566"/>
      <c r="V163" s="566"/>
      <c r="W163" s="566"/>
      <c r="X163" s="566"/>
      <c r="Y163" s="566"/>
      <c r="Z163" s="566"/>
      <c r="AA163" s="566"/>
      <c r="AB163" s="566"/>
      <c r="AC163" s="566"/>
      <c r="AD163" s="566"/>
      <c r="AE163" s="566"/>
      <c r="AF163" s="566"/>
      <c r="AG163" s="566"/>
      <c r="AH163" s="566"/>
      <c r="AI163" s="566"/>
      <c r="AJ163" s="566"/>
      <c r="AK163" s="566"/>
    </row>
    <row r="164" spans="2:37" ht="13.2">
      <c r="B164" s="231"/>
      <c r="C164" s="231"/>
      <c r="D164" s="231"/>
      <c r="E164" s="231"/>
      <c r="F164" s="231"/>
      <c r="G164" s="231"/>
      <c r="H164" s="231"/>
      <c r="I164" s="231"/>
      <c r="J164" s="231"/>
      <c r="K164" s="231"/>
      <c r="L164" s="231"/>
      <c r="M164" s="231"/>
      <c r="N164" s="231"/>
      <c r="O164" s="231"/>
      <c r="P164" s="231"/>
      <c r="Q164" s="231"/>
      <c r="R164" s="231"/>
      <c r="S164" s="231"/>
      <c r="T164" s="231"/>
      <c r="U164" s="231"/>
      <c r="V164" s="231"/>
      <c r="W164" s="231"/>
      <c r="X164" s="231"/>
      <c r="Y164" s="231"/>
      <c r="Z164" s="231"/>
      <c r="AA164" s="231"/>
      <c r="AB164" s="231"/>
      <c r="AC164" s="231"/>
      <c r="AD164" s="231"/>
      <c r="AE164" s="231"/>
      <c r="AF164" s="231"/>
      <c r="AG164" s="231"/>
      <c r="AH164" s="231"/>
      <c r="AI164" s="231"/>
      <c r="AJ164" s="231"/>
      <c r="AK164" s="231"/>
    </row>
    <row r="165" spans="2:37" ht="33.75" customHeight="1">
      <c r="B165" s="566" t="s">
        <v>327</v>
      </c>
      <c r="C165" s="566"/>
      <c r="D165" s="566"/>
      <c r="E165" s="566"/>
      <c r="F165" s="566"/>
      <c r="G165" s="566"/>
      <c r="H165" s="566"/>
      <c r="I165" s="566"/>
      <c r="J165" s="566"/>
      <c r="K165" s="566"/>
      <c r="L165" s="566"/>
      <c r="M165" s="566"/>
      <c r="N165" s="566"/>
      <c r="O165" s="566"/>
      <c r="P165" s="566"/>
      <c r="Q165" s="566"/>
      <c r="R165" s="566"/>
      <c r="S165" s="566"/>
      <c r="T165" s="566"/>
      <c r="U165" s="566"/>
      <c r="V165" s="566"/>
      <c r="W165" s="566"/>
      <c r="X165" s="566"/>
      <c r="Y165" s="566"/>
      <c r="Z165" s="566"/>
      <c r="AA165" s="566"/>
      <c r="AB165" s="566"/>
      <c r="AC165" s="566"/>
      <c r="AD165" s="566"/>
      <c r="AE165" s="566"/>
      <c r="AF165" s="566"/>
      <c r="AG165" s="566"/>
      <c r="AH165" s="566"/>
      <c r="AI165" s="566"/>
      <c r="AJ165" s="566"/>
      <c r="AK165" s="566"/>
    </row>
    <row r="166" spans="2:37" ht="13.2">
      <c r="B166" s="231"/>
      <c r="C166" s="231"/>
      <c r="D166" s="231"/>
      <c r="E166" s="231"/>
      <c r="F166" s="231"/>
      <c r="G166" s="231"/>
      <c r="H166" s="231"/>
      <c r="I166" s="231"/>
      <c r="J166" s="231"/>
      <c r="K166" s="231"/>
      <c r="L166" s="231"/>
      <c r="M166" s="231"/>
      <c r="N166" s="231"/>
      <c r="O166" s="231"/>
      <c r="P166" s="231"/>
      <c r="Q166" s="231"/>
      <c r="R166" s="231"/>
      <c r="S166" s="231"/>
      <c r="T166" s="231"/>
      <c r="U166" s="231"/>
      <c r="V166" s="231"/>
      <c r="W166" s="231"/>
      <c r="X166" s="231"/>
      <c r="Y166" s="231"/>
      <c r="Z166" s="231"/>
      <c r="AA166" s="231"/>
      <c r="AB166" s="231"/>
      <c r="AC166" s="231"/>
      <c r="AD166" s="231"/>
      <c r="AE166" s="231"/>
      <c r="AF166" s="231"/>
      <c r="AG166" s="231"/>
      <c r="AH166" s="231"/>
      <c r="AI166" s="231"/>
      <c r="AJ166" s="231"/>
      <c r="AK166" s="231"/>
    </row>
    <row r="167" spans="2:37" ht="33.75" customHeight="1">
      <c r="B167" s="566" t="s">
        <v>328</v>
      </c>
      <c r="C167" s="566"/>
      <c r="D167" s="566"/>
      <c r="E167" s="566"/>
      <c r="F167" s="566"/>
      <c r="G167" s="566"/>
      <c r="H167" s="566"/>
      <c r="I167" s="566"/>
      <c r="J167" s="566"/>
      <c r="K167" s="566"/>
      <c r="L167" s="566"/>
      <c r="M167" s="566"/>
      <c r="N167" s="566"/>
      <c r="O167" s="566"/>
      <c r="P167" s="566"/>
      <c r="Q167" s="566"/>
      <c r="R167" s="566"/>
      <c r="S167" s="566"/>
      <c r="T167" s="566"/>
      <c r="U167" s="566"/>
      <c r="V167" s="566"/>
      <c r="W167" s="566"/>
      <c r="X167" s="566"/>
      <c r="Y167" s="566"/>
      <c r="Z167" s="566"/>
      <c r="AA167" s="566"/>
      <c r="AB167" s="566"/>
      <c r="AC167" s="566"/>
      <c r="AD167" s="566"/>
      <c r="AE167" s="566"/>
      <c r="AF167" s="566"/>
      <c r="AG167" s="566"/>
      <c r="AH167" s="566"/>
      <c r="AI167" s="566"/>
      <c r="AJ167" s="566"/>
      <c r="AK167" s="566"/>
    </row>
    <row r="168" spans="2:37" ht="13.2">
      <c r="B168" s="231"/>
      <c r="C168" s="231"/>
      <c r="D168" s="231"/>
      <c r="E168" s="231"/>
      <c r="F168" s="231"/>
      <c r="G168" s="231"/>
      <c r="H168" s="231"/>
      <c r="I168" s="231"/>
      <c r="J168" s="231"/>
      <c r="K168" s="231"/>
      <c r="L168" s="231"/>
      <c r="M168" s="231"/>
      <c r="N168" s="231"/>
      <c r="O168" s="231"/>
      <c r="P168" s="231"/>
      <c r="Q168" s="231"/>
      <c r="R168" s="231"/>
      <c r="S168" s="231"/>
      <c r="T168" s="231"/>
      <c r="U168" s="231"/>
      <c r="V168" s="231"/>
      <c r="W168" s="231"/>
      <c r="X168" s="231"/>
      <c r="Y168" s="231"/>
      <c r="Z168" s="231"/>
      <c r="AA168" s="231"/>
      <c r="AB168" s="231"/>
      <c r="AC168" s="231"/>
      <c r="AD168" s="231"/>
      <c r="AE168" s="231"/>
      <c r="AF168" s="231"/>
      <c r="AG168" s="231"/>
      <c r="AH168" s="231"/>
      <c r="AI168" s="231"/>
      <c r="AJ168" s="231"/>
      <c r="AK168" s="231"/>
    </row>
    <row r="169" spans="2:37" ht="56.25" customHeight="1">
      <c r="B169" s="566" t="s">
        <v>329</v>
      </c>
      <c r="C169" s="566"/>
      <c r="D169" s="566"/>
      <c r="E169" s="566"/>
      <c r="F169" s="566"/>
      <c r="G169" s="566"/>
      <c r="H169" s="566"/>
      <c r="I169" s="566"/>
      <c r="J169" s="566"/>
      <c r="K169" s="566"/>
      <c r="L169" s="566"/>
      <c r="M169" s="566"/>
      <c r="N169" s="566"/>
      <c r="O169" s="566"/>
      <c r="P169" s="566"/>
      <c r="Q169" s="566"/>
      <c r="R169" s="566"/>
      <c r="S169" s="566"/>
      <c r="T169" s="566"/>
      <c r="U169" s="566"/>
      <c r="V169" s="566"/>
      <c r="W169" s="566"/>
      <c r="X169" s="566"/>
      <c r="Y169" s="566"/>
      <c r="Z169" s="566"/>
      <c r="AA169" s="566"/>
      <c r="AB169" s="566"/>
      <c r="AC169" s="566"/>
      <c r="AD169" s="566"/>
      <c r="AE169" s="566"/>
      <c r="AF169" s="566"/>
      <c r="AG169" s="566"/>
      <c r="AH169" s="566"/>
      <c r="AI169" s="566"/>
      <c r="AJ169" s="566"/>
      <c r="AK169" s="566"/>
    </row>
    <row r="170" spans="2:37" ht="13.2">
      <c r="B170" s="231"/>
      <c r="C170" s="231"/>
      <c r="D170" s="231"/>
      <c r="E170" s="231"/>
      <c r="F170" s="231"/>
      <c r="G170" s="231"/>
      <c r="H170" s="231"/>
      <c r="I170" s="231"/>
      <c r="J170" s="231"/>
      <c r="K170" s="231"/>
      <c r="L170" s="231"/>
      <c r="M170" s="231"/>
      <c r="N170" s="231"/>
      <c r="O170" s="231"/>
      <c r="P170" s="231"/>
      <c r="Q170" s="231"/>
      <c r="R170" s="231"/>
      <c r="S170" s="231"/>
      <c r="T170" s="231"/>
      <c r="U170" s="231"/>
      <c r="V170" s="231"/>
      <c r="W170" s="231"/>
      <c r="X170" s="231"/>
      <c r="Y170" s="231"/>
      <c r="Z170" s="231"/>
      <c r="AA170" s="231"/>
      <c r="AB170" s="231"/>
      <c r="AC170" s="231"/>
      <c r="AD170" s="231"/>
      <c r="AE170" s="231"/>
      <c r="AF170" s="231"/>
      <c r="AG170" s="231"/>
      <c r="AH170" s="231"/>
      <c r="AI170" s="231"/>
      <c r="AJ170" s="231"/>
      <c r="AK170" s="231"/>
    </row>
    <row r="171" spans="2:37" ht="33.75" customHeight="1">
      <c r="B171" s="566" t="s">
        <v>403</v>
      </c>
      <c r="C171" s="566"/>
      <c r="D171" s="566"/>
      <c r="E171" s="566"/>
      <c r="F171" s="566"/>
      <c r="G171" s="566"/>
      <c r="H171" s="566"/>
      <c r="I171" s="566"/>
      <c r="J171" s="566"/>
      <c r="K171" s="566"/>
      <c r="L171" s="566"/>
      <c r="M171" s="566"/>
      <c r="N171" s="566"/>
      <c r="O171" s="566"/>
      <c r="P171" s="566"/>
      <c r="Q171" s="566"/>
      <c r="R171" s="566"/>
      <c r="S171" s="566"/>
      <c r="T171" s="566"/>
      <c r="U171" s="566"/>
      <c r="V171" s="566"/>
      <c r="W171" s="566"/>
      <c r="X171" s="566"/>
      <c r="Y171" s="566"/>
      <c r="Z171" s="566"/>
      <c r="AA171" s="566"/>
      <c r="AB171" s="566"/>
      <c r="AC171" s="566"/>
      <c r="AD171" s="566"/>
      <c r="AE171" s="566"/>
      <c r="AF171" s="566"/>
      <c r="AG171" s="566"/>
      <c r="AH171" s="566"/>
      <c r="AI171" s="566"/>
      <c r="AJ171" s="566"/>
      <c r="AK171" s="566"/>
    </row>
    <row r="172" spans="2:37" ht="56.25" customHeight="1">
      <c r="B172" s="562" t="s">
        <v>247</v>
      </c>
      <c r="C172" s="562"/>
      <c r="D172" s="562"/>
      <c r="E172" s="562"/>
      <c r="F172" s="562"/>
      <c r="G172" s="562"/>
      <c r="H172" s="562"/>
      <c r="I172" s="562"/>
      <c r="J172" s="562"/>
      <c r="K172" s="562"/>
      <c r="L172" s="562"/>
      <c r="M172" s="562"/>
      <c r="N172" s="562"/>
      <c r="O172" s="562"/>
      <c r="P172" s="562"/>
      <c r="Q172" s="562"/>
      <c r="R172" s="562"/>
      <c r="S172" s="562"/>
      <c r="T172" s="562"/>
      <c r="U172" s="562"/>
      <c r="V172" s="562"/>
      <c r="W172" s="562"/>
      <c r="X172" s="562"/>
      <c r="Y172" s="562"/>
      <c r="Z172" s="562"/>
      <c r="AA172" s="562"/>
      <c r="AB172" s="562"/>
      <c r="AC172" s="562"/>
      <c r="AD172" s="562"/>
      <c r="AE172" s="562"/>
      <c r="AF172" s="562"/>
      <c r="AG172" s="562"/>
      <c r="AH172" s="562"/>
      <c r="AI172" s="562"/>
      <c r="AJ172" s="562"/>
      <c r="AK172" s="562"/>
    </row>
    <row r="173" spans="2:37" ht="45" customHeight="1">
      <c r="B173" s="562" t="s">
        <v>248</v>
      </c>
      <c r="C173" s="562"/>
      <c r="D173" s="562"/>
      <c r="E173" s="562"/>
      <c r="F173" s="562"/>
      <c r="G173" s="562"/>
      <c r="H173" s="562"/>
      <c r="I173" s="562"/>
      <c r="J173" s="562"/>
      <c r="K173" s="562"/>
      <c r="L173" s="562"/>
      <c r="M173" s="562"/>
      <c r="N173" s="562"/>
      <c r="O173" s="562"/>
      <c r="P173" s="562"/>
      <c r="Q173" s="562"/>
      <c r="R173" s="562"/>
      <c r="S173" s="562"/>
      <c r="T173" s="562"/>
      <c r="U173" s="562"/>
      <c r="V173" s="562"/>
      <c r="W173" s="562"/>
      <c r="X173" s="562"/>
      <c r="Y173" s="562"/>
      <c r="Z173" s="562"/>
      <c r="AA173" s="562"/>
      <c r="AB173" s="562"/>
      <c r="AC173" s="562"/>
      <c r="AD173" s="562"/>
      <c r="AE173" s="562"/>
      <c r="AF173" s="562"/>
      <c r="AG173" s="562"/>
      <c r="AH173" s="562"/>
      <c r="AI173" s="562"/>
      <c r="AJ173" s="562"/>
      <c r="AK173" s="562"/>
    </row>
    <row r="174" spans="2:37" ht="22.5" customHeight="1">
      <c r="B174" s="562" t="s">
        <v>249</v>
      </c>
      <c r="C174" s="562"/>
      <c r="D174" s="562"/>
      <c r="E174" s="562"/>
      <c r="F174" s="562"/>
      <c r="G174" s="562"/>
      <c r="H174" s="562"/>
      <c r="I174" s="562"/>
      <c r="J174" s="562"/>
      <c r="K174" s="562"/>
      <c r="L174" s="562"/>
      <c r="M174" s="562"/>
      <c r="N174" s="562"/>
      <c r="O174" s="562"/>
      <c r="P174" s="562"/>
      <c r="Q174" s="562"/>
      <c r="R174" s="562"/>
      <c r="S174" s="562"/>
      <c r="T174" s="562"/>
      <c r="U174" s="562"/>
      <c r="V174" s="562"/>
      <c r="W174" s="562"/>
      <c r="X174" s="562"/>
      <c r="Y174" s="562"/>
      <c r="Z174" s="562"/>
      <c r="AA174" s="562"/>
      <c r="AB174" s="562"/>
      <c r="AC174" s="562"/>
      <c r="AD174" s="562"/>
      <c r="AE174" s="562"/>
      <c r="AF174" s="562"/>
      <c r="AG174" s="562"/>
      <c r="AH174" s="562"/>
      <c r="AI174" s="562"/>
      <c r="AJ174" s="562"/>
      <c r="AK174" s="562"/>
    </row>
    <row r="175" spans="2:37" ht="13.2">
      <c r="B175" s="231"/>
      <c r="C175" s="231"/>
      <c r="D175" s="231"/>
      <c r="E175" s="231"/>
      <c r="F175" s="231"/>
      <c r="G175" s="231"/>
      <c r="H175" s="231"/>
      <c r="I175" s="231"/>
      <c r="J175" s="231"/>
      <c r="K175" s="231"/>
      <c r="L175" s="231"/>
      <c r="M175" s="231"/>
      <c r="N175" s="231"/>
      <c r="O175" s="231"/>
      <c r="P175" s="231"/>
      <c r="Q175" s="231"/>
      <c r="R175" s="231"/>
      <c r="S175" s="231"/>
      <c r="T175" s="231"/>
      <c r="U175" s="231"/>
      <c r="V175" s="231"/>
      <c r="W175" s="231"/>
      <c r="X175" s="231"/>
      <c r="Y175" s="231"/>
      <c r="Z175" s="231"/>
      <c r="AA175" s="231"/>
      <c r="AB175" s="231"/>
      <c r="AC175" s="231"/>
      <c r="AD175" s="231"/>
      <c r="AE175" s="231"/>
      <c r="AF175" s="231"/>
      <c r="AG175" s="231"/>
      <c r="AH175" s="231"/>
      <c r="AI175" s="231"/>
      <c r="AJ175" s="231"/>
      <c r="AK175" s="231"/>
    </row>
    <row r="176" spans="2:37" ht="78.75" customHeight="1">
      <c r="B176" s="566" t="s">
        <v>404</v>
      </c>
      <c r="C176" s="566"/>
      <c r="D176" s="566"/>
      <c r="E176" s="566"/>
      <c r="F176" s="566"/>
      <c r="G176" s="566"/>
      <c r="H176" s="566"/>
      <c r="I176" s="566"/>
      <c r="J176" s="566"/>
      <c r="K176" s="566"/>
      <c r="L176" s="566"/>
      <c r="M176" s="566"/>
      <c r="N176" s="566"/>
      <c r="O176" s="566"/>
      <c r="P176" s="566"/>
      <c r="Q176" s="566"/>
      <c r="R176" s="566"/>
      <c r="S176" s="566"/>
      <c r="T176" s="566"/>
      <c r="U176" s="566"/>
      <c r="V176" s="566"/>
      <c r="W176" s="566"/>
      <c r="X176" s="566"/>
      <c r="Y176" s="566"/>
      <c r="Z176" s="566"/>
      <c r="AA176" s="566"/>
      <c r="AB176" s="566"/>
      <c r="AC176" s="566"/>
      <c r="AD176" s="566"/>
      <c r="AE176" s="566"/>
      <c r="AF176" s="566"/>
      <c r="AG176" s="566"/>
      <c r="AH176" s="566"/>
      <c r="AI176" s="566"/>
      <c r="AJ176" s="566"/>
      <c r="AK176" s="566"/>
    </row>
    <row r="177" spans="2:37" ht="13.2">
      <c r="B177" s="231"/>
      <c r="C177" s="231"/>
      <c r="D177" s="231"/>
      <c r="E177" s="231"/>
      <c r="F177" s="231"/>
      <c r="G177" s="231"/>
      <c r="H177" s="231"/>
      <c r="I177" s="231"/>
      <c r="J177" s="231"/>
      <c r="K177" s="231"/>
      <c r="L177" s="231"/>
      <c r="M177" s="231"/>
      <c r="N177" s="231"/>
      <c r="O177" s="231"/>
      <c r="P177" s="231"/>
      <c r="Q177" s="231"/>
      <c r="R177" s="231"/>
      <c r="S177" s="231"/>
      <c r="T177" s="231"/>
      <c r="U177" s="231"/>
      <c r="V177" s="231"/>
      <c r="W177" s="231"/>
      <c r="X177" s="231"/>
      <c r="Y177" s="231"/>
      <c r="Z177" s="231"/>
      <c r="AA177" s="231"/>
      <c r="AB177" s="231"/>
      <c r="AC177" s="231"/>
      <c r="AD177" s="231"/>
      <c r="AE177" s="231"/>
      <c r="AF177" s="231"/>
      <c r="AG177" s="231"/>
      <c r="AH177" s="231"/>
      <c r="AI177" s="231"/>
      <c r="AJ177" s="231"/>
      <c r="AK177" s="231"/>
    </row>
    <row r="178" spans="2:37" ht="22.5" customHeight="1">
      <c r="B178" s="566" t="s">
        <v>332</v>
      </c>
      <c r="C178" s="566"/>
      <c r="D178" s="566"/>
      <c r="E178" s="566"/>
      <c r="F178" s="566"/>
      <c r="G178" s="566"/>
      <c r="H178" s="566"/>
      <c r="I178" s="566"/>
      <c r="J178" s="566"/>
      <c r="K178" s="566"/>
      <c r="L178" s="566"/>
      <c r="M178" s="566"/>
      <c r="N178" s="566"/>
      <c r="O178" s="566"/>
      <c r="P178" s="566"/>
      <c r="Q178" s="566"/>
      <c r="R178" s="566"/>
      <c r="S178" s="566"/>
      <c r="T178" s="566"/>
      <c r="U178" s="566"/>
      <c r="V178" s="566"/>
      <c r="W178" s="566"/>
      <c r="X178" s="566"/>
      <c r="Y178" s="566"/>
      <c r="Z178" s="566"/>
      <c r="AA178" s="566"/>
      <c r="AB178" s="566"/>
      <c r="AC178" s="566"/>
      <c r="AD178" s="566"/>
      <c r="AE178" s="566"/>
      <c r="AF178" s="566"/>
      <c r="AG178" s="566"/>
      <c r="AH178" s="566"/>
      <c r="AI178" s="566"/>
      <c r="AJ178" s="566"/>
      <c r="AK178" s="566"/>
    </row>
    <row r="179" spans="2:37" ht="12.75" customHeight="1">
      <c r="B179" s="281"/>
      <c r="C179" s="281"/>
      <c r="D179" s="281"/>
      <c r="E179" s="281"/>
      <c r="F179" s="281"/>
      <c r="G179" s="281"/>
      <c r="H179" s="281"/>
      <c r="I179" s="281"/>
      <c r="J179" s="281"/>
      <c r="K179" s="281"/>
      <c r="L179" s="281"/>
      <c r="M179" s="281"/>
      <c r="N179" s="281"/>
      <c r="O179" s="281"/>
      <c r="P179" s="281"/>
      <c r="Q179" s="281"/>
      <c r="R179" s="281"/>
      <c r="S179" s="281"/>
      <c r="T179" s="281"/>
      <c r="U179" s="281"/>
      <c r="V179" s="281"/>
      <c r="W179" s="281"/>
      <c r="X179" s="281"/>
      <c r="Y179" s="281"/>
      <c r="Z179" s="281"/>
      <c r="AA179" s="281"/>
      <c r="AB179" s="281"/>
      <c r="AC179" s="281"/>
      <c r="AD179" s="281"/>
      <c r="AE179" s="281"/>
      <c r="AF179" s="281"/>
      <c r="AG179" s="281"/>
      <c r="AH179" s="281"/>
      <c r="AI179" s="281"/>
      <c r="AJ179" s="281"/>
      <c r="AK179" s="281"/>
    </row>
    <row r="180" spans="2:37" ht="12.75" customHeight="1">
      <c r="B180" s="281"/>
      <c r="C180" s="281"/>
      <c r="D180" s="281"/>
      <c r="E180" s="281"/>
      <c r="F180" s="281"/>
      <c r="G180" s="281"/>
      <c r="H180" s="281"/>
      <c r="I180" s="281"/>
      <c r="J180" s="281"/>
      <c r="K180" s="281"/>
      <c r="L180" s="281"/>
      <c r="M180" s="281"/>
      <c r="N180" s="281"/>
      <c r="O180" s="281"/>
      <c r="P180" s="281"/>
      <c r="Q180" s="281"/>
      <c r="R180" s="281"/>
      <c r="S180" s="281"/>
      <c r="T180" s="281"/>
      <c r="U180" s="281"/>
      <c r="V180" s="281"/>
      <c r="W180" s="281"/>
      <c r="X180" s="281"/>
      <c r="Y180" s="281"/>
      <c r="Z180" s="281"/>
      <c r="AA180" s="281"/>
      <c r="AB180" s="281"/>
      <c r="AC180" s="281"/>
      <c r="AD180" s="281"/>
      <c r="AE180" s="281"/>
      <c r="AF180" s="281"/>
      <c r="AG180" s="281"/>
      <c r="AH180" s="281"/>
      <c r="AI180" s="281"/>
      <c r="AJ180" s="281"/>
      <c r="AK180" s="281"/>
    </row>
    <row r="181" spans="2:37" ht="13.2">
      <c r="B181" s="281"/>
      <c r="C181" s="281"/>
      <c r="D181" s="281"/>
      <c r="E181" s="281"/>
      <c r="F181" s="281"/>
      <c r="G181" s="600" t="s">
        <v>252</v>
      </c>
      <c r="H181" s="601"/>
      <c r="I181" s="601"/>
      <c r="J181" s="601"/>
      <c r="K181" s="601"/>
      <c r="L181" s="601"/>
      <c r="M181" s="601"/>
      <c r="N181" s="601"/>
      <c r="O181" s="601"/>
      <c r="P181" s="602"/>
      <c r="Q181" s="603" t="s">
        <v>253</v>
      </c>
      <c r="R181" s="604"/>
      <c r="S181" s="604"/>
      <c r="T181" s="604"/>
      <c r="U181" s="604"/>
      <c r="V181" s="604"/>
      <c r="W181" s="604"/>
      <c r="X181" s="604"/>
      <c r="Y181" s="604"/>
      <c r="Z181" s="604"/>
      <c r="AA181" s="604"/>
      <c r="AB181" s="604"/>
      <c r="AC181" s="604"/>
      <c r="AD181" s="604"/>
      <c r="AE181" s="604"/>
      <c r="AF181" s="604"/>
      <c r="AG181" s="605"/>
      <c r="AH181" s="281"/>
      <c r="AI181" s="281"/>
      <c r="AJ181" s="281"/>
      <c r="AK181" s="281"/>
    </row>
    <row r="182" spans="2:37" ht="13.2">
      <c r="B182" s="281"/>
      <c r="C182" s="281"/>
      <c r="D182" s="281"/>
      <c r="E182" s="281"/>
      <c r="F182" s="281"/>
      <c r="G182" s="600" t="s">
        <v>254</v>
      </c>
      <c r="H182" s="601"/>
      <c r="I182" s="601"/>
      <c r="J182" s="601"/>
      <c r="K182" s="601"/>
      <c r="L182" s="601"/>
      <c r="M182" s="601"/>
      <c r="N182" s="601"/>
      <c r="O182" s="601"/>
      <c r="P182" s="602"/>
      <c r="Q182" s="606" t="s">
        <v>255</v>
      </c>
      <c r="R182" s="607"/>
      <c r="S182" s="607"/>
      <c r="T182" s="607"/>
      <c r="U182" s="607"/>
      <c r="V182" s="607"/>
      <c r="W182" s="607"/>
      <c r="X182" s="607"/>
      <c r="Y182" s="607"/>
      <c r="Z182" s="607"/>
      <c r="AA182" s="607"/>
      <c r="AB182" s="607"/>
      <c r="AC182" s="607"/>
      <c r="AD182" s="607"/>
      <c r="AE182" s="607"/>
      <c r="AF182" s="607"/>
      <c r="AG182" s="608"/>
      <c r="AH182" s="281"/>
      <c r="AI182" s="281"/>
      <c r="AJ182" s="281"/>
      <c r="AK182" s="281"/>
    </row>
    <row r="183" spans="2:37" ht="13.2">
      <c r="B183" s="281"/>
      <c r="C183" s="281"/>
      <c r="D183" s="281"/>
      <c r="E183" s="281"/>
      <c r="F183" s="281"/>
      <c r="G183" s="582" t="s">
        <v>256</v>
      </c>
      <c r="H183" s="583"/>
      <c r="I183" s="583"/>
      <c r="J183" s="583"/>
      <c r="K183" s="583"/>
      <c r="L183" s="583"/>
      <c r="M183" s="583"/>
      <c r="N183" s="583"/>
      <c r="O183" s="583"/>
      <c r="P183" s="584"/>
      <c r="Q183" s="588" t="s">
        <v>257</v>
      </c>
      <c r="R183" s="589"/>
      <c r="S183" s="589"/>
      <c r="T183" s="589"/>
      <c r="U183" s="589"/>
      <c r="V183" s="589"/>
      <c r="W183" s="589"/>
      <c r="X183" s="589"/>
      <c r="Y183" s="589"/>
      <c r="Z183" s="589"/>
      <c r="AA183" s="589"/>
      <c r="AB183" s="589"/>
      <c r="AC183" s="589"/>
      <c r="AD183" s="589"/>
      <c r="AE183" s="589"/>
      <c r="AF183" s="589"/>
      <c r="AG183" s="590"/>
      <c r="AH183" s="281"/>
      <c r="AI183" s="281"/>
      <c r="AJ183" s="281"/>
      <c r="AK183" s="281"/>
    </row>
    <row r="184" spans="2:37" ht="13.2">
      <c r="B184" s="281"/>
      <c r="C184" s="281"/>
      <c r="D184" s="281"/>
      <c r="E184" s="281"/>
      <c r="F184" s="281"/>
      <c r="G184" s="585"/>
      <c r="H184" s="586"/>
      <c r="I184" s="586"/>
      <c r="J184" s="586"/>
      <c r="K184" s="586"/>
      <c r="L184" s="586"/>
      <c r="M184" s="586"/>
      <c r="N184" s="586"/>
      <c r="O184" s="586"/>
      <c r="P184" s="587"/>
      <c r="Q184" s="588" t="s">
        <v>258</v>
      </c>
      <c r="R184" s="589"/>
      <c r="S184" s="589"/>
      <c r="T184" s="589"/>
      <c r="U184" s="589"/>
      <c r="V184" s="589"/>
      <c r="W184" s="589"/>
      <c r="X184" s="589"/>
      <c r="Y184" s="589"/>
      <c r="Z184" s="589"/>
      <c r="AA184" s="589"/>
      <c r="AB184" s="589"/>
      <c r="AC184" s="589"/>
      <c r="AD184" s="589"/>
      <c r="AE184" s="589"/>
      <c r="AF184" s="589"/>
      <c r="AG184" s="590"/>
      <c r="AH184" s="281"/>
      <c r="AI184" s="281"/>
      <c r="AJ184" s="281"/>
      <c r="AK184" s="281"/>
    </row>
    <row r="185" spans="2:37" ht="13.2">
      <c r="B185" s="281"/>
      <c r="C185" s="281"/>
      <c r="D185" s="281"/>
      <c r="E185" s="281"/>
      <c r="F185" s="281"/>
      <c r="G185" s="585"/>
      <c r="H185" s="586"/>
      <c r="I185" s="586"/>
      <c r="J185" s="586"/>
      <c r="K185" s="586"/>
      <c r="L185" s="586"/>
      <c r="M185" s="586"/>
      <c r="N185" s="586"/>
      <c r="O185" s="586"/>
      <c r="P185" s="587"/>
      <c r="Q185" s="588"/>
      <c r="R185" s="589"/>
      <c r="S185" s="589"/>
      <c r="T185" s="589"/>
      <c r="U185" s="589"/>
      <c r="V185" s="589"/>
      <c r="W185" s="589"/>
      <c r="X185" s="589"/>
      <c r="Y185" s="589"/>
      <c r="Z185" s="589"/>
      <c r="AA185" s="589"/>
      <c r="AB185" s="589"/>
      <c r="AC185" s="589"/>
      <c r="AD185" s="589"/>
      <c r="AE185" s="589"/>
      <c r="AF185" s="589"/>
      <c r="AG185" s="590"/>
      <c r="AH185" s="281"/>
      <c r="AI185" s="281"/>
      <c r="AJ185" s="281"/>
      <c r="AK185" s="281"/>
    </row>
    <row r="186" spans="2:37" ht="13.2">
      <c r="B186" s="281"/>
      <c r="C186" s="281"/>
      <c r="D186" s="281"/>
      <c r="E186" s="281"/>
      <c r="F186" s="281"/>
      <c r="G186" s="585"/>
      <c r="H186" s="586"/>
      <c r="I186" s="586"/>
      <c r="J186" s="586"/>
      <c r="K186" s="586"/>
      <c r="L186" s="586"/>
      <c r="M186" s="586"/>
      <c r="N186" s="586"/>
      <c r="O186" s="586"/>
      <c r="P186" s="587"/>
      <c r="Q186" s="588"/>
      <c r="R186" s="589"/>
      <c r="S186" s="589"/>
      <c r="T186" s="589"/>
      <c r="U186" s="589"/>
      <c r="V186" s="589"/>
      <c r="W186" s="589"/>
      <c r="X186" s="589"/>
      <c r="Y186" s="589"/>
      <c r="Z186" s="589"/>
      <c r="AA186" s="589"/>
      <c r="AB186" s="589"/>
      <c r="AC186" s="589"/>
      <c r="AD186" s="589"/>
      <c r="AE186" s="589"/>
      <c r="AF186" s="589"/>
      <c r="AG186" s="590"/>
      <c r="AH186" s="281"/>
      <c r="AI186" s="281"/>
      <c r="AJ186" s="281"/>
      <c r="AK186" s="281"/>
    </row>
    <row r="187" spans="2:37" ht="13.2">
      <c r="B187" s="281"/>
      <c r="C187" s="281"/>
      <c r="D187" s="281"/>
      <c r="E187" s="281"/>
      <c r="F187" s="281"/>
      <c r="G187" s="582" t="s">
        <v>259</v>
      </c>
      <c r="H187" s="583"/>
      <c r="I187" s="583"/>
      <c r="J187" s="583"/>
      <c r="K187" s="583"/>
      <c r="L187" s="583"/>
      <c r="M187" s="583"/>
      <c r="N187" s="583"/>
      <c r="O187" s="583"/>
      <c r="P187" s="584"/>
      <c r="Q187" s="594" t="s">
        <v>260</v>
      </c>
      <c r="R187" s="595"/>
      <c r="S187" s="595"/>
      <c r="T187" s="595"/>
      <c r="U187" s="595"/>
      <c r="V187" s="595"/>
      <c r="W187" s="595"/>
      <c r="X187" s="595"/>
      <c r="Y187" s="595"/>
      <c r="Z187" s="595"/>
      <c r="AA187" s="595"/>
      <c r="AB187" s="595"/>
      <c r="AC187" s="595"/>
      <c r="AD187" s="595"/>
      <c r="AE187" s="595"/>
      <c r="AF187" s="595"/>
      <c r="AG187" s="596"/>
      <c r="AH187" s="281"/>
      <c r="AI187" s="281"/>
      <c r="AJ187" s="281"/>
      <c r="AK187" s="281"/>
    </row>
    <row r="188" spans="2:37" ht="13.2">
      <c r="B188" s="281"/>
      <c r="C188" s="281"/>
      <c r="D188" s="281"/>
      <c r="E188" s="281"/>
      <c r="F188" s="281"/>
      <c r="G188" s="585"/>
      <c r="H188" s="586"/>
      <c r="I188" s="586"/>
      <c r="J188" s="586"/>
      <c r="K188" s="586"/>
      <c r="L188" s="586"/>
      <c r="M188" s="586"/>
      <c r="N188" s="586"/>
      <c r="O188" s="586"/>
      <c r="P188" s="587"/>
      <c r="Q188" s="588" t="s">
        <v>261</v>
      </c>
      <c r="R188" s="589"/>
      <c r="S188" s="589"/>
      <c r="T188" s="589"/>
      <c r="U188" s="589"/>
      <c r="V188" s="589"/>
      <c r="W188" s="589"/>
      <c r="X188" s="589"/>
      <c r="Y188" s="589"/>
      <c r="Z188" s="589"/>
      <c r="AA188" s="589"/>
      <c r="AB188" s="589"/>
      <c r="AC188" s="589"/>
      <c r="AD188" s="589"/>
      <c r="AE188" s="589"/>
      <c r="AF188" s="589"/>
      <c r="AG188" s="590"/>
      <c r="AH188" s="281"/>
      <c r="AI188" s="281"/>
      <c r="AJ188" s="281"/>
      <c r="AK188" s="281"/>
    </row>
    <row r="189" spans="2:37" ht="13.2">
      <c r="B189" s="281"/>
      <c r="C189" s="281"/>
      <c r="D189" s="281"/>
      <c r="E189" s="281"/>
      <c r="F189" s="281"/>
      <c r="G189" s="591"/>
      <c r="H189" s="592"/>
      <c r="I189" s="592"/>
      <c r="J189" s="592"/>
      <c r="K189" s="592"/>
      <c r="L189" s="592"/>
      <c r="M189" s="592"/>
      <c r="N189" s="592"/>
      <c r="O189" s="592"/>
      <c r="P189" s="593"/>
      <c r="Q189" s="597" t="s">
        <v>262</v>
      </c>
      <c r="R189" s="598"/>
      <c r="S189" s="598"/>
      <c r="T189" s="598"/>
      <c r="U189" s="598"/>
      <c r="V189" s="598"/>
      <c r="W189" s="598"/>
      <c r="X189" s="598"/>
      <c r="Y189" s="598"/>
      <c r="Z189" s="598"/>
      <c r="AA189" s="598"/>
      <c r="AB189" s="598"/>
      <c r="AC189" s="598"/>
      <c r="AD189" s="598"/>
      <c r="AE189" s="598"/>
      <c r="AF189" s="598"/>
      <c r="AG189" s="599"/>
      <c r="AH189" s="281"/>
      <c r="AI189" s="281"/>
      <c r="AJ189" s="281"/>
      <c r="AK189" s="281"/>
    </row>
    <row r="190" spans="2:37" ht="22.5" customHeight="1">
      <c r="B190" s="281"/>
      <c r="C190" s="281"/>
      <c r="D190" s="281"/>
      <c r="E190" s="281"/>
      <c r="F190" s="281"/>
      <c r="G190" s="582" t="s">
        <v>263</v>
      </c>
      <c r="H190" s="583"/>
      <c r="I190" s="583"/>
      <c r="J190" s="583"/>
      <c r="K190" s="583"/>
      <c r="L190" s="583"/>
      <c r="M190" s="583"/>
      <c r="N190" s="583"/>
      <c r="O190" s="583"/>
      <c r="P190" s="584"/>
      <c r="Q190" s="588" t="s">
        <v>264</v>
      </c>
      <c r="R190" s="589"/>
      <c r="S190" s="589"/>
      <c r="T190" s="589"/>
      <c r="U190" s="589"/>
      <c r="V190" s="589"/>
      <c r="W190" s="589"/>
      <c r="X190" s="589"/>
      <c r="Y190" s="589"/>
      <c r="Z190" s="589"/>
      <c r="AA190" s="589"/>
      <c r="AB190" s="589"/>
      <c r="AC190" s="589"/>
      <c r="AD190" s="589"/>
      <c r="AE190" s="589"/>
      <c r="AF190" s="589"/>
      <c r="AG190" s="590"/>
      <c r="AH190" s="281"/>
      <c r="AI190" s="281"/>
      <c r="AJ190" s="281"/>
      <c r="AK190" s="281"/>
    </row>
    <row r="191" spans="2:37" ht="13.2">
      <c r="B191" s="281"/>
      <c r="C191" s="281"/>
      <c r="D191" s="281"/>
      <c r="E191" s="281"/>
      <c r="F191" s="281"/>
      <c r="G191" s="585"/>
      <c r="H191" s="586"/>
      <c r="I191" s="586"/>
      <c r="J191" s="586"/>
      <c r="K191" s="586"/>
      <c r="L191" s="586"/>
      <c r="M191" s="586"/>
      <c r="N191" s="586"/>
      <c r="O191" s="586"/>
      <c r="P191" s="587"/>
      <c r="Q191" s="588" t="s">
        <v>265</v>
      </c>
      <c r="R191" s="589"/>
      <c r="S191" s="589"/>
      <c r="T191" s="589"/>
      <c r="U191" s="589"/>
      <c r="V191" s="589"/>
      <c r="W191" s="589"/>
      <c r="X191" s="589"/>
      <c r="Y191" s="589"/>
      <c r="Z191" s="589"/>
      <c r="AA191" s="589"/>
      <c r="AB191" s="589"/>
      <c r="AC191" s="589"/>
      <c r="AD191" s="589"/>
      <c r="AE191" s="589"/>
      <c r="AF191" s="589"/>
      <c r="AG191" s="590"/>
      <c r="AH191" s="281"/>
      <c r="AI191" s="281"/>
      <c r="AJ191" s="281"/>
      <c r="AK191" s="281"/>
    </row>
    <row r="192" spans="2:37" ht="13.2">
      <c r="B192" s="281"/>
      <c r="C192" s="281"/>
      <c r="D192" s="281"/>
      <c r="E192" s="281"/>
      <c r="F192" s="281"/>
      <c r="G192" s="585"/>
      <c r="H192" s="586"/>
      <c r="I192" s="586"/>
      <c r="J192" s="586"/>
      <c r="K192" s="586"/>
      <c r="L192" s="586"/>
      <c r="M192" s="586"/>
      <c r="N192" s="586"/>
      <c r="O192" s="586"/>
      <c r="P192" s="587"/>
      <c r="Q192" s="588" t="s">
        <v>266</v>
      </c>
      <c r="R192" s="589"/>
      <c r="S192" s="589"/>
      <c r="T192" s="589"/>
      <c r="U192" s="589"/>
      <c r="V192" s="589"/>
      <c r="W192" s="589"/>
      <c r="X192" s="589"/>
      <c r="Y192" s="589"/>
      <c r="Z192" s="589"/>
      <c r="AA192" s="589"/>
      <c r="AB192" s="589"/>
      <c r="AC192" s="589"/>
      <c r="AD192" s="589"/>
      <c r="AE192" s="589"/>
      <c r="AF192" s="589"/>
      <c r="AG192" s="590"/>
      <c r="AH192" s="281"/>
      <c r="AI192" s="281"/>
      <c r="AJ192" s="281"/>
      <c r="AK192" s="281"/>
    </row>
    <row r="193" spans="2:37" ht="13.2">
      <c r="B193" s="281"/>
      <c r="C193" s="281"/>
      <c r="D193" s="281"/>
      <c r="E193" s="281"/>
      <c r="F193" s="281"/>
      <c r="G193" s="591"/>
      <c r="H193" s="592"/>
      <c r="I193" s="592"/>
      <c r="J193" s="592"/>
      <c r="K193" s="592"/>
      <c r="L193" s="592"/>
      <c r="M193" s="592"/>
      <c r="N193" s="592"/>
      <c r="O193" s="592"/>
      <c r="P193" s="593"/>
      <c r="Q193" s="597"/>
      <c r="R193" s="598"/>
      <c r="S193" s="598"/>
      <c r="T193" s="598"/>
      <c r="U193" s="598"/>
      <c r="V193" s="598"/>
      <c r="W193" s="598"/>
      <c r="X193" s="598"/>
      <c r="Y193" s="598"/>
      <c r="Z193" s="598"/>
      <c r="AA193" s="598"/>
      <c r="AB193" s="598"/>
      <c r="AC193" s="598"/>
      <c r="AD193" s="598"/>
      <c r="AE193" s="598"/>
      <c r="AF193" s="598"/>
      <c r="AG193" s="599"/>
      <c r="AH193" s="281"/>
      <c r="AI193" s="281"/>
      <c r="AJ193" s="281"/>
      <c r="AK193" s="281"/>
    </row>
    <row r="194" spans="2:37" ht="13.2">
      <c r="B194" s="281"/>
      <c r="C194" s="281"/>
      <c r="D194" s="281"/>
      <c r="E194" s="281"/>
      <c r="F194" s="281"/>
      <c r="G194" s="281"/>
      <c r="H194" s="281"/>
      <c r="I194" s="281"/>
      <c r="J194" s="281"/>
      <c r="K194" s="281"/>
      <c r="L194" s="281"/>
      <c r="M194" s="281"/>
      <c r="N194" s="281"/>
      <c r="O194" s="281"/>
      <c r="P194" s="281"/>
      <c r="Q194" s="281"/>
      <c r="R194" s="281"/>
      <c r="S194" s="281"/>
      <c r="T194" s="281"/>
      <c r="U194" s="281"/>
      <c r="V194" s="281"/>
      <c r="W194" s="281"/>
      <c r="X194" s="281"/>
      <c r="Y194" s="281"/>
      <c r="Z194" s="281"/>
      <c r="AA194" s="281"/>
      <c r="AB194" s="281"/>
      <c r="AC194" s="281"/>
      <c r="AD194" s="281"/>
      <c r="AE194" s="281"/>
      <c r="AF194" s="281"/>
      <c r="AG194" s="281"/>
      <c r="AH194" s="281"/>
      <c r="AI194" s="281"/>
      <c r="AJ194" s="281"/>
      <c r="AK194" s="281"/>
    </row>
    <row r="195" spans="2:37" ht="22.5" customHeight="1">
      <c r="B195" s="566" t="s">
        <v>333</v>
      </c>
      <c r="C195" s="566"/>
      <c r="D195" s="566"/>
      <c r="E195" s="566"/>
      <c r="F195" s="566"/>
      <c r="G195" s="566"/>
      <c r="H195" s="566"/>
      <c r="I195" s="566"/>
      <c r="J195" s="566"/>
      <c r="K195" s="566"/>
      <c r="L195" s="566"/>
      <c r="M195" s="566"/>
      <c r="N195" s="566"/>
      <c r="O195" s="566"/>
      <c r="P195" s="566"/>
      <c r="Q195" s="566"/>
      <c r="R195" s="566"/>
      <c r="S195" s="566"/>
      <c r="T195" s="566"/>
      <c r="U195" s="566"/>
      <c r="V195" s="566"/>
      <c r="W195" s="566"/>
      <c r="X195" s="566"/>
      <c r="Y195" s="566"/>
      <c r="Z195" s="566"/>
      <c r="AA195" s="566"/>
      <c r="AB195" s="566"/>
      <c r="AC195" s="566"/>
      <c r="AD195" s="566"/>
      <c r="AE195" s="566"/>
      <c r="AF195" s="566"/>
      <c r="AG195" s="566"/>
      <c r="AH195" s="566"/>
      <c r="AI195" s="566"/>
      <c r="AJ195" s="566"/>
      <c r="AK195" s="566"/>
    </row>
    <row r="196" spans="2:37" ht="13.2">
      <c r="B196" s="231"/>
      <c r="C196" s="231"/>
      <c r="D196" s="231"/>
      <c r="E196" s="231"/>
      <c r="F196" s="231"/>
      <c r="G196" s="231"/>
      <c r="H196" s="231"/>
      <c r="I196" s="231"/>
      <c r="J196" s="231"/>
      <c r="K196" s="231"/>
      <c r="L196" s="231"/>
      <c r="M196" s="231"/>
      <c r="N196" s="231"/>
      <c r="O196" s="231"/>
      <c r="P196" s="231"/>
      <c r="Q196" s="231"/>
      <c r="R196" s="231"/>
      <c r="S196" s="231"/>
      <c r="T196" s="231"/>
      <c r="U196" s="231"/>
      <c r="V196" s="231"/>
      <c r="W196" s="231"/>
      <c r="X196" s="231"/>
      <c r="Y196" s="231"/>
      <c r="Z196" s="231"/>
      <c r="AA196" s="231"/>
      <c r="AB196" s="231"/>
      <c r="AC196" s="231"/>
      <c r="AD196" s="231"/>
      <c r="AE196" s="231"/>
      <c r="AF196" s="231"/>
      <c r="AG196" s="231"/>
      <c r="AH196" s="231"/>
      <c r="AI196" s="231"/>
      <c r="AJ196" s="231"/>
      <c r="AK196" s="231"/>
    </row>
    <row r="197" spans="2:37" ht="56.25" customHeight="1">
      <c r="B197" s="566" t="s">
        <v>405</v>
      </c>
      <c r="C197" s="566"/>
      <c r="D197" s="566"/>
      <c r="E197" s="566"/>
      <c r="F197" s="566"/>
      <c r="G197" s="566"/>
      <c r="H197" s="566"/>
      <c r="I197" s="566"/>
      <c r="J197" s="566"/>
      <c r="K197" s="566"/>
      <c r="L197" s="566"/>
      <c r="M197" s="566"/>
      <c r="N197" s="566"/>
      <c r="O197" s="566"/>
      <c r="P197" s="566"/>
      <c r="Q197" s="566"/>
      <c r="R197" s="566"/>
      <c r="S197" s="566"/>
      <c r="T197" s="566"/>
      <c r="U197" s="566"/>
      <c r="V197" s="566"/>
      <c r="W197" s="566"/>
      <c r="X197" s="566"/>
      <c r="Y197" s="566"/>
      <c r="Z197" s="566"/>
      <c r="AA197" s="566"/>
      <c r="AB197" s="566"/>
      <c r="AC197" s="566"/>
      <c r="AD197" s="566"/>
      <c r="AE197" s="566"/>
      <c r="AF197" s="566"/>
      <c r="AG197" s="566"/>
      <c r="AH197" s="566"/>
      <c r="AI197" s="566"/>
      <c r="AJ197" s="566"/>
      <c r="AK197" s="566"/>
    </row>
    <row r="198" spans="2:37" ht="33.75" customHeight="1">
      <c r="B198" s="562" t="s">
        <v>269</v>
      </c>
      <c r="C198" s="562"/>
      <c r="D198" s="562"/>
      <c r="E198" s="562"/>
      <c r="F198" s="562"/>
      <c r="G198" s="562"/>
      <c r="H198" s="562"/>
      <c r="I198" s="562"/>
      <c r="J198" s="562"/>
      <c r="K198" s="562"/>
      <c r="L198" s="562"/>
      <c r="M198" s="562"/>
      <c r="N198" s="562"/>
      <c r="O198" s="562"/>
      <c r="P198" s="562"/>
      <c r="Q198" s="562"/>
      <c r="R198" s="562"/>
      <c r="S198" s="562"/>
      <c r="T198" s="562"/>
      <c r="U198" s="562"/>
      <c r="V198" s="562"/>
      <c r="W198" s="562"/>
      <c r="X198" s="562"/>
      <c r="Y198" s="562"/>
      <c r="Z198" s="562"/>
      <c r="AA198" s="562"/>
      <c r="AB198" s="562"/>
      <c r="AC198" s="562"/>
      <c r="AD198" s="562"/>
      <c r="AE198" s="562"/>
      <c r="AF198" s="562"/>
      <c r="AG198" s="562"/>
      <c r="AH198" s="562"/>
      <c r="AI198" s="562"/>
      <c r="AJ198" s="562"/>
      <c r="AK198" s="562"/>
    </row>
    <row r="199" spans="2:37" ht="13.2">
      <c r="B199" s="231"/>
      <c r="C199" s="231"/>
      <c r="D199" s="231"/>
      <c r="E199" s="231"/>
      <c r="F199" s="231"/>
      <c r="G199" s="231"/>
      <c r="H199" s="231"/>
      <c r="I199" s="231"/>
      <c r="J199" s="231"/>
      <c r="K199" s="231"/>
      <c r="L199" s="231"/>
      <c r="M199" s="231"/>
      <c r="N199" s="231"/>
      <c r="O199" s="231"/>
      <c r="P199" s="231"/>
      <c r="Q199" s="231"/>
      <c r="R199" s="231"/>
      <c r="S199" s="231"/>
      <c r="T199" s="231"/>
      <c r="U199" s="231"/>
      <c r="V199" s="231"/>
      <c r="W199" s="231"/>
      <c r="X199" s="231"/>
      <c r="Y199" s="231"/>
      <c r="Z199" s="231"/>
      <c r="AA199" s="231"/>
      <c r="AB199" s="231"/>
      <c r="AC199" s="231"/>
      <c r="AD199" s="231"/>
      <c r="AE199" s="231"/>
      <c r="AF199" s="231"/>
      <c r="AG199" s="231"/>
      <c r="AH199" s="231"/>
      <c r="AI199" s="231"/>
      <c r="AJ199" s="231"/>
      <c r="AK199" s="231"/>
    </row>
    <row r="200" spans="2:37" ht="33.75" customHeight="1">
      <c r="B200" s="566" t="s">
        <v>406</v>
      </c>
      <c r="C200" s="566"/>
      <c r="D200" s="566"/>
      <c r="E200" s="566"/>
      <c r="F200" s="566"/>
      <c r="G200" s="566"/>
      <c r="H200" s="566"/>
      <c r="I200" s="566"/>
      <c r="J200" s="566"/>
      <c r="K200" s="566"/>
      <c r="L200" s="566"/>
      <c r="M200" s="566"/>
      <c r="N200" s="566"/>
      <c r="O200" s="566"/>
      <c r="P200" s="566"/>
      <c r="Q200" s="566"/>
      <c r="R200" s="566"/>
      <c r="S200" s="566"/>
      <c r="T200" s="566"/>
      <c r="U200" s="566"/>
      <c r="V200" s="566"/>
      <c r="W200" s="566"/>
      <c r="X200" s="566"/>
      <c r="Y200" s="566"/>
      <c r="Z200" s="566"/>
      <c r="AA200" s="566"/>
      <c r="AB200" s="566"/>
      <c r="AC200" s="566"/>
      <c r="AD200" s="566"/>
      <c r="AE200" s="566"/>
      <c r="AF200" s="566"/>
      <c r="AG200" s="566"/>
      <c r="AH200" s="566"/>
      <c r="AI200" s="566"/>
      <c r="AJ200" s="566"/>
      <c r="AK200" s="566"/>
    </row>
    <row r="201" spans="2:37" ht="13.2">
      <c r="B201" s="232"/>
      <c r="C201" s="231"/>
      <c r="D201" s="231"/>
      <c r="E201" s="231"/>
      <c r="F201" s="231"/>
      <c r="G201" s="231"/>
      <c r="H201" s="231"/>
      <c r="I201" s="231"/>
      <c r="J201" s="231"/>
      <c r="K201" s="231"/>
      <c r="L201" s="231"/>
      <c r="M201" s="231"/>
      <c r="N201" s="231"/>
      <c r="O201" s="231"/>
      <c r="P201" s="231"/>
      <c r="Q201" s="231"/>
      <c r="R201" s="231"/>
      <c r="S201" s="231"/>
      <c r="T201" s="231"/>
      <c r="U201" s="231"/>
      <c r="V201" s="231"/>
      <c r="W201" s="231"/>
      <c r="X201" s="231"/>
      <c r="Y201" s="231"/>
      <c r="Z201" s="231"/>
      <c r="AA201" s="231"/>
      <c r="AB201" s="231"/>
      <c r="AC201" s="231"/>
      <c r="AD201" s="231"/>
      <c r="AE201" s="231"/>
      <c r="AF201" s="231"/>
      <c r="AG201" s="231"/>
      <c r="AH201" s="231"/>
      <c r="AI201" s="231"/>
      <c r="AJ201" s="231"/>
      <c r="AK201" s="231"/>
    </row>
    <row r="202" spans="2:37" ht="33.75" customHeight="1">
      <c r="B202" s="566" t="s">
        <v>336</v>
      </c>
      <c r="C202" s="566"/>
      <c r="D202" s="566"/>
      <c r="E202" s="566"/>
      <c r="F202" s="566"/>
      <c r="G202" s="566"/>
      <c r="H202" s="566"/>
      <c r="I202" s="566"/>
      <c r="J202" s="566"/>
      <c r="K202" s="566"/>
      <c r="L202" s="566"/>
      <c r="M202" s="566"/>
      <c r="N202" s="566"/>
      <c r="O202" s="566"/>
      <c r="P202" s="566"/>
      <c r="Q202" s="566"/>
      <c r="R202" s="566"/>
      <c r="S202" s="566"/>
      <c r="T202" s="566"/>
      <c r="U202" s="566"/>
      <c r="V202" s="566"/>
      <c r="W202" s="566"/>
      <c r="X202" s="566"/>
      <c r="Y202" s="566"/>
      <c r="Z202" s="566"/>
      <c r="AA202" s="566"/>
      <c r="AB202" s="566"/>
      <c r="AC202" s="566"/>
      <c r="AD202" s="566"/>
      <c r="AE202" s="566"/>
      <c r="AF202" s="566"/>
      <c r="AG202" s="566"/>
      <c r="AH202" s="566"/>
      <c r="AI202" s="566"/>
      <c r="AJ202" s="566"/>
      <c r="AK202" s="566"/>
    </row>
    <row r="203" spans="2:37" ht="13.2">
      <c r="B203" s="232"/>
      <c r="C203" s="231"/>
      <c r="D203" s="231"/>
      <c r="E203" s="231"/>
      <c r="F203" s="231"/>
      <c r="G203" s="231"/>
      <c r="H203" s="231"/>
      <c r="I203" s="231"/>
      <c r="J203" s="231"/>
      <c r="K203" s="231"/>
      <c r="L203" s="231"/>
      <c r="M203" s="231"/>
      <c r="N203" s="231"/>
      <c r="O203" s="231"/>
      <c r="P203" s="231"/>
      <c r="Q203" s="231"/>
      <c r="R203" s="231"/>
      <c r="S203" s="231"/>
      <c r="T203" s="231"/>
      <c r="U203" s="231"/>
      <c r="V203" s="231"/>
      <c r="W203" s="231"/>
      <c r="X203" s="231"/>
      <c r="Y203" s="231"/>
      <c r="Z203" s="231"/>
      <c r="AA203" s="231"/>
      <c r="AB203" s="231"/>
      <c r="AC203" s="231"/>
      <c r="AD203" s="231"/>
      <c r="AE203" s="231"/>
      <c r="AF203" s="231"/>
      <c r="AG203" s="231"/>
      <c r="AH203" s="231"/>
      <c r="AI203" s="231"/>
      <c r="AJ203" s="231"/>
      <c r="AK203" s="231"/>
    </row>
    <row r="204" spans="2:37" ht="12.75" customHeight="1">
      <c r="B204" s="239"/>
      <c r="C204" s="281"/>
      <c r="D204" s="281"/>
      <c r="E204" s="281"/>
      <c r="F204" s="281"/>
      <c r="G204" s="281"/>
      <c r="H204" s="281"/>
      <c r="I204" s="281"/>
      <c r="J204" s="281"/>
      <c r="K204" s="281"/>
      <c r="L204" s="281"/>
      <c r="M204" s="281"/>
      <c r="N204" s="281"/>
      <c r="O204" s="281"/>
      <c r="P204" s="281"/>
      <c r="Q204" s="281"/>
      <c r="R204" s="281"/>
      <c r="S204" s="281"/>
      <c r="T204" s="281"/>
      <c r="U204" s="281"/>
      <c r="V204" s="281"/>
      <c r="W204" s="281"/>
      <c r="X204" s="281"/>
      <c r="Y204" s="281"/>
      <c r="Z204" s="281"/>
      <c r="AA204" s="281"/>
      <c r="AB204" s="281"/>
      <c r="AC204" s="281"/>
      <c r="AD204" s="281"/>
      <c r="AE204" s="281"/>
      <c r="AF204" s="281"/>
      <c r="AG204" s="281"/>
      <c r="AH204" s="281"/>
      <c r="AI204" s="281"/>
      <c r="AJ204" s="281"/>
      <c r="AK204" s="281"/>
    </row>
    <row r="205" spans="2:37" ht="13.2">
      <c r="B205" s="726" t="s">
        <v>272</v>
      </c>
      <c r="C205" s="726"/>
      <c r="D205" s="726"/>
      <c r="E205" s="726"/>
      <c r="F205" s="726"/>
      <c r="G205" s="726"/>
      <c r="H205" s="726"/>
      <c r="I205" s="726"/>
      <c r="J205" s="726"/>
      <c r="K205" s="726"/>
      <c r="L205" s="726"/>
      <c r="M205" s="726"/>
      <c r="N205" s="726"/>
      <c r="O205" s="726"/>
      <c r="P205" s="726"/>
      <c r="Q205" s="726"/>
      <c r="R205" s="726"/>
      <c r="S205" s="726"/>
      <c r="T205" s="726"/>
      <c r="U205" s="726"/>
      <c r="V205" s="726"/>
      <c r="W205" s="726"/>
      <c r="X205" s="726"/>
      <c r="Y205" s="726"/>
      <c r="Z205" s="726"/>
      <c r="AA205" s="726"/>
      <c r="AB205" s="726"/>
      <c r="AC205" s="726"/>
      <c r="AD205" s="726"/>
      <c r="AE205" s="726"/>
      <c r="AF205" s="726"/>
      <c r="AG205" s="726"/>
      <c r="AH205" s="726"/>
      <c r="AI205" s="726"/>
      <c r="AJ205" s="726"/>
      <c r="AK205" s="726"/>
    </row>
    <row r="206" spans="2:37" ht="13.2">
      <c r="B206" s="282"/>
      <c r="C206" s="281"/>
      <c r="D206" s="281"/>
      <c r="E206" s="281"/>
      <c r="F206" s="281"/>
      <c r="G206" s="281"/>
      <c r="H206" s="281"/>
      <c r="I206" s="281"/>
      <c r="J206" s="281"/>
      <c r="K206" s="281"/>
      <c r="L206" s="281"/>
      <c r="M206" s="281"/>
      <c r="N206" s="281"/>
      <c r="O206" s="281"/>
      <c r="P206" s="281"/>
      <c r="Q206" s="281"/>
      <c r="R206" s="281"/>
      <c r="S206" s="281"/>
      <c r="T206" s="281"/>
      <c r="U206" s="281"/>
      <c r="V206" s="281"/>
      <c r="W206" s="281"/>
      <c r="X206" s="281"/>
      <c r="Y206" s="281"/>
      <c r="Z206" s="281"/>
      <c r="AA206" s="281"/>
      <c r="AB206" s="281"/>
      <c r="AC206" s="281"/>
      <c r="AD206" s="281"/>
      <c r="AE206" s="281"/>
      <c r="AF206" s="281"/>
      <c r="AG206" s="281"/>
      <c r="AH206" s="281"/>
      <c r="AI206" s="281"/>
      <c r="AJ206" s="281"/>
      <c r="AK206" s="281"/>
    </row>
    <row r="207" spans="2:37" ht="45" customHeight="1">
      <c r="B207" s="562" t="s">
        <v>383</v>
      </c>
      <c r="C207" s="562"/>
      <c r="D207" s="562"/>
      <c r="E207" s="562"/>
      <c r="F207" s="562"/>
      <c r="G207" s="562"/>
      <c r="H207" s="562"/>
      <c r="I207" s="562"/>
      <c r="J207" s="562"/>
      <c r="K207" s="562"/>
      <c r="L207" s="562"/>
      <c r="M207" s="562"/>
      <c r="N207" s="562"/>
      <c r="O207" s="562"/>
      <c r="P207" s="562"/>
      <c r="Q207" s="562"/>
      <c r="R207" s="562"/>
      <c r="S207" s="562"/>
      <c r="T207" s="562"/>
      <c r="U207" s="562"/>
      <c r="V207" s="562"/>
      <c r="W207" s="562"/>
      <c r="X207" s="562"/>
      <c r="Y207" s="562"/>
      <c r="Z207" s="562"/>
      <c r="AA207" s="562"/>
      <c r="AB207" s="562"/>
      <c r="AC207" s="562"/>
      <c r="AD207" s="562"/>
      <c r="AE207" s="562"/>
      <c r="AF207" s="562"/>
      <c r="AG207" s="562"/>
      <c r="AH207" s="562"/>
      <c r="AI207" s="562"/>
      <c r="AJ207" s="562"/>
      <c r="AK207" s="562"/>
    </row>
    <row r="208" spans="2:37" ht="13.2">
      <c r="B208" s="281"/>
      <c r="C208" s="281"/>
      <c r="D208" s="281"/>
      <c r="E208" s="281"/>
      <c r="F208" s="281"/>
      <c r="G208" s="281"/>
      <c r="H208" s="281"/>
      <c r="I208" s="281"/>
      <c r="J208" s="281"/>
      <c r="K208" s="281"/>
      <c r="L208" s="281"/>
      <c r="M208" s="281"/>
      <c r="N208" s="281"/>
      <c r="O208" s="281"/>
      <c r="P208" s="281"/>
      <c r="Q208" s="281"/>
      <c r="R208" s="281"/>
      <c r="S208" s="281"/>
      <c r="T208" s="281"/>
      <c r="U208" s="281"/>
      <c r="V208" s="281"/>
      <c r="W208" s="281"/>
      <c r="X208" s="281"/>
      <c r="Y208" s="281"/>
      <c r="Z208" s="281"/>
      <c r="AA208" s="281"/>
      <c r="AB208" s="281"/>
      <c r="AC208" s="281"/>
      <c r="AD208" s="281"/>
      <c r="AE208" s="281"/>
      <c r="AF208" s="281"/>
      <c r="AG208" s="281"/>
      <c r="AH208" s="281"/>
      <c r="AI208" s="281"/>
      <c r="AJ208" s="281"/>
      <c r="AK208" s="281"/>
    </row>
    <row r="209" spans="2:37" ht="13.2">
      <c r="B209" s="281"/>
      <c r="C209" s="281"/>
      <c r="D209" s="281"/>
      <c r="E209" s="281"/>
      <c r="F209" s="281"/>
      <c r="G209" s="281"/>
      <c r="H209" s="281"/>
      <c r="I209" s="281"/>
      <c r="J209" s="281"/>
      <c r="K209" s="281"/>
      <c r="L209" s="281"/>
      <c r="M209" s="281"/>
      <c r="N209" s="281"/>
      <c r="O209" s="281"/>
      <c r="P209" s="281"/>
      <c r="Q209" s="281"/>
      <c r="R209" s="281"/>
      <c r="S209" s="281"/>
      <c r="T209" s="281"/>
      <c r="U209" s="281"/>
      <c r="V209" s="281"/>
      <c r="W209" s="281"/>
      <c r="X209" s="281"/>
      <c r="Y209" s="281"/>
      <c r="Z209" s="281"/>
      <c r="AA209" s="281"/>
      <c r="AB209" s="281"/>
      <c r="AC209" s="281"/>
      <c r="AD209" s="281"/>
      <c r="AE209" s="281"/>
      <c r="AF209" s="281"/>
      <c r="AG209" s="281"/>
      <c r="AH209" s="281"/>
      <c r="AI209" s="281"/>
      <c r="AJ209" s="281"/>
      <c r="AK209" s="281"/>
    </row>
    <row r="210" spans="2:37" ht="13.2">
      <c r="B210" s="281"/>
      <c r="C210" s="281"/>
      <c r="D210" s="281"/>
      <c r="E210" s="281"/>
      <c r="F210" s="281"/>
      <c r="G210" s="281"/>
      <c r="H210" s="238"/>
      <c r="I210" s="238"/>
      <c r="J210" s="238"/>
      <c r="K210" s="238"/>
      <c r="L210" s="238"/>
      <c r="M210" s="238"/>
      <c r="N210" s="238"/>
      <c r="O210" s="238"/>
      <c r="P210" s="238"/>
      <c r="Q210" s="238"/>
      <c r="R210" s="238"/>
      <c r="S210" s="238"/>
      <c r="T210" s="238"/>
      <c r="U210" s="238"/>
      <c r="V210" s="238"/>
      <c r="W210" s="238"/>
      <c r="X210" s="238"/>
      <c r="Y210" s="238"/>
      <c r="Z210" s="238"/>
      <c r="AA210" s="238"/>
      <c r="AB210" s="238"/>
      <c r="AC210" s="238"/>
      <c r="AD210" s="281"/>
      <c r="AE210" s="281"/>
      <c r="AF210" s="281"/>
      <c r="AG210" s="281"/>
      <c r="AH210" s="281"/>
      <c r="AI210" s="281"/>
      <c r="AJ210" s="281"/>
      <c r="AK210" s="281"/>
    </row>
    <row r="211" spans="2:37" ht="13.2">
      <c r="B211" s="281"/>
      <c r="C211" s="281"/>
      <c r="D211" s="281"/>
      <c r="E211" s="281"/>
      <c r="F211" s="281"/>
      <c r="G211" s="281"/>
      <c r="H211" s="232"/>
      <c r="I211" s="232"/>
      <c r="J211" s="232"/>
      <c r="K211" s="232"/>
      <c r="L211" s="232"/>
      <c r="M211" s="232"/>
      <c r="N211" s="232"/>
      <c r="O211" s="232"/>
      <c r="P211" s="232"/>
      <c r="Q211" s="232"/>
      <c r="R211" s="232"/>
      <c r="S211" s="232"/>
      <c r="T211" s="232"/>
      <c r="U211" s="232"/>
      <c r="V211" s="232"/>
      <c r="W211" s="232"/>
      <c r="X211" s="232"/>
      <c r="Y211" s="232"/>
      <c r="Z211" s="232"/>
      <c r="AA211" s="232"/>
      <c r="AB211" s="232"/>
      <c r="AC211" s="232"/>
      <c r="AD211" s="281"/>
      <c r="AE211" s="281"/>
      <c r="AF211" s="281"/>
      <c r="AG211" s="281"/>
      <c r="AH211" s="281"/>
      <c r="AI211" s="281"/>
      <c r="AJ211" s="281"/>
      <c r="AK211" s="281"/>
    </row>
    <row r="212" spans="2:37" ht="13.2">
      <c r="B212" s="281"/>
      <c r="C212" s="281"/>
      <c r="D212" s="281"/>
      <c r="E212" s="281"/>
      <c r="F212" s="281"/>
      <c r="G212" s="281"/>
      <c r="H212" s="233"/>
      <c r="I212" s="233"/>
      <c r="J212" s="233"/>
      <c r="K212" s="233"/>
      <c r="L212" s="233"/>
      <c r="M212" s="233"/>
      <c r="N212" s="233"/>
      <c r="O212" s="609" t="s">
        <v>274</v>
      </c>
      <c r="P212" s="609"/>
      <c r="Q212" s="609"/>
      <c r="R212" s="609"/>
      <c r="S212" s="609"/>
      <c r="T212" s="609"/>
      <c r="U212" s="609"/>
      <c r="V212" s="609"/>
      <c r="W212" s="609"/>
      <c r="X212" s="609"/>
      <c r="Y212" s="234"/>
      <c r="Z212" s="233"/>
      <c r="AA212" s="233"/>
      <c r="AB212" s="233"/>
      <c r="AC212" s="233"/>
      <c r="AD212" s="281"/>
      <c r="AE212" s="281"/>
      <c r="AF212" s="281"/>
      <c r="AG212" s="281"/>
      <c r="AH212" s="281"/>
      <c r="AI212" s="281"/>
      <c r="AJ212" s="281"/>
      <c r="AK212" s="281"/>
    </row>
    <row r="213" spans="2:37" ht="13.2">
      <c r="B213" s="281"/>
      <c r="C213" s="281"/>
      <c r="D213" s="281"/>
      <c r="E213" s="281"/>
      <c r="F213" s="281"/>
      <c r="G213" s="281"/>
      <c r="H213" s="233"/>
      <c r="I213" s="233"/>
      <c r="J213" s="233"/>
      <c r="K213" s="233"/>
      <c r="L213" s="233"/>
      <c r="M213" s="233"/>
      <c r="N213" s="233"/>
      <c r="O213" s="235"/>
      <c r="P213" s="235"/>
      <c r="Q213" s="235"/>
      <c r="R213" s="235"/>
      <c r="S213" s="235"/>
      <c r="T213" s="235"/>
      <c r="U213" s="235"/>
      <c r="V213" s="235"/>
      <c r="W213" s="233"/>
      <c r="X213" s="233"/>
      <c r="Y213" s="233"/>
      <c r="Z213" s="233"/>
      <c r="AA213" s="233"/>
      <c r="AB213" s="233"/>
      <c r="AC213" s="233"/>
      <c r="AD213" s="281"/>
      <c r="AE213" s="281"/>
      <c r="AF213" s="281"/>
      <c r="AG213" s="281"/>
      <c r="AH213" s="281"/>
      <c r="AI213" s="281"/>
      <c r="AJ213" s="281"/>
      <c r="AK213" s="281"/>
    </row>
    <row r="214" spans="2:37" ht="13.2">
      <c r="B214" s="281"/>
      <c r="C214" s="281"/>
      <c r="D214" s="281"/>
      <c r="E214" s="281"/>
      <c r="F214" s="281"/>
      <c r="G214" s="281"/>
      <c r="H214" s="233"/>
      <c r="I214" s="233"/>
      <c r="J214" s="233"/>
      <c r="K214" s="233"/>
      <c r="L214" s="840"/>
      <c r="M214" s="840"/>
      <c r="N214" s="840"/>
      <c r="O214" s="840"/>
      <c r="P214" s="840"/>
      <c r="Q214" s="840"/>
      <c r="R214" s="840"/>
      <c r="S214" s="840"/>
      <c r="T214" s="840"/>
      <c r="U214" s="840"/>
      <c r="V214" s="840"/>
      <c r="W214" s="840"/>
      <c r="X214" s="840"/>
      <c r="Y214" s="840"/>
      <c r="Z214" s="840"/>
      <c r="AA214" s="840"/>
      <c r="AB214" s="233"/>
      <c r="AC214" s="233"/>
      <c r="AD214" s="281"/>
      <c r="AE214" s="281"/>
      <c r="AF214" s="281"/>
      <c r="AG214" s="281"/>
      <c r="AH214" s="281"/>
      <c r="AI214" s="281"/>
      <c r="AJ214" s="281"/>
      <c r="AK214" s="281"/>
    </row>
    <row r="215" spans="2:37" ht="13.2">
      <c r="B215" s="281"/>
      <c r="C215" s="281"/>
      <c r="D215" s="281"/>
      <c r="E215" s="281"/>
      <c r="F215" s="281"/>
      <c r="G215" s="281"/>
      <c r="H215" s="233"/>
      <c r="I215" s="233"/>
      <c r="J215" s="233"/>
      <c r="K215" s="233"/>
      <c r="L215" s="611">
        <f>AA_013_DATOS_DE_LA_PARTE_ACREDITADA_NOMBRE_DEL_ACREDITADO</f>
        <v>0</v>
      </c>
      <c r="M215" s="611"/>
      <c r="N215" s="611"/>
      <c r="O215" s="611"/>
      <c r="P215" s="611"/>
      <c r="Q215" s="611"/>
      <c r="R215" s="611"/>
      <c r="S215" s="611"/>
      <c r="T215" s="611"/>
      <c r="U215" s="611"/>
      <c r="V215" s="611"/>
      <c r="W215" s="611"/>
      <c r="X215" s="611"/>
      <c r="Y215" s="611"/>
      <c r="Z215" s="611"/>
      <c r="AA215" s="611"/>
      <c r="AB215" s="233"/>
      <c r="AC215" s="233"/>
      <c r="AD215" s="281"/>
      <c r="AE215" s="281"/>
      <c r="AF215" s="281"/>
      <c r="AG215" s="281"/>
      <c r="AH215" s="281"/>
      <c r="AI215" s="281"/>
      <c r="AJ215" s="281"/>
      <c r="AK215" s="281"/>
    </row>
    <row r="216" spans="2:37" ht="13.2">
      <c r="B216" s="281"/>
      <c r="C216" s="281"/>
      <c r="D216" s="281"/>
      <c r="E216" s="281"/>
      <c r="F216" s="281"/>
      <c r="G216" s="281"/>
      <c r="H216" s="233"/>
      <c r="I216" s="233"/>
      <c r="J216" s="233"/>
      <c r="K216" s="233"/>
      <c r="L216" s="233"/>
      <c r="M216" s="233"/>
      <c r="N216" s="233"/>
      <c r="O216" s="233"/>
      <c r="P216" s="233"/>
      <c r="Q216" s="233"/>
      <c r="R216" s="233"/>
      <c r="S216" s="233"/>
      <c r="T216" s="233"/>
      <c r="U216" s="233"/>
      <c r="V216" s="233"/>
      <c r="W216" s="233"/>
      <c r="X216" s="233"/>
      <c r="Y216" s="233"/>
      <c r="Z216" s="233"/>
      <c r="AA216" s="233"/>
      <c r="AB216" s="233"/>
      <c r="AC216" s="233"/>
      <c r="AD216" s="281"/>
      <c r="AE216" s="281"/>
      <c r="AF216" s="281"/>
      <c r="AG216" s="281"/>
      <c r="AH216" s="281"/>
      <c r="AI216" s="281"/>
      <c r="AJ216" s="281"/>
      <c r="AK216" s="281"/>
    </row>
    <row r="217" spans="2:37" ht="13.2">
      <c r="B217" s="281"/>
      <c r="C217" s="281"/>
      <c r="D217" s="281"/>
      <c r="E217" s="281"/>
      <c r="F217" s="281"/>
      <c r="G217" s="281"/>
      <c r="H217" s="233"/>
      <c r="I217" s="233"/>
      <c r="J217" s="233"/>
      <c r="K217" s="233"/>
      <c r="L217" s="233"/>
      <c r="M217" s="233"/>
      <c r="N217" s="233"/>
      <c r="O217" s="233"/>
      <c r="P217" s="233"/>
      <c r="Q217" s="233"/>
      <c r="R217" s="233"/>
      <c r="S217" s="233"/>
      <c r="T217" s="233"/>
      <c r="U217" s="233"/>
      <c r="V217" s="233"/>
      <c r="W217" s="233"/>
      <c r="X217" s="233"/>
      <c r="Y217" s="233"/>
      <c r="Z217" s="233"/>
      <c r="AA217" s="233"/>
      <c r="AB217" s="233"/>
      <c r="AC217" s="233"/>
      <c r="AD217" s="281"/>
      <c r="AE217" s="281"/>
      <c r="AF217" s="281"/>
      <c r="AG217" s="281"/>
      <c r="AH217" s="281"/>
      <c r="AI217" s="281"/>
      <c r="AJ217" s="281"/>
      <c r="AK217" s="281"/>
    </row>
    <row r="218" spans="2:37" ht="13.2">
      <c r="B218" s="281"/>
      <c r="C218" s="281"/>
      <c r="D218" s="281"/>
      <c r="E218" s="281"/>
      <c r="F218" s="281"/>
      <c r="G218" s="281"/>
      <c r="H218" s="236"/>
      <c r="I218" s="236"/>
      <c r="J218" s="236"/>
      <c r="K218" s="236"/>
      <c r="L218" s="840"/>
      <c r="M218" s="840"/>
      <c r="N218" s="840"/>
      <c r="O218" s="840"/>
      <c r="P218" s="840"/>
      <c r="Q218" s="840"/>
      <c r="R218" s="840"/>
      <c r="S218" s="840"/>
      <c r="T218" s="840"/>
      <c r="U218" s="840"/>
      <c r="V218" s="840"/>
      <c r="W218" s="840"/>
      <c r="X218" s="840"/>
      <c r="Y218" s="840"/>
      <c r="Z218" s="840"/>
      <c r="AA218" s="840"/>
      <c r="AB218" s="236"/>
      <c r="AC218" s="236"/>
      <c r="AD218" s="281"/>
      <c r="AE218" s="281"/>
      <c r="AF218" s="281"/>
      <c r="AG218" s="281"/>
      <c r="AH218" s="281"/>
      <c r="AI218" s="281"/>
      <c r="AJ218" s="281"/>
      <c r="AK218" s="281"/>
    </row>
    <row r="219" spans="2:37" ht="13.2">
      <c r="B219" s="281"/>
      <c r="C219" s="281"/>
      <c r="D219" s="281"/>
      <c r="E219" s="281"/>
      <c r="F219" s="281"/>
      <c r="G219" s="281"/>
      <c r="H219" s="236"/>
      <c r="I219" s="236"/>
      <c r="J219" s="236"/>
      <c r="K219" s="236"/>
      <c r="L219" s="611">
        <f>AA_024_DATOS_DE_LA_PARTE_ACREDITADA_NOMBRE_DEL_ACREDITADO_2</f>
        <v>0</v>
      </c>
      <c r="M219" s="611"/>
      <c r="N219" s="611"/>
      <c r="O219" s="611"/>
      <c r="P219" s="611"/>
      <c r="Q219" s="611"/>
      <c r="R219" s="611"/>
      <c r="S219" s="611"/>
      <c r="T219" s="611"/>
      <c r="U219" s="611"/>
      <c r="V219" s="611"/>
      <c r="W219" s="611"/>
      <c r="X219" s="611"/>
      <c r="Y219" s="611"/>
      <c r="Z219" s="611"/>
      <c r="AA219" s="611"/>
      <c r="AB219" s="236"/>
      <c r="AC219" s="236"/>
      <c r="AD219" s="281"/>
      <c r="AE219" s="281"/>
      <c r="AF219" s="281"/>
      <c r="AG219" s="281"/>
      <c r="AH219" s="281"/>
      <c r="AI219" s="281"/>
      <c r="AJ219" s="281"/>
      <c r="AK219" s="281"/>
    </row>
    <row r="220" spans="2:37" ht="13.2">
      <c r="B220" s="281"/>
      <c r="C220" s="281"/>
      <c r="D220" s="281"/>
      <c r="E220" s="281"/>
      <c r="F220" s="281"/>
      <c r="G220" s="281"/>
      <c r="H220" s="236"/>
      <c r="I220" s="236"/>
      <c r="J220" s="236"/>
      <c r="K220" s="236"/>
      <c r="L220" s="236"/>
      <c r="M220" s="236"/>
      <c r="N220" s="236"/>
      <c r="O220" s="236"/>
      <c r="P220" s="236"/>
      <c r="Q220" s="236"/>
      <c r="R220" s="236"/>
      <c r="S220" s="236"/>
      <c r="T220" s="236"/>
      <c r="U220" s="236"/>
      <c r="V220" s="236"/>
      <c r="W220" s="236"/>
      <c r="X220" s="236"/>
      <c r="Y220" s="236"/>
      <c r="Z220" s="236"/>
      <c r="AA220" s="236"/>
      <c r="AB220" s="236"/>
      <c r="AC220" s="236"/>
      <c r="AD220" s="281"/>
      <c r="AE220" s="281"/>
      <c r="AF220" s="281"/>
      <c r="AG220" s="281"/>
      <c r="AH220" s="281"/>
      <c r="AI220" s="281"/>
      <c r="AJ220" s="281"/>
      <c r="AK220" s="281"/>
    </row>
    <row r="221" spans="2:37" ht="13.2">
      <c r="B221" s="281"/>
      <c r="C221" s="281"/>
      <c r="D221" s="281"/>
      <c r="E221" s="281"/>
      <c r="F221" s="281"/>
      <c r="G221" s="281"/>
      <c r="H221" s="236"/>
      <c r="I221" s="236"/>
      <c r="J221" s="236"/>
      <c r="K221" s="236"/>
      <c r="L221" s="236"/>
      <c r="M221" s="236"/>
      <c r="N221" s="236"/>
      <c r="O221" s="236"/>
      <c r="P221" s="236"/>
      <c r="Q221" s="236"/>
      <c r="R221" s="236"/>
      <c r="S221" s="236"/>
      <c r="T221" s="236"/>
      <c r="U221" s="236"/>
      <c r="V221" s="236"/>
      <c r="W221" s="236"/>
      <c r="X221" s="236"/>
      <c r="Y221" s="236"/>
      <c r="Z221" s="236"/>
      <c r="AA221" s="236"/>
      <c r="AB221" s="236"/>
      <c r="AC221" s="236"/>
      <c r="AD221" s="281"/>
      <c r="AE221" s="281"/>
      <c r="AF221" s="281"/>
      <c r="AG221" s="281"/>
      <c r="AH221" s="281"/>
      <c r="AI221" s="281"/>
      <c r="AJ221" s="281"/>
      <c r="AK221" s="281"/>
    </row>
    <row r="222" spans="2:37" ht="13.2">
      <c r="B222" s="281"/>
      <c r="C222" s="281"/>
      <c r="D222" s="281"/>
      <c r="E222" s="281"/>
      <c r="F222" s="281"/>
      <c r="G222" s="281"/>
      <c r="H222" s="236"/>
      <c r="I222" s="236"/>
      <c r="J222" s="236"/>
      <c r="K222" s="236"/>
      <c r="L222" s="236"/>
      <c r="M222" s="236"/>
      <c r="N222" s="236"/>
      <c r="O222" s="236"/>
      <c r="P222" s="236"/>
      <c r="Q222" s="236"/>
      <c r="R222" s="236"/>
      <c r="S222" s="236"/>
      <c r="T222" s="236"/>
      <c r="U222" s="236"/>
      <c r="V222" s="236"/>
      <c r="W222" s="236"/>
      <c r="X222" s="236"/>
      <c r="Y222" s="236"/>
      <c r="Z222" s="236"/>
      <c r="AA222" s="236"/>
      <c r="AB222" s="236"/>
      <c r="AC222" s="236"/>
      <c r="AD222" s="281"/>
      <c r="AE222" s="281"/>
      <c r="AF222" s="281"/>
      <c r="AG222" s="281"/>
      <c r="AH222" s="281"/>
      <c r="AI222" s="281"/>
      <c r="AJ222" s="281"/>
      <c r="AK222" s="281"/>
    </row>
    <row r="223" spans="2:37" ht="13.2">
      <c r="B223" s="281"/>
      <c r="C223" s="281"/>
      <c r="D223" s="281"/>
      <c r="E223" s="281"/>
      <c r="F223" s="281"/>
      <c r="G223" s="281"/>
      <c r="H223" s="236"/>
      <c r="I223" s="236"/>
      <c r="J223" s="236"/>
      <c r="K223" s="236"/>
      <c r="L223" s="236"/>
      <c r="M223" s="236"/>
      <c r="N223" s="236"/>
      <c r="O223" s="236"/>
      <c r="P223" s="236"/>
      <c r="Q223" s="236"/>
      <c r="R223" s="236"/>
      <c r="S223" s="236"/>
      <c r="T223" s="236"/>
      <c r="U223" s="236"/>
      <c r="V223" s="236"/>
      <c r="W223" s="236"/>
      <c r="X223" s="236"/>
      <c r="Y223" s="236"/>
      <c r="Z223" s="236"/>
      <c r="AA223" s="236"/>
      <c r="AB223" s="236"/>
      <c r="AC223" s="236"/>
      <c r="AD223" s="281"/>
      <c r="AE223" s="281"/>
      <c r="AF223" s="281"/>
      <c r="AG223" s="281"/>
      <c r="AH223" s="281"/>
      <c r="AI223" s="281"/>
      <c r="AJ223" s="281"/>
      <c r="AK223" s="281"/>
    </row>
    <row r="224" spans="2:37" ht="13.2">
      <c r="B224" s="281"/>
      <c r="C224" s="281"/>
      <c r="D224" s="281"/>
      <c r="E224" s="281"/>
      <c r="F224" s="281"/>
      <c r="G224" s="281"/>
      <c r="H224" s="236"/>
      <c r="I224" s="236"/>
      <c r="J224" s="236"/>
      <c r="K224" s="236"/>
      <c r="L224" s="236"/>
      <c r="M224" s="236"/>
      <c r="N224" s="236"/>
      <c r="O224" s="236"/>
      <c r="P224" s="236"/>
      <c r="Q224" s="236"/>
      <c r="R224" s="236"/>
      <c r="S224" s="236"/>
      <c r="T224" s="236"/>
      <c r="U224" s="236"/>
      <c r="V224" s="236"/>
      <c r="W224" s="236"/>
      <c r="X224" s="236"/>
      <c r="Y224" s="236"/>
      <c r="Z224" s="236"/>
      <c r="AA224" s="236"/>
      <c r="AB224" s="236"/>
      <c r="AC224" s="236"/>
      <c r="AD224" s="281"/>
      <c r="AE224" s="281"/>
      <c r="AF224" s="281"/>
      <c r="AG224" s="281"/>
      <c r="AH224" s="281"/>
      <c r="AI224" s="281"/>
      <c r="AJ224" s="281"/>
      <c r="AK224" s="281"/>
    </row>
    <row r="225" spans="2:37" ht="13.2">
      <c r="B225" s="281"/>
      <c r="C225" s="281"/>
      <c r="D225" s="281"/>
      <c r="E225" s="281"/>
      <c r="F225" s="281"/>
      <c r="G225" s="281"/>
      <c r="H225" s="236"/>
      <c r="I225" s="236"/>
      <c r="J225" s="236"/>
      <c r="K225" s="236"/>
      <c r="L225" s="236"/>
      <c r="M225" s="609" t="s">
        <v>275</v>
      </c>
      <c r="N225" s="609"/>
      <c r="O225" s="609"/>
      <c r="P225" s="609"/>
      <c r="Q225" s="609"/>
      <c r="R225" s="609"/>
      <c r="S225" s="609"/>
      <c r="T225" s="609"/>
      <c r="U225" s="609"/>
      <c r="V225" s="609"/>
      <c r="W225" s="609"/>
      <c r="X225" s="609"/>
      <c r="Y225" s="609"/>
      <c r="Z225" s="236"/>
      <c r="AA225" s="236"/>
      <c r="AB225" s="236"/>
      <c r="AC225" s="236"/>
      <c r="AD225" s="281"/>
      <c r="AE225" s="281"/>
      <c r="AF225" s="281"/>
      <c r="AG225" s="281"/>
      <c r="AH225" s="281"/>
      <c r="AI225" s="281"/>
      <c r="AJ225" s="281"/>
      <c r="AK225" s="281"/>
    </row>
    <row r="226" spans="2:37" ht="13.2">
      <c r="B226" s="281"/>
      <c r="C226" s="281"/>
      <c r="D226" s="281"/>
      <c r="E226" s="281"/>
      <c r="F226" s="281"/>
      <c r="G226" s="281"/>
      <c r="H226" s="236"/>
      <c r="I226" s="236"/>
      <c r="J226" s="236"/>
      <c r="K226" s="236"/>
      <c r="L226" s="236"/>
      <c r="M226" s="236"/>
      <c r="N226" s="236"/>
      <c r="O226" s="236"/>
      <c r="P226" s="236"/>
      <c r="Q226" s="236"/>
      <c r="R226" s="236"/>
      <c r="S226" s="236"/>
      <c r="T226" s="236"/>
      <c r="U226" s="236"/>
      <c r="V226" s="236"/>
      <c r="W226" s="236"/>
      <c r="X226" s="236"/>
      <c r="Y226" s="236"/>
      <c r="Z226" s="236"/>
      <c r="AA226" s="236"/>
      <c r="AB226" s="236"/>
      <c r="AC226" s="236"/>
      <c r="AD226" s="281"/>
      <c r="AE226" s="281"/>
      <c r="AF226" s="281"/>
      <c r="AG226" s="281"/>
      <c r="AH226" s="281"/>
      <c r="AI226" s="281"/>
      <c r="AJ226" s="281"/>
      <c r="AK226" s="281"/>
    </row>
    <row r="227" spans="2:37" ht="13.2">
      <c r="B227" s="281"/>
      <c r="C227" s="281"/>
      <c r="D227" s="281"/>
      <c r="E227" s="281"/>
      <c r="F227" s="281"/>
      <c r="G227" s="281"/>
      <c r="H227" s="236"/>
      <c r="I227" s="236"/>
      <c r="J227" s="236"/>
      <c r="K227" s="236"/>
      <c r="L227" s="840"/>
      <c r="M227" s="840"/>
      <c r="N227" s="840"/>
      <c r="O227" s="840"/>
      <c r="P227" s="840"/>
      <c r="Q227" s="840"/>
      <c r="R227" s="840"/>
      <c r="S227" s="840"/>
      <c r="T227" s="840"/>
      <c r="U227" s="840"/>
      <c r="V227" s="840"/>
      <c r="W227" s="840"/>
      <c r="X227" s="840"/>
      <c r="Y227" s="840"/>
      <c r="Z227" s="840"/>
      <c r="AA227" s="840"/>
      <c r="AB227" s="236"/>
      <c r="AC227" s="236"/>
      <c r="AD227" s="281"/>
      <c r="AE227" s="281"/>
      <c r="AF227" s="281"/>
      <c r="AG227" s="281"/>
      <c r="AH227" s="281"/>
      <c r="AI227" s="281"/>
      <c r="AJ227" s="281"/>
      <c r="AK227" s="281"/>
    </row>
    <row r="228" spans="2:37" ht="13.2">
      <c r="B228" s="281"/>
      <c r="C228" s="281"/>
      <c r="D228" s="281"/>
      <c r="E228" s="281"/>
      <c r="F228" s="281"/>
      <c r="G228" s="281"/>
      <c r="H228" s="236"/>
      <c r="I228" s="236"/>
      <c r="J228" s="236"/>
      <c r="K228" s="236"/>
      <c r="L228" s="611">
        <f>AA_037_DATOS_FIADORES_NOMBRE_DEL_FIADOR_SOLIDARIO_UNO</f>
        <v>0</v>
      </c>
      <c r="M228" s="611"/>
      <c r="N228" s="611"/>
      <c r="O228" s="611"/>
      <c r="P228" s="611"/>
      <c r="Q228" s="611"/>
      <c r="R228" s="611"/>
      <c r="S228" s="611"/>
      <c r="T228" s="611"/>
      <c r="U228" s="611"/>
      <c r="V228" s="611"/>
      <c r="W228" s="611"/>
      <c r="X228" s="611"/>
      <c r="Y228" s="611"/>
      <c r="Z228" s="611"/>
      <c r="AA228" s="611"/>
      <c r="AB228" s="236"/>
      <c r="AC228" s="236"/>
      <c r="AD228" s="281"/>
      <c r="AE228" s="281"/>
      <c r="AF228" s="281"/>
      <c r="AG228" s="281"/>
      <c r="AH228" s="281"/>
      <c r="AI228" s="281"/>
      <c r="AJ228" s="281"/>
      <c r="AK228" s="281"/>
    </row>
    <row r="229" spans="2:37" ht="13.2">
      <c r="B229" s="281"/>
      <c r="C229" s="281"/>
      <c r="D229" s="281"/>
      <c r="E229" s="281"/>
      <c r="F229" s="281"/>
      <c r="G229" s="281"/>
      <c r="H229" s="236"/>
      <c r="I229" s="236"/>
      <c r="J229" s="236"/>
      <c r="K229" s="236"/>
      <c r="L229" s="236"/>
      <c r="M229" s="236"/>
      <c r="N229" s="236"/>
      <c r="O229" s="236"/>
      <c r="P229" s="236"/>
      <c r="Q229" s="236"/>
      <c r="R229" s="236"/>
      <c r="S229" s="236"/>
      <c r="T229" s="236"/>
      <c r="U229" s="236"/>
      <c r="V229" s="236"/>
      <c r="W229" s="236"/>
      <c r="X229" s="236"/>
      <c r="Y229" s="236"/>
      <c r="Z229" s="236"/>
      <c r="AA229" s="236"/>
      <c r="AB229" s="236"/>
      <c r="AC229" s="236"/>
      <c r="AD229" s="281"/>
      <c r="AE229" s="281"/>
      <c r="AF229" s="281"/>
      <c r="AG229" s="281"/>
      <c r="AH229" s="281"/>
      <c r="AI229" s="281"/>
      <c r="AJ229" s="281"/>
      <c r="AK229" s="281"/>
    </row>
    <row r="230" spans="2:37" ht="13.2">
      <c r="B230" s="281"/>
      <c r="C230" s="281"/>
      <c r="D230" s="281"/>
      <c r="E230" s="281"/>
      <c r="F230" s="281"/>
      <c r="G230" s="281"/>
      <c r="H230" s="236"/>
      <c r="I230" s="236"/>
      <c r="J230" s="236"/>
      <c r="K230" s="236"/>
      <c r="L230" s="236"/>
      <c r="M230" s="236"/>
      <c r="N230" s="236"/>
      <c r="O230" s="236"/>
      <c r="P230" s="236"/>
      <c r="Q230" s="236"/>
      <c r="R230" s="236"/>
      <c r="S230" s="236"/>
      <c r="T230" s="236"/>
      <c r="U230" s="236"/>
      <c r="V230" s="236"/>
      <c r="W230" s="236"/>
      <c r="X230" s="236"/>
      <c r="Y230" s="236"/>
      <c r="Z230" s="236"/>
      <c r="AA230" s="236"/>
      <c r="AB230" s="236"/>
      <c r="AC230" s="236"/>
      <c r="AD230" s="281"/>
      <c r="AE230" s="281"/>
      <c r="AF230" s="281"/>
      <c r="AG230" s="281"/>
      <c r="AH230" s="281"/>
      <c r="AI230" s="281"/>
      <c r="AJ230" s="281"/>
      <c r="AK230" s="281"/>
    </row>
    <row r="231" spans="2:37" ht="13.2">
      <c r="B231" s="281"/>
      <c r="C231" s="281"/>
      <c r="D231" s="281"/>
      <c r="E231" s="281"/>
      <c r="F231" s="281"/>
      <c r="G231" s="281"/>
      <c r="H231" s="236"/>
      <c r="I231" s="236"/>
      <c r="J231" s="236"/>
      <c r="K231" s="236"/>
      <c r="L231" s="840"/>
      <c r="M231" s="840"/>
      <c r="N231" s="840"/>
      <c r="O231" s="840"/>
      <c r="P231" s="840"/>
      <c r="Q231" s="840"/>
      <c r="R231" s="840"/>
      <c r="S231" s="840"/>
      <c r="T231" s="840"/>
      <c r="U231" s="840"/>
      <c r="V231" s="840"/>
      <c r="W231" s="840"/>
      <c r="X231" s="840"/>
      <c r="Y231" s="840"/>
      <c r="Z231" s="840"/>
      <c r="AA231" s="840"/>
      <c r="AB231" s="236"/>
      <c r="AC231" s="236"/>
      <c r="AD231" s="281"/>
      <c r="AE231" s="281"/>
      <c r="AF231" s="281"/>
      <c r="AG231" s="281"/>
      <c r="AH231" s="281"/>
      <c r="AI231" s="281"/>
      <c r="AJ231" s="281"/>
      <c r="AK231" s="281"/>
    </row>
    <row r="232" spans="2:37" ht="13.2">
      <c r="B232" s="281"/>
      <c r="C232" s="281"/>
      <c r="D232" s="281"/>
      <c r="E232" s="281"/>
      <c r="F232" s="281"/>
      <c r="G232" s="281"/>
      <c r="H232" s="236"/>
      <c r="I232" s="236"/>
      <c r="J232" s="236"/>
      <c r="K232" s="236"/>
      <c r="L232" s="611">
        <f>AA_048_DATOS_FIADORES_NOMBRE_DEL_FIADOR_SOLIDARIO_DOS</f>
        <v>0</v>
      </c>
      <c r="M232" s="611"/>
      <c r="N232" s="611"/>
      <c r="O232" s="611"/>
      <c r="P232" s="611"/>
      <c r="Q232" s="611"/>
      <c r="R232" s="611"/>
      <c r="S232" s="611"/>
      <c r="T232" s="611"/>
      <c r="U232" s="611"/>
      <c r="V232" s="611"/>
      <c r="W232" s="611"/>
      <c r="X232" s="611"/>
      <c r="Y232" s="611"/>
      <c r="Z232" s="611"/>
      <c r="AA232" s="611"/>
      <c r="AB232" s="236"/>
      <c r="AC232" s="236"/>
      <c r="AD232" s="281"/>
      <c r="AE232" s="281"/>
      <c r="AF232" s="281"/>
      <c r="AG232" s="281"/>
      <c r="AH232" s="281"/>
      <c r="AI232" s="281"/>
      <c r="AJ232" s="281"/>
      <c r="AK232" s="281"/>
    </row>
    <row r="233" spans="2:37" ht="13.2">
      <c r="B233" s="281"/>
      <c r="C233" s="281"/>
      <c r="D233" s="281"/>
      <c r="E233" s="281"/>
      <c r="F233" s="281"/>
      <c r="G233" s="281"/>
      <c r="H233" s="236"/>
      <c r="I233" s="236"/>
      <c r="J233" s="236"/>
      <c r="K233" s="236"/>
      <c r="L233" s="236"/>
      <c r="M233" s="236"/>
      <c r="N233" s="236"/>
      <c r="O233" s="236"/>
      <c r="P233" s="236"/>
      <c r="Q233" s="236"/>
      <c r="R233" s="236"/>
      <c r="S233" s="236"/>
      <c r="T233" s="236"/>
      <c r="U233" s="236"/>
      <c r="V233" s="236"/>
      <c r="W233" s="236"/>
      <c r="X233" s="236"/>
      <c r="Y233" s="236"/>
      <c r="Z233" s="236"/>
      <c r="AA233" s="236"/>
      <c r="AB233" s="236"/>
      <c r="AC233" s="236"/>
      <c r="AD233" s="281"/>
      <c r="AE233" s="281"/>
      <c r="AF233" s="281"/>
      <c r="AG233" s="281"/>
      <c r="AH233" s="281"/>
      <c r="AI233" s="281"/>
      <c r="AJ233" s="281"/>
      <c r="AK233" s="281"/>
    </row>
    <row r="234" spans="2:37" ht="13.2">
      <c r="B234" s="281"/>
      <c r="C234" s="281"/>
      <c r="D234" s="281"/>
      <c r="E234" s="281"/>
      <c r="F234" s="281"/>
      <c r="G234" s="281"/>
      <c r="H234" s="236"/>
      <c r="I234" s="236"/>
      <c r="J234" s="236"/>
      <c r="K234" s="236"/>
      <c r="L234" s="236"/>
      <c r="M234" s="236"/>
      <c r="N234" s="236"/>
      <c r="O234" s="236"/>
      <c r="P234" s="236"/>
      <c r="Q234" s="236"/>
      <c r="R234" s="236"/>
      <c r="S234" s="236"/>
      <c r="T234" s="236"/>
      <c r="U234" s="236"/>
      <c r="V234" s="236"/>
      <c r="W234" s="236"/>
      <c r="X234" s="236"/>
      <c r="Y234" s="236"/>
      <c r="Z234" s="236"/>
      <c r="AA234" s="236"/>
      <c r="AB234" s="236"/>
      <c r="AC234" s="236"/>
      <c r="AD234" s="281"/>
      <c r="AE234" s="281"/>
      <c r="AF234" s="281"/>
      <c r="AG234" s="281"/>
      <c r="AH234" s="281"/>
      <c r="AI234" s="281"/>
      <c r="AJ234" s="281"/>
      <c r="AK234" s="281"/>
    </row>
    <row r="235" spans="2:37" ht="13.2">
      <c r="B235" s="281"/>
      <c r="C235" s="281"/>
      <c r="D235" s="281"/>
      <c r="E235" s="281"/>
      <c r="F235" s="281"/>
      <c r="G235" s="281"/>
      <c r="H235" s="236"/>
      <c r="I235" s="236"/>
      <c r="J235" s="236"/>
      <c r="K235" s="236"/>
      <c r="L235" s="840"/>
      <c r="M235" s="840"/>
      <c r="N235" s="840"/>
      <c r="O235" s="840"/>
      <c r="P235" s="840"/>
      <c r="Q235" s="840"/>
      <c r="R235" s="840"/>
      <c r="S235" s="840"/>
      <c r="T235" s="840"/>
      <c r="U235" s="840"/>
      <c r="V235" s="840"/>
      <c r="W235" s="840"/>
      <c r="X235" s="840"/>
      <c r="Y235" s="840"/>
      <c r="Z235" s="840"/>
      <c r="AA235" s="840"/>
      <c r="AB235" s="236"/>
      <c r="AC235" s="236"/>
      <c r="AD235" s="281"/>
      <c r="AE235" s="281"/>
      <c r="AF235" s="281"/>
      <c r="AG235" s="281"/>
      <c r="AH235" s="281"/>
      <c r="AI235" s="281"/>
      <c r="AJ235" s="281"/>
      <c r="AK235" s="281"/>
    </row>
    <row r="236" spans="2:37" ht="13.2">
      <c r="B236" s="281"/>
      <c r="C236" s="281"/>
      <c r="D236" s="281"/>
      <c r="E236" s="281"/>
      <c r="F236" s="281"/>
      <c r="G236" s="281"/>
      <c r="H236" s="236"/>
      <c r="I236" s="236"/>
      <c r="J236" s="236"/>
      <c r="K236" s="236"/>
      <c r="L236" s="611">
        <f>AA_059_DATOS_FIADORES_NOMBRE_DEL_FIADOR_SOLIDARIO_TRES</f>
        <v>0</v>
      </c>
      <c r="M236" s="611"/>
      <c r="N236" s="611"/>
      <c r="O236" s="611"/>
      <c r="P236" s="611"/>
      <c r="Q236" s="611"/>
      <c r="R236" s="611"/>
      <c r="S236" s="611"/>
      <c r="T236" s="611"/>
      <c r="U236" s="611"/>
      <c r="V236" s="611"/>
      <c r="W236" s="611"/>
      <c r="X236" s="611"/>
      <c r="Y236" s="611"/>
      <c r="Z236" s="611"/>
      <c r="AA236" s="611"/>
      <c r="AB236" s="236"/>
      <c r="AC236" s="236"/>
      <c r="AD236" s="281"/>
      <c r="AE236" s="281"/>
      <c r="AF236" s="281"/>
      <c r="AG236" s="281"/>
      <c r="AH236" s="281"/>
      <c r="AI236" s="281"/>
      <c r="AJ236" s="281"/>
      <c r="AK236" s="281"/>
    </row>
    <row r="237" spans="2:37" ht="13.2">
      <c r="B237" s="281"/>
      <c r="C237" s="281"/>
      <c r="D237" s="281"/>
      <c r="E237" s="281"/>
      <c r="F237" s="281"/>
      <c r="G237" s="281"/>
      <c r="H237" s="236"/>
      <c r="I237" s="236"/>
      <c r="J237" s="236"/>
      <c r="K237" s="236"/>
      <c r="L237" s="236"/>
      <c r="M237" s="236"/>
      <c r="N237" s="236"/>
      <c r="O237" s="236"/>
      <c r="P237" s="236"/>
      <c r="Q237" s="236"/>
      <c r="R237" s="236"/>
      <c r="S237" s="236"/>
      <c r="T237" s="236"/>
      <c r="U237" s="236"/>
      <c r="V237" s="236"/>
      <c r="W237" s="236"/>
      <c r="X237" s="236"/>
      <c r="Y237" s="236"/>
      <c r="Z237" s="236"/>
      <c r="AA237" s="236"/>
      <c r="AB237" s="236"/>
      <c r="AC237" s="236"/>
      <c r="AD237" s="281"/>
      <c r="AE237" s="281"/>
      <c r="AF237" s="281"/>
      <c r="AG237" s="281"/>
      <c r="AH237" s="281"/>
      <c r="AI237" s="281"/>
      <c r="AJ237" s="281"/>
      <c r="AK237" s="281"/>
    </row>
    <row r="238" spans="2:37" ht="13.2">
      <c r="B238" s="281"/>
      <c r="C238" s="281"/>
      <c r="D238" s="281"/>
      <c r="E238" s="281"/>
      <c r="F238" s="281"/>
      <c r="G238" s="281"/>
      <c r="H238" s="236"/>
      <c r="I238" s="236"/>
      <c r="J238" s="236"/>
      <c r="K238" s="236"/>
      <c r="L238" s="236"/>
      <c r="M238" s="236"/>
      <c r="N238" s="236"/>
      <c r="O238" s="236"/>
      <c r="P238" s="236"/>
      <c r="Q238" s="236"/>
      <c r="R238" s="236"/>
      <c r="S238" s="236"/>
      <c r="T238" s="236"/>
      <c r="U238" s="236"/>
      <c r="V238" s="236"/>
      <c r="W238" s="236"/>
      <c r="X238" s="236"/>
      <c r="Y238" s="236"/>
      <c r="Z238" s="236"/>
      <c r="AA238" s="236"/>
      <c r="AB238" s="236"/>
      <c r="AC238" s="236"/>
      <c r="AD238" s="281"/>
      <c r="AE238" s="281"/>
      <c r="AF238" s="281"/>
      <c r="AG238" s="281"/>
      <c r="AH238" s="281"/>
      <c r="AI238" s="281"/>
      <c r="AJ238" s="281"/>
      <c r="AK238" s="281"/>
    </row>
    <row r="239" spans="2:37" ht="13.2">
      <c r="B239" s="281"/>
      <c r="C239" s="281"/>
      <c r="D239" s="281"/>
      <c r="E239" s="281"/>
      <c r="F239" s="281"/>
      <c r="G239" s="281"/>
      <c r="H239" s="236"/>
      <c r="I239" s="236"/>
      <c r="J239" s="236"/>
      <c r="K239" s="236"/>
      <c r="L239" s="234"/>
      <c r="M239" s="234"/>
      <c r="N239" s="234"/>
      <c r="O239" s="609" t="s">
        <v>276</v>
      </c>
      <c r="P239" s="609"/>
      <c r="Q239" s="609"/>
      <c r="R239" s="609"/>
      <c r="S239" s="609"/>
      <c r="T239" s="609"/>
      <c r="U239" s="609"/>
      <c r="V239" s="609"/>
      <c r="W239" s="609"/>
      <c r="X239" s="234"/>
      <c r="Y239" s="234"/>
      <c r="Z239" s="234"/>
      <c r="AA239" s="234"/>
      <c r="AB239" s="235"/>
      <c r="AC239" s="236"/>
      <c r="AD239" s="281"/>
      <c r="AE239" s="281"/>
      <c r="AF239" s="281"/>
      <c r="AG239" s="281"/>
      <c r="AH239" s="281"/>
      <c r="AI239" s="281"/>
      <c r="AJ239" s="281"/>
      <c r="AK239" s="281"/>
    </row>
    <row r="240" spans="2:37" ht="13.2">
      <c r="B240" s="281"/>
      <c r="C240" s="281"/>
      <c r="D240" s="281"/>
      <c r="E240" s="281"/>
      <c r="F240" s="281"/>
      <c r="G240" s="281"/>
      <c r="H240" s="612" t="s">
        <v>277</v>
      </c>
      <c r="I240" s="612"/>
      <c r="J240" s="612"/>
      <c r="K240" s="612"/>
      <c r="L240" s="612"/>
      <c r="M240" s="612"/>
      <c r="N240" s="612"/>
      <c r="O240" s="612"/>
      <c r="P240" s="612"/>
      <c r="Q240" s="612"/>
      <c r="R240" s="612"/>
      <c r="S240" s="612"/>
      <c r="T240" s="612"/>
      <c r="U240" s="612"/>
      <c r="V240" s="612"/>
      <c r="W240" s="612"/>
      <c r="X240" s="612"/>
      <c r="Y240" s="612"/>
      <c r="Z240" s="612"/>
      <c r="AA240" s="612"/>
      <c r="AB240" s="612"/>
      <c r="AC240" s="612"/>
      <c r="AD240" s="281"/>
      <c r="AE240" s="281"/>
      <c r="AF240" s="281"/>
      <c r="AG240" s="281"/>
      <c r="AH240" s="281"/>
      <c r="AI240" s="281"/>
      <c r="AJ240" s="281"/>
      <c r="AK240" s="281"/>
    </row>
    <row r="241" spans="2:37" ht="13.2">
      <c r="B241" s="281"/>
      <c r="C241" s="281"/>
      <c r="D241" s="281"/>
      <c r="E241" s="281"/>
      <c r="F241" s="281"/>
      <c r="G241" s="281"/>
      <c r="H241" s="236"/>
      <c r="I241" s="236"/>
      <c r="J241" s="236"/>
      <c r="K241" s="236"/>
      <c r="L241" s="237"/>
      <c r="M241" s="234"/>
      <c r="N241" s="234"/>
      <c r="O241" s="612" t="s">
        <v>278</v>
      </c>
      <c r="P241" s="612"/>
      <c r="Q241" s="612"/>
      <c r="R241" s="612"/>
      <c r="S241" s="612"/>
      <c r="T241" s="612"/>
      <c r="U241" s="612"/>
      <c r="V241" s="612"/>
      <c r="W241" s="612"/>
      <c r="X241" s="234"/>
      <c r="Y241" s="234"/>
      <c r="Z241" s="234"/>
      <c r="AA241" s="234"/>
      <c r="AB241" s="236"/>
      <c r="AC241" s="236"/>
      <c r="AD241" s="281"/>
      <c r="AE241" s="281"/>
      <c r="AF241" s="281"/>
      <c r="AG241" s="281"/>
      <c r="AH241" s="281"/>
      <c r="AI241" s="281"/>
      <c r="AJ241" s="281"/>
      <c r="AK241" s="281"/>
    </row>
    <row r="242" spans="2:37" ht="13.2">
      <c r="B242" s="281"/>
      <c r="C242" s="281"/>
      <c r="D242" s="281"/>
      <c r="E242" s="281"/>
      <c r="F242" s="281"/>
      <c r="G242" s="281"/>
      <c r="H242" s="236"/>
      <c r="I242" s="236"/>
      <c r="J242" s="236"/>
      <c r="K242" s="236"/>
      <c r="L242" s="236"/>
      <c r="M242" s="236"/>
      <c r="N242" s="236"/>
      <c r="O242" s="236"/>
      <c r="P242" s="236"/>
      <c r="Q242" s="236"/>
      <c r="R242" s="236"/>
      <c r="S242" s="236"/>
      <c r="T242" s="236"/>
      <c r="U242" s="236"/>
      <c r="V242" s="236"/>
      <c r="W242" s="236"/>
      <c r="X242" s="236"/>
      <c r="Y242" s="236"/>
      <c r="Z242" s="236"/>
      <c r="AA242" s="236"/>
      <c r="AB242" s="236"/>
      <c r="AC242" s="236"/>
      <c r="AD242" s="281"/>
      <c r="AE242" s="281"/>
      <c r="AF242" s="281"/>
      <c r="AG242" s="281"/>
      <c r="AH242" s="281"/>
      <c r="AI242" s="281"/>
      <c r="AJ242" s="281"/>
      <c r="AK242" s="281"/>
    </row>
    <row r="243" spans="2:37" ht="13.2">
      <c r="B243" s="281"/>
      <c r="C243" s="281"/>
      <c r="D243" s="281"/>
      <c r="E243" s="281"/>
      <c r="F243" s="281"/>
      <c r="G243" s="281"/>
      <c r="H243" s="236"/>
      <c r="I243" s="236"/>
      <c r="J243" s="236"/>
      <c r="K243" s="236"/>
      <c r="L243" s="236"/>
      <c r="M243" s="236"/>
      <c r="N243" s="236"/>
      <c r="O243" s="236"/>
      <c r="P243" s="236"/>
      <c r="Q243" s="236"/>
      <c r="R243" s="236"/>
      <c r="S243" s="236"/>
      <c r="T243" s="236"/>
      <c r="U243" s="236"/>
      <c r="V243" s="236"/>
      <c r="W243" s="236"/>
      <c r="X243" s="236"/>
      <c r="Y243" s="236"/>
      <c r="Z243" s="236"/>
      <c r="AA243" s="236"/>
      <c r="AB243" s="236"/>
      <c r="AC243" s="236"/>
      <c r="AD243" s="281"/>
      <c r="AE243" s="281"/>
      <c r="AF243" s="281"/>
      <c r="AG243" s="281"/>
      <c r="AH243" s="281"/>
      <c r="AI243" s="281"/>
      <c r="AJ243" s="281"/>
      <c r="AK243" s="281"/>
    </row>
    <row r="244" spans="2:37" ht="13.2">
      <c r="B244" s="281"/>
      <c r="C244" s="281"/>
      <c r="D244" s="281"/>
      <c r="E244" s="281"/>
      <c r="F244" s="281"/>
      <c r="G244" s="281"/>
      <c r="H244" s="236"/>
      <c r="I244" s="236"/>
      <c r="J244" s="236"/>
      <c r="K244" s="236"/>
      <c r="L244" s="840"/>
      <c r="M244" s="840"/>
      <c r="N244" s="840"/>
      <c r="O244" s="840"/>
      <c r="P244" s="840"/>
      <c r="Q244" s="840"/>
      <c r="R244" s="840"/>
      <c r="S244" s="840"/>
      <c r="T244" s="840"/>
      <c r="U244" s="840"/>
      <c r="V244" s="840"/>
      <c r="W244" s="840"/>
      <c r="X244" s="840"/>
      <c r="Y244" s="840"/>
      <c r="Z244" s="840"/>
      <c r="AA244" s="840"/>
      <c r="AB244" s="236"/>
      <c r="AC244" s="236"/>
      <c r="AD244" s="281"/>
      <c r="AE244" s="281"/>
      <c r="AF244" s="281"/>
      <c r="AG244" s="281"/>
      <c r="AH244" s="281"/>
      <c r="AI244" s="281"/>
      <c r="AJ244" s="281"/>
      <c r="AK244" s="281"/>
    </row>
    <row r="245" spans="2:37" ht="13.2">
      <c r="B245" s="281"/>
      <c r="C245" s="281"/>
      <c r="D245" s="281"/>
      <c r="E245" s="281"/>
      <c r="F245" s="281"/>
      <c r="G245" s="281"/>
      <c r="H245" s="236"/>
      <c r="I245" s="236"/>
      <c r="J245" s="236"/>
      <c r="K245" s="236"/>
      <c r="L245" s="861">
        <f>AA_089_DATOS_APODERADOS_BANCO_NOMBRE_APODERADO_DEL_BANCO_UNO</f>
        <v>0</v>
      </c>
      <c r="M245" s="861"/>
      <c r="N245" s="861"/>
      <c r="O245" s="861"/>
      <c r="P245" s="861"/>
      <c r="Q245" s="861"/>
      <c r="R245" s="861"/>
      <c r="S245" s="861"/>
      <c r="T245" s="861"/>
      <c r="U245" s="861"/>
      <c r="V245" s="861"/>
      <c r="W245" s="861"/>
      <c r="X245" s="861"/>
      <c r="Y245" s="861"/>
      <c r="Z245" s="861"/>
      <c r="AA245" s="861"/>
      <c r="AB245" s="236"/>
      <c r="AC245" s="236"/>
      <c r="AD245" s="281"/>
      <c r="AE245" s="281"/>
      <c r="AF245" s="281"/>
      <c r="AG245" s="281"/>
      <c r="AH245" s="281"/>
      <c r="AI245" s="281"/>
      <c r="AJ245" s="281"/>
      <c r="AK245" s="281"/>
    </row>
    <row r="246" spans="2:37" ht="13.2">
      <c r="B246" s="281"/>
      <c r="C246" s="281"/>
      <c r="D246" s="281"/>
      <c r="E246" s="281"/>
      <c r="F246" s="281"/>
      <c r="G246" s="281"/>
      <c r="H246" s="232"/>
      <c r="I246" s="232"/>
      <c r="J246" s="232"/>
      <c r="K246" s="232"/>
      <c r="L246" s="274"/>
      <c r="M246" s="274"/>
      <c r="N246" s="274"/>
      <c r="O246" s="274"/>
      <c r="P246" s="274"/>
      <c r="Q246" s="274"/>
      <c r="R246" s="274"/>
      <c r="S246" s="274"/>
      <c r="T246" s="274"/>
      <c r="U246" s="274"/>
      <c r="V246" s="274"/>
      <c r="W246" s="274"/>
      <c r="X246" s="274"/>
      <c r="Y246" s="274"/>
      <c r="Z246" s="274"/>
      <c r="AA246" s="274"/>
      <c r="AB246" s="232"/>
      <c r="AC246" s="232"/>
      <c r="AD246" s="281"/>
      <c r="AE246" s="281"/>
      <c r="AF246" s="281"/>
      <c r="AG246" s="281"/>
      <c r="AH246" s="281"/>
      <c r="AI246" s="281"/>
      <c r="AJ246" s="281"/>
      <c r="AK246" s="281"/>
    </row>
    <row r="247" spans="2:37" ht="13.2">
      <c r="B247" s="281"/>
      <c r="C247" s="281"/>
      <c r="D247" s="281"/>
      <c r="E247" s="281"/>
      <c r="F247" s="281"/>
      <c r="G247" s="281"/>
      <c r="H247" s="232"/>
      <c r="I247" s="232"/>
      <c r="J247" s="232"/>
      <c r="K247" s="232"/>
      <c r="L247" s="862"/>
      <c r="M247" s="862"/>
      <c r="N247" s="862"/>
      <c r="O247" s="862"/>
      <c r="P247" s="862"/>
      <c r="Q247" s="862"/>
      <c r="R247" s="862"/>
      <c r="S247" s="862"/>
      <c r="T247" s="862"/>
      <c r="U247" s="862"/>
      <c r="V247" s="862"/>
      <c r="W247" s="862"/>
      <c r="X247" s="862"/>
      <c r="Y247" s="862"/>
      <c r="Z247" s="862"/>
      <c r="AA247" s="862"/>
      <c r="AB247" s="232"/>
      <c r="AC247" s="232"/>
      <c r="AD247" s="281"/>
      <c r="AE247" s="281"/>
      <c r="AF247" s="281"/>
      <c r="AG247" s="281"/>
      <c r="AH247" s="281"/>
      <c r="AI247" s="281"/>
      <c r="AJ247" s="281"/>
      <c r="AK247" s="281"/>
    </row>
    <row r="248" spans="2:37" ht="13.2">
      <c r="B248" s="281"/>
      <c r="C248" s="281"/>
      <c r="D248" s="281"/>
      <c r="E248" s="281"/>
      <c r="F248" s="281"/>
      <c r="G248" s="281"/>
      <c r="H248" s="232"/>
      <c r="I248" s="232"/>
      <c r="J248" s="232"/>
      <c r="K248" s="232"/>
      <c r="L248" s="861">
        <f>AA_090_DATOS_APODERADOS_BANCO_NOMBRE_APODERADO_DEL_BANCO_DOS</f>
        <v>0</v>
      </c>
      <c r="M248" s="861"/>
      <c r="N248" s="861"/>
      <c r="O248" s="861"/>
      <c r="P248" s="861"/>
      <c r="Q248" s="861"/>
      <c r="R248" s="861"/>
      <c r="S248" s="861"/>
      <c r="T248" s="861"/>
      <c r="U248" s="861"/>
      <c r="V248" s="861"/>
      <c r="W248" s="861"/>
      <c r="X248" s="861"/>
      <c r="Y248" s="861"/>
      <c r="Z248" s="861"/>
      <c r="AA248" s="861"/>
      <c r="AB248" s="232"/>
      <c r="AC248" s="232"/>
      <c r="AD248" s="281"/>
      <c r="AE248" s="281"/>
      <c r="AF248" s="281"/>
      <c r="AG248" s="281"/>
      <c r="AH248" s="281"/>
      <c r="AI248" s="281"/>
      <c r="AJ248" s="281"/>
      <c r="AK248" s="281"/>
    </row>
    <row r="249" spans="2:37" ht="13.2">
      <c r="B249" s="281"/>
      <c r="C249" s="281"/>
      <c r="D249" s="281"/>
      <c r="E249" s="281"/>
      <c r="F249" s="281"/>
      <c r="G249" s="281"/>
      <c r="H249" s="238"/>
      <c r="I249" s="238"/>
      <c r="J249" s="238"/>
      <c r="K249" s="238"/>
      <c r="L249" s="238"/>
      <c r="M249" s="238"/>
      <c r="N249" s="238"/>
      <c r="O249" s="238"/>
      <c r="P249" s="238"/>
      <c r="Q249" s="238"/>
      <c r="R249" s="238"/>
      <c r="S249" s="238"/>
      <c r="T249" s="238"/>
      <c r="U249" s="238"/>
      <c r="V249" s="238"/>
      <c r="W249" s="238"/>
      <c r="X249" s="238"/>
      <c r="Y249" s="238"/>
      <c r="Z249" s="238"/>
      <c r="AA249" s="238"/>
      <c r="AB249" s="238"/>
      <c r="AC249" s="238"/>
      <c r="AD249" s="281"/>
      <c r="AE249" s="281"/>
      <c r="AF249" s="281"/>
      <c r="AG249" s="281"/>
      <c r="AH249" s="281"/>
      <c r="AI249" s="281"/>
      <c r="AJ249" s="281"/>
      <c r="AK249" s="281"/>
    </row>
    <row r="250" spans="2:37" ht="13.2">
      <c r="B250" s="281"/>
      <c r="C250" s="281"/>
      <c r="D250" s="281"/>
      <c r="E250" s="281"/>
      <c r="F250" s="281"/>
      <c r="G250" s="281"/>
      <c r="H250" s="238"/>
      <c r="I250" s="238"/>
      <c r="J250" s="238"/>
      <c r="K250" s="238"/>
      <c r="L250" s="238"/>
      <c r="M250" s="238"/>
      <c r="N250" s="238"/>
      <c r="O250" s="238"/>
      <c r="P250" s="238"/>
      <c r="Q250" s="238"/>
      <c r="R250" s="238"/>
      <c r="S250" s="238"/>
      <c r="T250" s="238"/>
      <c r="U250" s="238"/>
      <c r="V250" s="238"/>
      <c r="W250" s="238"/>
      <c r="X250" s="238"/>
      <c r="Y250" s="238"/>
      <c r="Z250" s="238"/>
      <c r="AA250" s="238"/>
      <c r="AB250" s="238"/>
      <c r="AC250" s="238"/>
      <c r="AD250" s="281"/>
      <c r="AE250" s="281"/>
      <c r="AF250" s="281"/>
      <c r="AG250" s="281"/>
      <c r="AH250" s="281"/>
      <c r="AI250" s="281"/>
      <c r="AJ250" s="281"/>
      <c r="AK250" s="281"/>
    </row>
    <row r="251" spans="2:37" ht="13.2">
      <c r="B251" s="281"/>
      <c r="C251" s="281"/>
      <c r="D251" s="281"/>
      <c r="E251" s="281"/>
      <c r="F251" s="281"/>
      <c r="G251" s="281"/>
      <c r="H251" s="238"/>
      <c r="I251" s="238"/>
      <c r="J251" s="238"/>
      <c r="K251" s="238"/>
      <c r="L251" s="238"/>
      <c r="M251" s="238"/>
      <c r="N251" s="238"/>
      <c r="O251" s="238"/>
      <c r="P251" s="238"/>
      <c r="Q251" s="238"/>
      <c r="R251" s="238"/>
      <c r="S251" s="238"/>
      <c r="T251" s="238"/>
      <c r="U251" s="238"/>
      <c r="V251" s="238"/>
      <c r="W251" s="238"/>
      <c r="X251" s="238"/>
      <c r="Y251" s="238"/>
      <c r="Z251" s="238"/>
      <c r="AA251" s="238"/>
      <c r="AB251" s="238"/>
      <c r="AC251" s="238"/>
      <c r="AD251" s="281"/>
      <c r="AE251" s="281"/>
      <c r="AF251" s="281"/>
      <c r="AG251" s="281"/>
      <c r="AH251" s="281"/>
      <c r="AI251" s="281"/>
      <c r="AJ251" s="281"/>
      <c r="AK251" s="281"/>
    </row>
    <row r="252" spans="2:37" ht="13.2">
      <c r="B252" s="281"/>
      <c r="C252" s="281"/>
      <c r="D252" s="281"/>
      <c r="E252" s="281"/>
      <c r="F252" s="281"/>
      <c r="G252" s="281"/>
      <c r="H252" s="238"/>
      <c r="I252" s="238"/>
      <c r="J252" s="238"/>
      <c r="K252" s="238"/>
      <c r="L252" s="238"/>
      <c r="M252" s="238"/>
      <c r="N252" s="238"/>
      <c r="O252" s="238"/>
      <c r="P252" s="238"/>
      <c r="Q252" s="238"/>
      <c r="R252" s="238"/>
      <c r="S252" s="238"/>
      <c r="T252" s="238"/>
      <c r="U252" s="238"/>
      <c r="V252" s="238"/>
      <c r="W252" s="238"/>
      <c r="X252" s="238"/>
      <c r="Y252" s="238"/>
      <c r="Z252" s="238"/>
      <c r="AA252" s="238"/>
      <c r="AB252" s="238"/>
      <c r="AC252" s="238"/>
      <c r="AD252" s="281"/>
      <c r="AE252" s="281"/>
      <c r="AF252" s="281"/>
      <c r="AG252" s="281"/>
      <c r="AH252" s="281"/>
      <c r="AI252" s="281"/>
      <c r="AJ252" s="281"/>
      <c r="AK252" s="281"/>
    </row>
    <row r="253" spans="2:37" ht="13.2">
      <c r="B253" s="281"/>
      <c r="C253" s="281"/>
      <c r="D253" s="281"/>
      <c r="E253" s="281"/>
      <c r="F253" s="281"/>
      <c r="G253" s="281"/>
      <c r="H253" s="281"/>
      <c r="I253" s="281"/>
      <c r="J253" s="281"/>
      <c r="K253" s="281"/>
      <c r="L253" s="281"/>
      <c r="M253" s="281"/>
      <c r="N253" s="281"/>
      <c r="O253" s="281"/>
      <c r="P253" s="281"/>
      <c r="Q253" s="281"/>
      <c r="R253" s="281"/>
      <c r="S253" s="281"/>
      <c r="T253" s="281"/>
      <c r="U253" s="281"/>
      <c r="V253" s="281"/>
      <c r="W253" s="281"/>
      <c r="X253" s="281"/>
      <c r="Y253" s="281"/>
      <c r="Z253" s="281"/>
      <c r="AA253" s="281"/>
      <c r="AB253" s="281"/>
      <c r="AC253" s="281"/>
      <c r="AD253" s="281"/>
      <c r="AE253" s="281"/>
      <c r="AF253" s="281"/>
      <c r="AG253" s="281"/>
      <c r="AH253" s="281"/>
      <c r="AI253" s="281"/>
      <c r="AJ253" s="281"/>
      <c r="AK253" s="281"/>
    </row>
    <row r="254" spans="2:37" ht="13.2">
      <c r="B254" s="281"/>
      <c r="C254" s="281"/>
      <c r="D254" s="281"/>
      <c r="E254" s="281"/>
      <c r="F254" s="281"/>
      <c r="G254" s="281"/>
      <c r="H254" s="281"/>
      <c r="I254" s="281"/>
      <c r="J254" s="281"/>
      <c r="K254" s="281"/>
      <c r="L254" s="281"/>
      <c r="M254" s="281"/>
      <c r="N254" s="281"/>
      <c r="O254" s="281"/>
      <c r="P254" s="281"/>
      <c r="Q254" s="281"/>
      <c r="R254" s="281"/>
      <c r="S254" s="281"/>
      <c r="T254" s="281"/>
      <c r="U254" s="281"/>
      <c r="V254" s="281"/>
      <c r="W254" s="281"/>
      <c r="X254" s="281"/>
      <c r="Y254" s="281"/>
      <c r="Z254" s="281"/>
      <c r="AA254" s="281"/>
      <c r="AB254" s="281"/>
      <c r="AC254" s="281"/>
      <c r="AD254" s="281"/>
      <c r="AE254" s="281"/>
      <c r="AF254" s="281"/>
      <c r="AG254" s="281"/>
      <c r="AH254" s="281"/>
      <c r="AI254" s="281"/>
      <c r="AJ254" s="281"/>
      <c r="AK254" s="281"/>
    </row>
    <row r="255" spans="2:37" ht="13.2">
      <c r="B255" s="281"/>
      <c r="C255" s="281"/>
      <c r="D255" s="281"/>
      <c r="E255" s="281"/>
      <c r="F255" s="281"/>
      <c r="G255" s="281"/>
      <c r="H255" s="281"/>
      <c r="I255" s="281"/>
      <c r="J255" s="281"/>
      <c r="K255" s="281"/>
      <c r="L255" s="281"/>
      <c r="M255" s="281"/>
      <c r="N255" s="281"/>
      <c r="O255" s="281"/>
      <c r="P255" s="281"/>
      <c r="Q255" s="281"/>
      <c r="R255" s="281"/>
      <c r="S255" s="281"/>
      <c r="T255" s="281"/>
      <c r="U255" s="281"/>
      <c r="V255" s="281"/>
      <c r="W255" s="281"/>
      <c r="X255" s="281"/>
      <c r="Y255" s="281"/>
      <c r="Z255" s="281"/>
      <c r="AA255" s="281"/>
      <c r="AB255" s="281"/>
      <c r="AC255" s="281"/>
      <c r="AD255" s="281"/>
      <c r="AE255" s="281"/>
      <c r="AF255" s="281"/>
      <c r="AG255" s="281"/>
      <c r="AH255" s="281"/>
      <c r="AI255" s="281"/>
      <c r="AJ255" s="281"/>
      <c r="AK255" s="281"/>
    </row>
    <row r="256" spans="2:37" ht="13.2">
      <c r="B256" s="281"/>
      <c r="C256" s="281"/>
      <c r="D256" s="281"/>
      <c r="E256" s="281"/>
      <c r="F256" s="281"/>
      <c r="G256" s="281"/>
      <c r="H256" s="281"/>
      <c r="I256" s="281"/>
      <c r="J256" s="281"/>
      <c r="K256" s="281"/>
      <c r="L256" s="281"/>
      <c r="M256" s="281"/>
      <c r="N256" s="281"/>
      <c r="O256" s="281"/>
      <c r="P256" s="281"/>
      <c r="Q256" s="281"/>
      <c r="R256" s="281"/>
      <c r="S256" s="281"/>
      <c r="T256" s="281"/>
      <c r="U256" s="281"/>
      <c r="V256" s="281"/>
      <c r="W256" s="281"/>
      <c r="X256" s="281"/>
      <c r="Y256" s="281"/>
      <c r="Z256" s="281"/>
      <c r="AA256" s="281"/>
      <c r="AB256" s="281"/>
      <c r="AC256" s="281"/>
      <c r="AD256" s="281"/>
      <c r="AE256" s="281"/>
      <c r="AF256" s="281"/>
      <c r="AG256" s="281"/>
      <c r="AH256" s="281"/>
      <c r="AI256" s="281"/>
      <c r="AJ256" s="281"/>
      <c r="AK256" s="281"/>
    </row>
    <row r="257" spans="2:37" ht="13.2">
      <c r="B257" s="281"/>
      <c r="C257" s="281"/>
      <c r="D257" s="281"/>
      <c r="E257" s="281"/>
      <c r="F257" s="281"/>
      <c r="G257" s="281"/>
      <c r="H257" s="281"/>
      <c r="I257" s="281"/>
      <c r="J257" s="281"/>
      <c r="K257" s="281"/>
      <c r="L257" s="281"/>
      <c r="M257" s="281"/>
      <c r="N257" s="281"/>
      <c r="O257" s="281"/>
      <c r="P257" s="281"/>
      <c r="Q257" s="281"/>
      <c r="R257" s="281"/>
      <c r="S257" s="281"/>
      <c r="T257" s="281"/>
      <c r="U257" s="281"/>
      <c r="V257" s="281"/>
      <c r="W257" s="281"/>
      <c r="X257" s="281"/>
      <c r="Y257" s="281"/>
      <c r="Z257" s="281"/>
      <c r="AA257" s="281"/>
      <c r="AB257" s="281"/>
      <c r="AC257" s="281"/>
      <c r="AD257" s="281"/>
      <c r="AE257" s="281"/>
      <c r="AF257" s="281"/>
      <c r="AG257" s="281"/>
      <c r="AH257" s="281"/>
      <c r="AI257" s="281"/>
      <c r="AJ257" s="281"/>
      <c r="AK257" s="281"/>
    </row>
    <row r="258" spans="2:37" ht="13.2">
      <c r="B258" s="281"/>
      <c r="C258" s="281"/>
      <c r="D258" s="281"/>
      <c r="E258" s="281"/>
      <c r="F258" s="281"/>
      <c r="G258" s="281"/>
      <c r="H258" s="281"/>
      <c r="I258" s="281"/>
      <c r="J258" s="281"/>
      <c r="K258" s="281"/>
      <c r="L258" s="281"/>
      <c r="M258" s="281"/>
      <c r="N258" s="281"/>
      <c r="O258" s="281"/>
      <c r="P258" s="281"/>
      <c r="Q258" s="281"/>
      <c r="R258" s="281"/>
      <c r="S258" s="281"/>
      <c r="T258" s="281"/>
      <c r="U258" s="281"/>
      <c r="V258" s="281"/>
      <c r="W258" s="281"/>
      <c r="X258" s="281"/>
      <c r="Y258" s="281"/>
      <c r="Z258" s="281"/>
      <c r="AA258" s="281"/>
      <c r="AB258" s="281"/>
      <c r="AC258" s="281"/>
      <c r="AD258" s="281"/>
      <c r="AE258" s="281"/>
      <c r="AF258" s="281"/>
      <c r="AG258" s="281"/>
      <c r="AH258" s="281"/>
      <c r="AI258" s="281"/>
      <c r="AJ258" s="281"/>
      <c r="AK258" s="281"/>
    </row>
    <row r="259" spans="2:37" ht="13.2">
      <c r="B259" s="281"/>
      <c r="C259" s="281"/>
      <c r="D259" s="281"/>
      <c r="E259" s="281"/>
      <c r="F259" s="281"/>
      <c r="G259" s="281"/>
      <c r="H259" s="281"/>
      <c r="I259" s="281"/>
      <c r="J259" s="281"/>
      <c r="K259" s="281"/>
      <c r="L259" s="281"/>
      <c r="M259" s="281"/>
      <c r="N259" s="281"/>
      <c r="O259" s="281"/>
      <c r="P259" s="281"/>
      <c r="Q259" s="281"/>
      <c r="R259" s="281"/>
      <c r="S259" s="281"/>
      <c r="T259" s="281"/>
      <c r="U259" s="281"/>
      <c r="V259" s="281"/>
      <c r="W259" s="281"/>
      <c r="X259" s="281"/>
      <c r="Y259" s="281"/>
      <c r="Z259" s="281"/>
      <c r="AA259" s="281"/>
      <c r="AB259" s="281"/>
      <c r="AC259" s="281"/>
      <c r="AD259" s="281"/>
      <c r="AE259" s="281"/>
      <c r="AF259" s="281"/>
      <c r="AG259" s="281"/>
      <c r="AH259" s="281"/>
      <c r="AI259" s="281"/>
      <c r="AJ259" s="281"/>
      <c r="AK259" s="281"/>
    </row>
    <row r="260" spans="2:37" ht="13.2">
      <c r="B260" s="281"/>
      <c r="C260" s="281"/>
      <c r="D260" s="281"/>
      <c r="E260" s="281"/>
      <c r="F260" s="281"/>
      <c r="G260" s="281"/>
      <c r="H260" s="281"/>
      <c r="I260" s="281"/>
      <c r="J260" s="281"/>
      <c r="K260" s="281"/>
      <c r="L260" s="281"/>
      <c r="M260" s="281"/>
      <c r="N260" s="281"/>
      <c r="O260" s="281"/>
      <c r="P260" s="281"/>
      <c r="Q260" s="281"/>
      <c r="R260" s="281"/>
      <c r="S260" s="281"/>
      <c r="T260" s="281"/>
      <c r="U260" s="281"/>
      <c r="V260" s="281"/>
      <c r="W260" s="281"/>
      <c r="X260" s="281"/>
      <c r="Y260" s="281"/>
      <c r="Z260" s="281"/>
      <c r="AA260" s="281"/>
      <c r="AB260" s="281"/>
      <c r="AC260" s="281"/>
      <c r="AD260" s="281"/>
      <c r="AE260" s="281"/>
      <c r="AF260" s="281"/>
      <c r="AG260" s="281"/>
      <c r="AH260" s="281"/>
      <c r="AI260" s="281"/>
      <c r="AJ260" s="281"/>
      <c r="AK260" s="281"/>
    </row>
    <row r="261" spans="2:37" ht="13.2">
      <c r="B261" s="281"/>
      <c r="C261" s="281"/>
      <c r="D261" s="281"/>
      <c r="E261" s="281"/>
      <c r="F261" s="281"/>
      <c r="G261" s="281"/>
      <c r="H261" s="281"/>
      <c r="I261" s="281"/>
      <c r="J261" s="281"/>
      <c r="K261" s="281"/>
      <c r="L261" s="281"/>
      <c r="M261" s="281"/>
      <c r="N261" s="281"/>
      <c r="O261" s="281"/>
      <c r="P261" s="281"/>
      <c r="Q261" s="281"/>
      <c r="R261" s="281"/>
      <c r="S261" s="281"/>
      <c r="T261" s="281"/>
      <c r="U261" s="281"/>
      <c r="V261" s="281"/>
      <c r="W261" s="281"/>
      <c r="X261" s="281"/>
      <c r="Y261" s="281"/>
      <c r="Z261" s="281"/>
      <c r="AA261" s="281"/>
      <c r="AB261" s="281"/>
      <c r="AC261" s="281"/>
      <c r="AD261" s="281"/>
      <c r="AE261" s="281"/>
      <c r="AF261" s="281"/>
      <c r="AG261" s="281"/>
      <c r="AH261" s="281"/>
      <c r="AI261" s="281"/>
      <c r="AJ261" s="281"/>
      <c r="AK261" s="281"/>
    </row>
    <row r="262" spans="2:37" ht="13.2">
      <c r="B262" s="281"/>
      <c r="C262" s="281"/>
      <c r="D262" s="281"/>
      <c r="E262" s="281"/>
      <c r="F262" s="281"/>
      <c r="G262" s="281"/>
      <c r="H262" s="281"/>
      <c r="I262" s="281"/>
      <c r="J262" s="281"/>
      <c r="K262" s="281"/>
      <c r="L262" s="281"/>
      <c r="M262" s="281"/>
      <c r="N262" s="281"/>
      <c r="O262" s="281"/>
      <c r="P262" s="281"/>
      <c r="Q262" s="281"/>
      <c r="R262" s="281"/>
      <c r="S262" s="281"/>
      <c r="T262" s="281"/>
      <c r="U262" s="281"/>
      <c r="V262" s="281"/>
      <c r="W262" s="281"/>
      <c r="X262" s="281"/>
      <c r="Y262" s="281"/>
      <c r="Z262" s="281"/>
      <c r="AA262" s="281"/>
      <c r="AB262" s="281"/>
      <c r="AC262" s="281"/>
      <c r="AD262" s="281"/>
      <c r="AE262" s="281"/>
      <c r="AF262" s="281"/>
      <c r="AG262" s="281"/>
      <c r="AH262" s="281"/>
      <c r="AI262" s="281"/>
      <c r="AJ262" s="281"/>
      <c r="AK262" s="281"/>
    </row>
    <row r="263" spans="2:37" ht="13.2">
      <c r="B263" s="281"/>
      <c r="C263" s="281"/>
      <c r="D263" s="281"/>
      <c r="E263" s="281"/>
      <c r="F263" s="281"/>
      <c r="G263" s="281"/>
      <c r="H263" s="281"/>
      <c r="I263" s="281"/>
      <c r="J263" s="281"/>
      <c r="K263" s="281"/>
      <c r="L263" s="281"/>
      <c r="M263" s="281"/>
      <c r="N263" s="281"/>
      <c r="O263" s="281"/>
      <c r="P263" s="281"/>
      <c r="Q263" s="281"/>
      <c r="R263" s="281"/>
      <c r="S263" s="281"/>
      <c r="T263" s="281"/>
      <c r="U263" s="281"/>
      <c r="V263" s="281"/>
      <c r="W263" s="281"/>
      <c r="X263" s="281"/>
      <c r="Y263" s="281"/>
      <c r="Z263" s="281"/>
      <c r="AA263" s="281"/>
      <c r="AB263" s="281"/>
      <c r="AC263" s="281"/>
      <c r="AD263" s="281"/>
      <c r="AE263" s="281"/>
      <c r="AF263" s="281"/>
      <c r="AG263" s="281"/>
      <c r="AH263" s="281"/>
      <c r="AI263" s="281"/>
      <c r="AJ263" s="281"/>
      <c r="AK263" s="281"/>
    </row>
    <row r="264" spans="2:37" ht="13.2">
      <c r="B264" s="281"/>
      <c r="C264" s="281"/>
      <c r="D264" s="281"/>
      <c r="E264" s="281"/>
      <c r="F264" s="281"/>
      <c r="G264" s="281"/>
      <c r="H264" s="281"/>
      <c r="I264" s="281"/>
      <c r="J264" s="281"/>
      <c r="K264" s="281"/>
      <c r="L264" s="281"/>
      <c r="M264" s="281"/>
      <c r="N264" s="281"/>
      <c r="O264" s="281"/>
      <c r="P264" s="281"/>
      <c r="Q264" s="281"/>
      <c r="R264" s="281"/>
      <c r="S264" s="281"/>
      <c r="T264" s="281"/>
      <c r="U264" s="281"/>
      <c r="V264" s="281"/>
      <c r="W264" s="281"/>
      <c r="X264" s="281"/>
      <c r="Y264" s="281"/>
      <c r="Z264" s="281"/>
      <c r="AA264" s="281"/>
      <c r="AB264" s="281"/>
      <c r="AC264" s="281"/>
      <c r="AD264" s="281"/>
      <c r="AE264" s="281"/>
      <c r="AF264" s="281"/>
      <c r="AG264" s="281"/>
      <c r="AH264" s="281"/>
      <c r="AI264" s="281"/>
      <c r="AJ264" s="281"/>
      <c r="AK264" s="281"/>
    </row>
    <row r="265" spans="2:37" ht="13.2">
      <c r="B265" s="281"/>
      <c r="C265" s="281"/>
      <c r="D265" s="281"/>
      <c r="E265" s="281"/>
      <c r="F265" s="281"/>
      <c r="G265" s="281"/>
      <c r="H265" s="281"/>
      <c r="I265" s="281"/>
      <c r="J265" s="281"/>
      <c r="K265" s="281"/>
      <c r="L265" s="281"/>
      <c r="M265" s="281"/>
      <c r="N265" s="281"/>
      <c r="O265" s="281"/>
      <c r="P265" s="281"/>
      <c r="Q265" s="281"/>
      <c r="R265" s="281"/>
      <c r="S265" s="281"/>
      <c r="T265" s="281"/>
      <c r="U265" s="281"/>
      <c r="V265" s="281"/>
      <c r="W265" s="281"/>
      <c r="X265" s="281"/>
      <c r="Y265" s="281"/>
      <c r="Z265" s="281"/>
      <c r="AA265" s="281"/>
      <c r="AB265" s="281"/>
      <c r="AC265" s="281"/>
      <c r="AD265" s="281"/>
      <c r="AE265" s="281"/>
      <c r="AF265" s="281"/>
      <c r="AG265" s="281"/>
      <c r="AH265" s="281"/>
      <c r="AI265" s="281"/>
      <c r="AJ265" s="281"/>
      <c r="AK265" s="281"/>
    </row>
    <row r="266" spans="2:37" ht="13.2">
      <c r="B266" s="281"/>
      <c r="C266" s="281"/>
      <c r="D266" s="281"/>
      <c r="E266" s="281"/>
      <c r="F266" s="281"/>
      <c r="G266" s="281"/>
      <c r="H266" s="281"/>
      <c r="I266" s="281"/>
      <c r="J266" s="281"/>
      <c r="K266" s="281"/>
      <c r="L266" s="281"/>
      <c r="M266" s="281"/>
      <c r="N266" s="281"/>
      <c r="O266" s="281"/>
      <c r="P266" s="281"/>
      <c r="Q266" s="281"/>
      <c r="R266" s="281"/>
      <c r="S266" s="281"/>
      <c r="T266" s="281"/>
      <c r="U266" s="281"/>
      <c r="V266" s="281"/>
      <c r="W266" s="281"/>
      <c r="X266" s="281"/>
      <c r="Y266" s="281"/>
      <c r="Z266" s="281"/>
      <c r="AA266" s="281"/>
      <c r="AB266" s="281"/>
      <c r="AC266" s="281"/>
      <c r="AD266" s="281"/>
      <c r="AE266" s="281"/>
      <c r="AF266" s="281"/>
      <c r="AG266" s="281"/>
      <c r="AH266" s="281"/>
      <c r="AI266" s="281"/>
      <c r="AJ266" s="281"/>
      <c r="AK266" s="281"/>
    </row>
    <row r="267" spans="2:37" ht="13.2">
      <c r="B267" s="281"/>
      <c r="C267" s="281"/>
      <c r="D267" s="281"/>
      <c r="E267" s="281"/>
      <c r="F267" s="281"/>
      <c r="G267" s="281"/>
      <c r="H267" s="281"/>
      <c r="I267" s="281"/>
      <c r="J267" s="281"/>
      <c r="K267" s="281"/>
      <c r="L267" s="281"/>
      <c r="M267" s="281"/>
      <c r="N267" s="281"/>
      <c r="O267" s="281"/>
      <c r="P267" s="281"/>
      <c r="Q267" s="281"/>
      <c r="R267" s="281"/>
      <c r="S267" s="281"/>
      <c r="T267" s="281"/>
      <c r="U267" s="281"/>
      <c r="V267" s="281"/>
      <c r="W267" s="281"/>
      <c r="X267" s="281"/>
      <c r="Y267" s="281"/>
      <c r="Z267" s="281"/>
      <c r="AA267" s="281"/>
      <c r="AB267" s="281"/>
      <c r="AC267" s="281"/>
      <c r="AD267" s="281"/>
      <c r="AE267" s="281"/>
      <c r="AF267" s="281"/>
      <c r="AG267" s="281"/>
      <c r="AH267" s="281"/>
      <c r="AI267" s="281"/>
      <c r="AJ267" s="281"/>
      <c r="AK267" s="281"/>
    </row>
    <row r="268" spans="2:37" ht="13.2">
      <c r="B268" s="281"/>
      <c r="C268" s="281"/>
      <c r="D268" s="281"/>
      <c r="E268" s="281"/>
      <c r="F268" s="281"/>
      <c r="G268" s="281"/>
      <c r="H268" s="281"/>
      <c r="I268" s="281"/>
      <c r="J268" s="281"/>
      <c r="K268" s="281"/>
      <c r="L268" s="281"/>
      <c r="M268" s="281"/>
      <c r="N268" s="281"/>
      <c r="O268" s="281"/>
      <c r="P268" s="281"/>
      <c r="Q268" s="281"/>
      <c r="R268" s="281"/>
      <c r="S268" s="281"/>
      <c r="T268" s="281"/>
      <c r="U268" s="281"/>
      <c r="V268" s="281"/>
      <c r="W268" s="281"/>
      <c r="X268" s="281"/>
      <c r="Y268" s="281"/>
      <c r="Z268" s="281"/>
      <c r="AA268" s="281"/>
      <c r="AB268" s="281"/>
      <c r="AC268" s="281"/>
      <c r="AD268" s="281"/>
      <c r="AE268" s="281"/>
      <c r="AF268" s="281"/>
      <c r="AG268" s="281"/>
      <c r="AH268" s="281"/>
      <c r="AI268" s="281"/>
      <c r="AJ268" s="281"/>
      <c r="AK268" s="281"/>
    </row>
    <row r="269" spans="2:37" ht="13.2">
      <c r="B269" s="281"/>
      <c r="C269" s="281"/>
      <c r="D269" s="281"/>
      <c r="E269" s="281"/>
      <c r="F269" s="281"/>
      <c r="G269" s="281"/>
      <c r="H269" s="281"/>
      <c r="I269" s="281"/>
      <c r="J269" s="281"/>
      <c r="K269" s="281"/>
      <c r="L269" s="281"/>
      <c r="M269" s="281"/>
      <c r="N269" s="281"/>
      <c r="O269" s="281"/>
      <c r="P269" s="281"/>
      <c r="Q269" s="281"/>
      <c r="R269" s="281"/>
      <c r="S269" s="281"/>
      <c r="T269" s="281"/>
      <c r="U269" s="281"/>
      <c r="V269" s="281"/>
      <c r="W269" s="281"/>
      <c r="X269" s="281"/>
      <c r="Y269" s="281"/>
      <c r="Z269" s="281"/>
      <c r="AA269" s="281"/>
      <c r="AB269" s="281"/>
      <c r="AC269" s="281"/>
      <c r="AD269" s="281"/>
      <c r="AE269" s="281"/>
      <c r="AF269" s="281"/>
      <c r="AG269" s="281"/>
      <c r="AH269" s="281"/>
      <c r="AI269" s="281"/>
      <c r="AJ269" s="281"/>
      <c r="AK269" s="281"/>
    </row>
    <row r="270" spans="2:37" ht="13.2">
      <c r="B270" s="281"/>
      <c r="C270" s="281"/>
      <c r="D270" s="281"/>
      <c r="E270" s="281"/>
      <c r="F270" s="281"/>
      <c r="G270" s="281"/>
      <c r="H270" s="281"/>
      <c r="I270" s="281"/>
      <c r="J270" s="281"/>
      <c r="K270" s="281"/>
      <c r="L270" s="281"/>
      <c r="M270" s="281"/>
      <c r="N270" s="281"/>
      <c r="O270" s="281"/>
      <c r="P270" s="281"/>
      <c r="Q270" s="281"/>
      <c r="R270" s="281"/>
      <c r="S270" s="281"/>
      <c r="T270" s="281"/>
      <c r="U270" s="281"/>
      <c r="V270" s="281"/>
      <c r="W270" s="281"/>
      <c r="X270" s="281"/>
      <c r="Y270" s="281"/>
      <c r="Z270" s="281"/>
      <c r="AA270" s="281"/>
      <c r="AB270" s="281"/>
      <c r="AC270" s="281"/>
      <c r="AD270" s="281"/>
      <c r="AE270" s="281"/>
      <c r="AF270" s="281"/>
      <c r="AG270" s="281"/>
      <c r="AH270" s="281"/>
      <c r="AI270" s="281"/>
      <c r="AJ270" s="281"/>
      <c r="AK270" s="281"/>
    </row>
    <row r="271" spans="2:37" ht="13.2">
      <c r="B271" s="281"/>
      <c r="C271" s="281"/>
      <c r="D271" s="281"/>
      <c r="E271" s="281"/>
      <c r="F271" s="281"/>
      <c r="G271" s="281"/>
      <c r="H271" s="281"/>
      <c r="I271" s="281"/>
      <c r="J271" s="281"/>
      <c r="K271" s="281"/>
      <c r="L271" s="281"/>
      <c r="M271" s="281"/>
      <c r="N271" s="281"/>
      <c r="O271" s="281"/>
      <c r="P271" s="281"/>
      <c r="Q271" s="281"/>
      <c r="R271" s="281"/>
      <c r="S271" s="281"/>
      <c r="T271" s="281"/>
      <c r="U271" s="281"/>
      <c r="V271" s="281"/>
      <c r="W271" s="281"/>
      <c r="X271" s="281"/>
      <c r="Y271" s="281"/>
      <c r="Z271" s="281"/>
      <c r="AA271" s="281"/>
      <c r="AB271" s="281"/>
      <c r="AC271" s="281"/>
      <c r="AD271" s="281"/>
      <c r="AE271" s="281"/>
      <c r="AF271" s="281"/>
      <c r="AG271" s="281"/>
      <c r="AH271" s="281"/>
      <c r="AI271" s="281"/>
      <c r="AJ271" s="281"/>
      <c r="AK271" s="281"/>
    </row>
    <row r="272" spans="2:37" ht="13.2">
      <c r="B272" s="281"/>
      <c r="C272" s="281"/>
      <c r="D272" s="281"/>
      <c r="E272" s="281"/>
      <c r="F272" s="281"/>
      <c r="G272" s="281"/>
      <c r="H272" s="281"/>
      <c r="I272" s="281"/>
      <c r="J272" s="281"/>
      <c r="K272" s="281"/>
      <c r="L272" s="281"/>
      <c r="M272" s="281"/>
      <c r="N272" s="281"/>
      <c r="O272" s="281"/>
      <c r="P272" s="281"/>
      <c r="Q272" s="281"/>
      <c r="R272" s="281"/>
      <c r="S272" s="281"/>
      <c r="T272" s="281"/>
      <c r="U272" s="281"/>
      <c r="V272" s="281"/>
      <c r="W272" s="281"/>
      <c r="X272" s="281"/>
      <c r="Y272" s="281"/>
      <c r="Z272" s="281"/>
      <c r="AA272" s="281"/>
      <c r="AB272" s="281"/>
      <c r="AC272" s="281"/>
      <c r="AD272" s="281"/>
      <c r="AE272" s="281"/>
      <c r="AF272" s="281"/>
      <c r="AG272" s="281"/>
      <c r="AH272" s="281"/>
      <c r="AI272" s="281"/>
      <c r="AJ272" s="281"/>
      <c r="AK272" s="281"/>
    </row>
    <row r="273" spans="2:37" ht="13.2">
      <c r="B273" s="281"/>
      <c r="C273" s="281"/>
      <c r="D273" s="281"/>
      <c r="E273" s="281"/>
      <c r="F273" s="281"/>
      <c r="G273" s="281"/>
      <c r="H273" s="281"/>
      <c r="I273" s="281"/>
      <c r="J273" s="281"/>
      <c r="K273" s="281"/>
      <c r="L273" s="281"/>
      <c r="M273" s="281"/>
      <c r="N273" s="281"/>
      <c r="O273" s="281"/>
      <c r="P273" s="281"/>
      <c r="Q273" s="281"/>
      <c r="R273" s="281"/>
      <c r="S273" s="281"/>
      <c r="T273" s="281"/>
      <c r="U273" s="281"/>
      <c r="V273" s="281"/>
      <c r="W273" s="281"/>
      <c r="X273" s="281"/>
      <c r="Y273" s="281"/>
      <c r="Z273" s="281"/>
      <c r="AA273" s="281"/>
      <c r="AB273" s="281"/>
      <c r="AC273" s="281"/>
      <c r="AD273" s="281"/>
      <c r="AE273" s="281"/>
      <c r="AF273" s="281"/>
      <c r="AG273" s="281"/>
      <c r="AH273" s="281"/>
      <c r="AI273" s="281"/>
      <c r="AJ273" s="281"/>
      <c r="AK273" s="281"/>
    </row>
    <row r="274" spans="2:37" ht="13.2">
      <c r="B274" s="281"/>
      <c r="C274" s="281"/>
      <c r="D274" s="281"/>
      <c r="E274" s="281"/>
      <c r="F274" s="281"/>
      <c r="G274" s="281"/>
      <c r="H274" s="281"/>
      <c r="I274" s="281"/>
      <c r="J274" s="281"/>
      <c r="K274" s="281"/>
      <c r="L274" s="281"/>
      <c r="M274" s="281"/>
      <c r="N274" s="281"/>
      <c r="O274" s="281"/>
      <c r="P274" s="281"/>
      <c r="Q274" s="281"/>
      <c r="R274" s="281"/>
      <c r="S274" s="281"/>
      <c r="T274" s="281"/>
      <c r="U274" s="281"/>
      <c r="V274" s="281"/>
      <c r="W274" s="281"/>
      <c r="X274" s="281"/>
      <c r="Y274" s="281"/>
      <c r="Z274" s="281"/>
      <c r="AA274" s="281"/>
      <c r="AB274" s="281"/>
      <c r="AC274" s="281"/>
      <c r="AD274" s="281"/>
      <c r="AE274" s="281"/>
      <c r="AF274" s="281"/>
      <c r="AG274" s="281"/>
      <c r="AH274" s="281"/>
      <c r="AI274" s="281"/>
      <c r="AJ274" s="281"/>
      <c r="AK274" s="281"/>
    </row>
    <row r="275" spans="2:37" ht="13.2">
      <c r="B275" s="281"/>
      <c r="C275" s="281"/>
      <c r="D275" s="281"/>
      <c r="E275" s="281"/>
      <c r="F275" s="281"/>
      <c r="G275" s="281"/>
      <c r="H275" s="281"/>
      <c r="I275" s="281"/>
      <c r="J275" s="281"/>
      <c r="K275" s="281"/>
      <c r="L275" s="281"/>
      <c r="M275" s="281"/>
      <c r="N275" s="281"/>
      <c r="O275" s="281"/>
      <c r="P275" s="281"/>
      <c r="Q275" s="281"/>
      <c r="R275" s="281"/>
      <c r="S275" s="281"/>
      <c r="T275" s="281"/>
      <c r="U275" s="281"/>
      <c r="V275" s="281"/>
      <c r="W275" s="281"/>
      <c r="X275" s="281"/>
      <c r="Y275" s="281"/>
      <c r="Z275" s="281"/>
      <c r="AA275" s="281"/>
      <c r="AB275" s="281"/>
      <c r="AC275" s="281"/>
      <c r="AD275" s="281"/>
      <c r="AE275" s="281"/>
      <c r="AF275" s="281"/>
      <c r="AG275" s="281"/>
      <c r="AH275" s="281"/>
      <c r="AI275" s="281"/>
      <c r="AJ275" s="281"/>
      <c r="AK275" s="281"/>
    </row>
    <row r="276" spans="2:37" ht="13.2">
      <c r="B276" s="281"/>
      <c r="C276" s="281"/>
      <c r="D276" s="281"/>
      <c r="E276" s="281"/>
      <c r="F276" s="281"/>
      <c r="G276" s="281"/>
      <c r="H276" s="281"/>
      <c r="I276" s="281"/>
      <c r="J276" s="281"/>
      <c r="K276" s="281"/>
      <c r="L276" s="281"/>
      <c r="M276" s="281"/>
      <c r="N276" s="281"/>
      <c r="O276" s="281"/>
      <c r="P276" s="281"/>
      <c r="Q276" s="281"/>
      <c r="R276" s="281"/>
      <c r="S276" s="281"/>
      <c r="T276" s="281"/>
      <c r="U276" s="281"/>
      <c r="V276" s="281"/>
      <c r="W276" s="281"/>
      <c r="X276" s="281"/>
      <c r="Y276" s="281"/>
      <c r="Z276" s="281"/>
      <c r="AA276" s="281"/>
      <c r="AB276" s="281"/>
      <c r="AC276" s="281"/>
      <c r="AD276" s="281"/>
      <c r="AE276" s="281"/>
      <c r="AF276" s="281"/>
      <c r="AG276" s="281"/>
      <c r="AH276" s="281"/>
      <c r="AI276" s="281"/>
      <c r="AJ276" s="281"/>
      <c r="AK276" s="281"/>
    </row>
    <row r="277" spans="2:37" ht="13.2">
      <c r="B277" s="281"/>
      <c r="C277" s="281"/>
      <c r="D277" s="281"/>
      <c r="E277" s="281"/>
      <c r="F277" s="281"/>
      <c r="G277" s="281"/>
      <c r="H277" s="281"/>
      <c r="I277" s="281"/>
      <c r="J277" s="281"/>
      <c r="K277" s="281"/>
      <c r="L277" s="281"/>
      <c r="M277" s="281"/>
      <c r="N277" s="281"/>
      <c r="O277" s="281"/>
      <c r="P277" s="281"/>
      <c r="Q277" s="281"/>
      <c r="R277" s="281"/>
      <c r="S277" s="281"/>
      <c r="T277" s="281"/>
      <c r="U277" s="281"/>
      <c r="V277" s="281"/>
      <c r="W277" s="281"/>
      <c r="X277" s="281"/>
      <c r="Y277" s="281"/>
      <c r="Z277" s="281"/>
      <c r="AA277" s="281"/>
      <c r="AB277" s="281"/>
      <c r="AC277" s="281"/>
      <c r="AD277" s="281"/>
      <c r="AE277" s="281"/>
      <c r="AF277" s="281"/>
      <c r="AG277" s="281"/>
      <c r="AH277" s="281"/>
      <c r="AI277" s="281"/>
      <c r="AJ277" s="281"/>
      <c r="AK277" s="281"/>
    </row>
    <row r="278" spans="2:37" ht="13.2">
      <c r="B278" s="281"/>
      <c r="C278" s="281"/>
      <c r="D278" s="281"/>
      <c r="E278" s="281"/>
      <c r="F278" s="281"/>
      <c r="G278" s="281"/>
      <c r="H278" s="281"/>
      <c r="I278" s="281"/>
      <c r="J278" s="281"/>
      <c r="K278" s="281"/>
      <c r="L278" s="281"/>
      <c r="M278" s="281"/>
      <c r="N278" s="281"/>
      <c r="O278" s="281"/>
      <c r="P278" s="281"/>
      <c r="Q278" s="281"/>
      <c r="R278" s="281"/>
      <c r="S278" s="281"/>
      <c r="T278" s="281"/>
      <c r="U278" s="281"/>
      <c r="V278" s="281"/>
      <c r="W278" s="281"/>
      <c r="X278" s="281"/>
      <c r="Y278" s="281"/>
      <c r="Z278" s="281"/>
      <c r="AA278" s="281"/>
      <c r="AB278" s="281"/>
      <c r="AC278" s="281"/>
      <c r="AD278" s="281"/>
      <c r="AE278" s="281"/>
      <c r="AF278" s="281"/>
      <c r="AG278" s="281"/>
      <c r="AH278" s="281"/>
      <c r="AI278" s="281"/>
      <c r="AJ278" s="281"/>
      <c r="AK278" s="281"/>
    </row>
    <row r="279" spans="2:37" ht="13.2">
      <c r="B279" s="281"/>
      <c r="C279" s="281"/>
      <c r="D279" s="281"/>
      <c r="E279" s="281"/>
      <c r="F279" s="281"/>
      <c r="G279" s="281"/>
      <c r="H279" s="281"/>
      <c r="I279" s="281"/>
      <c r="J279" s="281"/>
      <c r="K279" s="281"/>
      <c r="L279" s="281"/>
      <c r="M279" s="281"/>
      <c r="N279" s="281"/>
      <c r="O279" s="281"/>
      <c r="P279" s="281"/>
      <c r="Q279" s="281"/>
      <c r="R279" s="281"/>
      <c r="S279" s="281"/>
      <c r="T279" s="281"/>
      <c r="U279" s="281"/>
      <c r="V279" s="281"/>
      <c r="W279" s="281"/>
      <c r="X279" s="281"/>
      <c r="Y279" s="281"/>
      <c r="Z279" s="281"/>
      <c r="AA279" s="281"/>
      <c r="AB279" s="281"/>
      <c r="AC279" s="281"/>
      <c r="AD279" s="281"/>
      <c r="AE279" s="281"/>
      <c r="AF279" s="281"/>
      <c r="AG279" s="281"/>
      <c r="AH279" s="281"/>
      <c r="AI279" s="281"/>
      <c r="AJ279" s="281"/>
      <c r="AK279" s="281"/>
    </row>
    <row r="280" spans="2:37" ht="13.2">
      <c r="B280" s="281"/>
      <c r="C280" s="281"/>
      <c r="D280" s="281"/>
      <c r="E280" s="281"/>
      <c r="F280" s="281"/>
      <c r="G280" s="281"/>
      <c r="H280" s="281"/>
      <c r="I280" s="281"/>
      <c r="J280" s="281"/>
      <c r="K280" s="281"/>
      <c r="L280" s="281"/>
      <c r="M280" s="281"/>
      <c r="N280" s="281"/>
      <c r="O280" s="281"/>
      <c r="P280" s="281"/>
      <c r="Q280" s="281"/>
      <c r="R280" s="281"/>
      <c r="S280" s="281"/>
      <c r="T280" s="281"/>
      <c r="U280" s="281"/>
      <c r="V280" s="281"/>
      <c r="W280" s="281"/>
      <c r="X280" s="281"/>
      <c r="Y280" s="281"/>
      <c r="Z280" s="281"/>
      <c r="AA280" s="281"/>
      <c r="AB280" s="281"/>
      <c r="AC280" s="281"/>
      <c r="AD280" s="281"/>
      <c r="AE280" s="281"/>
      <c r="AF280" s="281"/>
      <c r="AG280" s="281"/>
      <c r="AH280" s="281"/>
      <c r="AI280" s="281"/>
      <c r="AJ280" s="281"/>
      <c r="AK280" s="281"/>
    </row>
    <row r="281" spans="2:37" ht="13.2">
      <c r="B281" s="281"/>
      <c r="C281" s="281"/>
      <c r="D281" s="281"/>
      <c r="E281" s="281"/>
      <c r="F281" s="281"/>
      <c r="G281" s="281"/>
      <c r="H281" s="281"/>
      <c r="I281" s="281"/>
      <c r="J281" s="281"/>
      <c r="K281" s="281"/>
      <c r="L281" s="281"/>
      <c r="M281" s="281"/>
      <c r="N281" s="281"/>
      <c r="O281" s="281"/>
      <c r="P281" s="281"/>
      <c r="Q281" s="281"/>
      <c r="R281" s="281"/>
      <c r="S281" s="281"/>
      <c r="T281" s="281"/>
      <c r="U281" s="281"/>
      <c r="V281" s="281"/>
      <c r="W281" s="281"/>
      <c r="X281" s="281"/>
      <c r="Y281" s="281"/>
      <c r="Z281" s="281"/>
      <c r="AA281" s="281"/>
      <c r="AB281" s="281"/>
      <c r="AC281" s="281"/>
      <c r="AD281" s="281"/>
      <c r="AE281" s="281"/>
      <c r="AF281" s="281"/>
      <c r="AG281" s="281"/>
      <c r="AH281" s="281"/>
      <c r="AI281" s="281"/>
      <c r="AJ281" s="281"/>
      <c r="AK281" s="281"/>
    </row>
    <row r="282" spans="2:37" ht="13.2">
      <c r="B282" s="281"/>
      <c r="C282" s="281"/>
      <c r="D282" s="281"/>
      <c r="E282" s="281"/>
      <c r="F282" s="281"/>
      <c r="G282" s="281"/>
      <c r="H282" s="281"/>
      <c r="I282" s="281"/>
      <c r="J282" s="281"/>
      <c r="K282" s="281"/>
      <c r="L282" s="281"/>
      <c r="M282" s="281"/>
      <c r="N282" s="281"/>
      <c r="O282" s="281"/>
      <c r="P282" s="281"/>
      <c r="Q282" s="281"/>
      <c r="R282" s="281"/>
      <c r="S282" s="281"/>
      <c r="T282" s="281"/>
      <c r="U282" s="281"/>
      <c r="V282" s="281"/>
      <c r="W282" s="281"/>
      <c r="X282" s="281"/>
      <c r="Y282" s="281"/>
      <c r="Z282" s="281"/>
      <c r="AA282" s="281"/>
      <c r="AB282" s="281"/>
      <c r="AC282" s="281"/>
      <c r="AD282" s="281"/>
      <c r="AE282" s="281"/>
      <c r="AF282" s="281"/>
      <c r="AG282" s="281"/>
      <c r="AH282" s="281"/>
      <c r="AI282" s="281"/>
      <c r="AJ282" s="281"/>
      <c r="AK282" s="281"/>
    </row>
    <row r="283" spans="2:37" ht="13.2">
      <c r="B283" s="281"/>
      <c r="C283" s="281"/>
      <c r="D283" s="281"/>
      <c r="E283" s="281"/>
      <c r="F283" s="281"/>
      <c r="G283" s="281"/>
      <c r="H283" s="281"/>
      <c r="I283" s="281"/>
      <c r="J283" s="281"/>
      <c r="K283" s="281"/>
      <c r="L283" s="281"/>
      <c r="M283" s="281"/>
      <c r="N283" s="281"/>
      <c r="O283" s="281"/>
      <c r="P283" s="281"/>
      <c r="Q283" s="281"/>
      <c r="R283" s="281"/>
      <c r="S283" s="281"/>
      <c r="T283" s="281"/>
      <c r="U283" s="281"/>
      <c r="V283" s="281"/>
      <c r="W283" s="281"/>
      <c r="X283" s="281"/>
      <c r="Y283" s="281"/>
      <c r="Z283" s="281"/>
      <c r="AA283" s="281"/>
      <c r="AB283" s="281"/>
      <c r="AC283" s="281"/>
      <c r="AD283" s="281"/>
      <c r="AE283" s="281"/>
      <c r="AF283" s="281"/>
      <c r="AG283" s="281"/>
      <c r="AH283" s="281"/>
      <c r="AI283" s="281"/>
      <c r="AJ283" s="281"/>
      <c r="AK283" s="281"/>
    </row>
    <row r="284" spans="2:37" ht="13.2">
      <c r="B284" s="281"/>
      <c r="C284" s="281"/>
      <c r="D284" s="281"/>
      <c r="E284" s="281"/>
      <c r="F284" s="281"/>
      <c r="G284" s="281"/>
      <c r="H284" s="281"/>
      <c r="I284" s="281"/>
      <c r="J284" s="281"/>
      <c r="K284" s="281"/>
      <c r="L284" s="281"/>
      <c r="M284" s="281"/>
      <c r="N284" s="281"/>
      <c r="O284" s="281"/>
      <c r="P284" s="281"/>
      <c r="Q284" s="281"/>
      <c r="R284" s="281"/>
      <c r="S284" s="281"/>
      <c r="T284" s="281"/>
      <c r="U284" s="281"/>
      <c r="V284" s="281"/>
      <c r="W284" s="281"/>
      <c r="X284" s="281"/>
      <c r="Y284" s="281"/>
      <c r="Z284" s="281"/>
      <c r="AA284" s="281"/>
      <c r="AB284" s="281"/>
      <c r="AC284" s="281"/>
      <c r="AD284" s="281"/>
      <c r="AE284" s="281"/>
      <c r="AF284" s="281"/>
      <c r="AG284" s="281"/>
      <c r="AH284" s="281"/>
      <c r="AI284" s="281"/>
      <c r="AJ284" s="281"/>
      <c r="AK284" s="281"/>
    </row>
    <row r="285" spans="2:37" ht="13.2">
      <c r="B285" s="281"/>
      <c r="C285" s="281"/>
      <c r="D285" s="281"/>
      <c r="E285" s="281"/>
      <c r="F285" s="281"/>
      <c r="G285" s="281"/>
      <c r="H285" s="281"/>
      <c r="I285" s="281"/>
      <c r="J285" s="281"/>
      <c r="K285" s="281"/>
      <c r="L285" s="281"/>
      <c r="M285" s="281"/>
      <c r="N285" s="281"/>
      <c r="O285" s="281"/>
      <c r="P285" s="281"/>
      <c r="Q285" s="281"/>
      <c r="R285" s="281"/>
      <c r="S285" s="281"/>
      <c r="T285" s="281"/>
      <c r="U285" s="281"/>
      <c r="V285" s="281"/>
      <c r="W285" s="281"/>
      <c r="X285" s="281"/>
      <c r="Y285" s="281"/>
      <c r="Z285" s="281"/>
      <c r="AA285" s="281"/>
      <c r="AB285" s="281"/>
      <c r="AC285" s="281"/>
      <c r="AD285" s="281"/>
      <c r="AE285" s="281"/>
      <c r="AF285" s="281"/>
      <c r="AG285" s="281"/>
      <c r="AH285" s="281"/>
      <c r="AI285" s="281"/>
      <c r="AJ285" s="281"/>
      <c r="AK285" s="281"/>
    </row>
    <row r="286" spans="2:37" ht="13.2">
      <c r="B286" s="281"/>
      <c r="C286" s="281"/>
      <c r="D286" s="281"/>
      <c r="E286" s="281"/>
      <c r="F286" s="281"/>
      <c r="G286" s="281"/>
      <c r="H286" s="281"/>
      <c r="I286" s="281"/>
      <c r="J286" s="281"/>
      <c r="K286" s="281"/>
      <c r="L286" s="281"/>
      <c r="M286" s="281"/>
      <c r="N286" s="281"/>
      <c r="O286" s="281"/>
      <c r="P286" s="281"/>
      <c r="Q286" s="281"/>
      <c r="R286" s="281"/>
      <c r="S286" s="281"/>
      <c r="T286" s="281"/>
      <c r="U286" s="281"/>
      <c r="V286" s="281"/>
      <c r="W286" s="281"/>
      <c r="X286" s="281"/>
      <c r="Y286" s="281"/>
      <c r="Z286" s="281"/>
      <c r="AA286" s="281"/>
      <c r="AB286" s="281"/>
      <c r="AC286" s="281"/>
      <c r="AD286" s="281"/>
      <c r="AE286" s="281"/>
      <c r="AF286" s="281"/>
      <c r="AG286" s="281"/>
      <c r="AH286" s="281"/>
      <c r="AI286" s="281"/>
      <c r="AJ286" s="281"/>
      <c r="AK286" s="281"/>
    </row>
    <row r="287" spans="2:37" ht="13.2">
      <c r="B287" s="281"/>
      <c r="C287" s="281"/>
      <c r="D287" s="281"/>
      <c r="E287" s="281"/>
      <c r="F287" s="281"/>
      <c r="G287" s="281"/>
      <c r="H287" s="281"/>
      <c r="I287" s="281"/>
      <c r="J287" s="281"/>
      <c r="K287" s="281"/>
      <c r="L287" s="281"/>
      <c r="M287" s="281"/>
      <c r="N287" s="281"/>
      <c r="O287" s="281"/>
      <c r="P287" s="281"/>
      <c r="Q287" s="281"/>
      <c r="R287" s="281"/>
      <c r="S287" s="281"/>
      <c r="T287" s="281"/>
      <c r="U287" s="281"/>
      <c r="V287" s="281"/>
      <c r="W287" s="281"/>
      <c r="X287" s="281"/>
      <c r="Y287" s="281"/>
      <c r="Z287" s="281"/>
      <c r="AA287" s="281"/>
      <c r="AB287" s="281"/>
      <c r="AC287" s="281"/>
      <c r="AD287" s="281"/>
      <c r="AE287" s="281"/>
      <c r="AF287" s="281"/>
      <c r="AG287" s="281"/>
      <c r="AH287" s="281"/>
      <c r="AI287" s="281"/>
      <c r="AJ287" s="281"/>
      <c r="AK287" s="281"/>
    </row>
    <row r="288" spans="2:37" ht="13.2">
      <c r="B288" s="281"/>
      <c r="C288" s="281"/>
      <c r="D288" s="281"/>
      <c r="E288" s="281"/>
      <c r="F288" s="281"/>
      <c r="G288" s="281"/>
      <c r="H288" s="281"/>
      <c r="I288" s="281"/>
      <c r="J288" s="281"/>
      <c r="K288" s="281"/>
      <c r="L288" s="281"/>
      <c r="M288" s="281"/>
      <c r="N288" s="281"/>
      <c r="O288" s="281"/>
      <c r="P288" s="281"/>
      <c r="Q288" s="281"/>
      <c r="R288" s="281"/>
      <c r="S288" s="281"/>
      <c r="T288" s="281"/>
      <c r="U288" s="281"/>
      <c r="V288" s="281"/>
      <c r="W288" s="281"/>
      <c r="X288" s="281"/>
      <c r="Y288" s="281"/>
      <c r="Z288" s="281"/>
      <c r="AA288" s="281"/>
      <c r="AB288" s="281"/>
      <c r="AC288" s="281"/>
      <c r="AD288" s="281"/>
      <c r="AE288" s="281"/>
      <c r="AF288" s="281"/>
      <c r="AG288" s="281"/>
      <c r="AH288" s="281"/>
      <c r="AI288" s="281"/>
      <c r="AJ288" s="281"/>
      <c r="AK288" s="281"/>
    </row>
    <row r="289" spans="2:37" ht="13.2">
      <c r="B289" s="281"/>
      <c r="C289" s="281"/>
      <c r="D289" s="281"/>
      <c r="E289" s="281"/>
      <c r="F289" s="281"/>
      <c r="G289" s="281"/>
      <c r="H289" s="281"/>
      <c r="I289" s="281"/>
      <c r="J289" s="281"/>
      <c r="K289" s="281"/>
      <c r="L289" s="281"/>
      <c r="M289" s="281"/>
      <c r="N289" s="281"/>
      <c r="O289" s="281"/>
      <c r="P289" s="281"/>
      <c r="Q289" s="281"/>
      <c r="R289" s="281"/>
      <c r="S289" s="281"/>
      <c r="T289" s="281"/>
      <c r="U289" s="281"/>
      <c r="V289" s="281"/>
      <c r="W289" s="281"/>
      <c r="X289" s="281"/>
      <c r="Y289" s="281"/>
      <c r="Z289" s="281"/>
      <c r="AA289" s="281"/>
      <c r="AB289" s="281"/>
      <c r="AC289" s="281"/>
      <c r="AD289" s="281"/>
      <c r="AE289" s="281"/>
      <c r="AF289" s="281"/>
      <c r="AG289" s="281"/>
      <c r="AH289" s="281"/>
      <c r="AI289" s="281"/>
      <c r="AJ289" s="281"/>
      <c r="AK289" s="281"/>
    </row>
    <row r="290" spans="2:37" ht="13.2">
      <c r="B290" s="281"/>
      <c r="C290" s="281"/>
      <c r="D290" s="281"/>
      <c r="E290" s="281"/>
      <c r="F290" s="281"/>
      <c r="G290" s="281"/>
      <c r="H290" s="281"/>
      <c r="I290" s="281"/>
      <c r="J290" s="281"/>
      <c r="K290" s="281"/>
      <c r="L290" s="281"/>
      <c r="M290" s="281"/>
      <c r="N290" s="281"/>
      <c r="O290" s="281"/>
      <c r="P290" s="281"/>
      <c r="Q290" s="281"/>
      <c r="R290" s="281"/>
      <c r="S290" s="281"/>
      <c r="T290" s="281"/>
      <c r="U290" s="281"/>
      <c r="V290" s="281"/>
      <c r="W290" s="281"/>
      <c r="X290" s="281"/>
      <c r="Y290" s="281"/>
      <c r="Z290" s="281"/>
      <c r="AA290" s="281"/>
      <c r="AB290" s="281"/>
      <c r="AC290" s="281"/>
      <c r="AD290" s="281"/>
      <c r="AE290" s="281"/>
      <c r="AF290" s="281"/>
      <c r="AG290" s="281"/>
      <c r="AH290" s="281"/>
      <c r="AI290" s="281"/>
      <c r="AJ290" s="281"/>
      <c r="AK290" s="281"/>
    </row>
    <row r="291" spans="2:37" ht="13.2">
      <c r="B291" s="281"/>
      <c r="C291" s="281"/>
      <c r="D291" s="281"/>
      <c r="E291" s="281"/>
      <c r="F291" s="281"/>
      <c r="G291" s="281"/>
      <c r="H291" s="281"/>
      <c r="I291" s="281"/>
      <c r="J291" s="281"/>
      <c r="K291" s="281"/>
      <c r="L291" s="281"/>
      <c r="M291" s="281"/>
      <c r="N291" s="281"/>
      <c r="O291" s="281"/>
      <c r="P291" s="281"/>
      <c r="Q291" s="281"/>
      <c r="R291" s="281"/>
      <c r="S291" s="281"/>
      <c r="T291" s="281"/>
      <c r="U291" s="281"/>
      <c r="V291" s="281"/>
      <c r="W291" s="281"/>
      <c r="X291" s="281"/>
      <c r="Y291" s="281"/>
      <c r="Z291" s="281"/>
      <c r="AA291" s="281"/>
      <c r="AB291" s="281"/>
      <c r="AC291" s="281"/>
      <c r="AD291" s="281"/>
      <c r="AE291" s="281"/>
      <c r="AF291" s="281"/>
      <c r="AG291" s="281"/>
      <c r="AH291" s="281"/>
      <c r="AI291" s="281"/>
      <c r="AJ291" s="281"/>
      <c r="AK291" s="281"/>
    </row>
    <row r="292" spans="2:37" ht="13.2">
      <c r="B292" s="281"/>
      <c r="C292" s="281"/>
      <c r="D292" s="281"/>
      <c r="E292" s="281"/>
      <c r="F292" s="281"/>
      <c r="G292" s="281"/>
      <c r="H292" s="281"/>
      <c r="I292" s="281"/>
      <c r="J292" s="281"/>
      <c r="K292" s="281"/>
      <c r="L292" s="281"/>
      <c r="M292" s="281"/>
      <c r="N292" s="281"/>
      <c r="O292" s="281"/>
      <c r="P292" s="281"/>
      <c r="Q292" s="281"/>
      <c r="R292" s="281"/>
      <c r="S292" s="281"/>
      <c r="T292" s="281"/>
      <c r="U292" s="281"/>
      <c r="V292" s="281"/>
      <c r="W292" s="281"/>
      <c r="X292" s="281"/>
      <c r="Y292" s="281"/>
      <c r="Z292" s="281"/>
      <c r="AA292" s="281"/>
      <c r="AB292" s="281"/>
      <c r="AC292" s="281"/>
      <c r="AD292" s="281"/>
      <c r="AE292" s="281"/>
      <c r="AF292" s="281"/>
      <c r="AG292" s="281"/>
      <c r="AH292" s="281"/>
      <c r="AI292" s="281"/>
      <c r="AJ292" s="281"/>
      <c r="AK292" s="281"/>
    </row>
    <row r="293" spans="2:37" ht="13.2">
      <c r="B293" s="281"/>
      <c r="C293" s="281"/>
      <c r="D293" s="281"/>
      <c r="E293" s="281"/>
      <c r="F293" s="281"/>
      <c r="G293" s="281"/>
      <c r="H293" s="281"/>
      <c r="I293" s="281"/>
      <c r="J293" s="281"/>
      <c r="K293" s="281"/>
      <c r="L293" s="281"/>
      <c r="M293" s="281"/>
      <c r="N293" s="281"/>
      <c r="O293" s="281"/>
      <c r="P293" s="281"/>
      <c r="Q293" s="281"/>
      <c r="R293" s="281"/>
      <c r="S293" s="281"/>
      <c r="T293" s="281"/>
      <c r="U293" s="281"/>
      <c r="V293" s="281"/>
      <c r="W293" s="281"/>
      <c r="X293" s="281"/>
      <c r="Y293" s="281"/>
      <c r="Z293" s="281"/>
      <c r="AA293" s="281"/>
      <c r="AB293" s="281"/>
      <c r="AC293" s="281"/>
      <c r="AD293" s="281"/>
      <c r="AE293" s="281"/>
      <c r="AF293" s="281"/>
      <c r="AG293" s="281"/>
      <c r="AH293" s="281"/>
      <c r="AI293" s="281"/>
      <c r="AJ293" s="281"/>
      <c r="AK293" s="281"/>
    </row>
    <row r="294" spans="2:37" ht="13.2">
      <c r="B294" s="281"/>
      <c r="C294" s="281"/>
      <c r="D294" s="281"/>
      <c r="E294" s="281"/>
      <c r="F294" s="281"/>
      <c r="G294" s="281"/>
      <c r="H294" s="281"/>
      <c r="I294" s="281"/>
      <c r="J294" s="281"/>
      <c r="K294" s="281"/>
      <c r="L294" s="281"/>
      <c r="M294" s="281"/>
      <c r="N294" s="281"/>
      <c r="O294" s="281"/>
      <c r="P294" s="281"/>
      <c r="Q294" s="281"/>
      <c r="R294" s="281"/>
      <c r="S294" s="281"/>
      <c r="T294" s="281"/>
      <c r="U294" s="281"/>
      <c r="V294" s="281"/>
      <c r="W294" s="281"/>
      <c r="X294" s="281"/>
      <c r="Y294" s="281"/>
      <c r="Z294" s="281"/>
      <c r="AA294" s="281"/>
      <c r="AB294" s="281"/>
      <c r="AC294" s="281"/>
      <c r="AD294" s="281"/>
      <c r="AE294" s="281"/>
      <c r="AF294" s="281"/>
      <c r="AG294" s="281"/>
      <c r="AH294" s="281"/>
      <c r="AI294" s="281"/>
      <c r="AJ294" s="281"/>
      <c r="AK294" s="281"/>
    </row>
    <row r="295" spans="2:37" ht="13.2">
      <c r="B295" s="281"/>
      <c r="C295" s="281"/>
      <c r="D295" s="281"/>
      <c r="E295" s="281"/>
      <c r="F295" s="281"/>
      <c r="G295" s="281"/>
      <c r="H295" s="281"/>
      <c r="I295" s="281"/>
      <c r="J295" s="281"/>
      <c r="K295" s="281"/>
      <c r="L295" s="281"/>
      <c r="M295" s="281"/>
      <c r="N295" s="281"/>
      <c r="O295" s="281"/>
      <c r="P295" s="281"/>
      <c r="Q295" s="281"/>
      <c r="R295" s="281"/>
      <c r="S295" s="281"/>
      <c r="T295" s="281"/>
      <c r="U295" s="281"/>
      <c r="V295" s="281"/>
      <c r="W295" s="281"/>
      <c r="X295" s="281"/>
      <c r="Y295" s="281"/>
      <c r="Z295" s="281"/>
      <c r="AA295" s="281"/>
      <c r="AB295" s="281"/>
      <c r="AC295" s="281"/>
      <c r="AD295" s="281"/>
      <c r="AE295" s="281"/>
      <c r="AF295" s="281"/>
      <c r="AG295" s="281"/>
      <c r="AH295" s="281"/>
      <c r="AI295" s="281"/>
      <c r="AJ295" s="281"/>
      <c r="AK295" s="281"/>
    </row>
    <row r="296" spans="2:37" ht="13.2">
      <c r="B296" s="281"/>
      <c r="C296" s="281"/>
      <c r="D296" s="281"/>
      <c r="E296" s="281"/>
      <c r="F296" s="281"/>
      <c r="G296" s="281"/>
      <c r="H296" s="281"/>
      <c r="I296" s="281"/>
      <c r="J296" s="281"/>
      <c r="K296" s="281"/>
      <c r="L296" s="281"/>
      <c r="M296" s="281"/>
      <c r="N296" s="281"/>
      <c r="O296" s="281"/>
      <c r="P296" s="281"/>
      <c r="Q296" s="281"/>
      <c r="R296" s="281"/>
      <c r="S296" s="281"/>
      <c r="T296" s="281"/>
      <c r="U296" s="281"/>
      <c r="V296" s="281"/>
      <c r="W296" s="281"/>
      <c r="X296" s="281"/>
      <c r="Y296" s="281"/>
      <c r="Z296" s="281"/>
      <c r="AA296" s="281"/>
      <c r="AB296" s="281"/>
      <c r="AC296" s="281"/>
      <c r="AD296" s="281"/>
      <c r="AE296" s="281"/>
      <c r="AF296" s="281"/>
      <c r="AG296" s="281"/>
      <c r="AH296" s="281"/>
      <c r="AI296" s="281"/>
      <c r="AJ296" s="281"/>
      <c r="AK296" s="281"/>
    </row>
    <row r="297" spans="2:37" ht="13.2">
      <c r="B297" s="281"/>
      <c r="C297" s="281"/>
      <c r="D297" s="281"/>
      <c r="E297" s="281"/>
      <c r="F297" s="281"/>
      <c r="G297" s="281"/>
      <c r="H297" s="281"/>
      <c r="I297" s="281"/>
      <c r="J297" s="281"/>
      <c r="K297" s="281"/>
      <c r="L297" s="281"/>
      <c r="M297" s="281"/>
      <c r="N297" s="281"/>
      <c r="O297" s="281"/>
      <c r="P297" s="281"/>
      <c r="Q297" s="281"/>
      <c r="R297" s="281"/>
      <c r="S297" s="281"/>
      <c r="T297" s="281"/>
      <c r="U297" s="281"/>
      <c r="V297" s="281"/>
      <c r="W297" s="281"/>
      <c r="X297" s="281"/>
      <c r="Y297" s="281"/>
      <c r="Z297" s="281"/>
      <c r="AA297" s="281"/>
      <c r="AB297" s="281"/>
      <c r="AC297" s="281"/>
      <c r="AD297" s="281"/>
      <c r="AE297" s="281"/>
      <c r="AF297" s="281"/>
      <c r="AG297" s="281"/>
      <c r="AH297" s="281"/>
      <c r="AI297" s="281"/>
      <c r="AJ297" s="281"/>
      <c r="AK297" s="281"/>
    </row>
    <row r="298" spans="2:37" ht="13.2">
      <c r="B298" s="281"/>
      <c r="C298" s="281"/>
      <c r="D298" s="281"/>
      <c r="E298" s="281"/>
      <c r="F298" s="281"/>
      <c r="G298" s="281"/>
      <c r="H298" s="281"/>
      <c r="I298" s="281"/>
      <c r="J298" s="281"/>
      <c r="K298" s="281"/>
      <c r="L298" s="281"/>
      <c r="M298" s="281"/>
      <c r="N298" s="281"/>
      <c r="O298" s="281"/>
      <c r="P298" s="281"/>
      <c r="Q298" s="281"/>
      <c r="R298" s="281"/>
      <c r="S298" s="281"/>
      <c r="T298" s="281"/>
      <c r="U298" s="281"/>
      <c r="V298" s="281"/>
      <c r="W298" s="281"/>
      <c r="X298" s="281"/>
      <c r="Y298" s="281"/>
      <c r="Z298" s="281"/>
      <c r="AA298" s="281"/>
      <c r="AB298" s="281"/>
      <c r="AC298" s="281"/>
      <c r="AD298" s="281"/>
      <c r="AE298" s="281"/>
      <c r="AF298" s="281"/>
      <c r="AG298" s="281"/>
      <c r="AH298" s="281"/>
      <c r="AI298" s="281"/>
      <c r="AJ298" s="281"/>
      <c r="AK298" s="281"/>
    </row>
    <row r="299" spans="2:37" ht="13.2">
      <c r="B299" s="281"/>
      <c r="C299" s="281"/>
      <c r="D299" s="281"/>
      <c r="E299" s="281"/>
      <c r="F299" s="281"/>
      <c r="G299" s="281"/>
      <c r="H299" s="281"/>
      <c r="I299" s="281"/>
      <c r="J299" s="281"/>
      <c r="K299" s="281"/>
      <c r="L299" s="281"/>
      <c r="M299" s="281"/>
      <c r="N299" s="281"/>
      <c r="O299" s="281"/>
      <c r="P299" s="281"/>
      <c r="Q299" s="281"/>
      <c r="R299" s="281"/>
      <c r="S299" s="281"/>
      <c r="T299" s="281"/>
      <c r="U299" s="281"/>
      <c r="V299" s="281"/>
      <c r="W299" s="281"/>
      <c r="X299" s="281"/>
      <c r="Y299" s="281"/>
      <c r="Z299" s="281"/>
      <c r="AA299" s="281"/>
      <c r="AB299" s="281"/>
      <c r="AC299" s="281"/>
      <c r="AD299" s="281"/>
      <c r="AE299" s="281"/>
      <c r="AF299" s="281"/>
      <c r="AG299" s="281"/>
      <c r="AH299" s="281"/>
      <c r="AI299" s="281"/>
      <c r="AJ299" s="281"/>
      <c r="AK299" s="281"/>
    </row>
    <row r="300" spans="2:37" ht="13.2">
      <c r="B300" s="281"/>
      <c r="C300" s="281"/>
      <c r="D300" s="281"/>
      <c r="E300" s="281"/>
      <c r="F300" s="281"/>
      <c r="G300" s="281"/>
      <c r="H300" s="281"/>
      <c r="I300" s="281"/>
      <c r="J300" s="281"/>
      <c r="K300" s="281"/>
      <c r="L300" s="281"/>
      <c r="M300" s="281"/>
      <c r="N300" s="281"/>
      <c r="O300" s="281"/>
      <c r="P300" s="281"/>
      <c r="Q300" s="281"/>
      <c r="R300" s="281"/>
      <c r="S300" s="281"/>
      <c r="T300" s="281"/>
      <c r="U300" s="281"/>
      <c r="V300" s="281"/>
      <c r="W300" s="281"/>
      <c r="X300" s="281"/>
      <c r="Y300" s="281"/>
      <c r="Z300" s="281"/>
      <c r="AA300" s="281"/>
      <c r="AB300" s="281"/>
      <c r="AC300" s="281"/>
      <c r="AD300" s="281"/>
      <c r="AE300" s="281"/>
      <c r="AF300" s="281"/>
      <c r="AG300" s="281"/>
      <c r="AH300" s="281"/>
      <c r="AI300" s="281"/>
      <c r="AJ300" s="281"/>
      <c r="AK300" s="281"/>
    </row>
    <row r="301" spans="2:37" ht="13.2">
      <c r="B301" s="281"/>
      <c r="C301" s="281"/>
      <c r="D301" s="281"/>
      <c r="E301" s="281"/>
      <c r="F301" s="281"/>
      <c r="G301" s="281"/>
      <c r="H301" s="281"/>
      <c r="I301" s="281"/>
      <c r="J301" s="281"/>
      <c r="K301" s="281"/>
      <c r="L301" s="281"/>
      <c r="M301" s="281"/>
      <c r="N301" s="281"/>
      <c r="O301" s="281"/>
      <c r="P301" s="281"/>
      <c r="Q301" s="281"/>
      <c r="R301" s="281"/>
      <c r="S301" s="281"/>
      <c r="T301" s="281"/>
      <c r="U301" s="281"/>
      <c r="V301" s="281"/>
      <c r="W301" s="281"/>
      <c r="X301" s="281"/>
      <c r="Y301" s="281"/>
      <c r="Z301" s="281"/>
      <c r="AA301" s="281"/>
      <c r="AB301" s="281"/>
      <c r="AC301" s="281"/>
      <c r="AD301" s="281"/>
      <c r="AE301" s="281"/>
      <c r="AF301" s="281"/>
      <c r="AG301" s="281"/>
      <c r="AH301" s="281"/>
      <c r="AI301" s="281"/>
      <c r="AJ301" s="281"/>
      <c r="AK301" s="281"/>
    </row>
    <row r="302" spans="2:37" ht="13.2">
      <c r="B302" s="281"/>
      <c r="C302" s="281"/>
      <c r="D302" s="281"/>
      <c r="E302" s="281"/>
      <c r="F302" s="281"/>
      <c r="G302" s="281"/>
      <c r="H302" s="281"/>
      <c r="I302" s="281"/>
      <c r="J302" s="281"/>
      <c r="K302" s="281"/>
      <c r="L302" s="281"/>
      <c r="M302" s="281"/>
      <c r="N302" s="281"/>
      <c r="O302" s="281"/>
      <c r="P302" s="281"/>
      <c r="Q302" s="281"/>
      <c r="R302" s="281"/>
      <c r="S302" s="281"/>
      <c r="T302" s="281"/>
      <c r="U302" s="281"/>
      <c r="V302" s="281"/>
      <c r="W302" s="281"/>
      <c r="X302" s="281"/>
      <c r="Y302" s="281"/>
      <c r="Z302" s="281"/>
      <c r="AA302" s="281"/>
      <c r="AB302" s="281"/>
      <c r="AC302" s="281"/>
      <c r="AD302" s="281"/>
      <c r="AE302" s="281"/>
      <c r="AF302" s="281"/>
      <c r="AG302" s="281"/>
      <c r="AH302" s="281"/>
      <c r="AI302" s="281"/>
      <c r="AJ302" s="281"/>
      <c r="AK302" s="281"/>
    </row>
    <row r="303" spans="2:37" ht="13.2">
      <c r="B303" s="281"/>
      <c r="C303" s="281"/>
      <c r="D303" s="281"/>
      <c r="E303" s="281"/>
      <c r="F303" s="281"/>
      <c r="G303" s="281"/>
      <c r="H303" s="281"/>
      <c r="I303" s="281"/>
      <c r="J303" s="281"/>
      <c r="K303" s="281"/>
      <c r="L303" s="281"/>
      <c r="M303" s="281"/>
      <c r="N303" s="281"/>
      <c r="O303" s="281"/>
      <c r="P303" s="281"/>
      <c r="Q303" s="281"/>
      <c r="R303" s="281"/>
      <c r="S303" s="281"/>
      <c r="T303" s="281"/>
      <c r="U303" s="281"/>
      <c r="V303" s="281"/>
      <c r="W303" s="281"/>
      <c r="X303" s="281"/>
      <c r="Y303" s="281"/>
      <c r="Z303" s="281"/>
      <c r="AA303" s="281"/>
      <c r="AB303" s="281"/>
      <c r="AC303" s="281"/>
      <c r="AD303" s="281"/>
      <c r="AE303" s="281"/>
      <c r="AF303" s="281"/>
      <c r="AG303" s="281"/>
      <c r="AH303" s="281"/>
      <c r="AI303" s="281"/>
      <c r="AJ303" s="281"/>
      <c r="AK303" s="281"/>
    </row>
    <row r="304" spans="2:37" ht="13.2">
      <c r="B304" s="281"/>
      <c r="C304" s="281"/>
      <c r="D304" s="281"/>
      <c r="E304" s="281"/>
      <c r="F304" s="281"/>
      <c r="G304" s="281"/>
      <c r="H304" s="281"/>
      <c r="I304" s="281"/>
      <c r="J304" s="281"/>
      <c r="K304" s="281"/>
      <c r="L304" s="281"/>
      <c r="M304" s="281"/>
      <c r="N304" s="281"/>
      <c r="O304" s="281"/>
      <c r="P304" s="281"/>
      <c r="Q304" s="281"/>
      <c r="R304" s="281"/>
      <c r="S304" s="281"/>
      <c r="T304" s="281"/>
      <c r="U304" s="281"/>
      <c r="V304" s="281"/>
      <c r="W304" s="281"/>
      <c r="X304" s="281"/>
      <c r="Y304" s="281"/>
      <c r="Z304" s="281"/>
      <c r="AA304" s="281"/>
      <c r="AB304" s="281"/>
      <c r="AC304" s="281"/>
      <c r="AD304" s="281"/>
      <c r="AE304" s="281"/>
      <c r="AF304" s="281"/>
      <c r="AG304" s="281"/>
      <c r="AH304" s="281"/>
      <c r="AI304" s="281"/>
      <c r="AJ304" s="281"/>
      <c r="AK304" s="281"/>
    </row>
    <row r="305" spans="2:37" ht="13.2">
      <c r="B305" s="281"/>
      <c r="C305" s="281"/>
      <c r="D305" s="281"/>
      <c r="E305" s="281"/>
      <c r="F305" s="281"/>
      <c r="G305" s="281"/>
      <c r="H305" s="281"/>
      <c r="I305" s="281"/>
      <c r="J305" s="281"/>
      <c r="K305" s="281"/>
      <c r="L305" s="281"/>
      <c r="M305" s="281"/>
      <c r="N305" s="281"/>
      <c r="O305" s="281"/>
      <c r="P305" s="281"/>
      <c r="Q305" s="281"/>
      <c r="R305" s="281"/>
      <c r="S305" s="281"/>
      <c r="T305" s="281"/>
      <c r="U305" s="281"/>
      <c r="V305" s="281"/>
      <c r="W305" s="281"/>
      <c r="X305" s="281"/>
      <c r="Y305" s="281"/>
      <c r="Z305" s="281"/>
      <c r="AA305" s="281"/>
      <c r="AB305" s="281"/>
      <c r="AC305" s="281"/>
      <c r="AD305" s="281"/>
      <c r="AE305" s="281"/>
      <c r="AF305" s="281"/>
      <c r="AG305" s="281"/>
      <c r="AH305" s="281"/>
      <c r="AI305" s="281"/>
      <c r="AJ305" s="281"/>
      <c r="AK305" s="281"/>
    </row>
    <row r="306" spans="2:37" ht="13.2">
      <c r="B306" s="281"/>
      <c r="C306" s="281"/>
      <c r="D306" s="281"/>
      <c r="E306" s="281"/>
      <c r="F306" s="281"/>
      <c r="G306" s="281"/>
      <c r="H306" s="281"/>
      <c r="I306" s="281"/>
      <c r="J306" s="281"/>
      <c r="K306" s="281"/>
      <c r="L306" s="281"/>
      <c r="M306" s="281"/>
      <c r="N306" s="281"/>
      <c r="O306" s="281"/>
      <c r="P306" s="281"/>
      <c r="Q306" s="281"/>
      <c r="R306" s="281"/>
      <c r="S306" s="281"/>
      <c r="T306" s="281"/>
      <c r="U306" s="281"/>
      <c r="V306" s="281"/>
      <c r="W306" s="281"/>
      <c r="X306" s="281"/>
      <c r="Y306" s="281"/>
      <c r="Z306" s="281"/>
      <c r="AA306" s="281"/>
      <c r="AB306" s="281"/>
      <c r="AC306" s="281"/>
      <c r="AD306" s="281"/>
      <c r="AE306" s="281"/>
      <c r="AF306" s="281"/>
      <c r="AG306" s="281"/>
      <c r="AH306" s="281"/>
      <c r="AI306" s="281"/>
      <c r="AJ306" s="281"/>
      <c r="AK306" s="281"/>
    </row>
    <row r="307" spans="2:37" ht="13.2">
      <c r="B307" s="281"/>
      <c r="C307" s="281"/>
      <c r="D307" s="281"/>
      <c r="E307" s="281"/>
      <c r="F307" s="281"/>
      <c r="G307" s="281"/>
      <c r="H307" s="281"/>
      <c r="I307" s="281"/>
      <c r="J307" s="281"/>
      <c r="K307" s="281"/>
      <c r="L307" s="281"/>
      <c r="M307" s="281"/>
      <c r="N307" s="281"/>
      <c r="O307" s="281"/>
      <c r="P307" s="281"/>
      <c r="Q307" s="281"/>
      <c r="R307" s="281"/>
      <c r="S307" s="281"/>
      <c r="T307" s="281"/>
      <c r="U307" s="281"/>
      <c r="V307" s="281"/>
      <c r="W307" s="281"/>
      <c r="X307" s="281"/>
      <c r="Y307" s="281"/>
      <c r="Z307" s="281"/>
      <c r="AA307" s="281"/>
      <c r="AB307" s="281"/>
      <c r="AC307" s="281"/>
      <c r="AD307" s="281"/>
      <c r="AE307" s="281"/>
      <c r="AF307" s="281"/>
      <c r="AG307" s="281"/>
      <c r="AH307" s="281"/>
      <c r="AI307" s="281"/>
      <c r="AJ307" s="281"/>
      <c r="AK307" s="281"/>
    </row>
    <row r="308" spans="2:37" ht="13.2">
      <c r="B308" s="281"/>
      <c r="C308" s="281"/>
      <c r="D308" s="281"/>
      <c r="E308" s="281"/>
      <c r="F308" s="281"/>
      <c r="G308" s="281"/>
      <c r="H308" s="281"/>
      <c r="I308" s="281"/>
      <c r="J308" s="281"/>
      <c r="K308" s="281"/>
      <c r="L308" s="281"/>
      <c r="M308" s="281"/>
      <c r="N308" s="281"/>
      <c r="O308" s="281"/>
      <c r="P308" s="281"/>
      <c r="Q308" s="281"/>
      <c r="R308" s="281"/>
      <c r="S308" s="281"/>
      <c r="T308" s="281"/>
      <c r="U308" s="281"/>
      <c r="V308" s="281"/>
      <c r="W308" s="281"/>
      <c r="X308" s="281"/>
      <c r="Y308" s="281"/>
      <c r="Z308" s="281"/>
      <c r="AA308" s="281"/>
      <c r="AB308" s="281"/>
      <c r="AC308" s="281"/>
      <c r="AD308" s="281"/>
      <c r="AE308" s="281"/>
      <c r="AF308" s="281"/>
      <c r="AG308" s="281"/>
      <c r="AH308" s="281"/>
      <c r="AI308" s="281"/>
      <c r="AJ308" s="281"/>
      <c r="AK308" s="281"/>
    </row>
    <row r="309" spans="2:37" ht="13.2">
      <c r="B309" s="281"/>
      <c r="C309" s="281"/>
      <c r="D309" s="281"/>
      <c r="E309" s="281"/>
      <c r="F309" s="281"/>
      <c r="G309" s="281"/>
      <c r="H309" s="281"/>
      <c r="I309" s="281"/>
      <c r="J309" s="281"/>
      <c r="K309" s="281"/>
      <c r="L309" s="281"/>
      <c r="M309" s="281"/>
      <c r="N309" s="281"/>
      <c r="O309" s="281"/>
      <c r="P309" s="281"/>
      <c r="Q309" s="281"/>
      <c r="R309" s="281"/>
      <c r="S309" s="281"/>
      <c r="T309" s="281"/>
      <c r="U309" s="281"/>
      <c r="V309" s="281"/>
      <c r="W309" s="281"/>
      <c r="X309" s="281"/>
      <c r="Y309" s="281"/>
      <c r="Z309" s="281"/>
      <c r="AA309" s="281"/>
      <c r="AB309" s="281"/>
      <c r="AC309" s="281"/>
      <c r="AD309" s="281"/>
      <c r="AE309" s="281"/>
      <c r="AF309" s="281"/>
      <c r="AG309" s="281"/>
      <c r="AH309" s="281"/>
      <c r="AI309" s="281"/>
      <c r="AJ309" s="281"/>
      <c r="AK309" s="281"/>
    </row>
    <row r="310" spans="2:37" ht="13.2">
      <c r="B310" s="281"/>
      <c r="C310" s="281"/>
      <c r="D310" s="281"/>
      <c r="E310" s="281"/>
      <c r="F310" s="281"/>
      <c r="G310" s="281"/>
      <c r="H310" s="281"/>
      <c r="I310" s="281"/>
      <c r="J310" s="281"/>
      <c r="K310" s="281"/>
      <c r="L310" s="281"/>
      <c r="M310" s="281"/>
      <c r="N310" s="281"/>
      <c r="O310" s="281"/>
      <c r="P310" s="281"/>
      <c r="Q310" s="281"/>
      <c r="R310" s="281"/>
      <c r="S310" s="281"/>
      <c r="T310" s="281"/>
      <c r="U310" s="281"/>
      <c r="V310" s="281"/>
      <c r="W310" s="281"/>
      <c r="X310" s="281"/>
      <c r="Y310" s="281"/>
      <c r="Z310" s="281"/>
      <c r="AA310" s="281"/>
      <c r="AB310" s="281"/>
      <c r="AC310" s="281"/>
      <c r="AD310" s="281"/>
      <c r="AE310" s="281"/>
      <c r="AF310" s="281"/>
      <c r="AG310" s="281"/>
      <c r="AH310" s="281"/>
      <c r="AI310" s="281"/>
      <c r="AJ310" s="281"/>
      <c r="AK310" s="281"/>
    </row>
    <row r="311" spans="2:37" ht="13.2">
      <c r="B311" s="281"/>
      <c r="C311" s="281"/>
      <c r="D311" s="281"/>
      <c r="E311" s="281"/>
      <c r="F311" s="281"/>
      <c r="G311" s="281"/>
      <c r="H311" s="281"/>
      <c r="I311" s="281"/>
      <c r="J311" s="281"/>
      <c r="K311" s="281"/>
      <c r="L311" s="281"/>
      <c r="M311" s="281"/>
      <c r="N311" s="281"/>
      <c r="O311" s="281"/>
      <c r="P311" s="281"/>
      <c r="Q311" s="281"/>
      <c r="R311" s="281"/>
      <c r="S311" s="281"/>
      <c r="T311" s="281"/>
      <c r="U311" s="281"/>
      <c r="V311" s="281"/>
      <c r="W311" s="281"/>
      <c r="X311" s="281"/>
      <c r="Y311" s="281"/>
      <c r="Z311" s="281"/>
      <c r="AA311" s="281"/>
      <c r="AB311" s="281"/>
      <c r="AC311" s="281"/>
      <c r="AD311" s="281"/>
      <c r="AE311" s="281"/>
      <c r="AF311" s="281"/>
      <c r="AG311" s="281"/>
      <c r="AH311" s="281"/>
      <c r="AI311" s="281"/>
      <c r="AJ311" s="281"/>
      <c r="AK311" s="281"/>
    </row>
    <row r="312" spans="2:37" ht="13.2">
      <c r="B312" s="281"/>
      <c r="C312" s="281"/>
      <c r="D312" s="281"/>
      <c r="E312" s="281"/>
      <c r="F312" s="281"/>
      <c r="G312" s="281"/>
      <c r="H312" s="281"/>
      <c r="I312" s="281"/>
      <c r="J312" s="281"/>
      <c r="K312" s="281"/>
      <c r="L312" s="281"/>
      <c r="M312" s="281"/>
      <c r="N312" s="281"/>
      <c r="O312" s="281"/>
      <c r="P312" s="281"/>
      <c r="Q312" s="281"/>
      <c r="R312" s="281"/>
      <c r="S312" s="281"/>
      <c r="T312" s="281"/>
      <c r="U312" s="281"/>
      <c r="V312" s="281"/>
      <c r="W312" s="281"/>
      <c r="X312" s="281"/>
      <c r="Y312" s="281"/>
      <c r="Z312" s="281"/>
      <c r="AA312" s="281"/>
      <c r="AB312" s="281"/>
      <c r="AC312" s="281"/>
      <c r="AD312" s="281"/>
      <c r="AE312" s="281"/>
      <c r="AF312" s="281"/>
      <c r="AG312" s="281"/>
      <c r="AH312" s="281"/>
      <c r="AI312" s="281"/>
      <c r="AJ312" s="281"/>
      <c r="AK312" s="281"/>
    </row>
    <row r="313" spans="2:37" ht="13.2">
      <c r="B313" s="281"/>
      <c r="C313" s="281"/>
      <c r="D313" s="281"/>
      <c r="E313" s="281"/>
      <c r="F313" s="281"/>
      <c r="G313" s="281"/>
      <c r="H313" s="281"/>
      <c r="I313" s="281"/>
      <c r="J313" s="281"/>
      <c r="K313" s="281"/>
      <c r="L313" s="281"/>
      <c r="M313" s="281"/>
      <c r="N313" s="281"/>
      <c r="O313" s="281"/>
      <c r="P313" s="281"/>
      <c r="Q313" s="281"/>
      <c r="R313" s="281"/>
      <c r="S313" s="281"/>
      <c r="T313" s="281"/>
      <c r="U313" s="281"/>
      <c r="V313" s="281"/>
      <c r="W313" s="281"/>
      <c r="X313" s="281"/>
      <c r="Y313" s="281"/>
      <c r="Z313" s="281"/>
      <c r="AA313" s="281"/>
      <c r="AB313" s="281"/>
      <c r="AC313" s="281"/>
      <c r="AD313" s="281"/>
      <c r="AE313" s="281"/>
      <c r="AF313" s="281"/>
      <c r="AG313" s="281"/>
      <c r="AH313" s="281"/>
      <c r="AI313" s="281"/>
      <c r="AJ313" s="281"/>
      <c r="AK313" s="281"/>
    </row>
    <row r="314" spans="2:37" ht="13.2">
      <c r="B314" s="281"/>
      <c r="C314" s="281"/>
      <c r="D314" s="281"/>
      <c r="E314" s="281"/>
      <c r="F314" s="281"/>
      <c r="G314" s="281"/>
      <c r="H314" s="281"/>
      <c r="I314" s="281"/>
      <c r="J314" s="281"/>
      <c r="K314" s="281"/>
      <c r="L314" s="281"/>
      <c r="M314" s="281"/>
      <c r="N314" s="281"/>
      <c r="O314" s="281"/>
      <c r="P314" s="281"/>
      <c r="Q314" s="281"/>
      <c r="R314" s="281"/>
      <c r="S314" s="281"/>
      <c r="T314" s="281"/>
      <c r="U314" s="281"/>
      <c r="V314" s="281"/>
      <c r="W314" s="281"/>
      <c r="X314" s="281"/>
      <c r="Y314" s="281"/>
      <c r="Z314" s="281"/>
      <c r="AA314" s="281"/>
      <c r="AB314" s="281"/>
      <c r="AC314" s="281"/>
      <c r="AD314" s="281"/>
      <c r="AE314" s="281"/>
      <c r="AF314" s="281"/>
      <c r="AG314" s="281"/>
      <c r="AH314" s="281"/>
      <c r="AI314" s="281"/>
      <c r="AJ314" s="281"/>
      <c r="AK314" s="281"/>
    </row>
    <row r="315" spans="2:37" ht="13.2">
      <c r="B315" s="281"/>
      <c r="C315" s="281"/>
      <c r="D315" s="281"/>
      <c r="E315" s="281"/>
      <c r="F315" s="281"/>
      <c r="G315" s="281"/>
      <c r="H315" s="281"/>
      <c r="I315" s="281"/>
      <c r="J315" s="281"/>
      <c r="K315" s="281"/>
      <c r="L315" s="281"/>
      <c r="M315" s="281"/>
      <c r="N315" s="281"/>
      <c r="O315" s="281"/>
      <c r="P315" s="281"/>
      <c r="Q315" s="281"/>
      <c r="R315" s="281"/>
      <c r="S315" s="281"/>
      <c r="T315" s="281"/>
      <c r="U315" s="281"/>
      <c r="V315" s="281"/>
      <c r="W315" s="281"/>
      <c r="X315" s="281"/>
      <c r="Y315" s="281"/>
      <c r="Z315" s="281"/>
      <c r="AA315" s="281"/>
      <c r="AB315" s="281"/>
      <c r="AC315" s="281"/>
      <c r="AD315" s="281"/>
      <c r="AE315" s="281"/>
      <c r="AF315" s="281"/>
      <c r="AG315" s="281"/>
      <c r="AH315" s="281"/>
      <c r="AI315" s="281"/>
      <c r="AJ315" s="281"/>
      <c r="AK315" s="281"/>
    </row>
    <row r="316" spans="2:37" ht="13.2">
      <c r="B316" s="281"/>
      <c r="C316" s="281"/>
      <c r="D316" s="281"/>
      <c r="E316" s="281"/>
      <c r="F316" s="281"/>
      <c r="G316" s="281"/>
      <c r="H316" s="281"/>
      <c r="I316" s="281"/>
      <c r="J316" s="281"/>
      <c r="K316" s="281"/>
      <c r="L316" s="281"/>
      <c r="M316" s="281"/>
      <c r="N316" s="281"/>
      <c r="O316" s="281"/>
      <c r="P316" s="281"/>
      <c r="Q316" s="281"/>
      <c r="R316" s="281"/>
      <c r="S316" s="281"/>
      <c r="T316" s="281"/>
      <c r="U316" s="281"/>
      <c r="V316" s="281"/>
      <c r="W316" s="281"/>
      <c r="X316" s="281"/>
      <c r="Y316" s="281"/>
      <c r="Z316" s="281"/>
      <c r="AA316" s="281"/>
      <c r="AB316" s="281"/>
      <c r="AC316" s="281"/>
      <c r="AD316" s="281"/>
      <c r="AE316" s="281"/>
      <c r="AF316" s="281"/>
      <c r="AG316" s="281"/>
      <c r="AH316" s="281"/>
      <c r="AI316" s="281"/>
      <c r="AJ316" s="281"/>
      <c r="AK316" s="281"/>
    </row>
    <row r="317" spans="2:37" ht="13.2">
      <c r="B317" s="281"/>
      <c r="C317" s="281"/>
      <c r="D317" s="281"/>
      <c r="E317" s="281"/>
      <c r="F317" s="281"/>
      <c r="G317" s="281"/>
      <c r="H317" s="281"/>
      <c r="I317" s="281"/>
      <c r="J317" s="281"/>
      <c r="K317" s="281"/>
      <c r="L317" s="281"/>
      <c r="M317" s="281"/>
      <c r="N317" s="281"/>
      <c r="O317" s="281"/>
      <c r="P317" s="281"/>
      <c r="Q317" s="281"/>
      <c r="R317" s="281"/>
      <c r="S317" s="281"/>
      <c r="T317" s="281"/>
      <c r="U317" s="281"/>
      <c r="V317" s="281"/>
      <c r="W317" s="281"/>
      <c r="X317" s="281"/>
      <c r="Y317" s="281"/>
      <c r="Z317" s="281"/>
      <c r="AA317" s="281"/>
      <c r="AB317" s="281"/>
      <c r="AC317" s="281"/>
      <c r="AD317" s="281"/>
      <c r="AE317" s="281"/>
      <c r="AF317" s="281"/>
      <c r="AG317" s="281"/>
      <c r="AH317" s="281"/>
      <c r="AI317" s="281"/>
      <c r="AJ317" s="281"/>
      <c r="AK317" s="281"/>
    </row>
    <row r="318" spans="2:37" ht="13.2">
      <c r="B318" s="281"/>
      <c r="C318" s="281"/>
      <c r="D318" s="281"/>
      <c r="E318" s="281"/>
      <c r="F318" s="281"/>
      <c r="G318" s="281"/>
      <c r="H318" s="281"/>
      <c r="I318" s="281"/>
      <c r="J318" s="281"/>
      <c r="K318" s="281"/>
      <c r="L318" s="281"/>
      <c r="M318" s="281"/>
      <c r="N318" s="281"/>
      <c r="O318" s="281"/>
      <c r="P318" s="281"/>
      <c r="Q318" s="281"/>
      <c r="R318" s="281"/>
      <c r="S318" s="281"/>
      <c r="T318" s="281"/>
      <c r="U318" s="281"/>
      <c r="V318" s="281"/>
      <c r="W318" s="281"/>
      <c r="X318" s="281"/>
      <c r="Y318" s="281"/>
      <c r="Z318" s="281"/>
      <c r="AA318" s="281"/>
      <c r="AB318" s="281"/>
      <c r="AC318" s="281"/>
      <c r="AD318" s="281"/>
      <c r="AE318" s="281"/>
      <c r="AF318" s="281"/>
      <c r="AG318" s="281"/>
      <c r="AH318" s="281"/>
      <c r="AI318" s="281"/>
      <c r="AJ318" s="281"/>
      <c r="AK318" s="281"/>
    </row>
    <row r="319" spans="2:37" ht="13.2">
      <c r="B319" s="281"/>
      <c r="C319" s="281"/>
      <c r="D319" s="281"/>
      <c r="E319" s="281"/>
      <c r="F319" s="281"/>
      <c r="G319" s="281"/>
      <c r="H319" s="281"/>
      <c r="I319" s="281"/>
      <c r="J319" s="281"/>
      <c r="K319" s="281"/>
      <c r="L319" s="281"/>
      <c r="M319" s="281"/>
      <c r="N319" s="281"/>
      <c r="O319" s="281"/>
      <c r="P319" s="281"/>
      <c r="Q319" s="281"/>
      <c r="R319" s="281"/>
      <c r="S319" s="281"/>
      <c r="T319" s="281"/>
      <c r="U319" s="281"/>
      <c r="V319" s="281"/>
      <c r="W319" s="281"/>
      <c r="X319" s="281"/>
      <c r="Y319" s="281"/>
      <c r="Z319" s="281"/>
      <c r="AA319" s="281"/>
      <c r="AB319" s="281"/>
      <c r="AC319" s="281"/>
      <c r="AD319" s="281"/>
      <c r="AE319" s="281"/>
      <c r="AF319" s="281"/>
      <c r="AG319" s="281"/>
      <c r="AH319" s="281"/>
      <c r="AI319" s="281"/>
      <c r="AJ319" s="281"/>
      <c r="AK319" s="281"/>
    </row>
    <row r="320" spans="2:37" ht="13.2">
      <c r="B320" s="281"/>
      <c r="C320" s="281"/>
      <c r="D320" s="281"/>
      <c r="E320" s="281"/>
      <c r="F320" s="281"/>
      <c r="G320" s="281"/>
      <c r="H320" s="281"/>
      <c r="I320" s="281"/>
      <c r="J320" s="281"/>
      <c r="K320" s="281"/>
      <c r="L320" s="281"/>
      <c r="M320" s="281"/>
      <c r="N320" s="281"/>
      <c r="O320" s="281"/>
      <c r="P320" s="281"/>
      <c r="Q320" s="281"/>
      <c r="R320" s="281"/>
      <c r="S320" s="281"/>
      <c r="T320" s="281"/>
      <c r="U320" s="281"/>
      <c r="V320" s="281"/>
      <c r="W320" s="281"/>
      <c r="X320" s="281"/>
      <c r="Y320" s="281"/>
      <c r="Z320" s="281"/>
      <c r="AA320" s="281"/>
      <c r="AB320" s="281"/>
      <c r="AC320" s="281"/>
      <c r="AD320" s="281"/>
      <c r="AE320" s="281"/>
      <c r="AF320" s="281"/>
      <c r="AG320" s="281"/>
      <c r="AH320" s="281"/>
      <c r="AI320" s="281"/>
      <c r="AJ320" s="281"/>
      <c r="AK320" s="281"/>
    </row>
    <row r="321" spans="2:37" ht="13.2">
      <c r="B321" s="299"/>
      <c r="C321" s="299"/>
      <c r="D321" s="299"/>
      <c r="E321" s="299"/>
      <c r="F321" s="299"/>
      <c r="G321" s="299"/>
      <c r="H321" s="299"/>
      <c r="I321" s="299"/>
      <c r="J321" s="299"/>
      <c r="K321" s="299"/>
      <c r="L321" s="299"/>
      <c r="M321" s="299"/>
      <c r="N321" s="299"/>
      <c r="O321" s="299"/>
      <c r="P321" s="299"/>
      <c r="Q321" s="299"/>
      <c r="R321" s="299"/>
      <c r="S321" s="299"/>
      <c r="T321" s="299"/>
      <c r="U321" s="299"/>
      <c r="V321" s="299"/>
      <c r="W321" s="299"/>
      <c r="X321" s="299"/>
      <c r="Y321" s="299"/>
      <c r="Z321" s="299"/>
      <c r="AA321" s="299"/>
      <c r="AB321" s="299"/>
      <c r="AC321" s="299"/>
      <c r="AD321" s="299"/>
      <c r="AE321" s="299"/>
      <c r="AF321" s="299"/>
      <c r="AG321" s="299"/>
      <c r="AH321" s="299"/>
      <c r="AI321" s="299"/>
      <c r="AJ321" s="299"/>
      <c r="AK321" s="299"/>
    </row>
    <row r="322" spans="2:37" ht="13.2">
      <c r="B322" s="299"/>
      <c r="C322" s="299"/>
      <c r="D322" s="299"/>
      <c r="E322" s="299"/>
      <c r="F322" s="299"/>
      <c r="G322" s="299"/>
      <c r="H322" s="299"/>
      <c r="I322" s="299"/>
      <c r="J322" s="299"/>
      <c r="K322" s="299"/>
      <c r="L322" s="299"/>
      <c r="M322" s="299"/>
      <c r="N322" s="299"/>
      <c r="O322" s="299"/>
      <c r="P322" s="299"/>
      <c r="Q322" s="299"/>
      <c r="R322" s="299"/>
      <c r="S322" s="299"/>
      <c r="T322" s="299"/>
      <c r="U322" s="299"/>
      <c r="V322" s="299"/>
      <c r="W322" s="299"/>
      <c r="X322" s="299"/>
      <c r="Y322" s="299"/>
      <c r="Z322" s="299"/>
      <c r="AA322" s="299"/>
      <c r="AB322" s="299"/>
      <c r="AC322" s="299"/>
      <c r="AD322" s="299"/>
      <c r="AE322" s="299"/>
      <c r="AF322" s="299"/>
      <c r="AG322" s="299"/>
      <c r="AH322" s="299"/>
      <c r="AI322" s="299"/>
      <c r="AJ322" s="299"/>
      <c r="AK322" s="299"/>
    </row>
    <row r="323" spans="2:37" ht="13.2">
      <c r="B323" s="299"/>
      <c r="C323" s="299"/>
      <c r="D323" s="299"/>
      <c r="E323" s="299"/>
      <c r="F323" s="299"/>
      <c r="G323" s="299"/>
      <c r="H323" s="299"/>
      <c r="I323" s="299"/>
      <c r="J323" s="299"/>
      <c r="K323" s="299"/>
      <c r="L323" s="299"/>
      <c r="M323" s="299"/>
      <c r="N323" s="299"/>
      <c r="O323" s="299"/>
      <c r="P323" s="299"/>
      <c r="Q323" s="299"/>
      <c r="R323" s="299"/>
      <c r="S323" s="299"/>
      <c r="T323" s="299"/>
      <c r="U323" s="299"/>
      <c r="V323" s="299"/>
      <c r="W323" s="299"/>
      <c r="X323" s="299"/>
      <c r="Y323" s="299"/>
      <c r="Z323" s="299"/>
      <c r="AA323" s="299"/>
      <c r="AB323" s="299"/>
      <c r="AC323" s="299"/>
      <c r="AD323" s="299"/>
      <c r="AE323" s="299"/>
      <c r="AF323" s="299"/>
      <c r="AG323" s="299"/>
      <c r="AH323" s="299"/>
      <c r="AI323" s="299"/>
      <c r="AJ323" s="299"/>
      <c r="AK323" s="299"/>
    </row>
    <row r="324" spans="2:37" ht="13.2">
      <c r="B324" s="299"/>
      <c r="C324" s="299"/>
      <c r="D324" s="299"/>
      <c r="E324" s="299"/>
      <c r="F324" s="299"/>
      <c r="G324" s="299"/>
      <c r="H324" s="299"/>
      <c r="I324" s="299"/>
      <c r="J324" s="299"/>
      <c r="K324" s="299"/>
      <c r="L324" s="299"/>
      <c r="M324" s="299"/>
      <c r="N324" s="299"/>
      <c r="O324" s="299"/>
      <c r="P324" s="299"/>
      <c r="Q324" s="299"/>
      <c r="R324" s="299"/>
      <c r="S324" s="299"/>
      <c r="T324" s="299"/>
      <c r="U324" s="299"/>
      <c r="V324" s="299"/>
      <c r="W324" s="299"/>
      <c r="X324" s="299"/>
      <c r="Y324" s="299"/>
      <c r="Z324" s="299"/>
      <c r="AA324" s="299"/>
      <c r="AB324" s="299"/>
      <c r="AC324" s="299"/>
      <c r="AD324" s="299"/>
      <c r="AE324" s="299"/>
      <c r="AF324" s="299"/>
      <c r="AG324" s="299"/>
      <c r="AH324" s="299"/>
      <c r="AI324" s="299"/>
      <c r="AJ324" s="299"/>
      <c r="AK324" s="299"/>
    </row>
    <row r="325" spans="2:37" ht="13.2">
      <c r="B325" s="299"/>
      <c r="C325" s="299"/>
      <c r="D325" s="299"/>
      <c r="E325" s="299"/>
      <c r="F325" s="299"/>
      <c r="G325" s="299"/>
      <c r="H325" s="299"/>
      <c r="I325" s="299"/>
      <c r="J325" s="299"/>
      <c r="K325" s="299"/>
      <c r="L325" s="299"/>
      <c r="M325" s="299"/>
      <c r="N325" s="299"/>
      <c r="O325" s="299"/>
      <c r="P325" s="299"/>
      <c r="Q325" s="299"/>
      <c r="R325" s="299"/>
      <c r="S325" s="299"/>
      <c r="T325" s="299"/>
      <c r="U325" s="299"/>
      <c r="V325" s="299"/>
      <c r="W325" s="299"/>
      <c r="X325" s="299"/>
      <c r="Y325" s="299"/>
      <c r="Z325" s="299"/>
      <c r="AA325" s="299"/>
      <c r="AB325" s="299"/>
      <c r="AC325" s="299"/>
      <c r="AD325" s="299"/>
      <c r="AE325" s="299"/>
      <c r="AF325" s="299"/>
      <c r="AG325" s="299"/>
      <c r="AH325" s="299"/>
      <c r="AI325" s="299"/>
      <c r="AJ325" s="299"/>
      <c r="AK325" s="299"/>
    </row>
    <row r="326" spans="2:37" ht="13.2">
      <c r="B326" s="299"/>
      <c r="C326" s="299"/>
      <c r="D326" s="299"/>
      <c r="E326" s="299"/>
      <c r="F326" s="299"/>
      <c r="G326" s="299"/>
      <c r="H326" s="299"/>
      <c r="I326" s="299"/>
      <c r="J326" s="299"/>
      <c r="K326" s="299"/>
      <c r="L326" s="299"/>
      <c r="M326" s="299"/>
      <c r="N326" s="299"/>
      <c r="O326" s="299"/>
      <c r="P326" s="299"/>
      <c r="Q326" s="299"/>
      <c r="R326" s="299"/>
      <c r="S326" s="299"/>
      <c r="T326" s="299"/>
      <c r="U326" s="299"/>
      <c r="V326" s="299"/>
      <c r="W326" s="299"/>
      <c r="X326" s="299"/>
      <c r="Y326" s="299"/>
      <c r="Z326" s="299"/>
      <c r="AA326" s="299"/>
      <c r="AB326" s="299"/>
      <c r="AC326" s="299"/>
      <c r="AD326" s="299"/>
      <c r="AE326" s="299"/>
      <c r="AF326" s="299"/>
      <c r="AG326" s="299"/>
      <c r="AH326" s="299"/>
      <c r="AI326" s="299"/>
      <c r="AJ326" s="299"/>
      <c r="AK326" s="299"/>
    </row>
    <row r="327" spans="2:37" ht="13.2">
      <c r="B327" s="299"/>
      <c r="C327" s="299"/>
      <c r="D327" s="299"/>
      <c r="E327" s="299"/>
      <c r="F327" s="299"/>
      <c r="G327" s="299"/>
      <c r="H327" s="299"/>
      <c r="I327" s="299"/>
      <c r="J327" s="299"/>
      <c r="K327" s="299"/>
      <c r="L327" s="299"/>
      <c r="M327" s="299"/>
      <c r="N327" s="299"/>
      <c r="O327" s="299"/>
      <c r="P327" s="299"/>
      <c r="Q327" s="299"/>
      <c r="R327" s="299"/>
      <c r="S327" s="299"/>
      <c r="T327" s="299"/>
      <c r="U327" s="299"/>
      <c r="V327" s="299"/>
      <c r="W327" s="299"/>
      <c r="X327" s="299"/>
      <c r="Y327" s="299"/>
      <c r="Z327" s="299"/>
      <c r="AA327" s="299"/>
      <c r="AB327" s="299"/>
      <c r="AC327" s="299"/>
      <c r="AD327" s="299"/>
      <c r="AE327" s="299"/>
      <c r="AF327" s="299"/>
      <c r="AG327" s="299"/>
      <c r="AH327" s="299"/>
      <c r="AI327" s="299"/>
      <c r="AJ327" s="299"/>
      <c r="AK327" s="299"/>
    </row>
    <row r="328" spans="2:37" ht="13.2">
      <c r="B328" s="299"/>
      <c r="C328" s="299"/>
      <c r="D328" s="299"/>
      <c r="E328" s="299"/>
      <c r="F328" s="299"/>
      <c r="G328" s="299"/>
      <c r="H328" s="299"/>
      <c r="I328" s="299"/>
      <c r="J328" s="299"/>
      <c r="K328" s="299"/>
      <c r="L328" s="299"/>
      <c r="M328" s="299"/>
      <c r="N328" s="299"/>
      <c r="O328" s="299"/>
      <c r="P328" s="299"/>
      <c r="Q328" s="299"/>
      <c r="R328" s="299"/>
      <c r="S328" s="299"/>
      <c r="T328" s="299"/>
      <c r="U328" s="299"/>
      <c r="V328" s="299"/>
      <c r="W328" s="299"/>
      <c r="X328" s="299"/>
      <c r="Y328" s="299"/>
      <c r="Z328" s="299"/>
      <c r="AA328" s="299"/>
      <c r="AB328" s="299"/>
      <c r="AC328" s="299"/>
      <c r="AD328" s="299"/>
      <c r="AE328" s="299"/>
      <c r="AF328" s="299"/>
      <c r="AG328" s="299"/>
      <c r="AH328" s="299"/>
      <c r="AI328" s="299"/>
      <c r="AJ328" s="299"/>
      <c r="AK328" s="299"/>
    </row>
    <row r="329" spans="2:37" ht="13.2">
      <c r="B329" s="299"/>
      <c r="C329" s="299"/>
      <c r="D329" s="299"/>
      <c r="E329" s="299"/>
      <c r="F329" s="299"/>
      <c r="G329" s="299"/>
      <c r="H329" s="299"/>
      <c r="I329" s="299"/>
      <c r="J329" s="299"/>
      <c r="K329" s="299"/>
      <c r="L329" s="299"/>
      <c r="M329" s="299"/>
      <c r="N329" s="299"/>
      <c r="O329" s="299"/>
      <c r="P329" s="299"/>
      <c r="Q329" s="299"/>
      <c r="R329" s="299"/>
      <c r="S329" s="299"/>
      <c r="T329" s="299"/>
      <c r="U329" s="299"/>
      <c r="V329" s="299"/>
      <c r="W329" s="299"/>
      <c r="X329" s="299"/>
      <c r="Y329" s="299"/>
      <c r="Z329" s="299"/>
      <c r="AA329" s="299"/>
      <c r="AB329" s="299"/>
      <c r="AC329" s="299"/>
      <c r="AD329" s="299"/>
      <c r="AE329" s="299"/>
      <c r="AF329" s="299"/>
      <c r="AG329" s="299"/>
      <c r="AH329" s="299"/>
      <c r="AI329" s="299"/>
      <c r="AJ329" s="299"/>
      <c r="AK329" s="299"/>
    </row>
    <row r="330" spans="2:37" ht="13.2">
      <c r="B330" s="299"/>
      <c r="C330" s="299"/>
      <c r="D330" s="299"/>
      <c r="E330" s="299"/>
      <c r="F330" s="299"/>
      <c r="G330" s="299"/>
      <c r="H330" s="299"/>
      <c r="I330" s="299"/>
      <c r="J330" s="299"/>
      <c r="K330" s="299"/>
      <c r="L330" s="299"/>
      <c r="M330" s="299"/>
      <c r="N330" s="299"/>
      <c r="O330" s="299"/>
      <c r="P330" s="299"/>
      <c r="Q330" s="299"/>
      <c r="R330" s="299"/>
      <c r="S330" s="299"/>
      <c r="T330" s="299"/>
      <c r="U330" s="299"/>
      <c r="V330" s="299"/>
      <c r="W330" s="299"/>
      <c r="X330" s="299"/>
      <c r="Y330" s="299"/>
      <c r="Z330" s="299"/>
      <c r="AA330" s="299"/>
      <c r="AB330" s="299"/>
      <c r="AC330" s="299"/>
      <c r="AD330" s="299"/>
      <c r="AE330" s="299"/>
      <c r="AF330" s="299"/>
      <c r="AG330" s="299"/>
      <c r="AH330" s="299"/>
      <c r="AI330" s="299"/>
      <c r="AJ330" s="299"/>
      <c r="AK330" s="299"/>
    </row>
    <row r="331" spans="2:37" ht="13.2">
      <c r="B331" s="299"/>
      <c r="C331" s="299"/>
      <c r="D331" s="299"/>
      <c r="E331" s="299"/>
      <c r="F331" s="299"/>
      <c r="G331" s="299"/>
      <c r="H331" s="299"/>
      <c r="I331" s="299"/>
      <c r="J331" s="299"/>
      <c r="K331" s="299"/>
      <c r="L331" s="299"/>
      <c r="M331" s="299"/>
      <c r="N331" s="299"/>
      <c r="O331" s="299"/>
      <c r="P331" s="299"/>
      <c r="Q331" s="299"/>
      <c r="R331" s="299"/>
      <c r="S331" s="299"/>
      <c r="T331" s="299"/>
      <c r="U331" s="299"/>
      <c r="V331" s="299"/>
      <c r="W331" s="299"/>
      <c r="X331" s="299"/>
      <c r="Y331" s="299"/>
      <c r="Z331" s="299"/>
      <c r="AA331" s="299"/>
      <c r="AB331" s="299"/>
      <c r="AC331" s="299"/>
      <c r="AD331" s="299"/>
      <c r="AE331" s="299"/>
      <c r="AF331" s="299"/>
      <c r="AG331" s="299"/>
      <c r="AH331" s="299"/>
      <c r="AI331" s="299"/>
      <c r="AJ331" s="299"/>
      <c r="AK331" s="299"/>
    </row>
    <row r="332" spans="2:37" ht="13.2">
      <c r="B332" s="299"/>
      <c r="C332" s="299"/>
      <c r="D332" s="299"/>
      <c r="E332" s="299"/>
      <c r="F332" s="299"/>
      <c r="G332" s="299"/>
      <c r="H332" s="299"/>
      <c r="I332" s="299"/>
      <c r="J332" s="299"/>
      <c r="K332" s="299"/>
      <c r="L332" s="299"/>
      <c r="M332" s="299"/>
      <c r="N332" s="299"/>
      <c r="O332" s="299"/>
      <c r="P332" s="299"/>
      <c r="Q332" s="299"/>
      <c r="R332" s="299"/>
      <c r="S332" s="299"/>
      <c r="T332" s="299"/>
      <c r="U332" s="299"/>
      <c r="V332" s="299"/>
      <c r="W332" s="299"/>
      <c r="X332" s="299"/>
      <c r="Y332" s="299"/>
      <c r="Z332" s="299"/>
      <c r="AA332" s="299"/>
      <c r="AB332" s="299"/>
      <c r="AC332" s="299"/>
      <c r="AD332" s="299"/>
      <c r="AE332" s="299"/>
      <c r="AF332" s="299"/>
      <c r="AG332" s="299"/>
      <c r="AH332" s="299"/>
      <c r="AI332" s="299"/>
      <c r="AJ332" s="299"/>
      <c r="AK332" s="299"/>
    </row>
    <row r="333" spans="2:37" ht="13.2">
      <c r="B333" s="299"/>
      <c r="C333" s="299"/>
      <c r="D333" s="299"/>
      <c r="E333" s="299"/>
      <c r="F333" s="299"/>
      <c r="G333" s="299"/>
      <c r="H333" s="299"/>
      <c r="I333" s="299"/>
      <c r="J333" s="299"/>
      <c r="K333" s="299"/>
      <c r="L333" s="299"/>
      <c r="M333" s="299"/>
      <c r="N333" s="299"/>
      <c r="O333" s="299"/>
      <c r="P333" s="299"/>
      <c r="Q333" s="299"/>
      <c r="R333" s="299"/>
      <c r="S333" s="299"/>
      <c r="T333" s="299"/>
      <c r="U333" s="299"/>
      <c r="V333" s="299"/>
      <c r="W333" s="299"/>
      <c r="X333" s="299"/>
      <c r="Y333" s="299"/>
      <c r="Z333" s="299"/>
      <c r="AA333" s="299"/>
      <c r="AB333" s="299"/>
      <c r="AC333" s="299"/>
      <c r="AD333" s="299"/>
      <c r="AE333" s="299"/>
      <c r="AF333" s="299"/>
      <c r="AG333" s="299"/>
      <c r="AH333" s="299"/>
      <c r="AI333" s="299"/>
      <c r="AJ333" s="299"/>
      <c r="AK333" s="299"/>
    </row>
    <row r="334" spans="2:37" ht="13.2">
      <c r="B334" s="299"/>
      <c r="C334" s="299"/>
      <c r="D334" s="299"/>
      <c r="E334" s="299"/>
      <c r="F334" s="299"/>
      <c r="G334" s="299"/>
      <c r="H334" s="299"/>
      <c r="I334" s="299"/>
      <c r="J334" s="299"/>
      <c r="K334" s="299"/>
      <c r="L334" s="299"/>
      <c r="M334" s="299"/>
      <c r="N334" s="299"/>
      <c r="O334" s="299"/>
      <c r="P334" s="299"/>
      <c r="Q334" s="299"/>
      <c r="R334" s="299"/>
      <c r="S334" s="299"/>
      <c r="T334" s="299"/>
      <c r="U334" s="299"/>
      <c r="V334" s="299"/>
      <c r="W334" s="299"/>
      <c r="X334" s="299"/>
      <c r="Y334" s="299"/>
      <c r="Z334" s="299"/>
      <c r="AA334" s="299"/>
      <c r="AB334" s="299"/>
      <c r="AC334" s="299"/>
      <c r="AD334" s="299"/>
      <c r="AE334" s="299"/>
      <c r="AF334" s="299"/>
      <c r="AG334" s="299"/>
      <c r="AH334" s="299"/>
      <c r="AI334" s="299"/>
      <c r="AJ334" s="299"/>
      <c r="AK334" s="299"/>
    </row>
    <row r="335" spans="2:37" ht="13.2">
      <c r="B335" s="299"/>
      <c r="C335" s="299"/>
      <c r="D335" s="299"/>
      <c r="E335" s="299"/>
      <c r="F335" s="299"/>
      <c r="G335" s="299"/>
      <c r="H335" s="299"/>
      <c r="I335" s="299"/>
      <c r="J335" s="299"/>
      <c r="K335" s="299"/>
      <c r="L335" s="299"/>
      <c r="M335" s="299"/>
      <c r="N335" s="299"/>
      <c r="O335" s="299"/>
      <c r="P335" s="299"/>
      <c r="Q335" s="299"/>
      <c r="R335" s="299"/>
      <c r="S335" s="299"/>
      <c r="T335" s="299"/>
      <c r="U335" s="299"/>
      <c r="V335" s="299"/>
      <c r="W335" s="299"/>
      <c r="X335" s="299"/>
      <c r="Y335" s="299"/>
      <c r="Z335" s="299"/>
      <c r="AA335" s="299"/>
      <c r="AB335" s="299"/>
      <c r="AC335" s="299"/>
      <c r="AD335" s="299"/>
      <c r="AE335" s="299"/>
      <c r="AF335" s="299"/>
      <c r="AG335" s="299"/>
      <c r="AH335" s="299"/>
      <c r="AI335" s="299"/>
      <c r="AJ335" s="299"/>
      <c r="AK335" s="299"/>
    </row>
    <row r="336" spans="2:37" ht="13.2">
      <c r="B336" s="299"/>
      <c r="C336" s="299"/>
      <c r="D336" s="299"/>
      <c r="E336" s="299"/>
      <c r="F336" s="299"/>
      <c r="G336" s="299"/>
      <c r="H336" s="299"/>
      <c r="I336" s="299"/>
      <c r="J336" s="299"/>
      <c r="K336" s="299"/>
      <c r="L336" s="299"/>
      <c r="M336" s="299"/>
      <c r="N336" s="299"/>
      <c r="O336" s="299"/>
      <c r="P336" s="299"/>
      <c r="Q336" s="299"/>
      <c r="R336" s="299"/>
      <c r="S336" s="299"/>
      <c r="T336" s="299"/>
      <c r="U336" s="299"/>
      <c r="V336" s="299"/>
      <c r="W336" s="299"/>
      <c r="X336" s="299"/>
      <c r="Y336" s="299"/>
      <c r="Z336" s="299"/>
      <c r="AA336" s="299"/>
      <c r="AB336" s="299"/>
      <c r="AC336" s="299"/>
      <c r="AD336" s="299"/>
      <c r="AE336" s="299"/>
      <c r="AF336" s="299"/>
      <c r="AG336" s="299"/>
      <c r="AH336" s="299"/>
      <c r="AI336" s="299"/>
      <c r="AJ336" s="299"/>
      <c r="AK336" s="299"/>
    </row>
    <row r="337" spans="2:37" ht="13.2">
      <c r="B337" s="299"/>
      <c r="C337" s="299"/>
      <c r="D337" s="299"/>
      <c r="E337" s="299"/>
      <c r="F337" s="299"/>
      <c r="G337" s="299"/>
      <c r="H337" s="299"/>
      <c r="I337" s="299"/>
      <c r="J337" s="299"/>
      <c r="K337" s="299"/>
      <c r="L337" s="299"/>
      <c r="M337" s="299"/>
      <c r="N337" s="299"/>
      <c r="O337" s="299"/>
      <c r="P337" s="299"/>
      <c r="Q337" s="299"/>
      <c r="R337" s="299"/>
      <c r="S337" s="299"/>
      <c r="T337" s="299"/>
      <c r="U337" s="299"/>
      <c r="V337" s="299"/>
      <c r="W337" s="299"/>
      <c r="X337" s="299"/>
      <c r="Y337" s="299"/>
      <c r="Z337" s="299"/>
      <c r="AA337" s="299"/>
      <c r="AB337" s="299"/>
      <c r="AC337" s="299"/>
      <c r="AD337" s="299"/>
      <c r="AE337" s="299"/>
      <c r="AF337" s="299"/>
      <c r="AG337" s="299"/>
      <c r="AH337" s="299"/>
      <c r="AI337" s="299"/>
      <c r="AJ337" s="299"/>
      <c r="AK337" s="299"/>
    </row>
    <row r="338" spans="2:37" ht="13.2">
      <c r="B338" s="299"/>
      <c r="C338" s="299"/>
      <c r="D338" s="299"/>
      <c r="E338" s="299"/>
      <c r="F338" s="299"/>
      <c r="G338" s="299"/>
      <c r="H338" s="299"/>
      <c r="I338" s="299"/>
      <c r="J338" s="299"/>
      <c r="K338" s="299"/>
      <c r="L338" s="299"/>
      <c r="M338" s="299"/>
      <c r="N338" s="299"/>
      <c r="O338" s="299"/>
      <c r="P338" s="299"/>
      <c r="Q338" s="299"/>
      <c r="R338" s="299"/>
      <c r="S338" s="299"/>
      <c r="T338" s="299"/>
      <c r="U338" s="299"/>
      <c r="V338" s="299"/>
      <c r="W338" s="299"/>
      <c r="X338" s="299"/>
      <c r="Y338" s="299"/>
      <c r="Z338" s="299"/>
      <c r="AA338" s="299"/>
      <c r="AB338" s="299"/>
      <c r="AC338" s="299"/>
      <c r="AD338" s="299"/>
      <c r="AE338" s="299"/>
      <c r="AF338" s="299"/>
      <c r="AG338" s="299"/>
      <c r="AH338" s="299"/>
      <c r="AI338" s="299"/>
      <c r="AJ338" s="299"/>
      <c r="AK338" s="299"/>
    </row>
    <row r="339" spans="2:37" ht="13.2">
      <c r="B339" s="299"/>
      <c r="C339" s="299"/>
      <c r="D339" s="299"/>
      <c r="E339" s="299"/>
      <c r="F339" s="299"/>
      <c r="G339" s="299"/>
      <c r="H339" s="299"/>
      <c r="I339" s="299"/>
      <c r="J339" s="299"/>
      <c r="K339" s="299"/>
      <c r="L339" s="299"/>
      <c r="M339" s="299"/>
      <c r="N339" s="299"/>
      <c r="O339" s="299"/>
      <c r="P339" s="299"/>
      <c r="Q339" s="299"/>
      <c r="R339" s="299"/>
      <c r="S339" s="299"/>
      <c r="T339" s="299"/>
      <c r="U339" s="299"/>
      <c r="V339" s="299"/>
      <c r="W339" s="299"/>
      <c r="X339" s="299"/>
      <c r="Y339" s="299"/>
      <c r="Z339" s="299"/>
      <c r="AA339" s="299"/>
      <c r="AB339" s="299"/>
      <c r="AC339" s="299"/>
      <c r="AD339" s="299"/>
      <c r="AE339" s="299"/>
      <c r="AF339" s="299"/>
      <c r="AG339" s="299"/>
      <c r="AH339" s="299"/>
      <c r="AI339" s="299"/>
      <c r="AJ339" s="299"/>
      <c r="AK339" s="299"/>
    </row>
    <row r="340" spans="2:37" ht="13.2">
      <c r="B340" s="299"/>
      <c r="C340" s="299"/>
      <c r="D340" s="299"/>
      <c r="E340" s="299"/>
      <c r="F340" s="299"/>
      <c r="G340" s="299"/>
      <c r="H340" s="299"/>
      <c r="I340" s="299"/>
      <c r="J340" s="299"/>
      <c r="K340" s="299"/>
      <c r="L340" s="299"/>
      <c r="M340" s="299"/>
      <c r="N340" s="299"/>
      <c r="O340" s="299"/>
      <c r="P340" s="299"/>
      <c r="Q340" s="299"/>
      <c r="R340" s="299"/>
      <c r="S340" s="299"/>
      <c r="T340" s="299"/>
      <c r="U340" s="299"/>
      <c r="V340" s="299"/>
      <c r="W340" s="299"/>
      <c r="X340" s="299"/>
      <c r="Y340" s="299"/>
      <c r="Z340" s="299"/>
      <c r="AA340" s="299"/>
      <c r="AB340" s="299"/>
      <c r="AC340" s="299"/>
      <c r="AD340" s="299"/>
      <c r="AE340" s="299"/>
      <c r="AF340" s="299"/>
      <c r="AG340" s="299"/>
      <c r="AH340" s="299"/>
      <c r="AI340" s="299"/>
      <c r="AJ340" s="299"/>
      <c r="AK340" s="299"/>
    </row>
    <row r="341" spans="2:37" ht="13.2">
      <c r="B341" s="299"/>
      <c r="C341" s="299"/>
      <c r="D341" s="299"/>
      <c r="E341" s="299"/>
      <c r="F341" s="299"/>
      <c r="G341" s="299"/>
      <c r="H341" s="299"/>
      <c r="I341" s="299"/>
      <c r="J341" s="299"/>
      <c r="K341" s="299"/>
      <c r="L341" s="299"/>
      <c r="M341" s="299"/>
      <c r="N341" s="299"/>
      <c r="O341" s="299"/>
      <c r="P341" s="299"/>
      <c r="Q341" s="299"/>
      <c r="R341" s="299"/>
      <c r="S341" s="299"/>
      <c r="T341" s="299"/>
      <c r="U341" s="299"/>
      <c r="V341" s="299"/>
      <c r="W341" s="299"/>
      <c r="X341" s="299"/>
      <c r="Y341" s="299"/>
      <c r="Z341" s="299"/>
      <c r="AA341" s="299"/>
      <c r="AB341" s="299"/>
      <c r="AC341" s="299"/>
      <c r="AD341" s="299"/>
      <c r="AE341" s="299"/>
      <c r="AF341" s="299"/>
      <c r="AG341" s="299"/>
      <c r="AH341" s="299"/>
      <c r="AI341" s="299"/>
      <c r="AJ341" s="299"/>
      <c r="AK341" s="299"/>
    </row>
    <row r="342" spans="2:37" ht="13.2">
      <c r="B342" s="299"/>
      <c r="C342" s="299"/>
      <c r="D342" s="299"/>
      <c r="E342" s="299"/>
      <c r="F342" s="299"/>
      <c r="G342" s="299"/>
      <c r="H342" s="299"/>
      <c r="I342" s="299"/>
      <c r="J342" s="299"/>
      <c r="K342" s="299"/>
      <c r="L342" s="299"/>
      <c r="M342" s="299"/>
      <c r="N342" s="299"/>
      <c r="O342" s="299"/>
      <c r="P342" s="299"/>
      <c r="Q342" s="299"/>
      <c r="R342" s="299"/>
      <c r="S342" s="299"/>
      <c r="T342" s="299"/>
      <c r="U342" s="299"/>
      <c r="V342" s="299"/>
      <c r="W342" s="299"/>
      <c r="X342" s="299"/>
      <c r="Y342" s="299"/>
      <c r="Z342" s="299"/>
      <c r="AA342" s="299"/>
      <c r="AB342" s="299"/>
      <c r="AC342" s="299"/>
      <c r="AD342" s="299"/>
      <c r="AE342" s="299"/>
      <c r="AF342" s="299"/>
      <c r="AG342" s="299"/>
      <c r="AH342" s="299"/>
      <c r="AI342" s="299"/>
      <c r="AJ342" s="299"/>
      <c r="AK342" s="299"/>
    </row>
    <row r="343" spans="2:37" ht="13.2">
      <c r="B343" s="299"/>
      <c r="C343" s="299"/>
      <c r="D343" s="299"/>
      <c r="E343" s="299"/>
      <c r="F343" s="299"/>
      <c r="G343" s="299"/>
      <c r="H343" s="299"/>
      <c r="I343" s="299"/>
      <c r="J343" s="299"/>
      <c r="K343" s="299"/>
      <c r="L343" s="299"/>
      <c r="M343" s="299"/>
      <c r="N343" s="299"/>
      <c r="O343" s="299"/>
      <c r="P343" s="299"/>
      <c r="Q343" s="299"/>
      <c r="R343" s="299"/>
      <c r="S343" s="299"/>
      <c r="T343" s="299"/>
      <c r="U343" s="299"/>
      <c r="V343" s="299"/>
      <c r="W343" s="299"/>
      <c r="X343" s="299"/>
      <c r="Y343" s="299"/>
      <c r="Z343" s="299"/>
      <c r="AA343" s="299"/>
      <c r="AB343" s="299"/>
      <c r="AC343" s="299"/>
      <c r="AD343" s="299"/>
      <c r="AE343" s="299"/>
      <c r="AF343" s="299"/>
      <c r="AG343" s="299"/>
      <c r="AH343" s="299"/>
      <c r="AI343" s="299"/>
      <c r="AJ343" s="299"/>
      <c r="AK343" s="299"/>
    </row>
    <row r="344" spans="2:37" ht="13.2">
      <c r="B344" s="299"/>
      <c r="C344" s="299"/>
      <c r="D344" s="299"/>
      <c r="E344" s="299"/>
      <c r="F344" s="299"/>
      <c r="G344" s="299"/>
      <c r="H344" s="299"/>
      <c r="I344" s="299"/>
      <c r="J344" s="299"/>
      <c r="K344" s="299"/>
      <c r="L344" s="299"/>
      <c r="M344" s="299"/>
      <c r="N344" s="299"/>
      <c r="O344" s="299"/>
      <c r="P344" s="299"/>
      <c r="Q344" s="299"/>
      <c r="R344" s="299"/>
      <c r="S344" s="299"/>
      <c r="T344" s="299"/>
      <c r="U344" s="299"/>
      <c r="V344" s="299"/>
      <c r="W344" s="299"/>
      <c r="X344" s="299"/>
      <c r="Y344" s="299"/>
      <c r="Z344" s="299"/>
      <c r="AA344" s="299"/>
      <c r="AB344" s="299"/>
      <c r="AC344" s="299"/>
      <c r="AD344" s="299"/>
      <c r="AE344" s="299"/>
      <c r="AF344" s="299"/>
      <c r="AG344" s="299"/>
      <c r="AH344" s="299"/>
      <c r="AI344" s="299"/>
      <c r="AJ344" s="299"/>
      <c r="AK344" s="299"/>
    </row>
    <row r="345" spans="2:37" ht="13.2">
      <c r="B345" s="299"/>
      <c r="C345" s="299"/>
      <c r="D345" s="299"/>
      <c r="E345" s="299"/>
      <c r="F345" s="299"/>
      <c r="G345" s="299"/>
      <c r="H345" s="299"/>
      <c r="I345" s="299"/>
      <c r="J345" s="299"/>
      <c r="K345" s="299"/>
      <c r="L345" s="299"/>
      <c r="M345" s="299"/>
      <c r="N345" s="299"/>
      <c r="O345" s="299"/>
      <c r="P345" s="299"/>
      <c r="Q345" s="299"/>
      <c r="R345" s="299"/>
      <c r="S345" s="299"/>
      <c r="T345" s="299"/>
      <c r="U345" s="299"/>
      <c r="V345" s="299"/>
      <c r="W345" s="299"/>
      <c r="X345" s="299"/>
      <c r="Y345" s="299"/>
      <c r="Z345" s="299"/>
      <c r="AA345" s="299"/>
      <c r="AB345" s="299"/>
      <c r="AC345" s="299"/>
      <c r="AD345" s="299"/>
      <c r="AE345" s="299"/>
      <c r="AF345" s="299"/>
      <c r="AG345" s="299"/>
      <c r="AH345" s="299"/>
      <c r="AI345" s="299"/>
      <c r="AJ345" s="299"/>
      <c r="AK345" s="299"/>
    </row>
    <row r="346" spans="2:37" ht="13.2">
      <c r="B346" s="299"/>
      <c r="C346" s="299"/>
      <c r="D346" s="299"/>
      <c r="E346" s="299"/>
      <c r="F346" s="299"/>
      <c r="G346" s="299"/>
      <c r="H346" s="299"/>
      <c r="I346" s="299"/>
      <c r="J346" s="299"/>
      <c r="K346" s="299"/>
      <c r="L346" s="299"/>
      <c r="M346" s="299"/>
      <c r="N346" s="299"/>
      <c r="O346" s="299"/>
      <c r="P346" s="299"/>
      <c r="Q346" s="299"/>
      <c r="R346" s="299"/>
      <c r="S346" s="299"/>
      <c r="T346" s="299"/>
      <c r="U346" s="299"/>
      <c r="V346" s="299"/>
      <c r="W346" s="299"/>
      <c r="X346" s="299"/>
      <c r="Y346" s="299"/>
      <c r="Z346" s="299"/>
      <c r="AA346" s="299"/>
      <c r="AB346" s="299"/>
      <c r="AC346" s="299"/>
      <c r="AD346" s="299"/>
      <c r="AE346" s="299"/>
      <c r="AF346" s="299"/>
      <c r="AG346" s="299"/>
      <c r="AH346" s="299"/>
      <c r="AI346" s="299"/>
      <c r="AJ346" s="299"/>
      <c r="AK346" s="299"/>
    </row>
    <row r="347" spans="2:37" ht="13.2">
      <c r="B347" s="299"/>
      <c r="C347" s="299"/>
      <c r="D347" s="299"/>
      <c r="E347" s="299"/>
      <c r="F347" s="299"/>
      <c r="G347" s="299"/>
      <c r="H347" s="299"/>
      <c r="I347" s="299"/>
      <c r="J347" s="299"/>
      <c r="K347" s="299"/>
      <c r="L347" s="299"/>
      <c r="M347" s="299"/>
      <c r="N347" s="299"/>
      <c r="O347" s="299"/>
      <c r="P347" s="299"/>
      <c r="Q347" s="299"/>
      <c r="R347" s="299"/>
      <c r="S347" s="299"/>
      <c r="T347" s="299"/>
      <c r="U347" s="299"/>
      <c r="V347" s="299"/>
      <c r="W347" s="299"/>
      <c r="X347" s="299"/>
      <c r="Y347" s="299"/>
      <c r="Z347" s="299"/>
      <c r="AA347" s="299"/>
      <c r="AB347" s="299"/>
      <c r="AC347" s="299"/>
      <c r="AD347" s="299"/>
      <c r="AE347" s="299"/>
      <c r="AF347" s="299"/>
      <c r="AG347" s="299"/>
      <c r="AH347" s="299"/>
      <c r="AI347" s="299"/>
      <c r="AJ347" s="299"/>
      <c r="AK347" s="299"/>
    </row>
    <row r="348" spans="2:37" ht="13.2">
      <c r="B348" s="299"/>
      <c r="C348" s="299"/>
      <c r="D348" s="299"/>
      <c r="E348" s="299"/>
      <c r="F348" s="299"/>
      <c r="G348" s="299"/>
      <c r="H348" s="299"/>
      <c r="I348" s="299"/>
      <c r="J348" s="299"/>
      <c r="K348" s="299"/>
      <c r="L348" s="299"/>
      <c r="M348" s="299"/>
      <c r="N348" s="299"/>
      <c r="O348" s="299"/>
      <c r="P348" s="299"/>
      <c r="Q348" s="299"/>
      <c r="R348" s="299"/>
      <c r="S348" s="299"/>
      <c r="T348" s="299"/>
      <c r="U348" s="299"/>
      <c r="V348" s="299"/>
      <c r="W348" s="299"/>
      <c r="X348" s="299"/>
      <c r="Y348" s="299"/>
      <c r="Z348" s="299"/>
      <c r="AA348" s="299"/>
      <c r="AB348" s="299"/>
      <c r="AC348" s="299"/>
      <c r="AD348" s="299"/>
      <c r="AE348" s="299"/>
      <c r="AF348" s="299"/>
      <c r="AG348" s="299"/>
      <c r="AH348" s="299"/>
      <c r="AI348" s="299"/>
      <c r="AJ348" s="299"/>
      <c r="AK348" s="299"/>
    </row>
    <row r="349" spans="2:37" ht="13.2">
      <c r="B349" s="299"/>
      <c r="C349" s="299"/>
      <c r="D349" s="299"/>
      <c r="E349" s="299"/>
      <c r="F349" s="299"/>
      <c r="G349" s="299"/>
      <c r="H349" s="299"/>
      <c r="I349" s="299"/>
      <c r="J349" s="299"/>
      <c r="K349" s="299"/>
      <c r="L349" s="299"/>
      <c r="M349" s="299"/>
      <c r="N349" s="299"/>
      <c r="O349" s="299"/>
      <c r="P349" s="299"/>
      <c r="Q349" s="299"/>
      <c r="R349" s="299"/>
      <c r="S349" s="299"/>
      <c r="T349" s="299"/>
      <c r="U349" s="299"/>
      <c r="V349" s="299"/>
      <c r="W349" s="299"/>
      <c r="X349" s="299"/>
      <c r="Y349" s="299"/>
      <c r="Z349" s="299"/>
      <c r="AA349" s="299"/>
      <c r="AB349" s="299"/>
      <c r="AC349" s="299"/>
      <c r="AD349" s="299"/>
      <c r="AE349" s="299"/>
      <c r="AF349" s="299"/>
      <c r="AG349" s="299"/>
      <c r="AH349" s="299"/>
      <c r="AI349" s="299"/>
      <c r="AJ349" s="299"/>
      <c r="AK349" s="299"/>
    </row>
    <row r="350" spans="2:37" ht="13.2">
      <c r="B350" s="299"/>
      <c r="C350" s="299"/>
      <c r="D350" s="299"/>
      <c r="E350" s="299"/>
      <c r="F350" s="299"/>
      <c r="G350" s="299"/>
      <c r="H350" s="299"/>
      <c r="I350" s="299"/>
      <c r="J350" s="299"/>
      <c r="K350" s="299"/>
      <c r="L350" s="299"/>
      <c r="M350" s="299"/>
      <c r="N350" s="299"/>
      <c r="O350" s="299"/>
      <c r="P350" s="299"/>
      <c r="Q350" s="299"/>
      <c r="R350" s="299"/>
      <c r="S350" s="299"/>
      <c r="T350" s="299"/>
      <c r="U350" s="299"/>
      <c r="V350" s="299"/>
      <c r="W350" s="299"/>
      <c r="X350" s="299"/>
      <c r="Y350" s="299"/>
      <c r="Z350" s="299"/>
      <c r="AA350" s="299"/>
      <c r="AB350" s="299"/>
      <c r="AC350" s="299"/>
      <c r="AD350" s="299"/>
      <c r="AE350" s="299"/>
      <c r="AF350" s="299"/>
      <c r="AG350" s="299"/>
      <c r="AH350" s="299"/>
      <c r="AI350" s="299"/>
      <c r="AJ350" s="299"/>
      <c r="AK350" s="299"/>
    </row>
    <row r="351" spans="2:37" ht="13.2">
      <c r="B351" s="299"/>
      <c r="C351" s="299"/>
      <c r="D351" s="299"/>
      <c r="E351" s="299"/>
      <c r="F351" s="299"/>
      <c r="G351" s="299"/>
      <c r="H351" s="299"/>
      <c r="I351" s="299"/>
      <c r="J351" s="299"/>
      <c r="K351" s="299"/>
      <c r="L351" s="299"/>
      <c r="M351" s="299"/>
      <c r="N351" s="299"/>
      <c r="O351" s="299"/>
      <c r="P351" s="299"/>
      <c r="Q351" s="299"/>
      <c r="R351" s="299"/>
      <c r="S351" s="299"/>
      <c r="T351" s="299"/>
      <c r="U351" s="299"/>
      <c r="V351" s="299"/>
      <c r="W351" s="299"/>
      <c r="X351" s="299"/>
      <c r="Y351" s="299"/>
      <c r="Z351" s="299"/>
      <c r="AA351" s="299"/>
      <c r="AB351" s="299"/>
      <c r="AC351" s="299"/>
      <c r="AD351" s="299"/>
      <c r="AE351" s="299"/>
      <c r="AF351" s="299"/>
      <c r="AG351" s="299"/>
      <c r="AH351" s="299"/>
      <c r="AI351" s="299"/>
      <c r="AJ351" s="299"/>
      <c r="AK351" s="299"/>
    </row>
    <row r="352" spans="2:37" ht="13.2">
      <c r="B352" s="299"/>
      <c r="C352" s="299"/>
      <c r="D352" s="299"/>
      <c r="E352" s="299"/>
      <c r="F352" s="299"/>
      <c r="G352" s="299"/>
      <c r="H352" s="299"/>
      <c r="I352" s="299"/>
      <c r="J352" s="299"/>
      <c r="K352" s="299"/>
      <c r="L352" s="299"/>
      <c r="M352" s="299"/>
      <c r="N352" s="299"/>
      <c r="O352" s="299"/>
      <c r="P352" s="299"/>
      <c r="Q352" s="299"/>
      <c r="R352" s="299"/>
      <c r="S352" s="299"/>
      <c r="T352" s="299"/>
      <c r="U352" s="299"/>
      <c r="V352" s="299"/>
      <c r="W352" s="299"/>
      <c r="X352" s="299"/>
      <c r="Y352" s="299"/>
      <c r="Z352" s="299"/>
      <c r="AA352" s="299"/>
      <c r="AB352" s="299"/>
      <c r="AC352" s="299"/>
      <c r="AD352" s="299"/>
      <c r="AE352" s="299"/>
      <c r="AF352" s="299"/>
      <c r="AG352" s="299"/>
      <c r="AH352" s="299"/>
      <c r="AI352" s="299"/>
      <c r="AJ352" s="299"/>
      <c r="AK352" s="299"/>
    </row>
    <row r="353" spans="2:37" ht="13.2">
      <c r="B353" s="299"/>
      <c r="C353" s="299"/>
      <c r="D353" s="299"/>
      <c r="E353" s="299"/>
      <c r="F353" s="299"/>
      <c r="G353" s="299"/>
      <c r="H353" s="299"/>
      <c r="I353" s="299"/>
      <c r="J353" s="299"/>
      <c r="K353" s="299"/>
      <c r="L353" s="299"/>
      <c r="M353" s="299"/>
      <c r="N353" s="299"/>
      <c r="O353" s="299"/>
      <c r="P353" s="299"/>
      <c r="Q353" s="299"/>
      <c r="R353" s="299"/>
      <c r="S353" s="299"/>
      <c r="T353" s="299"/>
      <c r="U353" s="299"/>
      <c r="V353" s="299"/>
      <c r="W353" s="299"/>
      <c r="X353" s="299"/>
      <c r="Y353" s="299"/>
      <c r="Z353" s="299"/>
      <c r="AA353" s="299"/>
      <c r="AB353" s="299"/>
      <c r="AC353" s="299"/>
      <c r="AD353" s="299"/>
      <c r="AE353" s="299"/>
      <c r="AF353" s="299"/>
      <c r="AG353" s="299"/>
      <c r="AH353" s="299"/>
      <c r="AI353" s="299"/>
      <c r="AJ353" s="299"/>
      <c r="AK353" s="299"/>
    </row>
    <row r="354" spans="2:37" ht="13.2">
      <c r="B354" s="299"/>
      <c r="C354" s="299"/>
      <c r="D354" s="299"/>
      <c r="E354" s="299"/>
      <c r="F354" s="299"/>
      <c r="G354" s="299"/>
      <c r="H354" s="299"/>
      <c r="I354" s="299"/>
      <c r="J354" s="299"/>
      <c r="K354" s="299"/>
      <c r="L354" s="299"/>
      <c r="M354" s="299"/>
      <c r="N354" s="299"/>
      <c r="O354" s="299"/>
      <c r="P354" s="299"/>
      <c r="Q354" s="299"/>
      <c r="R354" s="299"/>
      <c r="S354" s="299"/>
      <c r="T354" s="299"/>
      <c r="U354" s="299"/>
      <c r="V354" s="299"/>
      <c r="W354" s="299"/>
      <c r="X354" s="299"/>
      <c r="Y354" s="299"/>
      <c r="Z354" s="299"/>
      <c r="AA354" s="299"/>
      <c r="AB354" s="299"/>
      <c r="AC354" s="299"/>
      <c r="AD354" s="299"/>
      <c r="AE354" s="299"/>
      <c r="AF354" s="299"/>
      <c r="AG354" s="299"/>
      <c r="AH354" s="299"/>
      <c r="AI354" s="299"/>
      <c r="AJ354" s="299"/>
      <c r="AK354" s="299"/>
    </row>
    <row r="355" spans="2:37" ht="13.2">
      <c r="B355" s="299"/>
      <c r="C355" s="299"/>
      <c r="D355" s="299"/>
      <c r="E355" s="299"/>
      <c r="F355" s="299"/>
      <c r="G355" s="299"/>
      <c r="H355" s="299"/>
      <c r="I355" s="299"/>
      <c r="J355" s="299"/>
      <c r="K355" s="299"/>
      <c r="L355" s="299"/>
      <c r="M355" s="299"/>
      <c r="N355" s="299"/>
      <c r="O355" s="299"/>
      <c r="P355" s="299"/>
      <c r="Q355" s="299"/>
      <c r="R355" s="299"/>
      <c r="S355" s="299"/>
      <c r="T355" s="299"/>
      <c r="U355" s="299"/>
      <c r="V355" s="299"/>
      <c r="W355" s="299"/>
      <c r="X355" s="299"/>
      <c r="Y355" s="299"/>
      <c r="Z355" s="299"/>
      <c r="AA355" s="299"/>
      <c r="AB355" s="299"/>
      <c r="AC355" s="299"/>
      <c r="AD355" s="299"/>
      <c r="AE355" s="299"/>
      <c r="AF355" s="299"/>
      <c r="AG355" s="299"/>
      <c r="AH355" s="299"/>
      <c r="AI355" s="299"/>
      <c r="AJ355" s="299"/>
      <c r="AK355" s="299"/>
    </row>
    <row r="356" spans="2:37" ht="13.2">
      <c r="B356" s="299"/>
      <c r="C356" s="299"/>
      <c r="D356" s="299"/>
      <c r="E356" s="299"/>
      <c r="F356" s="299"/>
      <c r="G356" s="299"/>
      <c r="H356" s="299"/>
      <c r="I356" s="299"/>
      <c r="J356" s="299"/>
      <c r="K356" s="299"/>
      <c r="L356" s="299"/>
      <c r="M356" s="299"/>
      <c r="N356" s="299"/>
      <c r="O356" s="299"/>
      <c r="P356" s="299"/>
      <c r="Q356" s="299"/>
      <c r="R356" s="299"/>
      <c r="S356" s="299"/>
      <c r="T356" s="299"/>
      <c r="U356" s="299"/>
      <c r="V356" s="299"/>
      <c r="W356" s="299"/>
      <c r="X356" s="299"/>
      <c r="Y356" s="299"/>
      <c r="Z356" s="299"/>
      <c r="AA356" s="299"/>
      <c r="AB356" s="299"/>
      <c r="AC356" s="299"/>
      <c r="AD356" s="299"/>
      <c r="AE356" s="299"/>
      <c r="AF356" s="299"/>
      <c r="AG356" s="299"/>
      <c r="AH356" s="299"/>
      <c r="AI356" s="299"/>
      <c r="AJ356" s="299"/>
      <c r="AK356" s="299"/>
    </row>
    <row r="357" spans="2:37" ht="13.2">
      <c r="B357" s="299"/>
      <c r="C357" s="299"/>
      <c r="D357" s="299"/>
      <c r="E357" s="299"/>
      <c r="F357" s="299"/>
      <c r="G357" s="299"/>
      <c r="H357" s="299"/>
      <c r="I357" s="299"/>
      <c r="J357" s="299"/>
      <c r="K357" s="299"/>
      <c r="L357" s="299"/>
      <c r="M357" s="299"/>
      <c r="N357" s="299"/>
      <c r="O357" s="299"/>
      <c r="P357" s="299"/>
      <c r="Q357" s="299"/>
      <c r="R357" s="299"/>
      <c r="S357" s="299"/>
      <c r="T357" s="299"/>
      <c r="U357" s="299"/>
      <c r="V357" s="299"/>
      <c r="W357" s="299"/>
      <c r="X357" s="299"/>
      <c r="Y357" s="299"/>
      <c r="Z357" s="299"/>
      <c r="AA357" s="299"/>
      <c r="AB357" s="299"/>
      <c r="AC357" s="299"/>
      <c r="AD357" s="299"/>
      <c r="AE357" s="299"/>
      <c r="AF357" s="299"/>
      <c r="AG357" s="299"/>
      <c r="AH357" s="299"/>
      <c r="AI357" s="299"/>
      <c r="AJ357" s="299"/>
      <c r="AK357" s="299"/>
    </row>
    <row r="358" spans="2:37" ht="13.2">
      <c r="B358" s="299"/>
      <c r="C358" s="299"/>
      <c r="D358" s="299"/>
      <c r="E358" s="299"/>
      <c r="F358" s="299"/>
      <c r="G358" s="299"/>
      <c r="H358" s="299"/>
      <c r="I358" s="299"/>
      <c r="J358" s="299"/>
      <c r="K358" s="299"/>
      <c r="L358" s="299"/>
      <c r="M358" s="299"/>
      <c r="N358" s="299"/>
      <c r="O358" s="299"/>
      <c r="P358" s="299"/>
      <c r="Q358" s="299"/>
      <c r="R358" s="299"/>
      <c r="S358" s="299"/>
      <c r="T358" s="299"/>
      <c r="U358" s="299"/>
      <c r="V358" s="299"/>
      <c r="W358" s="299"/>
      <c r="X358" s="299"/>
      <c r="Y358" s="299"/>
      <c r="Z358" s="299"/>
      <c r="AA358" s="299"/>
      <c r="AB358" s="299"/>
      <c r="AC358" s="299"/>
      <c r="AD358" s="299"/>
      <c r="AE358" s="299"/>
      <c r="AF358" s="299"/>
      <c r="AG358" s="299"/>
      <c r="AH358" s="299"/>
      <c r="AI358" s="299"/>
      <c r="AJ358" s="299"/>
      <c r="AK358" s="299"/>
    </row>
    <row r="359" spans="2:37" ht="13.2">
      <c r="B359" s="299"/>
      <c r="C359" s="299"/>
      <c r="D359" s="299"/>
      <c r="E359" s="299"/>
      <c r="F359" s="299"/>
      <c r="G359" s="299"/>
      <c r="H359" s="299"/>
      <c r="I359" s="299"/>
      <c r="J359" s="299"/>
      <c r="K359" s="299"/>
      <c r="L359" s="299"/>
      <c r="M359" s="299"/>
      <c r="N359" s="299"/>
      <c r="O359" s="299"/>
      <c r="P359" s="299"/>
      <c r="Q359" s="299"/>
      <c r="R359" s="299"/>
      <c r="S359" s="299"/>
      <c r="T359" s="299"/>
      <c r="U359" s="299"/>
      <c r="V359" s="299"/>
      <c r="W359" s="299"/>
      <c r="X359" s="299"/>
      <c r="Y359" s="299"/>
      <c r="Z359" s="299"/>
      <c r="AA359" s="299"/>
      <c r="AB359" s="299"/>
      <c r="AC359" s="299"/>
      <c r="AD359" s="299"/>
      <c r="AE359" s="299"/>
      <c r="AF359" s="299"/>
      <c r="AG359" s="299"/>
      <c r="AH359" s="299"/>
      <c r="AI359" s="299"/>
      <c r="AJ359" s="299"/>
      <c r="AK359" s="299"/>
    </row>
    <row r="360" spans="2:37" ht="13.2">
      <c r="B360" s="299"/>
      <c r="C360" s="299"/>
      <c r="D360" s="299"/>
      <c r="E360" s="299"/>
      <c r="F360" s="299"/>
      <c r="G360" s="299"/>
      <c r="H360" s="299"/>
      <c r="I360" s="299"/>
      <c r="J360" s="299"/>
      <c r="K360" s="299"/>
      <c r="L360" s="299"/>
      <c r="M360" s="299"/>
      <c r="N360" s="299"/>
      <c r="O360" s="299"/>
      <c r="P360" s="299"/>
      <c r="Q360" s="299"/>
      <c r="R360" s="299"/>
      <c r="S360" s="299"/>
      <c r="T360" s="299"/>
      <c r="U360" s="299"/>
      <c r="V360" s="299"/>
      <c r="W360" s="299"/>
      <c r="X360" s="299"/>
      <c r="Y360" s="299"/>
      <c r="Z360" s="299"/>
      <c r="AA360" s="299"/>
      <c r="AB360" s="299"/>
      <c r="AC360" s="299"/>
      <c r="AD360" s="299"/>
      <c r="AE360" s="299"/>
      <c r="AF360" s="299"/>
      <c r="AG360" s="299"/>
      <c r="AH360" s="299"/>
      <c r="AI360" s="299"/>
      <c r="AJ360" s="299"/>
      <c r="AK360" s="299"/>
    </row>
    <row r="361" spans="2:37" ht="13.2">
      <c r="B361" s="299"/>
      <c r="C361" s="299"/>
      <c r="D361" s="299"/>
      <c r="E361" s="299"/>
      <c r="F361" s="299"/>
      <c r="G361" s="299"/>
      <c r="H361" s="299"/>
      <c r="I361" s="299"/>
      <c r="J361" s="299"/>
      <c r="K361" s="299"/>
      <c r="L361" s="299"/>
      <c r="M361" s="299"/>
      <c r="N361" s="299"/>
      <c r="O361" s="299"/>
      <c r="P361" s="299"/>
      <c r="Q361" s="299"/>
      <c r="R361" s="299"/>
      <c r="S361" s="299"/>
      <c r="T361" s="299"/>
      <c r="U361" s="299"/>
      <c r="V361" s="299"/>
      <c r="W361" s="299"/>
      <c r="X361" s="299"/>
      <c r="Y361" s="299"/>
      <c r="Z361" s="299"/>
      <c r="AA361" s="299"/>
      <c r="AB361" s="299"/>
      <c r="AC361" s="299"/>
      <c r="AD361" s="299"/>
      <c r="AE361" s="299"/>
      <c r="AF361" s="299"/>
      <c r="AG361" s="299"/>
      <c r="AH361" s="299"/>
      <c r="AI361" s="299"/>
      <c r="AJ361" s="299"/>
      <c r="AK361" s="299"/>
    </row>
    <row r="362" spans="2:37" ht="13.2">
      <c r="B362" s="299"/>
      <c r="C362" s="299"/>
      <c r="D362" s="299"/>
      <c r="E362" s="299"/>
      <c r="F362" s="299"/>
      <c r="G362" s="299"/>
      <c r="H362" s="299"/>
      <c r="I362" s="299"/>
      <c r="J362" s="299"/>
      <c r="K362" s="299"/>
      <c r="L362" s="299"/>
      <c r="M362" s="299"/>
      <c r="N362" s="299"/>
      <c r="O362" s="299"/>
      <c r="P362" s="299"/>
      <c r="Q362" s="299"/>
      <c r="R362" s="299"/>
      <c r="S362" s="299"/>
      <c r="T362" s="299"/>
      <c r="U362" s="299"/>
      <c r="V362" s="299"/>
      <c r="W362" s="299"/>
      <c r="X362" s="299"/>
      <c r="Y362" s="299"/>
      <c r="Z362" s="299"/>
      <c r="AA362" s="299"/>
      <c r="AB362" s="299"/>
      <c r="AC362" s="299"/>
      <c r="AD362" s="299"/>
      <c r="AE362" s="299"/>
      <c r="AF362" s="299"/>
      <c r="AG362" s="299"/>
      <c r="AH362" s="299"/>
      <c r="AI362" s="299"/>
      <c r="AJ362" s="299"/>
      <c r="AK362" s="299"/>
    </row>
    <row r="363" spans="2:37" ht="13.2">
      <c r="B363" s="299"/>
      <c r="C363" s="299"/>
      <c r="D363" s="299"/>
      <c r="E363" s="299"/>
      <c r="F363" s="299"/>
      <c r="G363" s="299"/>
      <c r="H363" s="299"/>
      <c r="I363" s="299"/>
      <c r="J363" s="299"/>
      <c r="K363" s="299"/>
      <c r="L363" s="299"/>
      <c r="M363" s="299"/>
      <c r="N363" s="299"/>
      <c r="O363" s="299"/>
      <c r="P363" s="299"/>
      <c r="Q363" s="299"/>
      <c r="R363" s="299"/>
      <c r="S363" s="299"/>
      <c r="T363" s="299"/>
      <c r="U363" s="299"/>
      <c r="V363" s="299"/>
      <c r="W363" s="299"/>
      <c r="X363" s="299"/>
      <c r="Y363" s="299"/>
      <c r="Z363" s="299"/>
      <c r="AA363" s="299"/>
      <c r="AB363" s="299"/>
      <c r="AC363" s="299"/>
      <c r="AD363" s="299"/>
      <c r="AE363" s="299"/>
      <c r="AF363" s="299"/>
      <c r="AG363" s="299"/>
      <c r="AH363" s="299"/>
      <c r="AI363" s="299"/>
      <c r="AJ363" s="299"/>
      <c r="AK363" s="299"/>
    </row>
    <row r="364" spans="2:37" ht="13.2">
      <c r="B364" s="299"/>
      <c r="C364" s="299"/>
      <c r="D364" s="299"/>
      <c r="E364" s="299"/>
      <c r="F364" s="299"/>
      <c r="G364" s="299"/>
      <c r="H364" s="299"/>
      <c r="I364" s="299"/>
      <c r="J364" s="299"/>
      <c r="K364" s="299"/>
      <c r="L364" s="299"/>
      <c r="M364" s="299"/>
      <c r="N364" s="299"/>
      <c r="O364" s="299"/>
      <c r="P364" s="299"/>
      <c r="Q364" s="299"/>
      <c r="R364" s="299"/>
      <c r="S364" s="299"/>
      <c r="T364" s="299"/>
      <c r="U364" s="299"/>
      <c r="V364" s="299"/>
      <c r="W364" s="299"/>
      <c r="X364" s="299"/>
      <c r="Y364" s="299"/>
      <c r="Z364" s="299"/>
      <c r="AA364" s="299"/>
      <c r="AB364" s="299"/>
      <c r="AC364" s="299"/>
      <c r="AD364" s="299"/>
      <c r="AE364" s="299"/>
      <c r="AF364" s="299"/>
      <c r="AG364" s="299"/>
      <c r="AH364" s="299"/>
      <c r="AI364" s="299"/>
      <c r="AJ364" s="299"/>
      <c r="AK364" s="299"/>
    </row>
    <row r="365" spans="2:37" ht="13.2">
      <c r="B365" s="299"/>
      <c r="C365" s="299"/>
      <c r="D365" s="299"/>
      <c r="E365" s="299"/>
      <c r="F365" s="299"/>
      <c r="G365" s="299"/>
      <c r="H365" s="299"/>
      <c r="I365" s="299"/>
      <c r="J365" s="299"/>
      <c r="K365" s="299"/>
      <c r="L365" s="299"/>
      <c r="M365" s="299"/>
      <c r="N365" s="299"/>
      <c r="O365" s="299"/>
      <c r="P365" s="299"/>
      <c r="Q365" s="299"/>
      <c r="R365" s="299"/>
      <c r="S365" s="299"/>
      <c r="T365" s="299"/>
      <c r="U365" s="299"/>
      <c r="V365" s="299"/>
      <c r="W365" s="299"/>
      <c r="X365" s="299"/>
      <c r="Y365" s="299"/>
      <c r="Z365" s="299"/>
      <c r="AA365" s="299"/>
      <c r="AB365" s="299"/>
      <c r="AC365" s="299"/>
      <c r="AD365" s="299"/>
      <c r="AE365" s="299"/>
      <c r="AF365" s="299"/>
      <c r="AG365" s="299"/>
      <c r="AH365" s="299"/>
      <c r="AI365" s="299"/>
      <c r="AJ365" s="299"/>
      <c r="AK365" s="299"/>
    </row>
    <row r="366" spans="2:37" ht="13.2">
      <c r="B366" s="299"/>
      <c r="C366" s="299"/>
      <c r="D366" s="299"/>
      <c r="E366" s="299"/>
      <c r="F366" s="299"/>
      <c r="G366" s="299"/>
      <c r="H366" s="299"/>
      <c r="I366" s="299"/>
      <c r="J366" s="299"/>
      <c r="K366" s="299"/>
      <c r="L366" s="299"/>
      <c r="M366" s="299"/>
      <c r="N366" s="299"/>
      <c r="O366" s="299"/>
      <c r="P366" s="299"/>
      <c r="Q366" s="299"/>
      <c r="R366" s="299"/>
      <c r="S366" s="299"/>
      <c r="T366" s="299"/>
      <c r="U366" s="299"/>
      <c r="V366" s="299"/>
      <c r="W366" s="299"/>
      <c r="X366" s="299"/>
      <c r="Y366" s="299"/>
      <c r="Z366" s="299"/>
      <c r="AA366" s="299"/>
      <c r="AB366" s="299"/>
      <c r="AC366" s="299"/>
      <c r="AD366" s="299"/>
      <c r="AE366" s="299"/>
      <c r="AF366" s="299"/>
      <c r="AG366" s="299"/>
      <c r="AH366" s="299"/>
      <c r="AI366" s="299"/>
      <c r="AJ366" s="299"/>
      <c r="AK366" s="299"/>
    </row>
    <row r="367" spans="2:37" ht="13.2">
      <c r="B367" s="299"/>
      <c r="C367" s="299"/>
      <c r="D367" s="299"/>
      <c r="E367" s="299"/>
      <c r="F367" s="299"/>
      <c r="G367" s="299"/>
      <c r="H367" s="299"/>
      <c r="I367" s="299"/>
      <c r="J367" s="299"/>
      <c r="K367" s="299"/>
      <c r="L367" s="299"/>
      <c r="M367" s="299"/>
      <c r="N367" s="299"/>
      <c r="O367" s="299"/>
      <c r="P367" s="299"/>
      <c r="Q367" s="299"/>
      <c r="R367" s="299"/>
      <c r="S367" s="299"/>
      <c r="T367" s="299"/>
      <c r="U367" s="299"/>
      <c r="V367" s="299"/>
      <c r="W367" s="299"/>
      <c r="X367" s="299"/>
      <c r="Y367" s="299"/>
      <c r="Z367" s="299"/>
      <c r="AA367" s="299"/>
      <c r="AB367" s="299"/>
      <c r="AC367" s="299"/>
      <c r="AD367" s="299"/>
      <c r="AE367" s="299"/>
      <c r="AF367" s="299"/>
      <c r="AG367" s="299"/>
      <c r="AH367" s="299"/>
      <c r="AI367" s="299"/>
      <c r="AJ367" s="299"/>
      <c r="AK367" s="299"/>
    </row>
    <row r="368" spans="2:37" ht="13.2">
      <c r="B368" s="299"/>
      <c r="C368" s="299"/>
      <c r="D368" s="299"/>
      <c r="E368" s="299"/>
      <c r="F368" s="299"/>
      <c r="G368" s="299"/>
      <c r="H368" s="299"/>
      <c r="I368" s="299"/>
      <c r="J368" s="299"/>
      <c r="K368" s="299"/>
      <c r="L368" s="299"/>
      <c r="M368" s="299"/>
      <c r="N368" s="299"/>
      <c r="O368" s="299"/>
      <c r="P368" s="299"/>
      <c r="Q368" s="299"/>
      <c r="R368" s="299"/>
      <c r="S368" s="299"/>
      <c r="T368" s="299"/>
      <c r="U368" s="299"/>
      <c r="V368" s="299"/>
      <c r="W368" s="299"/>
      <c r="X368" s="299"/>
      <c r="Y368" s="299"/>
      <c r="Z368" s="299"/>
      <c r="AA368" s="299"/>
      <c r="AB368" s="299"/>
      <c r="AC368" s="299"/>
      <c r="AD368" s="299"/>
      <c r="AE368" s="299"/>
      <c r="AF368" s="299"/>
      <c r="AG368" s="299"/>
      <c r="AH368" s="299"/>
      <c r="AI368" s="299"/>
      <c r="AJ368" s="299"/>
      <c r="AK368" s="299"/>
    </row>
    <row r="369" spans="2:37" ht="13.2">
      <c r="B369" s="299"/>
      <c r="C369" s="299"/>
      <c r="D369" s="299"/>
      <c r="E369" s="299"/>
      <c r="F369" s="299"/>
      <c r="G369" s="299"/>
      <c r="H369" s="299"/>
      <c r="I369" s="299"/>
      <c r="J369" s="299"/>
      <c r="K369" s="299"/>
      <c r="L369" s="299"/>
      <c r="M369" s="299"/>
      <c r="N369" s="299"/>
      <c r="O369" s="299"/>
      <c r="P369" s="299"/>
      <c r="Q369" s="299"/>
      <c r="R369" s="299"/>
      <c r="S369" s="299"/>
      <c r="T369" s="299"/>
      <c r="U369" s="299"/>
      <c r="V369" s="299"/>
      <c r="W369" s="299"/>
      <c r="X369" s="299"/>
      <c r="Y369" s="299"/>
      <c r="Z369" s="299"/>
      <c r="AA369" s="299"/>
      <c r="AB369" s="299"/>
      <c r="AC369" s="299"/>
      <c r="AD369" s="299"/>
      <c r="AE369" s="299"/>
      <c r="AF369" s="299"/>
      <c r="AG369" s="299"/>
      <c r="AH369" s="299"/>
      <c r="AI369" s="299"/>
      <c r="AJ369" s="299"/>
      <c r="AK369" s="299"/>
    </row>
    <row r="370" spans="2:37" ht="13.2">
      <c r="B370" s="299"/>
      <c r="C370" s="299"/>
      <c r="D370" s="299"/>
      <c r="E370" s="299"/>
      <c r="F370" s="299"/>
      <c r="G370" s="299"/>
      <c r="H370" s="299"/>
      <c r="I370" s="299"/>
      <c r="J370" s="299"/>
      <c r="K370" s="299"/>
      <c r="L370" s="299"/>
      <c r="M370" s="299"/>
      <c r="N370" s="299"/>
      <c r="O370" s="299"/>
      <c r="P370" s="299"/>
      <c r="Q370" s="299"/>
      <c r="R370" s="299"/>
      <c r="S370" s="299"/>
      <c r="T370" s="299"/>
      <c r="U370" s="299"/>
      <c r="V370" s="299"/>
      <c r="W370" s="299"/>
      <c r="X370" s="299"/>
      <c r="Y370" s="299"/>
      <c r="Z370" s="299"/>
      <c r="AA370" s="299"/>
      <c r="AB370" s="299"/>
      <c r="AC370" s="299"/>
      <c r="AD370" s="299"/>
      <c r="AE370" s="299"/>
      <c r="AF370" s="299"/>
      <c r="AG370" s="299"/>
      <c r="AH370" s="299"/>
      <c r="AI370" s="299"/>
      <c r="AJ370" s="299"/>
      <c r="AK370" s="299"/>
    </row>
    <row r="371" spans="2:37" ht="13.2">
      <c r="B371" s="299"/>
      <c r="C371" s="299"/>
      <c r="D371" s="299"/>
      <c r="E371" s="299"/>
      <c r="F371" s="299"/>
      <c r="G371" s="299"/>
      <c r="H371" s="299"/>
      <c r="I371" s="299"/>
      <c r="J371" s="299"/>
      <c r="K371" s="299"/>
      <c r="L371" s="299"/>
      <c r="M371" s="299"/>
      <c r="N371" s="299"/>
      <c r="O371" s="299"/>
      <c r="P371" s="299"/>
      <c r="Q371" s="299"/>
      <c r="R371" s="299"/>
      <c r="S371" s="299"/>
      <c r="T371" s="299"/>
      <c r="U371" s="299"/>
      <c r="V371" s="299"/>
      <c r="W371" s="299"/>
      <c r="X371" s="299"/>
      <c r="Y371" s="299"/>
      <c r="Z371" s="299"/>
      <c r="AA371" s="299"/>
      <c r="AB371" s="299"/>
      <c r="AC371" s="299"/>
      <c r="AD371" s="299"/>
      <c r="AE371" s="299"/>
      <c r="AF371" s="299"/>
      <c r="AG371" s="299"/>
      <c r="AH371" s="299"/>
      <c r="AI371" s="299"/>
      <c r="AJ371" s="299"/>
      <c r="AK371" s="299"/>
    </row>
    <row r="372" spans="2:37" ht="13.2">
      <c r="B372" s="299"/>
      <c r="C372" s="299"/>
      <c r="D372" s="299"/>
      <c r="E372" s="299"/>
      <c r="F372" s="299"/>
      <c r="G372" s="299"/>
      <c r="H372" s="299"/>
      <c r="I372" s="299"/>
      <c r="J372" s="299"/>
      <c r="K372" s="299"/>
      <c r="L372" s="299"/>
      <c r="M372" s="299"/>
      <c r="N372" s="299"/>
      <c r="O372" s="299"/>
      <c r="P372" s="299"/>
      <c r="Q372" s="299"/>
      <c r="R372" s="299"/>
      <c r="S372" s="299"/>
      <c r="T372" s="299"/>
      <c r="U372" s="299"/>
      <c r="V372" s="299"/>
      <c r="W372" s="299"/>
      <c r="X372" s="299"/>
      <c r="Y372" s="299"/>
      <c r="Z372" s="299"/>
      <c r="AA372" s="299"/>
      <c r="AB372" s="299"/>
      <c r="AC372" s="299"/>
      <c r="AD372" s="299"/>
      <c r="AE372" s="299"/>
      <c r="AF372" s="299"/>
      <c r="AG372" s="299"/>
      <c r="AH372" s="299"/>
      <c r="AI372" s="299"/>
      <c r="AJ372" s="299"/>
      <c r="AK372" s="299"/>
    </row>
    <row r="373" spans="2:37" ht="13.2">
      <c r="B373" s="299"/>
      <c r="C373" s="299"/>
      <c r="D373" s="299"/>
      <c r="E373" s="299"/>
      <c r="F373" s="299"/>
      <c r="G373" s="299"/>
      <c r="H373" s="299"/>
      <c r="I373" s="299"/>
      <c r="J373" s="299"/>
      <c r="K373" s="299"/>
      <c r="L373" s="299"/>
      <c r="M373" s="299"/>
      <c r="N373" s="299"/>
      <c r="O373" s="299"/>
      <c r="P373" s="299"/>
      <c r="Q373" s="299"/>
      <c r="R373" s="299"/>
      <c r="S373" s="299"/>
      <c r="T373" s="299"/>
      <c r="U373" s="299"/>
      <c r="V373" s="299"/>
      <c r="W373" s="299"/>
      <c r="X373" s="299"/>
      <c r="Y373" s="299"/>
      <c r="Z373" s="299"/>
      <c r="AA373" s="299"/>
      <c r="AB373" s="299"/>
      <c r="AC373" s="299"/>
      <c r="AD373" s="299"/>
      <c r="AE373" s="299"/>
      <c r="AF373" s="299"/>
      <c r="AG373" s="299"/>
      <c r="AH373" s="299"/>
      <c r="AI373" s="299"/>
      <c r="AJ373" s="299"/>
      <c r="AK373" s="299"/>
    </row>
    <row r="374" spans="2:37" ht="13.2">
      <c r="B374" s="299"/>
      <c r="C374" s="299"/>
      <c r="D374" s="299"/>
      <c r="E374" s="299"/>
      <c r="F374" s="299"/>
      <c r="G374" s="299"/>
      <c r="H374" s="299"/>
      <c r="I374" s="299"/>
      <c r="J374" s="299"/>
      <c r="K374" s="299"/>
      <c r="L374" s="299"/>
      <c r="M374" s="299"/>
      <c r="N374" s="299"/>
      <c r="O374" s="299"/>
      <c r="P374" s="299"/>
      <c r="Q374" s="299"/>
      <c r="R374" s="299"/>
      <c r="S374" s="299"/>
      <c r="T374" s="299"/>
      <c r="U374" s="299"/>
      <c r="V374" s="299"/>
      <c r="W374" s="299"/>
      <c r="X374" s="299"/>
      <c r="Y374" s="299"/>
      <c r="Z374" s="299"/>
      <c r="AA374" s="299"/>
      <c r="AB374" s="299"/>
      <c r="AC374" s="299"/>
      <c r="AD374" s="299"/>
      <c r="AE374" s="299"/>
      <c r="AF374" s="299"/>
      <c r="AG374" s="299"/>
      <c r="AH374" s="299"/>
      <c r="AI374" s="299"/>
      <c r="AJ374" s="299"/>
      <c r="AK374" s="299"/>
    </row>
    <row r="375" spans="2:37" ht="13.2">
      <c r="B375" s="299"/>
      <c r="C375" s="299"/>
      <c r="D375" s="299"/>
      <c r="E375" s="299"/>
      <c r="F375" s="299"/>
      <c r="G375" s="299"/>
      <c r="H375" s="299"/>
      <c r="I375" s="299"/>
      <c r="J375" s="299"/>
      <c r="K375" s="299"/>
      <c r="L375" s="299"/>
      <c r="M375" s="299"/>
      <c r="N375" s="299"/>
      <c r="O375" s="299"/>
      <c r="P375" s="299"/>
      <c r="Q375" s="299"/>
      <c r="R375" s="299"/>
      <c r="S375" s="299"/>
      <c r="T375" s="299"/>
      <c r="U375" s="299"/>
      <c r="V375" s="299"/>
      <c r="W375" s="299"/>
      <c r="X375" s="299"/>
      <c r="Y375" s="299"/>
      <c r="Z375" s="299"/>
      <c r="AA375" s="299"/>
      <c r="AB375" s="299"/>
      <c r="AC375" s="299"/>
      <c r="AD375" s="299"/>
      <c r="AE375" s="299"/>
      <c r="AF375" s="299"/>
      <c r="AG375" s="299"/>
      <c r="AH375" s="299"/>
      <c r="AI375" s="299"/>
      <c r="AJ375" s="299"/>
      <c r="AK375" s="299"/>
    </row>
    <row r="376" spans="2:37" ht="13.2">
      <c r="B376" s="299"/>
      <c r="C376" s="299"/>
      <c r="D376" s="299"/>
      <c r="E376" s="299"/>
      <c r="F376" s="299"/>
      <c r="G376" s="299"/>
      <c r="H376" s="299"/>
      <c r="I376" s="299"/>
      <c r="J376" s="299"/>
      <c r="K376" s="299"/>
      <c r="L376" s="299"/>
      <c r="M376" s="299"/>
      <c r="N376" s="299"/>
      <c r="O376" s="299"/>
      <c r="P376" s="299"/>
      <c r="Q376" s="299"/>
      <c r="R376" s="299"/>
      <c r="S376" s="299"/>
      <c r="T376" s="299"/>
      <c r="U376" s="299"/>
      <c r="V376" s="299"/>
      <c r="W376" s="299"/>
      <c r="X376" s="299"/>
      <c r="Y376" s="299"/>
      <c r="Z376" s="299"/>
      <c r="AA376" s="299"/>
      <c r="AB376" s="299"/>
      <c r="AC376" s="299"/>
      <c r="AD376" s="299"/>
      <c r="AE376" s="299"/>
      <c r="AF376" s="299"/>
      <c r="AG376" s="299"/>
      <c r="AH376" s="299"/>
      <c r="AI376" s="299"/>
      <c r="AJ376" s="299"/>
      <c r="AK376" s="299"/>
    </row>
    <row r="377" spans="2:37" ht="13.2">
      <c r="B377" s="299"/>
      <c r="C377" s="299"/>
      <c r="D377" s="299"/>
      <c r="E377" s="299"/>
      <c r="F377" s="299"/>
      <c r="G377" s="299"/>
      <c r="H377" s="299"/>
      <c r="I377" s="299"/>
      <c r="J377" s="299"/>
      <c r="K377" s="299"/>
      <c r="L377" s="299"/>
      <c r="M377" s="299"/>
      <c r="N377" s="299"/>
      <c r="O377" s="299"/>
      <c r="P377" s="299"/>
      <c r="Q377" s="299"/>
      <c r="R377" s="299"/>
      <c r="S377" s="299"/>
      <c r="T377" s="299"/>
      <c r="U377" s="299"/>
      <c r="V377" s="299"/>
      <c r="W377" s="299"/>
      <c r="X377" s="299"/>
      <c r="Y377" s="299"/>
      <c r="Z377" s="299"/>
      <c r="AA377" s="299"/>
      <c r="AB377" s="299"/>
      <c r="AC377" s="299"/>
      <c r="AD377" s="299"/>
      <c r="AE377" s="299"/>
      <c r="AF377" s="299"/>
      <c r="AG377" s="299"/>
      <c r="AH377" s="299"/>
      <c r="AI377" s="299"/>
      <c r="AJ377" s="299"/>
      <c r="AK377" s="299"/>
    </row>
    <row r="378" spans="2:37" ht="13.2">
      <c r="B378" s="299"/>
      <c r="C378" s="299"/>
      <c r="D378" s="299"/>
      <c r="E378" s="299"/>
      <c r="F378" s="299"/>
      <c r="G378" s="299"/>
      <c r="H378" s="299"/>
      <c r="I378" s="299"/>
      <c r="J378" s="299"/>
      <c r="K378" s="299"/>
      <c r="L378" s="299"/>
      <c r="M378" s="299"/>
      <c r="N378" s="299"/>
      <c r="O378" s="299"/>
      <c r="P378" s="299"/>
      <c r="Q378" s="299"/>
      <c r="R378" s="299"/>
      <c r="S378" s="299"/>
      <c r="T378" s="299"/>
      <c r="U378" s="299"/>
      <c r="V378" s="299"/>
      <c r="W378" s="299"/>
      <c r="X378" s="299"/>
      <c r="Y378" s="299"/>
      <c r="Z378" s="299"/>
      <c r="AA378" s="299"/>
      <c r="AB378" s="299"/>
      <c r="AC378" s="299"/>
      <c r="AD378" s="299"/>
      <c r="AE378" s="299"/>
      <c r="AF378" s="299"/>
      <c r="AG378" s="299"/>
      <c r="AH378" s="299"/>
      <c r="AI378" s="299"/>
      <c r="AJ378" s="299"/>
      <c r="AK378" s="299"/>
    </row>
    <row r="379" spans="2:37" ht="13.2">
      <c r="B379" s="299"/>
      <c r="C379" s="299"/>
      <c r="D379" s="299"/>
      <c r="E379" s="299"/>
      <c r="F379" s="299"/>
      <c r="G379" s="299"/>
      <c r="H379" s="299"/>
      <c r="I379" s="299"/>
      <c r="J379" s="299"/>
      <c r="K379" s="299"/>
      <c r="L379" s="299"/>
      <c r="M379" s="299"/>
      <c r="N379" s="299"/>
      <c r="O379" s="299"/>
      <c r="P379" s="299"/>
      <c r="Q379" s="299"/>
      <c r="R379" s="299"/>
      <c r="S379" s="299"/>
      <c r="T379" s="299"/>
      <c r="U379" s="299"/>
      <c r="V379" s="299"/>
      <c r="W379" s="299"/>
      <c r="X379" s="299"/>
      <c r="Y379" s="299"/>
      <c r="Z379" s="299"/>
      <c r="AA379" s="299"/>
      <c r="AB379" s="299"/>
      <c r="AC379" s="299"/>
      <c r="AD379" s="299"/>
      <c r="AE379" s="299"/>
      <c r="AF379" s="299"/>
      <c r="AG379" s="299"/>
      <c r="AH379" s="299"/>
      <c r="AI379" s="299"/>
      <c r="AJ379" s="299"/>
      <c r="AK379" s="299"/>
    </row>
    <row r="380" spans="2:37" ht="13.2">
      <c r="B380" s="299"/>
      <c r="C380" s="299"/>
      <c r="D380" s="299"/>
      <c r="E380" s="299"/>
      <c r="F380" s="299"/>
      <c r="G380" s="299"/>
      <c r="H380" s="299"/>
      <c r="I380" s="299"/>
      <c r="J380" s="299"/>
      <c r="K380" s="299"/>
      <c r="L380" s="299"/>
      <c r="M380" s="299"/>
      <c r="N380" s="299"/>
      <c r="O380" s="299"/>
      <c r="P380" s="299"/>
      <c r="Q380" s="299"/>
      <c r="R380" s="299"/>
      <c r="S380" s="299"/>
      <c r="T380" s="299"/>
      <c r="U380" s="299"/>
      <c r="V380" s="299"/>
      <c r="W380" s="299"/>
      <c r="X380" s="299"/>
      <c r="Y380" s="299"/>
      <c r="Z380" s="299"/>
      <c r="AA380" s="299"/>
      <c r="AB380" s="299"/>
      <c r="AC380" s="299"/>
      <c r="AD380" s="299"/>
      <c r="AE380" s="299"/>
      <c r="AF380" s="299"/>
      <c r="AG380" s="299"/>
      <c r="AH380" s="299"/>
      <c r="AI380" s="299"/>
      <c r="AJ380" s="299"/>
      <c r="AK380" s="299"/>
    </row>
    <row r="381" spans="2:37" ht="13.2">
      <c r="B381" s="299"/>
      <c r="C381" s="299"/>
      <c r="D381" s="299"/>
      <c r="E381" s="299"/>
      <c r="F381" s="299"/>
      <c r="G381" s="299"/>
      <c r="H381" s="299"/>
      <c r="I381" s="299"/>
      <c r="J381" s="299"/>
      <c r="K381" s="299"/>
      <c r="L381" s="299"/>
      <c r="M381" s="299"/>
      <c r="N381" s="299"/>
      <c r="O381" s="299"/>
      <c r="P381" s="299"/>
      <c r="Q381" s="299"/>
      <c r="R381" s="299"/>
      <c r="S381" s="299"/>
      <c r="T381" s="299"/>
      <c r="U381" s="299"/>
      <c r="V381" s="299"/>
      <c r="W381" s="299"/>
      <c r="X381" s="299"/>
      <c r="Y381" s="299"/>
      <c r="Z381" s="299"/>
      <c r="AA381" s="299"/>
      <c r="AB381" s="299"/>
      <c r="AC381" s="299"/>
      <c r="AD381" s="299"/>
      <c r="AE381" s="299"/>
      <c r="AF381" s="299"/>
      <c r="AG381" s="299"/>
      <c r="AH381" s="299"/>
      <c r="AI381" s="299"/>
      <c r="AJ381" s="299"/>
      <c r="AK381" s="299"/>
    </row>
    <row r="382" spans="2:37" ht="13.2">
      <c r="B382" s="299"/>
      <c r="C382" s="299"/>
      <c r="D382" s="299"/>
      <c r="E382" s="299"/>
      <c r="F382" s="299"/>
      <c r="G382" s="299"/>
      <c r="H382" s="299"/>
      <c r="I382" s="299"/>
      <c r="J382" s="299"/>
      <c r="K382" s="299"/>
      <c r="L382" s="299"/>
      <c r="M382" s="299"/>
      <c r="N382" s="299"/>
      <c r="O382" s="299"/>
      <c r="P382" s="299"/>
      <c r="Q382" s="299"/>
      <c r="R382" s="299"/>
      <c r="S382" s="299"/>
      <c r="T382" s="299"/>
      <c r="U382" s="299"/>
      <c r="V382" s="299"/>
      <c r="W382" s="299"/>
      <c r="X382" s="299"/>
      <c r="Y382" s="299"/>
      <c r="Z382" s="299"/>
      <c r="AA382" s="299"/>
      <c r="AB382" s="299"/>
      <c r="AC382" s="299"/>
      <c r="AD382" s="299"/>
      <c r="AE382" s="299"/>
      <c r="AF382" s="299"/>
      <c r="AG382" s="299"/>
      <c r="AH382" s="299"/>
      <c r="AI382" s="299"/>
      <c r="AJ382" s="299"/>
      <c r="AK382" s="299"/>
    </row>
    <row r="383" spans="2:37" ht="13.2">
      <c r="B383" s="299"/>
      <c r="C383" s="299"/>
      <c r="D383" s="299"/>
      <c r="E383" s="299"/>
      <c r="F383" s="299"/>
      <c r="G383" s="299"/>
      <c r="H383" s="299"/>
      <c r="I383" s="299"/>
      <c r="J383" s="299"/>
      <c r="K383" s="299"/>
      <c r="L383" s="299"/>
      <c r="M383" s="299"/>
      <c r="N383" s="299"/>
      <c r="O383" s="299"/>
      <c r="P383" s="299"/>
      <c r="Q383" s="299"/>
      <c r="R383" s="299"/>
      <c r="S383" s="299"/>
      <c r="T383" s="299"/>
      <c r="U383" s="299"/>
      <c r="V383" s="299"/>
      <c r="W383" s="299"/>
      <c r="X383" s="299"/>
      <c r="Y383" s="299"/>
      <c r="Z383" s="299"/>
      <c r="AA383" s="299"/>
      <c r="AB383" s="299"/>
      <c r="AC383" s="299"/>
      <c r="AD383" s="299"/>
      <c r="AE383" s="299"/>
      <c r="AF383" s="299"/>
      <c r="AG383" s="299"/>
      <c r="AH383" s="299"/>
      <c r="AI383" s="299"/>
      <c r="AJ383" s="299"/>
      <c r="AK383" s="299"/>
    </row>
    <row r="384" spans="2:37" ht="13.2">
      <c r="B384" s="299"/>
      <c r="C384" s="299"/>
      <c r="D384" s="299"/>
      <c r="E384" s="299"/>
      <c r="F384" s="299"/>
      <c r="G384" s="299"/>
      <c r="H384" s="299"/>
      <c r="I384" s="299"/>
      <c r="J384" s="299"/>
      <c r="K384" s="299"/>
      <c r="L384" s="299"/>
      <c r="M384" s="299"/>
      <c r="N384" s="299"/>
      <c r="O384" s="299"/>
      <c r="P384" s="299"/>
      <c r="Q384" s="299"/>
      <c r="R384" s="299"/>
      <c r="S384" s="299"/>
      <c r="T384" s="299"/>
      <c r="U384" s="299"/>
      <c r="V384" s="299"/>
      <c r="W384" s="299"/>
      <c r="X384" s="299"/>
      <c r="Y384" s="299"/>
      <c r="Z384" s="299"/>
      <c r="AA384" s="299"/>
      <c r="AB384" s="299"/>
      <c r="AC384" s="299"/>
      <c r="AD384" s="299"/>
      <c r="AE384" s="299"/>
      <c r="AF384" s="299"/>
      <c r="AG384" s="299"/>
      <c r="AH384" s="299"/>
      <c r="AI384" s="299"/>
      <c r="AJ384" s="299"/>
      <c r="AK384" s="299"/>
    </row>
    <row r="385" spans="2:37" ht="13.2">
      <c r="B385" s="299"/>
      <c r="C385" s="299"/>
      <c r="D385" s="299"/>
      <c r="E385" s="299"/>
      <c r="F385" s="299"/>
      <c r="G385" s="299"/>
      <c r="H385" s="299"/>
      <c r="I385" s="299"/>
      <c r="J385" s="299"/>
      <c r="K385" s="299"/>
      <c r="L385" s="299"/>
      <c r="M385" s="299"/>
      <c r="N385" s="299"/>
      <c r="O385" s="299"/>
      <c r="P385" s="299"/>
      <c r="Q385" s="299"/>
      <c r="R385" s="299"/>
      <c r="S385" s="299"/>
      <c r="T385" s="299"/>
      <c r="U385" s="299"/>
      <c r="V385" s="299"/>
      <c r="W385" s="299"/>
      <c r="X385" s="299"/>
      <c r="Y385" s="299"/>
      <c r="Z385" s="299"/>
      <c r="AA385" s="299"/>
      <c r="AB385" s="299"/>
      <c r="AC385" s="299"/>
      <c r="AD385" s="299"/>
      <c r="AE385" s="299"/>
      <c r="AF385" s="299"/>
      <c r="AG385" s="299"/>
      <c r="AH385" s="299"/>
      <c r="AI385" s="299"/>
      <c r="AJ385" s="299"/>
      <c r="AK385" s="299"/>
    </row>
    <row r="386" spans="2:37" ht="13.2">
      <c r="B386" s="299"/>
      <c r="C386" s="299"/>
      <c r="D386" s="299"/>
      <c r="E386" s="299"/>
      <c r="F386" s="299"/>
      <c r="G386" s="299"/>
      <c r="H386" s="299"/>
      <c r="I386" s="299"/>
      <c r="J386" s="299"/>
      <c r="K386" s="299"/>
      <c r="L386" s="299"/>
      <c r="M386" s="299"/>
      <c r="N386" s="299"/>
      <c r="O386" s="299"/>
      <c r="P386" s="299"/>
      <c r="Q386" s="299"/>
      <c r="R386" s="299"/>
      <c r="S386" s="299"/>
      <c r="T386" s="299"/>
      <c r="U386" s="299"/>
      <c r="V386" s="299"/>
      <c r="W386" s="299"/>
      <c r="X386" s="299"/>
      <c r="Y386" s="299"/>
      <c r="Z386" s="299"/>
      <c r="AA386" s="299"/>
      <c r="AB386" s="299"/>
      <c r="AC386" s="299"/>
      <c r="AD386" s="299"/>
      <c r="AE386" s="299"/>
      <c r="AF386" s="299"/>
      <c r="AG386" s="299"/>
      <c r="AH386" s="299"/>
      <c r="AI386" s="299"/>
      <c r="AJ386" s="299"/>
      <c r="AK386" s="299"/>
    </row>
    <row r="387" spans="2:37" ht="13.2">
      <c r="B387" s="299"/>
      <c r="C387" s="299"/>
      <c r="D387" s="299"/>
      <c r="E387" s="299"/>
      <c r="F387" s="299"/>
      <c r="G387" s="299"/>
      <c r="H387" s="299"/>
      <c r="I387" s="299"/>
      <c r="J387" s="299"/>
      <c r="K387" s="299"/>
      <c r="L387" s="299"/>
      <c r="M387" s="299"/>
      <c r="N387" s="299"/>
      <c r="O387" s="299"/>
      <c r="P387" s="299"/>
      <c r="Q387" s="299"/>
      <c r="R387" s="299"/>
      <c r="S387" s="299"/>
      <c r="T387" s="299"/>
      <c r="U387" s="299"/>
      <c r="V387" s="299"/>
      <c r="W387" s="299"/>
      <c r="X387" s="299"/>
      <c r="Y387" s="299"/>
      <c r="Z387" s="299"/>
      <c r="AA387" s="299"/>
      <c r="AB387" s="299"/>
      <c r="AC387" s="299"/>
      <c r="AD387" s="299"/>
      <c r="AE387" s="299"/>
      <c r="AF387" s="299"/>
      <c r="AG387" s="299"/>
      <c r="AH387" s="299"/>
      <c r="AI387" s="299"/>
      <c r="AJ387" s="299"/>
      <c r="AK387" s="299"/>
    </row>
    <row r="388" spans="2:37" ht="13.2">
      <c r="B388" s="299"/>
      <c r="C388" s="299"/>
      <c r="D388" s="299"/>
      <c r="E388" s="299"/>
      <c r="F388" s="299"/>
      <c r="G388" s="299"/>
      <c r="H388" s="299"/>
      <c r="I388" s="299"/>
      <c r="J388" s="299"/>
      <c r="K388" s="299"/>
      <c r="L388" s="299"/>
      <c r="M388" s="299"/>
      <c r="N388" s="299"/>
      <c r="O388" s="299"/>
      <c r="P388" s="299"/>
      <c r="Q388" s="299"/>
      <c r="R388" s="299"/>
      <c r="S388" s="299"/>
      <c r="T388" s="299"/>
      <c r="U388" s="299"/>
      <c r="V388" s="299"/>
      <c r="W388" s="299"/>
      <c r="X388" s="299"/>
      <c r="Y388" s="299"/>
      <c r="Z388" s="299"/>
      <c r="AA388" s="299"/>
      <c r="AB388" s="299"/>
      <c r="AC388" s="299"/>
      <c r="AD388" s="299"/>
      <c r="AE388" s="299"/>
      <c r="AF388" s="299"/>
      <c r="AG388" s="299"/>
      <c r="AH388" s="299"/>
      <c r="AI388" s="299"/>
      <c r="AJ388" s="299"/>
      <c r="AK388" s="299"/>
    </row>
    <row r="389" spans="2:37" ht="13.2">
      <c r="B389" s="299"/>
      <c r="C389" s="299"/>
      <c r="D389" s="299"/>
      <c r="E389" s="299"/>
      <c r="F389" s="299"/>
      <c r="G389" s="299"/>
      <c r="H389" s="299"/>
      <c r="I389" s="299"/>
      <c r="J389" s="299"/>
      <c r="K389" s="299"/>
      <c r="L389" s="299"/>
      <c r="M389" s="299"/>
      <c r="N389" s="299"/>
      <c r="O389" s="299"/>
      <c r="P389" s="299"/>
      <c r="Q389" s="299"/>
      <c r="R389" s="299"/>
      <c r="S389" s="299"/>
      <c r="T389" s="299"/>
      <c r="U389" s="299"/>
      <c r="V389" s="299"/>
      <c r="W389" s="299"/>
      <c r="X389" s="299"/>
      <c r="Y389" s="299"/>
      <c r="Z389" s="299"/>
      <c r="AA389" s="299"/>
      <c r="AB389" s="299"/>
      <c r="AC389" s="299"/>
      <c r="AD389" s="299"/>
      <c r="AE389" s="299"/>
      <c r="AF389" s="299"/>
      <c r="AG389" s="299"/>
      <c r="AH389" s="299"/>
      <c r="AI389" s="299"/>
      <c r="AJ389" s="299"/>
      <c r="AK389" s="299"/>
    </row>
    <row r="390" spans="2:37" ht="13.2">
      <c r="B390" s="299"/>
      <c r="C390" s="299"/>
      <c r="D390" s="299"/>
      <c r="E390" s="299"/>
      <c r="F390" s="299"/>
      <c r="G390" s="299"/>
      <c r="H390" s="299"/>
      <c r="I390" s="299"/>
      <c r="J390" s="299"/>
      <c r="K390" s="299"/>
      <c r="L390" s="299"/>
      <c r="M390" s="299"/>
      <c r="N390" s="299"/>
      <c r="O390" s="299"/>
      <c r="P390" s="299"/>
      <c r="Q390" s="299"/>
      <c r="R390" s="299"/>
      <c r="S390" s="299"/>
      <c r="T390" s="299"/>
      <c r="U390" s="299"/>
      <c r="V390" s="299"/>
      <c r="W390" s="299"/>
      <c r="X390" s="299"/>
      <c r="Y390" s="299"/>
      <c r="Z390" s="299"/>
      <c r="AA390" s="299"/>
      <c r="AB390" s="299"/>
      <c r="AC390" s="299"/>
      <c r="AD390" s="299"/>
      <c r="AE390" s="299"/>
      <c r="AF390" s="299"/>
      <c r="AG390" s="299"/>
      <c r="AH390" s="299"/>
      <c r="AI390" s="299"/>
      <c r="AJ390" s="299"/>
      <c r="AK390" s="299"/>
    </row>
    <row r="391" spans="2:37" ht="13.2">
      <c r="B391" s="299"/>
      <c r="C391" s="299"/>
      <c r="D391" s="299"/>
      <c r="E391" s="299"/>
      <c r="F391" s="299"/>
      <c r="G391" s="299"/>
      <c r="H391" s="299"/>
      <c r="I391" s="299"/>
      <c r="J391" s="299"/>
      <c r="K391" s="299"/>
      <c r="L391" s="299"/>
      <c r="M391" s="299"/>
      <c r="N391" s="299"/>
      <c r="O391" s="299"/>
      <c r="P391" s="299"/>
      <c r="Q391" s="299"/>
      <c r="R391" s="299"/>
      <c r="S391" s="299"/>
      <c r="T391" s="299"/>
      <c r="U391" s="299"/>
      <c r="V391" s="299"/>
      <c r="W391" s="299"/>
      <c r="X391" s="299"/>
      <c r="Y391" s="299"/>
      <c r="Z391" s="299"/>
      <c r="AA391" s="299"/>
      <c r="AB391" s="299"/>
      <c r="AC391" s="299"/>
      <c r="AD391" s="299"/>
      <c r="AE391" s="299"/>
      <c r="AF391" s="299"/>
      <c r="AG391" s="299"/>
      <c r="AH391" s="299"/>
      <c r="AI391" s="299"/>
      <c r="AJ391" s="299"/>
      <c r="AK391" s="299"/>
    </row>
    <row r="392" spans="2:37" ht="13.2">
      <c r="B392" s="299"/>
      <c r="C392" s="299"/>
      <c r="D392" s="299"/>
      <c r="E392" s="299"/>
      <c r="F392" s="299"/>
      <c r="G392" s="299"/>
      <c r="H392" s="299"/>
      <c r="I392" s="299"/>
      <c r="J392" s="299"/>
      <c r="K392" s="299"/>
      <c r="L392" s="299"/>
      <c r="M392" s="299"/>
      <c r="N392" s="299"/>
      <c r="O392" s="299"/>
      <c r="P392" s="299"/>
      <c r="Q392" s="299"/>
      <c r="R392" s="299"/>
      <c r="S392" s="299"/>
      <c r="T392" s="299"/>
      <c r="U392" s="299"/>
      <c r="V392" s="299"/>
      <c r="W392" s="299"/>
      <c r="X392" s="299"/>
      <c r="Y392" s="299"/>
      <c r="Z392" s="299"/>
      <c r="AA392" s="299"/>
      <c r="AB392" s="299"/>
      <c r="AC392" s="299"/>
      <c r="AD392" s="299"/>
      <c r="AE392" s="299"/>
      <c r="AF392" s="299"/>
      <c r="AG392" s="299"/>
      <c r="AH392" s="299"/>
      <c r="AI392" s="299"/>
      <c r="AJ392" s="299"/>
      <c r="AK392" s="299"/>
    </row>
    <row r="393" spans="2:37" ht="13.2">
      <c r="B393" s="299"/>
      <c r="C393" s="299"/>
      <c r="D393" s="299"/>
      <c r="E393" s="299"/>
      <c r="F393" s="299"/>
      <c r="G393" s="299"/>
      <c r="H393" s="299"/>
      <c r="I393" s="299"/>
      <c r="J393" s="299"/>
      <c r="K393" s="299"/>
      <c r="L393" s="299"/>
      <c r="M393" s="299"/>
      <c r="N393" s="299"/>
      <c r="O393" s="299"/>
      <c r="P393" s="299"/>
      <c r="Q393" s="299"/>
      <c r="R393" s="299"/>
      <c r="S393" s="299"/>
      <c r="T393" s="299"/>
      <c r="U393" s="299"/>
      <c r="V393" s="299"/>
      <c r="W393" s="299"/>
      <c r="X393" s="299"/>
      <c r="Y393" s="299"/>
      <c r="Z393" s="299"/>
      <c r="AA393" s="299"/>
      <c r="AB393" s="299"/>
      <c r="AC393" s="299"/>
      <c r="AD393" s="299"/>
      <c r="AE393" s="299"/>
      <c r="AF393" s="299"/>
      <c r="AG393" s="299"/>
      <c r="AH393" s="299"/>
      <c r="AI393" s="299"/>
      <c r="AJ393" s="299"/>
      <c r="AK393" s="299"/>
    </row>
    <row r="394" spans="2:37" ht="13.2">
      <c r="B394" s="299"/>
      <c r="C394" s="299"/>
      <c r="D394" s="299"/>
      <c r="E394" s="299"/>
      <c r="F394" s="299"/>
      <c r="G394" s="299"/>
      <c r="H394" s="299"/>
      <c r="I394" s="299"/>
      <c r="J394" s="299"/>
      <c r="K394" s="299"/>
      <c r="L394" s="299"/>
      <c r="M394" s="299"/>
      <c r="N394" s="299"/>
      <c r="O394" s="299"/>
      <c r="P394" s="299"/>
      <c r="Q394" s="299"/>
      <c r="R394" s="299"/>
      <c r="S394" s="299"/>
      <c r="T394" s="299"/>
      <c r="U394" s="299"/>
      <c r="V394" s="299"/>
      <c r="W394" s="299"/>
      <c r="X394" s="299"/>
      <c r="Y394" s="299"/>
      <c r="Z394" s="299"/>
      <c r="AA394" s="299"/>
      <c r="AB394" s="299"/>
      <c r="AC394" s="299"/>
      <c r="AD394" s="299"/>
      <c r="AE394" s="299"/>
      <c r="AF394" s="299"/>
      <c r="AG394" s="299"/>
      <c r="AH394" s="299"/>
      <c r="AI394" s="299"/>
      <c r="AJ394" s="299"/>
      <c r="AK394" s="299"/>
    </row>
    <row r="395" spans="2:37" ht="13.2">
      <c r="B395" s="299"/>
      <c r="C395" s="299"/>
      <c r="D395" s="299"/>
      <c r="E395" s="299"/>
      <c r="F395" s="299"/>
      <c r="G395" s="299"/>
      <c r="H395" s="299"/>
      <c r="I395" s="299"/>
      <c r="J395" s="299"/>
      <c r="K395" s="299"/>
      <c r="L395" s="299"/>
      <c r="M395" s="299"/>
      <c r="N395" s="299"/>
      <c r="O395" s="299"/>
      <c r="P395" s="299"/>
      <c r="Q395" s="299"/>
      <c r="R395" s="299"/>
      <c r="S395" s="299"/>
      <c r="T395" s="299"/>
      <c r="U395" s="299"/>
      <c r="V395" s="299"/>
      <c r="W395" s="299"/>
      <c r="X395" s="299"/>
      <c r="Y395" s="299"/>
      <c r="Z395" s="299"/>
      <c r="AA395" s="299"/>
      <c r="AB395" s="299"/>
      <c r="AC395" s="299"/>
      <c r="AD395" s="299"/>
      <c r="AE395" s="299"/>
      <c r="AF395" s="299"/>
      <c r="AG395" s="299"/>
      <c r="AH395" s="299"/>
      <c r="AI395" s="299"/>
      <c r="AJ395" s="299"/>
      <c r="AK395" s="299"/>
    </row>
    <row r="396" spans="2:37" ht="13.2">
      <c r="B396" s="299"/>
      <c r="C396" s="299"/>
      <c r="D396" s="299"/>
      <c r="E396" s="299"/>
      <c r="F396" s="299"/>
      <c r="G396" s="299"/>
      <c r="H396" s="299"/>
      <c r="I396" s="299"/>
      <c r="J396" s="299"/>
      <c r="K396" s="299"/>
      <c r="L396" s="299"/>
      <c r="M396" s="299"/>
      <c r="N396" s="299"/>
      <c r="O396" s="299"/>
      <c r="P396" s="299"/>
      <c r="Q396" s="299"/>
      <c r="R396" s="299"/>
      <c r="S396" s="299"/>
      <c r="T396" s="299"/>
      <c r="U396" s="299"/>
      <c r="V396" s="299"/>
      <c r="W396" s="299"/>
      <c r="X396" s="299"/>
      <c r="Y396" s="299"/>
      <c r="Z396" s="299"/>
      <c r="AA396" s="299"/>
      <c r="AB396" s="299"/>
      <c r="AC396" s="299"/>
      <c r="AD396" s="299"/>
      <c r="AE396" s="299"/>
      <c r="AF396" s="299"/>
      <c r="AG396" s="299"/>
      <c r="AH396" s="299"/>
      <c r="AI396" s="299"/>
      <c r="AJ396" s="299"/>
      <c r="AK396" s="299"/>
    </row>
    <row r="397" spans="2:37" ht="13.2">
      <c r="B397" s="299"/>
      <c r="C397" s="299"/>
      <c r="D397" s="299"/>
      <c r="E397" s="299"/>
      <c r="F397" s="299"/>
      <c r="G397" s="299"/>
      <c r="H397" s="299"/>
      <c r="I397" s="299"/>
      <c r="J397" s="299"/>
      <c r="K397" s="299"/>
      <c r="L397" s="299"/>
      <c r="M397" s="299"/>
      <c r="N397" s="299"/>
      <c r="O397" s="299"/>
      <c r="P397" s="299"/>
      <c r="Q397" s="299"/>
      <c r="R397" s="299"/>
      <c r="S397" s="299"/>
      <c r="T397" s="299"/>
      <c r="U397" s="299"/>
      <c r="V397" s="299"/>
      <c r="W397" s="299"/>
      <c r="X397" s="299"/>
      <c r="Y397" s="299"/>
      <c r="Z397" s="299"/>
      <c r="AA397" s="299"/>
      <c r="AB397" s="299"/>
      <c r="AC397" s="299"/>
      <c r="AD397" s="299"/>
      <c r="AE397" s="299"/>
      <c r="AF397" s="299"/>
      <c r="AG397" s="299"/>
      <c r="AH397" s="299"/>
      <c r="AI397" s="299"/>
      <c r="AJ397" s="299"/>
      <c r="AK397" s="299"/>
    </row>
    <row r="398" spans="2:37" ht="13.2">
      <c r="B398" s="299"/>
      <c r="C398" s="299"/>
      <c r="D398" s="299"/>
      <c r="E398" s="299"/>
      <c r="F398" s="299"/>
      <c r="G398" s="299"/>
      <c r="H398" s="299"/>
      <c r="I398" s="299"/>
      <c r="J398" s="299"/>
      <c r="K398" s="299"/>
      <c r="L398" s="299"/>
      <c r="M398" s="299"/>
      <c r="N398" s="299"/>
      <c r="O398" s="299"/>
      <c r="P398" s="299"/>
      <c r="Q398" s="299"/>
      <c r="R398" s="299"/>
      <c r="S398" s="299"/>
      <c r="T398" s="299"/>
      <c r="U398" s="299"/>
      <c r="V398" s="299"/>
      <c r="W398" s="299"/>
      <c r="X398" s="299"/>
      <c r="Y398" s="299"/>
      <c r="Z398" s="299"/>
      <c r="AA398" s="299"/>
      <c r="AB398" s="299"/>
      <c r="AC398" s="299"/>
      <c r="AD398" s="299"/>
      <c r="AE398" s="299"/>
      <c r="AF398" s="299"/>
      <c r="AG398" s="299"/>
      <c r="AH398" s="299"/>
      <c r="AI398" s="299"/>
      <c r="AJ398" s="299"/>
      <c r="AK398" s="299"/>
    </row>
    <row r="399" spans="2:37" ht="13.2">
      <c r="B399" s="299"/>
      <c r="C399" s="299"/>
      <c r="D399" s="299"/>
      <c r="E399" s="299"/>
      <c r="F399" s="299"/>
      <c r="G399" s="299"/>
      <c r="H399" s="299"/>
      <c r="I399" s="299"/>
      <c r="J399" s="299"/>
      <c r="K399" s="299"/>
      <c r="L399" s="299"/>
      <c r="M399" s="299"/>
      <c r="N399" s="299"/>
      <c r="O399" s="299"/>
      <c r="P399" s="299"/>
      <c r="Q399" s="299"/>
      <c r="R399" s="299"/>
      <c r="S399" s="299"/>
      <c r="T399" s="299"/>
      <c r="U399" s="299"/>
      <c r="V399" s="299"/>
      <c r="W399" s="299"/>
      <c r="X399" s="299"/>
      <c r="Y399" s="299"/>
      <c r="Z399" s="299"/>
      <c r="AA399" s="299"/>
      <c r="AB399" s="299"/>
      <c r="AC399" s="299"/>
      <c r="AD399" s="299"/>
      <c r="AE399" s="299"/>
      <c r="AF399" s="299"/>
      <c r="AG399" s="299"/>
      <c r="AH399" s="299"/>
      <c r="AI399" s="299"/>
      <c r="AJ399" s="299"/>
      <c r="AK399" s="299"/>
    </row>
    <row r="400" spans="2:37" ht="13.2">
      <c r="B400" s="299"/>
      <c r="C400" s="299"/>
      <c r="D400" s="299"/>
      <c r="E400" s="299"/>
      <c r="F400" s="299"/>
      <c r="G400" s="299"/>
      <c r="H400" s="299"/>
      <c r="I400" s="299"/>
      <c r="J400" s="299"/>
      <c r="K400" s="299"/>
      <c r="L400" s="299"/>
      <c r="M400" s="299"/>
      <c r="N400" s="299"/>
      <c r="O400" s="299"/>
      <c r="P400" s="299"/>
      <c r="Q400" s="299"/>
      <c r="R400" s="299"/>
      <c r="S400" s="299"/>
      <c r="T400" s="299"/>
      <c r="U400" s="299"/>
      <c r="V400" s="299"/>
      <c r="W400" s="299"/>
      <c r="X400" s="299"/>
      <c r="Y400" s="299"/>
      <c r="Z400" s="299"/>
      <c r="AA400" s="299"/>
      <c r="AB400" s="299"/>
      <c r="AC400" s="299"/>
      <c r="AD400" s="299"/>
      <c r="AE400" s="299"/>
      <c r="AF400" s="299"/>
      <c r="AG400" s="299"/>
      <c r="AH400" s="299"/>
      <c r="AI400" s="299"/>
      <c r="AJ400" s="299"/>
      <c r="AK400" s="299"/>
    </row>
    <row r="401" spans="2:37" ht="13.2">
      <c r="B401" s="299"/>
      <c r="C401" s="299"/>
      <c r="D401" s="299"/>
      <c r="E401" s="299"/>
      <c r="F401" s="299"/>
      <c r="G401" s="299"/>
      <c r="H401" s="299"/>
      <c r="I401" s="299"/>
      <c r="J401" s="299"/>
      <c r="K401" s="299"/>
      <c r="L401" s="299"/>
      <c r="M401" s="299"/>
      <c r="N401" s="299"/>
      <c r="O401" s="299"/>
      <c r="P401" s="299"/>
      <c r="Q401" s="299"/>
      <c r="R401" s="299"/>
      <c r="S401" s="299"/>
      <c r="T401" s="299"/>
      <c r="U401" s="299"/>
      <c r="V401" s="299"/>
      <c r="W401" s="299"/>
      <c r="X401" s="299"/>
      <c r="Y401" s="299"/>
      <c r="Z401" s="299"/>
      <c r="AA401" s="299"/>
      <c r="AB401" s="299"/>
      <c r="AC401" s="299"/>
      <c r="AD401" s="299"/>
      <c r="AE401" s="299"/>
      <c r="AF401" s="299"/>
      <c r="AG401" s="299"/>
      <c r="AH401" s="299"/>
      <c r="AI401" s="299"/>
      <c r="AJ401" s="299"/>
      <c r="AK401" s="299"/>
    </row>
    <row r="402" spans="2:37" ht="13.2">
      <c r="B402" s="299"/>
      <c r="C402" s="299"/>
      <c r="D402" s="299"/>
      <c r="E402" s="299"/>
      <c r="F402" s="299"/>
      <c r="G402" s="299"/>
      <c r="H402" s="299"/>
      <c r="I402" s="299"/>
      <c r="J402" s="299"/>
      <c r="K402" s="299"/>
      <c r="L402" s="299"/>
      <c r="M402" s="299"/>
      <c r="N402" s="299"/>
      <c r="O402" s="299"/>
      <c r="P402" s="299"/>
      <c r="Q402" s="299"/>
      <c r="R402" s="299"/>
      <c r="S402" s="299"/>
      <c r="T402" s="299"/>
      <c r="U402" s="299"/>
      <c r="V402" s="299"/>
      <c r="W402" s="299"/>
      <c r="X402" s="299"/>
      <c r="Y402" s="299"/>
      <c r="Z402" s="299"/>
      <c r="AA402" s="299"/>
      <c r="AB402" s="299"/>
      <c r="AC402" s="299"/>
      <c r="AD402" s="299"/>
      <c r="AE402" s="299"/>
      <c r="AF402" s="299"/>
      <c r="AG402" s="299"/>
      <c r="AH402" s="299"/>
      <c r="AI402" s="299"/>
      <c r="AJ402" s="299"/>
      <c r="AK402" s="299"/>
    </row>
    <row r="403" spans="2:37" ht="13.2">
      <c r="B403" s="299"/>
      <c r="C403" s="299"/>
      <c r="D403" s="299"/>
      <c r="E403" s="299"/>
      <c r="F403" s="299"/>
      <c r="G403" s="299"/>
      <c r="H403" s="299"/>
      <c r="I403" s="299"/>
      <c r="J403" s="299"/>
      <c r="K403" s="299"/>
      <c r="L403" s="299"/>
      <c r="M403" s="299"/>
      <c r="N403" s="299"/>
      <c r="O403" s="299"/>
      <c r="P403" s="299"/>
      <c r="Q403" s="299"/>
      <c r="R403" s="299"/>
      <c r="S403" s="299"/>
      <c r="T403" s="299"/>
      <c r="U403" s="299"/>
      <c r="V403" s="299"/>
      <c r="W403" s="299"/>
      <c r="X403" s="299"/>
      <c r="Y403" s="299"/>
      <c r="Z403" s="299"/>
      <c r="AA403" s="299"/>
      <c r="AB403" s="299"/>
      <c r="AC403" s="299"/>
      <c r="AD403" s="299"/>
      <c r="AE403" s="299"/>
      <c r="AF403" s="299"/>
      <c r="AG403" s="299"/>
      <c r="AH403" s="299"/>
      <c r="AI403" s="299"/>
      <c r="AJ403" s="299"/>
      <c r="AK403" s="299"/>
    </row>
    <row r="404" spans="2:37" ht="13.2">
      <c r="B404" s="299"/>
      <c r="C404" s="299"/>
      <c r="D404" s="299"/>
      <c r="E404" s="299"/>
      <c r="F404" s="299"/>
      <c r="G404" s="299"/>
      <c r="H404" s="299"/>
      <c r="I404" s="299"/>
      <c r="J404" s="299"/>
      <c r="K404" s="299"/>
      <c r="L404" s="299"/>
      <c r="M404" s="299"/>
      <c r="N404" s="299"/>
      <c r="O404" s="299"/>
      <c r="P404" s="299"/>
      <c r="Q404" s="299"/>
      <c r="R404" s="299"/>
      <c r="S404" s="299"/>
      <c r="T404" s="299"/>
      <c r="U404" s="299"/>
      <c r="V404" s="299"/>
      <c r="W404" s="299"/>
      <c r="X404" s="299"/>
      <c r="Y404" s="299"/>
      <c r="Z404" s="299"/>
      <c r="AA404" s="299"/>
      <c r="AB404" s="299"/>
      <c r="AC404" s="299"/>
      <c r="AD404" s="299"/>
      <c r="AE404" s="299"/>
      <c r="AF404" s="299"/>
      <c r="AG404" s="299"/>
      <c r="AH404" s="299"/>
      <c r="AI404" s="299"/>
      <c r="AJ404" s="299"/>
      <c r="AK404" s="299"/>
    </row>
    <row r="405" spans="2:37" ht="13.2">
      <c r="B405" s="299"/>
      <c r="C405" s="299"/>
      <c r="D405" s="299"/>
      <c r="E405" s="299"/>
      <c r="F405" s="299"/>
      <c r="G405" s="299"/>
      <c r="H405" s="299"/>
      <c r="I405" s="299"/>
      <c r="J405" s="299"/>
      <c r="K405" s="299"/>
      <c r="L405" s="299"/>
      <c r="M405" s="299"/>
      <c r="N405" s="299"/>
      <c r="O405" s="299"/>
      <c r="P405" s="299"/>
      <c r="Q405" s="299"/>
      <c r="R405" s="299"/>
      <c r="S405" s="299"/>
      <c r="T405" s="299"/>
      <c r="U405" s="299"/>
      <c r="V405" s="299"/>
      <c r="W405" s="299"/>
      <c r="X405" s="299"/>
      <c r="Y405" s="299"/>
      <c r="Z405" s="299"/>
      <c r="AA405" s="299"/>
      <c r="AB405" s="299"/>
      <c r="AC405" s="299"/>
      <c r="AD405" s="299"/>
      <c r="AE405" s="299"/>
      <c r="AF405" s="299"/>
      <c r="AG405" s="299"/>
      <c r="AH405" s="299"/>
      <c r="AI405" s="299"/>
      <c r="AJ405" s="299"/>
      <c r="AK405" s="299"/>
    </row>
    <row r="406" spans="2:37" ht="13.2">
      <c r="B406" s="299"/>
      <c r="C406" s="299"/>
      <c r="D406" s="299"/>
      <c r="E406" s="299"/>
      <c r="F406" s="299"/>
      <c r="G406" s="299"/>
      <c r="H406" s="299"/>
      <c r="I406" s="299"/>
      <c r="J406" s="299"/>
      <c r="K406" s="299"/>
      <c r="L406" s="299"/>
      <c r="M406" s="299"/>
      <c r="N406" s="299"/>
      <c r="O406" s="299"/>
      <c r="P406" s="299"/>
      <c r="Q406" s="299"/>
      <c r="R406" s="299"/>
      <c r="S406" s="299"/>
      <c r="T406" s="299"/>
      <c r="U406" s="299"/>
      <c r="V406" s="299"/>
      <c r="W406" s="299"/>
      <c r="X406" s="299"/>
      <c r="Y406" s="299"/>
      <c r="Z406" s="299"/>
      <c r="AA406" s="299"/>
      <c r="AB406" s="299"/>
      <c r="AC406" s="299"/>
      <c r="AD406" s="299"/>
      <c r="AE406" s="299"/>
      <c r="AF406" s="299"/>
      <c r="AG406" s="299"/>
      <c r="AH406" s="299"/>
      <c r="AI406" s="299"/>
      <c r="AJ406" s="299"/>
      <c r="AK406" s="299"/>
    </row>
    <row r="407" spans="2:37" ht="13.2">
      <c r="B407" s="299"/>
      <c r="C407" s="299"/>
      <c r="D407" s="299"/>
      <c r="E407" s="299"/>
      <c r="F407" s="299"/>
      <c r="G407" s="299"/>
      <c r="H407" s="299"/>
      <c r="I407" s="299"/>
      <c r="J407" s="299"/>
      <c r="K407" s="299"/>
      <c r="L407" s="299"/>
      <c r="M407" s="299"/>
      <c r="N407" s="299"/>
      <c r="O407" s="299"/>
      <c r="P407" s="299"/>
      <c r="Q407" s="299"/>
      <c r="R407" s="299"/>
      <c r="S407" s="299"/>
      <c r="T407" s="299"/>
      <c r="U407" s="299"/>
      <c r="V407" s="299"/>
      <c r="W407" s="299"/>
      <c r="X407" s="299"/>
      <c r="Y407" s="299"/>
      <c r="Z407" s="299"/>
      <c r="AA407" s="299"/>
      <c r="AB407" s="299"/>
      <c r="AC407" s="299"/>
      <c r="AD407" s="299"/>
      <c r="AE407" s="299"/>
      <c r="AF407" s="299"/>
      <c r="AG407" s="299"/>
      <c r="AH407" s="299"/>
      <c r="AI407" s="299"/>
      <c r="AJ407" s="299"/>
      <c r="AK407" s="299"/>
    </row>
    <row r="408" spans="2:37" ht="13.2">
      <c r="B408" s="299"/>
      <c r="C408" s="299"/>
      <c r="D408" s="299"/>
      <c r="E408" s="299"/>
      <c r="F408" s="299"/>
      <c r="G408" s="299"/>
      <c r="H408" s="299"/>
      <c r="I408" s="299"/>
      <c r="J408" s="299"/>
      <c r="K408" s="299"/>
      <c r="L408" s="299"/>
      <c r="M408" s="299"/>
      <c r="N408" s="299"/>
      <c r="O408" s="299"/>
      <c r="P408" s="299"/>
      <c r="Q408" s="299"/>
      <c r="R408" s="299"/>
      <c r="S408" s="299"/>
      <c r="T408" s="299"/>
      <c r="U408" s="299"/>
      <c r="V408" s="299"/>
      <c r="W408" s="299"/>
      <c r="X408" s="299"/>
      <c r="Y408" s="299"/>
      <c r="Z408" s="299"/>
      <c r="AA408" s="299"/>
      <c r="AB408" s="299"/>
      <c r="AC408" s="299"/>
      <c r="AD408" s="299"/>
      <c r="AE408" s="299"/>
      <c r="AF408" s="299"/>
      <c r="AG408" s="299"/>
      <c r="AH408" s="299"/>
      <c r="AI408" s="299"/>
      <c r="AJ408" s="299"/>
      <c r="AK408" s="299"/>
    </row>
    <row r="409" spans="2:37" ht="13.2">
      <c r="B409" s="299"/>
      <c r="C409" s="299"/>
      <c r="D409" s="299"/>
      <c r="E409" s="299"/>
      <c r="F409" s="299"/>
      <c r="G409" s="299"/>
      <c r="H409" s="299"/>
      <c r="I409" s="299"/>
      <c r="J409" s="299"/>
      <c r="K409" s="299"/>
      <c r="L409" s="299"/>
      <c r="M409" s="299"/>
      <c r="N409" s="299"/>
      <c r="O409" s="299"/>
      <c r="P409" s="299"/>
      <c r="Q409" s="299"/>
      <c r="R409" s="299"/>
      <c r="S409" s="299"/>
      <c r="T409" s="299"/>
      <c r="U409" s="299"/>
      <c r="V409" s="299"/>
      <c r="W409" s="299"/>
      <c r="X409" s="299"/>
      <c r="Y409" s="299"/>
      <c r="Z409" s="299"/>
      <c r="AA409" s="299"/>
      <c r="AB409" s="299"/>
      <c r="AC409" s="299"/>
      <c r="AD409" s="299"/>
      <c r="AE409" s="299"/>
      <c r="AF409" s="299"/>
      <c r="AG409" s="299"/>
      <c r="AH409" s="299"/>
      <c r="AI409" s="299"/>
      <c r="AJ409" s="299"/>
      <c r="AK409" s="299"/>
    </row>
    <row r="410" spans="2:37" ht="13.2">
      <c r="B410" s="299"/>
      <c r="C410" s="299"/>
      <c r="D410" s="299"/>
      <c r="E410" s="299"/>
      <c r="F410" s="299"/>
      <c r="G410" s="299"/>
      <c r="H410" s="299"/>
      <c r="I410" s="299"/>
      <c r="J410" s="299"/>
      <c r="K410" s="299"/>
      <c r="L410" s="299"/>
      <c r="M410" s="299"/>
      <c r="N410" s="299"/>
      <c r="O410" s="299"/>
      <c r="P410" s="299"/>
      <c r="Q410" s="299"/>
      <c r="R410" s="299"/>
      <c r="S410" s="299"/>
      <c r="T410" s="299"/>
      <c r="U410" s="299"/>
      <c r="V410" s="299"/>
      <c r="W410" s="299"/>
      <c r="X410" s="299"/>
      <c r="Y410" s="299"/>
      <c r="Z410" s="299"/>
      <c r="AA410" s="299"/>
      <c r="AB410" s="299"/>
      <c r="AC410" s="299"/>
      <c r="AD410" s="299"/>
      <c r="AE410" s="299"/>
      <c r="AF410" s="299"/>
      <c r="AG410" s="299"/>
      <c r="AH410" s="299"/>
      <c r="AI410" s="299"/>
      <c r="AJ410" s="299"/>
      <c r="AK410" s="299"/>
    </row>
    <row r="411" spans="2:37" ht="13.2">
      <c r="B411" s="299"/>
      <c r="C411" s="299"/>
      <c r="D411" s="299"/>
      <c r="E411" s="299"/>
      <c r="F411" s="299"/>
      <c r="G411" s="299"/>
      <c r="H411" s="299"/>
      <c r="I411" s="299"/>
      <c r="J411" s="299"/>
      <c r="K411" s="299"/>
      <c r="L411" s="299"/>
      <c r="M411" s="299"/>
      <c r="N411" s="299"/>
      <c r="O411" s="299"/>
      <c r="P411" s="299"/>
      <c r="Q411" s="299"/>
      <c r="R411" s="299"/>
      <c r="S411" s="299"/>
      <c r="T411" s="299"/>
      <c r="U411" s="299"/>
      <c r="V411" s="299"/>
      <c r="W411" s="299"/>
      <c r="X411" s="299"/>
      <c r="Y411" s="299"/>
      <c r="Z411" s="299"/>
      <c r="AA411" s="299"/>
      <c r="AB411" s="299"/>
      <c r="AC411" s="299"/>
      <c r="AD411" s="299"/>
      <c r="AE411" s="299"/>
      <c r="AF411" s="299"/>
      <c r="AG411" s="299"/>
      <c r="AH411" s="299"/>
      <c r="AI411" s="299"/>
      <c r="AJ411" s="299"/>
      <c r="AK411" s="299"/>
    </row>
    <row r="412" spans="2:37" ht="13.2">
      <c r="B412" s="299"/>
      <c r="C412" s="299"/>
      <c r="D412" s="299"/>
      <c r="E412" s="299"/>
      <c r="F412" s="299"/>
      <c r="G412" s="299"/>
      <c r="H412" s="299"/>
      <c r="I412" s="299"/>
      <c r="J412" s="299"/>
      <c r="K412" s="299"/>
      <c r="L412" s="299"/>
      <c r="M412" s="299"/>
      <c r="N412" s="299"/>
      <c r="O412" s="299"/>
      <c r="P412" s="299"/>
      <c r="Q412" s="299"/>
      <c r="R412" s="299"/>
      <c r="S412" s="299"/>
      <c r="T412" s="299"/>
      <c r="U412" s="299"/>
      <c r="V412" s="299"/>
      <c r="W412" s="299"/>
      <c r="X412" s="299"/>
      <c r="Y412" s="299"/>
      <c r="Z412" s="299"/>
      <c r="AA412" s="299"/>
      <c r="AB412" s="299"/>
      <c r="AC412" s="299"/>
      <c r="AD412" s="299"/>
      <c r="AE412" s="299"/>
      <c r="AF412" s="299"/>
      <c r="AG412" s="299"/>
      <c r="AH412" s="299"/>
      <c r="AI412" s="299"/>
      <c r="AJ412" s="299"/>
      <c r="AK412" s="299"/>
    </row>
    <row r="413" spans="2:37" ht="13.2">
      <c r="B413" s="299"/>
      <c r="C413" s="299"/>
      <c r="D413" s="299"/>
      <c r="E413" s="299"/>
      <c r="F413" s="299"/>
      <c r="G413" s="299"/>
      <c r="H413" s="299"/>
      <c r="I413" s="299"/>
      <c r="J413" s="299"/>
      <c r="K413" s="299"/>
      <c r="L413" s="299"/>
      <c r="M413" s="299"/>
      <c r="N413" s="299"/>
      <c r="O413" s="299"/>
      <c r="P413" s="299"/>
      <c r="Q413" s="299"/>
      <c r="R413" s="299"/>
      <c r="S413" s="299"/>
      <c r="T413" s="299"/>
      <c r="U413" s="299"/>
      <c r="V413" s="299"/>
      <c r="W413" s="299"/>
      <c r="X413" s="299"/>
      <c r="Y413" s="299"/>
      <c r="Z413" s="299"/>
      <c r="AA413" s="299"/>
      <c r="AB413" s="299"/>
      <c r="AC413" s="299"/>
      <c r="AD413" s="299"/>
      <c r="AE413" s="299"/>
      <c r="AF413" s="299"/>
      <c r="AG413" s="299"/>
      <c r="AH413" s="299"/>
      <c r="AI413" s="299"/>
      <c r="AJ413" s="299"/>
      <c r="AK413" s="299"/>
    </row>
    <row r="414" spans="2:37" ht="13.2">
      <c r="B414" s="299"/>
      <c r="C414" s="299"/>
      <c r="D414" s="299"/>
      <c r="E414" s="299"/>
      <c r="F414" s="299"/>
      <c r="G414" s="299"/>
      <c r="H414" s="299"/>
      <c r="I414" s="299"/>
      <c r="J414" s="299"/>
      <c r="K414" s="299"/>
      <c r="L414" s="299"/>
      <c r="M414" s="299"/>
      <c r="N414" s="299"/>
      <c r="O414" s="299"/>
      <c r="P414" s="299"/>
      <c r="Q414" s="299"/>
      <c r="R414" s="299"/>
      <c r="S414" s="299"/>
      <c r="T414" s="299"/>
      <c r="U414" s="299"/>
      <c r="V414" s="299"/>
      <c r="W414" s="299"/>
      <c r="X414" s="299"/>
      <c r="Y414" s="299"/>
      <c r="Z414" s="299"/>
      <c r="AA414" s="299"/>
      <c r="AB414" s="299"/>
      <c r="AC414" s="299"/>
      <c r="AD414" s="299"/>
      <c r="AE414" s="299"/>
      <c r="AF414" s="299"/>
      <c r="AG414" s="299"/>
      <c r="AH414" s="299"/>
      <c r="AI414" s="299"/>
      <c r="AJ414" s="299"/>
      <c r="AK414" s="299"/>
    </row>
    <row r="415" spans="2:37" ht="13.2">
      <c r="B415" s="299"/>
      <c r="C415" s="299"/>
      <c r="D415" s="299"/>
      <c r="E415" s="299"/>
      <c r="F415" s="299"/>
      <c r="G415" s="299"/>
      <c r="H415" s="299"/>
      <c r="I415" s="299"/>
      <c r="J415" s="299"/>
      <c r="K415" s="299"/>
      <c r="L415" s="299"/>
      <c r="M415" s="299"/>
      <c r="N415" s="299"/>
      <c r="O415" s="299"/>
      <c r="P415" s="299"/>
      <c r="Q415" s="299"/>
      <c r="R415" s="299"/>
      <c r="S415" s="299"/>
      <c r="T415" s="299"/>
      <c r="U415" s="299"/>
      <c r="V415" s="299"/>
      <c r="W415" s="299"/>
      <c r="X415" s="299"/>
      <c r="Y415" s="299"/>
      <c r="Z415" s="299"/>
      <c r="AA415" s="299"/>
      <c r="AB415" s="299"/>
      <c r="AC415" s="299"/>
      <c r="AD415" s="299"/>
      <c r="AE415" s="299"/>
      <c r="AF415" s="299"/>
      <c r="AG415" s="299"/>
      <c r="AH415" s="299"/>
      <c r="AI415" s="299"/>
      <c r="AJ415" s="299"/>
      <c r="AK415" s="299"/>
    </row>
    <row r="416" spans="2:37" ht="13.2">
      <c r="B416" s="299"/>
      <c r="C416" s="299"/>
      <c r="D416" s="299"/>
      <c r="E416" s="299"/>
      <c r="F416" s="299"/>
      <c r="G416" s="299"/>
      <c r="H416" s="299"/>
      <c r="I416" s="299"/>
      <c r="J416" s="299"/>
      <c r="K416" s="299"/>
      <c r="L416" s="299"/>
      <c r="M416" s="299"/>
      <c r="N416" s="299"/>
      <c r="O416" s="299"/>
      <c r="P416" s="299"/>
      <c r="Q416" s="299"/>
      <c r="R416" s="299"/>
      <c r="S416" s="299"/>
      <c r="T416" s="299"/>
      <c r="U416" s="299"/>
      <c r="V416" s="299"/>
      <c r="W416" s="299"/>
      <c r="X416" s="299"/>
      <c r="Y416" s="299"/>
      <c r="Z416" s="299"/>
      <c r="AA416" s="299"/>
      <c r="AB416" s="299"/>
      <c r="AC416" s="299"/>
      <c r="AD416" s="299"/>
      <c r="AE416" s="299"/>
      <c r="AF416" s="299"/>
      <c r="AG416" s="299"/>
      <c r="AH416" s="299"/>
      <c r="AI416" s="299"/>
      <c r="AJ416" s="299"/>
      <c r="AK416" s="299"/>
    </row>
    <row r="417" spans="2:37" ht="13.2">
      <c r="B417" s="299"/>
      <c r="C417" s="299"/>
      <c r="D417" s="299"/>
      <c r="E417" s="299"/>
      <c r="F417" s="299"/>
      <c r="G417" s="299"/>
      <c r="H417" s="299"/>
      <c r="I417" s="299"/>
      <c r="J417" s="299"/>
      <c r="K417" s="299"/>
      <c r="L417" s="299"/>
      <c r="M417" s="299"/>
      <c r="N417" s="299"/>
      <c r="O417" s="299"/>
      <c r="P417" s="299"/>
      <c r="Q417" s="299"/>
      <c r="R417" s="299"/>
      <c r="S417" s="299"/>
      <c r="T417" s="299"/>
      <c r="U417" s="299"/>
      <c r="V417" s="299"/>
      <c r="W417" s="299"/>
      <c r="X417" s="299"/>
      <c r="Y417" s="299"/>
      <c r="Z417" s="299"/>
      <c r="AA417" s="299"/>
      <c r="AB417" s="299"/>
      <c r="AC417" s="299"/>
      <c r="AD417" s="299"/>
      <c r="AE417" s="299"/>
      <c r="AF417" s="299"/>
      <c r="AG417" s="299"/>
      <c r="AH417" s="299"/>
      <c r="AI417" s="299"/>
      <c r="AJ417" s="299"/>
      <c r="AK417" s="299"/>
    </row>
    <row r="418" spans="2:37" ht="13.2">
      <c r="B418" s="299"/>
      <c r="C418" s="299"/>
      <c r="D418" s="299"/>
      <c r="E418" s="299"/>
      <c r="F418" s="299"/>
      <c r="G418" s="299"/>
      <c r="H418" s="299"/>
      <c r="I418" s="299"/>
      <c r="J418" s="299"/>
      <c r="K418" s="299"/>
      <c r="L418" s="299"/>
      <c r="M418" s="299"/>
      <c r="N418" s="299"/>
      <c r="O418" s="299"/>
      <c r="P418" s="299"/>
      <c r="Q418" s="299"/>
      <c r="R418" s="299"/>
      <c r="S418" s="299"/>
      <c r="T418" s="299"/>
      <c r="U418" s="299"/>
      <c r="V418" s="299"/>
      <c r="W418" s="299"/>
      <c r="X418" s="299"/>
      <c r="Y418" s="299"/>
      <c r="Z418" s="299"/>
      <c r="AA418" s="299"/>
      <c r="AB418" s="299"/>
      <c r="AC418" s="299"/>
      <c r="AD418" s="299"/>
      <c r="AE418" s="299"/>
      <c r="AF418" s="299"/>
      <c r="AG418" s="299"/>
      <c r="AH418" s="299"/>
      <c r="AI418" s="299"/>
      <c r="AJ418" s="299"/>
      <c r="AK418" s="299"/>
    </row>
    <row r="419" spans="2:37" ht="13.2">
      <c r="B419" s="299"/>
      <c r="C419" s="299"/>
      <c r="D419" s="299"/>
      <c r="E419" s="299"/>
      <c r="F419" s="299"/>
      <c r="G419" s="299"/>
      <c r="H419" s="299"/>
      <c r="I419" s="299"/>
      <c r="J419" s="299"/>
      <c r="K419" s="299"/>
      <c r="L419" s="299"/>
      <c r="M419" s="299"/>
      <c r="N419" s="299"/>
      <c r="O419" s="299"/>
      <c r="P419" s="299"/>
      <c r="Q419" s="299"/>
      <c r="R419" s="299"/>
      <c r="S419" s="299"/>
      <c r="T419" s="299"/>
      <c r="U419" s="299"/>
      <c r="V419" s="299"/>
      <c r="W419" s="299"/>
      <c r="X419" s="299"/>
      <c r="Y419" s="299"/>
      <c r="Z419" s="299"/>
      <c r="AA419" s="299"/>
      <c r="AB419" s="299"/>
      <c r="AC419" s="299"/>
      <c r="AD419" s="299"/>
      <c r="AE419" s="299"/>
      <c r="AF419" s="299"/>
      <c r="AG419" s="299"/>
      <c r="AH419" s="299"/>
      <c r="AI419" s="299"/>
      <c r="AJ419" s="299"/>
      <c r="AK419" s="299"/>
    </row>
    <row r="420" spans="2:37" ht="13.2">
      <c r="B420" s="299"/>
      <c r="C420" s="299"/>
      <c r="D420" s="299"/>
      <c r="E420" s="299"/>
      <c r="F420" s="299"/>
      <c r="G420" s="299"/>
      <c r="H420" s="299"/>
      <c r="I420" s="299"/>
      <c r="J420" s="299"/>
      <c r="K420" s="299"/>
      <c r="L420" s="299"/>
      <c r="M420" s="299"/>
      <c r="N420" s="299"/>
      <c r="O420" s="299"/>
      <c r="P420" s="299"/>
      <c r="Q420" s="299"/>
      <c r="R420" s="299"/>
      <c r="S420" s="299"/>
      <c r="T420" s="299"/>
      <c r="U420" s="299"/>
      <c r="V420" s="299"/>
      <c r="W420" s="299"/>
      <c r="X420" s="299"/>
      <c r="Y420" s="299"/>
      <c r="Z420" s="299"/>
      <c r="AA420" s="299"/>
      <c r="AB420" s="299"/>
      <c r="AC420" s="299"/>
      <c r="AD420" s="299"/>
      <c r="AE420" s="299"/>
      <c r="AF420" s="299"/>
      <c r="AG420" s="299"/>
      <c r="AH420" s="299"/>
      <c r="AI420" s="299"/>
      <c r="AJ420" s="299"/>
      <c r="AK420" s="299"/>
    </row>
    <row r="421" spans="2:37" ht="13.2">
      <c r="B421" s="299"/>
      <c r="C421" s="299"/>
      <c r="D421" s="299"/>
      <c r="E421" s="299"/>
      <c r="F421" s="299"/>
      <c r="G421" s="299"/>
      <c r="H421" s="299"/>
      <c r="I421" s="299"/>
      <c r="J421" s="299"/>
      <c r="K421" s="299"/>
      <c r="L421" s="299"/>
      <c r="M421" s="299"/>
      <c r="N421" s="299"/>
      <c r="O421" s="299"/>
      <c r="P421" s="299"/>
      <c r="Q421" s="299"/>
      <c r="R421" s="299"/>
      <c r="S421" s="299"/>
      <c r="T421" s="299"/>
      <c r="U421" s="299"/>
      <c r="V421" s="299"/>
      <c r="W421" s="299"/>
      <c r="X421" s="299"/>
      <c r="Y421" s="299"/>
      <c r="Z421" s="299"/>
      <c r="AA421" s="299"/>
      <c r="AB421" s="299"/>
      <c r="AC421" s="299"/>
      <c r="AD421" s="299"/>
      <c r="AE421" s="299"/>
      <c r="AF421" s="299"/>
      <c r="AG421" s="299"/>
      <c r="AH421" s="299"/>
      <c r="AI421" s="299"/>
      <c r="AJ421" s="299"/>
      <c r="AK421" s="299"/>
    </row>
    <row r="422" spans="2:37" ht="13.2">
      <c r="B422" s="299"/>
      <c r="C422" s="299"/>
      <c r="D422" s="299"/>
      <c r="E422" s="299"/>
      <c r="F422" s="299"/>
      <c r="G422" s="299"/>
      <c r="H422" s="299"/>
      <c r="I422" s="299"/>
      <c r="J422" s="299"/>
      <c r="K422" s="299"/>
      <c r="L422" s="299"/>
      <c r="M422" s="299"/>
      <c r="N422" s="299"/>
      <c r="O422" s="299"/>
      <c r="P422" s="299"/>
      <c r="Q422" s="299"/>
      <c r="R422" s="299"/>
      <c r="S422" s="299"/>
      <c r="T422" s="299"/>
      <c r="U422" s="299"/>
      <c r="V422" s="299"/>
      <c r="W422" s="299"/>
      <c r="X422" s="299"/>
      <c r="Y422" s="299"/>
      <c r="Z422" s="299"/>
      <c r="AA422" s="299"/>
      <c r="AB422" s="299"/>
      <c r="AC422" s="299"/>
      <c r="AD422" s="299"/>
      <c r="AE422" s="299"/>
      <c r="AF422" s="299"/>
      <c r="AG422" s="299"/>
      <c r="AH422" s="299"/>
      <c r="AI422" s="299"/>
      <c r="AJ422" s="299"/>
      <c r="AK422" s="299"/>
    </row>
    <row r="423" spans="2:37" ht="13.2">
      <c r="B423" s="299"/>
      <c r="C423" s="299"/>
      <c r="D423" s="299"/>
      <c r="E423" s="299"/>
      <c r="F423" s="299"/>
      <c r="G423" s="299"/>
      <c r="H423" s="299"/>
      <c r="I423" s="299"/>
      <c r="J423" s="299"/>
      <c r="K423" s="299"/>
      <c r="L423" s="299"/>
      <c r="M423" s="299"/>
      <c r="N423" s="299"/>
      <c r="O423" s="299"/>
      <c r="P423" s="299"/>
      <c r="Q423" s="299"/>
      <c r="R423" s="299"/>
      <c r="S423" s="299"/>
      <c r="T423" s="299"/>
      <c r="U423" s="299"/>
      <c r="V423" s="299"/>
      <c r="W423" s="299"/>
      <c r="X423" s="299"/>
      <c r="Y423" s="299"/>
      <c r="Z423" s="299"/>
      <c r="AA423" s="299"/>
      <c r="AB423" s="299"/>
      <c r="AC423" s="299"/>
      <c r="AD423" s="299"/>
      <c r="AE423" s="299"/>
      <c r="AF423" s="299"/>
      <c r="AG423" s="299"/>
      <c r="AH423" s="299"/>
      <c r="AI423" s="299"/>
      <c r="AJ423" s="299"/>
      <c r="AK423" s="299"/>
    </row>
    <row r="424" spans="2:37" ht="13.2">
      <c r="B424" s="299"/>
      <c r="C424" s="299"/>
      <c r="D424" s="299"/>
      <c r="E424" s="299"/>
      <c r="F424" s="299"/>
      <c r="G424" s="299"/>
      <c r="H424" s="299"/>
      <c r="I424" s="299"/>
      <c r="J424" s="299"/>
      <c r="K424" s="299"/>
      <c r="L424" s="299"/>
      <c r="M424" s="299"/>
      <c r="N424" s="299"/>
      <c r="O424" s="299"/>
      <c r="P424" s="299"/>
      <c r="Q424" s="299"/>
      <c r="R424" s="299"/>
      <c r="S424" s="299"/>
      <c r="T424" s="299"/>
      <c r="U424" s="299"/>
      <c r="V424" s="299"/>
      <c r="W424" s="299"/>
      <c r="X424" s="299"/>
      <c r="Y424" s="299"/>
      <c r="Z424" s="299"/>
      <c r="AA424" s="299"/>
      <c r="AB424" s="299"/>
      <c r="AC424" s="299"/>
      <c r="AD424" s="299"/>
      <c r="AE424" s="299"/>
      <c r="AF424" s="299"/>
      <c r="AG424" s="299"/>
      <c r="AH424" s="299"/>
      <c r="AI424" s="299"/>
      <c r="AJ424" s="299"/>
      <c r="AK424" s="299"/>
    </row>
    <row r="425" spans="2:37" ht="13.2">
      <c r="B425" s="299"/>
      <c r="C425" s="299"/>
      <c r="D425" s="299"/>
      <c r="E425" s="299"/>
      <c r="F425" s="299"/>
      <c r="G425" s="299"/>
      <c r="H425" s="299"/>
      <c r="I425" s="299"/>
      <c r="J425" s="299"/>
      <c r="K425" s="299"/>
      <c r="L425" s="299"/>
      <c r="M425" s="299"/>
      <c r="N425" s="299"/>
      <c r="O425" s="299"/>
      <c r="P425" s="299"/>
      <c r="Q425" s="299"/>
      <c r="R425" s="299"/>
      <c r="S425" s="299"/>
      <c r="T425" s="299"/>
      <c r="U425" s="299"/>
      <c r="V425" s="299"/>
      <c r="W425" s="299"/>
      <c r="X425" s="299"/>
      <c r="Y425" s="299"/>
      <c r="Z425" s="299"/>
      <c r="AA425" s="299"/>
      <c r="AB425" s="299"/>
      <c r="AC425" s="299"/>
      <c r="AD425" s="299"/>
      <c r="AE425" s="299"/>
      <c r="AF425" s="299"/>
      <c r="AG425" s="299"/>
      <c r="AH425" s="299"/>
      <c r="AI425" s="299"/>
      <c r="AJ425" s="299"/>
      <c r="AK425" s="299"/>
    </row>
    <row r="426" spans="2:37" ht="13.2">
      <c r="B426" s="299"/>
      <c r="C426" s="299"/>
      <c r="D426" s="299"/>
      <c r="E426" s="299"/>
      <c r="F426" s="299"/>
      <c r="G426" s="299"/>
      <c r="H426" s="299"/>
      <c r="I426" s="299"/>
      <c r="J426" s="299"/>
      <c r="K426" s="299"/>
      <c r="L426" s="299"/>
      <c r="M426" s="299"/>
      <c r="N426" s="299"/>
      <c r="O426" s="299"/>
      <c r="P426" s="299"/>
      <c r="Q426" s="299"/>
      <c r="R426" s="299"/>
      <c r="S426" s="299"/>
      <c r="T426" s="299"/>
      <c r="U426" s="299"/>
      <c r="V426" s="299"/>
      <c r="W426" s="299"/>
      <c r="X426" s="299"/>
      <c r="Y426" s="299"/>
      <c r="Z426" s="299"/>
      <c r="AA426" s="299"/>
      <c r="AB426" s="299"/>
      <c r="AC426" s="299"/>
      <c r="AD426" s="299"/>
      <c r="AE426" s="299"/>
      <c r="AF426" s="299"/>
      <c r="AG426" s="299"/>
      <c r="AH426" s="299"/>
      <c r="AI426" s="299"/>
      <c r="AJ426" s="299"/>
      <c r="AK426" s="299"/>
    </row>
    <row r="427" spans="2:37" ht="13.2">
      <c r="B427" s="299"/>
      <c r="C427" s="299"/>
      <c r="D427" s="299"/>
      <c r="E427" s="299"/>
      <c r="F427" s="299"/>
      <c r="G427" s="299"/>
      <c r="H427" s="299"/>
      <c r="I427" s="299"/>
      <c r="J427" s="299"/>
      <c r="K427" s="299"/>
      <c r="L427" s="299"/>
      <c r="M427" s="299"/>
      <c r="N427" s="299"/>
      <c r="O427" s="299"/>
      <c r="P427" s="299"/>
      <c r="Q427" s="299"/>
      <c r="R427" s="299"/>
      <c r="S427" s="299"/>
      <c r="T427" s="299"/>
      <c r="U427" s="299"/>
      <c r="V427" s="299"/>
      <c r="W427" s="299"/>
      <c r="X427" s="299"/>
      <c r="Y427" s="299"/>
      <c r="Z427" s="299"/>
      <c r="AA427" s="299"/>
      <c r="AB427" s="299"/>
      <c r="AC427" s="299"/>
      <c r="AD427" s="299"/>
      <c r="AE427" s="299"/>
      <c r="AF427" s="299"/>
      <c r="AG427" s="299"/>
      <c r="AH427" s="299"/>
      <c r="AI427" s="299"/>
      <c r="AJ427" s="299"/>
      <c r="AK427" s="299"/>
    </row>
    <row r="428" spans="2:37" ht="13.2">
      <c r="B428" s="299"/>
      <c r="C428" s="299"/>
      <c r="D428" s="299"/>
      <c r="E428" s="299"/>
      <c r="F428" s="299"/>
      <c r="G428" s="299"/>
      <c r="H428" s="299"/>
      <c r="I428" s="299"/>
      <c r="J428" s="299"/>
      <c r="K428" s="299"/>
      <c r="L428" s="299"/>
      <c r="M428" s="299"/>
      <c r="N428" s="299"/>
      <c r="O428" s="299"/>
      <c r="P428" s="299"/>
      <c r="Q428" s="299"/>
      <c r="R428" s="299"/>
      <c r="S428" s="299"/>
      <c r="T428" s="299"/>
      <c r="U428" s="299"/>
      <c r="V428" s="299"/>
      <c r="W428" s="299"/>
      <c r="X428" s="299"/>
      <c r="Y428" s="299"/>
      <c r="Z428" s="299"/>
      <c r="AA428" s="299"/>
      <c r="AB428" s="299"/>
      <c r="AC428" s="299"/>
      <c r="AD428" s="299"/>
      <c r="AE428" s="299"/>
      <c r="AF428" s="299"/>
      <c r="AG428" s="299"/>
      <c r="AH428" s="299"/>
      <c r="AI428" s="299"/>
      <c r="AJ428" s="299"/>
      <c r="AK428" s="299"/>
    </row>
    <row r="429" spans="2:37" ht="13.2">
      <c r="B429" s="299"/>
      <c r="C429" s="299"/>
      <c r="D429" s="299"/>
      <c r="E429" s="299"/>
      <c r="F429" s="299"/>
      <c r="G429" s="299"/>
      <c r="H429" s="299"/>
      <c r="I429" s="299"/>
      <c r="J429" s="299"/>
      <c r="K429" s="299"/>
      <c r="L429" s="299"/>
      <c r="M429" s="299"/>
      <c r="N429" s="299"/>
      <c r="O429" s="299"/>
      <c r="P429" s="299"/>
      <c r="Q429" s="299"/>
      <c r="R429" s="299"/>
      <c r="S429" s="299"/>
      <c r="T429" s="299"/>
      <c r="U429" s="299"/>
      <c r="V429" s="299"/>
      <c r="W429" s="299"/>
      <c r="X429" s="299"/>
      <c r="Y429" s="299"/>
      <c r="Z429" s="299"/>
      <c r="AA429" s="299"/>
      <c r="AB429" s="299"/>
      <c r="AC429" s="299"/>
      <c r="AD429" s="299"/>
      <c r="AE429" s="299"/>
      <c r="AF429" s="299"/>
      <c r="AG429" s="299"/>
      <c r="AH429" s="299"/>
      <c r="AI429" s="299"/>
      <c r="AJ429" s="299"/>
      <c r="AK429" s="299"/>
    </row>
    <row r="430" spans="2:37" ht="13.2">
      <c r="B430" s="299"/>
      <c r="C430" s="299"/>
      <c r="D430" s="299"/>
      <c r="E430" s="299"/>
      <c r="F430" s="299"/>
      <c r="G430" s="299"/>
      <c r="H430" s="299"/>
      <c r="I430" s="299"/>
      <c r="J430" s="299"/>
      <c r="K430" s="299"/>
      <c r="L430" s="299"/>
      <c r="M430" s="299"/>
      <c r="N430" s="299"/>
      <c r="O430" s="299"/>
      <c r="P430" s="299"/>
      <c r="Q430" s="299"/>
      <c r="R430" s="299"/>
      <c r="S430" s="299"/>
      <c r="T430" s="299"/>
      <c r="U430" s="299"/>
      <c r="V430" s="299"/>
      <c r="W430" s="299"/>
      <c r="X430" s="299"/>
      <c r="Y430" s="299"/>
      <c r="Z430" s="299"/>
      <c r="AA430" s="299"/>
      <c r="AB430" s="299"/>
      <c r="AC430" s="299"/>
      <c r="AD430" s="299"/>
      <c r="AE430" s="299"/>
      <c r="AF430" s="299"/>
      <c r="AG430" s="299"/>
      <c r="AH430" s="299"/>
      <c r="AI430" s="299"/>
      <c r="AJ430" s="299"/>
      <c r="AK430" s="299"/>
    </row>
    <row r="431" spans="2:37" ht="13.2">
      <c r="B431" s="299"/>
      <c r="C431" s="299"/>
      <c r="D431" s="299"/>
      <c r="E431" s="299"/>
      <c r="F431" s="299"/>
      <c r="G431" s="299"/>
      <c r="H431" s="299"/>
      <c r="I431" s="299"/>
      <c r="J431" s="299"/>
      <c r="K431" s="299"/>
      <c r="L431" s="299"/>
      <c r="M431" s="299"/>
      <c r="N431" s="299"/>
      <c r="O431" s="299"/>
      <c r="P431" s="299"/>
      <c r="Q431" s="299"/>
      <c r="R431" s="299"/>
      <c r="S431" s="299"/>
      <c r="T431" s="299"/>
      <c r="U431" s="299"/>
      <c r="V431" s="299"/>
      <c r="W431" s="299"/>
      <c r="X431" s="299"/>
      <c r="Y431" s="299"/>
      <c r="Z431" s="299"/>
      <c r="AA431" s="299"/>
      <c r="AB431" s="299"/>
      <c r="AC431" s="299"/>
      <c r="AD431" s="299"/>
      <c r="AE431" s="299"/>
      <c r="AF431" s="299"/>
      <c r="AG431" s="299"/>
      <c r="AH431" s="299"/>
      <c r="AI431" s="299"/>
      <c r="AJ431" s="299"/>
      <c r="AK431" s="299"/>
    </row>
    <row r="432" spans="2:37" ht="13.2">
      <c r="B432" s="299"/>
      <c r="C432" s="299"/>
      <c r="D432" s="299"/>
      <c r="E432" s="299"/>
      <c r="F432" s="299"/>
      <c r="G432" s="299"/>
      <c r="H432" s="299"/>
      <c r="I432" s="299"/>
      <c r="J432" s="299"/>
      <c r="K432" s="299"/>
      <c r="L432" s="299"/>
      <c r="M432" s="299"/>
      <c r="N432" s="299"/>
      <c r="O432" s="299"/>
      <c r="P432" s="299"/>
      <c r="Q432" s="299"/>
      <c r="R432" s="299"/>
      <c r="S432" s="299"/>
      <c r="T432" s="299"/>
      <c r="U432" s="299"/>
      <c r="V432" s="299"/>
      <c r="W432" s="299"/>
      <c r="X432" s="299"/>
      <c r="Y432" s="299"/>
      <c r="Z432" s="299"/>
      <c r="AA432" s="299"/>
      <c r="AB432" s="299"/>
      <c r="AC432" s="299"/>
      <c r="AD432" s="299"/>
      <c r="AE432" s="299"/>
      <c r="AF432" s="299"/>
      <c r="AG432" s="299"/>
      <c r="AH432" s="299"/>
      <c r="AI432" s="299"/>
      <c r="AJ432" s="299"/>
      <c r="AK432" s="299"/>
    </row>
    <row r="433" spans="2:37" ht="13.2">
      <c r="B433" s="299"/>
      <c r="C433" s="299"/>
      <c r="D433" s="299"/>
      <c r="E433" s="299"/>
      <c r="F433" s="299"/>
      <c r="G433" s="299"/>
      <c r="H433" s="299"/>
      <c r="I433" s="299"/>
      <c r="J433" s="299"/>
      <c r="K433" s="299"/>
      <c r="L433" s="299"/>
      <c r="M433" s="299"/>
      <c r="N433" s="299"/>
      <c r="O433" s="299"/>
      <c r="P433" s="299"/>
      <c r="Q433" s="299"/>
      <c r="R433" s="299"/>
      <c r="S433" s="299"/>
      <c r="T433" s="299"/>
      <c r="U433" s="299"/>
      <c r="V433" s="299"/>
      <c r="W433" s="299"/>
      <c r="X433" s="299"/>
      <c r="Y433" s="299"/>
      <c r="Z433" s="299"/>
      <c r="AA433" s="299"/>
      <c r="AB433" s="299"/>
      <c r="AC433" s="299"/>
      <c r="AD433" s="299"/>
      <c r="AE433" s="299"/>
      <c r="AF433" s="299"/>
      <c r="AG433" s="299"/>
      <c r="AH433" s="299"/>
      <c r="AI433" s="299"/>
      <c r="AJ433" s="299"/>
      <c r="AK433" s="299"/>
    </row>
    <row r="434" spans="2:37" ht="13.2">
      <c r="B434" s="299"/>
      <c r="C434" s="299"/>
      <c r="D434" s="299"/>
      <c r="E434" s="299"/>
      <c r="F434" s="299"/>
      <c r="G434" s="299"/>
      <c r="H434" s="299"/>
      <c r="I434" s="299"/>
      <c r="J434" s="299"/>
      <c r="K434" s="299"/>
      <c r="L434" s="299"/>
      <c r="M434" s="299"/>
      <c r="N434" s="299"/>
      <c r="O434" s="299"/>
      <c r="P434" s="299"/>
      <c r="Q434" s="299"/>
      <c r="R434" s="299"/>
      <c r="S434" s="299"/>
      <c r="T434" s="299"/>
      <c r="U434" s="299"/>
      <c r="V434" s="299"/>
      <c r="W434" s="299"/>
      <c r="X434" s="299"/>
      <c r="Y434" s="299"/>
      <c r="Z434" s="299"/>
      <c r="AA434" s="299"/>
      <c r="AB434" s="299"/>
      <c r="AC434" s="299"/>
      <c r="AD434" s="299"/>
      <c r="AE434" s="299"/>
      <c r="AF434" s="299"/>
      <c r="AG434" s="299"/>
      <c r="AH434" s="299"/>
      <c r="AI434" s="299"/>
      <c r="AJ434" s="299"/>
      <c r="AK434" s="299"/>
    </row>
    <row r="435" spans="2:37" ht="13.2">
      <c r="B435" s="299"/>
      <c r="C435" s="299"/>
      <c r="D435" s="299"/>
      <c r="E435" s="299"/>
      <c r="F435" s="299"/>
      <c r="G435" s="299"/>
      <c r="H435" s="299"/>
      <c r="I435" s="299"/>
      <c r="J435" s="299"/>
      <c r="K435" s="299"/>
      <c r="L435" s="299"/>
      <c r="M435" s="299"/>
      <c r="N435" s="299"/>
      <c r="O435" s="299"/>
      <c r="P435" s="299"/>
      <c r="Q435" s="299"/>
      <c r="R435" s="299"/>
      <c r="S435" s="299"/>
      <c r="T435" s="299"/>
      <c r="U435" s="299"/>
      <c r="V435" s="299"/>
      <c r="W435" s="299"/>
      <c r="X435" s="299"/>
      <c r="Y435" s="299"/>
      <c r="Z435" s="299"/>
      <c r="AA435" s="299"/>
      <c r="AB435" s="299"/>
      <c r="AC435" s="299"/>
      <c r="AD435" s="299"/>
      <c r="AE435" s="299"/>
      <c r="AF435" s="299"/>
      <c r="AG435" s="299"/>
      <c r="AH435" s="299"/>
      <c r="AI435" s="299"/>
      <c r="AJ435" s="299"/>
      <c r="AK435" s="299"/>
    </row>
    <row r="436" spans="2:37" ht="13.2">
      <c r="B436" s="299"/>
      <c r="C436" s="299"/>
      <c r="D436" s="299"/>
      <c r="E436" s="299"/>
      <c r="F436" s="299"/>
      <c r="G436" s="299"/>
      <c r="H436" s="299"/>
      <c r="I436" s="299"/>
      <c r="J436" s="299"/>
      <c r="K436" s="299"/>
      <c r="L436" s="299"/>
      <c r="M436" s="299"/>
      <c r="N436" s="299"/>
      <c r="O436" s="299"/>
      <c r="P436" s="299"/>
      <c r="Q436" s="299"/>
      <c r="R436" s="299"/>
      <c r="S436" s="299"/>
      <c r="T436" s="299"/>
      <c r="U436" s="299"/>
      <c r="V436" s="299"/>
      <c r="W436" s="299"/>
      <c r="X436" s="299"/>
      <c r="Y436" s="299"/>
      <c r="Z436" s="299"/>
      <c r="AA436" s="299"/>
      <c r="AB436" s="299"/>
      <c r="AC436" s="299"/>
      <c r="AD436" s="299"/>
      <c r="AE436" s="299"/>
      <c r="AF436" s="299"/>
      <c r="AG436" s="299"/>
      <c r="AH436" s="299"/>
      <c r="AI436" s="299"/>
      <c r="AJ436" s="299"/>
      <c r="AK436" s="299"/>
    </row>
    <row r="437" spans="2:37" ht="13.2">
      <c r="B437" s="299"/>
      <c r="C437" s="299"/>
      <c r="D437" s="299"/>
      <c r="E437" s="299"/>
      <c r="F437" s="299"/>
      <c r="G437" s="299"/>
      <c r="H437" s="299"/>
      <c r="I437" s="299"/>
      <c r="J437" s="299"/>
      <c r="K437" s="299"/>
      <c r="L437" s="299"/>
      <c r="M437" s="299"/>
      <c r="N437" s="299"/>
      <c r="O437" s="299"/>
      <c r="P437" s="299"/>
      <c r="Q437" s="299"/>
      <c r="R437" s="299"/>
      <c r="S437" s="299"/>
      <c r="T437" s="299"/>
      <c r="U437" s="299"/>
      <c r="V437" s="299"/>
      <c r="W437" s="299"/>
      <c r="X437" s="299"/>
      <c r="Y437" s="299"/>
      <c r="Z437" s="299"/>
      <c r="AA437" s="299"/>
      <c r="AB437" s="299"/>
      <c r="AC437" s="299"/>
      <c r="AD437" s="299"/>
      <c r="AE437" s="299"/>
      <c r="AF437" s="299"/>
      <c r="AG437" s="299"/>
      <c r="AH437" s="299"/>
      <c r="AI437" s="299"/>
      <c r="AJ437" s="299"/>
      <c r="AK437" s="299"/>
    </row>
    <row r="438" spans="2:37" ht="13.2">
      <c r="B438" s="299"/>
      <c r="C438" s="299"/>
      <c r="D438" s="299"/>
      <c r="E438" s="299"/>
      <c r="F438" s="299"/>
      <c r="G438" s="299"/>
      <c r="H438" s="299"/>
      <c r="I438" s="299"/>
      <c r="J438" s="299"/>
      <c r="K438" s="299"/>
      <c r="L438" s="299"/>
      <c r="M438" s="299"/>
      <c r="N438" s="299"/>
      <c r="O438" s="299"/>
      <c r="P438" s="299"/>
      <c r="Q438" s="299"/>
      <c r="R438" s="299"/>
      <c r="S438" s="299"/>
      <c r="T438" s="299"/>
      <c r="U438" s="299"/>
      <c r="V438" s="299"/>
      <c r="W438" s="299"/>
      <c r="X438" s="299"/>
      <c r="Y438" s="299"/>
      <c r="Z438" s="299"/>
      <c r="AA438" s="299"/>
      <c r="AB438" s="299"/>
      <c r="AC438" s="299"/>
      <c r="AD438" s="299"/>
      <c r="AE438" s="299"/>
      <c r="AF438" s="299"/>
      <c r="AG438" s="299"/>
      <c r="AH438" s="299"/>
      <c r="AI438" s="299"/>
      <c r="AJ438" s="299"/>
      <c r="AK438" s="299"/>
    </row>
    <row r="439" spans="2:37" ht="13.2">
      <c r="B439" s="299"/>
      <c r="C439" s="299"/>
      <c r="D439" s="299"/>
      <c r="E439" s="299"/>
      <c r="F439" s="299"/>
      <c r="G439" s="299"/>
      <c r="H439" s="299"/>
      <c r="I439" s="299"/>
      <c r="J439" s="299"/>
      <c r="K439" s="299"/>
      <c r="L439" s="299"/>
      <c r="M439" s="299"/>
      <c r="N439" s="299"/>
      <c r="O439" s="299"/>
      <c r="P439" s="299"/>
      <c r="Q439" s="299"/>
      <c r="R439" s="299"/>
      <c r="S439" s="299"/>
      <c r="T439" s="299"/>
      <c r="U439" s="299"/>
      <c r="V439" s="299"/>
      <c r="W439" s="299"/>
      <c r="X439" s="299"/>
      <c r="Y439" s="299"/>
      <c r="Z439" s="299"/>
      <c r="AA439" s="299"/>
      <c r="AB439" s="299"/>
      <c r="AC439" s="299"/>
      <c r="AD439" s="299"/>
      <c r="AE439" s="299"/>
      <c r="AF439" s="299"/>
      <c r="AG439" s="299"/>
      <c r="AH439" s="299"/>
      <c r="AI439" s="299"/>
      <c r="AJ439" s="299"/>
      <c r="AK439" s="299"/>
    </row>
    <row r="440" spans="2:37" ht="13.2">
      <c r="B440" s="299"/>
      <c r="C440" s="299"/>
      <c r="D440" s="299"/>
      <c r="E440" s="299"/>
      <c r="F440" s="299"/>
      <c r="G440" s="299"/>
      <c r="H440" s="299"/>
      <c r="I440" s="299"/>
      <c r="J440" s="299"/>
      <c r="K440" s="299"/>
      <c r="L440" s="299"/>
      <c r="M440" s="299"/>
      <c r="N440" s="299"/>
      <c r="O440" s="299"/>
      <c r="P440" s="299"/>
      <c r="Q440" s="299"/>
      <c r="R440" s="299"/>
      <c r="S440" s="299"/>
      <c r="T440" s="299"/>
      <c r="U440" s="299"/>
      <c r="V440" s="299"/>
      <c r="W440" s="299"/>
      <c r="X440" s="299"/>
      <c r="Y440" s="299"/>
      <c r="Z440" s="299"/>
      <c r="AA440" s="299"/>
      <c r="AB440" s="299"/>
      <c r="AC440" s="299"/>
      <c r="AD440" s="299"/>
      <c r="AE440" s="299"/>
      <c r="AF440" s="299"/>
      <c r="AG440" s="299"/>
      <c r="AH440" s="299"/>
      <c r="AI440" s="299"/>
      <c r="AJ440" s="299"/>
      <c r="AK440" s="299"/>
    </row>
    <row r="441" spans="2:37" ht="13.2">
      <c r="B441" s="299"/>
      <c r="C441" s="299"/>
      <c r="D441" s="299"/>
      <c r="E441" s="299"/>
      <c r="F441" s="299"/>
      <c r="G441" s="299"/>
      <c r="H441" s="299"/>
      <c r="I441" s="299"/>
      <c r="J441" s="299"/>
      <c r="K441" s="299"/>
      <c r="L441" s="299"/>
      <c r="M441" s="299"/>
      <c r="N441" s="299"/>
      <c r="O441" s="299"/>
      <c r="P441" s="299"/>
      <c r="Q441" s="299"/>
      <c r="R441" s="299"/>
      <c r="S441" s="299"/>
      <c r="T441" s="299"/>
      <c r="U441" s="299"/>
      <c r="V441" s="299"/>
      <c r="W441" s="299"/>
      <c r="X441" s="299"/>
      <c r="Y441" s="299"/>
      <c r="Z441" s="299"/>
      <c r="AA441" s="299"/>
      <c r="AB441" s="299"/>
      <c r="AC441" s="299"/>
      <c r="AD441" s="299"/>
      <c r="AE441" s="299"/>
      <c r="AF441" s="299"/>
      <c r="AG441" s="299"/>
      <c r="AH441" s="299"/>
      <c r="AI441" s="299"/>
      <c r="AJ441" s="299"/>
      <c r="AK441" s="299"/>
    </row>
    <row r="442" spans="2:37" ht="13.2">
      <c r="B442" s="299"/>
      <c r="C442" s="299"/>
      <c r="D442" s="299"/>
      <c r="E442" s="299"/>
      <c r="F442" s="299"/>
      <c r="G442" s="299"/>
      <c r="H442" s="299"/>
      <c r="I442" s="299"/>
      <c r="J442" s="299"/>
      <c r="K442" s="299"/>
      <c r="L442" s="299"/>
      <c r="M442" s="299"/>
      <c r="N442" s="299"/>
      <c r="O442" s="299"/>
      <c r="P442" s="299"/>
      <c r="Q442" s="299"/>
      <c r="R442" s="299"/>
      <c r="S442" s="299"/>
      <c r="T442" s="299"/>
      <c r="U442" s="299"/>
      <c r="V442" s="299"/>
      <c r="W442" s="299"/>
      <c r="X442" s="299"/>
      <c r="Y442" s="299"/>
      <c r="Z442" s="299"/>
      <c r="AA442" s="299"/>
      <c r="AB442" s="299"/>
      <c r="AC442" s="299"/>
      <c r="AD442" s="299"/>
      <c r="AE442" s="299"/>
      <c r="AF442" s="299"/>
      <c r="AG442" s="299"/>
      <c r="AH442" s="299"/>
      <c r="AI442" s="299"/>
      <c r="AJ442" s="299"/>
      <c r="AK442" s="299"/>
    </row>
    <row r="443" spans="2:37" ht="13.2">
      <c r="B443" s="299"/>
      <c r="C443" s="299"/>
      <c r="D443" s="299"/>
      <c r="E443" s="299"/>
      <c r="F443" s="299"/>
      <c r="G443" s="299"/>
      <c r="H443" s="299"/>
      <c r="I443" s="299"/>
      <c r="J443" s="299"/>
      <c r="K443" s="299"/>
      <c r="L443" s="299"/>
      <c r="M443" s="299"/>
      <c r="N443" s="299"/>
      <c r="O443" s="299"/>
      <c r="P443" s="299"/>
      <c r="Q443" s="299"/>
      <c r="R443" s="299"/>
      <c r="S443" s="299"/>
      <c r="T443" s="299"/>
      <c r="U443" s="299"/>
      <c r="V443" s="299"/>
      <c r="W443" s="299"/>
      <c r="X443" s="299"/>
      <c r="Y443" s="299"/>
      <c r="Z443" s="299"/>
      <c r="AA443" s="299"/>
      <c r="AB443" s="299"/>
      <c r="AC443" s="299"/>
      <c r="AD443" s="299"/>
      <c r="AE443" s="299"/>
      <c r="AF443" s="299"/>
      <c r="AG443" s="299"/>
      <c r="AH443" s="299"/>
      <c r="AI443" s="299"/>
      <c r="AJ443" s="299"/>
      <c r="AK443" s="299"/>
    </row>
    <row r="444" spans="2:37" ht="13.2">
      <c r="B444" s="299"/>
      <c r="C444" s="299"/>
      <c r="D444" s="299"/>
      <c r="E444" s="299"/>
      <c r="F444" s="299"/>
      <c r="G444" s="299"/>
      <c r="H444" s="299"/>
      <c r="I444" s="299"/>
      <c r="J444" s="299"/>
      <c r="K444" s="299"/>
      <c r="L444" s="299"/>
      <c r="M444" s="299"/>
      <c r="N444" s="299"/>
      <c r="O444" s="299"/>
      <c r="P444" s="299"/>
      <c r="Q444" s="299"/>
      <c r="R444" s="299"/>
      <c r="S444" s="299"/>
      <c r="T444" s="299"/>
      <c r="U444" s="299"/>
      <c r="V444" s="299"/>
      <c r="W444" s="299"/>
      <c r="X444" s="299"/>
      <c r="Y444" s="299"/>
      <c r="Z444" s="299"/>
      <c r="AA444" s="299"/>
      <c r="AB444" s="299"/>
      <c r="AC444" s="299"/>
      <c r="AD444" s="299"/>
      <c r="AE444" s="299"/>
      <c r="AF444" s="299"/>
      <c r="AG444" s="299"/>
      <c r="AH444" s="299"/>
      <c r="AI444" s="299"/>
      <c r="AJ444" s="299"/>
      <c r="AK444" s="299"/>
    </row>
    <row r="445" spans="2:37" ht="13.2">
      <c r="B445" s="299"/>
      <c r="C445" s="299"/>
      <c r="D445" s="299"/>
      <c r="E445" s="299"/>
      <c r="F445" s="299"/>
      <c r="G445" s="299"/>
      <c r="H445" s="299"/>
      <c r="I445" s="299"/>
      <c r="J445" s="299"/>
      <c r="K445" s="299"/>
      <c r="L445" s="299"/>
      <c r="M445" s="299"/>
      <c r="N445" s="299"/>
      <c r="O445" s="299"/>
      <c r="P445" s="299"/>
      <c r="Q445" s="299"/>
      <c r="R445" s="299"/>
      <c r="S445" s="299"/>
      <c r="T445" s="299"/>
      <c r="U445" s="299"/>
      <c r="V445" s="299"/>
      <c r="W445" s="299"/>
      <c r="X445" s="299"/>
      <c r="Y445" s="299"/>
      <c r="Z445" s="299"/>
      <c r="AA445" s="299"/>
      <c r="AB445" s="299"/>
      <c r="AC445" s="299"/>
      <c r="AD445" s="299"/>
      <c r="AE445" s="299"/>
      <c r="AF445" s="299"/>
      <c r="AG445" s="299"/>
      <c r="AH445" s="299"/>
      <c r="AI445" s="299"/>
      <c r="AJ445" s="299"/>
      <c r="AK445" s="299"/>
    </row>
    <row r="446" spans="2:37" ht="13.2">
      <c r="B446" s="299"/>
      <c r="C446" s="299"/>
      <c r="D446" s="299"/>
      <c r="E446" s="299"/>
      <c r="F446" s="299"/>
      <c r="G446" s="299"/>
      <c r="H446" s="299"/>
      <c r="I446" s="299"/>
      <c r="J446" s="299"/>
      <c r="K446" s="299"/>
      <c r="L446" s="299"/>
      <c r="M446" s="299"/>
      <c r="N446" s="299"/>
      <c r="O446" s="299"/>
      <c r="P446" s="299"/>
      <c r="Q446" s="299"/>
      <c r="R446" s="299"/>
      <c r="S446" s="299"/>
      <c r="T446" s="299"/>
      <c r="U446" s="299"/>
      <c r="V446" s="299"/>
      <c r="W446" s="299"/>
      <c r="X446" s="299"/>
      <c r="Y446" s="299"/>
      <c r="Z446" s="299"/>
      <c r="AA446" s="299"/>
      <c r="AB446" s="299"/>
      <c r="AC446" s="299"/>
      <c r="AD446" s="299"/>
      <c r="AE446" s="299"/>
      <c r="AF446" s="299"/>
      <c r="AG446" s="299"/>
      <c r="AH446" s="299"/>
      <c r="AI446" s="299"/>
      <c r="AJ446" s="299"/>
      <c r="AK446" s="299"/>
    </row>
    <row r="447" spans="2:37" ht="13.2">
      <c r="B447" s="299"/>
      <c r="C447" s="299"/>
      <c r="D447" s="299"/>
      <c r="E447" s="299"/>
      <c r="F447" s="299"/>
      <c r="G447" s="299"/>
      <c r="H447" s="299"/>
      <c r="I447" s="299"/>
      <c r="J447" s="299"/>
      <c r="K447" s="299"/>
      <c r="L447" s="299"/>
      <c r="M447" s="299"/>
      <c r="N447" s="299"/>
      <c r="O447" s="299"/>
      <c r="P447" s="299"/>
      <c r="Q447" s="299"/>
      <c r="R447" s="299"/>
      <c r="S447" s="299"/>
      <c r="T447" s="299"/>
      <c r="U447" s="299"/>
      <c r="V447" s="299"/>
      <c r="W447" s="299"/>
      <c r="X447" s="299"/>
      <c r="Y447" s="299"/>
      <c r="Z447" s="299"/>
      <c r="AA447" s="299"/>
      <c r="AB447" s="299"/>
      <c r="AC447" s="299"/>
      <c r="AD447" s="299"/>
      <c r="AE447" s="299"/>
      <c r="AF447" s="299"/>
      <c r="AG447" s="299"/>
      <c r="AH447" s="299"/>
      <c r="AI447" s="299"/>
      <c r="AJ447" s="299"/>
      <c r="AK447" s="299"/>
    </row>
    <row r="448" spans="2:37" ht="13.2">
      <c r="B448" s="299"/>
      <c r="C448" s="299"/>
      <c r="D448" s="299"/>
      <c r="E448" s="299"/>
      <c r="F448" s="299"/>
      <c r="G448" s="299"/>
      <c r="H448" s="299"/>
      <c r="I448" s="299"/>
      <c r="J448" s="299"/>
      <c r="K448" s="299"/>
      <c r="L448" s="299"/>
      <c r="M448" s="299"/>
      <c r="N448" s="299"/>
      <c r="O448" s="299"/>
      <c r="P448" s="299"/>
      <c r="Q448" s="299"/>
      <c r="R448" s="299"/>
      <c r="S448" s="299"/>
      <c r="T448" s="299"/>
      <c r="U448" s="299"/>
      <c r="V448" s="299"/>
      <c r="W448" s="299"/>
      <c r="X448" s="299"/>
      <c r="Y448" s="299"/>
      <c r="Z448" s="299"/>
      <c r="AA448" s="299"/>
      <c r="AB448" s="299"/>
      <c r="AC448" s="299"/>
      <c r="AD448" s="299"/>
      <c r="AE448" s="299"/>
      <c r="AF448" s="299"/>
      <c r="AG448" s="299"/>
      <c r="AH448" s="299"/>
      <c r="AI448" s="299"/>
      <c r="AJ448" s="299"/>
      <c r="AK448" s="299"/>
    </row>
    <row r="449" spans="2:37" ht="13.2">
      <c r="B449" s="299"/>
      <c r="C449" s="299"/>
      <c r="D449" s="299"/>
      <c r="E449" s="299"/>
      <c r="F449" s="299"/>
      <c r="G449" s="299"/>
      <c r="H449" s="299"/>
      <c r="I449" s="299"/>
      <c r="J449" s="299"/>
      <c r="K449" s="299"/>
      <c r="L449" s="299"/>
      <c r="M449" s="299"/>
      <c r="N449" s="299"/>
      <c r="O449" s="299"/>
      <c r="P449" s="299"/>
      <c r="Q449" s="299"/>
      <c r="R449" s="299"/>
      <c r="S449" s="299"/>
      <c r="T449" s="299"/>
      <c r="U449" s="299"/>
      <c r="V449" s="299"/>
      <c r="W449" s="299"/>
      <c r="X449" s="299"/>
      <c r="Y449" s="299"/>
      <c r="Z449" s="299"/>
      <c r="AA449" s="299"/>
      <c r="AB449" s="299"/>
      <c r="AC449" s="299"/>
      <c r="AD449" s="299"/>
      <c r="AE449" s="299"/>
      <c r="AF449" s="299"/>
      <c r="AG449" s="299"/>
      <c r="AH449" s="299"/>
      <c r="AI449" s="299"/>
      <c r="AJ449" s="299"/>
      <c r="AK449" s="299"/>
    </row>
    <row r="450" spans="2:37" ht="13.2">
      <c r="B450" s="299"/>
      <c r="C450" s="299"/>
      <c r="D450" s="299"/>
      <c r="E450" s="299"/>
      <c r="F450" s="299"/>
      <c r="G450" s="299"/>
      <c r="H450" s="299"/>
      <c r="I450" s="299"/>
      <c r="J450" s="299"/>
      <c r="K450" s="299"/>
      <c r="L450" s="299"/>
      <c r="M450" s="299"/>
      <c r="N450" s="299"/>
      <c r="O450" s="299"/>
      <c r="P450" s="299"/>
      <c r="Q450" s="299"/>
      <c r="R450" s="299"/>
      <c r="S450" s="299"/>
      <c r="T450" s="299"/>
      <c r="U450" s="299"/>
      <c r="V450" s="299"/>
      <c r="W450" s="299"/>
      <c r="X450" s="299"/>
      <c r="Y450" s="299"/>
      <c r="Z450" s="299"/>
      <c r="AA450" s="299"/>
      <c r="AB450" s="299"/>
      <c r="AC450" s="299"/>
      <c r="AD450" s="299"/>
      <c r="AE450" s="299"/>
      <c r="AF450" s="299"/>
      <c r="AG450" s="299"/>
      <c r="AH450" s="299"/>
      <c r="AI450" s="299"/>
      <c r="AJ450" s="299"/>
      <c r="AK450" s="299"/>
    </row>
    <row r="451" spans="2:37" ht="13.2">
      <c r="B451" s="299"/>
      <c r="C451" s="299"/>
      <c r="D451" s="299"/>
      <c r="E451" s="299"/>
      <c r="F451" s="299"/>
      <c r="G451" s="299"/>
      <c r="H451" s="299"/>
      <c r="I451" s="299"/>
      <c r="J451" s="299"/>
      <c r="K451" s="299"/>
      <c r="L451" s="299"/>
      <c r="M451" s="299"/>
      <c r="N451" s="299"/>
      <c r="O451" s="299"/>
      <c r="P451" s="299"/>
      <c r="Q451" s="299"/>
      <c r="R451" s="299"/>
      <c r="S451" s="299"/>
      <c r="T451" s="299"/>
      <c r="U451" s="299"/>
      <c r="V451" s="299"/>
      <c r="W451" s="299"/>
      <c r="X451" s="299"/>
      <c r="Y451" s="299"/>
      <c r="Z451" s="299"/>
      <c r="AA451" s="299"/>
      <c r="AB451" s="299"/>
      <c r="AC451" s="299"/>
      <c r="AD451" s="299"/>
      <c r="AE451" s="299"/>
      <c r="AF451" s="299"/>
      <c r="AG451" s="299"/>
      <c r="AH451" s="299"/>
      <c r="AI451" s="299"/>
      <c r="AJ451" s="299"/>
      <c r="AK451" s="299"/>
    </row>
    <row r="452" spans="2:37" ht="13.2">
      <c r="B452" s="299"/>
      <c r="C452" s="299"/>
      <c r="D452" s="299"/>
      <c r="E452" s="299"/>
      <c r="F452" s="299"/>
      <c r="G452" s="299"/>
      <c r="H452" s="299"/>
      <c r="I452" s="299"/>
      <c r="J452" s="299"/>
      <c r="K452" s="299"/>
      <c r="L452" s="299"/>
      <c r="M452" s="299"/>
      <c r="N452" s="299"/>
      <c r="O452" s="299"/>
      <c r="P452" s="299"/>
      <c r="Q452" s="299"/>
      <c r="R452" s="299"/>
      <c r="S452" s="299"/>
      <c r="T452" s="299"/>
      <c r="U452" s="299"/>
      <c r="V452" s="299"/>
      <c r="W452" s="299"/>
      <c r="X452" s="299"/>
      <c r="Y452" s="299"/>
      <c r="Z452" s="299"/>
      <c r="AA452" s="299"/>
      <c r="AB452" s="299"/>
      <c r="AC452" s="299"/>
      <c r="AD452" s="299"/>
      <c r="AE452" s="299"/>
      <c r="AF452" s="299"/>
      <c r="AG452" s="299"/>
      <c r="AH452" s="299"/>
      <c r="AI452" s="299"/>
      <c r="AJ452" s="299"/>
      <c r="AK452" s="299"/>
    </row>
    <row r="453" spans="2:37" ht="13.2">
      <c r="B453" s="299"/>
      <c r="C453" s="299"/>
      <c r="D453" s="299"/>
      <c r="E453" s="299"/>
      <c r="F453" s="299"/>
      <c r="G453" s="299"/>
      <c r="H453" s="299"/>
      <c r="I453" s="299"/>
      <c r="J453" s="299"/>
      <c r="K453" s="299"/>
      <c r="L453" s="299"/>
      <c r="M453" s="299"/>
      <c r="N453" s="299"/>
      <c r="O453" s="299"/>
      <c r="P453" s="299"/>
      <c r="Q453" s="299"/>
      <c r="R453" s="299"/>
      <c r="S453" s="299"/>
      <c r="T453" s="299"/>
      <c r="U453" s="299"/>
      <c r="V453" s="299"/>
      <c r="W453" s="299"/>
      <c r="X453" s="299"/>
      <c r="Y453" s="299"/>
      <c r="Z453" s="299"/>
      <c r="AA453" s="299"/>
      <c r="AB453" s="299"/>
      <c r="AC453" s="299"/>
      <c r="AD453" s="299"/>
      <c r="AE453" s="299"/>
      <c r="AF453" s="299"/>
      <c r="AG453" s="299"/>
      <c r="AH453" s="299"/>
      <c r="AI453" s="299"/>
      <c r="AJ453" s="299"/>
      <c r="AK453" s="299"/>
    </row>
    <row r="454" spans="2:37" ht="13.2">
      <c r="B454" s="299"/>
      <c r="C454" s="299"/>
      <c r="D454" s="299"/>
      <c r="E454" s="299"/>
      <c r="F454" s="299"/>
      <c r="G454" s="299"/>
      <c r="H454" s="299"/>
      <c r="I454" s="299"/>
      <c r="J454" s="299"/>
      <c r="K454" s="299"/>
      <c r="L454" s="299"/>
      <c r="M454" s="299"/>
      <c r="N454" s="299"/>
      <c r="O454" s="299"/>
      <c r="P454" s="299"/>
      <c r="Q454" s="299"/>
      <c r="R454" s="299"/>
      <c r="S454" s="299"/>
      <c r="T454" s="299"/>
      <c r="U454" s="299"/>
      <c r="V454" s="299"/>
      <c r="W454" s="299"/>
      <c r="X454" s="299"/>
      <c r="Y454" s="299"/>
      <c r="Z454" s="299"/>
      <c r="AA454" s="299"/>
      <c r="AB454" s="299"/>
      <c r="AC454" s="299"/>
      <c r="AD454" s="299"/>
      <c r="AE454" s="299"/>
      <c r="AF454" s="299"/>
      <c r="AG454" s="299"/>
      <c r="AH454" s="299"/>
      <c r="AI454" s="299"/>
      <c r="AJ454" s="299"/>
      <c r="AK454" s="299"/>
    </row>
    <row r="455" spans="2:37" ht="13.2">
      <c r="B455" s="299"/>
      <c r="C455" s="299"/>
      <c r="D455" s="299"/>
      <c r="E455" s="299"/>
      <c r="F455" s="299"/>
      <c r="G455" s="299"/>
      <c r="H455" s="299"/>
      <c r="I455" s="299"/>
      <c r="J455" s="299"/>
      <c r="K455" s="299"/>
      <c r="L455" s="299"/>
      <c r="M455" s="299"/>
      <c r="N455" s="299"/>
      <c r="O455" s="299"/>
      <c r="P455" s="299"/>
      <c r="Q455" s="299"/>
      <c r="R455" s="299"/>
      <c r="S455" s="299"/>
      <c r="T455" s="299"/>
      <c r="U455" s="299"/>
      <c r="V455" s="299"/>
      <c r="W455" s="299"/>
      <c r="X455" s="299"/>
      <c r="Y455" s="299"/>
      <c r="Z455" s="299"/>
      <c r="AA455" s="299"/>
      <c r="AB455" s="299"/>
      <c r="AC455" s="299"/>
      <c r="AD455" s="299"/>
      <c r="AE455" s="299"/>
      <c r="AF455" s="299"/>
      <c r="AG455" s="299"/>
      <c r="AH455" s="299"/>
      <c r="AI455" s="299"/>
      <c r="AJ455" s="299"/>
      <c r="AK455" s="299"/>
    </row>
    <row r="456" spans="2:37" ht="13.2">
      <c r="B456" s="299"/>
      <c r="C456" s="299"/>
      <c r="D456" s="299"/>
      <c r="E456" s="299"/>
      <c r="F456" s="299"/>
      <c r="G456" s="299"/>
      <c r="H456" s="299"/>
      <c r="I456" s="299"/>
      <c r="J456" s="299"/>
      <c r="K456" s="299"/>
      <c r="L456" s="299"/>
      <c r="M456" s="299"/>
      <c r="N456" s="299"/>
      <c r="O456" s="299"/>
      <c r="P456" s="299"/>
      <c r="Q456" s="299"/>
      <c r="R456" s="299"/>
      <c r="S456" s="299"/>
      <c r="T456" s="299"/>
      <c r="U456" s="299"/>
      <c r="V456" s="299"/>
      <c r="W456" s="299"/>
      <c r="X456" s="299"/>
      <c r="Y456" s="299"/>
      <c r="Z456" s="299"/>
      <c r="AA456" s="299"/>
      <c r="AB456" s="299"/>
      <c r="AC456" s="299"/>
      <c r="AD456" s="299"/>
      <c r="AE456" s="299"/>
      <c r="AF456" s="299"/>
      <c r="AG456" s="299"/>
      <c r="AH456" s="299"/>
      <c r="AI456" s="299"/>
      <c r="AJ456" s="299"/>
      <c r="AK456" s="299"/>
    </row>
    <row r="457" spans="2:37" ht="13.2">
      <c r="B457" s="299"/>
      <c r="C457" s="299"/>
      <c r="D457" s="299"/>
      <c r="E457" s="299"/>
      <c r="F457" s="299"/>
      <c r="G457" s="299"/>
      <c r="H457" s="299"/>
      <c r="I457" s="299"/>
      <c r="J457" s="299"/>
      <c r="K457" s="299"/>
      <c r="L457" s="299"/>
      <c r="M457" s="299"/>
      <c r="N457" s="299"/>
      <c r="O457" s="299"/>
      <c r="P457" s="299"/>
      <c r="Q457" s="299"/>
      <c r="R457" s="299"/>
      <c r="S457" s="299"/>
      <c r="T457" s="299"/>
      <c r="U457" s="299"/>
      <c r="V457" s="299"/>
      <c r="W457" s="299"/>
      <c r="X457" s="299"/>
      <c r="Y457" s="299"/>
      <c r="Z457" s="299"/>
      <c r="AA457" s="299"/>
      <c r="AB457" s="299"/>
      <c r="AC457" s="299"/>
      <c r="AD457" s="299"/>
      <c r="AE457" s="299"/>
      <c r="AF457" s="299"/>
      <c r="AG457" s="299"/>
      <c r="AH457" s="299"/>
      <c r="AI457" s="299"/>
      <c r="AJ457" s="299"/>
      <c r="AK457" s="299"/>
    </row>
    <row r="458" spans="2:37" ht="13.2">
      <c r="B458" s="299"/>
      <c r="C458" s="299"/>
      <c r="D458" s="299"/>
      <c r="E458" s="299"/>
      <c r="F458" s="299"/>
      <c r="G458" s="299"/>
      <c r="H458" s="299"/>
      <c r="I458" s="299"/>
      <c r="J458" s="299"/>
      <c r="K458" s="299"/>
      <c r="L458" s="299"/>
      <c r="M458" s="299"/>
      <c r="N458" s="299"/>
      <c r="O458" s="299"/>
      <c r="P458" s="299"/>
      <c r="Q458" s="299"/>
      <c r="R458" s="299"/>
      <c r="S458" s="299"/>
      <c r="T458" s="299"/>
      <c r="U458" s="299"/>
      <c r="V458" s="299"/>
      <c r="W458" s="299"/>
      <c r="X458" s="299"/>
      <c r="Y458" s="299"/>
      <c r="Z458" s="299"/>
      <c r="AA458" s="299"/>
      <c r="AB458" s="299"/>
      <c r="AC458" s="299"/>
      <c r="AD458" s="299"/>
      <c r="AE458" s="299"/>
      <c r="AF458" s="299"/>
      <c r="AG458" s="299"/>
      <c r="AH458" s="299"/>
      <c r="AI458" s="299"/>
      <c r="AJ458" s="299"/>
      <c r="AK458" s="299"/>
    </row>
    <row r="459" spans="2:37" ht="13.2">
      <c r="B459" s="299"/>
      <c r="C459" s="299"/>
      <c r="D459" s="299"/>
      <c r="E459" s="299"/>
      <c r="F459" s="299"/>
      <c r="G459" s="299"/>
      <c r="H459" s="299"/>
      <c r="I459" s="299"/>
      <c r="J459" s="299"/>
      <c r="K459" s="299"/>
      <c r="L459" s="299"/>
      <c r="M459" s="299"/>
      <c r="N459" s="299"/>
      <c r="O459" s="299"/>
      <c r="P459" s="299"/>
      <c r="Q459" s="299"/>
      <c r="R459" s="299"/>
      <c r="S459" s="299"/>
      <c r="T459" s="299"/>
      <c r="U459" s="299"/>
      <c r="V459" s="299"/>
      <c r="W459" s="299"/>
      <c r="X459" s="299"/>
      <c r="Y459" s="299"/>
      <c r="Z459" s="299"/>
      <c r="AA459" s="299"/>
      <c r="AB459" s="299"/>
      <c r="AC459" s="299"/>
      <c r="AD459" s="299"/>
      <c r="AE459" s="299"/>
      <c r="AF459" s="299"/>
      <c r="AG459" s="299"/>
      <c r="AH459" s="299"/>
      <c r="AI459" s="299"/>
      <c r="AJ459" s="299"/>
      <c r="AK459" s="299"/>
    </row>
    <row r="460" spans="2:37" ht="13.2">
      <c r="B460" s="299"/>
      <c r="C460" s="299"/>
      <c r="D460" s="299"/>
      <c r="E460" s="299"/>
      <c r="F460" s="299"/>
      <c r="G460" s="299"/>
      <c r="H460" s="299"/>
      <c r="I460" s="299"/>
      <c r="J460" s="299"/>
      <c r="K460" s="299"/>
      <c r="L460" s="299"/>
      <c r="M460" s="299"/>
      <c r="N460" s="299"/>
      <c r="O460" s="299"/>
      <c r="P460" s="299"/>
      <c r="Q460" s="299"/>
      <c r="R460" s="299"/>
      <c r="S460" s="299"/>
      <c r="T460" s="299"/>
      <c r="U460" s="299"/>
      <c r="V460" s="299"/>
      <c r="W460" s="299"/>
      <c r="X460" s="299"/>
      <c r="Y460" s="299"/>
      <c r="Z460" s="299"/>
      <c r="AA460" s="299"/>
      <c r="AB460" s="299"/>
      <c r="AC460" s="299"/>
      <c r="AD460" s="299"/>
      <c r="AE460" s="299"/>
      <c r="AF460" s="299"/>
      <c r="AG460" s="299"/>
      <c r="AH460" s="299"/>
      <c r="AI460" s="299"/>
      <c r="AJ460" s="299"/>
      <c r="AK460" s="299"/>
    </row>
    <row r="461" spans="2:37" ht="13.2">
      <c r="B461" s="299"/>
      <c r="C461" s="299"/>
      <c r="D461" s="299"/>
      <c r="E461" s="299"/>
      <c r="F461" s="299"/>
      <c r="G461" s="299"/>
      <c r="H461" s="299"/>
      <c r="I461" s="299"/>
      <c r="J461" s="299"/>
      <c r="K461" s="299"/>
      <c r="L461" s="299"/>
      <c r="M461" s="299"/>
      <c r="N461" s="299"/>
      <c r="O461" s="299"/>
      <c r="P461" s="299"/>
      <c r="Q461" s="299"/>
      <c r="R461" s="299"/>
      <c r="S461" s="299"/>
      <c r="T461" s="299"/>
      <c r="U461" s="299"/>
      <c r="V461" s="299"/>
      <c r="W461" s="299"/>
      <c r="X461" s="299"/>
      <c r="Y461" s="299"/>
      <c r="Z461" s="299"/>
      <c r="AA461" s="299"/>
      <c r="AB461" s="299"/>
      <c r="AC461" s="299"/>
      <c r="AD461" s="299"/>
      <c r="AE461" s="299"/>
      <c r="AF461" s="299"/>
      <c r="AG461" s="299"/>
      <c r="AH461" s="299"/>
      <c r="AI461" s="299"/>
      <c r="AJ461" s="299"/>
      <c r="AK461" s="299"/>
    </row>
    <row r="462" spans="2:37" ht="13.2">
      <c r="B462" s="299"/>
      <c r="C462" s="299"/>
      <c r="D462" s="299"/>
      <c r="E462" s="299"/>
      <c r="F462" s="299"/>
      <c r="G462" s="299"/>
      <c r="H462" s="299"/>
      <c r="I462" s="299"/>
      <c r="J462" s="299"/>
      <c r="K462" s="299"/>
      <c r="L462" s="299"/>
      <c r="M462" s="299"/>
      <c r="N462" s="299"/>
      <c r="O462" s="299"/>
      <c r="P462" s="299"/>
      <c r="Q462" s="299"/>
      <c r="R462" s="299"/>
      <c r="S462" s="299"/>
      <c r="T462" s="299"/>
      <c r="U462" s="299"/>
      <c r="V462" s="299"/>
      <c r="W462" s="299"/>
      <c r="X462" s="299"/>
      <c r="Y462" s="299"/>
      <c r="Z462" s="299"/>
      <c r="AA462" s="299"/>
      <c r="AB462" s="299"/>
      <c r="AC462" s="299"/>
      <c r="AD462" s="299"/>
      <c r="AE462" s="299"/>
      <c r="AF462" s="299"/>
      <c r="AG462" s="299"/>
      <c r="AH462" s="299"/>
      <c r="AI462" s="299"/>
      <c r="AJ462" s="299"/>
      <c r="AK462" s="299"/>
    </row>
    <row r="463" spans="2:37" ht="13.2">
      <c r="B463" s="299"/>
      <c r="C463" s="299"/>
      <c r="D463" s="299"/>
      <c r="E463" s="299"/>
      <c r="F463" s="299"/>
      <c r="G463" s="299"/>
      <c r="H463" s="299"/>
      <c r="I463" s="299"/>
      <c r="J463" s="299"/>
      <c r="K463" s="299"/>
      <c r="L463" s="299"/>
      <c r="M463" s="299"/>
      <c r="N463" s="299"/>
      <c r="O463" s="299"/>
      <c r="P463" s="299"/>
      <c r="Q463" s="299"/>
      <c r="R463" s="299"/>
      <c r="S463" s="299"/>
      <c r="T463" s="299"/>
      <c r="U463" s="299"/>
      <c r="V463" s="299"/>
      <c r="W463" s="299"/>
      <c r="X463" s="299"/>
      <c r="Y463" s="299"/>
      <c r="Z463" s="299"/>
      <c r="AA463" s="299"/>
      <c r="AB463" s="299"/>
      <c r="AC463" s="299"/>
      <c r="AD463" s="299"/>
      <c r="AE463" s="299"/>
      <c r="AF463" s="299"/>
      <c r="AG463" s="299"/>
      <c r="AH463" s="299"/>
      <c r="AI463" s="299"/>
      <c r="AJ463" s="299"/>
      <c r="AK463" s="299"/>
    </row>
    <row r="464" spans="2:37" ht="13.2">
      <c r="B464" s="299"/>
      <c r="C464" s="299"/>
      <c r="D464" s="299"/>
      <c r="E464" s="299"/>
      <c r="F464" s="299"/>
      <c r="G464" s="299"/>
      <c r="H464" s="299"/>
      <c r="I464" s="299"/>
      <c r="J464" s="299"/>
      <c r="K464" s="299"/>
      <c r="L464" s="299"/>
      <c r="M464" s="299"/>
      <c r="N464" s="299"/>
      <c r="O464" s="299"/>
      <c r="P464" s="299"/>
      <c r="Q464" s="299"/>
      <c r="R464" s="299"/>
      <c r="S464" s="299"/>
      <c r="T464" s="299"/>
      <c r="U464" s="299"/>
      <c r="V464" s="299"/>
      <c r="W464" s="299"/>
      <c r="X464" s="299"/>
      <c r="Y464" s="299"/>
      <c r="Z464" s="299"/>
      <c r="AA464" s="299"/>
      <c r="AB464" s="299"/>
      <c r="AC464" s="299"/>
      <c r="AD464" s="299"/>
      <c r="AE464" s="299"/>
      <c r="AF464" s="299"/>
      <c r="AG464" s="299"/>
      <c r="AH464" s="299"/>
      <c r="AI464" s="299"/>
      <c r="AJ464" s="299"/>
      <c r="AK464" s="299"/>
    </row>
    <row r="465" spans="2:37" ht="13.2">
      <c r="B465" s="299"/>
      <c r="C465" s="299"/>
      <c r="D465" s="299"/>
      <c r="E465" s="299"/>
      <c r="F465" s="299"/>
      <c r="G465" s="299"/>
      <c r="H465" s="299"/>
      <c r="I465" s="299"/>
      <c r="J465" s="299"/>
      <c r="K465" s="299"/>
      <c r="L465" s="299"/>
      <c r="M465" s="299"/>
      <c r="N465" s="299"/>
      <c r="O465" s="299"/>
      <c r="P465" s="299"/>
      <c r="Q465" s="299"/>
      <c r="R465" s="299"/>
      <c r="S465" s="299"/>
      <c r="T465" s="299"/>
      <c r="U465" s="299"/>
      <c r="V465" s="299"/>
      <c r="W465" s="299"/>
      <c r="X465" s="299"/>
      <c r="Y465" s="299"/>
      <c r="Z465" s="299"/>
      <c r="AA465" s="299"/>
      <c r="AB465" s="299"/>
      <c r="AC465" s="299"/>
      <c r="AD465" s="299"/>
      <c r="AE465" s="299"/>
      <c r="AF465" s="299"/>
      <c r="AG465" s="299"/>
      <c r="AH465" s="299"/>
      <c r="AI465" s="299"/>
      <c r="AJ465" s="299"/>
      <c r="AK465" s="299"/>
    </row>
    <row r="466" spans="2:37" ht="13.2">
      <c r="B466" s="299"/>
      <c r="C466" s="299"/>
      <c r="D466" s="299"/>
      <c r="E466" s="299"/>
      <c r="F466" s="299"/>
      <c r="G466" s="299"/>
      <c r="H466" s="299"/>
      <c r="I466" s="299"/>
      <c r="J466" s="299"/>
      <c r="K466" s="299"/>
      <c r="L466" s="299"/>
      <c r="M466" s="299"/>
      <c r="N466" s="299"/>
      <c r="O466" s="299"/>
      <c r="P466" s="299"/>
      <c r="Q466" s="299"/>
      <c r="R466" s="299"/>
      <c r="S466" s="299"/>
      <c r="T466" s="299"/>
      <c r="U466" s="299"/>
      <c r="V466" s="299"/>
      <c r="W466" s="299"/>
      <c r="X466" s="299"/>
      <c r="Y466" s="299"/>
      <c r="Z466" s="299"/>
      <c r="AA466" s="299"/>
      <c r="AB466" s="299"/>
      <c r="AC466" s="299"/>
      <c r="AD466" s="299"/>
      <c r="AE466" s="299"/>
      <c r="AF466" s="299"/>
      <c r="AG466" s="299"/>
      <c r="AH466" s="299"/>
      <c r="AI466" s="299"/>
      <c r="AJ466" s="299"/>
      <c r="AK466" s="299"/>
    </row>
    <row r="467" spans="2:37" ht="13.2">
      <c r="B467" s="299"/>
      <c r="C467" s="299"/>
      <c r="D467" s="299"/>
      <c r="E467" s="299"/>
      <c r="F467" s="299"/>
      <c r="G467" s="299"/>
      <c r="H467" s="299"/>
      <c r="I467" s="299"/>
      <c r="J467" s="299"/>
      <c r="K467" s="299"/>
      <c r="L467" s="299"/>
      <c r="M467" s="299"/>
      <c r="N467" s="299"/>
      <c r="O467" s="299"/>
      <c r="P467" s="299"/>
      <c r="Q467" s="299"/>
      <c r="R467" s="299"/>
      <c r="S467" s="299"/>
      <c r="T467" s="299"/>
      <c r="U467" s="299"/>
      <c r="V467" s="299"/>
      <c r="W467" s="299"/>
      <c r="X467" s="299"/>
      <c r="Y467" s="299"/>
      <c r="Z467" s="299"/>
      <c r="AA467" s="299"/>
      <c r="AB467" s="299"/>
      <c r="AC467" s="299"/>
      <c r="AD467" s="299"/>
      <c r="AE467" s="299"/>
      <c r="AF467" s="299"/>
      <c r="AG467" s="299"/>
      <c r="AH467" s="299"/>
      <c r="AI467" s="299"/>
      <c r="AJ467" s="299"/>
      <c r="AK467" s="299"/>
    </row>
    <row r="468" spans="2:37" ht="13.2">
      <c r="B468" s="299"/>
      <c r="C468" s="299"/>
      <c r="D468" s="299"/>
      <c r="E468" s="299"/>
      <c r="F468" s="299"/>
      <c r="G468" s="299"/>
      <c r="H468" s="299"/>
      <c r="I468" s="299"/>
      <c r="J468" s="299"/>
      <c r="K468" s="299"/>
      <c r="L468" s="299"/>
      <c r="M468" s="299"/>
      <c r="N468" s="299"/>
      <c r="O468" s="299"/>
      <c r="P468" s="299"/>
      <c r="Q468" s="299"/>
      <c r="R468" s="299"/>
      <c r="S468" s="299"/>
      <c r="T468" s="299"/>
      <c r="U468" s="299"/>
      <c r="V468" s="299"/>
      <c r="W468" s="299"/>
      <c r="X468" s="299"/>
      <c r="Y468" s="299"/>
      <c r="Z468" s="299"/>
      <c r="AA468" s="299"/>
      <c r="AB468" s="299"/>
      <c r="AC468" s="299"/>
      <c r="AD468" s="299"/>
      <c r="AE468" s="299"/>
      <c r="AF468" s="299"/>
      <c r="AG468" s="299"/>
      <c r="AH468" s="299"/>
      <c r="AI468" s="299"/>
      <c r="AJ468" s="299"/>
      <c r="AK468" s="299"/>
    </row>
    <row r="469" spans="2:37" ht="13.2">
      <c r="B469" s="299"/>
      <c r="C469" s="299"/>
      <c r="D469" s="299"/>
      <c r="E469" s="299"/>
      <c r="F469" s="299"/>
      <c r="G469" s="299"/>
      <c r="H469" s="299"/>
      <c r="I469" s="299"/>
      <c r="J469" s="299"/>
      <c r="K469" s="299"/>
      <c r="L469" s="299"/>
      <c r="M469" s="299"/>
      <c r="N469" s="299"/>
      <c r="O469" s="299"/>
      <c r="P469" s="299"/>
      <c r="Q469" s="299"/>
      <c r="R469" s="299"/>
      <c r="S469" s="299"/>
      <c r="T469" s="299"/>
      <c r="U469" s="299"/>
      <c r="V469" s="299"/>
      <c r="W469" s="299"/>
      <c r="X469" s="299"/>
      <c r="Y469" s="299"/>
      <c r="Z469" s="299"/>
      <c r="AA469" s="299"/>
      <c r="AB469" s="299"/>
      <c r="AC469" s="299"/>
      <c r="AD469" s="299"/>
      <c r="AE469" s="299"/>
      <c r="AF469" s="299"/>
      <c r="AG469" s="299"/>
      <c r="AH469" s="299"/>
      <c r="AI469" s="299"/>
      <c r="AJ469" s="299"/>
      <c r="AK469" s="299"/>
    </row>
    <row r="470" spans="2:37" ht="13.2">
      <c r="B470" s="299"/>
      <c r="C470" s="299"/>
      <c r="D470" s="299"/>
      <c r="E470" s="299"/>
      <c r="F470" s="299"/>
      <c r="G470" s="299"/>
      <c r="H470" s="299"/>
      <c r="I470" s="299"/>
      <c r="J470" s="299"/>
      <c r="K470" s="299"/>
      <c r="L470" s="299"/>
      <c r="M470" s="299"/>
      <c r="N470" s="299"/>
      <c r="O470" s="299"/>
      <c r="P470" s="299"/>
      <c r="Q470" s="299"/>
      <c r="R470" s="299"/>
      <c r="S470" s="299"/>
      <c r="T470" s="299"/>
      <c r="U470" s="299"/>
      <c r="V470" s="299"/>
      <c r="W470" s="299"/>
      <c r="X470" s="299"/>
      <c r="Y470" s="299"/>
      <c r="Z470" s="299"/>
      <c r="AA470" s="299"/>
      <c r="AB470" s="299"/>
      <c r="AC470" s="299"/>
      <c r="AD470" s="299"/>
      <c r="AE470" s="299"/>
      <c r="AF470" s="299"/>
      <c r="AG470" s="299"/>
      <c r="AH470" s="299"/>
      <c r="AI470" s="299"/>
      <c r="AJ470" s="299"/>
      <c r="AK470" s="299"/>
    </row>
    <row r="471" spans="2:37" ht="13.2">
      <c r="B471" s="299"/>
      <c r="C471" s="299"/>
      <c r="D471" s="299"/>
      <c r="E471" s="299"/>
      <c r="F471" s="299"/>
      <c r="G471" s="299"/>
      <c r="H471" s="299"/>
      <c r="I471" s="299"/>
      <c r="J471" s="299"/>
      <c r="K471" s="299"/>
      <c r="L471" s="299"/>
      <c r="M471" s="299"/>
      <c r="N471" s="299"/>
      <c r="O471" s="299"/>
      <c r="P471" s="299"/>
      <c r="Q471" s="299"/>
      <c r="R471" s="299"/>
      <c r="S471" s="299"/>
      <c r="T471" s="299"/>
      <c r="U471" s="299"/>
      <c r="V471" s="299"/>
      <c r="W471" s="299"/>
      <c r="X471" s="299"/>
      <c r="Y471" s="299"/>
      <c r="Z471" s="299"/>
      <c r="AA471" s="299"/>
      <c r="AB471" s="299"/>
      <c r="AC471" s="299"/>
      <c r="AD471" s="299"/>
      <c r="AE471" s="299"/>
      <c r="AF471" s="299"/>
      <c r="AG471" s="299"/>
      <c r="AH471" s="299"/>
      <c r="AI471" s="299"/>
      <c r="AJ471" s="299"/>
      <c r="AK471" s="299"/>
    </row>
    <row r="472" spans="2:37" ht="13.2">
      <c r="B472" s="299"/>
      <c r="C472" s="299"/>
      <c r="D472" s="299"/>
      <c r="E472" s="299"/>
      <c r="F472" s="299"/>
      <c r="G472" s="299"/>
      <c r="H472" s="299"/>
      <c r="I472" s="299"/>
      <c r="J472" s="299"/>
      <c r="K472" s="299"/>
      <c r="L472" s="299"/>
      <c r="M472" s="299"/>
      <c r="N472" s="299"/>
      <c r="O472" s="299"/>
      <c r="P472" s="299"/>
      <c r="Q472" s="299"/>
      <c r="R472" s="299"/>
      <c r="S472" s="299"/>
      <c r="T472" s="299"/>
      <c r="U472" s="299"/>
      <c r="V472" s="299"/>
      <c r="W472" s="299"/>
      <c r="X472" s="299"/>
      <c r="Y472" s="299"/>
      <c r="Z472" s="299"/>
      <c r="AA472" s="299"/>
      <c r="AB472" s="299"/>
      <c r="AC472" s="299"/>
      <c r="AD472" s="299"/>
      <c r="AE472" s="299"/>
      <c r="AF472" s="299"/>
      <c r="AG472" s="299"/>
      <c r="AH472" s="299"/>
      <c r="AI472" s="299"/>
      <c r="AJ472" s="299"/>
      <c r="AK472" s="299"/>
    </row>
    <row r="473" spans="2:37" ht="13.2">
      <c r="B473" s="299"/>
      <c r="C473" s="299"/>
      <c r="D473" s="299"/>
      <c r="E473" s="299"/>
      <c r="F473" s="299"/>
      <c r="G473" s="299"/>
      <c r="H473" s="299"/>
      <c r="I473" s="299"/>
      <c r="J473" s="299"/>
      <c r="K473" s="299"/>
      <c r="L473" s="299"/>
      <c r="M473" s="299"/>
      <c r="N473" s="299"/>
      <c r="O473" s="299"/>
      <c r="P473" s="299"/>
      <c r="Q473" s="299"/>
      <c r="R473" s="299"/>
      <c r="S473" s="299"/>
      <c r="T473" s="299"/>
      <c r="U473" s="299"/>
      <c r="V473" s="299"/>
      <c r="W473" s="299"/>
      <c r="X473" s="299"/>
      <c r="Y473" s="299"/>
      <c r="Z473" s="299"/>
      <c r="AA473" s="299"/>
      <c r="AB473" s="299"/>
      <c r="AC473" s="299"/>
      <c r="AD473" s="299"/>
      <c r="AE473" s="299"/>
      <c r="AF473" s="299"/>
      <c r="AG473" s="299"/>
      <c r="AH473" s="299"/>
      <c r="AI473" s="299"/>
      <c r="AJ473" s="299"/>
      <c r="AK473" s="299"/>
    </row>
    <row r="474" spans="2:37" ht="13.2">
      <c r="B474" s="299"/>
      <c r="C474" s="299"/>
      <c r="D474" s="299"/>
      <c r="E474" s="299"/>
      <c r="F474" s="299"/>
      <c r="G474" s="299"/>
      <c r="H474" s="299"/>
      <c r="I474" s="299"/>
      <c r="J474" s="299"/>
      <c r="K474" s="299"/>
      <c r="L474" s="299"/>
      <c r="M474" s="299"/>
      <c r="N474" s="299"/>
      <c r="O474" s="299"/>
      <c r="P474" s="299"/>
      <c r="Q474" s="299"/>
      <c r="R474" s="299"/>
      <c r="S474" s="299"/>
      <c r="T474" s="299"/>
      <c r="U474" s="299"/>
      <c r="V474" s="299"/>
      <c r="W474" s="299"/>
      <c r="X474" s="299"/>
      <c r="Y474" s="299"/>
      <c r="Z474" s="299"/>
      <c r="AA474" s="299"/>
      <c r="AB474" s="299"/>
      <c r="AC474" s="299"/>
      <c r="AD474" s="299"/>
      <c r="AE474" s="299"/>
      <c r="AF474" s="299"/>
      <c r="AG474" s="299"/>
      <c r="AH474" s="299"/>
      <c r="AI474" s="299"/>
      <c r="AJ474" s="299"/>
      <c r="AK474" s="299"/>
    </row>
    <row r="475" spans="2:37" ht="13.2">
      <c r="B475" s="299"/>
      <c r="C475" s="299"/>
      <c r="D475" s="299"/>
      <c r="E475" s="299"/>
      <c r="F475" s="299"/>
      <c r="G475" s="299"/>
      <c r="H475" s="299"/>
      <c r="I475" s="299"/>
      <c r="J475" s="299"/>
      <c r="K475" s="299"/>
      <c r="L475" s="299"/>
      <c r="M475" s="299"/>
      <c r="N475" s="299"/>
      <c r="O475" s="299"/>
      <c r="P475" s="299"/>
      <c r="Q475" s="299"/>
      <c r="R475" s="299"/>
      <c r="S475" s="299"/>
      <c r="T475" s="299"/>
      <c r="U475" s="299"/>
      <c r="V475" s="299"/>
      <c r="W475" s="299"/>
      <c r="X475" s="299"/>
      <c r="Y475" s="299"/>
      <c r="Z475" s="299"/>
      <c r="AA475" s="299"/>
      <c r="AB475" s="299"/>
      <c r="AC475" s="299"/>
      <c r="AD475" s="299"/>
      <c r="AE475" s="299"/>
      <c r="AF475" s="299"/>
      <c r="AG475" s="299"/>
      <c r="AH475" s="299"/>
      <c r="AI475" s="299"/>
      <c r="AJ475" s="299"/>
      <c r="AK475" s="299"/>
    </row>
    <row r="476" spans="2:37" ht="13.2">
      <c r="B476" s="299"/>
      <c r="C476" s="299"/>
      <c r="D476" s="299"/>
      <c r="E476" s="299"/>
      <c r="F476" s="299"/>
      <c r="G476" s="299"/>
      <c r="H476" s="299"/>
      <c r="I476" s="299"/>
      <c r="J476" s="299"/>
      <c r="K476" s="299"/>
      <c r="L476" s="299"/>
      <c r="M476" s="299"/>
      <c r="N476" s="299"/>
      <c r="O476" s="299"/>
      <c r="P476" s="299"/>
      <c r="Q476" s="299"/>
      <c r="R476" s="299"/>
      <c r="S476" s="299"/>
      <c r="T476" s="299"/>
      <c r="U476" s="299"/>
      <c r="V476" s="299"/>
      <c r="W476" s="299"/>
      <c r="X476" s="299"/>
      <c r="Y476" s="299"/>
      <c r="Z476" s="299"/>
      <c r="AA476" s="299"/>
      <c r="AB476" s="299"/>
      <c r="AC476" s="299"/>
      <c r="AD476" s="299"/>
      <c r="AE476" s="299"/>
      <c r="AF476" s="299"/>
      <c r="AG476" s="299"/>
      <c r="AH476" s="299"/>
      <c r="AI476" s="299"/>
      <c r="AJ476" s="299"/>
      <c r="AK476" s="299"/>
    </row>
    <row r="477" spans="2:37" ht="13.2">
      <c r="B477" s="299"/>
      <c r="C477" s="299"/>
      <c r="D477" s="299"/>
      <c r="E477" s="299"/>
      <c r="F477" s="299"/>
      <c r="G477" s="299"/>
      <c r="H477" s="299"/>
      <c r="I477" s="299"/>
      <c r="J477" s="299"/>
      <c r="K477" s="299"/>
      <c r="L477" s="299"/>
      <c r="M477" s="299"/>
      <c r="N477" s="299"/>
      <c r="O477" s="299"/>
      <c r="P477" s="299"/>
      <c r="Q477" s="299"/>
      <c r="R477" s="299"/>
      <c r="S477" s="299"/>
      <c r="T477" s="299"/>
      <c r="U477" s="299"/>
      <c r="V477" s="299"/>
      <c r="W477" s="299"/>
      <c r="X477" s="299"/>
      <c r="Y477" s="299"/>
      <c r="Z477" s="299"/>
      <c r="AA477" s="299"/>
      <c r="AB477" s="299"/>
      <c r="AC477" s="299"/>
      <c r="AD477" s="299"/>
      <c r="AE477" s="299"/>
      <c r="AF477" s="299"/>
      <c r="AG477" s="299"/>
      <c r="AH477" s="299"/>
      <c r="AI477" s="299"/>
      <c r="AJ477" s="299"/>
      <c r="AK477" s="299"/>
    </row>
    <row r="478" spans="2:37" ht="13.2">
      <c r="B478" s="299"/>
      <c r="C478" s="299"/>
      <c r="D478" s="299"/>
      <c r="E478" s="299"/>
      <c r="F478" s="299"/>
      <c r="G478" s="299"/>
      <c r="H478" s="299"/>
      <c r="I478" s="299"/>
      <c r="J478" s="299"/>
      <c r="K478" s="299"/>
      <c r="L478" s="299"/>
      <c r="M478" s="299"/>
      <c r="N478" s="299"/>
      <c r="O478" s="299"/>
      <c r="P478" s="299"/>
      <c r="Q478" s="299"/>
      <c r="R478" s="299"/>
      <c r="S478" s="299"/>
      <c r="T478" s="299"/>
      <c r="U478" s="299"/>
      <c r="V478" s="299"/>
      <c r="W478" s="299"/>
      <c r="X478" s="299"/>
      <c r="Y478" s="299"/>
      <c r="Z478" s="299"/>
      <c r="AA478" s="299"/>
      <c r="AB478" s="299"/>
      <c r="AC478" s="299"/>
      <c r="AD478" s="299"/>
      <c r="AE478" s="299"/>
      <c r="AF478" s="299"/>
      <c r="AG478" s="299"/>
      <c r="AH478" s="299"/>
      <c r="AI478" s="299"/>
      <c r="AJ478" s="299"/>
      <c r="AK478" s="299"/>
    </row>
    <row r="479" spans="2:37" ht="13.2">
      <c r="B479" s="299"/>
      <c r="C479" s="299"/>
      <c r="D479" s="299"/>
      <c r="E479" s="299"/>
      <c r="F479" s="299"/>
      <c r="G479" s="299"/>
      <c r="H479" s="299"/>
      <c r="I479" s="299"/>
      <c r="J479" s="299"/>
      <c r="K479" s="299"/>
      <c r="L479" s="299"/>
      <c r="M479" s="299"/>
      <c r="N479" s="299"/>
      <c r="O479" s="299"/>
      <c r="P479" s="299"/>
      <c r="Q479" s="299"/>
      <c r="R479" s="299"/>
      <c r="S479" s="299"/>
      <c r="T479" s="299"/>
      <c r="U479" s="299"/>
      <c r="V479" s="299"/>
      <c r="W479" s="299"/>
      <c r="X479" s="299"/>
      <c r="Y479" s="299"/>
      <c r="Z479" s="299"/>
      <c r="AA479" s="299"/>
      <c r="AB479" s="299"/>
      <c r="AC479" s="299"/>
      <c r="AD479" s="299"/>
      <c r="AE479" s="299"/>
      <c r="AF479" s="299"/>
      <c r="AG479" s="299"/>
      <c r="AH479" s="299"/>
      <c r="AI479" s="299"/>
      <c r="AJ479" s="299"/>
      <c r="AK479" s="299"/>
    </row>
    <row r="480" spans="2:37" ht="13.2">
      <c r="B480" s="299"/>
      <c r="C480" s="299"/>
      <c r="D480" s="299"/>
      <c r="E480" s="299"/>
      <c r="F480" s="299"/>
      <c r="G480" s="299"/>
      <c r="H480" s="299"/>
      <c r="I480" s="299"/>
      <c r="J480" s="299"/>
      <c r="K480" s="299"/>
      <c r="L480" s="299"/>
      <c r="M480" s="299"/>
      <c r="N480" s="299"/>
      <c r="O480" s="299"/>
      <c r="P480" s="299"/>
      <c r="Q480" s="299"/>
      <c r="R480" s="299"/>
      <c r="S480" s="299"/>
      <c r="T480" s="299"/>
      <c r="U480" s="299"/>
      <c r="V480" s="299"/>
      <c r="W480" s="299"/>
      <c r="X480" s="299"/>
      <c r="Y480" s="299"/>
      <c r="Z480" s="299"/>
      <c r="AA480" s="299"/>
      <c r="AB480" s="299"/>
      <c r="AC480" s="299"/>
      <c r="AD480" s="299"/>
      <c r="AE480" s="299"/>
      <c r="AF480" s="299"/>
      <c r="AG480" s="299"/>
      <c r="AH480" s="299"/>
      <c r="AI480" s="299"/>
      <c r="AJ480" s="299"/>
      <c r="AK480" s="299"/>
    </row>
    <row r="481" spans="2:37" ht="13.2">
      <c r="B481" s="299"/>
      <c r="C481" s="299"/>
      <c r="D481" s="299"/>
      <c r="E481" s="299"/>
      <c r="F481" s="299"/>
      <c r="G481" s="299"/>
      <c r="H481" s="299"/>
      <c r="I481" s="299"/>
      <c r="J481" s="299"/>
      <c r="K481" s="299"/>
      <c r="L481" s="299"/>
      <c r="M481" s="299"/>
      <c r="N481" s="299"/>
      <c r="O481" s="299"/>
      <c r="P481" s="299"/>
      <c r="Q481" s="299"/>
      <c r="R481" s="299"/>
      <c r="S481" s="299"/>
      <c r="T481" s="299"/>
      <c r="U481" s="299"/>
      <c r="V481" s="299"/>
      <c r="W481" s="299"/>
      <c r="X481" s="299"/>
      <c r="Y481" s="299"/>
      <c r="Z481" s="299"/>
      <c r="AA481" s="299"/>
      <c r="AB481" s="299"/>
      <c r="AC481" s="299"/>
      <c r="AD481" s="299"/>
      <c r="AE481" s="299"/>
      <c r="AF481" s="299"/>
      <c r="AG481" s="299"/>
      <c r="AH481" s="299"/>
      <c r="AI481" s="299"/>
      <c r="AJ481" s="299"/>
      <c r="AK481" s="299"/>
    </row>
    <row r="482" spans="2:37" ht="13.2">
      <c r="B482" s="299"/>
      <c r="C482" s="299"/>
      <c r="D482" s="299"/>
      <c r="E482" s="299"/>
      <c r="F482" s="299"/>
      <c r="G482" s="299"/>
      <c r="H482" s="299"/>
      <c r="I482" s="299"/>
      <c r="J482" s="299"/>
      <c r="K482" s="299"/>
      <c r="L482" s="299"/>
      <c r="M482" s="299"/>
      <c r="N482" s="299"/>
      <c r="O482" s="299"/>
      <c r="P482" s="299"/>
      <c r="Q482" s="299"/>
      <c r="R482" s="299"/>
      <c r="S482" s="299"/>
      <c r="T482" s="299"/>
      <c r="U482" s="299"/>
      <c r="V482" s="299"/>
      <c r="W482" s="299"/>
      <c r="X482" s="299"/>
      <c r="Y482" s="299"/>
      <c r="Z482" s="299"/>
      <c r="AA482" s="299"/>
      <c r="AB482" s="299"/>
      <c r="AC482" s="299"/>
      <c r="AD482" s="299"/>
      <c r="AE482" s="299"/>
      <c r="AF482" s="299"/>
      <c r="AG482" s="299"/>
      <c r="AH482" s="299"/>
      <c r="AI482" s="299"/>
      <c r="AJ482" s="299"/>
      <c r="AK482" s="299"/>
    </row>
    <row r="483" spans="2:37" ht="13.2">
      <c r="B483" s="299"/>
      <c r="C483" s="299"/>
      <c r="D483" s="299"/>
      <c r="E483" s="299"/>
      <c r="F483" s="299"/>
      <c r="G483" s="299"/>
      <c r="H483" s="299"/>
      <c r="I483" s="299"/>
      <c r="J483" s="299"/>
      <c r="K483" s="299"/>
      <c r="L483" s="299"/>
      <c r="M483" s="299"/>
      <c r="N483" s="299"/>
      <c r="O483" s="299"/>
      <c r="P483" s="299"/>
      <c r="Q483" s="299"/>
      <c r="R483" s="299"/>
      <c r="S483" s="299"/>
      <c r="T483" s="299"/>
      <c r="U483" s="299"/>
      <c r="V483" s="299"/>
      <c r="W483" s="299"/>
      <c r="X483" s="299"/>
      <c r="Y483" s="299"/>
      <c r="Z483" s="299"/>
      <c r="AA483" s="299"/>
      <c r="AB483" s="299"/>
      <c r="AC483" s="299"/>
      <c r="AD483" s="299"/>
      <c r="AE483" s="299"/>
      <c r="AF483" s="299"/>
      <c r="AG483" s="299"/>
      <c r="AH483" s="299"/>
      <c r="AI483" s="299"/>
      <c r="AJ483" s="299"/>
      <c r="AK483" s="299"/>
    </row>
    <row r="484" spans="2:37" ht="13.2">
      <c r="B484" s="299"/>
      <c r="C484" s="299"/>
      <c r="D484" s="299"/>
      <c r="E484" s="299"/>
      <c r="F484" s="299"/>
      <c r="G484" s="299"/>
      <c r="H484" s="299"/>
      <c r="I484" s="299"/>
      <c r="J484" s="299"/>
      <c r="K484" s="299"/>
      <c r="L484" s="299"/>
      <c r="M484" s="299"/>
      <c r="N484" s="299"/>
      <c r="O484" s="299"/>
      <c r="P484" s="299"/>
      <c r="Q484" s="299"/>
      <c r="R484" s="299"/>
      <c r="S484" s="299"/>
      <c r="T484" s="299"/>
      <c r="U484" s="299"/>
      <c r="V484" s="299"/>
      <c r="W484" s="299"/>
      <c r="X484" s="299"/>
      <c r="Y484" s="299"/>
      <c r="Z484" s="299"/>
      <c r="AA484" s="299"/>
      <c r="AB484" s="299"/>
      <c r="AC484" s="299"/>
      <c r="AD484" s="299"/>
      <c r="AE484" s="299"/>
      <c r="AF484" s="299"/>
      <c r="AG484" s="299"/>
      <c r="AH484" s="299"/>
      <c r="AI484" s="299"/>
      <c r="AJ484" s="299"/>
      <c r="AK484" s="299"/>
    </row>
    <row r="485" spans="2:37" ht="13.2">
      <c r="B485" s="299"/>
      <c r="C485" s="299"/>
      <c r="D485" s="299"/>
      <c r="E485" s="299"/>
      <c r="F485" s="299"/>
      <c r="G485" s="299"/>
      <c r="H485" s="299"/>
      <c r="I485" s="299"/>
      <c r="J485" s="299"/>
      <c r="K485" s="299"/>
      <c r="L485" s="299"/>
      <c r="M485" s="299"/>
      <c r="N485" s="299"/>
      <c r="O485" s="299"/>
      <c r="P485" s="299"/>
      <c r="Q485" s="299"/>
      <c r="R485" s="299"/>
      <c r="S485" s="299"/>
      <c r="T485" s="299"/>
      <c r="U485" s="299"/>
      <c r="V485" s="299"/>
      <c r="W485" s="299"/>
      <c r="X485" s="299"/>
      <c r="Y485" s="299"/>
      <c r="Z485" s="299"/>
      <c r="AA485" s="299"/>
      <c r="AB485" s="299"/>
      <c r="AC485" s="299"/>
      <c r="AD485" s="299"/>
      <c r="AE485" s="299"/>
      <c r="AF485" s="299"/>
      <c r="AG485" s="299"/>
      <c r="AH485" s="299"/>
      <c r="AI485" s="299"/>
      <c r="AJ485" s="299"/>
      <c r="AK485" s="299"/>
    </row>
    <row r="486" spans="2:37" ht="13.2">
      <c r="B486" s="299"/>
      <c r="C486" s="299"/>
      <c r="D486" s="299"/>
      <c r="E486" s="299"/>
      <c r="F486" s="299"/>
      <c r="G486" s="299"/>
      <c r="H486" s="299"/>
      <c r="I486" s="299"/>
      <c r="J486" s="299"/>
      <c r="K486" s="299"/>
      <c r="L486" s="299"/>
      <c r="M486" s="299"/>
      <c r="N486" s="299"/>
      <c r="O486" s="299"/>
      <c r="P486" s="299"/>
      <c r="Q486" s="299"/>
      <c r="R486" s="299"/>
      <c r="S486" s="299"/>
      <c r="T486" s="299"/>
      <c r="U486" s="299"/>
      <c r="V486" s="299"/>
      <c r="W486" s="299"/>
      <c r="X486" s="299"/>
      <c r="Y486" s="299"/>
      <c r="Z486" s="299"/>
      <c r="AA486" s="299"/>
      <c r="AB486" s="299"/>
      <c r="AC486" s="299"/>
      <c r="AD486" s="299"/>
      <c r="AE486" s="299"/>
      <c r="AF486" s="299"/>
      <c r="AG486" s="299"/>
      <c r="AH486" s="299"/>
      <c r="AI486" s="299"/>
      <c r="AJ486" s="299"/>
      <c r="AK486" s="299"/>
    </row>
    <row r="487" spans="2:37" ht="13.2">
      <c r="B487" s="299"/>
      <c r="C487" s="299"/>
      <c r="D487" s="299"/>
      <c r="E487" s="299"/>
      <c r="F487" s="299"/>
      <c r="G487" s="299"/>
      <c r="H487" s="299"/>
      <c r="I487" s="299"/>
      <c r="J487" s="299"/>
      <c r="K487" s="299"/>
      <c r="L487" s="299"/>
      <c r="M487" s="299"/>
      <c r="N487" s="299"/>
      <c r="O487" s="299"/>
      <c r="P487" s="299"/>
      <c r="Q487" s="299"/>
      <c r="R487" s="299"/>
      <c r="S487" s="299"/>
      <c r="T487" s="299"/>
      <c r="U487" s="299"/>
      <c r="V487" s="299"/>
      <c r="W487" s="299"/>
      <c r="X487" s="299"/>
      <c r="Y487" s="299"/>
      <c r="Z487" s="299"/>
      <c r="AA487" s="299"/>
      <c r="AB487" s="299"/>
      <c r="AC487" s="299"/>
      <c r="AD487" s="299"/>
      <c r="AE487" s="299"/>
      <c r="AF487" s="299"/>
      <c r="AG487" s="299"/>
      <c r="AH487" s="299"/>
      <c r="AI487" s="299"/>
      <c r="AJ487" s="299"/>
      <c r="AK487" s="299"/>
    </row>
    <row r="488" spans="2:37" ht="13.2">
      <c r="B488" s="299"/>
      <c r="C488" s="299"/>
      <c r="D488" s="299"/>
      <c r="E488" s="299"/>
      <c r="F488" s="299"/>
      <c r="G488" s="299"/>
      <c r="H488" s="299"/>
      <c r="I488" s="299"/>
      <c r="J488" s="299"/>
      <c r="K488" s="299"/>
      <c r="L488" s="299"/>
      <c r="M488" s="299"/>
      <c r="N488" s="299"/>
      <c r="O488" s="299"/>
      <c r="P488" s="299"/>
      <c r="Q488" s="299"/>
      <c r="R488" s="299"/>
      <c r="S488" s="299"/>
      <c r="T488" s="299"/>
      <c r="U488" s="299"/>
      <c r="V488" s="299"/>
      <c r="W488" s="299"/>
      <c r="X488" s="299"/>
      <c r="Y488" s="299"/>
      <c r="Z488" s="299"/>
      <c r="AA488" s="299"/>
      <c r="AB488" s="299"/>
      <c r="AC488" s="299"/>
      <c r="AD488" s="299"/>
      <c r="AE488" s="299"/>
      <c r="AF488" s="299"/>
      <c r="AG488" s="299"/>
      <c r="AH488" s="299"/>
      <c r="AI488" s="299"/>
      <c r="AJ488" s="299"/>
      <c r="AK488" s="299"/>
    </row>
    <row r="489" spans="2:37" ht="13.2">
      <c r="B489" s="299"/>
      <c r="C489" s="299"/>
      <c r="D489" s="299"/>
      <c r="E489" s="299"/>
      <c r="F489" s="299"/>
      <c r="G489" s="299"/>
      <c r="H489" s="299"/>
      <c r="I489" s="299"/>
      <c r="J489" s="299"/>
      <c r="K489" s="299"/>
      <c r="L489" s="299"/>
      <c r="M489" s="299"/>
      <c r="N489" s="299"/>
      <c r="O489" s="299"/>
      <c r="P489" s="299"/>
      <c r="Q489" s="299"/>
      <c r="R489" s="299"/>
      <c r="S489" s="299"/>
      <c r="T489" s="299"/>
      <c r="U489" s="299"/>
      <c r="V489" s="299"/>
      <c r="W489" s="299"/>
      <c r="X489" s="299"/>
      <c r="Y489" s="299"/>
      <c r="Z489" s="299"/>
      <c r="AA489" s="299"/>
      <c r="AB489" s="299"/>
      <c r="AC489" s="299"/>
      <c r="AD489" s="299"/>
      <c r="AE489" s="299"/>
      <c r="AF489" s="299"/>
      <c r="AG489" s="299"/>
      <c r="AH489" s="299"/>
      <c r="AI489" s="299"/>
      <c r="AJ489" s="299"/>
      <c r="AK489" s="299"/>
    </row>
    <row r="490" spans="2:37" ht="13.2">
      <c r="B490" s="299"/>
      <c r="C490" s="299"/>
      <c r="D490" s="299"/>
      <c r="E490" s="299"/>
      <c r="F490" s="299"/>
      <c r="G490" s="299"/>
      <c r="H490" s="299"/>
      <c r="I490" s="299"/>
      <c r="J490" s="299"/>
      <c r="K490" s="299"/>
      <c r="L490" s="299"/>
      <c r="M490" s="299"/>
      <c r="N490" s="299"/>
      <c r="O490" s="299"/>
      <c r="P490" s="299"/>
      <c r="Q490" s="299"/>
      <c r="R490" s="299"/>
      <c r="S490" s="299"/>
      <c r="T490" s="299"/>
      <c r="U490" s="299"/>
      <c r="V490" s="299"/>
      <c r="W490" s="299"/>
      <c r="X490" s="299"/>
      <c r="Y490" s="299"/>
      <c r="Z490" s="299"/>
      <c r="AA490" s="299"/>
      <c r="AB490" s="299"/>
      <c r="AC490" s="299"/>
      <c r="AD490" s="299"/>
      <c r="AE490" s="299"/>
      <c r="AF490" s="299"/>
      <c r="AG490" s="299"/>
      <c r="AH490" s="299"/>
      <c r="AI490" s="299"/>
      <c r="AJ490" s="299"/>
      <c r="AK490" s="299"/>
    </row>
    <row r="491" spans="2:37" ht="13.2">
      <c r="B491" s="299"/>
      <c r="C491" s="299"/>
      <c r="D491" s="299"/>
      <c r="E491" s="299"/>
      <c r="F491" s="299"/>
      <c r="G491" s="299"/>
      <c r="H491" s="299"/>
      <c r="I491" s="299"/>
      <c r="J491" s="299"/>
      <c r="K491" s="299"/>
      <c r="L491" s="299"/>
      <c r="M491" s="299"/>
      <c r="N491" s="299"/>
      <c r="O491" s="299"/>
      <c r="P491" s="299"/>
      <c r="Q491" s="299"/>
      <c r="R491" s="299"/>
      <c r="S491" s="299"/>
      <c r="T491" s="299"/>
      <c r="U491" s="299"/>
      <c r="V491" s="299"/>
      <c r="W491" s="299"/>
      <c r="X491" s="299"/>
      <c r="Y491" s="299"/>
      <c r="Z491" s="299"/>
      <c r="AA491" s="299"/>
      <c r="AB491" s="299"/>
      <c r="AC491" s="299"/>
      <c r="AD491" s="299"/>
      <c r="AE491" s="299"/>
      <c r="AF491" s="299"/>
      <c r="AG491" s="299"/>
      <c r="AH491" s="299"/>
      <c r="AI491" s="299"/>
      <c r="AJ491" s="299"/>
      <c r="AK491" s="299"/>
    </row>
    <row r="492" spans="2:37" ht="13.2">
      <c r="B492" s="299"/>
      <c r="C492" s="299"/>
      <c r="D492" s="299"/>
      <c r="E492" s="299"/>
      <c r="F492" s="299"/>
      <c r="G492" s="299"/>
      <c r="H492" s="299"/>
      <c r="I492" s="299"/>
      <c r="J492" s="299"/>
      <c r="K492" s="299"/>
      <c r="L492" s="299"/>
      <c r="M492" s="299"/>
      <c r="N492" s="299"/>
      <c r="O492" s="299"/>
      <c r="P492" s="299"/>
      <c r="Q492" s="299"/>
      <c r="R492" s="299"/>
      <c r="S492" s="299"/>
      <c r="T492" s="299"/>
      <c r="U492" s="299"/>
      <c r="V492" s="299"/>
      <c r="W492" s="299"/>
      <c r="X492" s="299"/>
      <c r="Y492" s="299"/>
      <c r="Z492" s="299"/>
      <c r="AA492" s="299"/>
      <c r="AB492" s="299"/>
      <c r="AC492" s="299"/>
      <c r="AD492" s="299"/>
      <c r="AE492" s="299"/>
      <c r="AF492" s="299"/>
      <c r="AG492" s="299"/>
      <c r="AH492" s="299"/>
      <c r="AI492" s="299"/>
      <c r="AJ492" s="299"/>
      <c r="AK492" s="299"/>
    </row>
    <row r="493" spans="2:37" ht="13.2">
      <c r="B493" s="299"/>
      <c r="C493" s="299"/>
      <c r="D493" s="299"/>
      <c r="E493" s="299"/>
      <c r="F493" s="299"/>
      <c r="G493" s="299"/>
      <c r="H493" s="299"/>
      <c r="I493" s="299"/>
      <c r="J493" s="299"/>
      <c r="K493" s="299"/>
      <c r="L493" s="299"/>
      <c r="M493" s="299"/>
      <c r="N493" s="299"/>
      <c r="O493" s="299"/>
      <c r="P493" s="299"/>
      <c r="Q493" s="299"/>
      <c r="R493" s="299"/>
      <c r="S493" s="299"/>
      <c r="T493" s="299"/>
      <c r="U493" s="299"/>
      <c r="V493" s="299"/>
      <c r="W493" s="299"/>
      <c r="X493" s="299"/>
      <c r="Y493" s="299"/>
      <c r="Z493" s="299"/>
      <c r="AA493" s="299"/>
      <c r="AB493" s="299"/>
      <c r="AC493" s="299"/>
      <c r="AD493" s="299"/>
      <c r="AE493" s="299"/>
      <c r="AF493" s="299"/>
      <c r="AG493" s="299"/>
      <c r="AH493" s="299"/>
      <c r="AI493" s="299"/>
      <c r="AJ493" s="299"/>
      <c r="AK493" s="299"/>
    </row>
    <row r="494" spans="2:37" ht="13.2">
      <c r="B494" s="299"/>
      <c r="C494" s="299"/>
      <c r="D494" s="299"/>
      <c r="E494" s="299"/>
      <c r="F494" s="299"/>
      <c r="G494" s="299"/>
      <c r="H494" s="299"/>
      <c r="I494" s="299"/>
      <c r="J494" s="299"/>
      <c r="K494" s="299"/>
      <c r="L494" s="299"/>
      <c r="M494" s="299"/>
      <c r="N494" s="299"/>
      <c r="O494" s="299"/>
      <c r="P494" s="299"/>
      <c r="Q494" s="299"/>
      <c r="R494" s="299"/>
      <c r="S494" s="299"/>
      <c r="T494" s="299"/>
      <c r="U494" s="299"/>
      <c r="V494" s="299"/>
      <c r="W494" s="299"/>
      <c r="X494" s="299"/>
      <c r="Y494" s="299"/>
      <c r="Z494" s="299"/>
      <c r="AA494" s="299"/>
      <c r="AB494" s="299"/>
      <c r="AC494" s="299"/>
      <c r="AD494" s="299"/>
      <c r="AE494" s="299"/>
      <c r="AF494" s="299"/>
      <c r="AG494" s="299"/>
      <c r="AH494" s="299"/>
      <c r="AI494" s="299"/>
      <c r="AJ494" s="299"/>
      <c r="AK494" s="299"/>
    </row>
    <row r="495" spans="2:37" ht="13.2">
      <c r="B495" s="299"/>
      <c r="C495" s="299"/>
      <c r="D495" s="299"/>
      <c r="E495" s="299"/>
      <c r="F495" s="299"/>
      <c r="G495" s="299"/>
      <c r="H495" s="299"/>
      <c r="I495" s="299"/>
      <c r="J495" s="299"/>
      <c r="K495" s="299"/>
      <c r="L495" s="299"/>
      <c r="M495" s="299"/>
      <c r="N495" s="299"/>
      <c r="O495" s="299"/>
      <c r="P495" s="299"/>
      <c r="Q495" s="299"/>
      <c r="R495" s="299"/>
      <c r="S495" s="299"/>
      <c r="T495" s="299"/>
      <c r="U495" s="299"/>
      <c r="V495" s="299"/>
      <c r="W495" s="299"/>
      <c r="X495" s="299"/>
      <c r="Y495" s="299"/>
      <c r="Z495" s="299"/>
      <c r="AA495" s="299"/>
      <c r="AB495" s="299"/>
      <c r="AC495" s="299"/>
      <c r="AD495" s="299"/>
      <c r="AE495" s="299"/>
      <c r="AF495" s="299"/>
      <c r="AG495" s="299"/>
      <c r="AH495" s="299"/>
      <c r="AI495" s="299"/>
      <c r="AJ495" s="299"/>
      <c r="AK495" s="299"/>
    </row>
    <row r="496" spans="2:37" ht="13.2">
      <c r="B496" s="299"/>
      <c r="C496" s="299"/>
      <c r="D496" s="299"/>
      <c r="E496" s="299"/>
      <c r="F496" s="299"/>
      <c r="G496" s="299"/>
      <c r="H496" s="299"/>
      <c r="I496" s="299"/>
      <c r="J496" s="299"/>
      <c r="K496" s="299"/>
      <c r="L496" s="299"/>
      <c r="M496" s="299"/>
      <c r="N496" s="299"/>
      <c r="O496" s="299"/>
      <c r="P496" s="299"/>
      <c r="Q496" s="299"/>
      <c r="R496" s="299"/>
      <c r="S496" s="299"/>
      <c r="T496" s="299"/>
      <c r="U496" s="299"/>
      <c r="V496" s="299"/>
      <c r="W496" s="299"/>
      <c r="X496" s="299"/>
      <c r="Y496" s="299"/>
      <c r="Z496" s="299"/>
      <c r="AA496" s="299"/>
      <c r="AB496" s="299"/>
      <c r="AC496" s="299"/>
      <c r="AD496" s="299"/>
      <c r="AE496" s="299"/>
      <c r="AF496" s="299"/>
      <c r="AG496" s="299"/>
      <c r="AH496" s="299"/>
      <c r="AI496" s="299"/>
      <c r="AJ496" s="299"/>
      <c r="AK496" s="299"/>
    </row>
    <row r="497" spans="2:37" ht="13.2">
      <c r="B497" s="299"/>
      <c r="C497" s="299"/>
      <c r="D497" s="299"/>
      <c r="E497" s="299"/>
      <c r="F497" s="299"/>
      <c r="G497" s="299"/>
      <c r="H497" s="299"/>
      <c r="I497" s="299"/>
      <c r="J497" s="299"/>
      <c r="K497" s="299"/>
      <c r="L497" s="299"/>
      <c r="M497" s="299"/>
      <c r="N497" s="299"/>
      <c r="O497" s="299"/>
      <c r="P497" s="299"/>
      <c r="Q497" s="299"/>
      <c r="R497" s="299"/>
      <c r="S497" s="299"/>
      <c r="T497" s="299"/>
      <c r="U497" s="299"/>
      <c r="V497" s="299"/>
      <c r="W497" s="299"/>
      <c r="X497" s="299"/>
      <c r="Y497" s="299"/>
      <c r="Z497" s="299"/>
      <c r="AA497" s="299"/>
      <c r="AB497" s="299"/>
      <c r="AC497" s="299"/>
      <c r="AD497" s="299"/>
      <c r="AE497" s="299"/>
      <c r="AF497" s="299"/>
      <c r="AG497" s="299"/>
      <c r="AH497" s="299"/>
      <c r="AI497" s="299"/>
      <c r="AJ497" s="299"/>
      <c r="AK497" s="299"/>
    </row>
    <row r="498" spans="2:37" ht="13.2">
      <c r="B498" s="299"/>
      <c r="C498" s="299"/>
      <c r="D498" s="299"/>
      <c r="E498" s="299"/>
      <c r="F498" s="299"/>
      <c r="G498" s="299"/>
      <c r="H498" s="299"/>
      <c r="I498" s="299"/>
      <c r="J498" s="299"/>
      <c r="K498" s="299"/>
      <c r="L498" s="299"/>
      <c r="M498" s="299"/>
      <c r="N498" s="299"/>
      <c r="O498" s="299"/>
      <c r="P498" s="299"/>
      <c r="Q498" s="299"/>
      <c r="R498" s="299"/>
      <c r="S498" s="299"/>
      <c r="T498" s="299"/>
      <c r="U498" s="299"/>
      <c r="V498" s="299"/>
      <c r="W498" s="299"/>
      <c r="X498" s="299"/>
      <c r="Y498" s="299"/>
      <c r="Z498" s="299"/>
      <c r="AA498" s="299"/>
      <c r="AB498" s="299"/>
      <c r="AC498" s="299"/>
      <c r="AD498" s="299"/>
      <c r="AE498" s="299"/>
      <c r="AF498" s="299"/>
      <c r="AG498" s="299"/>
      <c r="AH498" s="299"/>
      <c r="AI498" s="299"/>
      <c r="AJ498" s="299"/>
      <c r="AK498" s="299"/>
    </row>
    <row r="499" spans="2:37" ht="13.2">
      <c r="B499" s="299"/>
      <c r="C499" s="299"/>
      <c r="D499" s="299"/>
      <c r="E499" s="299"/>
      <c r="F499" s="299"/>
      <c r="G499" s="299"/>
      <c r="H499" s="299"/>
      <c r="I499" s="299"/>
      <c r="J499" s="299"/>
      <c r="K499" s="299"/>
      <c r="L499" s="299"/>
      <c r="M499" s="299"/>
      <c r="N499" s="299"/>
      <c r="O499" s="299"/>
      <c r="P499" s="299"/>
      <c r="Q499" s="299"/>
      <c r="R499" s="299"/>
      <c r="S499" s="299"/>
      <c r="T499" s="299"/>
      <c r="U499" s="299"/>
      <c r="V499" s="299"/>
      <c r="W499" s="299"/>
      <c r="X499" s="299"/>
      <c r="Y499" s="299"/>
      <c r="Z499" s="299"/>
      <c r="AA499" s="299"/>
      <c r="AB499" s="299"/>
      <c r="AC499" s="299"/>
      <c r="AD499" s="299"/>
      <c r="AE499" s="299"/>
      <c r="AF499" s="299"/>
      <c r="AG499" s="299"/>
      <c r="AH499" s="299"/>
      <c r="AI499" s="299"/>
      <c r="AJ499" s="299"/>
      <c r="AK499" s="299"/>
    </row>
    <row r="500" spans="2:37" ht="13.2">
      <c r="B500" s="299"/>
      <c r="C500" s="299"/>
      <c r="D500" s="299"/>
      <c r="E500" s="299"/>
      <c r="F500" s="299"/>
      <c r="G500" s="299"/>
      <c r="H500" s="299"/>
      <c r="I500" s="299"/>
      <c r="J500" s="299"/>
      <c r="K500" s="299"/>
      <c r="L500" s="299"/>
      <c r="M500" s="299"/>
      <c r="N500" s="299"/>
      <c r="O500" s="299"/>
      <c r="P500" s="299"/>
      <c r="Q500" s="299"/>
      <c r="R500" s="299"/>
      <c r="S500" s="299"/>
      <c r="T500" s="299"/>
      <c r="U500" s="299"/>
      <c r="V500" s="299"/>
      <c r="W500" s="299"/>
      <c r="X500" s="299"/>
      <c r="Y500" s="299"/>
      <c r="Z500" s="299"/>
      <c r="AA500" s="299"/>
      <c r="AB500" s="299"/>
      <c r="AC500" s="299"/>
      <c r="AD500" s="299"/>
      <c r="AE500" s="299"/>
      <c r="AF500" s="299"/>
      <c r="AG500" s="299"/>
      <c r="AH500" s="299"/>
      <c r="AI500" s="299"/>
      <c r="AJ500" s="299"/>
      <c r="AK500" s="299"/>
    </row>
    <row r="501" spans="2:37" ht="13.2">
      <c r="B501" s="299"/>
      <c r="C501" s="299"/>
      <c r="D501" s="299"/>
      <c r="E501" s="299"/>
      <c r="F501" s="299"/>
      <c r="G501" s="299"/>
      <c r="H501" s="299"/>
      <c r="I501" s="299"/>
      <c r="J501" s="299"/>
      <c r="K501" s="299"/>
      <c r="L501" s="299"/>
      <c r="M501" s="299"/>
      <c r="N501" s="299"/>
      <c r="O501" s="299"/>
      <c r="P501" s="299"/>
      <c r="Q501" s="299"/>
      <c r="R501" s="299"/>
      <c r="S501" s="299"/>
      <c r="T501" s="299"/>
      <c r="U501" s="299"/>
      <c r="V501" s="299"/>
      <c r="W501" s="299"/>
      <c r="X501" s="299"/>
      <c r="Y501" s="299"/>
      <c r="Z501" s="299"/>
      <c r="AA501" s="299"/>
      <c r="AB501" s="299"/>
      <c r="AC501" s="299"/>
      <c r="AD501" s="299"/>
      <c r="AE501" s="299"/>
      <c r="AF501" s="299"/>
      <c r="AG501" s="299"/>
      <c r="AH501" s="299"/>
      <c r="AI501" s="299"/>
      <c r="AJ501" s="299"/>
      <c r="AK501" s="299"/>
    </row>
    <row r="502" spans="2:37" ht="13.2">
      <c r="B502" s="299"/>
      <c r="C502" s="299"/>
      <c r="D502" s="299"/>
      <c r="E502" s="299"/>
      <c r="F502" s="299"/>
      <c r="G502" s="299"/>
      <c r="H502" s="299"/>
      <c r="I502" s="299"/>
      <c r="J502" s="299"/>
      <c r="K502" s="299"/>
      <c r="L502" s="299"/>
      <c r="M502" s="299"/>
      <c r="N502" s="299"/>
      <c r="O502" s="299"/>
      <c r="P502" s="299"/>
      <c r="Q502" s="299"/>
      <c r="R502" s="299"/>
      <c r="S502" s="299"/>
      <c r="T502" s="299"/>
      <c r="U502" s="299"/>
      <c r="V502" s="299"/>
      <c r="W502" s="299"/>
      <c r="X502" s="299"/>
      <c r="Y502" s="299"/>
      <c r="Z502" s="299"/>
      <c r="AA502" s="299"/>
      <c r="AB502" s="299"/>
      <c r="AC502" s="299"/>
      <c r="AD502" s="299"/>
      <c r="AE502" s="299"/>
      <c r="AF502" s="299"/>
      <c r="AG502" s="299"/>
      <c r="AH502" s="299"/>
      <c r="AI502" s="299"/>
      <c r="AJ502" s="299"/>
      <c r="AK502" s="299"/>
    </row>
    <row r="503" spans="2:37" ht="13.2">
      <c r="B503" s="299"/>
      <c r="C503" s="299"/>
      <c r="D503" s="299"/>
      <c r="E503" s="299"/>
      <c r="F503" s="299"/>
      <c r="G503" s="299"/>
      <c r="H503" s="299"/>
      <c r="I503" s="299"/>
      <c r="J503" s="299"/>
      <c r="K503" s="299"/>
      <c r="L503" s="299"/>
      <c r="M503" s="299"/>
      <c r="N503" s="299"/>
      <c r="O503" s="299"/>
      <c r="P503" s="299"/>
      <c r="Q503" s="299"/>
      <c r="R503" s="299"/>
      <c r="S503" s="299"/>
      <c r="T503" s="299"/>
      <c r="U503" s="299"/>
      <c r="V503" s="299"/>
      <c r="W503" s="299"/>
      <c r="X503" s="299"/>
      <c r="Y503" s="299"/>
      <c r="Z503" s="299"/>
      <c r="AA503" s="299"/>
      <c r="AB503" s="299"/>
      <c r="AC503" s="299"/>
      <c r="AD503" s="299"/>
      <c r="AE503" s="299"/>
      <c r="AF503" s="299"/>
      <c r="AG503" s="299"/>
      <c r="AH503" s="299"/>
      <c r="AI503" s="299"/>
      <c r="AJ503" s="299"/>
      <c r="AK503" s="299"/>
    </row>
    <row r="504" spans="2:37" ht="13.2">
      <c r="B504" s="299"/>
      <c r="C504" s="299"/>
      <c r="D504" s="299"/>
      <c r="E504" s="299"/>
      <c r="F504" s="299"/>
      <c r="G504" s="299"/>
      <c r="H504" s="299"/>
      <c r="I504" s="299"/>
      <c r="J504" s="299"/>
      <c r="K504" s="299"/>
      <c r="L504" s="299"/>
      <c r="M504" s="299"/>
      <c r="N504" s="299"/>
      <c r="O504" s="299"/>
      <c r="P504" s="299"/>
      <c r="Q504" s="299"/>
      <c r="R504" s="299"/>
      <c r="S504" s="299"/>
      <c r="T504" s="299"/>
      <c r="U504" s="299"/>
      <c r="V504" s="299"/>
      <c r="W504" s="299"/>
      <c r="X504" s="299"/>
      <c r="Y504" s="299"/>
      <c r="Z504" s="299"/>
      <c r="AA504" s="299"/>
      <c r="AB504" s="299"/>
      <c r="AC504" s="299"/>
      <c r="AD504" s="299"/>
      <c r="AE504" s="299"/>
      <c r="AF504" s="299"/>
      <c r="AG504" s="299"/>
      <c r="AH504" s="299"/>
      <c r="AI504" s="299"/>
      <c r="AJ504" s="299"/>
      <c r="AK504" s="299"/>
    </row>
    <row r="505" spans="2:37" ht="13.2">
      <c r="B505" s="299"/>
      <c r="C505" s="299"/>
      <c r="D505" s="299"/>
      <c r="E505" s="299"/>
      <c r="F505" s="299"/>
      <c r="G505" s="299"/>
      <c r="H505" s="299"/>
      <c r="I505" s="299"/>
      <c r="J505" s="299"/>
      <c r="K505" s="299"/>
      <c r="L505" s="299"/>
      <c r="M505" s="299"/>
      <c r="N505" s="299"/>
      <c r="O505" s="299"/>
      <c r="P505" s="299"/>
      <c r="Q505" s="299"/>
      <c r="R505" s="299"/>
      <c r="S505" s="299"/>
      <c r="T505" s="299"/>
      <c r="U505" s="299"/>
      <c r="V505" s="299"/>
      <c r="W505" s="299"/>
      <c r="X505" s="299"/>
      <c r="Y505" s="299"/>
      <c r="Z505" s="299"/>
      <c r="AA505" s="299"/>
      <c r="AB505" s="299"/>
      <c r="AC505" s="299"/>
      <c r="AD505" s="299"/>
      <c r="AE505" s="299"/>
      <c r="AF505" s="299"/>
      <c r="AG505" s="299"/>
      <c r="AH505" s="299"/>
      <c r="AI505" s="299"/>
      <c r="AJ505" s="299"/>
      <c r="AK505" s="299"/>
    </row>
    <row r="506" spans="2:37" ht="13.2">
      <c r="B506" s="299"/>
      <c r="C506" s="299"/>
      <c r="D506" s="299"/>
      <c r="E506" s="299"/>
      <c r="F506" s="299"/>
      <c r="G506" s="299"/>
      <c r="H506" s="299"/>
      <c r="I506" s="299"/>
      <c r="J506" s="299"/>
      <c r="K506" s="299"/>
      <c r="L506" s="299"/>
      <c r="M506" s="299"/>
      <c r="N506" s="299"/>
      <c r="O506" s="299"/>
      <c r="P506" s="299"/>
      <c r="Q506" s="299"/>
      <c r="R506" s="299"/>
      <c r="S506" s="299"/>
      <c r="T506" s="299"/>
      <c r="U506" s="299"/>
      <c r="V506" s="299"/>
      <c r="W506" s="299"/>
      <c r="X506" s="299"/>
      <c r="Y506" s="299"/>
      <c r="Z506" s="299"/>
      <c r="AA506" s="299"/>
      <c r="AB506" s="299"/>
      <c r="AC506" s="299"/>
      <c r="AD506" s="299"/>
      <c r="AE506" s="299"/>
      <c r="AF506" s="299"/>
      <c r="AG506" s="299"/>
      <c r="AH506" s="299"/>
      <c r="AI506" s="299"/>
      <c r="AJ506" s="299"/>
      <c r="AK506" s="299"/>
    </row>
    <row r="507" spans="2:37" ht="13.2">
      <c r="B507" s="299"/>
      <c r="C507" s="299"/>
      <c r="D507" s="299"/>
      <c r="E507" s="299"/>
      <c r="F507" s="299"/>
      <c r="G507" s="299"/>
      <c r="H507" s="299"/>
      <c r="I507" s="299"/>
      <c r="J507" s="299"/>
      <c r="K507" s="299"/>
      <c r="L507" s="299"/>
      <c r="M507" s="299"/>
      <c r="N507" s="299"/>
      <c r="O507" s="299"/>
      <c r="P507" s="299"/>
      <c r="Q507" s="299"/>
      <c r="R507" s="299"/>
      <c r="S507" s="299"/>
      <c r="T507" s="299"/>
      <c r="U507" s="299"/>
      <c r="V507" s="299"/>
      <c r="W507" s="299"/>
      <c r="X507" s="299"/>
      <c r="Y507" s="299"/>
      <c r="Z507" s="299"/>
      <c r="AA507" s="299"/>
      <c r="AB507" s="299"/>
      <c r="AC507" s="299"/>
      <c r="AD507" s="299"/>
      <c r="AE507" s="299"/>
      <c r="AF507" s="299"/>
      <c r="AG507" s="299"/>
      <c r="AH507" s="299"/>
      <c r="AI507" s="299"/>
      <c r="AJ507" s="299"/>
      <c r="AK507" s="299"/>
    </row>
    <row r="508" spans="2:37" ht="13.2">
      <c r="B508" s="299"/>
      <c r="C508" s="299"/>
      <c r="D508" s="299"/>
      <c r="E508" s="299"/>
      <c r="F508" s="299"/>
      <c r="G508" s="299"/>
      <c r="H508" s="299"/>
      <c r="I508" s="299"/>
      <c r="J508" s="299"/>
      <c r="K508" s="299"/>
      <c r="L508" s="299"/>
      <c r="M508" s="299"/>
      <c r="N508" s="299"/>
      <c r="O508" s="299"/>
      <c r="P508" s="299"/>
      <c r="Q508" s="299"/>
      <c r="R508" s="299"/>
      <c r="S508" s="299"/>
      <c r="T508" s="299"/>
      <c r="U508" s="299"/>
      <c r="V508" s="299"/>
      <c r="W508" s="299"/>
      <c r="X508" s="299"/>
      <c r="Y508" s="299"/>
      <c r="Z508" s="299"/>
      <c r="AA508" s="299"/>
      <c r="AB508" s="299"/>
      <c r="AC508" s="299"/>
      <c r="AD508" s="299"/>
      <c r="AE508" s="299"/>
      <c r="AF508" s="299"/>
      <c r="AG508" s="299"/>
      <c r="AH508" s="299"/>
      <c r="AI508" s="299"/>
      <c r="AJ508" s="299"/>
      <c r="AK508" s="299"/>
    </row>
    <row r="509" spans="2:37" ht="13.2">
      <c r="B509" s="299"/>
      <c r="C509" s="299"/>
      <c r="D509" s="299"/>
      <c r="E509" s="299"/>
      <c r="F509" s="299"/>
      <c r="G509" s="299"/>
      <c r="H509" s="299"/>
      <c r="I509" s="299"/>
      <c r="J509" s="299"/>
      <c r="K509" s="299"/>
      <c r="L509" s="299"/>
      <c r="M509" s="299"/>
      <c r="N509" s="299"/>
      <c r="O509" s="299"/>
      <c r="P509" s="299"/>
      <c r="Q509" s="299"/>
      <c r="R509" s="299"/>
      <c r="S509" s="299"/>
      <c r="T509" s="299"/>
      <c r="U509" s="299"/>
      <c r="V509" s="299"/>
      <c r="W509" s="299"/>
      <c r="X509" s="299"/>
      <c r="Y509" s="299"/>
      <c r="Z509" s="299"/>
      <c r="AA509" s="299"/>
      <c r="AB509" s="299"/>
      <c r="AC509" s="299"/>
      <c r="AD509" s="299"/>
      <c r="AE509" s="299"/>
      <c r="AF509" s="299"/>
      <c r="AG509" s="299"/>
      <c r="AH509" s="299"/>
      <c r="AI509" s="299"/>
      <c r="AJ509" s="299"/>
      <c r="AK509" s="299"/>
    </row>
    <row r="510" spans="2:37" ht="13.2">
      <c r="B510" s="299"/>
      <c r="C510" s="299"/>
      <c r="D510" s="299"/>
      <c r="E510" s="299"/>
      <c r="F510" s="299"/>
      <c r="G510" s="299"/>
      <c r="H510" s="299"/>
      <c r="I510" s="299"/>
      <c r="J510" s="299"/>
      <c r="K510" s="299"/>
      <c r="L510" s="299"/>
      <c r="M510" s="299"/>
      <c r="N510" s="299"/>
      <c r="O510" s="299"/>
      <c r="P510" s="299"/>
      <c r="Q510" s="299"/>
      <c r="R510" s="299"/>
      <c r="S510" s="299"/>
      <c r="T510" s="299"/>
      <c r="U510" s="299"/>
      <c r="V510" s="299"/>
      <c r="W510" s="299"/>
      <c r="X510" s="299"/>
      <c r="Y510" s="299"/>
      <c r="Z510" s="299"/>
      <c r="AA510" s="299"/>
      <c r="AB510" s="299"/>
      <c r="AC510" s="299"/>
      <c r="AD510" s="299"/>
      <c r="AE510" s="299"/>
      <c r="AF510" s="299"/>
      <c r="AG510" s="299"/>
      <c r="AH510" s="299"/>
      <c r="AI510" s="299"/>
      <c r="AJ510" s="299"/>
      <c r="AK510" s="299"/>
    </row>
    <row r="511" spans="2:37" ht="13.2">
      <c r="B511" s="299"/>
      <c r="C511" s="299"/>
      <c r="D511" s="299"/>
      <c r="E511" s="299"/>
      <c r="F511" s="299"/>
      <c r="G511" s="299"/>
      <c r="H511" s="299"/>
      <c r="I511" s="299"/>
      <c r="J511" s="299"/>
      <c r="K511" s="299"/>
      <c r="L511" s="299"/>
      <c r="M511" s="299"/>
      <c r="N511" s="299"/>
      <c r="O511" s="299"/>
      <c r="P511" s="299"/>
      <c r="Q511" s="299"/>
      <c r="R511" s="299"/>
      <c r="S511" s="299"/>
      <c r="T511" s="299"/>
      <c r="U511" s="299"/>
      <c r="V511" s="299"/>
      <c r="W511" s="299"/>
      <c r="X511" s="299"/>
      <c r="Y511" s="299"/>
      <c r="Z511" s="299"/>
      <c r="AA511" s="299"/>
      <c r="AB511" s="299"/>
      <c r="AC511" s="299"/>
      <c r="AD511" s="299"/>
      <c r="AE511" s="299"/>
      <c r="AF511" s="299"/>
      <c r="AG511" s="299"/>
      <c r="AH511" s="299"/>
      <c r="AI511" s="299"/>
      <c r="AJ511" s="299"/>
      <c r="AK511" s="299"/>
    </row>
    <row r="512" spans="2:37" ht="13.2">
      <c r="B512" s="299"/>
      <c r="C512" s="299"/>
      <c r="D512" s="299"/>
      <c r="E512" s="299"/>
      <c r="F512" s="299"/>
      <c r="G512" s="299"/>
      <c r="H512" s="299"/>
      <c r="I512" s="299"/>
      <c r="J512" s="299"/>
      <c r="K512" s="299"/>
      <c r="L512" s="299"/>
      <c r="M512" s="299"/>
      <c r="N512" s="299"/>
      <c r="O512" s="299"/>
      <c r="P512" s="299"/>
      <c r="Q512" s="299"/>
      <c r="R512" s="299"/>
      <c r="S512" s="299"/>
      <c r="T512" s="299"/>
      <c r="U512" s="299"/>
      <c r="V512" s="299"/>
      <c r="W512" s="299"/>
      <c r="X512" s="299"/>
      <c r="Y512" s="299"/>
      <c r="Z512" s="299"/>
      <c r="AA512" s="299"/>
      <c r="AB512" s="299"/>
      <c r="AC512" s="299"/>
      <c r="AD512" s="299"/>
      <c r="AE512" s="299"/>
      <c r="AF512" s="299"/>
      <c r="AG512" s="299"/>
      <c r="AH512" s="299"/>
      <c r="AI512" s="299"/>
      <c r="AJ512" s="299"/>
      <c r="AK512" s="299"/>
    </row>
    <row r="513" spans="2:37" ht="13.2">
      <c r="B513" s="299"/>
      <c r="C513" s="299"/>
      <c r="D513" s="299"/>
      <c r="E513" s="299"/>
      <c r="F513" s="299"/>
      <c r="G513" s="299"/>
      <c r="H513" s="299"/>
      <c r="I513" s="299"/>
      <c r="J513" s="299"/>
      <c r="K513" s="299"/>
      <c r="L513" s="299"/>
      <c r="M513" s="299"/>
      <c r="N513" s="299"/>
      <c r="O513" s="299"/>
      <c r="P513" s="299"/>
      <c r="Q513" s="299"/>
      <c r="R513" s="299"/>
      <c r="S513" s="299"/>
      <c r="T513" s="299"/>
      <c r="U513" s="299"/>
      <c r="V513" s="299"/>
      <c r="W513" s="299"/>
      <c r="X513" s="299"/>
      <c r="Y513" s="299"/>
      <c r="Z513" s="299"/>
      <c r="AA513" s="299"/>
      <c r="AB513" s="299"/>
      <c r="AC513" s="299"/>
      <c r="AD513" s="299"/>
      <c r="AE513" s="299"/>
      <c r="AF513" s="299"/>
      <c r="AG513" s="299"/>
      <c r="AH513" s="299"/>
      <c r="AI513" s="299"/>
      <c r="AJ513" s="299"/>
      <c r="AK513" s="299"/>
    </row>
    <row r="514" spans="2:37" ht="13.2">
      <c r="B514" s="299"/>
      <c r="C514" s="299"/>
      <c r="D514" s="299"/>
      <c r="E514" s="299"/>
      <c r="F514" s="299"/>
      <c r="G514" s="299"/>
      <c r="H514" s="299"/>
      <c r="I514" s="299"/>
      <c r="J514" s="299"/>
      <c r="K514" s="299"/>
      <c r="L514" s="299"/>
      <c r="M514" s="299"/>
      <c r="N514" s="299"/>
      <c r="O514" s="299"/>
      <c r="P514" s="299"/>
      <c r="Q514" s="299"/>
      <c r="R514" s="299"/>
      <c r="S514" s="299"/>
      <c r="T514" s="299"/>
      <c r="U514" s="299"/>
      <c r="V514" s="299"/>
      <c r="W514" s="299"/>
      <c r="X514" s="299"/>
      <c r="Y514" s="299"/>
      <c r="Z514" s="299"/>
      <c r="AA514" s="299"/>
      <c r="AB514" s="299"/>
      <c r="AC514" s="299"/>
      <c r="AD514" s="299"/>
      <c r="AE514" s="299"/>
      <c r="AF514" s="299"/>
      <c r="AG514" s="299"/>
      <c r="AH514" s="299"/>
      <c r="AI514" s="299"/>
      <c r="AJ514" s="299"/>
      <c r="AK514" s="299"/>
    </row>
    <row r="515" spans="2:37" ht="13.2">
      <c r="B515" s="299"/>
      <c r="C515" s="299"/>
      <c r="D515" s="299"/>
      <c r="E515" s="299"/>
      <c r="F515" s="299"/>
      <c r="G515" s="299"/>
      <c r="H515" s="299"/>
      <c r="I515" s="299"/>
      <c r="J515" s="299"/>
      <c r="K515" s="299"/>
      <c r="L515" s="299"/>
      <c r="M515" s="299"/>
      <c r="N515" s="299"/>
      <c r="O515" s="299"/>
      <c r="P515" s="299"/>
      <c r="Q515" s="299"/>
      <c r="R515" s="299"/>
      <c r="S515" s="299"/>
      <c r="T515" s="299"/>
      <c r="U515" s="299"/>
      <c r="V515" s="299"/>
      <c r="W515" s="299"/>
      <c r="X515" s="299"/>
      <c r="Y515" s="299"/>
      <c r="Z515" s="299"/>
      <c r="AA515" s="299"/>
      <c r="AB515" s="299"/>
      <c r="AC515" s="299"/>
      <c r="AD515" s="299"/>
      <c r="AE515" s="299"/>
      <c r="AF515" s="299"/>
      <c r="AG515" s="299"/>
      <c r="AH515" s="299"/>
      <c r="AI515" s="299"/>
      <c r="AJ515" s="299"/>
      <c r="AK515" s="299"/>
    </row>
    <row r="516" spans="2:37" ht="13.2">
      <c r="B516" s="299"/>
      <c r="C516" s="299"/>
      <c r="D516" s="299"/>
      <c r="E516" s="299"/>
      <c r="F516" s="299"/>
      <c r="G516" s="299"/>
      <c r="H516" s="299"/>
      <c r="I516" s="299"/>
      <c r="J516" s="299"/>
      <c r="K516" s="299"/>
      <c r="L516" s="299"/>
      <c r="M516" s="299"/>
      <c r="N516" s="299"/>
      <c r="O516" s="299"/>
      <c r="P516" s="299"/>
      <c r="Q516" s="299"/>
      <c r="R516" s="299"/>
      <c r="S516" s="299"/>
      <c r="T516" s="299"/>
      <c r="U516" s="299"/>
      <c r="V516" s="299"/>
      <c r="W516" s="299"/>
      <c r="X516" s="299"/>
      <c r="Y516" s="299"/>
      <c r="Z516" s="299"/>
      <c r="AA516" s="299"/>
      <c r="AB516" s="299"/>
      <c r="AC516" s="299"/>
      <c r="AD516" s="299"/>
      <c r="AE516" s="299"/>
      <c r="AF516" s="299"/>
      <c r="AG516" s="299"/>
      <c r="AH516" s="299"/>
      <c r="AI516" s="299"/>
      <c r="AJ516" s="299"/>
      <c r="AK516" s="299"/>
    </row>
    <row r="517" spans="2:37" ht="13.2">
      <c r="B517" s="299"/>
      <c r="C517" s="299"/>
      <c r="D517" s="299"/>
      <c r="E517" s="299"/>
      <c r="F517" s="299"/>
      <c r="G517" s="299"/>
      <c r="H517" s="299"/>
      <c r="I517" s="299"/>
      <c r="J517" s="299"/>
      <c r="K517" s="299"/>
      <c r="L517" s="299"/>
      <c r="M517" s="299"/>
      <c r="N517" s="299"/>
      <c r="O517" s="299"/>
      <c r="P517" s="299"/>
      <c r="Q517" s="299"/>
      <c r="R517" s="299"/>
      <c r="S517" s="299"/>
      <c r="T517" s="299"/>
      <c r="U517" s="299"/>
      <c r="V517" s="299"/>
      <c r="W517" s="299"/>
      <c r="X517" s="299"/>
      <c r="Y517" s="299"/>
      <c r="Z517" s="299"/>
      <c r="AA517" s="299"/>
      <c r="AB517" s="299"/>
      <c r="AC517" s="299"/>
      <c r="AD517" s="299"/>
      <c r="AE517" s="299"/>
      <c r="AF517" s="299"/>
      <c r="AG517" s="299"/>
      <c r="AH517" s="299"/>
      <c r="AI517" s="299"/>
      <c r="AJ517" s="299"/>
      <c r="AK517" s="299"/>
    </row>
    <row r="518" spans="2:37" ht="13.2">
      <c r="B518" s="299"/>
      <c r="C518" s="299"/>
      <c r="D518" s="299"/>
      <c r="E518" s="299"/>
      <c r="F518" s="299"/>
      <c r="G518" s="299"/>
      <c r="H518" s="299"/>
      <c r="I518" s="299"/>
      <c r="J518" s="299"/>
      <c r="K518" s="299"/>
      <c r="L518" s="299"/>
      <c r="M518" s="299"/>
      <c r="N518" s="299"/>
      <c r="O518" s="299"/>
      <c r="P518" s="299"/>
      <c r="Q518" s="299"/>
      <c r="R518" s="299"/>
      <c r="S518" s="299"/>
      <c r="T518" s="299"/>
      <c r="U518" s="299"/>
      <c r="V518" s="299"/>
      <c r="W518" s="299"/>
      <c r="X518" s="299"/>
      <c r="Y518" s="299"/>
      <c r="Z518" s="299"/>
      <c r="AA518" s="299"/>
      <c r="AB518" s="299"/>
      <c r="AC518" s="299"/>
      <c r="AD518" s="299"/>
      <c r="AE518" s="299"/>
      <c r="AF518" s="299"/>
      <c r="AG518" s="299"/>
      <c r="AH518" s="299"/>
      <c r="AI518" s="299"/>
      <c r="AJ518" s="299"/>
      <c r="AK518" s="299"/>
    </row>
    <row r="519" spans="2:37" ht="13.2">
      <c r="B519" s="299"/>
      <c r="C519" s="299"/>
      <c r="D519" s="299"/>
      <c r="E519" s="299"/>
      <c r="F519" s="299"/>
      <c r="G519" s="299"/>
      <c r="H519" s="299"/>
      <c r="I519" s="299"/>
      <c r="J519" s="299"/>
      <c r="K519" s="299"/>
      <c r="L519" s="299"/>
      <c r="M519" s="299"/>
      <c r="N519" s="299"/>
      <c r="O519" s="299"/>
      <c r="P519" s="299"/>
      <c r="Q519" s="299"/>
      <c r="R519" s="299"/>
      <c r="S519" s="299"/>
      <c r="T519" s="299"/>
      <c r="U519" s="299"/>
      <c r="V519" s="299"/>
      <c r="W519" s="299"/>
      <c r="X519" s="299"/>
      <c r="Y519" s="299"/>
      <c r="Z519" s="299"/>
      <c r="AA519" s="299"/>
      <c r="AB519" s="299"/>
      <c r="AC519" s="299"/>
      <c r="AD519" s="299"/>
      <c r="AE519" s="299"/>
      <c r="AF519" s="299"/>
      <c r="AG519" s="299"/>
      <c r="AH519" s="299"/>
      <c r="AI519" s="299"/>
      <c r="AJ519" s="299"/>
      <c r="AK519" s="299"/>
    </row>
    <row r="520" spans="2:37" ht="13.2">
      <c r="B520" s="299"/>
      <c r="C520" s="299"/>
      <c r="D520" s="299"/>
      <c r="E520" s="299"/>
      <c r="F520" s="299"/>
      <c r="G520" s="299"/>
      <c r="H520" s="299"/>
      <c r="I520" s="299"/>
      <c r="J520" s="299"/>
      <c r="K520" s="299"/>
      <c r="L520" s="299"/>
      <c r="M520" s="299"/>
      <c r="N520" s="299"/>
      <c r="O520" s="299"/>
      <c r="P520" s="299"/>
      <c r="Q520" s="299"/>
      <c r="R520" s="299"/>
      <c r="S520" s="299"/>
      <c r="T520" s="299"/>
      <c r="U520" s="299"/>
      <c r="V520" s="299"/>
      <c r="W520" s="299"/>
      <c r="X520" s="299"/>
      <c r="Y520" s="299"/>
      <c r="Z520" s="299"/>
      <c r="AA520" s="299"/>
      <c r="AB520" s="299"/>
      <c r="AC520" s="299"/>
      <c r="AD520" s="299"/>
      <c r="AE520" s="299"/>
      <c r="AF520" s="299"/>
      <c r="AG520" s="299"/>
      <c r="AH520" s="299"/>
      <c r="AI520" s="299"/>
      <c r="AJ520" s="299"/>
      <c r="AK520" s="299"/>
    </row>
    <row r="521" spans="2:37" ht="13.2">
      <c r="B521" s="299"/>
      <c r="C521" s="299"/>
      <c r="D521" s="299"/>
      <c r="E521" s="299"/>
      <c r="F521" s="299"/>
      <c r="G521" s="299"/>
      <c r="H521" s="299"/>
      <c r="I521" s="299"/>
      <c r="J521" s="299"/>
      <c r="K521" s="299"/>
      <c r="L521" s="299"/>
      <c r="M521" s="299"/>
      <c r="N521" s="299"/>
      <c r="O521" s="299"/>
      <c r="P521" s="299"/>
      <c r="Q521" s="299"/>
      <c r="R521" s="299"/>
      <c r="S521" s="299"/>
      <c r="T521" s="299"/>
      <c r="U521" s="299"/>
      <c r="V521" s="299"/>
      <c r="W521" s="299"/>
      <c r="X521" s="299"/>
      <c r="Y521" s="299"/>
      <c r="Z521" s="299"/>
      <c r="AA521" s="299"/>
      <c r="AB521" s="299"/>
      <c r="AC521" s="299"/>
      <c r="AD521" s="299"/>
      <c r="AE521" s="299"/>
      <c r="AF521" s="299"/>
      <c r="AG521" s="299"/>
      <c r="AH521" s="299"/>
      <c r="AI521" s="299"/>
      <c r="AJ521" s="299"/>
      <c r="AK521" s="299"/>
    </row>
    <row r="522" spans="2:37" ht="13.2">
      <c r="B522" s="299"/>
      <c r="C522" s="299"/>
      <c r="D522" s="299"/>
      <c r="E522" s="299"/>
      <c r="F522" s="299"/>
      <c r="G522" s="299"/>
      <c r="H522" s="299"/>
      <c r="I522" s="299"/>
      <c r="J522" s="299"/>
      <c r="K522" s="299"/>
      <c r="L522" s="299"/>
      <c r="M522" s="299"/>
      <c r="N522" s="299"/>
      <c r="O522" s="299"/>
      <c r="P522" s="299"/>
      <c r="Q522" s="299"/>
      <c r="R522" s="299"/>
      <c r="S522" s="299"/>
      <c r="T522" s="299"/>
      <c r="U522" s="299"/>
      <c r="V522" s="299"/>
      <c r="W522" s="299"/>
      <c r="X522" s="299"/>
      <c r="Y522" s="299"/>
      <c r="Z522" s="299"/>
      <c r="AA522" s="299"/>
      <c r="AB522" s="299"/>
      <c r="AC522" s="299"/>
      <c r="AD522" s="299"/>
      <c r="AE522" s="299"/>
      <c r="AF522" s="299"/>
      <c r="AG522" s="299"/>
      <c r="AH522" s="299"/>
      <c r="AI522" s="299"/>
      <c r="AJ522" s="299"/>
      <c r="AK522" s="299"/>
    </row>
    <row r="523" spans="2:37" ht="13.2">
      <c r="B523" s="299"/>
      <c r="C523" s="299"/>
      <c r="D523" s="299"/>
      <c r="E523" s="299"/>
      <c r="F523" s="299"/>
      <c r="G523" s="299"/>
      <c r="H523" s="299"/>
      <c r="I523" s="299"/>
      <c r="J523" s="299"/>
      <c r="K523" s="299"/>
      <c r="L523" s="299"/>
      <c r="M523" s="299"/>
      <c r="N523" s="299"/>
      <c r="O523" s="299"/>
      <c r="P523" s="299"/>
      <c r="Q523" s="299"/>
      <c r="R523" s="299"/>
      <c r="S523" s="299"/>
      <c r="T523" s="299"/>
      <c r="U523" s="299"/>
      <c r="V523" s="299"/>
      <c r="W523" s="299"/>
      <c r="X523" s="299"/>
      <c r="Y523" s="299"/>
      <c r="Z523" s="299"/>
      <c r="AA523" s="299"/>
      <c r="AB523" s="299"/>
      <c r="AC523" s="299"/>
      <c r="AD523" s="299"/>
      <c r="AE523" s="299"/>
      <c r="AF523" s="299"/>
      <c r="AG523" s="299"/>
      <c r="AH523" s="299"/>
      <c r="AI523" s="299"/>
      <c r="AJ523" s="299"/>
      <c r="AK523" s="299"/>
    </row>
    <row r="524" spans="2:37" ht="13.2">
      <c r="B524" s="299"/>
      <c r="C524" s="299"/>
      <c r="D524" s="299"/>
      <c r="E524" s="299"/>
      <c r="F524" s="299"/>
      <c r="G524" s="299"/>
      <c r="H524" s="299"/>
      <c r="I524" s="299"/>
      <c r="J524" s="299"/>
      <c r="K524" s="299"/>
      <c r="L524" s="299"/>
      <c r="M524" s="299"/>
      <c r="N524" s="299"/>
      <c r="O524" s="299"/>
      <c r="P524" s="299"/>
      <c r="Q524" s="299"/>
      <c r="R524" s="299"/>
      <c r="S524" s="299"/>
      <c r="T524" s="299"/>
      <c r="U524" s="299"/>
      <c r="V524" s="299"/>
      <c r="W524" s="299"/>
      <c r="X524" s="299"/>
      <c r="Y524" s="299"/>
      <c r="Z524" s="299"/>
      <c r="AA524" s="299"/>
      <c r="AB524" s="299"/>
      <c r="AC524" s="299"/>
      <c r="AD524" s="299"/>
      <c r="AE524" s="299"/>
      <c r="AF524" s="299"/>
      <c r="AG524" s="299"/>
      <c r="AH524" s="299"/>
      <c r="AI524" s="299"/>
      <c r="AJ524" s="299"/>
      <c r="AK524" s="299"/>
    </row>
    <row r="525" spans="2:37" ht="13.2">
      <c r="B525" s="299"/>
      <c r="C525" s="299"/>
      <c r="D525" s="299"/>
      <c r="E525" s="299"/>
      <c r="F525" s="299"/>
      <c r="G525" s="299"/>
      <c r="H525" s="299"/>
      <c r="I525" s="299"/>
      <c r="J525" s="299"/>
      <c r="K525" s="299"/>
      <c r="L525" s="299"/>
      <c r="M525" s="299"/>
      <c r="N525" s="299"/>
      <c r="O525" s="299"/>
      <c r="P525" s="299"/>
      <c r="Q525" s="299"/>
      <c r="R525" s="299"/>
      <c r="S525" s="299"/>
      <c r="T525" s="299"/>
      <c r="U525" s="299"/>
      <c r="V525" s="299"/>
      <c r="W525" s="299"/>
      <c r="X525" s="299"/>
      <c r="Y525" s="299"/>
      <c r="Z525" s="299"/>
      <c r="AA525" s="299"/>
      <c r="AB525" s="299"/>
      <c r="AC525" s="299"/>
      <c r="AD525" s="299"/>
      <c r="AE525" s="299"/>
      <c r="AF525" s="299"/>
      <c r="AG525" s="299"/>
      <c r="AH525" s="299"/>
      <c r="AI525" s="299"/>
      <c r="AJ525" s="299"/>
      <c r="AK525" s="299"/>
    </row>
    <row r="526" spans="2:37" ht="13.2">
      <c r="B526" s="299"/>
      <c r="C526" s="299"/>
      <c r="D526" s="299"/>
      <c r="E526" s="299"/>
      <c r="F526" s="299"/>
      <c r="G526" s="299"/>
      <c r="H526" s="299"/>
      <c r="I526" s="299"/>
      <c r="J526" s="299"/>
      <c r="K526" s="299"/>
      <c r="L526" s="299"/>
      <c r="M526" s="299"/>
      <c r="N526" s="299"/>
      <c r="O526" s="299"/>
      <c r="P526" s="299"/>
      <c r="Q526" s="299"/>
      <c r="R526" s="299"/>
      <c r="S526" s="299"/>
      <c r="T526" s="299"/>
      <c r="U526" s="299"/>
      <c r="V526" s="299"/>
      <c r="W526" s="299"/>
      <c r="X526" s="299"/>
      <c r="Y526" s="299"/>
      <c r="Z526" s="299"/>
      <c r="AA526" s="299"/>
      <c r="AB526" s="299"/>
      <c r="AC526" s="299"/>
      <c r="AD526" s="299"/>
      <c r="AE526" s="299"/>
      <c r="AF526" s="299"/>
      <c r="AG526" s="299"/>
      <c r="AH526" s="299"/>
      <c r="AI526" s="299"/>
      <c r="AJ526" s="299"/>
      <c r="AK526" s="299"/>
    </row>
    <row r="527" spans="2:37" ht="13.2">
      <c r="B527" s="299"/>
      <c r="C527" s="299"/>
      <c r="D527" s="299"/>
      <c r="E527" s="299"/>
      <c r="F527" s="299"/>
      <c r="G527" s="299"/>
      <c r="H527" s="299"/>
      <c r="I527" s="299"/>
      <c r="J527" s="299"/>
      <c r="K527" s="299"/>
      <c r="L527" s="299"/>
      <c r="M527" s="299"/>
      <c r="N527" s="299"/>
      <c r="O527" s="299"/>
      <c r="P527" s="299"/>
      <c r="Q527" s="299"/>
      <c r="R527" s="299"/>
      <c r="S527" s="299"/>
      <c r="T527" s="299"/>
      <c r="U527" s="299"/>
      <c r="V527" s="299"/>
      <c r="W527" s="299"/>
      <c r="X527" s="299"/>
      <c r="Y527" s="299"/>
      <c r="Z527" s="299"/>
      <c r="AA527" s="299"/>
      <c r="AB527" s="299"/>
      <c r="AC527" s="299"/>
      <c r="AD527" s="299"/>
      <c r="AE527" s="299"/>
      <c r="AF527" s="299"/>
      <c r="AG527" s="299"/>
      <c r="AH527" s="299"/>
      <c r="AI527" s="299"/>
      <c r="AJ527" s="299"/>
      <c r="AK527" s="299"/>
    </row>
    <row r="528" spans="2:37" ht="13.2">
      <c r="B528" s="299"/>
      <c r="C528" s="299"/>
      <c r="D528" s="299"/>
      <c r="E528" s="299"/>
      <c r="F528" s="299"/>
      <c r="G528" s="299"/>
      <c r="H528" s="299"/>
      <c r="I528" s="299"/>
      <c r="J528" s="299"/>
      <c r="K528" s="299"/>
      <c r="L528" s="299"/>
      <c r="M528" s="299"/>
      <c r="N528" s="299"/>
      <c r="O528" s="299"/>
      <c r="P528" s="299"/>
      <c r="Q528" s="299"/>
      <c r="R528" s="299"/>
      <c r="S528" s="299"/>
      <c r="T528" s="299"/>
      <c r="U528" s="299"/>
      <c r="V528" s="299"/>
      <c r="W528" s="299"/>
      <c r="X528" s="299"/>
      <c r="Y528" s="299"/>
      <c r="Z528" s="299"/>
      <c r="AA528" s="299"/>
      <c r="AB528" s="299"/>
      <c r="AC528" s="299"/>
      <c r="AD528" s="299"/>
      <c r="AE528" s="299"/>
      <c r="AF528" s="299"/>
      <c r="AG528" s="299"/>
      <c r="AH528" s="299"/>
      <c r="AI528" s="299"/>
      <c r="AJ528" s="299"/>
      <c r="AK528" s="299"/>
    </row>
    <row r="529" spans="2:37" ht="13.2">
      <c r="B529" s="299"/>
      <c r="C529" s="299"/>
      <c r="D529" s="299"/>
      <c r="E529" s="299"/>
      <c r="F529" s="299"/>
      <c r="G529" s="299"/>
      <c r="H529" s="299"/>
      <c r="I529" s="299"/>
      <c r="J529" s="299"/>
      <c r="K529" s="299"/>
      <c r="L529" s="299"/>
      <c r="M529" s="299"/>
      <c r="N529" s="299"/>
      <c r="O529" s="299"/>
      <c r="P529" s="299"/>
      <c r="Q529" s="299"/>
      <c r="R529" s="299"/>
      <c r="S529" s="299"/>
      <c r="T529" s="299"/>
      <c r="U529" s="299"/>
      <c r="V529" s="299"/>
      <c r="W529" s="299"/>
      <c r="X529" s="299"/>
      <c r="Y529" s="299"/>
      <c r="Z529" s="299"/>
      <c r="AA529" s="299"/>
      <c r="AB529" s="299"/>
      <c r="AC529" s="299"/>
      <c r="AD529" s="299"/>
      <c r="AE529" s="299"/>
      <c r="AF529" s="299"/>
      <c r="AG529" s="299"/>
      <c r="AH529" s="299"/>
      <c r="AI529" s="299"/>
      <c r="AJ529" s="299"/>
      <c r="AK529" s="299"/>
    </row>
    <row r="530" spans="2:37" ht="13.2">
      <c r="B530" s="299"/>
      <c r="C530" s="299"/>
      <c r="D530" s="299"/>
      <c r="E530" s="299"/>
      <c r="F530" s="299"/>
      <c r="G530" s="299"/>
      <c r="H530" s="299"/>
      <c r="I530" s="299"/>
      <c r="J530" s="299"/>
      <c r="K530" s="299"/>
      <c r="L530" s="299"/>
      <c r="M530" s="299"/>
      <c r="N530" s="299"/>
      <c r="O530" s="299"/>
      <c r="P530" s="299"/>
      <c r="Q530" s="299"/>
      <c r="R530" s="299"/>
      <c r="S530" s="299"/>
      <c r="T530" s="299"/>
      <c r="U530" s="299"/>
      <c r="V530" s="299"/>
      <c r="W530" s="299"/>
      <c r="X530" s="299"/>
      <c r="Y530" s="299"/>
      <c r="Z530" s="299"/>
      <c r="AA530" s="299"/>
      <c r="AB530" s="299"/>
      <c r="AC530" s="299"/>
      <c r="AD530" s="299"/>
      <c r="AE530" s="299"/>
      <c r="AF530" s="299"/>
      <c r="AG530" s="299"/>
      <c r="AH530" s="299"/>
      <c r="AI530" s="299"/>
      <c r="AJ530" s="299"/>
      <c r="AK530" s="299"/>
    </row>
    <row r="531" spans="2:37" ht="13.2">
      <c r="B531" s="299"/>
      <c r="C531" s="299"/>
      <c r="D531" s="299"/>
      <c r="E531" s="299"/>
      <c r="F531" s="299"/>
      <c r="G531" s="299"/>
      <c r="H531" s="299"/>
      <c r="I531" s="299"/>
      <c r="J531" s="299"/>
      <c r="K531" s="299"/>
      <c r="L531" s="299"/>
      <c r="M531" s="299"/>
      <c r="N531" s="299"/>
      <c r="O531" s="299"/>
      <c r="P531" s="299"/>
      <c r="Q531" s="299"/>
      <c r="R531" s="299"/>
      <c r="S531" s="299"/>
      <c r="T531" s="299"/>
      <c r="U531" s="299"/>
      <c r="V531" s="299"/>
      <c r="W531" s="299"/>
      <c r="X531" s="299"/>
      <c r="Y531" s="299"/>
      <c r="Z531" s="299"/>
      <c r="AA531" s="299"/>
      <c r="AB531" s="299"/>
      <c r="AC531" s="299"/>
      <c r="AD531" s="299"/>
      <c r="AE531" s="299"/>
      <c r="AF531" s="299"/>
      <c r="AG531" s="299"/>
      <c r="AH531" s="299"/>
      <c r="AI531" s="299"/>
      <c r="AJ531" s="299"/>
      <c r="AK531" s="299"/>
    </row>
    <row r="532" spans="2:37" ht="13.2">
      <c r="B532" s="299"/>
      <c r="C532" s="299"/>
      <c r="D532" s="299"/>
      <c r="E532" s="299"/>
      <c r="F532" s="299"/>
      <c r="G532" s="299"/>
      <c r="H532" s="299"/>
      <c r="I532" s="299"/>
      <c r="J532" s="299"/>
      <c r="K532" s="299"/>
      <c r="L532" s="299"/>
      <c r="M532" s="299"/>
      <c r="N532" s="299"/>
      <c r="O532" s="299"/>
      <c r="P532" s="299"/>
      <c r="Q532" s="299"/>
      <c r="R532" s="299"/>
      <c r="S532" s="299"/>
      <c r="T532" s="299"/>
      <c r="U532" s="299"/>
      <c r="V532" s="299"/>
      <c r="W532" s="299"/>
      <c r="X532" s="299"/>
      <c r="Y532" s="299"/>
      <c r="Z532" s="299"/>
      <c r="AA532" s="299"/>
      <c r="AB532" s="299"/>
      <c r="AC532" s="299"/>
      <c r="AD532" s="299"/>
      <c r="AE532" s="299"/>
      <c r="AF532" s="299"/>
      <c r="AG532" s="299"/>
      <c r="AH532" s="299"/>
      <c r="AI532" s="299"/>
      <c r="AJ532" s="299"/>
      <c r="AK532" s="299"/>
    </row>
    <row r="533" spans="2:37" ht="13.2">
      <c r="B533" s="299"/>
      <c r="C533" s="299"/>
      <c r="D533" s="299"/>
      <c r="E533" s="299"/>
      <c r="F533" s="299"/>
      <c r="G533" s="299"/>
      <c r="H533" s="299"/>
      <c r="I533" s="299"/>
      <c r="J533" s="299"/>
      <c r="K533" s="299"/>
      <c r="L533" s="299"/>
      <c r="M533" s="299"/>
      <c r="N533" s="299"/>
      <c r="O533" s="299"/>
      <c r="P533" s="299"/>
      <c r="Q533" s="299"/>
      <c r="R533" s="299"/>
      <c r="S533" s="299"/>
      <c r="T533" s="299"/>
      <c r="U533" s="299"/>
      <c r="V533" s="299"/>
      <c r="W533" s="299"/>
      <c r="X533" s="299"/>
      <c r="Y533" s="299"/>
      <c r="Z533" s="299"/>
      <c r="AA533" s="299"/>
      <c r="AB533" s="299"/>
      <c r="AC533" s="299"/>
      <c r="AD533" s="299"/>
      <c r="AE533" s="299"/>
      <c r="AF533" s="299"/>
      <c r="AG533" s="299"/>
      <c r="AH533" s="299"/>
      <c r="AI533" s="299"/>
      <c r="AJ533" s="299"/>
      <c r="AK533" s="299"/>
    </row>
    <row r="534" spans="2:37" ht="13.2">
      <c r="B534" s="299"/>
      <c r="C534" s="299"/>
      <c r="D534" s="299"/>
      <c r="E534" s="299"/>
      <c r="F534" s="299"/>
      <c r="G534" s="299"/>
      <c r="H534" s="299"/>
      <c r="I534" s="299"/>
      <c r="J534" s="299"/>
      <c r="K534" s="299"/>
      <c r="L534" s="299"/>
      <c r="M534" s="299"/>
      <c r="N534" s="299"/>
      <c r="O534" s="299"/>
      <c r="P534" s="299"/>
      <c r="Q534" s="299"/>
      <c r="R534" s="299"/>
      <c r="S534" s="299"/>
      <c r="T534" s="299"/>
      <c r="U534" s="299"/>
      <c r="V534" s="299"/>
      <c r="W534" s="299"/>
      <c r="X534" s="299"/>
      <c r="Y534" s="299"/>
      <c r="Z534" s="299"/>
      <c r="AA534" s="299"/>
      <c r="AB534" s="299"/>
      <c r="AC534" s="299"/>
      <c r="AD534" s="299"/>
      <c r="AE534" s="299"/>
      <c r="AF534" s="299"/>
      <c r="AG534" s="299"/>
      <c r="AH534" s="299"/>
      <c r="AI534" s="299"/>
      <c r="AJ534" s="299"/>
      <c r="AK534" s="299"/>
    </row>
    <row r="535" spans="2:37" ht="13.2">
      <c r="B535" s="299"/>
      <c r="C535" s="299"/>
      <c r="D535" s="299"/>
      <c r="E535" s="299"/>
      <c r="F535" s="299"/>
      <c r="G535" s="299"/>
      <c r="H535" s="299"/>
      <c r="I535" s="299"/>
      <c r="J535" s="299"/>
      <c r="K535" s="299"/>
      <c r="L535" s="299"/>
      <c r="M535" s="299"/>
      <c r="N535" s="299"/>
      <c r="O535" s="299"/>
      <c r="P535" s="299"/>
      <c r="Q535" s="299"/>
      <c r="R535" s="299"/>
      <c r="S535" s="299"/>
      <c r="T535" s="299"/>
      <c r="U535" s="299"/>
      <c r="V535" s="299"/>
      <c r="W535" s="299"/>
      <c r="X535" s="299"/>
      <c r="Y535" s="299"/>
      <c r="Z535" s="299"/>
      <c r="AA535" s="299"/>
      <c r="AB535" s="299"/>
      <c r="AC535" s="299"/>
      <c r="AD535" s="299"/>
      <c r="AE535" s="299"/>
      <c r="AF535" s="299"/>
      <c r="AG535" s="299"/>
      <c r="AH535" s="299"/>
      <c r="AI535" s="299"/>
      <c r="AJ535" s="299"/>
      <c r="AK535" s="299"/>
    </row>
    <row r="536" spans="2:37" ht="13.2">
      <c r="B536" s="299"/>
      <c r="C536" s="299"/>
      <c r="D536" s="299"/>
      <c r="E536" s="299"/>
      <c r="F536" s="299"/>
      <c r="G536" s="299"/>
      <c r="H536" s="299"/>
      <c r="I536" s="299"/>
      <c r="J536" s="299"/>
      <c r="K536" s="299"/>
      <c r="L536" s="299"/>
      <c r="M536" s="299"/>
      <c r="N536" s="299"/>
      <c r="O536" s="299"/>
      <c r="P536" s="299"/>
      <c r="Q536" s="299"/>
      <c r="R536" s="299"/>
      <c r="S536" s="299"/>
      <c r="T536" s="299"/>
      <c r="U536" s="299"/>
      <c r="V536" s="299"/>
      <c r="W536" s="299"/>
      <c r="X536" s="299"/>
      <c r="Y536" s="299"/>
      <c r="Z536" s="299"/>
      <c r="AA536" s="299"/>
      <c r="AB536" s="299"/>
      <c r="AC536" s="299"/>
      <c r="AD536" s="299"/>
      <c r="AE536" s="299"/>
      <c r="AF536" s="299"/>
      <c r="AG536" s="299"/>
      <c r="AH536" s="299"/>
      <c r="AI536" s="299"/>
      <c r="AJ536" s="299"/>
      <c r="AK536" s="299"/>
    </row>
    <row r="537" spans="2:37" ht="13.2">
      <c r="B537" s="299"/>
      <c r="C537" s="299"/>
      <c r="D537" s="299"/>
      <c r="E537" s="299"/>
      <c r="F537" s="299"/>
      <c r="G537" s="299"/>
      <c r="H537" s="299"/>
      <c r="I537" s="299"/>
      <c r="J537" s="299"/>
      <c r="K537" s="299"/>
      <c r="L537" s="299"/>
      <c r="M537" s="299"/>
      <c r="N537" s="299"/>
      <c r="O537" s="299"/>
      <c r="P537" s="299"/>
      <c r="Q537" s="299"/>
      <c r="R537" s="299"/>
      <c r="S537" s="299"/>
      <c r="T537" s="299"/>
      <c r="U537" s="299"/>
      <c r="V537" s="299"/>
      <c r="W537" s="299"/>
      <c r="X537" s="299"/>
      <c r="Y537" s="299"/>
      <c r="Z537" s="299"/>
      <c r="AA537" s="299"/>
      <c r="AB537" s="299"/>
      <c r="AC537" s="299"/>
      <c r="AD537" s="299"/>
      <c r="AE537" s="299"/>
      <c r="AF537" s="299"/>
      <c r="AG537" s="299"/>
      <c r="AH537" s="299"/>
      <c r="AI537" s="299"/>
      <c r="AJ537" s="299"/>
      <c r="AK537" s="299"/>
    </row>
    <row r="538" spans="2:37" ht="13.2">
      <c r="B538" s="299"/>
      <c r="C538" s="299"/>
      <c r="D538" s="299"/>
      <c r="E538" s="299"/>
      <c r="F538" s="299"/>
      <c r="G538" s="299"/>
      <c r="H538" s="299"/>
      <c r="I538" s="299"/>
      <c r="J538" s="299"/>
      <c r="K538" s="299"/>
      <c r="L538" s="299"/>
      <c r="M538" s="299"/>
      <c r="N538" s="299"/>
      <c r="O538" s="299"/>
      <c r="P538" s="299"/>
      <c r="Q538" s="299"/>
      <c r="R538" s="299"/>
      <c r="S538" s="299"/>
      <c r="T538" s="299"/>
      <c r="U538" s="299"/>
      <c r="V538" s="299"/>
      <c r="W538" s="299"/>
      <c r="X538" s="299"/>
      <c r="Y538" s="299"/>
      <c r="Z538" s="299"/>
      <c r="AA538" s="299"/>
      <c r="AB538" s="299"/>
      <c r="AC538" s="299"/>
      <c r="AD538" s="299"/>
      <c r="AE538" s="299"/>
      <c r="AF538" s="299"/>
      <c r="AG538" s="299"/>
      <c r="AH538" s="299"/>
      <c r="AI538" s="299"/>
      <c r="AJ538" s="299"/>
      <c r="AK538" s="299"/>
    </row>
    <row r="539" spans="2:37" ht="13.2">
      <c r="B539" s="299"/>
      <c r="C539" s="299"/>
      <c r="D539" s="299"/>
      <c r="E539" s="299"/>
      <c r="F539" s="299"/>
      <c r="G539" s="299"/>
      <c r="H539" s="299"/>
      <c r="I539" s="299"/>
      <c r="J539" s="299"/>
      <c r="K539" s="299"/>
      <c r="L539" s="299"/>
      <c r="M539" s="299"/>
      <c r="N539" s="299"/>
      <c r="O539" s="299"/>
      <c r="P539" s="299"/>
      <c r="Q539" s="299"/>
      <c r="R539" s="299"/>
      <c r="S539" s="299"/>
      <c r="T539" s="299"/>
      <c r="U539" s="299"/>
      <c r="V539" s="299"/>
      <c r="W539" s="299"/>
      <c r="X539" s="299"/>
      <c r="Y539" s="299"/>
      <c r="Z539" s="299"/>
      <c r="AA539" s="299"/>
      <c r="AB539" s="299"/>
      <c r="AC539" s="299"/>
      <c r="AD539" s="299"/>
      <c r="AE539" s="299"/>
      <c r="AF539" s="299"/>
      <c r="AG539" s="299"/>
      <c r="AH539" s="299"/>
      <c r="AI539" s="299"/>
      <c r="AJ539" s="299"/>
      <c r="AK539" s="299"/>
    </row>
    <row r="540" spans="2:37" ht="13.2">
      <c r="B540" s="299"/>
      <c r="C540" s="299"/>
      <c r="D540" s="299"/>
      <c r="E540" s="299"/>
      <c r="F540" s="299"/>
      <c r="G540" s="299"/>
      <c r="H540" s="299"/>
      <c r="I540" s="299"/>
      <c r="J540" s="299"/>
      <c r="K540" s="299"/>
      <c r="L540" s="299"/>
      <c r="M540" s="299"/>
      <c r="N540" s="299"/>
      <c r="O540" s="299"/>
      <c r="P540" s="299"/>
      <c r="Q540" s="299"/>
      <c r="R540" s="299"/>
      <c r="S540" s="299"/>
      <c r="T540" s="299"/>
      <c r="U540" s="299"/>
      <c r="V540" s="299"/>
      <c r="W540" s="299"/>
      <c r="X540" s="299"/>
      <c r="Y540" s="299"/>
      <c r="Z540" s="299"/>
      <c r="AA540" s="299"/>
      <c r="AB540" s="299"/>
      <c r="AC540" s="299"/>
      <c r="AD540" s="299"/>
      <c r="AE540" s="299"/>
      <c r="AF540" s="299"/>
      <c r="AG540" s="299"/>
      <c r="AH540" s="299"/>
      <c r="AI540" s="299"/>
      <c r="AJ540" s="299"/>
      <c r="AK540" s="299"/>
    </row>
    <row r="541" spans="2:37" ht="13.2">
      <c r="B541" s="299"/>
      <c r="C541" s="299"/>
      <c r="D541" s="299"/>
      <c r="E541" s="299"/>
      <c r="F541" s="299"/>
      <c r="G541" s="299"/>
      <c r="H541" s="299"/>
      <c r="I541" s="299"/>
      <c r="J541" s="299"/>
      <c r="K541" s="299"/>
      <c r="L541" s="299"/>
      <c r="M541" s="299"/>
      <c r="N541" s="299"/>
      <c r="O541" s="299"/>
      <c r="P541" s="299"/>
      <c r="Q541" s="299"/>
      <c r="R541" s="299"/>
      <c r="S541" s="299"/>
      <c r="T541" s="299"/>
      <c r="U541" s="299"/>
      <c r="V541" s="299"/>
      <c r="W541" s="299"/>
      <c r="X541" s="299"/>
      <c r="Y541" s="299"/>
      <c r="Z541" s="299"/>
      <c r="AA541" s="299"/>
      <c r="AB541" s="299"/>
      <c r="AC541" s="299"/>
      <c r="AD541" s="299"/>
      <c r="AE541" s="299"/>
      <c r="AF541" s="299"/>
      <c r="AG541" s="299"/>
      <c r="AH541" s="299"/>
      <c r="AI541" s="299"/>
      <c r="AJ541" s="299"/>
      <c r="AK541" s="299"/>
    </row>
    <row r="542" spans="2:37" ht="13.2">
      <c r="B542" s="299"/>
      <c r="C542" s="299"/>
      <c r="D542" s="299"/>
      <c r="E542" s="299"/>
      <c r="F542" s="299"/>
      <c r="G542" s="299"/>
      <c r="H542" s="299"/>
      <c r="I542" s="299"/>
      <c r="J542" s="299"/>
      <c r="K542" s="299"/>
      <c r="L542" s="299"/>
      <c r="M542" s="299"/>
      <c r="N542" s="299"/>
      <c r="O542" s="299"/>
      <c r="P542" s="299"/>
      <c r="Q542" s="299"/>
      <c r="R542" s="299"/>
      <c r="S542" s="299"/>
      <c r="T542" s="299"/>
      <c r="U542" s="299"/>
      <c r="V542" s="299"/>
      <c r="W542" s="299"/>
      <c r="X542" s="299"/>
      <c r="Y542" s="299"/>
      <c r="Z542" s="299"/>
      <c r="AA542" s="299"/>
      <c r="AB542" s="299"/>
      <c r="AC542" s="299"/>
      <c r="AD542" s="299"/>
      <c r="AE542" s="299"/>
      <c r="AF542" s="299"/>
      <c r="AG542" s="299"/>
      <c r="AH542" s="299"/>
      <c r="AI542" s="299"/>
      <c r="AJ542" s="299"/>
      <c r="AK542" s="299"/>
    </row>
    <row r="543" spans="2:37" ht="13.2">
      <c r="B543" s="299"/>
      <c r="C543" s="299"/>
      <c r="D543" s="299"/>
      <c r="E543" s="299"/>
      <c r="F543" s="299"/>
      <c r="G543" s="299"/>
      <c r="H543" s="299"/>
      <c r="I543" s="299"/>
      <c r="J543" s="299"/>
      <c r="K543" s="299"/>
      <c r="L543" s="299"/>
      <c r="M543" s="299"/>
      <c r="N543" s="299"/>
      <c r="O543" s="299"/>
      <c r="P543" s="299"/>
      <c r="Q543" s="299"/>
      <c r="R543" s="299"/>
      <c r="S543" s="299"/>
      <c r="T543" s="299"/>
      <c r="U543" s="299"/>
      <c r="V543" s="299"/>
      <c r="W543" s="299"/>
      <c r="X543" s="299"/>
      <c r="Y543" s="299"/>
      <c r="Z543" s="299"/>
      <c r="AA543" s="299"/>
      <c r="AB543" s="299"/>
      <c r="AC543" s="299"/>
      <c r="AD543" s="299"/>
      <c r="AE543" s="299"/>
      <c r="AF543" s="299"/>
      <c r="AG543" s="299"/>
      <c r="AH543" s="299"/>
      <c r="AI543" s="299"/>
      <c r="AJ543" s="299"/>
      <c r="AK543" s="299"/>
    </row>
    <row r="544" spans="2:37" ht="13.2">
      <c r="B544" s="299"/>
      <c r="C544" s="299"/>
      <c r="D544" s="299"/>
      <c r="E544" s="299"/>
      <c r="F544" s="299"/>
      <c r="G544" s="299"/>
      <c r="H544" s="299"/>
      <c r="I544" s="299"/>
      <c r="J544" s="299"/>
      <c r="K544" s="299"/>
      <c r="L544" s="299"/>
      <c r="M544" s="299"/>
      <c r="N544" s="299"/>
      <c r="O544" s="299"/>
      <c r="P544" s="299"/>
      <c r="Q544" s="299"/>
      <c r="R544" s="299"/>
      <c r="S544" s="299"/>
      <c r="T544" s="299"/>
      <c r="U544" s="299"/>
      <c r="V544" s="299"/>
      <c r="W544" s="299"/>
      <c r="X544" s="299"/>
      <c r="Y544" s="299"/>
      <c r="Z544" s="299"/>
      <c r="AA544" s="299"/>
      <c r="AB544" s="299"/>
      <c r="AC544" s="299"/>
      <c r="AD544" s="299"/>
      <c r="AE544" s="299"/>
      <c r="AF544" s="299"/>
      <c r="AG544" s="299"/>
      <c r="AH544" s="299"/>
      <c r="AI544" s="299"/>
      <c r="AJ544" s="299"/>
      <c r="AK544" s="299"/>
    </row>
    <row r="545" spans="2:37" ht="13.2">
      <c r="B545" s="299"/>
      <c r="C545" s="299"/>
      <c r="D545" s="299"/>
      <c r="E545" s="299"/>
      <c r="F545" s="299"/>
      <c r="G545" s="299"/>
      <c r="H545" s="299"/>
      <c r="I545" s="299"/>
      <c r="J545" s="299"/>
      <c r="K545" s="299"/>
      <c r="L545" s="299"/>
      <c r="M545" s="299"/>
      <c r="N545" s="299"/>
      <c r="O545" s="299"/>
      <c r="P545" s="299"/>
      <c r="Q545" s="299"/>
      <c r="R545" s="299"/>
      <c r="S545" s="299"/>
      <c r="T545" s="299"/>
      <c r="U545" s="299"/>
      <c r="V545" s="299"/>
      <c r="W545" s="299"/>
      <c r="X545" s="299"/>
      <c r="Y545" s="299"/>
      <c r="Z545" s="299"/>
      <c r="AA545" s="299"/>
      <c r="AB545" s="299"/>
      <c r="AC545" s="299"/>
      <c r="AD545" s="299"/>
      <c r="AE545" s="299"/>
      <c r="AF545" s="299"/>
      <c r="AG545" s="299"/>
      <c r="AH545" s="299"/>
      <c r="AI545" s="299"/>
      <c r="AJ545" s="299"/>
      <c r="AK545" s="299"/>
    </row>
    <row r="546" spans="2:37" ht="13.2">
      <c r="B546" s="299"/>
      <c r="C546" s="299"/>
      <c r="D546" s="299"/>
      <c r="E546" s="299"/>
      <c r="F546" s="299"/>
      <c r="G546" s="299"/>
      <c r="H546" s="299"/>
      <c r="I546" s="299"/>
      <c r="J546" s="299"/>
      <c r="K546" s="299"/>
      <c r="L546" s="299"/>
      <c r="M546" s="299"/>
      <c r="N546" s="299"/>
      <c r="O546" s="299"/>
      <c r="P546" s="299"/>
      <c r="Q546" s="299"/>
      <c r="R546" s="299"/>
      <c r="S546" s="299"/>
      <c r="T546" s="299"/>
      <c r="U546" s="299"/>
      <c r="V546" s="299"/>
      <c r="W546" s="299"/>
      <c r="X546" s="299"/>
      <c r="Y546" s="299"/>
      <c r="Z546" s="299"/>
      <c r="AA546" s="299"/>
      <c r="AB546" s="299"/>
      <c r="AC546" s="299"/>
      <c r="AD546" s="299"/>
      <c r="AE546" s="299"/>
      <c r="AF546" s="299"/>
      <c r="AG546" s="299"/>
      <c r="AH546" s="299"/>
      <c r="AI546" s="299"/>
      <c r="AJ546" s="299"/>
      <c r="AK546" s="299"/>
    </row>
    <row r="547" spans="2:37" ht="13.2">
      <c r="B547" s="299"/>
      <c r="C547" s="299"/>
      <c r="D547" s="299"/>
      <c r="E547" s="299"/>
      <c r="F547" s="299"/>
      <c r="G547" s="299"/>
      <c r="H547" s="299"/>
      <c r="I547" s="299"/>
      <c r="J547" s="299"/>
      <c r="K547" s="299"/>
      <c r="L547" s="299"/>
      <c r="M547" s="299"/>
      <c r="N547" s="299"/>
      <c r="O547" s="299"/>
      <c r="P547" s="299"/>
      <c r="Q547" s="299"/>
      <c r="R547" s="299"/>
      <c r="S547" s="299"/>
      <c r="T547" s="299"/>
      <c r="U547" s="299"/>
      <c r="V547" s="299"/>
      <c r="W547" s="299"/>
      <c r="X547" s="299"/>
      <c r="Y547" s="299"/>
      <c r="Z547" s="299"/>
      <c r="AA547" s="299"/>
      <c r="AB547" s="299"/>
      <c r="AC547" s="299"/>
      <c r="AD547" s="299"/>
      <c r="AE547" s="299"/>
      <c r="AF547" s="299"/>
      <c r="AG547" s="299"/>
      <c r="AH547" s="299"/>
      <c r="AI547" s="299"/>
      <c r="AJ547" s="299"/>
      <c r="AK547" s="299"/>
    </row>
    <row r="548" spans="2:37" ht="13.2">
      <c r="B548" s="299"/>
      <c r="C548" s="299"/>
      <c r="D548" s="299"/>
      <c r="E548" s="299"/>
      <c r="F548" s="299"/>
      <c r="G548" s="299"/>
      <c r="H548" s="299"/>
      <c r="I548" s="299"/>
      <c r="J548" s="299"/>
      <c r="K548" s="299"/>
      <c r="L548" s="299"/>
      <c r="M548" s="299"/>
      <c r="N548" s="299"/>
      <c r="O548" s="299"/>
      <c r="P548" s="299"/>
      <c r="Q548" s="299"/>
      <c r="R548" s="299"/>
      <c r="S548" s="299"/>
      <c r="T548" s="299"/>
      <c r="U548" s="299"/>
      <c r="V548" s="299"/>
      <c r="W548" s="299"/>
      <c r="X548" s="299"/>
      <c r="Y548" s="299"/>
      <c r="Z548" s="299"/>
      <c r="AA548" s="299"/>
      <c r="AB548" s="299"/>
      <c r="AC548" s="299"/>
      <c r="AD548" s="299"/>
      <c r="AE548" s="299"/>
      <c r="AF548" s="299"/>
      <c r="AG548" s="299"/>
      <c r="AH548" s="299"/>
      <c r="AI548" s="299"/>
      <c r="AJ548" s="299"/>
      <c r="AK548" s="299"/>
    </row>
    <row r="549" spans="2:37" ht="13.2">
      <c r="B549" s="299"/>
      <c r="C549" s="299"/>
      <c r="D549" s="299"/>
      <c r="E549" s="299"/>
      <c r="F549" s="299"/>
      <c r="G549" s="299"/>
      <c r="H549" s="299"/>
      <c r="I549" s="299"/>
      <c r="J549" s="299"/>
      <c r="K549" s="299"/>
      <c r="L549" s="299"/>
      <c r="M549" s="299"/>
      <c r="N549" s="299"/>
      <c r="O549" s="299"/>
      <c r="P549" s="299"/>
      <c r="Q549" s="299"/>
      <c r="R549" s="299"/>
      <c r="S549" s="299"/>
      <c r="T549" s="299"/>
      <c r="U549" s="299"/>
      <c r="V549" s="299"/>
      <c r="W549" s="299"/>
      <c r="X549" s="299"/>
      <c r="Y549" s="299"/>
      <c r="Z549" s="299"/>
      <c r="AA549" s="299"/>
      <c r="AB549" s="299"/>
      <c r="AC549" s="299"/>
      <c r="AD549" s="299"/>
      <c r="AE549" s="299"/>
      <c r="AF549" s="299"/>
      <c r="AG549" s="299"/>
      <c r="AH549" s="299"/>
      <c r="AI549" s="299"/>
      <c r="AJ549" s="299"/>
      <c r="AK549" s="299"/>
    </row>
    <row r="550" spans="2:37" ht="13.2">
      <c r="B550" s="299"/>
      <c r="C550" s="299"/>
      <c r="D550" s="299"/>
      <c r="E550" s="299"/>
      <c r="F550" s="299"/>
      <c r="G550" s="299"/>
      <c r="H550" s="299"/>
      <c r="I550" s="299"/>
      <c r="J550" s="299"/>
      <c r="K550" s="299"/>
      <c r="L550" s="299"/>
      <c r="M550" s="299"/>
      <c r="N550" s="299"/>
      <c r="O550" s="299"/>
      <c r="P550" s="299"/>
      <c r="Q550" s="299"/>
      <c r="R550" s="299"/>
      <c r="S550" s="299"/>
      <c r="T550" s="299"/>
      <c r="U550" s="299"/>
      <c r="V550" s="299"/>
      <c r="W550" s="299"/>
      <c r="X550" s="299"/>
      <c r="Y550" s="299"/>
      <c r="Z550" s="299"/>
      <c r="AA550" s="299"/>
      <c r="AB550" s="299"/>
      <c r="AC550" s="299"/>
      <c r="AD550" s="299"/>
      <c r="AE550" s="299"/>
      <c r="AF550" s="299"/>
      <c r="AG550" s="299"/>
      <c r="AH550" s="299"/>
      <c r="AI550" s="299"/>
      <c r="AJ550" s="299"/>
      <c r="AK550" s="299"/>
    </row>
    <row r="551" spans="2:37" ht="13.2">
      <c r="B551" s="299"/>
      <c r="C551" s="299"/>
      <c r="D551" s="299"/>
      <c r="E551" s="299"/>
      <c r="F551" s="299"/>
      <c r="G551" s="299"/>
      <c r="H551" s="299"/>
      <c r="I551" s="299"/>
      <c r="J551" s="299"/>
      <c r="K551" s="299"/>
      <c r="L551" s="299"/>
      <c r="M551" s="299"/>
      <c r="N551" s="299"/>
      <c r="O551" s="299"/>
      <c r="P551" s="299"/>
      <c r="Q551" s="299"/>
      <c r="R551" s="299"/>
      <c r="S551" s="299"/>
      <c r="T551" s="299"/>
      <c r="U551" s="299"/>
      <c r="V551" s="299"/>
      <c r="W551" s="299"/>
      <c r="X551" s="299"/>
      <c r="Y551" s="299"/>
      <c r="Z551" s="299"/>
      <c r="AA551" s="299"/>
      <c r="AB551" s="299"/>
      <c r="AC551" s="299"/>
      <c r="AD551" s="299"/>
      <c r="AE551" s="299"/>
      <c r="AF551" s="299"/>
      <c r="AG551" s="299"/>
      <c r="AH551" s="299"/>
      <c r="AI551" s="299"/>
      <c r="AJ551" s="299"/>
      <c r="AK551" s="299"/>
    </row>
    <row r="552" spans="2:37" ht="13.2">
      <c r="B552" s="299"/>
      <c r="C552" s="299"/>
      <c r="D552" s="299"/>
      <c r="E552" s="299"/>
      <c r="F552" s="299"/>
      <c r="G552" s="299"/>
      <c r="H552" s="299"/>
      <c r="I552" s="299"/>
      <c r="J552" s="299"/>
      <c r="K552" s="299"/>
      <c r="L552" s="299"/>
      <c r="M552" s="299"/>
      <c r="N552" s="299"/>
      <c r="O552" s="299"/>
      <c r="P552" s="299"/>
      <c r="Q552" s="299"/>
      <c r="R552" s="299"/>
      <c r="S552" s="299"/>
      <c r="T552" s="299"/>
      <c r="U552" s="299"/>
      <c r="V552" s="299"/>
      <c r="W552" s="299"/>
      <c r="X552" s="299"/>
      <c r="Y552" s="299"/>
      <c r="Z552" s="299"/>
      <c r="AA552" s="299"/>
      <c r="AB552" s="299"/>
      <c r="AC552" s="299"/>
      <c r="AD552" s="299"/>
      <c r="AE552" s="299"/>
      <c r="AF552" s="299"/>
      <c r="AG552" s="299"/>
      <c r="AH552" s="299"/>
      <c r="AI552" s="299"/>
      <c r="AJ552" s="299"/>
      <c r="AK552" s="299"/>
    </row>
    <row r="553" spans="2:37" ht="13.2">
      <c r="B553" s="299"/>
      <c r="C553" s="299"/>
      <c r="D553" s="299"/>
      <c r="E553" s="299"/>
      <c r="F553" s="299"/>
      <c r="G553" s="299"/>
      <c r="H553" s="299"/>
      <c r="I553" s="299"/>
      <c r="J553" s="299"/>
      <c r="K553" s="299"/>
      <c r="L553" s="299"/>
      <c r="M553" s="299"/>
      <c r="N553" s="299"/>
      <c r="O553" s="299"/>
      <c r="P553" s="299"/>
      <c r="Q553" s="299"/>
      <c r="R553" s="299"/>
      <c r="S553" s="299"/>
      <c r="T553" s="299"/>
      <c r="U553" s="299"/>
      <c r="V553" s="299"/>
      <c r="W553" s="299"/>
      <c r="X553" s="299"/>
      <c r="Y553" s="299"/>
      <c r="Z553" s="299"/>
      <c r="AA553" s="299"/>
      <c r="AB553" s="299"/>
      <c r="AC553" s="299"/>
      <c r="AD553" s="299"/>
      <c r="AE553" s="299"/>
      <c r="AF553" s="299"/>
      <c r="AG553" s="299"/>
      <c r="AH553" s="299"/>
      <c r="AI553" s="299"/>
      <c r="AJ553" s="299"/>
      <c r="AK553" s="299"/>
    </row>
    <row r="554" spans="2:37" ht="13.2">
      <c r="B554" s="299"/>
      <c r="C554" s="299"/>
      <c r="D554" s="299"/>
      <c r="E554" s="299"/>
      <c r="F554" s="299"/>
      <c r="G554" s="299"/>
      <c r="H554" s="299"/>
      <c r="I554" s="299"/>
      <c r="J554" s="299"/>
      <c r="K554" s="299"/>
      <c r="L554" s="299"/>
      <c r="M554" s="299"/>
      <c r="N554" s="299"/>
      <c r="O554" s="299"/>
      <c r="P554" s="299"/>
      <c r="Q554" s="299"/>
      <c r="R554" s="299"/>
      <c r="S554" s="299"/>
      <c r="T554" s="299"/>
      <c r="U554" s="299"/>
      <c r="V554" s="299"/>
      <c r="W554" s="299"/>
      <c r="X554" s="299"/>
      <c r="Y554" s="299"/>
      <c r="Z554" s="299"/>
      <c r="AA554" s="299"/>
      <c r="AB554" s="299"/>
      <c r="AC554" s="299"/>
      <c r="AD554" s="299"/>
      <c r="AE554" s="299"/>
      <c r="AF554" s="299"/>
      <c r="AG554" s="299"/>
      <c r="AH554" s="299"/>
      <c r="AI554" s="299"/>
      <c r="AJ554" s="299"/>
      <c r="AK554" s="299"/>
    </row>
    <row r="555" spans="2:37" ht="13.2">
      <c r="B555" s="299"/>
      <c r="C555" s="299"/>
      <c r="D555" s="299"/>
      <c r="E555" s="299"/>
      <c r="F555" s="299"/>
      <c r="G555" s="299"/>
      <c r="H555" s="299"/>
      <c r="I555" s="299"/>
      <c r="J555" s="299"/>
      <c r="K555" s="299"/>
      <c r="L555" s="299"/>
      <c r="M555" s="299"/>
      <c r="N555" s="299"/>
      <c r="O555" s="299"/>
      <c r="P555" s="299"/>
      <c r="Q555" s="299"/>
      <c r="R555" s="299"/>
      <c r="S555" s="299"/>
      <c r="T555" s="299"/>
      <c r="U555" s="299"/>
      <c r="V555" s="299"/>
      <c r="W555" s="299"/>
      <c r="X555" s="299"/>
      <c r="Y555" s="299"/>
      <c r="Z555" s="299"/>
      <c r="AA555" s="299"/>
      <c r="AB555" s="299"/>
      <c r="AC555" s="299"/>
      <c r="AD555" s="299"/>
      <c r="AE555" s="299"/>
      <c r="AF555" s="299"/>
      <c r="AG555" s="299"/>
      <c r="AH555" s="299"/>
      <c r="AI555" s="299"/>
      <c r="AJ555" s="299"/>
      <c r="AK555" s="299"/>
    </row>
    <row r="556" spans="2:37" ht="13.2">
      <c r="B556" s="299"/>
      <c r="C556" s="299"/>
      <c r="D556" s="299"/>
      <c r="E556" s="299"/>
      <c r="F556" s="299"/>
      <c r="G556" s="299"/>
      <c r="H556" s="299"/>
      <c r="I556" s="299"/>
      <c r="J556" s="299"/>
      <c r="K556" s="299"/>
      <c r="L556" s="299"/>
      <c r="M556" s="299"/>
      <c r="N556" s="299"/>
      <c r="O556" s="299"/>
      <c r="P556" s="299"/>
      <c r="Q556" s="299"/>
      <c r="R556" s="299"/>
      <c r="S556" s="299"/>
      <c r="T556" s="299"/>
      <c r="U556" s="299"/>
      <c r="V556" s="299"/>
      <c r="W556" s="299"/>
      <c r="X556" s="299"/>
      <c r="Y556" s="299"/>
      <c r="Z556" s="299"/>
      <c r="AA556" s="299"/>
      <c r="AB556" s="299"/>
      <c r="AC556" s="299"/>
      <c r="AD556" s="299"/>
      <c r="AE556" s="299"/>
      <c r="AF556" s="299"/>
      <c r="AG556" s="299"/>
      <c r="AH556" s="299"/>
      <c r="AI556" s="299"/>
      <c r="AJ556" s="299"/>
      <c r="AK556" s="299"/>
    </row>
    <row r="557" spans="2:37" ht="13.2">
      <c r="B557" s="299"/>
      <c r="C557" s="299"/>
      <c r="D557" s="299"/>
      <c r="E557" s="299"/>
      <c r="F557" s="299"/>
      <c r="G557" s="299"/>
      <c r="H557" s="299"/>
      <c r="I557" s="299"/>
      <c r="J557" s="299"/>
      <c r="K557" s="299"/>
      <c r="L557" s="299"/>
      <c r="M557" s="299"/>
      <c r="N557" s="299"/>
      <c r="O557" s="299"/>
      <c r="P557" s="299"/>
      <c r="Q557" s="299"/>
      <c r="R557" s="299"/>
      <c r="S557" s="299"/>
      <c r="T557" s="299"/>
      <c r="U557" s="299"/>
      <c r="V557" s="299"/>
      <c r="W557" s="299"/>
      <c r="X557" s="299"/>
      <c r="Y557" s="299"/>
      <c r="Z557" s="299"/>
      <c r="AA557" s="299"/>
      <c r="AB557" s="299"/>
      <c r="AC557" s="299"/>
      <c r="AD557" s="299"/>
      <c r="AE557" s="299"/>
      <c r="AF557" s="299"/>
      <c r="AG557" s="299"/>
      <c r="AH557" s="299"/>
      <c r="AI557" s="299"/>
      <c r="AJ557" s="299"/>
      <c r="AK557" s="299"/>
    </row>
    <row r="558" spans="2:37" ht="13.2">
      <c r="B558" s="299"/>
      <c r="C558" s="299"/>
      <c r="D558" s="299"/>
      <c r="E558" s="299"/>
      <c r="F558" s="299"/>
      <c r="G558" s="299"/>
      <c r="H558" s="299"/>
      <c r="I558" s="299"/>
      <c r="J558" s="299"/>
      <c r="K558" s="299"/>
      <c r="L558" s="299"/>
      <c r="M558" s="299"/>
      <c r="N558" s="299"/>
      <c r="O558" s="299"/>
      <c r="P558" s="299"/>
      <c r="Q558" s="299"/>
      <c r="R558" s="299"/>
      <c r="S558" s="299"/>
      <c r="T558" s="299"/>
      <c r="U558" s="299"/>
      <c r="V558" s="299"/>
      <c r="W558" s="299"/>
      <c r="X558" s="299"/>
      <c r="Y558" s="299"/>
      <c r="Z558" s="299"/>
      <c r="AA558" s="299"/>
      <c r="AB558" s="299"/>
      <c r="AC558" s="299"/>
      <c r="AD558" s="299"/>
      <c r="AE558" s="299"/>
      <c r="AF558" s="299"/>
      <c r="AG558" s="299"/>
      <c r="AH558" s="299"/>
      <c r="AI558" s="299"/>
      <c r="AJ558" s="299"/>
      <c r="AK558" s="299"/>
    </row>
    <row r="559" spans="2:37" ht="13.2">
      <c r="B559" s="299"/>
      <c r="C559" s="299"/>
      <c r="D559" s="299"/>
      <c r="E559" s="299"/>
      <c r="F559" s="299"/>
      <c r="G559" s="299"/>
      <c r="H559" s="299"/>
      <c r="I559" s="299"/>
      <c r="J559" s="299"/>
      <c r="K559" s="299"/>
      <c r="L559" s="299"/>
      <c r="M559" s="299"/>
      <c r="N559" s="299"/>
      <c r="O559" s="299"/>
      <c r="P559" s="299"/>
      <c r="Q559" s="299"/>
      <c r="R559" s="299"/>
      <c r="S559" s="299"/>
      <c r="T559" s="299"/>
      <c r="U559" s="299"/>
      <c r="V559" s="299"/>
      <c r="W559" s="299"/>
      <c r="X559" s="299"/>
      <c r="Y559" s="299"/>
      <c r="Z559" s="299"/>
      <c r="AA559" s="299"/>
      <c r="AB559" s="299"/>
      <c r="AC559" s="299"/>
      <c r="AD559" s="299"/>
      <c r="AE559" s="299"/>
      <c r="AF559" s="299"/>
      <c r="AG559" s="299"/>
      <c r="AH559" s="299"/>
      <c r="AI559" s="299"/>
      <c r="AJ559" s="299"/>
      <c r="AK559" s="299"/>
    </row>
    <row r="560" spans="2:37" ht="13.2">
      <c r="B560" s="299"/>
      <c r="C560" s="299"/>
      <c r="D560" s="299"/>
      <c r="E560" s="299"/>
      <c r="F560" s="299"/>
      <c r="G560" s="299"/>
      <c r="H560" s="299"/>
      <c r="I560" s="299"/>
      <c r="J560" s="299"/>
      <c r="K560" s="299"/>
      <c r="L560" s="299"/>
      <c r="M560" s="299"/>
      <c r="N560" s="299"/>
      <c r="O560" s="299"/>
      <c r="P560" s="299"/>
      <c r="Q560" s="299"/>
      <c r="R560" s="299"/>
      <c r="S560" s="299"/>
      <c r="T560" s="299"/>
      <c r="U560" s="299"/>
      <c r="V560" s="299"/>
      <c r="W560" s="299"/>
      <c r="X560" s="299"/>
      <c r="Y560" s="299"/>
      <c r="Z560" s="299"/>
      <c r="AA560" s="299"/>
      <c r="AB560" s="299"/>
      <c r="AC560" s="299"/>
      <c r="AD560" s="299"/>
      <c r="AE560" s="299"/>
      <c r="AF560" s="299"/>
      <c r="AG560" s="299"/>
      <c r="AH560" s="299"/>
      <c r="AI560" s="299"/>
      <c r="AJ560" s="299"/>
      <c r="AK560" s="299"/>
    </row>
    <row r="561" spans="2:37" ht="13.2">
      <c r="B561" s="299"/>
      <c r="C561" s="299"/>
      <c r="D561" s="299"/>
      <c r="E561" s="299"/>
      <c r="F561" s="299"/>
      <c r="G561" s="299"/>
      <c r="H561" s="299"/>
      <c r="I561" s="299"/>
      <c r="J561" s="299"/>
      <c r="K561" s="299"/>
      <c r="L561" s="299"/>
      <c r="M561" s="299"/>
      <c r="N561" s="299"/>
      <c r="O561" s="299"/>
      <c r="P561" s="299"/>
      <c r="Q561" s="299"/>
      <c r="R561" s="299"/>
      <c r="S561" s="299"/>
      <c r="T561" s="299"/>
      <c r="U561" s="299"/>
      <c r="V561" s="299"/>
      <c r="W561" s="299"/>
      <c r="X561" s="299"/>
      <c r="Y561" s="299"/>
      <c r="Z561" s="299"/>
      <c r="AA561" s="299"/>
      <c r="AB561" s="299"/>
      <c r="AC561" s="299"/>
      <c r="AD561" s="299"/>
      <c r="AE561" s="299"/>
      <c r="AF561" s="299"/>
      <c r="AG561" s="299"/>
      <c r="AH561" s="299"/>
      <c r="AI561" s="299"/>
      <c r="AJ561" s="299"/>
      <c r="AK561" s="299"/>
    </row>
    <row r="562" spans="2:37" ht="13.2">
      <c r="B562" s="299"/>
      <c r="C562" s="299"/>
      <c r="D562" s="299"/>
      <c r="E562" s="299"/>
      <c r="F562" s="299"/>
      <c r="G562" s="299"/>
      <c r="H562" s="299"/>
      <c r="I562" s="299"/>
      <c r="J562" s="299"/>
      <c r="K562" s="299"/>
      <c r="L562" s="299"/>
      <c r="M562" s="299"/>
      <c r="N562" s="299"/>
      <c r="O562" s="299"/>
      <c r="P562" s="299"/>
      <c r="Q562" s="299"/>
      <c r="R562" s="299"/>
      <c r="S562" s="299"/>
      <c r="T562" s="299"/>
      <c r="U562" s="299"/>
      <c r="V562" s="299"/>
      <c r="W562" s="299"/>
      <c r="X562" s="299"/>
      <c r="Y562" s="299"/>
      <c r="Z562" s="299"/>
      <c r="AA562" s="299"/>
      <c r="AB562" s="299"/>
      <c r="AC562" s="299"/>
      <c r="AD562" s="299"/>
      <c r="AE562" s="299"/>
      <c r="AF562" s="299"/>
      <c r="AG562" s="299"/>
      <c r="AH562" s="299"/>
      <c r="AI562" s="299"/>
      <c r="AJ562" s="299"/>
      <c r="AK562" s="299"/>
    </row>
    <row r="563" spans="2:37" ht="13.2">
      <c r="B563" s="299"/>
      <c r="C563" s="299"/>
      <c r="D563" s="299"/>
      <c r="E563" s="299"/>
      <c r="F563" s="299"/>
      <c r="G563" s="299"/>
      <c r="H563" s="299"/>
      <c r="I563" s="299"/>
      <c r="J563" s="299"/>
      <c r="K563" s="299"/>
      <c r="L563" s="299"/>
      <c r="M563" s="299"/>
      <c r="N563" s="299"/>
      <c r="O563" s="299"/>
      <c r="P563" s="299"/>
      <c r="Q563" s="299"/>
      <c r="R563" s="299"/>
      <c r="S563" s="299"/>
      <c r="T563" s="299"/>
      <c r="U563" s="299"/>
      <c r="V563" s="299"/>
      <c r="W563" s="299"/>
      <c r="X563" s="299"/>
      <c r="Y563" s="299"/>
      <c r="Z563" s="299"/>
      <c r="AA563" s="299"/>
      <c r="AB563" s="299"/>
      <c r="AC563" s="299"/>
      <c r="AD563" s="299"/>
      <c r="AE563" s="299"/>
      <c r="AF563" s="299"/>
      <c r="AG563" s="299"/>
      <c r="AH563" s="299"/>
      <c r="AI563" s="299"/>
      <c r="AJ563" s="299"/>
      <c r="AK563" s="299"/>
    </row>
    <row r="564" spans="2:37" ht="13.2">
      <c r="B564" s="299"/>
      <c r="C564" s="299"/>
      <c r="D564" s="299"/>
      <c r="E564" s="299"/>
      <c r="F564" s="299"/>
      <c r="G564" s="299"/>
      <c r="H564" s="299"/>
      <c r="I564" s="299"/>
      <c r="J564" s="299"/>
      <c r="K564" s="299"/>
      <c r="L564" s="299"/>
      <c r="M564" s="299"/>
      <c r="N564" s="299"/>
      <c r="O564" s="299"/>
      <c r="P564" s="299"/>
      <c r="Q564" s="299"/>
      <c r="R564" s="299"/>
      <c r="S564" s="299"/>
      <c r="T564" s="299"/>
      <c r="U564" s="299"/>
      <c r="V564" s="299"/>
      <c r="W564" s="299"/>
      <c r="X564" s="299"/>
      <c r="Y564" s="299"/>
      <c r="Z564" s="299"/>
      <c r="AA564" s="299"/>
      <c r="AB564" s="299"/>
      <c r="AC564" s="299"/>
      <c r="AD564" s="299"/>
      <c r="AE564" s="299"/>
      <c r="AF564" s="299"/>
      <c r="AG564" s="299"/>
      <c r="AH564" s="299"/>
      <c r="AI564" s="299"/>
      <c r="AJ564" s="299"/>
      <c r="AK564" s="299"/>
    </row>
    <row r="565" spans="2:37" ht="13.2">
      <c r="B565" s="299"/>
      <c r="C565" s="299"/>
      <c r="D565" s="299"/>
      <c r="E565" s="299"/>
      <c r="F565" s="299"/>
      <c r="G565" s="299"/>
      <c r="H565" s="299"/>
      <c r="I565" s="299"/>
      <c r="J565" s="299"/>
      <c r="K565" s="299"/>
      <c r="L565" s="299"/>
      <c r="M565" s="299"/>
      <c r="N565" s="299"/>
      <c r="O565" s="299"/>
      <c r="P565" s="299"/>
      <c r="Q565" s="299"/>
      <c r="R565" s="299"/>
      <c r="S565" s="299"/>
      <c r="T565" s="299"/>
      <c r="U565" s="299"/>
      <c r="V565" s="299"/>
      <c r="W565" s="299"/>
      <c r="X565" s="299"/>
      <c r="Y565" s="299"/>
      <c r="Z565" s="299"/>
      <c r="AA565" s="299"/>
      <c r="AB565" s="299"/>
      <c r="AC565" s="299"/>
      <c r="AD565" s="299"/>
      <c r="AE565" s="299"/>
      <c r="AF565" s="299"/>
      <c r="AG565" s="299"/>
      <c r="AH565" s="299"/>
      <c r="AI565" s="299"/>
      <c r="AJ565" s="299"/>
      <c r="AK565" s="299"/>
    </row>
    <row r="566" spans="2:37" ht="13.2">
      <c r="B566" s="299"/>
      <c r="C566" s="299"/>
      <c r="D566" s="299"/>
      <c r="E566" s="299"/>
      <c r="F566" s="299"/>
      <c r="G566" s="299"/>
      <c r="H566" s="299"/>
      <c r="I566" s="299"/>
      <c r="J566" s="299"/>
      <c r="K566" s="299"/>
      <c r="L566" s="299"/>
      <c r="M566" s="299"/>
      <c r="N566" s="299"/>
      <c r="O566" s="299"/>
      <c r="P566" s="299"/>
      <c r="Q566" s="299"/>
      <c r="R566" s="299"/>
      <c r="S566" s="299"/>
      <c r="T566" s="299"/>
      <c r="U566" s="299"/>
      <c r="V566" s="299"/>
      <c r="W566" s="299"/>
      <c r="X566" s="299"/>
      <c r="Y566" s="299"/>
      <c r="Z566" s="299"/>
      <c r="AA566" s="299"/>
      <c r="AB566" s="299"/>
      <c r="AC566" s="299"/>
      <c r="AD566" s="299"/>
      <c r="AE566" s="299"/>
      <c r="AF566" s="299"/>
      <c r="AG566" s="299"/>
      <c r="AH566" s="299"/>
      <c r="AI566" s="299"/>
      <c r="AJ566" s="299"/>
      <c r="AK566" s="299"/>
    </row>
    <row r="567" spans="2:37" ht="13.2">
      <c r="B567" s="299"/>
      <c r="C567" s="299"/>
      <c r="D567" s="299"/>
      <c r="E567" s="299"/>
      <c r="F567" s="299"/>
      <c r="G567" s="299"/>
      <c r="H567" s="299"/>
      <c r="I567" s="299"/>
      <c r="J567" s="299"/>
      <c r="K567" s="299"/>
      <c r="L567" s="299"/>
      <c r="M567" s="299"/>
      <c r="N567" s="299"/>
      <c r="O567" s="299"/>
      <c r="P567" s="299"/>
      <c r="Q567" s="299"/>
      <c r="R567" s="299"/>
      <c r="S567" s="299"/>
      <c r="T567" s="299"/>
      <c r="U567" s="299"/>
      <c r="V567" s="299"/>
      <c r="W567" s="299"/>
      <c r="X567" s="299"/>
      <c r="Y567" s="299"/>
      <c r="Z567" s="299"/>
      <c r="AA567" s="299"/>
      <c r="AB567" s="299"/>
      <c r="AC567" s="299"/>
      <c r="AD567" s="299"/>
      <c r="AE567" s="299"/>
      <c r="AF567" s="299"/>
      <c r="AG567" s="299"/>
      <c r="AH567" s="299"/>
      <c r="AI567" s="299"/>
      <c r="AJ567" s="299"/>
      <c r="AK567" s="299"/>
    </row>
    <row r="568" spans="2:37" ht="13.2">
      <c r="B568" s="299"/>
      <c r="C568" s="299"/>
      <c r="D568" s="299"/>
      <c r="E568" s="299"/>
      <c r="F568" s="299"/>
      <c r="G568" s="299"/>
      <c r="H568" s="299"/>
      <c r="I568" s="299"/>
      <c r="J568" s="299"/>
      <c r="K568" s="299"/>
      <c r="L568" s="299"/>
      <c r="M568" s="299"/>
      <c r="N568" s="299"/>
      <c r="O568" s="299"/>
      <c r="P568" s="299"/>
      <c r="Q568" s="299"/>
      <c r="R568" s="299"/>
      <c r="S568" s="299"/>
      <c r="T568" s="299"/>
      <c r="U568" s="299"/>
      <c r="V568" s="299"/>
      <c r="W568" s="299"/>
      <c r="X568" s="299"/>
      <c r="Y568" s="299"/>
      <c r="Z568" s="299"/>
      <c r="AA568" s="299"/>
      <c r="AB568" s="299"/>
      <c r="AC568" s="299"/>
      <c r="AD568" s="299"/>
      <c r="AE568" s="299"/>
      <c r="AF568" s="299"/>
      <c r="AG568" s="299"/>
      <c r="AH568" s="299"/>
      <c r="AI568" s="299"/>
      <c r="AJ568" s="299"/>
      <c r="AK568" s="299"/>
    </row>
    <row r="569" spans="2:37" ht="13.2">
      <c r="B569" s="299"/>
      <c r="C569" s="299"/>
      <c r="D569" s="299"/>
      <c r="E569" s="299"/>
      <c r="F569" s="299"/>
      <c r="G569" s="299"/>
      <c r="H569" s="299"/>
      <c r="I569" s="299"/>
      <c r="J569" s="299"/>
      <c r="K569" s="299"/>
      <c r="L569" s="299"/>
      <c r="M569" s="299"/>
      <c r="N569" s="299"/>
      <c r="O569" s="299"/>
      <c r="P569" s="299"/>
      <c r="Q569" s="299"/>
      <c r="R569" s="299"/>
      <c r="S569" s="299"/>
      <c r="T569" s="299"/>
      <c r="U569" s="299"/>
      <c r="V569" s="299"/>
      <c r="W569" s="299"/>
      <c r="X569" s="299"/>
      <c r="Y569" s="299"/>
      <c r="Z569" s="299"/>
      <c r="AA569" s="299"/>
      <c r="AB569" s="299"/>
      <c r="AC569" s="299"/>
      <c r="AD569" s="299"/>
      <c r="AE569" s="299"/>
      <c r="AF569" s="299"/>
      <c r="AG569" s="299"/>
      <c r="AH569" s="299"/>
      <c r="AI569" s="299"/>
      <c r="AJ569" s="299"/>
      <c r="AK569" s="299"/>
    </row>
    <row r="570" spans="2:37" ht="13.2">
      <c r="B570" s="299"/>
      <c r="C570" s="299"/>
      <c r="D570" s="299"/>
      <c r="E570" s="299"/>
      <c r="F570" s="299"/>
      <c r="G570" s="299"/>
      <c r="H570" s="299"/>
      <c r="I570" s="299"/>
      <c r="J570" s="299"/>
      <c r="K570" s="299"/>
      <c r="L570" s="299"/>
      <c r="M570" s="299"/>
      <c r="N570" s="299"/>
      <c r="O570" s="299"/>
      <c r="P570" s="299"/>
      <c r="Q570" s="299"/>
      <c r="R570" s="299"/>
      <c r="S570" s="299"/>
      <c r="T570" s="299"/>
      <c r="U570" s="299"/>
      <c r="V570" s="299"/>
      <c r="W570" s="299"/>
      <c r="X570" s="299"/>
      <c r="Y570" s="299"/>
      <c r="Z570" s="299"/>
      <c r="AA570" s="299"/>
      <c r="AB570" s="299"/>
      <c r="AC570" s="299"/>
      <c r="AD570" s="299"/>
      <c r="AE570" s="299"/>
      <c r="AF570" s="299"/>
      <c r="AG570" s="299"/>
      <c r="AH570" s="299"/>
      <c r="AI570" s="299"/>
      <c r="AJ570" s="299"/>
      <c r="AK570" s="299"/>
    </row>
    <row r="571" spans="2:37" ht="13.2">
      <c r="B571" s="299"/>
      <c r="C571" s="299"/>
      <c r="D571" s="299"/>
      <c r="E571" s="299"/>
      <c r="F571" s="299"/>
      <c r="G571" s="299"/>
      <c r="H571" s="299"/>
      <c r="I571" s="299"/>
      <c r="J571" s="299"/>
      <c r="K571" s="299"/>
      <c r="L571" s="299"/>
      <c r="M571" s="299"/>
      <c r="N571" s="299"/>
      <c r="O571" s="299"/>
      <c r="P571" s="299"/>
      <c r="Q571" s="299"/>
      <c r="R571" s="299"/>
      <c r="S571" s="299"/>
      <c r="T571" s="299"/>
      <c r="U571" s="299"/>
      <c r="V571" s="299"/>
      <c r="W571" s="299"/>
      <c r="X571" s="299"/>
      <c r="Y571" s="299"/>
      <c r="Z571" s="299"/>
      <c r="AA571" s="299"/>
      <c r="AB571" s="299"/>
      <c r="AC571" s="299"/>
      <c r="AD571" s="299"/>
      <c r="AE571" s="299"/>
      <c r="AF571" s="299"/>
      <c r="AG571" s="299"/>
      <c r="AH571" s="299"/>
      <c r="AI571" s="299"/>
      <c r="AJ571" s="299"/>
      <c r="AK571" s="299"/>
    </row>
    <row r="572" spans="2:37" ht="13.2">
      <c r="B572" s="299"/>
      <c r="C572" s="299"/>
      <c r="D572" s="299"/>
      <c r="E572" s="299"/>
      <c r="F572" s="299"/>
      <c r="G572" s="299"/>
      <c r="H572" s="299"/>
      <c r="I572" s="299"/>
      <c r="J572" s="299"/>
      <c r="K572" s="299"/>
      <c r="L572" s="299"/>
      <c r="M572" s="299"/>
      <c r="N572" s="299"/>
      <c r="O572" s="299"/>
      <c r="P572" s="299"/>
      <c r="Q572" s="299"/>
      <c r="R572" s="299"/>
      <c r="S572" s="299"/>
      <c r="T572" s="299"/>
      <c r="U572" s="299"/>
      <c r="V572" s="299"/>
      <c r="W572" s="299"/>
      <c r="X572" s="299"/>
      <c r="Y572" s="299"/>
      <c r="Z572" s="299"/>
      <c r="AA572" s="299"/>
      <c r="AB572" s="299"/>
      <c r="AC572" s="299"/>
      <c r="AD572" s="299"/>
      <c r="AE572" s="299"/>
      <c r="AF572" s="299"/>
      <c r="AG572" s="299"/>
      <c r="AH572" s="299"/>
      <c r="AI572" s="299"/>
      <c r="AJ572" s="299"/>
      <c r="AK572" s="299"/>
    </row>
    <row r="573" spans="2:37" ht="13.2">
      <c r="B573" s="299"/>
      <c r="C573" s="299"/>
      <c r="D573" s="299"/>
      <c r="E573" s="299"/>
      <c r="F573" s="299"/>
      <c r="G573" s="299"/>
      <c r="H573" s="299"/>
      <c r="I573" s="299"/>
      <c r="J573" s="299"/>
      <c r="K573" s="299"/>
      <c r="L573" s="299"/>
      <c r="M573" s="299"/>
      <c r="N573" s="299"/>
      <c r="O573" s="299"/>
      <c r="P573" s="299"/>
      <c r="Q573" s="299"/>
      <c r="R573" s="299"/>
      <c r="S573" s="299"/>
      <c r="T573" s="299"/>
      <c r="U573" s="299"/>
      <c r="V573" s="299"/>
      <c r="W573" s="299"/>
      <c r="X573" s="299"/>
      <c r="Y573" s="299"/>
      <c r="Z573" s="299"/>
      <c r="AA573" s="299"/>
      <c r="AB573" s="299"/>
      <c r="AC573" s="299"/>
      <c r="AD573" s="299"/>
      <c r="AE573" s="299"/>
      <c r="AF573" s="299"/>
      <c r="AG573" s="299"/>
      <c r="AH573" s="299"/>
      <c r="AI573" s="299"/>
      <c r="AJ573" s="299"/>
      <c r="AK573" s="299"/>
    </row>
    <row r="574" spans="2:37" ht="13.2">
      <c r="B574" s="299"/>
      <c r="C574" s="299"/>
      <c r="D574" s="299"/>
      <c r="E574" s="299"/>
      <c r="F574" s="299"/>
      <c r="G574" s="299"/>
      <c r="H574" s="299"/>
      <c r="I574" s="299"/>
      <c r="J574" s="299"/>
      <c r="K574" s="299"/>
      <c r="L574" s="299"/>
      <c r="M574" s="299"/>
      <c r="N574" s="299"/>
      <c r="O574" s="299"/>
      <c r="P574" s="299"/>
      <c r="Q574" s="299"/>
      <c r="R574" s="299"/>
      <c r="S574" s="299"/>
      <c r="T574" s="299"/>
      <c r="U574" s="299"/>
      <c r="V574" s="299"/>
      <c r="W574" s="299"/>
      <c r="X574" s="299"/>
      <c r="Y574" s="299"/>
      <c r="Z574" s="299"/>
      <c r="AA574" s="299"/>
      <c r="AB574" s="299"/>
      <c r="AC574" s="299"/>
      <c r="AD574" s="299"/>
      <c r="AE574" s="299"/>
      <c r="AF574" s="299"/>
      <c r="AG574" s="299"/>
      <c r="AH574" s="299"/>
      <c r="AI574" s="299"/>
      <c r="AJ574" s="299"/>
      <c r="AK574" s="299"/>
    </row>
    <row r="575" spans="2:37" ht="13.2">
      <c r="B575" s="299"/>
      <c r="C575" s="299"/>
      <c r="D575" s="299"/>
      <c r="E575" s="299"/>
      <c r="F575" s="299"/>
      <c r="G575" s="299"/>
      <c r="H575" s="299"/>
      <c r="I575" s="299"/>
      <c r="J575" s="299"/>
      <c r="K575" s="299"/>
      <c r="L575" s="299"/>
      <c r="M575" s="299"/>
      <c r="N575" s="299"/>
      <c r="O575" s="299"/>
      <c r="P575" s="299"/>
      <c r="Q575" s="299"/>
      <c r="R575" s="299"/>
      <c r="S575" s="299"/>
      <c r="T575" s="299"/>
      <c r="U575" s="299"/>
      <c r="V575" s="299"/>
      <c r="W575" s="299"/>
      <c r="X575" s="299"/>
      <c r="Y575" s="299"/>
      <c r="Z575" s="299"/>
      <c r="AA575" s="299"/>
      <c r="AB575" s="299"/>
      <c r="AC575" s="299"/>
      <c r="AD575" s="299"/>
      <c r="AE575" s="299"/>
      <c r="AF575" s="299"/>
      <c r="AG575" s="299"/>
      <c r="AH575" s="299"/>
      <c r="AI575" s="299"/>
      <c r="AJ575" s="299"/>
      <c r="AK575" s="299"/>
    </row>
    <row r="576" spans="2:37" ht="13.2">
      <c r="B576" s="299"/>
      <c r="C576" s="299"/>
      <c r="D576" s="299"/>
      <c r="E576" s="299"/>
      <c r="F576" s="299"/>
      <c r="G576" s="299"/>
      <c r="H576" s="299"/>
      <c r="I576" s="299"/>
      <c r="J576" s="299"/>
      <c r="K576" s="299"/>
      <c r="L576" s="299"/>
      <c r="M576" s="299"/>
      <c r="N576" s="299"/>
      <c r="O576" s="299"/>
      <c r="P576" s="299"/>
      <c r="Q576" s="299"/>
      <c r="R576" s="299"/>
      <c r="S576" s="299"/>
      <c r="T576" s="299"/>
      <c r="U576" s="299"/>
      <c r="V576" s="299"/>
      <c r="W576" s="299"/>
      <c r="X576" s="299"/>
      <c r="Y576" s="299"/>
      <c r="Z576" s="299"/>
      <c r="AA576" s="299"/>
      <c r="AB576" s="299"/>
      <c r="AC576" s="299"/>
      <c r="AD576" s="299"/>
      <c r="AE576" s="299"/>
      <c r="AF576" s="299"/>
      <c r="AG576" s="299"/>
      <c r="AH576" s="299"/>
      <c r="AI576" s="299"/>
      <c r="AJ576" s="299"/>
      <c r="AK576" s="299"/>
    </row>
    <row r="577" spans="2:37" ht="13.2">
      <c r="B577" s="299"/>
      <c r="C577" s="299"/>
      <c r="D577" s="299"/>
      <c r="E577" s="299"/>
      <c r="F577" s="299"/>
      <c r="G577" s="299"/>
      <c r="H577" s="299"/>
      <c r="I577" s="299"/>
      <c r="J577" s="299"/>
      <c r="K577" s="299"/>
      <c r="L577" s="299"/>
      <c r="M577" s="299"/>
      <c r="N577" s="299"/>
      <c r="O577" s="299"/>
      <c r="P577" s="299"/>
      <c r="Q577" s="299"/>
      <c r="R577" s="299"/>
      <c r="S577" s="299"/>
      <c r="T577" s="299"/>
      <c r="U577" s="299"/>
      <c r="V577" s="299"/>
      <c r="W577" s="299"/>
      <c r="X577" s="299"/>
      <c r="Y577" s="299"/>
      <c r="Z577" s="299"/>
      <c r="AA577" s="299"/>
      <c r="AB577" s="299"/>
      <c r="AC577" s="299"/>
      <c r="AD577" s="299"/>
      <c r="AE577" s="299"/>
      <c r="AF577" s="299"/>
      <c r="AG577" s="299"/>
      <c r="AH577" s="299"/>
      <c r="AI577" s="299"/>
      <c r="AJ577" s="299"/>
      <c r="AK577" s="299"/>
    </row>
    <row r="578" spans="2:37" ht="13.2">
      <c r="B578" s="299"/>
      <c r="C578" s="299"/>
      <c r="D578" s="299"/>
      <c r="E578" s="299"/>
      <c r="F578" s="299"/>
      <c r="G578" s="299"/>
      <c r="H578" s="299"/>
      <c r="I578" s="299"/>
      <c r="J578" s="299"/>
      <c r="K578" s="299"/>
      <c r="L578" s="299"/>
      <c r="M578" s="299"/>
      <c r="N578" s="299"/>
      <c r="O578" s="299"/>
      <c r="P578" s="299"/>
      <c r="Q578" s="299"/>
      <c r="R578" s="299"/>
      <c r="S578" s="299"/>
      <c r="T578" s="299"/>
      <c r="U578" s="299"/>
      <c r="V578" s="299"/>
      <c r="W578" s="299"/>
      <c r="X578" s="299"/>
      <c r="Y578" s="299"/>
      <c r="Z578" s="299"/>
      <c r="AA578" s="299"/>
      <c r="AB578" s="299"/>
      <c r="AC578" s="299"/>
      <c r="AD578" s="299"/>
      <c r="AE578" s="299"/>
      <c r="AF578" s="299"/>
      <c r="AG578" s="299"/>
      <c r="AH578" s="299"/>
      <c r="AI578" s="299"/>
      <c r="AJ578" s="299"/>
      <c r="AK578" s="299"/>
    </row>
    <row r="579" spans="2:37" ht="13.2">
      <c r="B579" s="299"/>
      <c r="C579" s="299"/>
      <c r="D579" s="299"/>
      <c r="E579" s="299"/>
      <c r="F579" s="299"/>
      <c r="G579" s="299"/>
      <c r="H579" s="299"/>
      <c r="I579" s="299"/>
      <c r="J579" s="299"/>
      <c r="K579" s="299"/>
      <c r="L579" s="299"/>
      <c r="M579" s="299"/>
      <c r="N579" s="299"/>
      <c r="O579" s="299"/>
      <c r="P579" s="299"/>
      <c r="Q579" s="299"/>
      <c r="R579" s="299"/>
      <c r="S579" s="299"/>
      <c r="T579" s="299"/>
      <c r="U579" s="299"/>
      <c r="V579" s="299"/>
      <c r="W579" s="299"/>
      <c r="X579" s="299"/>
      <c r="Y579" s="299"/>
      <c r="Z579" s="299"/>
      <c r="AA579" s="299"/>
      <c r="AB579" s="299"/>
      <c r="AC579" s="299"/>
      <c r="AD579" s="299"/>
      <c r="AE579" s="299"/>
      <c r="AF579" s="299"/>
      <c r="AG579" s="299"/>
      <c r="AH579" s="299"/>
      <c r="AI579" s="299"/>
      <c r="AJ579" s="299"/>
      <c r="AK579" s="299"/>
    </row>
    <row r="580" spans="2:37" ht="13.2">
      <c r="B580" s="299"/>
      <c r="C580" s="299"/>
      <c r="D580" s="299"/>
      <c r="E580" s="299"/>
      <c r="F580" s="299"/>
      <c r="G580" s="299"/>
      <c r="H580" s="299"/>
      <c r="I580" s="299"/>
      <c r="J580" s="299"/>
      <c r="K580" s="299"/>
      <c r="L580" s="299"/>
      <c r="M580" s="299"/>
      <c r="N580" s="299"/>
      <c r="O580" s="299"/>
      <c r="P580" s="299"/>
      <c r="Q580" s="299"/>
      <c r="R580" s="299"/>
      <c r="S580" s="299"/>
      <c r="T580" s="299"/>
      <c r="U580" s="299"/>
      <c r="V580" s="299"/>
      <c r="W580" s="299"/>
      <c r="X580" s="299"/>
      <c r="Y580" s="299"/>
      <c r="Z580" s="299"/>
      <c r="AA580" s="299"/>
      <c r="AB580" s="299"/>
      <c r="AC580" s="299"/>
      <c r="AD580" s="299"/>
      <c r="AE580" s="299"/>
      <c r="AF580" s="299"/>
      <c r="AG580" s="299"/>
      <c r="AH580" s="299"/>
      <c r="AI580" s="299"/>
      <c r="AJ580" s="299"/>
      <c r="AK580" s="299"/>
    </row>
    <row r="581" spans="2:37" ht="13.2">
      <c r="B581" s="299"/>
      <c r="C581" s="299"/>
      <c r="D581" s="299"/>
      <c r="E581" s="299"/>
      <c r="F581" s="299"/>
      <c r="G581" s="299"/>
      <c r="H581" s="299"/>
      <c r="I581" s="299"/>
      <c r="J581" s="299"/>
      <c r="K581" s="299"/>
      <c r="L581" s="299"/>
      <c r="M581" s="299"/>
      <c r="N581" s="299"/>
      <c r="O581" s="299"/>
      <c r="P581" s="299"/>
      <c r="Q581" s="299"/>
      <c r="R581" s="299"/>
      <c r="S581" s="299"/>
      <c r="T581" s="299"/>
      <c r="U581" s="299"/>
      <c r="V581" s="299"/>
      <c r="W581" s="299"/>
      <c r="X581" s="299"/>
      <c r="Y581" s="299"/>
      <c r="Z581" s="299"/>
      <c r="AA581" s="299"/>
      <c r="AB581" s="299"/>
      <c r="AC581" s="299"/>
      <c r="AD581" s="299"/>
      <c r="AE581" s="299"/>
      <c r="AF581" s="299"/>
      <c r="AG581" s="299"/>
      <c r="AH581" s="299"/>
      <c r="AI581" s="299"/>
      <c r="AJ581" s="299"/>
      <c r="AK581" s="299"/>
    </row>
    <row r="582" spans="2:37" ht="13.2">
      <c r="B582" s="299"/>
      <c r="C582" s="299"/>
      <c r="D582" s="299"/>
      <c r="E582" s="299"/>
      <c r="F582" s="299"/>
      <c r="G582" s="299"/>
      <c r="H582" s="299"/>
      <c r="I582" s="299"/>
      <c r="J582" s="299"/>
      <c r="K582" s="299"/>
      <c r="L582" s="299"/>
      <c r="M582" s="299"/>
      <c r="N582" s="299"/>
      <c r="O582" s="299"/>
      <c r="P582" s="299"/>
      <c r="Q582" s="299"/>
      <c r="R582" s="299"/>
      <c r="S582" s="299"/>
      <c r="T582" s="299"/>
      <c r="U582" s="299"/>
      <c r="V582" s="299"/>
      <c r="W582" s="299"/>
      <c r="X582" s="299"/>
      <c r="Y582" s="299"/>
      <c r="Z582" s="299"/>
      <c r="AA582" s="299"/>
      <c r="AB582" s="299"/>
      <c r="AC582" s="299"/>
      <c r="AD582" s="299"/>
      <c r="AE582" s="299"/>
      <c r="AF582" s="299"/>
      <c r="AG582" s="299"/>
      <c r="AH582" s="299"/>
      <c r="AI582" s="299"/>
      <c r="AJ582" s="299"/>
      <c r="AK582" s="299"/>
    </row>
    <row r="583" spans="2:37" ht="13.2">
      <c r="B583" s="299"/>
      <c r="C583" s="299"/>
      <c r="D583" s="299"/>
      <c r="E583" s="299"/>
      <c r="F583" s="299"/>
      <c r="G583" s="299"/>
      <c r="H583" s="299"/>
      <c r="I583" s="299"/>
      <c r="J583" s="299"/>
      <c r="K583" s="299"/>
      <c r="L583" s="299"/>
      <c r="M583" s="299"/>
      <c r="N583" s="299"/>
      <c r="O583" s="299"/>
      <c r="P583" s="299"/>
      <c r="Q583" s="299"/>
      <c r="R583" s="299"/>
      <c r="S583" s="299"/>
      <c r="T583" s="299"/>
      <c r="U583" s="299"/>
      <c r="V583" s="299"/>
      <c r="W583" s="299"/>
      <c r="X583" s="299"/>
      <c r="Y583" s="299"/>
      <c r="Z583" s="299"/>
      <c r="AA583" s="299"/>
      <c r="AB583" s="299"/>
      <c r="AC583" s="299"/>
      <c r="AD583" s="299"/>
      <c r="AE583" s="299"/>
      <c r="AF583" s="299"/>
      <c r="AG583" s="299"/>
      <c r="AH583" s="299"/>
      <c r="AI583" s="299"/>
      <c r="AJ583" s="299"/>
      <c r="AK583" s="299"/>
    </row>
    <row r="584" spans="2:37" ht="13.2">
      <c r="B584" s="299"/>
      <c r="C584" s="299"/>
      <c r="D584" s="299"/>
      <c r="E584" s="299"/>
      <c r="F584" s="299"/>
      <c r="G584" s="299"/>
      <c r="H584" s="299"/>
      <c r="I584" s="299"/>
      <c r="J584" s="299"/>
      <c r="K584" s="299"/>
      <c r="L584" s="299"/>
      <c r="M584" s="299"/>
      <c r="N584" s="299"/>
      <c r="O584" s="299"/>
      <c r="P584" s="299"/>
      <c r="Q584" s="299"/>
      <c r="R584" s="299"/>
      <c r="S584" s="299"/>
      <c r="T584" s="299"/>
      <c r="U584" s="299"/>
      <c r="V584" s="299"/>
      <c r="W584" s="299"/>
      <c r="X584" s="299"/>
      <c r="Y584" s="299"/>
      <c r="Z584" s="299"/>
      <c r="AA584" s="299"/>
      <c r="AB584" s="299"/>
      <c r="AC584" s="299"/>
      <c r="AD584" s="299"/>
      <c r="AE584" s="299"/>
      <c r="AF584" s="299"/>
      <c r="AG584" s="299"/>
      <c r="AH584" s="299"/>
      <c r="AI584" s="299"/>
      <c r="AJ584" s="299"/>
      <c r="AK584" s="299"/>
    </row>
    <row r="585" spans="2:37" ht="13.2">
      <c r="B585" s="299"/>
      <c r="C585" s="299"/>
      <c r="D585" s="299"/>
      <c r="E585" s="299"/>
      <c r="F585" s="299"/>
      <c r="G585" s="299"/>
      <c r="H585" s="299"/>
      <c r="I585" s="299"/>
      <c r="J585" s="299"/>
      <c r="K585" s="299"/>
      <c r="L585" s="299"/>
      <c r="M585" s="299"/>
      <c r="N585" s="299"/>
      <c r="O585" s="299"/>
      <c r="P585" s="299"/>
      <c r="Q585" s="299"/>
      <c r="R585" s="299"/>
      <c r="S585" s="299"/>
      <c r="T585" s="299"/>
      <c r="U585" s="299"/>
      <c r="V585" s="299"/>
      <c r="W585" s="299"/>
      <c r="X585" s="299"/>
      <c r="Y585" s="299"/>
      <c r="Z585" s="299"/>
      <c r="AA585" s="299"/>
      <c r="AB585" s="299"/>
      <c r="AC585" s="299"/>
      <c r="AD585" s="299"/>
      <c r="AE585" s="299"/>
      <c r="AF585" s="299"/>
      <c r="AG585" s="299"/>
      <c r="AH585" s="299"/>
      <c r="AI585" s="299"/>
      <c r="AJ585" s="299"/>
      <c r="AK585" s="299"/>
    </row>
    <row r="586" spans="2:37" ht="13.2">
      <c r="B586" s="299"/>
      <c r="C586" s="299"/>
      <c r="D586" s="299"/>
      <c r="E586" s="299"/>
      <c r="F586" s="299"/>
      <c r="G586" s="299"/>
      <c r="H586" s="299"/>
      <c r="I586" s="299"/>
      <c r="J586" s="299"/>
      <c r="K586" s="299"/>
      <c r="L586" s="299"/>
      <c r="M586" s="299"/>
      <c r="N586" s="299"/>
      <c r="O586" s="299"/>
      <c r="P586" s="299"/>
      <c r="Q586" s="299"/>
      <c r="R586" s="299"/>
      <c r="S586" s="299"/>
      <c r="T586" s="299"/>
      <c r="U586" s="299"/>
      <c r="V586" s="299"/>
      <c r="W586" s="299"/>
      <c r="X586" s="299"/>
      <c r="Y586" s="299"/>
      <c r="Z586" s="299"/>
      <c r="AA586" s="299"/>
      <c r="AB586" s="299"/>
      <c r="AC586" s="299"/>
      <c r="AD586" s="299"/>
      <c r="AE586" s="299"/>
      <c r="AF586" s="299"/>
      <c r="AG586" s="299"/>
      <c r="AH586" s="299"/>
      <c r="AI586" s="299"/>
      <c r="AJ586" s="299"/>
      <c r="AK586" s="299"/>
    </row>
    <row r="587" spans="2:37" ht="13.2">
      <c r="B587" s="299"/>
      <c r="C587" s="299"/>
      <c r="D587" s="299"/>
      <c r="E587" s="299"/>
      <c r="F587" s="299"/>
      <c r="G587" s="299"/>
      <c r="H587" s="299"/>
      <c r="I587" s="299"/>
      <c r="J587" s="299"/>
      <c r="K587" s="299"/>
      <c r="L587" s="299"/>
      <c r="M587" s="299"/>
      <c r="N587" s="299"/>
      <c r="O587" s="299"/>
      <c r="P587" s="299"/>
      <c r="Q587" s="299"/>
      <c r="R587" s="299"/>
      <c r="S587" s="299"/>
      <c r="T587" s="299"/>
      <c r="U587" s="299"/>
      <c r="V587" s="299"/>
      <c r="W587" s="299"/>
      <c r="X587" s="299"/>
      <c r="Y587" s="299"/>
      <c r="Z587" s="299"/>
      <c r="AA587" s="299"/>
      <c r="AB587" s="299"/>
      <c r="AC587" s="299"/>
      <c r="AD587" s="299"/>
      <c r="AE587" s="299"/>
      <c r="AF587" s="299"/>
      <c r="AG587" s="299"/>
      <c r="AH587" s="299"/>
      <c r="AI587" s="299"/>
      <c r="AJ587" s="299"/>
      <c r="AK587" s="299"/>
    </row>
    <row r="588" spans="2:37" ht="13.2">
      <c r="B588" s="299"/>
      <c r="C588" s="299"/>
      <c r="D588" s="299"/>
      <c r="E588" s="299"/>
      <c r="F588" s="299"/>
      <c r="G588" s="299"/>
      <c r="H588" s="299"/>
      <c r="I588" s="299"/>
      <c r="J588" s="299"/>
      <c r="K588" s="299"/>
      <c r="L588" s="299"/>
      <c r="M588" s="299"/>
      <c r="N588" s="299"/>
      <c r="O588" s="299"/>
      <c r="P588" s="299"/>
      <c r="Q588" s="299"/>
      <c r="R588" s="299"/>
      <c r="S588" s="299"/>
      <c r="T588" s="299"/>
      <c r="U588" s="299"/>
      <c r="V588" s="299"/>
      <c r="W588" s="299"/>
      <c r="X588" s="299"/>
      <c r="Y588" s="299"/>
      <c r="Z588" s="299"/>
      <c r="AA588" s="299"/>
      <c r="AB588" s="299"/>
      <c r="AC588" s="299"/>
      <c r="AD588" s="299"/>
      <c r="AE588" s="299"/>
      <c r="AF588" s="299"/>
      <c r="AG588" s="299"/>
      <c r="AH588" s="299"/>
      <c r="AI588" s="299"/>
      <c r="AJ588" s="299"/>
      <c r="AK588" s="299"/>
    </row>
    <row r="589" spans="2:37" ht="13.2">
      <c r="B589" s="299"/>
      <c r="C589" s="299"/>
      <c r="D589" s="299"/>
      <c r="E589" s="299"/>
      <c r="F589" s="299"/>
      <c r="G589" s="299"/>
      <c r="H589" s="299"/>
      <c r="I589" s="299"/>
      <c r="J589" s="299"/>
      <c r="K589" s="299"/>
      <c r="L589" s="299"/>
      <c r="M589" s="299"/>
      <c r="N589" s="299"/>
      <c r="O589" s="299"/>
      <c r="P589" s="299"/>
      <c r="Q589" s="299"/>
      <c r="R589" s="299"/>
      <c r="S589" s="299"/>
      <c r="T589" s="299"/>
      <c r="U589" s="299"/>
      <c r="V589" s="299"/>
      <c r="W589" s="299"/>
      <c r="X589" s="299"/>
      <c r="Y589" s="299"/>
      <c r="Z589" s="299"/>
      <c r="AA589" s="299"/>
      <c r="AB589" s="299"/>
      <c r="AC589" s="299"/>
      <c r="AD589" s="299"/>
      <c r="AE589" s="299"/>
      <c r="AF589" s="299"/>
      <c r="AG589" s="299"/>
      <c r="AH589" s="299"/>
      <c r="AI589" s="299"/>
      <c r="AJ589" s="299"/>
      <c r="AK589" s="299"/>
    </row>
    <row r="590" spans="2:37" ht="13.2">
      <c r="B590" s="299"/>
      <c r="C590" s="299"/>
      <c r="D590" s="299"/>
      <c r="E590" s="299"/>
      <c r="F590" s="299"/>
      <c r="G590" s="299"/>
      <c r="H590" s="299"/>
      <c r="I590" s="299"/>
      <c r="J590" s="299"/>
      <c r="K590" s="299"/>
      <c r="L590" s="299"/>
      <c r="M590" s="299"/>
      <c r="N590" s="299"/>
      <c r="O590" s="299"/>
      <c r="P590" s="299"/>
      <c r="Q590" s="299"/>
      <c r="R590" s="299"/>
      <c r="S590" s="299"/>
      <c r="T590" s="299"/>
      <c r="U590" s="299"/>
      <c r="V590" s="299"/>
      <c r="W590" s="299"/>
      <c r="X590" s="299"/>
      <c r="Y590" s="299"/>
      <c r="Z590" s="299"/>
      <c r="AA590" s="299"/>
      <c r="AB590" s="299"/>
      <c r="AC590" s="299"/>
      <c r="AD590" s="299"/>
      <c r="AE590" s="299"/>
      <c r="AF590" s="299"/>
      <c r="AG590" s="299"/>
      <c r="AH590" s="299"/>
      <c r="AI590" s="299"/>
      <c r="AJ590" s="299"/>
      <c r="AK590" s="299"/>
    </row>
    <row r="591" spans="2:37" ht="13.2">
      <c r="B591" s="299"/>
      <c r="C591" s="299"/>
      <c r="D591" s="299"/>
      <c r="E591" s="299"/>
      <c r="F591" s="299"/>
      <c r="G591" s="299"/>
      <c r="H591" s="299"/>
      <c r="I591" s="299"/>
      <c r="J591" s="299"/>
      <c r="K591" s="299"/>
      <c r="L591" s="299"/>
      <c r="M591" s="299"/>
      <c r="N591" s="299"/>
      <c r="O591" s="299"/>
      <c r="P591" s="299"/>
      <c r="Q591" s="299"/>
      <c r="R591" s="299"/>
      <c r="S591" s="299"/>
      <c r="T591" s="299"/>
      <c r="U591" s="299"/>
      <c r="V591" s="299"/>
      <c r="W591" s="299"/>
      <c r="X591" s="299"/>
      <c r="Y591" s="299"/>
      <c r="Z591" s="299"/>
      <c r="AA591" s="299"/>
      <c r="AB591" s="299"/>
      <c r="AC591" s="299"/>
      <c r="AD591" s="299"/>
      <c r="AE591" s="299"/>
      <c r="AF591" s="299"/>
      <c r="AG591" s="299"/>
      <c r="AH591" s="299"/>
      <c r="AI591" s="299"/>
      <c r="AJ591" s="299"/>
      <c r="AK591" s="299"/>
    </row>
    <row r="592" spans="2:37" ht="13.2">
      <c r="B592" s="299"/>
      <c r="C592" s="299"/>
      <c r="D592" s="299"/>
      <c r="E592" s="299"/>
      <c r="F592" s="299"/>
      <c r="G592" s="299"/>
      <c r="H592" s="299"/>
      <c r="I592" s="299"/>
      <c r="J592" s="299"/>
      <c r="K592" s="299"/>
      <c r="L592" s="299"/>
      <c r="M592" s="299"/>
      <c r="N592" s="299"/>
      <c r="O592" s="299"/>
      <c r="P592" s="299"/>
      <c r="Q592" s="299"/>
      <c r="R592" s="299"/>
      <c r="S592" s="299"/>
      <c r="T592" s="299"/>
      <c r="U592" s="299"/>
      <c r="V592" s="299"/>
      <c r="W592" s="299"/>
      <c r="X592" s="299"/>
      <c r="Y592" s="299"/>
      <c r="Z592" s="299"/>
      <c r="AA592" s="299"/>
      <c r="AB592" s="299"/>
      <c r="AC592" s="299"/>
      <c r="AD592" s="299"/>
      <c r="AE592" s="299"/>
      <c r="AF592" s="299"/>
      <c r="AG592" s="299"/>
      <c r="AH592" s="299"/>
      <c r="AI592" s="299"/>
      <c r="AJ592" s="299"/>
      <c r="AK592" s="299"/>
    </row>
    <row r="593" spans="2:37" ht="13.2">
      <c r="B593" s="299"/>
      <c r="C593" s="299"/>
      <c r="D593" s="299"/>
      <c r="E593" s="299"/>
      <c r="F593" s="299"/>
      <c r="G593" s="299"/>
      <c r="H593" s="299"/>
      <c r="I593" s="299"/>
      <c r="J593" s="299"/>
      <c r="K593" s="299"/>
      <c r="L593" s="299"/>
      <c r="M593" s="299"/>
      <c r="N593" s="299"/>
      <c r="O593" s="299"/>
      <c r="P593" s="299"/>
      <c r="Q593" s="299"/>
      <c r="R593" s="299"/>
      <c r="S593" s="299"/>
      <c r="T593" s="299"/>
      <c r="U593" s="299"/>
      <c r="V593" s="299"/>
      <c r="W593" s="299"/>
      <c r="X593" s="299"/>
      <c r="Y593" s="299"/>
      <c r="Z593" s="299"/>
      <c r="AA593" s="299"/>
      <c r="AB593" s="299"/>
      <c r="AC593" s="299"/>
      <c r="AD593" s="299"/>
      <c r="AE593" s="299"/>
      <c r="AF593" s="299"/>
      <c r="AG593" s="299"/>
      <c r="AH593" s="299"/>
      <c r="AI593" s="299"/>
      <c r="AJ593" s="299"/>
      <c r="AK593" s="299"/>
    </row>
    <row r="594" spans="2:37" ht="13.2">
      <c r="B594" s="299"/>
      <c r="C594" s="299"/>
      <c r="D594" s="299"/>
      <c r="E594" s="299"/>
      <c r="F594" s="299"/>
      <c r="G594" s="299"/>
      <c r="H594" s="299"/>
      <c r="I594" s="299"/>
      <c r="J594" s="299"/>
      <c r="K594" s="299"/>
      <c r="L594" s="299"/>
      <c r="M594" s="299"/>
      <c r="N594" s="299"/>
      <c r="O594" s="299"/>
      <c r="P594" s="299"/>
      <c r="Q594" s="299"/>
      <c r="R594" s="299"/>
      <c r="S594" s="299"/>
      <c r="T594" s="299"/>
      <c r="U594" s="299"/>
      <c r="V594" s="299"/>
      <c r="W594" s="299"/>
      <c r="X594" s="299"/>
      <c r="Y594" s="299"/>
      <c r="Z594" s="299"/>
      <c r="AA594" s="299"/>
      <c r="AB594" s="299"/>
      <c r="AC594" s="299"/>
      <c r="AD594" s="299"/>
      <c r="AE594" s="299"/>
      <c r="AF594" s="299"/>
      <c r="AG594" s="299"/>
      <c r="AH594" s="299"/>
      <c r="AI594" s="299"/>
      <c r="AJ594" s="299"/>
      <c r="AK594" s="299"/>
    </row>
    <row r="595" spans="2:37" ht="13.2">
      <c r="B595" s="299"/>
      <c r="C595" s="299"/>
      <c r="D595" s="299"/>
      <c r="E595" s="299"/>
      <c r="F595" s="299"/>
      <c r="G595" s="299"/>
      <c r="H595" s="299"/>
      <c r="I595" s="299"/>
      <c r="J595" s="299"/>
      <c r="K595" s="299"/>
      <c r="L595" s="299"/>
      <c r="M595" s="299"/>
      <c r="N595" s="299"/>
      <c r="O595" s="299"/>
      <c r="P595" s="299"/>
      <c r="Q595" s="299"/>
      <c r="R595" s="299"/>
      <c r="S595" s="299"/>
      <c r="T595" s="299"/>
      <c r="U595" s="299"/>
      <c r="V595" s="299"/>
      <c r="W595" s="299"/>
      <c r="X595" s="299"/>
      <c r="Y595" s="299"/>
      <c r="Z595" s="299"/>
      <c r="AA595" s="299"/>
      <c r="AB595" s="299"/>
      <c r="AC595" s="299"/>
      <c r="AD595" s="299"/>
      <c r="AE595" s="299"/>
      <c r="AF595" s="299"/>
      <c r="AG595" s="299"/>
      <c r="AH595" s="299"/>
      <c r="AI595" s="299"/>
      <c r="AJ595" s="299"/>
      <c r="AK595" s="299"/>
    </row>
    <row r="596" spans="2:37" ht="13.2">
      <c r="B596" s="299"/>
      <c r="C596" s="299"/>
      <c r="D596" s="299"/>
      <c r="E596" s="299"/>
      <c r="F596" s="299"/>
      <c r="G596" s="299"/>
      <c r="H596" s="299"/>
      <c r="I596" s="299"/>
      <c r="J596" s="299"/>
      <c r="K596" s="299"/>
      <c r="L596" s="299"/>
      <c r="M596" s="299"/>
      <c r="N596" s="299"/>
      <c r="O596" s="299"/>
      <c r="P596" s="299"/>
      <c r="Q596" s="299"/>
      <c r="R596" s="299"/>
      <c r="S596" s="299"/>
      <c r="T596" s="299"/>
      <c r="U596" s="299"/>
      <c r="V596" s="299"/>
      <c r="W596" s="299"/>
      <c r="X596" s="299"/>
      <c r="Y596" s="299"/>
      <c r="Z596" s="299"/>
      <c r="AA596" s="299"/>
      <c r="AB596" s="299"/>
      <c r="AC596" s="299"/>
      <c r="AD596" s="299"/>
      <c r="AE596" s="299"/>
      <c r="AF596" s="299"/>
      <c r="AG596" s="299"/>
      <c r="AH596" s="299"/>
      <c r="AI596" s="299"/>
      <c r="AJ596" s="299"/>
      <c r="AK596" s="299"/>
    </row>
    <row r="597" spans="2:37" ht="13.2">
      <c r="B597" s="299"/>
      <c r="C597" s="299"/>
      <c r="D597" s="299"/>
      <c r="E597" s="299"/>
      <c r="F597" s="299"/>
      <c r="G597" s="299"/>
      <c r="H597" s="299"/>
      <c r="I597" s="299"/>
      <c r="J597" s="299"/>
      <c r="K597" s="299"/>
      <c r="L597" s="299"/>
      <c r="M597" s="299"/>
      <c r="N597" s="299"/>
      <c r="O597" s="299"/>
      <c r="P597" s="299"/>
      <c r="Q597" s="299"/>
      <c r="R597" s="299"/>
      <c r="S597" s="299"/>
      <c r="T597" s="299"/>
      <c r="U597" s="299"/>
      <c r="V597" s="299"/>
      <c r="W597" s="299"/>
      <c r="X597" s="299"/>
      <c r="Y597" s="299"/>
      <c r="Z597" s="299"/>
      <c r="AA597" s="299"/>
      <c r="AB597" s="299"/>
      <c r="AC597" s="299"/>
      <c r="AD597" s="299"/>
      <c r="AE597" s="299"/>
      <c r="AF597" s="299"/>
      <c r="AG597" s="299"/>
      <c r="AH597" s="299"/>
      <c r="AI597" s="299"/>
      <c r="AJ597" s="299"/>
      <c r="AK597" s="299"/>
    </row>
    <row r="598" spans="2:37" ht="13.2">
      <c r="B598" s="299"/>
      <c r="C598" s="299"/>
      <c r="D598" s="299"/>
      <c r="E598" s="299"/>
      <c r="F598" s="299"/>
      <c r="G598" s="299"/>
      <c r="H598" s="299"/>
      <c r="I598" s="299"/>
      <c r="J598" s="299"/>
      <c r="K598" s="299"/>
      <c r="L598" s="299"/>
      <c r="M598" s="299"/>
      <c r="N598" s="299"/>
      <c r="O598" s="299"/>
      <c r="P598" s="299"/>
      <c r="Q598" s="299"/>
      <c r="R598" s="299"/>
      <c r="S598" s="299"/>
      <c r="T598" s="299"/>
      <c r="U598" s="299"/>
      <c r="V598" s="299"/>
      <c r="W598" s="299"/>
      <c r="X598" s="299"/>
      <c r="Y598" s="299"/>
      <c r="Z598" s="299"/>
      <c r="AA598" s="299"/>
      <c r="AB598" s="299"/>
      <c r="AC598" s="299"/>
      <c r="AD598" s="299"/>
      <c r="AE598" s="299"/>
      <c r="AF598" s="299"/>
      <c r="AG598" s="299"/>
      <c r="AH598" s="299"/>
      <c r="AI598" s="299"/>
      <c r="AJ598" s="299"/>
      <c r="AK598" s="299"/>
    </row>
    <row r="599" spans="2:37" ht="13.2">
      <c r="B599" s="299"/>
      <c r="C599" s="299"/>
      <c r="D599" s="299"/>
      <c r="E599" s="299"/>
      <c r="F599" s="299"/>
      <c r="G599" s="299"/>
      <c r="H599" s="299"/>
      <c r="I599" s="299"/>
      <c r="J599" s="299"/>
      <c r="K599" s="299"/>
      <c r="L599" s="299"/>
      <c r="M599" s="299"/>
      <c r="N599" s="299"/>
      <c r="O599" s="299"/>
      <c r="P599" s="299"/>
      <c r="Q599" s="299"/>
      <c r="R599" s="299"/>
      <c r="S599" s="299"/>
      <c r="T599" s="299"/>
      <c r="U599" s="299"/>
      <c r="V599" s="299"/>
      <c r="W599" s="299"/>
      <c r="X599" s="299"/>
      <c r="Y599" s="299"/>
      <c r="Z599" s="299"/>
      <c r="AA599" s="299"/>
      <c r="AB599" s="299"/>
      <c r="AC599" s="299"/>
      <c r="AD599" s="299"/>
      <c r="AE599" s="299"/>
      <c r="AF599" s="299"/>
      <c r="AG599" s="299"/>
      <c r="AH599" s="299"/>
      <c r="AI599" s="299"/>
      <c r="AJ599" s="299"/>
      <c r="AK599" s="299"/>
    </row>
    <row r="600" spans="2:37" ht="13.2">
      <c r="B600" s="299"/>
      <c r="C600" s="299"/>
      <c r="D600" s="299"/>
      <c r="E600" s="299"/>
      <c r="F600" s="299"/>
      <c r="G600" s="299"/>
      <c r="H600" s="299"/>
      <c r="I600" s="299"/>
      <c r="J600" s="299"/>
      <c r="K600" s="299"/>
      <c r="L600" s="299"/>
      <c r="M600" s="299"/>
      <c r="N600" s="299"/>
      <c r="O600" s="299"/>
      <c r="P600" s="299"/>
      <c r="Q600" s="299"/>
      <c r="R600" s="299"/>
      <c r="S600" s="299"/>
      <c r="T600" s="299"/>
      <c r="U600" s="299"/>
      <c r="V600" s="299"/>
      <c r="W600" s="299"/>
      <c r="X600" s="299"/>
      <c r="Y600" s="299"/>
      <c r="Z600" s="299"/>
      <c r="AA600" s="299"/>
      <c r="AB600" s="299"/>
      <c r="AC600" s="299"/>
      <c r="AD600" s="299"/>
      <c r="AE600" s="299"/>
      <c r="AF600" s="299"/>
      <c r="AG600" s="299"/>
      <c r="AH600" s="299"/>
      <c r="AI600" s="299"/>
      <c r="AJ600" s="299"/>
      <c r="AK600" s="299"/>
    </row>
    <row r="601" spans="2:37" ht="13.2">
      <c r="B601" s="299"/>
      <c r="C601" s="299"/>
      <c r="D601" s="299"/>
      <c r="E601" s="299"/>
      <c r="F601" s="299"/>
      <c r="G601" s="299"/>
      <c r="H601" s="299"/>
      <c r="I601" s="299"/>
      <c r="J601" s="299"/>
      <c r="K601" s="299"/>
      <c r="L601" s="299"/>
      <c r="M601" s="299"/>
      <c r="N601" s="299"/>
      <c r="O601" s="299"/>
      <c r="P601" s="299"/>
      <c r="Q601" s="299"/>
      <c r="R601" s="299"/>
      <c r="S601" s="299"/>
      <c r="T601" s="299"/>
      <c r="U601" s="299"/>
      <c r="V601" s="299"/>
      <c r="W601" s="299"/>
      <c r="X601" s="299"/>
      <c r="Y601" s="299"/>
      <c r="Z601" s="299"/>
      <c r="AA601" s="299"/>
      <c r="AB601" s="299"/>
      <c r="AC601" s="299"/>
      <c r="AD601" s="299"/>
      <c r="AE601" s="299"/>
      <c r="AF601" s="299"/>
      <c r="AG601" s="299"/>
      <c r="AH601" s="299"/>
      <c r="AI601" s="299"/>
      <c r="AJ601" s="299"/>
      <c r="AK601" s="299"/>
    </row>
    <row r="602" spans="2:37" ht="13.2">
      <c r="B602" s="299"/>
      <c r="C602" s="299"/>
      <c r="D602" s="299"/>
      <c r="E602" s="299"/>
      <c r="F602" s="299"/>
      <c r="G602" s="299"/>
      <c r="H602" s="299"/>
      <c r="I602" s="299"/>
      <c r="J602" s="299"/>
      <c r="K602" s="299"/>
      <c r="L602" s="299"/>
      <c r="M602" s="299"/>
      <c r="N602" s="299"/>
      <c r="O602" s="299"/>
      <c r="P602" s="299"/>
      <c r="Q602" s="299"/>
      <c r="R602" s="299"/>
      <c r="S602" s="299"/>
      <c r="T602" s="299"/>
      <c r="U602" s="299"/>
      <c r="V602" s="299"/>
      <c r="W602" s="299"/>
      <c r="X602" s="299"/>
      <c r="Y602" s="299"/>
      <c r="Z602" s="299"/>
      <c r="AA602" s="299"/>
      <c r="AB602" s="299"/>
      <c r="AC602" s="299"/>
      <c r="AD602" s="299"/>
      <c r="AE602" s="299"/>
      <c r="AF602" s="299"/>
      <c r="AG602" s="299"/>
      <c r="AH602" s="299"/>
      <c r="AI602" s="299"/>
      <c r="AJ602" s="299"/>
      <c r="AK602" s="299"/>
    </row>
    <row r="603" spans="2:37" ht="13.2">
      <c r="B603" s="299"/>
      <c r="C603" s="299"/>
      <c r="D603" s="299"/>
      <c r="E603" s="299"/>
      <c r="F603" s="299"/>
      <c r="G603" s="299"/>
      <c r="H603" s="299"/>
      <c r="I603" s="299"/>
      <c r="J603" s="299"/>
      <c r="K603" s="299"/>
      <c r="L603" s="299"/>
      <c r="M603" s="299"/>
      <c r="N603" s="299"/>
      <c r="O603" s="299"/>
      <c r="P603" s="299"/>
      <c r="Q603" s="299"/>
      <c r="R603" s="299"/>
      <c r="S603" s="299"/>
      <c r="T603" s="299"/>
      <c r="U603" s="299"/>
      <c r="V603" s="299"/>
      <c r="W603" s="299"/>
      <c r="X603" s="299"/>
      <c r="Y603" s="299"/>
      <c r="Z603" s="299"/>
      <c r="AA603" s="299"/>
      <c r="AB603" s="299"/>
      <c r="AC603" s="299"/>
      <c r="AD603" s="299"/>
      <c r="AE603" s="299"/>
      <c r="AF603" s="299"/>
      <c r="AG603" s="299"/>
      <c r="AH603" s="299"/>
      <c r="AI603" s="299"/>
      <c r="AJ603" s="299"/>
      <c r="AK603" s="299"/>
    </row>
    <row r="604" spans="2:37" ht="13.2">
      <c r="B604" s="299"/>
      <c r="C604" s="299"/>
      <c r="D604" s="299"/>
      <c r="E604" s="299"/>
      <c r="F604" s="299"/>
      <c r="G604" s="299"/>
      <c r="H604" s="299"/>
      <c r="I604" s="299"/>
      <c r="J604" s="299"/>
      <c r="K604" s="299"/>
      <c r="L604" s="299"/>
      <c r="M604" s="299"/>
      <c r="N604" s="299"/>
      <c r="O604" s="299"/>
      <c r="P604" s="299"/>
      <c r="Q604" s="299"/>
      <c r="R604" s="299"/>
      <c r="S604" s="299"/>
      <c r="T604" s="299"/>
      <c r="U604" s="299"/>
      <c r="V604" s="299"/>
      <c r="W604" s="299"/>
      <c r="X604" s="299"/>
      <c r="Y604" s="299"/>
      <c r="Z604" s="299"/>
      <c r="AA604" s="299"/>
      <c r="AB604" s="299"/>
      <c r="AC604" s="299"/>
      <c r="AD604" s="299"/>
      <c r="AE604" s="299"/>
      <c r="AF604" s="299"/>
      <c r="AG604" s="299"/>
      <c r="AH604" s="299"/>
      <c r="AI604" s="299"/>
      <c r="AJ604" s="299"/>
      <c r="AK604" s="299"/>
    </row>
    <row r="605" spans="2:37" ht="13.2">
      <c r="B605" s="299"/>
      <c r="C605" s="299"/>
      <c r="D605" s="299"/>
      <c r="E605" s="299"/>
      <c r="F605" s="299"/>
      <c r="G605" s="299"/>
      <c r="H605" s="299"/>
      <c r="I605" s="299"/>
      <c r="J605" s="299"/>
      <c r="K605" s="299"/>
      <c r="L605" s="299"/>
      <c r="M605" s="299"/>
      <c r="N605" s="299"/>
      <c r="O605" s="299"/>
      <c r="P605" s="299"/>
      <c r="Q605" s="299"/>
      <c r="R605" s="299"/>
      <c r="S605" s="299"/>
      <c r="T605" s="299"/>
      <c r="U605" s="299"/>
      <c r="V605" s="299"/>
      <c r="W605" s="299"/>
      <c r="X605" s="299"/>
      <c r="Y605" s="299"/>
      <c r="Z605" s="299"/>
      <c r="AA605" s="299"/>
      <c r="AB605" s="299"/>
      <c r="AC605" s="299"/>
      <c r="AD605" s="299"/>
      <c r="AE605" s="299"/>
      <c r="AF605" s="299"/>
      <c r="AG605" s="299"/>
      <c r="AH605" s="299"/>
      <c r="AI605" s="299"/>
      <c r="AJ605" s="299"/>
      <c r="AK605" s="299"/>
    </row>
    <row r="606" spans="2:37" ht="13.2">
      <c r="B606" s="299"/>
      <c r="C606" s="299"/>
      <c r="D606" s="299"/>
      <c r="E606" s="299"/>
      <c r="F606" s="299"/>
      <c r="G606" s="299"/>
      <c r="H606" s="299"/>
      <c r="I606" s="299"/>
      <c r="J606" s="299"/>
      <c r="K606" s="299"/>
      <c r="L606" s="299"/>
      <c r="M606" s="299"/>
      <c r="N606" s="299"/>
      <c r="O606" s="299"/>
      <c r="P606" s="299"/>
      <c r="Q606" s="299"/>
      <c r="R606" s="299"/>
      <c r="S606" s="299"/>
      <c r="T606" s="299"/>
      <c r="U606" s="299"/>
      <c r="V606" s="299"/>
      <c r="W606" s="299"/>
      <c r="X606" s="299"/>
      <c r="Y606" s="299"/>
      <c r="Z606" s="299"/>
      <c r="AA606" s="299"/>
      <c r="AB606" s="299"/>
      <c r="AC606" s="299"/>
      <c r="AD606" s="299"/>
      <c r="AE606" s="299"/>
      <c r="AF606" s="299"/>
      <c r="AG606" s="299"/>
      <c r="AH606" s="299"/>
      <c r="AI606" s="299"/>
      <c r="AJ606" s="299"/>
      <c r="AK606" s="299"/>
    </row>
    <row r="607" spans="2:37" ht="13.2">
      <c r="B607" s="299"/>
      <c r="C607" s="299"/>
      <c r="D607" s="299"/>
      <c r="E607" s="299"/>
      <c r="F607" s="299"/>
      <c r="G607" s="299"/>
      <c r="H607" s="299"/>
      <c r="I607" s="299"/>
      <c r="J607" s="299"/>
      <c r="K607" s="299"/>
      <c r="L607" s="299"/>
      <c r="M607" s="299"/>
      <c r="N607" s="299"/>
      <c r="O607" s="299"/>
      <c r="P607" s="299"/>
      <c r="Q607" s="299"/>
      <c r="R607" s="299"/>
      <c r="S607" s="299"/>
      <c r="T607" s="299"/>
      <c r="U607" s="299"/>
      <c r="V607" s="299"/>
      <c r="W607" s="299"/>
      <c r="X607" s="299"/>
      <c r="Y607" s="299"/>
      <c r="Z607" s="299"/>
      <c r="AA607" s="299"/>
      <c r="AB607" s="299"/>
      <c r="AC607" s="299"/>
      <c r="AD607" s="299"/>
      <c r="AE607" s="299"/>
      <c r="AF607" s="299"/>
      <c r="AG607" s="299"/>
      <c r="AH607" s="299"/>
      <c r="AI607" s="299"/>
      <c r="AJ607" s="299"/>
      <c r="AK607" s="299"/>
    </row>
    <row r="608" spans="2:37" ht="13.2">
      <c r="B608" s="299"/>
      <c r="C608" s="299"/>
      <c r="D608" s="299"/>
      <c r="E608" s="299"/>
      <c r="F608" s="299"/>
      <c r="G608" s="299"/>
      <c r="H608" s="299"/>
      <c r="I608" s="299"/>
      <c r="J608" s="299"/>
      <c r="K608" s="299"/>
      <c r="L608" s="299"/>
      <c r="M608" s="299"/>
      <c r="N608" s="299"/>
      <c r="O608" s="299"/>
      <c r="P608" s="299"/>
      <c r="Q608" s="299"/>
      <c r="R608" s="299"/>
      <c r="S608" s="299"/>
      <c r="T608" s="299"/>
      <c r="U608" s="299"/>
      <c r="V608" s="299"/>
      <c r="W608" s="299"/>
      <c r="X608" s="299"/>
      <c r="Y608" s="299"/>
      <c r="Z608" s="299"/>
      <c r="AA608" s="299"/>
      <c r="AB608" s="299"/>
      <c r="AC608" s="299"/>
      <c r="AD608" s="299"/>
      <c r="AE608" s="299"/>
      <c r="AF608" s="299"/>
      <c r="AG608" s="299"/>
      <c r="AH608" s="299"/>
      <c r="AI608" s="299"/>
      <c r="AJ608" s="299"/>
      <c r="AK608" s="299"/>
    </row>
    <row r="609" spans="2:37" ht="13.2">
      <c r="B609" s="299"/>
      <c r="C609" s="299"/>
      <c r="D609" s="299"/>
      <c r="E609" s="299"/>
      <c r="F609" s="299"/>
      <c r="G609" s="299"/>
      <c r="H609" s="299"/>
      <c r="I609" s="299"/>
      <c r="J609" s="299"/>
      <c r="K609" s="299"/>
      <c r="L609" s="299"/>
      <c r="M609" s="299"/>
      <c r="N609" s="299"/>
      <c r="O609" s="299"/>
      <c r="P609" s="299"/>
      <c r="Q609" s="299"/>
      <c r="R609" s="299"/>
      <c r="S609" s="299"/>
      <c r="T609" s="299"/>
      <c r="U609" s="299"/>
      <c r="V609" s="299"/>
      <c r="W609" s="299"/>
      <c r="X609" s="299"/>
      <c r="Y609" s="299"/>
      <c r="Z609" s="299"/>
      <c r="AA609" s="299"/>
      <c r="AB609" s="299"/>
      <c r="AC609" s="299"/>
      <c r="AD609" s="299"/>
      <c r="AE609" s="299"/>
      <c r="AF609" s="299"/>
      <c r="AG609" s="299"/>
      <c r="AH609" s="299"/>
      <c r="AI609" s="299"/>
      <c r="AJ609" s="299"/>
      <c r="AK609" s="299"/>
    </row>
    <row r="610" spans="2:37" ht="13.2">
      <c r="B610" s="299"/>
      <c r="C610" s="299"/>
      <c r="D610" s="299"/>
      <c r="E610" s="299"/>
      <c r="F610" s="299"/>
      <c r="G610" s="299"/>
      <c r="H610" s="299"/>
      <c r="I610" s="299"/>
      <c r="J610" s="299"/>
      <c r="K610" s="299"/>
      <c r="L610" s="299"/>
      <c r="M610" s="299"/>
      <c r="N610" s="299"/>
      <c r="O610" s="299"/>
      <c r="P610" s="299"/>
      <c r="Q610" s="299"/>
      <c r="R610" s="299"/>
      <c r="S610" s="299"/>
      <c r="T610" s="299"/>
      <c r="U610" s="299"/>
      <c r="V610" s="299"/>
      <c r="W610" s="299"/>
      <c r="X610" s="299"/>
      <c r="Y610" s="299"/>
      <c r="Z610" s="299"/>
      <c r="AA610" s="299"/>
      <c r="AB610" s="299"/>
      <c r="AC610" s="299"/>
      <c r="AD610" s="299"/>
      <c r="AE610" s="299"/>
      <c r="AF610" s="299"/>
      <c r="AG610" s="299"/>
      <c r="AH610" s="299"/>
      <c r="AI610" s="299"/>
      <c r="AJ610" s="299"/>
      <c r="AK610" s="299"/>
    </row>
    <row r="611" spans="2:37" ht="13.2">
      <c r="B611" s="299"/>
      <c r="C611" s="299"/>
      <c r="D611" s="299"/>
      <c r="E611" s="299"/>
      <c r="F611" s="299"/>
      <c r="G611" s="299"/>
      <c r="H611" s="299"/>
      <c r="I611" s="299"/>
      <c r="J611" s="299"/>
      <c r="K611" s="299"/>
      <c r="L611" s="299"/>
      <c r="M611" s="299"/>
      <c r="N611" s="299"/>
      <c r="O611" s="299"/>
      <c r="P611" s="299"/>
      <c r="Q611" s="299"/>
      <c r="R611" s="299"/>
      <c r="S611" s="299"/>
      <c r="T611" s="299"/>
      <c r="U611" s="299"/>
      <c r="V611" s="299"/>
      <c r="W611" s="299"/>
      <c r="X611" s="299"/>
      <c r="Y611" s="299"/>
      <c r="Z611" s="299"/>
      <c r="AA611" s="299"/>
      <c r="AB611" s="299"/>
      <c r="AC611" s="299"/>
      <c r="AD611" s="299"/>
      <c r="AE611" s="299"/>
      <c r="AF611" s="299"/>
      <c r="AG611" s="299"/>
      <c r="AH611" s="299"/>
      <c r="AI611" s="299"/>
      <c r="AJ611" s="299"/>
      <c r="AK611" s="299"/>
    </row>
    <row r="612" spans="2:37" ht="13.2">
      <c r="B612" s="299"/>
      <c r="C612" s="299"/>
      <c r="D612" s="299"/>
      <c r="E612" s="299"/>
      <c r="F612" s="299"/>
      <c r="G612" s="299"/>
      <c r="H612" s="299"/>
      <c r="I612" s="299"/>
      <c r="J612" s="299"/>
      <c r="K612" s="299"/>
      <c r="L612" s="299"/>
      <c r="M612" s="299"/>
      <c r="N612" s="299"/>
      <c r="O612" s="299"/>
      <c r="P612" s="299"/>
      <c r="Q612" s="299"/>
      <c r="R612" s="299"/>
      <c r="S612" s="299"/>
      <c r="T612" s="299"/>
      <c r="U612" s="299"/>
      <c r="V612" s="299"/>
      <c r="W612" s="299"/>
      <c r="X612" s="299"/>
      <c r="Y612" s="299"/>
      <c r="Z612" s="299"/>
      <c r="AA612" s="299"/>
      <c r="AB612" s="299"/>
      <c r="AC612" s="299"/>
      <c r="AD612" s="299"/>
      <c r="AE612" s="299"/>
      <c r="AF612" s="299"/>
      <c r="AG612" s="299"/>
      <c r="AH612" s="299"/>
      <c r="AI612" s="299"/>
      <c r="AJ612" s="299"/>
      <c r="AK612" s="299"/>
    </row>
    <row r="613" spans="2:37" ht="13.2">
      <c r="B613" s="299"/>
      <c r="C613" s="299"/>
      <c r="D613" s="299"/>
      <c r="E613" s="299"/>
      <c r="F613" s="299"/>
      <c r="G613" s="299"/>
      <c r="H613" s="299"/>
      <c r="I613" s="299"/>
      <c r="J613" s="299"/>
      <c r="K613" s="299"/>
      <c r="L613" s="299"/>
      <c r="M613" s="299"/>
      <c r="N613" s="299"/>
      <c r="O613" s="299"/>
      <c r="P613" s="299"/>
      <c r="Q613" s="299"/>
      <c r="R613" s="299"/>
      <c r="S613" s="299"/>
      <c r="T613" s="299"/>
      <c r="U613" s="299"/>
      <c r="V613" s="299"/>
      <c r="W613" s="299"/>
      <c r="X613" s="299"/>
      <c r="Y613" s="299"/>
      <c r="Z613" s="299"/>
      <c r="AA613" s="299"/>
      <c r="AB613" s="299"/>
      <c r="AC613" s="299"/>
      <c r="AD613" s="299"/>
      <c r="AE613" s="299"/>
      <c r="AF613" s="299"/>
      <c r="AG613" s="299"/>
      <c r="AH613" s="299"/>
      <c r="AI613" s="299"/>
      <c r="AJ613" s="299"/>
      <c r="AK613" s="299"/>
    </row>
    <row r="614" spans="2:37" ht="13.2">
      <c r="B614" s="299"/>
      <c r="C614" s="299"/>
      <c r="D614" s="299"/>
      <c r="E614" s="299"/>
      <c r="F614" s="299"/>
      <c r="G614" s="299"/>
      <c r="H614" s="299"/>
      <c r="I614" s="299"/>
      <c r="J614" s="299"/>
      <c r="K614" s="299"/>
      <c r="L614" s="299"/>
      <c r="M614" s="299"/>
      <c r="N614" s="299"/>
      <c r="O614" s="299"/>
      <c r="P614" s="299"/>
      <c r="Q614" s="299"/>
      <c r="R614" s="299"/>
      <c r="S614" s="299"/>
      <c r="T614" s="299"/>
      <c r="U614" s="299"/>
      <c r="V614" s="299"/>
      <c r="W614" s="299"/>
      <c r="X614" s="299"/>
      <c r="Y614" s="299"/>
      <c r="Z614" s="299"/>
      <c r="AA614" s="299"/>
      <c r="AB614" s="299"/>
      <c r="AC614" s="299"/>
      <c r="AD614" s="299"/>
      <c r="AE614" s="299"/>
      <c r="AF614" s="299"/>
      <c r="AG614" s="299"/>
      <c r="AH614" s="299"/>
      <c r="AI614" s="299"/>
      <c r="AJ614" s="299"/>
      <c r="AK614" s="299"/>
    </row>
    <row r="615" spans="2:37" ht="13.2">
      <c r="B615" s="299"/>
      <c r="C615" s="299"/>
      <c r="D615" s="299"/>
      <c r="E615" s="299"/>
      <c r="F615" s="299"/>
      <c r="G615" s="299"/>
      <c r="H615" s="299"/>
      <c r="I615" s="299"/>
      <c r="J615" s="299"/>
      <c r="K615" s="299"/>
      <c r="L615" s="299"/>
      <c r="M615" s="299"/>
      <c r="N615" s="299"/>
      <c r="O615" s="299"/>
      <c r="P615" s="299"/>
      <c r="Q615" s="299"/>
      <c r="R615" s="299"/>
      <c r="S615" s="299"/>
      <c r="T615" s="299"/>
      <c r="U615" s="299"/>
      <c r="V615" s="299"/>
      <c r="W615" s="299"/>
      <c r="X615" s="299"/>
      <c r="Y615" s="299"/>
      <c r="Z615" s="299"/>
      <c r="AA615" s="299"/>
      <c r="AB615" s="299"/>
      <c r="AC615" s="299"/>
      <c r="AD615" s="299"/>
      <c r="AE615" s="299"/>
      <c r="AF615" s="299"/>
      <c r="AG615" s="299"/>
      <c r="AH615" s="299"/>
      <c r="AI615" s="299"/>
      <c r="AJ615" s="299"/>
      <c r="AK615" s="299"/>
    </row>
    <row r="616" spans="2:37" ht="13.2">
      <c r="B616" s="299"/>
      <c r="C616" s="299"/>
      <c r="D616" s="299"/>
      <c r="E616" s="299"/>
      <c r="F616" s="299"/>
      <c r="G616" s="299"/>
      <c r="H616" s="299"/>
      <c r="I616" s="299"/>
      <c r="J616" s="299"/>
      <c r="K616" s="299"/>
      <c r="L616" s="299"/>
      <c r="M616" s="299"/>
      <c r="N616" s="299"/>
      <c r="O616" s="299"/>
      <c r="P616" s="299"/>
      <c r="Q616" s="299"/>
      <c r="R616" s="299"/>
      <c r="S616" s="299"/>
      <c r="T616" s="299"/>
      <c r="U616" s="299"/>
      <c r="V616" s="299"/>
      <c r="W616" s="299"/>
      <c r="X616" s="299"/>
      <c r="Y616" s="299"/>
      <c r="Z616" s="299"/>
      <c r="AA616" s="299"/>
      <c r="AB616" s="299"/>
      <c r="AC616" s="299"/>
      <c r="AD616" s="299"/>
      <c r="AE616" s="299"/>
      <c r="AF616" s="299"/>
      <c r="AG616" s="299"/>
      <c r="AH616" s="299"/>
      <c r="AI616" s="299"/>
      <c r="AJ616" s="299"/>
      <c r="AK616" s="299"/>
    </row>
    <row r="617" spans="2:37" ht="13.2">
      <c r="B617" s="299"/>
      <c r="C617" s="299"/>
      <c r="D617" s="299"/>
      <c r="E617" s="299"/>
      <c r="F617" s="299"/>
      <c r="G617" s="299"/>
      <c r="H617" s="299"/>
      <c r="I617" s="299"/>
      <c r="J617" s="299"/>
      <c r="K617" s="299"/>
      <c r="L617" s="299"/>
      <c r="M617" s="299"/>
      <c r="N617" s="299"/>
      <c r="O617" s="299"/>
      <c r="P617" s="299"/>
      <c r="Q617" s="299"/>
      <c r="R617" s="299"/>
      <c r="S617" s="299"/>
      <c r="T617" s="299"/>
      <c r="U617" s="299"/>
      <c r="V617" s="299"/>
      <c r="W617" s="299"/>
      <c r="X617" s="299"/>
      <c r="Y617" s="299"/>
      <c r="Z617" s="299"/>
      <c r="AA617" s="299"/>
      <c r="AB617" s="299"/>
      <c r="AC617" s="299"/>
      <c r="AD617" s="299"/>
      <c r="AE617" s="299"/>
      <c r="AF617" s="299"/>
      <c r="AG617" s="299"/>
      <c r="AH617" s="299"/>
      <c r="AI617" s="299"/>
      <c r="AJ617" s="299"/>
      <c r="AK617" s="299"/>
    </row>
    <row r="618" spans="2:37" ht="13.2">
      <c r="B618" s="299"/>
      <c r="C618" s="299"/>
      <c r="D618" s="299"/>
      <c r="E618" s="299"/>
      <c r="F618" s="299"/>
      <c r="G618" s="299"/>
      <c r="H618" s="299"/>
      <c r="I618" s="299"/>
      <c r="J618" s="299"/>
      <c r="K618" s="299"/>
      <c r="L618" s="299"/>
      <c r="M618" s="299"/>
      <c r="N618" s="299"/>
      <c r="O618" s="299"/>
      <c r="P618" s="299"/>
      <c r="Q618" s="299"/>
      <c r="R618" s="299"/>
      <c r="S618" s="299"/>
      <c r="T618" s="299"/>
      <c r="U618" s="299"/>
      <c r="V618" s="299"/>
      <c r="W618" s="299"/>
      <c r="X618" s="299"/>
      <c r="Y618" s="299"/>
      <c r="Z618" s="299"/>
      <c r="AA618" s="299"/>
      <c r="AB618" s="299"/>
      <c r="AC618" s="299"/>
      <c r="AD618" s="299"/>
      <c r="AE618" s="299"/>
      <c r="AF618" s="299"/>
      <c r="AG618" s="299"/>
      <c r="AH618" s="299"/>
      <c r="AI618" s="299"/>
      <c r="AJ618" s="299"/>
      <c r="AK618" s="299"/>
    </row>
    <row r="619" spans="2:37" ht="13.2">
      <c r="B619" s="299"/>
      <c r="C619" s="299"/>
      <c r="D619" s="299"/>
      <c r="E619" s="299"/>
      <c r="F619" s="299"/>
      <c r="G619" s="299"/>
      <c r="H619" s="299"/>
      <c r="I619" s="299"/>
      <c r="J619" s="299"/>
      <c r="K619" s="299"/>
      <c r="L619" s="299"/>
      <c r="M619" s="299"/>
      <c r="N619" s="299"/>
      <c r="O619" s="299"/>
      <c r="P619" s="299"/>
      <c r="Q619" s="299"/>
      <c r="R619" s="299"/>
      <c r="S619" s="299"/>
      <c r="T619" s="299"/>
      <c r="U619" s="299"/>
      <c r="V619" s="299"/>
      <c r="W619" s="299"/>
      <c r="X619" s="299"/>
      <c r="Y619" s="299"/>
      <c r="Z619" s="299"/>
      <c r="AA619" s="299"/>
      <c r="AB619" s="299"/>
      <c r="AC619" s="299"/>
      <c r="AD619" s="299"/>
      <c r="AE619" s="299"/>
      <c r="AF619" s="299"/>
      <c r="AG619" s="299"/>
      <c r="AH619" s="299"/>
      <c r="AI619" s="299"/>
      <c r="AJ619" s="299"/>
      <c r="AK619" s="299"/>
    </row>
    <row r="620" spans="2:37" ht="13.2">
      <c r="B620" s="299"/>
      <c r="C620" s="299"/>
      <c r="D620" s="299"/>
      <c r="E620" s="299"/>
      <c r="F620" s="299"/>
      <c r="G620" s="299"/>
      <c r="H620" s="299"/>
      <c r="I620" s="299"/>
      <c r="J620" s="299"/>
      <c r="K620" s="299"/>
      <c r="L620" s="299"/>
      <c r="M620" s="299"/>
      <c r="N620" s="299"/>
      <c r="O620" s="299"/>
      <c r="P620" s="299"/>
      <c r="Q620" s="299"/>
      <c r="R620" s="299"/>
      <c r="S620" s="299"/>
      <c r="T620" s="299"/>
      <c r="U620" s="299"/>
      <c r="V620" s="299"/>
      <c r="W620" s="299"/>
      <c r="X620" s="299"/>
      <c r="Y620" s="299"/>
      <c r="Z620" s="299"/>
      <c r="AA620" s="299"/>
      <c r="AB620" s="299"/>
      <c r="AC620" s="299"/>
      <c r="AD620" s="299"/>
      <c r="AE620" s="299"/>
      <c r="AF620" s="299"/>
      <c r="AG620" s="299"/>
      <c r="AH620" s="299"/>
      <c r="AI620" s="299"/>
      <c r="AJ620" s="299"/>
      <c r="AK620" s="299"/>
    </row>
    <row r="621" spans="2:37" ht="13.2">
      <c r="B621" s="299"/>
      <c r="C621" s="299"/>
      <c r="D621" s="299"/>
      <c r="E621" s="299"/>
      <c r="F621" s="299"/>
      <c r="G621" s="299"/>
      <c r="H621" s="299"/>
      <c r="I621" s="299"/>
      <c r="J621" s="299"/>
      <c r="K621" s="299"/>
      <c r="L621" s="299"/>
      <c r="M621" s="299"/>
      <c r="N621" s="299"/>
      <c r="O621" s="299"/>
      <c r="P621" s="299"/>
      <c r="Q621" s="299"/>
      <c r="R621" s="299"/>
      <c r="S621" s="299"/>
      <c r="T621" s="299"/>
      <c r="U621" s="299"/>
      <c r="V621" s="299"/>
      <c r="W621" s="299"/>
      <c r="X621" s="299"/>
      <c r="Y621" s="299"/>
      <c r="Z621" s="299"/>
      <c r="AA621" s="299"/>
      <c r="AB621" s="299"/>
      <c r="AC621" s="299"/>
      <c r="AD621" s="299"/>
      <c r="AE621" s="299"/>
      <c r="AF621" s="299"/>
      <c r="AG621" s="299"/>
      <c r="AH621" s="299"/>
      <c r="AI621" s="299"/>
      <c r="AJ621" s="299"/>
      <c r="AK621" s="299"/>
    </row>
    <row r="622" spans="2:37" ht="13.2">
      <c r="B622" s="299"/>
      <c r="C622" s="299"/>
      <c r="D622" s="299"/>
      <c r="E622" s="299"/>
      <c r="F622" s="299"/>
      <c r="G622" s="299"/>
      <c r="H622" s="299"/>
      <c r="I622" s="299"/>
      <c r="J622" s="299"/>
      <c r="K622" s="299"/>
      <c r="L622" s="299"/>
      <c r="M622" s="299"/>
      <c r="N622" s="299"/>
      <c r="O622" s="299"/>
      <c r="P622" s="299"/>
      <c r="Q622" s="299"/>
      <c r="R622" s="299"/>
      <c r="S622" s="299"/>
      <c r="T622" s="299"/>
      <c r="U622" s="299"/>
      <c r="V622" s="299"/>
      <c r="W622" s="299"/>
      <c r="X622" s="299"/>
      <c r="Y622" s="299"/>
      <c r="Z622" s="299"/>
      <c r="AA622" s="299"/>
      <c r="AB622" s="299"/>
      <c r="AC622" s="299"/>
      <c r="AD622" s="299"/>
      <c r="AE622" s="299"/>
      <c r="AF622" s="299"/>
      <c r="AG622" s="299"/>
      <c r="AH622" s="299"/>
      <c r="AI622" s="299"/>
      <c r="AJ622" s="299"/>
      <c r="AK622" s="299"/>
    </row>
    <row r="623" spans="2:37" ht="13.2">
      <c r="B623" s="299"/>
      <c r="C623" s="299"/>
      <c r="D623" s="299"/>
      <c r="E623" s="299"/>
      <c r="F623" s="299"/>
      <c r="G623" s="299"/>
      <c r="H623" s="299"/>
      <c r="I623" s="299"/>
      <c r="J623" s="299"/>
      <c r="K623" s="299"/>
      <c r="L623" s="299"/>
      <c r="M623" s="299"/>
      <c r="N623" s="299"/>
      <c r="O623" s="299"/>
      <c r="P623" s="299"/>
      <c r="Q623" s="299"/>
      <c r="R623" s="299"/>
      <c r="S623" s="299"/>
      <c r="T623" s="299"/>
      <c r="U623" s="299"/>
      <c r="V623" s="299"/>
      <c r="W623" s="299"/>
      <c r="X623" s="299"/>
      <c r="Y623" s="299"/>
      <c r="Z623" s="299"/>
      <c r="AA623" s="299"/>
      <c r="AB623" s="299"/>
      <c r="AC623" s="299"/>
      <c r="AD623" s="299"/>
      <c r="AE623" s="299"/>
      <c r="AF623" s="299"/>
      <c r="AG623" s="299"/>
      <c r="AH623" s="299"/>
      <c r="AI623" s="299"/>
      <c r="AJ623" s="299"/>
      <c r="AK623" s="299"/>
    </row>
    <row r="624" spans="2:37" ht="13.2">
      <c r="B624" s="299"/>
      <c r="C624" s="299"/>
      <c r="D624" s="299"/>
      <c r="E624" s="299"/>
      <c r="F624" s="299"/>
      <c r="G624" s="299"/>
      <c r="H624" s="299"/>
      <c r="I624" s="299"/>
      <c r="J624" s="299"/>
      <c r="K624" s="299"/>
      <c r="L624" s="299"/>
      <c r="M624" s="299"/>
      <c r="N624" s="299"/>
      <c r="O624" s="299"/>
      <c r="P624" s="299"/>
      <c r="Q624" s="299"/>
      <c r="R624" s="299"/>
      <c r="S624" s="299"/>
      <c r="T624" s="299"/>
      <c r="U624" s="299"/>
      <c r="V624" s="299"/>
      <c r="W624" s="299"/>
      <c r="X624" s="299"/>
      <c r="Y624" s="299"/>
      <c r="Z624" s="299"/>
      <c r="AA624" s="299"/>
      <c r="AB624" s="299"/>
      <c r="AC624" s="299"/>
      <c r="AD624" s="299"/>
      <c r="AE624" s="299"/>
      <c r="AF624" s="299"/>
      <c r="AG624" s="299"/>
      <c r="AH624" s="299"/>
      <c r="AI624" s="299"/>
      <c r="AJ624" s="299"/>
      <c r="AK624" s="299"/>
    </row>
    <row r="625" spans="2:37" ht="13.2">
      <c r="B625" s="299"/>
      <c r="C625" s="299"/>
      <c r="D625" s="299"/>
      <c r="E625" s="299"/>
      <c r="F625" s="299"/>
      <c r="G625" s="299"/>
      <c r="H625" s="299"/>
      <c r="I625" s="299"/>
      <c r="J625" s="299"/>
      <c r="K625" s="299"/>
      <c r="L625" s="299"/>
      <c r="M625" s="299"/>
      <c r="N625" s="299"/>
      <c r="O625" s="299"/>
      <c r="P625" s="299"/>
      <c r="Q625" s="299"/>
      <c r="R625" s="299"/>
      <c r="S625" s="299"/>
      <c r="T625" s="299"/>
      <c r="U625" s="299"/>
      <c r="V625" s="299"/>
      <c r="W625" s="299"/>
      <c r="X625" s="299"/>
      <c r="Y625" s="299"/>
      <c r="Z625" s="299"/>
      <c r="AA625" s="299"/>
      <c r="AB625" s="299"/>
      <c r="AC625" s="299"/>
      <c r="AD625" s="299"/>
      <c r="AE625" s="299"/>
      <c r="AF625" s="299"/>
      <c r="AG625" s="299"/>
      <c r="AH625" s="299"/>
      <c r="AI625" s="299"/>
      <c r="AJ625" s="299"/>
      <c r="AK625" s="299"/>
    </row>
    <row r="626" spans="2:37" ht="13.2">
      <c r="B626" s="299"/>
      <c r="C626" s="299"/>
      <c r="D626" s="299"/>
      <c r="E626" s="299"/>
      <c r="F626" s="299"/>
      <c r="G626" s="299"/>
      <c r="H626" s="299"/>
      <c r="I626" s="299"/>
      <c r="J626" s="299"/>
      <c r="K626" s="299"/>
      <c r="L626" s="299"/>
      <c r="M626" s="299"/>
      <c r="N626" s="299"/>
      <c r="O626" s="299"/>
      <c r="P626" s="299"/>
      <c r="Q626" s="299"/>
      <c r="R626" s="299"/>
      <c r="S626" s="299"/>
      <c r="T626" s="299"/>
      <c r="U626" s="299"/>
      <c r="V626" s="299"/>
      <c r="W626" s="299"/>
      <c r="X626" s="299"/>
      <c r="Y626" s="299"/>
      <c r="Z626" s="299"/>
      <c r="AA626" s="299"/>
      <c r="AB626" s="299"/>
      <c r="AC626" s="299"/>
      <c r="AD626" s="299"/>
      <c r="AE626" s="299"/>
      <c r="AF626" s="299"/>
      <c r="AG626" s="299"/>
      <c r="AH626" s="299"/>
      <c r="AI626" s="299"/>
      <c r="AJ626" s="299"/>
      <c r="AK626" s="299"/>
    </row>
    <row r="627" spans="2:37" ht="13.2">
      <c r="B627" s="299"/>
      <c r="C627" s="299"/>
      <c r="D627" s="299"/>
      <c r="E627" s="299"/>
      <c r="F627" s="299"/>
      <c r="G627" s="299"/>
      <c r="H627" s="299"/>
      <c r="I627" s="299"/>
      <c r="J627" s="299"/>
      <c r="K627" s="299"/>
      <c r="L627" s="299"/>
      <c r="M627" s="299"/>
      <c r="N627" s="299"/>
      <c r="O627" s="299"/>
      <c r="P627" s="299"/>
      <c r="Q627" s="299"/>
      <c r="R627" s="299"/>
      <c r="S627" s="299"/>
      <c r="T627" s="299"/>
      <c r="U627" s="299"/>
      <c r="V627" s="299"/>
      <c r="W627" s="299"/>
      <c r="X627" s="299"/>
      <c r="Y627" s="299"/>
      <c r="Z627" s="299"/>
      <c r="AA627" s="299"/>
      <c r="AB627" s="299"/>
      <c r="AC627" s="299"/>
      <c r="AD627" s="299"/>
      <c r="AE627" s="299"/>
      <c r="AF627" s="299"/>
      <c r="AG627" s="299"/>
      <c r="AH627" s="299"/>
      <c r="AI627" s="299"/>
      <c r="AJ627" s="299"/>
      <c r="AK627" s="299"/>
    </row>
    <row r="628" spans="2:37" ht="13.2">
      <c r="B628" s="299"/>
      <c r="C628" s="299"/>
      <c r="D628" s="299"/>
      <c r="E628" s="299"/>
      <c r="F628" s="299"/>
      <c r="G628" s="299"/>
      <c r="H628" s="299"/>
      <c r="I628" s="299"/>
      <c r="J628" s="299"/>
      <c r="K628" s="299"/>
      <c r="L628" s="299"/>
      <c r="M628" s="299"/>
      <c r="N628" s="299"/>
      <c r="O628" s="299"/>
      <c r="P628" s="299"/>
      <c r="Q628" s="299"/>
      <c r="R628" s="299"/>
      <c r="S628" s="299"/>
      <c r="T628" s="299"/>
      <c r="U628" s="299"/>
      <c r="V628" s="299"/>
      <c r="W628" s="299"/>
      <c r="X628" s="299"/>
      <c r="Y628" s="299"/>
      <c r="Z628" s="299"/>
      <c r="AA628" s="299"/>
      <c r="AB628" s="299"/>
      <c r="AC628" s="299"/>
      <c r="AD628" s="299"/>
      <c r="AE628" s="299"/>
      <c r="AF628" s="299"/>
      <c r="AG628" s="299"/>
      <c r="AH628" s="299"/>
      <c r="AI628" s="299"/>
      <c r="AJ628" s="299"/>
      <c r="AK628" s="299"/>
    </row>
    <row r="629" spans="2:37" ht="13.2">
      <c r="B629" s="299"/>
      <c r="C629" s="299"/>
      <c r="D629" s="299"/>
      <c r="E629" s="299"/>
      <c r="F629" s="299"/>
      <c r="G629" s="299"/>
      <c r="H629" s="299"/>
      <c r="I629" s="299"/>
      <c r="J629" s="299"/>
      <c r="K629" s="299"/>
      <c r="L629" s="299"/>
      <c r="M629" s="299"/>
      <c r="N629" s="299"/>
      <c r="O629" s="299"/>
      <c r="P629" s="299"/>
      <c r="Q629" s="299"/>
      <c r="R629" s="299"/>
      <c r="S629" s="299"/>
      <c r="T629" s="299"/>
      <c r="U629" s="299"/>
      <c r="V629" s="299"/>
      <c r="W629" s="299"/>
      <c r="X629" s="299"/>
      <c r="Y629" s="299"/>
      <c r="Z629" s="299"/>
      <c r="AA629" s="299"/>
      <c r="AB629" s="299"/>
      <c r="AC629" s="299"/>
      <c r="AD629" s="299"/>
      <c r="AE629" s="299"/>
      <c r="AF629" s="299"/>
      <c r="AG629" s="299"/>
      <c r="AH629" s="299"/>
      <c r="AI629" s="299"/>
      <c r="AJ629" s="299"/>
      <c r="AK629" s="299"/>
    </row>
    <row r="630" spans="2:37" ht="13.2">
      <c r="B630" s="299"/>
      <c r="C630" s="299"/>
      <c r="D630" s="299"/>
      <c r="E630" s="299"/>
      <c r="F630" s="299"/>
      <c r="G630" s="299"/>
      <c r="H630" s="299"/>
      <c r="I630" s="299"/>
      <c r="J630" s="299"/>
      <c r="K630" s="299"/>
      <c r="L630" s="299"/>
      <c r="M630" s="299"/>
      <c r="N630" s="299"/>
      <c r="O630" s="299"/>
      <c r="P630" s="299"/>
      <c r="Q630" s="299"/>
      <c r="R630" s="299"/>
      <c r="S630" s="299"/>
      <c r="T630" s="299"/>
      <c r="U630" s="299"/>
      <c r="V630" s="299"/>
      <c r="W630" s="299"/>
      <c r="X630" s="299"/>
      <c r="Y630" s="299"/>
      <c r="Z630" s="299"/>
      <c r="AA630" s="299"/>
      <c r="AB630" s="299"/>
      <c r="AC630" s="299"/>
      <c r="AD630" s="299"/>
      <c r="AE630" s="299"/>
      <c r="AF630" s="299"/>
      <c r="AG630" s="299"/>
      <c r="AH630" s="299"/>
      <c r="AI630" s="299"/>
      <c r="AJ630" s="299"/>
      <c r="AK630" s="299"/>
    </row>
    <row r="631" spans="2:37" ht="13.2">
      <c r="B631" s="299"/>
      <c r="C631" s="299"/>
      <c r="D631" s="299"/>
      <c r="E631" s="299"/>
      <c r="F631" s="299"/>
      <c r="G631" s="299"/>
      <c r="H631" s="299"/>
      <c r="I631" s="299"/>
      <c r="J631" s="299"/>
      <c r="K631" s="299"/>
      <c r="L631" s="299"/>
      <c r="M631" s="299"/>
      <c r="N631" s="299"/>
      <c r="O631" s="299"/>
      <c r="P631" s="299"/>
      <c r="Q631" s="299"/>
      <c r="R631" s="299"/>
      <c r="S631" s="299"/>
      <c r="T631" s="299"/>
      <c r="U631" s="299"/>
      <c r="V631" s="299"/>
      <c r="W631" s="299"/>
      <c r="X631" s="299"/>
      <c r="Y631" s="299"/>
      <c r="Z631" s="299"/>
      <c r="AA631" s="299"/>
      <c r="AB631" s="299"/>
      <c r="AC631" s="299"/>
      <c r="AD631" s="299"/>
      <c r="AE631" s="299"/>
      <c r="AF631" s="299"/>
      <c r="AG631" s="299"/>
      <c r="AH631" s="299"/>
      <c r="AI631" s="299"/>
      <c r="AJ631" s="299"/>
      <c r="AK631" s="299"/>
    </row>
    <row r="632" spans="2:37" ht="13.2">
      <c r="B632" s="299"/>
      <c r="C632" s="299"/>
      <c r="D632" s="299"/>
      <c r="E632" s="299"/>
      <c r="F632" s="299"/>
      <c r="G632" s="299"/>
      <c r="H632" s="299"/>
      <c r="I632" s="299"/>
      <c r="J632" s="299"/>
      <c r="K632" s="299"/>
      <c r="L632" s="299"/>
      <c r="M632" s="299"/>
      <c r="N632" s="299"/>
      <c r="O632" s="299"/>
      <c r="P632" s="299"/>
      <c r="Q632" s="299"/>
      <c r="R632" s="299"/>
      <c r="S632" s="299"/>
      <c r="T632" s="299"/>
      <c r="U632" s="299"/>
      <c r="V632" s="299"/>
      <c r="W632" s="299"/>
      <c r="X632" s="299"/>
      <c r="Y632" s="299"/>
      <c r="Z632" s="299"/>
      <c r="AA632" s="299"/>
      <c r="AB632" s="299"/>
      <c r="AC632" s="299"/>
      <c r="AD632" s="299"/>
      <c r="AE632" s="299"/>
      <c r="AF632" s="299"/>
      <c r="AG632" s="299"/>
      <c r="AH632" s="299"/>
      <c r="AI632" s="299"/>
      <c r="AJ632" s="299"/>
      <c r="AK632" s="299"/>
    </row>
    <row r="633" spans="2:37" ht="13.2">
      <c r="B633" s="299"/>
      <c r="C633" s="299"/>
      <c r="D633" s="299"/>
      <c r="E633" s="299"/>
      <c r="F633" s="299"/>
      <c r="G633" s="299"/>
      <c r="H633" s="299"/>
      <c r="I633" s="299"/>
      <c r="J633" s="299"/>
      <c r="K633" s="299"/>
      <c r="L633" s="299"/>
      <c r="M633" s="299"/>
      <c r="N633" s="299"/>
      <c r="O633" s="299"/>
      <c r="P633" s="299"/>
      <c r="Q633" s="299"/>
      <c r="R633" s="299"/>
      <c r="S633" s="299"/>
      <c r="T633" s="299"/>
      <c r="U633" s="299"/>
      <c r="V633" s="299"/>
      <c r="W633" s="299"/>
      <c r="X633" s="299"/>
      <c r="Y633" s="299"/>
      <c r="Z633" s="299"/>
      <c r="AA633" s="299"/>
      <c r="AB633" s="299"/>
      <c r="AC633" s="299"/>
      <c r="AD633" s="299"/>
      <c r="AE633" s="299"/>
      <c r="AF633" s="299"/>
      <c r="AG633" s="299"/>
      <c r="AH633" s="299"/>
      <c r="AI633" s="299"/>
      <c r="AJ633" s="299"/>
      <c r="AK633" s="299"/>
    </row>
    <row r="634" spans="2:37" ht="13.2">
      <c r="B634" s="299"/>
      <c r="C634" s="299"/>
      <c r="D634" s="299"/>
      <c r="E634" s="299"/>
      <c r="F634" s="299"/>
      <c r="G634" s="299"/>
      <c r="H634" s="299"/>
      <c r="I634" s="299"/>
      <c r="J634" s="299"/>
      <c r="K634" s="299"/>
      <c r="L634" s="299"/>
      <c r="M634" s="299"/>
      <c r="N634" s="299"/>
      <c r="O634" s="299"/>
      <c r="P634" s="299"/>
      <c r="Q634" s="299"/>
      <c r="R634" s="299"/>
      <c r="S634" s="299"/>
      <c r="T634" s="299"/>
      <c r="U634" s="299"/>
      <c r="V634" s="299"/>
      <c r="W634" s="299"/>
      <c r="X634" s="299"/>
      <c r="Y634" s="299"/>
      <c r="Z634" s="299"/>
      <c r="AA634" s="299"/>
      <c r="AB634" s="299"/>
      <c r="AC634" s="299"/>
      <c r="AD634" s="299"/>
      <c r="AE634" s="299"/>
      <c r="AF634" s="299"/>
      <c r="AG634" s="299"/>
      <c r="AH634" s="299"/>
      <c r="AI634" s="299"/>
      <c r="AJ634" s="299"/>
      <c r="AK634" s="299"/>
    </row>
    <row r="635" spans="2:37" ht="13.2">
      <c r="B635" s="299"/>
      <c r="C635" s="299"/>
      <c r="D635" s="299"/>
      <c r="E635" s="299"/>
      <c r="F635" s="299"/>
      <c r="G635" s="299"/>
      <c r="H635" s="299"/>
      <c r="I635" s="299"/>
      <c r="J635" s="299"/>
      <c r="K635" s="299"/>
      <c r="L635" s="299"/>
      <c r="M635" s="299"/>
      <c r="N635" s="299"/>
      <c r="O635" s="299"/>
      <c r="P635" s="299"/>
      <c r="Q635" s="299"/>
      <c r="R635" s="299"/>
      <c r="S635" s="299"/>
      <c r="T635" s="299"/>
      <c r="U635" s="299"/>
      <c r="V635" s="299"/>
      <c r="W635" s="299"/>
      <c r="X635" s="299"/>
      <c r="Y635" s="299"/>
      <c r="Z635" s="299"/>
      <c r="AA635" s="299"/>
      <c r="AB635" s="299"/>
      <c r="AC635" s="299"/>
      <c r="AD635" s="299"/>
      <c r="AE635" s="299"/>
      <c r="AF635" s="299"/>
      <c r="AG635" s="299"/>
      <c r="AH635" s="299"/>
      <c r="AI635" s="299"/>
      <c r="AJ635" s="299"/>
      <c r="AK635" s="299"/>
    </row>
    <row r="636" spans="2:37" ht="13.2">
      <c r="B636" s="299"/>
      <c r="C636" s="299"/>
      <c r="D636" s="299"/>
      <c r="E636" s="299"/>
      <c r="F636" s="299"/>
      <c r="G636" s="299"/>
      <c r="H636" s="299"/>
      <c r="I636" s="299"/>
      <c r="J636" s="299"/>
      <c r="K636" s="299"/>
      <c r="L636" s="299"/>
      <c r="M636" s="299"/>
      <c r="N636" s="299"/>
      <c r="O636" s="299"/>
      <c r="P636" s="299"/>
      <c r="Q636" s="299"/>
      <c r="R636" s="299"/>
      <c r="S636" s="299"/>
      <c r="T636" s="299"/>
      <c r="U636" s="299"/>
      <c r="V636" s="299"/>
      <c r="W636" s="299"/>
      <c r="X636" s="299"/>
      <c r="Y636" s="299"/>
      <c r="Z636" s="299"/>
      <c r="AA636" s="299"/>
      <c r="AB636" s="299"/>
      <c r="AC636" s="299"/>
      <c r="AD636" s="299"/>
      <c r="AE636" s="299"/>
      <c r="AF636" s="299"/>
      <c r="AG636" s="299"/>
      <c r="AH636" s="299"/>
      <c r="AI636" s="299"/>
      <c r="AJ636" s="299"/>
      <c r="AK636" s="299"/>
    </row>
    <row r="637" spans="2:37" ht="13.2">
      <c r="B637" s="299"/>
      <c r="C637" s="299"/>
      <c r="D637" s="299"/>
      <c r="E637" s="299"/>
      <c r="F637" s="299"/>
      <c r="G637" s="299"/>
      <c r="H637" s="299"/>
      <c r="I637" s="299"/>
      <c r="J637" s="299"/>
      <c r="K637" s="299"/>
      <c r="L637" s="299"/>
      <c r="M637" s="299"/>
      <c r="N637" s="299"/>
      <c r="O637" s="299"/>
      <c r="P637" s="299"/>
      <c r="Q637" s="299"/>
      <c r="R637" s="299"/>
      <c r="S637" s="299"/>
      <c r="T637" s="299"/>
      <c r="U637" s="299"/>
      <c r="V637" s="299"/>
      <c r="W637" s="299"/>
      <c r="X637" s="299"/>
      <c r="Y637" s="299"/>
      <c r="Z637" s="299"/>
      <c r="AA637" s="299"/>
      <c r="AB637" s="299"/>
      <c r="AC637" s="299"/>
      <c r="AD637" s="299"/>
      <c r="AE637" s="299"/>
      <c r="AF637" s="299"/>
      <c r="AG637" s="299"/>
      <c r="AH637" s="299"/>
      <c r="AI637" s="299"/>
      <c r="AJ637" s="299"/>
      <c r="AK637" s="299"/>
    </row>
    <row r="638" spans="2:37" ht="13.2">
      <c r="B638" s="299"/>
      <c r="C638" s="299"/>
      <c r="D638" s="299"/>
      <c r="E638" s="299"/>
      <c r="F638" s="299"/>
      <c r="G638" s="299"/>
      <c r="H638" s="299"/>
      <c r="I638" s="299"/>
      <c r="J638" s="299"/>
      <c r="K638" s="299"/>
      <c r="L638" s="299"/>
      <c r="M638" s="299"/>
      <c r="N638" s="299"/>
      <c r="O638" s="299"/>
      <c r="P638" s="299"/>
      <c r="Q638" s="299"/>
      <c r="R638" s="299"/>
      <c r="S638" s="299"/>
      <c r="T638" s="299"/>
      <c r="U638" s="299"/>
      <c r="V638" s="299"/>
      <c r="W638" s="299"/>
      <c r="X638" s="299"/>
      <c r="Y638" s="299"/>
      <c r="Z638" s="299"/>
      <c r="AA638" s="299"/>
      <c r="AB638" s="299"/>
      <c r="AC638" s="299"/>
      <c r="AD638" s="299"/>
      <c r="AE638" s="299"/>
      <c r="AF638" s="299"/>
      <c r="AG638" s="299"/>
      <c r="AH638" s="299"/>
      <c r="AI638" s="299"/>
      <c r="AJ638" s="299"/>
      <c r="AK638" s="299"/>
    </row>
    <row r="639" spans="2:37" ht="13.2">
      <c r="B639" s="299"/>
      <c r="C639" s="299"/>
      <c r="D639" s="299"/>
      <c r="E639" s="299"/>
      <c r="F639" s="299"/>
      <c r="G639" s="299"/>
      <c r="H639" s="299"/>
      <c r="I639" s="299"/>
      <c r="J639" s="299"/>
      <c r="K639" s="299"/>
      <c r="L639" s="299"/>
      <c r="M639" s="299"/>
      <c r="N639" s="299"/>
      <c r="O639" s="299"/>
      <c r="P639" s="299"/>
      <c r="Q639" s="299"/>
      <c r="R639" s="299"/>
      <c r="S639" s="299"/>
      <c r="T639" s="299"/>
      <c r="U639" s="299"/>
      <c r="V639" s="299"/>
      <c r="W639" s="299"/>
      <c r="X639" s="299"/>
      <c r="Y639" s="299"/>
      <c r="Z639" s="299"/>
      <c r="AA639" s="299"/>
      <c r="AB639" s="299"/>
      <c r="AC639" s="299"/>
      <c r="AD639" s="299"/>
      <c r="AE639" s="299"/>
      <c r="AF639" s="299"/>
      <c r="AG639" s="299"/>
      <c r="AH639" s="299"/>
      <c r="AI639" s="299"/>
      <c r="AJ639" s="299"/>
      <c r="AK639" s="299"/>
    </row>
    <row r="640" spans="2:37" ht="13.2">
      <c r="B640" s="299"/>
      <c r="C640" s="299"/>
      <c r="D640" s="299"/>
      <c r="E640" s="299"/>
      <c r="F640" s="299"/>
      <c r="G640" s="299"/>
      <c r="H640" s="299"/>
      <c r="I640" s="299"/>
      <c r="J640" s="299"/>
      <c r="K640" s="299"/>
      <c r="L640" s="299"/>
      <c r="M640" s="299"/>
      <c r="N640" s="299"/>
      <c r="O640" s="299"/>
      <c r="P640" s="299"/>
      <c r="Q640" s="299"/>
      <c r="R640" s="299"/>
      <c r="S640" s="299"/>
      <c r="T640" s="299"/>
      <c r="U640" s="299"/>
      <c r="V640" s="299"/>
      <c r="W640" s="299"/>
      <c r="X640" s="299"/>
      <c r="Y640" s="299"/>
      <c r="Z640" s="299"/>
      <c r="AA640" s="299"/>
      <c r="AB640" s="299"/>
      <c r="AC640" s="299"/>
      <c r="AD640" s="299"/>
      <c r="AE640" s="299"/>
      <c r="AF640" s="299"/>
      <c r="AG640" s="299"/>
      <c r="AH640" s="299"/>
      <c r="AI640" s="299"/>
      <c r="AJ640" s="299"/>
      <c r="AK640" s="299"/>
    </row>
    <row r="641" spans="2:37" ht="13.2">
      <c r="B641" s="299"/>
      <c r="C641" s="299"/>
      <c r="D641" s="299"/>
      <c r="E641" s="299"/>
      <c r="F641" s="299"/>
      <c r="G641" s="299"/>
      <c r="H641" s="299"/>
      <c r="I641" s="299"/>
      <c r="J641" s="299"/>
      <c r="K641" s="299"/>
      <c r="L641" s="299"/>
      <c r="M641" s="299"/>
      <c r="N641" s="299"/>
      <c r="O641" s="299"/>
      <c r="P641" s="299"/>
      <c r="Q641" s="299"/>
      <c r="R641" s="299"/>
      <c r="S641" s="299"/>
      <c r="T641" s="299"/>
      <c r="U641" s="299"/>
      <c r="V641" s="299"/>
      <c r="W641" s="299"/>
      <c r="X641" s="299"/>
      <c r="Y641" s="299"/>
      <c r="Z641" s="299"/>
      <c r="AA641" s="299"/>
      <c r="AB641" s="299"/>
      <c r="AC641" s="299"/>
      <c r="AD641" s="299"/>
      <c r="AE641" s="299"/>
      <c r="AF641" s="299"/>
      <c r="AG641" s="299"/>
      <c r="AH641" s="299"/>
      <c r="AI641" s="299"/>
      <c r="AJ641" s="299"/>
      <c r="AK641" s="299"/>
    </row>
    <row r="642" spans="2:37" ht="13.2">
      <c r="B642" s="299"/>
      <c r="C642" s="299"/>
      <c r="D642" s="299"/>
      <c r="E642" s="299"/>
      <c r="F642" s="299"/>
      <c r="G642" s="299"/>
      <c r="H642" s="299"/>
      <c r="I642" s="299"/>
      <c r="J642" s="299"/>
      <c r="K642" s="299"/>
      <c r="L642" s="299"/>
      <c r="M642" s="299"/>
      <c r="N642" s="299"/>
      <c r="O642" s="299"/>
      <c r="P642" s="299"/>
      <c r="Q642" s="299"/>
      <c r="R642" s="299"/>
      <c r="S642" s="299"/>
      <c r="T642" s="299"/>
      <c r="U642" s="299"/>
      <c r="V642" s="299"/>
      <c r="W642" s="299"/>
      <c r="X642" s="299"/>
      <c r="Y642" s="299"/>
      <c r="Z642" s="299"/>
      <c r="AA642" s="299"/>
      <c r="AB642" s="299"/>
      <c r="AC642" s="299"/>
      <c r="AD642" s="299"/>
      <c r="AE642" s="299"/>
      <c r="AF642" s="299"/>
      <c r="AG642" s="299"/>
      <c r="AH642" s="299"/>
      <c r="AI642" s="299"/>
      <c r="AJ642" s="299"/>
      <c r="AK642" s="299"/>
    </row>
    <row r="643" spans="2:37" ht="13.2">
      <c r="B643" s="299"/>
      <c r="C643" s="299"/>
      <c r="D643" s="299"/>
      <c r="E643" s="299"/>
      <c r="F643" s="299"/>
      <c r="G643" s="299"/>
      <c r="H643" s="299"/>
      <c r="I643" s="299"/>
      <c r="J643" s="299"/>
      <c r="K643" s="299"/>
      <c r="L643" s="299"/>
      <c r="M643" s="299"/>
      <c r="N643" s="299"/>
      <c r="O643" s="299"/>
      <c r="P643" s="299"/>
      <c r="Q643" s="299"/>
      <c r="R643" s="299"/>
      <c r="S643" s="299"/>
      <c r="T643" s="299"/>
      <c r="U643" s="299"/>
      <c r="V643" s="299"/>
      <c r="W643" s="299"/>
      <c r="X643" s="299"/>
      <c r="Y643" s="299"/>
      <c r="Z643" s="299"/>
      <c r="AA643" s="299"/>
      <c r="AB643" s="299"/>
      <c r="AC643" s="299"/>
      <c r="AD643" s="299"/>
      <c r="AE643" s="299"/>
      <c r="AF643" s="299"/>
      <c r="AG643" s="299"/>
      <c r="AH643" s="299"/>
      <c r="AI643" s="299"/>
      <c r="AJ643" s="299"/>
      <c r="AK643" s="299"/>
    </row>
    <row r="644" spans="2:37" ht="13.2">
      <c r="B644" s="299"/>
      <c r="C644" s="299"/>
      <c r="D644" s="299"/>
      <c r="E644" s="299"/>
      <c r="F644" s="299"/>
      <c r="G644" s="299"/>
      <c r="H644" s="299"/>
      <c r="I644" s="299"/>
      <c r="J644" s="299"/>
      <c r="K644" s="299"/>
      <c r="L644" s="299"/>
      <c r="M644" s="299"/>
      <c r="N644" s="299"/>
      <c r="O644" s="299"/>
      <c r="P644" s="299"/>
      <c r="Q644" s="299"/>
      <c r="R644" s="299"/>
      <c r="S644" s="299"/>
      <c r="T644" s="299"/>
      <c r="U644" s="299"/>
      <c r="V644" s="299"/>
      <c r="W644" s="299"/>
      <c r="X644" s="299"/>
      <c r="Y644" s="299"/>
      <c r="Z644" s="299"/>
      <c r="AA644" s="299"/>
      <c r="AB644" s="299"/>
      <c r="AC644" s="299"/>
      <c r="AD644" s="299"/>
      <c r="AE644" s="299"/>
      <c r="AF644" s="299"/>
      <c r="AG644" s="299"/>
      <c r="AH644" s="299"/>
      <c r="AI644" s="299"/>
      <c r="AJ644" s="299"/>
      <c r="AK644" s="299"/>
    </row>
    <row r="645" spans="2:37" ht="13.2">
      <c r="B645" s="299"/>
      <c r="C645" s="299"/>
      <c r="D645" s="299"/>
      <c r="E645" s="299"/>
      <c r="F645" s="299"/>
      <c r="G645" s="299"/>
      <c r="H645" s="299"/>
      <c r="I645" s="299"/>
      <c r="J645" s="299"/>
      <c r="K645" s="299"/>
      <c r="L645" s="299"/>
      <c r="M645" s="299"/>
      <c r="N645" s="299"/>
      <c r="O645" s="299"/>
      <c r="P645" s="299"/>
      <c r="Q645" s="299"/>
      <c r="R645" s="299"/>
      <c r="S645" s="299"/>
      <c r="T645" s="299"/>
      <c r="U645" s="299"/>
      <c r="V645" s="299"/>
      <c r="W645" s="299"/>
      <c r="X645" s="299"/>
      <c r="Y645" s="299"/>
      <c r="Z645" s="299"/>
      <c r="AA645" s="299"/>
      <c r="AB645" s="299"/>
      <c r="AC645" s="299"/>
      <c r="AD645" s="299"/>
      <c r="AE645" s="299"/>
      <c r="AF645" s="299"/>
      <c r="AG645" s="299"/>
      <c r="AH645" s="299"/>
      <c r="AI645" s="299"/>
      <c r="AJ645" s="299"/>
      <c r="AK645" s="299"/>
    </row>
    <row r="646" spans="2:37" ht="13.2">
      <c r="B646" s="299"/>
      <c r="C646" s="299"/>
      <c r="D646" s="299"/>
      <c r="E646" s="299"/>
      <c r="F646" s="299"/>
      <c r="G646" s="299"/>
      <c r="H646" s="299"/>
      <c r="I646" s="299"/>
      <c r="J646" s="299"/>
      <c r="K646" s="299"/>
      <c r="L646" s="299"/>
      <c r="M646" s="299"/>
      <c r="N646" s="299"/>
      <c r="O646" s="299"/>
      <c r="P646" s="299"/>
      <c r="Q646" s="299"/>
      <c r="R646" s="299"/>
      <c r="S646" s="299"/>
      <c r="T646" s="299"/>
      <c r="U646" s="299"/>
      <c r="V646" s="299"/>
      <c r="W646" s="299"/>
      <c r="X646" s="299"/>
      <c r="Y646" s="299"/>
      <c r="Z646" s="299"/>
      <c r="AA646" s="299"/>
      <c r="AB646" s="299"/>
      <c r="AC646" s="299"/>
      <c r="AD646" s="299"/>
      <c r="AE646" s="299"/>
      <c r="AF646" s="299"/>
      <c r="AG646" s="299"/>
      <c r="AH646" s="299"/>
      <c r="AI646" s="299"/>
      <c r="AJ646" s="299"/>
      <c r="AK646" s="299"/>
    </row>
    <row r="647" spans="2:37" ht="13.2">
      <c r="B647" s="299"/>
      <c r="C647" s="299"/>
      <c r="D647" s="299"/>
      <c r="E647" s="299"/>
      <c r="F647" s="299"/>
      <c r="G647" s="299"/>
      <c r="H647" s="299"/>
      <c r="I647" s="299"/>
      <c r="J647" s="299"/>
      <c r="K647" s="299"/>
      <c r="L647" s="299"/>
      <c r="M647" s="299"/>
      <c r="N647" s="299"/>
      <c r="O647" s="299"/>
      <c r="P647" s="299"/>
      <c r="Q647" s="299"/>
      <c r="R647" s="299"/>
      <c r="S647" s="299"/>
      <c r="T647" s="299"/>
      <c r="U647" s="299"/>
      <c r="V647" s="299"/>
      <c r="W647" s="299"/>
      <c r="X647" s="299"/>
      <c r="Y647" s="299"/>
      <c r="Z647" s="299"/>
      <c r="AA647" s="299"/>
      <c r="AB647" s="299"/>
      <c r="AC647" s="299"/>
      <c r="AD647" s="299"/>
      <c r="AE647" s="299"/>
      <c r="AF647" s="299"/>
      <c r="AG647" s="299"/>
      <c r="AH647" s="299"/>
      <c r="AI647" s="299"/>
      <c r="AJ647" s="299"/>
      <c r="AK647" s="299"/>
    </row>
    <row r="648" spans="2:37" ht="13.2">
      <c r="B648" s="299"/>
      <c r="C648" s="299"/>
      <c r="D648" s="299"/>
      <c r="E648" s="299"/>
      <c r="F648" s="299"/>
      <c r="G648" s="299"/>
      <c r="H648" s="299"/>
      <c r="I648" s="299"/>
      <c r="J648" s="299"/>
      <c r="K648" s="299"/>
      <c r="L648" s="299"/>
      <c r="M648" s="299"/>
      <c r="N648" s="299"/>
      <c r="O648" s="299"/>
      <c r="P648" s="299"/>
      <c r="Q648" s="299"/>
      <c r="R648" s="299"/>
      <c r="S648" s="299"/>
      <c r="T648" s="299"/>
      <c r="U648" s="299"/>
      <c r="V648" s="299"/>
      <c r="W648" s="299"/>
      <c r="X648" s="299"/>
      <c r="Y648" s="299"/>
      <c r="Z648" s="299"/>
      <c r="AA648" s="299"/>
      <c r="AB648" s="299"/>
      <c r="AC648" s="299"/>
      <c r="AD648" s="299"/>
      <c r="AE648" s="299"/>
      <c r="AF648" s="299"/>
      <c r="AG648" s="299"/>
      <c r="AH648" s="299"/>
      <c r="AI648" s="299"/>
      <c r="AJ648" s="299"/>
      <c r="AK648" s="299"/>
    </row>
    <row r="649" spans="2:37" ht="13.2">
      <c r="B649" s="299"/>
      <c r="C649" s="299"/>
      <c r="D649" s="299"/>
      <c r="E649" s="299"/>
      <c r="F649" s="299"/>
      <c r="G649" s="299"/>
      <c r="H649" s="299"/>
      <c r="I649" s="299"/>
      <c r="J649" s="299"/>
      <c r="K649" s="299"/>
      <c r="L649" s="299"/>
      <c r="M649" s="299"/>
      <c r="N649" s="299"/>
      <c r="O649" s="299"/>
      <c r="P649" s="299"/>
      <c r="Q649" s="299"/>
      <c r="R649" s="299"/>
      <c r="S649" s="299"/>
      <c r="T649" s="299"/>
      <c r="U649" s="299"/>
      <c r="V649" s="299"/>
      <c r="W649" s="299"/>
      <c r="X649" s="299"/>
      <c r="Y649" s="299"/>
      <c r="Z649" s="299"/>
      <c r="AA649" s="299"/>
      <c r="AB649" s="299"/>
      <c r="AC649" s="299"/>
      <c r="AD649" s="299"/>
      <c r="AE649" s="299"/>
      <c r="AF649" s="299"/>
      <c r="AG649" s="299"/>
      <c r="AH649" s="299"/>
      <c r="AI649" s="299"/>
      <c r="AJ649" s="299"/>
      <c r="AK649" s="299"/>
    </row>
    <row r="650" spans="2:37" ht="13.2">
      <c r="B650" s="299"/>
      <c r="C650" s="299"/>
      <c r="D650" s="299"/>
      <c r="E650" s="299"/>
      <c r="F650" s="299"/>
      <c r="G650" s="299"/>
      <c r="H650" s="299"/>
      <c r="I650" s="299"/>
      <c r="J650" s="299"/>
      <c r="K650" s="299"/>
      <c r="L650" s="299"/>
      <c r="M650" s="299"/>
      <c r="N650" s="299"/>
      <c r="O650" s="299"/>
      <c r="P650" s="299"/>
      <c r="Q650" s="299"/>
      <c r="R650" s="299"/>
      <c r="S650" s="299"/>
      <c r="T650" s="299"/>
      <c r="U650" s="299"/>
      <c r="V650" s="299"/>
      <c r="W650" s="299"/>
      <c r="X650" s="299"/>
      <c r="Y650" s="299"/>
      <c r="Z650" s="299"/>
      <c r="AA650" s="299"/>
      <c r="AB650" s="299"/>
      <c r="AC650" s="299"/>
      <c r="AD650" s="299"/>
      <c r="AE650" s="299"/>
      <c r="AF650" s="299"/>
      <c r="AG650" s="299"/>
      <c r="AH650" s="299"/>
      <c r="AI650" s="299"/>
      <c r="AJ650" s="299"/>
      <c r="AK650" s="299"/>
    </row>
    <row r="651" spans="2:37" ht="13.2">
      <c r="B651" s="299"/>
      <c r="C651" s="299"/>
      <c r="D651" s="299"/>
      <c r="E651" s="299"/>
      <c r="F651" s="299"/>
      <c r="G651" s="299"/>
      <c r="H651" s="299"/>
      <c r="I651" s="299"/>
      <c r="J651" s="299"/>
      <c r="K651" s="299"/>
      <c r="L651" s="299"/>
      <c r="M651" s="299"/>
      <c r="N651" s="299"/>
      <c r="O651" s="299"/>
      <c r="P651" s="299"/>
      <c r="Q651" s="299"/>
      <c r="R651" s="299"/>
      <c r="S651" s="299"/>
      <c r="T651" s="299"/>
      <c r="U651" s="299"/>
      <c r="V651" s="299"/>
      <c r="W651" s="299"/>
      <c r="X651" s="299"/>
      <c r="Y651" s="299"/>
      <c r="Z651" s="299"/>
      <c r="AA651" s="299"/>
      <c r="AB651" s="299"/>
      <c r="AC651" s="299"/>
      <c r="AD651" s="299"/>
      <c r="AE651" s="299"/>
      <c r="AF651" s="299"/>
      <c r="AG651" s="299"/>
      <c r="AH651" s="299"/>
      <c r="AI651" s="299"/>
      <c r="AJ651" s="299"/>
      <c r="AK651" s="299"/>
    </row>
    <row r="652" spans="2:37" ht="13.2">
      <c r="B652" s="299"/>
      <c r="C652" s="299"/>
      <c r="D652" s="299"/>
      <c r="E652" s="299"/>
      <c r="F652" s="299"/>
      <c r="G652" s="299"/>
      <c r="H652" s="299"/>
      <c r="I652" s="299"/>
      <c r="J652" s="299"/>
      <c r="K652" s="299"/>
      <c r="L652" s="299"/>
      <c r="M652" s="299"/>
      <c r="N652" s="299"/>
      <c r="O652" s="299"/>
      <c r="P652" s="299"/>
      <c r="Q652" s="299"/>
      <c r="R652" s="299"/>
      <c r="S652" s="299"/>
      <c r="T652" s="299"/>
      <c r="U652" s="299"/>
      <c r="V652" s="299"/>
      <c r="W652" s="299"/>
      <c r="X652" s="299"/>
      <c r="Y652" s="299"/>
      <c r="Z652" s="299"/>
      <c r="AA652" s="299"/>
      <c r="AB652" s="299"/>
      <c r="AC652" s="299"/>
      <c r="AD652" s="299"/>
      <c r="AE652" s="299"/>
      <c r="AF652" s="299"/>
      <c r="AG652" s="299"/>
      <c r="AH652" s="299"/>
      <c r="AI652" s="299"/>
      <c r="AJ652" s="299"/>
      <c r="AK652" s="299"/>
    </row>
    <row r="653" spans="2:37" ht="13.2">
      <c r="B653" s="299"/>
      <c r="C653" s="299"/>
      <c r="D653" s="299"/>
      <c r="E653" s="299"/>
      <c r="F653" s="299"/>
      <c r="G653" s="299"/>
      <c r="H653" s="299"/>
      <c r="I653" s="299"/>
      <c r="J653" s="299"/>
      <c r="K653" s="299"/>
      <c r="L653" s="299"/>
      <c r="M653" s="299"/>
      <c r="N653" s="299"/>
      <c r="O653" s="299"/>
      <c r="P653" s="299"/>
      <c r="Q653" s="299"/>
      <c r="R653" s="299"/>
      <c r="S653" s="299"/>
      <c r="T653" s="299"/>
      <c r="U653" s="299"/>
      <c r="V653" s="299"/>
      <c r="W653" s="299"/>
      <c r="X653" s="299"/>
      <c r="Y653" s="299"/>
      <c r="Z653" s="299"/>
      <c r="AA653" s="299"/>
      <c r="AB653" s="299"/>
      <c r="AC653" s="299"/>
      <c r="AD653" s="299"/>
      <c r="AE653" s="299"/>
      <c r="AF653" s="299"/>
      <c r="AG653" s="299"/>
      <c r="AH653" s="299"/>
      <c r="AI653" s="299"/>
      <c r="AJ653" s="299"/>
      <c r="AK653" s="299"/>
    </row>
    <row r="654" spans="2:37" ht="13.2">
      <c r="B654" s="299"/>
      <c r="C654" s="299"/>
      <c r="D654" s="299"/>
      <c r="E654" s="299"/>
      <c r="F654" s="299"/>
      <c r="G654" s="299"/>
      <c r="H654" s="299"/>
      <c r="I654" s="299"/>
      <c r="J654" s="299"/>
      <c r="K654" s="299"/>
      <c r="L654" s="299"/>
      <c r="M654" s="299"/>
      <c r="N654" s="299"/>
      <c r="O654" s="299"/>
      <c r="P654" s="299"/>
      <c r="Q654" s="299"/>
      <c r="R654" s="299"/>
      <c r="S654" s="299"/>
      <c r="T654" s="299"/>
      <c r="U654" s="299"/>
      <c r="V654" s="299"/>
      <c r="W654" s="299"/>
      <c r="X654" s="299"/>
      <c r="Y654" s="299"/>
      <c r="Z654" s="299"/>
      <c r="AA654" s="299"/>
      <c r="AB654" s="299"/>
      <c r="AC654" s="299"/>
      <c r="AD654" s="299"/>
      <c r="AE654" s="299"/>
      <c r="AF654" s="299"/>
      <c r="AG654" s="299"/>
      <c r="AH654" s="299"/>
      <c r="AI654" s="299"/>
      <c r="AJ654" s="299"/>
      <c r="AK654" s="299"/>
    </row>
    <row r="655" spans="2:37" ht="13.2">
      <c r="B655" s="299"/>
      <c r="C655" s="299"/>
      <c r="D655" s="299"/>
      <c r="E655" s="299"/>
      <c r="F655" s="299"/>
      <c r="G655" s="299"/>
      <c r="H655" s="299"/>
      <c r="I655" s="299"/>
      <c r="J655" s="299"/>
      <c r="K655" s="299"/>
      <c r="L655" s="299"/>
      <c r="M655" s="299"/>
      <c r="N655" s="299"/>
      <c r="O655" s="299"/>
      <c r="P655" s="299"/>
      <c r="Q655" s="299"/>
      <c r="R655" s="299"/>
      <c r="S655" s="299"/>
      <c r="T655" s="299"/>
      <c r="U655" s="299"/>
      <c r="V655" s="299"/>
      <c r="W655" s="299"/>
      <c r="X655" s="299"/>
      <c r="Y655" s="299"/>
      <c r="Z655" s="299"/>
      <c r="AA655" s="299"/>
      <c r="AB655" s="299"/>
      <c r="AC655" s="299"/>
      <c r="AD655" s="299"/>
      <c r="AE655" s="299"/>
      <c r="AF655" s="299"/>
      <c r="AG655" s="299"/>
      <c r="AH655" s="299"/>
      <c r="AI655" s="299"/>
      <c r="AJ655" s="299"/>
      <c r="AK655" s="299"/>
    </row>
    <row r="656" spans="2:37" ht="13.2">
      <c r="B656" s="299"/>
      <c r="C656" s="299"/>
      <c r="D656" s="299"/>
      <c r="E656" s="299"/>
      <c r="F656" s="299"/>
      <c r="G656" s="299"/>
      <c r="H656" s="299"/>
      <c r="I656" s="299"/>
      <c r="J656" s="299"/>
      <c r="K656" s="299"/>
      <c r="L656" s="299"/>
      <c r="M656" s="299"/>
      <c r="N656" s="299"/>
      <c r="O656" s="299"/>
      <c r="P656" s="299"/>
      <c r="Q656" s="299"/>
      <c r="R656" s="299"/>
      <c r="S656" s="299"/>
      <c r="T656" s="299"/>
      <c r="U656" s="299"/>
      <c r="V656" s="299"/>
      <c r="W656" s="299"/>
      <c r="X656" s="299"/>
      <c r="Y656" s="299"/>
      <c r="Z656" s="299"/>
      <c r="AA656" s="299"/>
      <c r="AB656" s="299"/>
      <c r="AC656" s="299"/>
      <c r="AD656" s="299"/>
      <c r="AE656" s="299"/>
      <c r="AF656" s="299"/>
      <c r="AG656" s="299"/>
      <c r="AH656" s="299"/>
      <c r="AI656" s="299"/>
      <c r="AJ656" s="299"/>
      <c r="AK656" s="299"/>
    </row>
    <row r="657" spans="2:37" ht="13.2">
      <c r="B657" s="299"/>
      <c r="C657" s="299"/>
      <c r="D657" s="299"/>
      <c r="E657" s="299"/>
      <c r="F657" s="299"/>
      <c r="G657" s="299"/>
      <c r="H657" s="299"/>
      <c r="I657" s="299"/>
      <c r="J657" s="299"/>
      <c r="K657" s="299"/>
      <c r="L657" s="299"/>
      <c r="M657" s="299"/>
      <c r="N657" s="299"/>
      <c r="O657" s="299"/>
      <c r="P657" s="299"/>
      <c r="Q657" s="299"/>
      <c r="R657" s="299"/>
      <c r="S657" s="299"/>
      <c r="T657" s="299"/>
      <c r="U657" s="299"/>
      <c r="V657" s="299"/>
      <c r="W657" s="299"/>
      <c r="X657" s="299"/>
      <c r="Y657" s="299"/>
      <c r="Z657" s="299"/>
      <c r="AA657" s="299"/>
      <c r="AB657" s="299"/>
      <c r="AC657" s="299"/>
      <c r="AD657" s="299"/>
      <c r="AE657" s="299"/>
      <c r="AF657" s="299"/>
      <c r="AG657" s="299"/>
      <c r="AH657" s="299"/>
      <c r="AI657" s="299"/>
      <c r="AJ657" s="299"/>
      <c r="AK657" s="299"/>
    </row>
    <row r="658" spans="2:37" ht="13.2">
      <c r="B658" s="299"/>
      <c r="C658" s="299"/>
      <c r="D658" s="299"/>
      <c r="E658" s="299"/>
      <c r="F658" s="299"/>
      <c r="G658" s="299"/>
      <c r="H658" s="299"/>
      <c r="I658" s="299"/>
      <c r="J658" s="299"/>
      <c r="K658" s="299"/>
      <c r="L658" s="299"/>
      <c r="M658" s="299"/>
      <c r="N658" s="299"/>
      <c r="O658" s="299"/>
      <c r="P658" s="299"/>
      <c r="Q658" s="299"/>
      <c r="R658" s="299"/>
      <c r="S658" s="299"/>
      <c r="T658" s="299"/>
      <c r="U658" s="299"/>
      <c r="V658" s="299"/>
      <c r="W658" s="299"/>
      <c r="X658" s="299"/>
      <c r="Y658" s="299"/>
      <c r="Z658" s="299"/>
      <c r="AA658" s="299"/>
      <c r="AB658" s="299"/>
      <c r="AC658" s="299"/>
      <c r="AD658" s="299"/>
      <c r="AE658" s="299"/>
      <c r="AF658" s="299"/>
      <c r="AG658" s="299"/>
      <c r="AH658" s="299"/>
      <c r="AI658" s="299"/>
      <c r="AJ658" s="299"/>
      <c r="AK658" s="299"/>
    </row>
    <row r="659" spans="2:37" ht="13.2">
      <c r="B659" s="299"/>
      <c r="C659" s="299"/>
      <c r="D659" s="299"/>
      <c r="E659" s="299"/>
      <c r="F659" s="299"/>
      <c r="G659" s="299"/>
      <c r="H659" s="299"/>
      <c r="I659" s="299"/>
      <c r="J659" s="299"/>
      <c r="K659" s="299"/>
      <c r="L659" s="299"/>
      <c r="M659" s="299"/>
      <c r="N659" s="299"/>
      <c r="O659" s="299"/>
      <c r="P659" s="299"/>
      <c r="Q659" s="299"/>
      <c r="R659" s="299"/>
      <c r="S659" s="299"/>
      <c r="T659" s="299"/>
      <c r="U659" s="299"/>
      <c r="V659" s="299"/>
      <c r="W659" s="299"/>
      <c r="X659" s="299"/>
      <c r="Y659" s="299"/>
      <c r="Z659" s="299"/>
      <c r="AA659" s="299"/>
      <c r="AB659" s="299"/>
      <c r="AC659" s="299"/>
      <c r="AD659" s="299"/>
      <c r="AE659" s="299"/>
      <c r="AF659" s="299"/>
      <c r="AG659" s="299"/>
      <c r="AH659" s="299"/>
      <c r="AI659" s="299"/>
      <c r="AJ659" s="299"/>
      <c r="AK659" s="299"/>
    </row>
    <row r="660" spans="2:37" ht="13.2">
      <c r="B660" s="299"/>
      <c r="C660" s="299"/>
      <c r="D660" s="299"/>
      <c r="E660" s="299"/>
      <c r="F660" s="299"/>
      <c r="G660" s="299"/>
      <c r="H660" s="299"/>
      <c r="I660" s="299"/>
      <c r="J660" s="299"/>
      <c r="K660" s="299"/>
      <c r="L660" s="299"/>
      <c r="M660" s="299"/>
      <c r="N660" s="299"/>
      <c r="O660" s="299"/>
      <c r="P660" s="299"/>
      <c r="Q660" s="299"/>
      <c r="R660" s="299"/>
      <c r="S660" s="299"/>
      <c r="T660" s="299"/>
      <c r="U660" s="299"/>
      <c r="V660" s="299"/>
      <c r="W660" s="299"/>
      <c r="X660" s="299"/>
      <c r="Y660" s="299"/>
      <c r="Z660" s="299"/>
      <c r="AA660" s="299"/>
      <c r="AB660" s="299"/>
      <c r="AC660" s="299"/>
      <c r="AD660" s="299"/>
      <c r="AE660" s="299"/>
      <c r="AF660" s="299"/>
      <c r="AG660" s="299"/>
      <c r="AH660" s="299"/>
      <c r="AI660" s="299"/>
      <c r="AJ660" s="299"/>
      <c r="AK660" s="299"/>
    </row>
    <row r="661" spans="2:37" ht="13.2">
      <c r="B661" s="299"/>
      <c r="C661" s="299"/>
      <c r="D661" s="299"/>
      <c r="E661" s="299"/>
      <c r="F661" s="299"/>
      <c r="G661" s="299"/>
      <c r="H661" s="299"/>
      <c r="I661" s="299"/>
      <c r="J661" s="299"/>
      <c r="K661" s="299"/>
      <c r="L661" s="299"/>
      <c r="M661" s="299"/>
      <c r="N661" s="299"/>
      <c r="O661" s="299"/>
      <c r="P661" s="299"/>
      <c r="Q661" s="299"/>
      <c r="R661" s="299"/>
      <c r="S661" s="299"/>
      <c r="T661" s="299"/>
      <c r="U661" s="299"/>
      <c r="V661" s="299"/>
      <c r="W661" s="299"/>
      <c r="X661" s="299"/>
      <c r="Y661" s="299"/>
      <c r="Z661" s="299"/>
      <c r="AA661" s="299"/>
      <c r="AB661" s="299"/>
      <c r="AC661" s="299"/>
      <c r="AD661" s="299"/>
      <c r="AE661" s="299"/>
      <c r="AF661" s="299"/>
      <c r="AG661" s="299"/>
      <c r="AH661" s="299"/>
      <c r="AI661" s="299"/>
      <c r="AJ661" s="299"/>
      <c r="AK661" s="299"/>
    </row>
    <row r="662" spans="2:37" ht="13.2">
      <c r="B662" s="299"/>
      <c r="C662" s="299"/>
      <c r="D662" s="299"/>
      <c r="E662" s="299"/>
      <c r="F662" s="299"/>
      <c r="G662" s="299"/>
      <c r="H662" s="299"/>
      <c r="I662" s="299"/>
      <c r="J662" s="299"/>
      <c r="K662" s="299"/>
      <c r="L662" s="299"/>
      <c r="M662" s="299"/>
      <c r="N662" s="299"/>
      <c r="O662" s="299"/>
      <c r="P662" s="299"/>
      <c r="Q662" s="299"/>
      <c r="R662" s="299"/>
      <c r="S662" s="299"/>
      <c r="T662" s="299"/>
      <c r="U662" s="299"/>
      <c r="V662" s="299"/>
      <c r="W662" s="299"/>
      <c r="X662" s="299"/>
      <c r="Y662" s="299"/>
      <c r="Z662" s="299"/>
      <c r="AA662" s="299"/>
      <c r="AB662" s="299"/>
      <c r="AC662" s="299"/>
      <c r="AD662" s="299"/>
      <c r="AE662" s="299"/>
      <c r="AF662" s="299"/>
      <c r="AG662" s="299"/>
      <c r="AH662" s="299"/>
      <c r="AI662" s="299"/>
      <c r="AJ662" s="299"/>
      <c r="AK662" s="299"/>
    </row>
    <row r="663" spans="2:37" ht="13.2">
      <c r="B663" s="299"/>
      <c r="C663" s="299"/>
      <c r="D663" s="299"/>
      <c r="E663" s="299"/>
      <c r="F663" s="299"/>
      <c r="G663" s="299"/>
      <c r="H663" s="299"/>
      <c r="I663" s="299"/>
      <c r="J663" s="299"/>
      <c r="K663" s="299"/>
      <c r="L663" s="299"/>
      <c r="M663" s="299"/>
      <c r="N663" s="299"/>
      <c r="O663" s="299"/>
      <c r="P663" s="299"/>
      <c r="Q663" s="299"/>
      <c r="R663" s="299"/>
      <c r="S663" s="299"/>
      <c r="T663" s="299"/>
      <c r="U663" s="299"/>
      <c r="V663" s="299"/>
      <c r="W663" s="299"/>
      <c r="X663" s="299"/>
      <c r="Y663" s="299"/>
      <c r="Z663" s="299"/>
      <c r="AA663" s="299"/>
      <c r="AB663" s="299"/>
      <c r="AC663" s="299"/>
      <c r="AD663" s="299"/>
      <c r="AE663" s="299"/>
      <c r="AF663" s="299"/>
      <c r="AG663" s="299"/>
      <c r="AH663" s="299"/>
      <c r="AI663" s="299"/>
      <c r="AJ663" s="299"/>
      <c r="AK663" s="299"/>
    </row>
    <row r="664" spans="2:37" ht="13.2">
      <c r="B664" s="299"/>
      <c r="C664" s="299"/>
      <c r="D664" s="299"/>
      <c r="E664" s="299"/>
      <c r="F664" s="299"/>
      <c r="G664" s="299"/>
      <c r="H664" s="299"/>
      <c r="I664" s="299"/>
      <c r="J664" s="299"/>
      <c r="K664" s="299"/>
      <c r="L664" s="299"/>
      <c r="M664" s="299"/>
      <c r="N664" s="299"/>
      <c r="O664" s="299"/>
      <c r="P664" s="299"/>
      <c r="Q664" s="299"/>
      <c r="R664" s="299"/>
      <c r="S664" s="299"/>
      <c r="T664" s="299"/>
      <c r="U664" s="299"/>
      <c r="V664" s="299"/>
      <c r="W664" s="299"/>
      <c r="X664" s="299"/>
      <c r="Y664" s="299"/>
      <c r="Z664" s="299"/>
      <c r="AA664" s="299"/>
      <c r="AB664" s="299"/>
      <c r="AC664" s="299"/>
      <c r="AD664" s="299"/>
      <c r="AE664" s="299"/>
      <c r="AF664" s="299"/>
      <c r="AG664" s="299"/>
      <c r="AH664" s="299"/>
      <c r="AI664" s="299"/>
      <c r="AJ664" s="299"/>
      <c r="AK664" s="299"/>
    </row>
    <row r="665" spans="2:37" ht="13.2">
      <c r="B665" s="299"/>
      <c r="C665" s="299"/>
      <c r="D665" s="299"/>
      <c r="E665" s="299"/>
      <c r="F665" s="299"/>
      <c r="G665" s="299"/>
      <c r="H665" s="299"/>
      <c r="I665" s="299"/>
      <c r="J665" s="299"/>
      <c r="K665" s="299"/>
      <c r="L665" s="299"/>
      <c r="M665" s="299"/>
      <c r="N665" s="299"/>
      <c r="O665" s="299"/>
      <c r="P665" s="299"/>
      <c r="Q665" s="299"/>
      <c r="R665" s="299"/>
      <c r="S665" s="299"/>
      <c r="T665" s="299"/>
      <c r="U665" s="299"/>
      <c r="V665" s="299"/>
      <c r="W665" s="299"/>
      <c r="X665" s="299"/>
      <c r="Y665" s="299"/>
      <c r="Z665" s="299"/>
      <c r="AA665" s="299"/>
      <c r="AB665" s="299"/>
      <c r="AC665" s="299"/>
      <c r="AD665" s="299"/>
      <c r="AE665" s="299"/>
      <c r="AF665" s="299"/>
      <c r="AG665" s="299"/>
      <c r="AH665" s="299"/>
      <c r="AI665" s="299"/>
      <c r="AJ665" s="299"/>
      <c r="AK665" s="299"/>
    </row>
    <row r="666" spans="2:37" ht="13.2">
      <c r="B666" s="299"/>
      <c r="C666" s="299"/>
      <c r="D666" s="299"/>
      <c r="E666" s="299"/>
      <c r="F666" s="299"/>
      <c r="G666" s="299"/>
      <c r="H666" s="299"/>
      <c r="I666" s="299"/>
      <c r="J666" s="299"/>
      <c r="K666" s="299"/>
      <c r="L666" s="299"/>
      <c r="M666" s="299"/>
      <c r="N666" s="299"/>
      <c r="O666" s="299"/>
      <c r="P666" s="299"/>
      <c r="Q666" s="299"/>
      <c r="R666" s="299"/>
      <c r="S666" s="299"/>
      <c r="T666" s="299"/>
      <c r="U666" s="299"/>
      <c r="V666" s="299"/>
      <c r="W666" s="299"/>
      <c r="X666" s="299"/>
      <c r="Y666" s="299"/>
      <c r="Z666" s="299"/>
      <c r="AA666" s="299"/>
      <c r="AB666" s="299"/>
      <c r="AC666" s="299"/>
      <c r="AD666" s="299"/>
      <c r="AE666" s="299"/>
      <c r="AF666" s="299"/>
      <c r="AG666" s="299"/>
      <c r="AH666" s="299"/>
      <c r="AI666" s="299"/>
      <c r="AJ666" s="299"/>
      <c r="AK666" s="299"/>
    </row>
    <row r="667" spans="2:37" ht="13.2">
      <c r="B667" s="299"/>
      <c r="C667" s="299"/>
      <c r="D667" s="299"/>
      <c r="E667" s="299"/>
      <c r="F667" s="299"/>
      <c r="G667" s="299"/>
      <c r="H667" s="299"/>
      <c r="I667" s="299"/>
      <c r="J667" s="299"/>
      <c r="K667" s="299"/>
      <c r="L667" s="299"/>
      <c r="M667" s="299"/>
      <c r="N667" s="299"/>
      <c r="O667" s="299"/>
      <c r="P667" s="299"/>
      <c r="Q667" s="299"/>
      <c r="R667" s="299"/>
      <c r="S667" s="299"/>
      <c r="T667" s="299"/>
      <c r="U667" s="299"/>
      <c r="V667" s="299"/>
      <c r="W667" s="299"/>
      <c r="X667" s="299"/>
      <c r="Y667" s="299"/>
      <c r="Z667" s="299"/>
      <c r="AA667" s="299"/>
      <c r="AB667" s="299"/>
      <c r="AC667" s="299"/>
      <c r="AD667" s="299"/>
      <c r="AE667" s="299"/>
      <c r="AF667" s="299"/>
      <c r="AG667" s="299"/>
      <c r="AH667" s="299"/>
      <c r="AI667" s="299"/>
      <c r="AJ667" s="299"/>
      <c r="AK667" s="299"/>
    </row>
    <row r="668" spans="2:37" ht="13.2">
      <c r="B668" s="299"/>
      <c r="C668" s="299"/>
      <c r="D668" s="299"/>
      <c r="E668" s="299"/>
      <c r="F668" s="299"/>
      <c r="G668" s="299"/>
      <c r="H668" s="299"/>
      <c r="I668" s="299"/>
      <c r="J668" s="299"/>
      <c r="K668" s="299"/>
      <c r="L668" s="299"/>
      <c r="M668" s="299"/>
      <c r="N668" s="299"/>
      <c r="O668" s="299"/>
      <c r="P668" s="299"/>
      <c r="Q668" s="299"/>
      <c r="R668" s="299"/>
      <c r="S668" s="299"/>
      <c r="T668" s="299"/>
      <c r="U668" s="299"/>
      <c r="V668" s="299"/>
      <c r="W668" s="299"/>
      <c r="X668" s="299"/>
      <c r="Y668" s="299"/>
      <c r="Z668" s="299"/>
      <c r="AA668" s="299"/>
      <c r="AB668" s="299"/>
      <c r="AC668" s="299"/>
      <c r="AD668" s="299"/>
      <c r="AE668" s="299"/>
      <c r="AF668" s="299"/>
      <c r="AG668" s="299"/>
      <c r="AH668" s="299"/>
      <c r="AI668" s="299"/>
      <c r="AJ668" s="299"/>
      <c r="AK668" s="299"/>
    </row>
    <row r="669" spans="2:37" ht="13.2">
      <c r="B669" s="299"/>
      <c r="C669" s="299"/>
      <c r="D669" s="299"/>
      <c r="E669" s="299"/>
      <c r="F669" s="299"/>
      <c r="G669" s="299"/>
      <c r="H669" s="299"/>
      <c r="I669" s="299"/>
      <c r="J669" s="299"/>
      <c r="K669" s="299"/>
      <c r="L669" s="299"/>
      <c r="M669" s="299"/>
      <c r="N669" s="299"/>
      <c r="O669" s="299"/>
      <c r="P669" s="299"/>
      <c r="Q669" s="299"/>
      <c r="R669" s="299"/>
      <c r="S669" s="299"/>
      <c r="T669" s="299"/>
      <c r="U669" s="299"/>
      <c r="V669" s="299"/>
      <c r="W669" s="299"/>
      <c r="X669" s="299"/>
      <c r="Y669" s="299"/>
      <c r="Z669" s="299"/>
      <c r="AA669" s="299"/>
      <c r="AB669" s="299"/>
      <c r="AC669" s="299"/>
      <c r="AD669" s="299"/>
      <c r="AE669" s="299"/>
      <c r="AF669" s="299"/>
      <c r="AG669" s="299"/>
      <c r="AH669" s="299"/>
      <c r="AI669" s="299"/>
      <c r="AJ669" s="299"/>
      <c r="AK669" s="299"/>
    </row>
    <row r="670" spans="2:37" ht="13.2">
      <c r="B670" s="299"/>
      <c r="C670" s="299"/>
      <c r="D670" s="299"/>
      <c r="E670" s="299"/>
      <c r="F670" s="299"/>
      <c r="G670" s="299"/>
      <c r="H670" s="299"/>
      <c r="I670" s="299"/>
      <c r="J670" s="299"/>
      <c r="K670" s="299"/>
      <c r="L670" s="299"/>
      <c r="M670" s="299"/>
      <c r="N670" s="299"/>
      <c r="O670" s="299"/>
      <c r="P670" s="299"/>
      <c r="Q670" s="299"/>
      <c r="R670" s="299"/>
      <c r="S670" s="299"/>
      <c r="T670" s="299"/>
      <c r="U670" s="299"/>
      <c r="V670" s="299"/>
      <c r="W670" s="299"/>
      <c r="X670" s="299"/>
      <c r="Y670" s="299"/>
      <c r="Z670" s="299"/>
      <c r="AA670" s="299"/>
      <c r="AB670" s="299"/>
      <c r="AC670" s="299"/>
      <c r="AD670" s="299"/>
      <c r="AE670" s="299"/>
      <c r="AF670" s="299"/>
      <c r="AG670" s="299"/>
      <c r="AH670" s="299"/>
      <c r="AI670" s="299"/>
      <c r="AJ670" s="299"/>
      <c r="AK670" s="299"/>
    </row>
    <row r="671" spans="2:37" ht="13.2">
      <c r="B671" s="299"/>
      <c r="C671" s="299"/>
      <c r="D671" s="299"/>
      <c r="E671" s="299"/>
      <c r="F671" s="299"/>
      <c r="G671" s="299"/>
      <c r="H671" s="299"/>
      <c r="I671" s="299"/>
      <c r="J671" s="299"/>
      <c r="K671" s="299"/>
      <c r="L671" s="299"/>
      <c r="M671" s="299"/>
      <c r="N671" s="299"/>
      <c r="O671" s="299"/>
      <c r="P671" s="299"/>
      <c r="Q671" s="299"/>
      <c r="R671" s="299"/>
      <c r="S671" s="299"/>
      <c r="T671" s="299"/>
      <c r="U671" s="299"/>
      <c r="V671" s="299"/>
      <c r="W671" s="299"/>
      <c r="X671" s="299"/>
      <c r="Y671" s="299"/>
      <c r="Z671" s="299"/>
      <c r="AA671" s="299"/>
      <c r="AB671" s="299"/>
      <c r="AC671" s="299"/>
      <c r="AD671" s="299"/>
      <c r="AE671" s="299"/>
      <c r="AF671" s="299"/>
      <c r="AG671" s="299"/>
      <c r="AH671" s="299"/>
      <c r="AI671" s="299"/>
      <c r="AJ671" s="299"/>
      <c r="AK671" s="299"/>
    </row>
    <row r="672" spans="2:37" ht="13.2">
      <c r="B672" s="299"/>
      <c r="C672" s="299"/>
      <c r="D672" s="299"/>
      <c r="E672" s="299"/>
      <c r="F672" s="299"/>
      <c r="G672" s="299"/>
      <c r="H672" s="299"/>
      <c r="I672" s="299"/>
      <c r="J672" s="299"/>
      <c r="K672" s="299"/>
      <c r="L672" s="299"/>
      <c r="M672" s="299"/>
      <c r="N672" s="299"/>
      <c r="O672" s="299"/>
      <c r="P672" s="299"/>
      <c r="Q672" s="299"/>
      <c r="R672" s="299"/>
      <c r="S672" s="299"/>
      <c r="T672" s="299"/>
      <c r="U672" s="299"/>
      <c r="V672" s="299"/>
      <c r="W672" s="299"/>
      <c r="X672" s="299"/>
      <c r="Y672" s="299"/>
      <c r="Z672" s="299"/>
      <c r="AA672" s="299"/>
      <c r="AB672" s="299"/>
      <c r="AC672" s="299"/>
      <c r="AD672" s="299"/>
      <c r="AE672" s="299"/>
      <c r="AF672" s="299"/>
      <c r="AG672" s="299"/>
      <c r="AH672" s="299"/>
      <c r="AI672" s="299"/>
      <c r="AJ672" s="299"/>
      <c r="AK672" s="299"/>
    </row>
    <row r="673" spans="2:37" ht="13.2">
      <c r="B673" s="299"/>
      <c r="C673" s="299"/>
      <c r="D673" s="299"/>
      <c r="E673" s="299"/>
      <c r="F673" s="299"/>
      <c r="G673" s="299"/>
      <c r="H673" s="299"/>
      <c r="I673" s="299"/>
      <c r="J673" s="299"/>
      <c r="K673" s="299"/>
      <c r="L673" s="299"/>
      <c r="M673" s="299"/>
      <c r="N673" s="299"/>
      <c r="O673" s="299"/>
      <c r="P673" s="299"/>
      <c r="Q673" s="299"/>
      <c r="R673" s="299"/>
      <c r="S673" s="299"/>
      <c r="T673" s="299"/>
      <c r="U673" s="299"/>
      <c r="V673" s="299"/>
      <c r="W673" s="299"/>
      <c r="X673" s="299"/>
      <c r="Y673" s="299"/>
      <c r="Z673" s="299"/>
      <c r="AA673" s="299"/>
      <c r="AB673" s="299"/>
      <c r="AC673" s="299"/>
      <c r="AD673" s="299"/>
      <c r="AE673" s="299"/>
      <c r="AF673" s="299"/>
      <c r="AG673" s="299"/>
      <c r="AH673" s="299"/>
      <c r="AI673" s="299"/>
      <c r="AJ673" s="299"/>
      <c r="AK673" s="299"/>
    </row>
    <row r="674" spans="2:37" ht="13.2">
      <c r="B674" s="299"/>
      <c r="C674" s="299"/>
      <c r="D674" s="299"/>
      <c r="E674" s="299"/>
      <c r="F674" s="299"/>
      <c r="G674" s="299"/>
      <c r="H674" s="299"/>
      <c r="I674" s="299"/>
      <c r="J674" s="299"/>
      <c r="K674" s="299"/>
      <c r="L674" s="299"/>
      <c r="M674" s="299"/>
      <c r="N674" s="299"/>
      <c r="O674" s="299"/>
      <c r="P674" s="299"/>
      <c r="Q674" s="299"/>
      <c r="R674" s="299"/>
      <c r="S674" s="299"/>
      <c r="T674" s="299"/>
      <c r="U674" s="299"/>
      <c r="V674" s="299"/>
      <c r="W674" s="299"/>
      <c r="X674" s="299"/>
      <c r="Y674" s="299"/>
      <c r="Z674" s="299"/>
      <c r="AA674" s="299"/>
      <c r="AB674" s="299"/>
      <c r="AC674" s="299"/>
      <c r="AD674" s="299"/>
      <c r="AE674" s="299"/>
      <c r="AF674" s="299"/>
      <c r="AG674" s="299"/>
      <c r="AH674" s="299"/>
      <c r="AI674" s="299"/>
      <c r="AJ674" s="299"/>
      <c r="AK674" s="299"/>
    </row>
    <row r="675" spans="2:37" ht="13.2">
      <c r="B675" s="299"/>
      <c r="C675" s="299"/>
      <c r="D675" s="299"/>
      <c r="E675" s="299"/>
      <c r="F675" s="299"/>
      <c r="G675" s="299"/>
      <c r="H675" s="299"/>
      <c r="I675" s="299"/>
      <c r="J675" s="299"/>
      <c r="K675" s="299"/>
      <c r="L675" s="299"/>
      <c r="M675" s="299"/>
      <c r="N675" s="299"/>
      <c r="O675" s="299"/>
      <c r="P675" s="299"/>
      <c r="Q675" s="299"/>
      <c r="R675" s="299"/>
      <c r="S675" s="299"/>
      <c r="T675" s="299"/>
      <c r="U675" s="299"/>
      <c r="V675" s="299"/>
      <c r="W675" s="299"/>
      <c r="X675" s="299"/>
      <c r="Y675" s="299"/>
      <c r="Z675" s="299"/>
      <c r="AA675" s="299"/>
      <c r="AB675" s="299"/>
      <c r="AC675" s="299"/>
      <c r="AD675" s="299"/>
      <c r="AE675" s="299"/>
      <c r="AF675" s="299"/>
      <c r="AG675" s="299"/>
      <c r="AH675" s="299"/>
      <c r="AI675" s="299"/>
      <c r="AJ675" s="299"/>
      <c r="AK675" s="299"/>
    </row>
    <row r="676" spans="2:37" ht="13.2">
      <c r="B676" s="299"/>
      <c r="C676" s="299"/>
      <c r="D676" s="299"/>
      <c r="E676" s="299"/>
      <c r="F676" s="299"/>
      <c r="G676" s="299"/>
      <c r="H676" s="299"/>
      <c r="I676" s="299"/>
      <c r="J676" s="299"/>
      <c r="K676" s="299"/>
      <c r="L676" s="299"/>
      <c r="M676" s="299"/>
      <c r="N676" s="299"/>
      <c r="O676" s="299"/>
      <c r="P676" s="299"/>
      <c r="Q676" s="299"/>
      <c r="R676" s="299"/>
      <c r="S676" s="299"/>
      <c r="T676" s="299"/>
      <c r="U676" s="299"/>
      <c r="V676" s="299"/>
      <c r="W676" s="299"/>
      <c r="X676" s="299"/>
      <c r="Y676" s="299"/>
      <c r="Z676" s="299"/>
      <c r="AA676" s="299"/>
      <c r="AB676" s="299"/>
      <c r="AC676" s="299"/>
      <c r="AD676" s="299"/>
      <c r="AE676" s="299"/>
      <c r="AF676" s="299"/>
      <c r="AG676" s="299"/>
      <c r="AH676" s="299"/>
      <c r="AI676" s="299"/>
      <c r="AJ676" s="299"/>
      <c r="AK676" s="299"/>
    </row>
    <row r="677" spans="2:37" ht="13.2">
      <c r="B677" s="299"/>
      <c r="C677" s="299"/>
      <c r="D677" s="299"/>
      <c r="E677" s="299"/>
      <c r="F677" s="299"/>
      <c r="G677" s="299"/>
      <c r="H677" s="299"/>
      <c r="I677" s="299"/>
      <c r="J677" s="299"/>
      <c r="K677" s="299"/>
      <c r="L677" s="299"/>
      <c r="M677" s="299"/>
      <c r="N677" s="299"/>
      <c r="O677" s="299"/>
      <c r="P677" s="299"/>
      <c r="Q677" s="299"/>
      <c r="R677" s="299"/>
      <c r="S677" s="299"/>
      <c r="T677" s="299"/>
      <c r="U677" s="299"/>
      <c r="V677" s="299"/>
      <c r="W677" s="299"/>
      <c r="X677" s="299"/>
      <c r="Y677" s="299"/>
      <c r="Z677" s="299"/>
      <c r="AA677" s="299"/>
      <c r="AB677" s="299"/>
      <c r="AC677" s="299"/>
      <c r="AD677" s="299"/>
      <c r="AE677" s="299"/>
      <c r="AF677" s="299"/>
      <c r="AG677" s="299"/>
      <c r="AH677" s="299"/>
      <c r="AI677" s="299"/>
      <c r="AJ677" s="299"/>
      <c r="AK677" s="299"/>
    </row>
    <row r="678" spans="2:37" ht="13.2">
      <c r="B678" s="299"/>
      <c r="C678" s="299"/>
      <c r="D678" s="299"/>
      <c r="E678" s="299"/>
      <c r="F678" s="299"/>
      <c r="G678" s="299"/>
      <c r="H678" s="299"/>
      <c r="I678" s="299"/>
      <c r="J678" s="299"/>
      <c r="K678" s="299"/>
      <c r="L678" s="299"/>
      <c r="M678" s="299"/>
      <c r="N678" s="299"/>
      <c r="O678" s="299"/>
      <c r="P678" s="299"/>
      <c r="Q678" s="299"/>
      <c r="R678" s="299"/>
      <c r="S678" s="299"/>
      <c r="T678" s="299"/>
      <c r="U678" s="299"/>
      <c r="V678" s="299"/>
      <c r="W678" s="299"/>
      <c r="X678" s="299"/>
      <c r="Y678" s="299"/>
      <c r="Z678" s="299"/>
      <c r="AA678" s="299"/>
      <c r="AB678" s="299"/>
      <c r="AC678" s="299"/>
      <c r="AD678" s="299"/>
      <c r="AE678" s="299"/>
      <c r="AF678" s="299"/>
      <c r="AG678" s="299"/>
      <c r="AH678" s="299"/>
      <c r="AI678" s="299"/>
      <c r="AJ678" s="299"/>
      <c r="AK678" s="299"/>
    </row>
    <row r="679" spans="2:37" ht="13.2">
      <c r="B679" s="299"/>
      <c r="C679" s="299"/>
      <c r="D679" s="299"/>
      <c r="E679" s="299"/>
      <c r="F679" s="299"/>
      <c r="G679" s="299"/>
      <c r="H679" s="299"/>
      <c r="I679" s="299"/>
      <c r="J679" s="299"/>
      <c r="K679" s="299"/>
      <c r="L679" s="299"/>
      <c r="M679" s="299"/>
      <c r="N679" s="299"/>
      <c r="O679" s="299"/>
      <c r="P679" s="299"/>
      <c r="Q679" s="299"/>
      <c r="R679" s="299"/>
      <c r="S679" s="299"/>
      <c r="T679" s="299"/>
      <c r="U679" s="299"/>
      <c r="V679" s="299"/>
      <c r="W679" s="299"/>
      <c r="X679" s="299"/>
      <c r="Y679" s="299"/>
      <c r="Z679" s="299"/>
      <c r="AA679" s="299"/>
      <c r="AB679" s="299"/>
      <c r="AC679" s="299"/>
      <c r="AD679" s="299"/>
      <c r="AE679" s="299"/>
      <c r="AF679" s="299"/>
      <c r="AG679" s="299"/>
      <c r="AH679" s="299"/>
      <c r="AI679" s="299"/>
      <c r="AJ679" s="299"/>
      <c r="AK679" s="299"/>
    </row>
    <row r="680" spans="2:37" ht="13.2">
      <c r="B680" s="299"/>
      <c r="C680" s="299"/>
      <c r="D680" s="299"/>
      <c r="E680" s="299"/>
      <c r="F680" s="299"/>
      <c r="G680" s="299"/>
      <c r="H680" s="299"/>
      <c r="I680" s="299"/>
      <c r="J680" s="299"/>
      <c r="K680" s="299"/>
      <c r="L680" s="299"/>
      <c r="M680" s="299"/>
      <c r="N680" s="299"/>
      <c r="O680" s="299"/>
      <c r="P680" s="299"/>
      <c r="Q680" s="299"/>
      <c r="R680" s="299"/>
      <c r="S680" s="299"/>
      <c r="T680" s="299"/>
      <c r="U680" s="299"/>
      <c r="V680" s="299"/>
      <c r="W680" s="299"/>
      <c r="X680" s="299"/>
      <c r="Y680" s="299"/>
      <c r="Z680" s="299"/>
      <c r="AA680" s="299"/>
      <c r="AB680" s="299"/>
      <c r="AC680" s="299"/>
      <c r="AD680" s="299"/>
      <c r="AE680" s="299"/>
      <c r="AF680" s="299"/>
      <c r="AG680" s="299"/>
      <c r="AH680" s="299"/>
      <c r="AI680" s="299"/>
      <c r="AJ680" s="299"/>
      <c r="AK680" s="299"/>
    </row>
    <row r="681" spans="2:37" ht="13.2">
      <c r="B681" s="299"/>
      <c r="C681" s="299"/>
      <c r="D681" s="299"/>
      <c r="E681" s="299"/>
      <c r="F681" s="299"/>
      <c r="G681" s="299"/>
      <c r="H681" s="299"/>
      <c r="I681" s="299"/>
      <c r="J681" s="299"/>
      <c r="K681" s="299"/>
      <c r="L681" s="299"/>
      <c r="M681" s="299"/>
      <c r="N681" s="299"/>
      <c r="O681" s="299"/>
      <c r="P681" s="299"/>
      <c r="Q681" s="299"/>
      <c r="R681" s="299"/>
      <c r="S681" s="299"/>
      <c r="T681" s="299"/>
      <c r="U681" s="299"/>
      <c r="V681" s="299"/>
      <c r="W681" s="299"/>
      <c r="X681" s="299"/>
      <c r="Y681" s="299"/>
      <c r="Z681" s="299"/>
      <c r="AA681" s="299"/>
      <c r="AB681" s="299"/>
      <c r="AC681" s="299"/>
      <c r="AD681" s="299"/>
      <c r="AE681" s="299"/>
      <c r="AF681" s="299"/>
      <c r="AG681" s="299"/>
      <c r="AH681" s="299"/>
      <c r="AI681" s="299"/>
      <c r="AJ681" s="299"/>
      <c r="AK681" s="299"/>
    </row>
    <row r="682" spans="2:37" ht="13.2">
      <c r="B682" s="299"/>
      <c r="C682" s="299"/>
      <c r="D682" s="299"/>
      <c r="E682" s="299"/>
      <c r="F682" s="299"/>
      <c r="G682" s="299"/>
      <c r="H682" s="299"/>
      <c r="I682" s="299"/>
      <c r="J682" s="299"/>
      <c r="K682" s="299"/>
      <c r="L682" s="299"/>
      <c r="M682" s="299"/>
      <c r="N682" s="299"/>
      <c r="O682" s="299"/>
      <c r="P682" s="299"/>
      <c r="Q682" s="299"/>
      <c r="R682" s="299"/>
      <c r="S682" s="299"/>
      <c r="T682" s="299"/>
      <c r="U682" s="299"/>
      <c r="V682" s="299"/>
      <c r="W682" s="299"/>
      <c r="X682" s="299"/>
      <c r="Y682" s="299"/>
      <c r="Z682" s="299"/>
      <c r="AA682" s="299"/>
      <c r="AB682" s="299"/>
      <c r="AC682" s="299"/>
      <c r="AD682" s="299"/>
      <c r="AE682" s="299"/>
      <c r="AF682" s="299"/>
      <c r="AG682" s="299"/>
      <c r="AH682" s="299"/>
      <c r="AI682" s="299"/>
      <c r="AJ682" s="299"/>
      <c r="AK682" s="299"/>
    </row>
    <row r="683" spans="2:37" ht="13.2">
      <c r="B683" s="299"/>
      <c r="C683" s="299"/>
      <c r="D683" s="299"/>
      <c r="E683" s="299"/>
      <c r="F683" s="299"/>
      <c r="G683" s="299"/>
      <c r="H683" s="299"/>
      <c r="I683" s="299"/>
      <c r="J683" s="299"/>
      <c r="K683" s="299"/>
      <c r="L683" s="299"/>
      <c r="M683" s="299"/>
      <c r="N683" s="299"/>
      <c r="O683" s="299"/>
      <c r="P683" s="299"/>
      <c r="Q683" s="299"/>
      <c r="R683" s="299"/>
      <c r="S683" s="299"/>
      <c r="T683" s="299"/>
      <c r="U683" s="299"/>
      <c r="V683" s="299"/>
      <c r="W683" s="299"/>
      <c r="X683" s="299"/>
      <c r="Y683" s="299"/>
      <c r="Z683" s="299"/>
      <c r="AA683" s="299"/>
      <c r="AB683" s="299"/>
      <c r="AC683" s="299"/>
      <c r="AD683" s="299"/>
      <c r="AE683" s="299"/>
      <c r="AF683" s="299"/>
      <c r="AG683" s="299"/>
      <c r="AH683" s="299"/>
      <c r="AI683" s="299"/>
      <c r="AJ683" s="299"/>
      <c r="AK683" s="299"/>
    </row>
    <row r="684" spans="2:37" ht="13.2">
      <c r="B684" s="299"/>
      <c r="C684" s="299"/>
      <c r="D684" s="299"/>
      <c r="E684" s="299"/>
      <c r="F684" s="299"/>
      <c r="G684" s="299"/>
      <c r="H684" s="299"/>
      <c r="I684" s="299"/>
      <c r="J684" s="299"/>
      <c r="K684" s="299"/>
      <c r="L684" s="299"/>
      <c r="M684" s="299"/>
      <c r="N684" s="299"/>
      <c r="O684" s="299"/>
      <c r="P684" s="299"/>
      <c r="Q684" s="299"/>
      <c r="R684" s="299"/>
      <c r="S684" s="299"/>
      <c r="T684" s="299"/>
      <c r="U684" s="299"/>
      <c r="V684" s="299"/>
      <c r="W684" s="299"/>
      <c r="X684" s="299"/>
      <c r="Y684" s="299"/>
      <c r="Z684" s="299"/>
      <c r="AA684" s="299"/>
      <c r="AB684" s="299"/>
      <c r="AC684" s="299"/>
      <c r="AD684" s="299"/>
      <c r="AE684" s="299"/>
      <c r="AF684" s="299"/>
      <c r="AG684" s="299"/>
      <c r="AH684" s="299"/>
      <c r="AI684" s="299"/>
      <c r="AJ684" s="299"/>
      <c r="AK684" s="299"/>
    </row>
    <row r="685" spans="2:37" ht="13.2">
      <c r="B685" s="299"/>
      <c r="C685" s="299"/>
      <c r="D685" s="299"/>
      <c r="E685" s="299"/>
      <c r="F685" s="299"/>
      <c r="G685" s="299"/>
      <c r="H685" s="299"/>
      <c r="I685" s="299"/>
      <c r="J685" s="299"/>
      <c r="K685" s="299"/>
      <c r="L685" s="299"/>
      <c r="M685" s="299"/>
      <c r="N685" s="299"/>
      <c r="O685" s="299"/>
      <c r="P685" s="299"/>
      <c r="Q685" s="299"/>
      <c r="R685" s="299"/>
      <c r="S685" s="299"/>
      <c r="T685" s="299"/>
      <c r="U685" s="299"/>
      <c r="V685" s="299"/>
      <c r="W685" s="299"/>
      <c r="X685" s="299"/>
      <c r="Y685" s="299"/>
      <c r="Z685" s="299"/>
      <c r="AA685" s="299"/>
      <c r="AB685" s="299"/>
      <c r="AC685" s="299"/>
      <c r="AD685" s="299"/>
      <c r="AE685" s="299"/>
      <c r="AF685" s="299"/>
      <c r="AG685" s="299"/>
      <c r="AH685" s="299"/>
      <c r="AI685" s="299"/>
      <c r="AJ685" s="299"/>
      <c r="AK685" s="299"/>
    </row>
    <row r="686" spans="2:37" ht="13.2">
      <c r="B686" s="299"/>
      <c r="C686" s="299"/>
      <c r="D686" s="299"/>
      <c r="E686" s="299"/>
      <c r="F686" s="299"/>
      <c r="G686" s="299"/>
      <c r="H686" s="299"/>
      <c r="I686" s="299"/>
      <c r="J686" s="299"/>
      <c r="K686" s="299"/>
      <c r="L686" s="299"/>
      <c r="M686" s="299"/>
      <c r="N686" s="299"/>
      <c r="O686" s="299"/>
      <c r="P686" s="299"/>
      <c r="Q686" s="299"/>
      <c r="R686" s="299"/>
      <c r="S686" s="299"/>
      <c r="T686" s="299"/>
      <c r="U686" s="299"/>
      <c r="V686" s="299"/>
      <c r="W686" s="299"/>
      <c r="X686" s="299"/>
      <c r="Y686" s="299"/>
      <c r="Z686" s="299"/>
      <c r="AA686" s="299"/>
      <c r="AB686" s="299"/>
      <c r="AC686" s="299"/>
      <c r="AD686" s="299"/>
      <c r="AE686" s="299"/>
      <c r="AF686" s="299"/>
      <c r="AG686" s="299"/>
      <c r="AH686" s="299"/>
      <c r="AI686" s="299"/>
      <c r="AJ686" s="299"/>
      <c r="AK686" s="299"/>
    </row>
    <row r="687" spans="2:37" ht="13.2">
      <c r="B687" s="299"/>
      <c r="C687" s="299"/>
      <c r="D687" s="299"/>
      <c r="E687" s="299"/>
      <c r="F687" s="299"/>
      <c r="G687" s="299"/>
      <c r="H687" s="299"/>
      <c r="I687" s="299"/>
      <c r="J687" s="299"/>
      <c r="K687" s="299"/>
      <c r="L687" s="299"/>
      <c r="M687" s="299"/>
      <c r="N687" s="299"/>
      <c r="O687" s="299"/>
      <c r="P687" s="299"/>
      <c r="Q687" s="299"/>
      <c r="R687" s="299"/>
      <c r="S687" s="299"/>
      <c r="T687" s="299"/>
      <c r="U687" s="299"/>
      <c r="V687" s="299"/>
      <c r="W687" s="299"/>
      <c r="X687" s="299"/>
      <c r="Y687" s="299"/>
      <c r="Z687" s="299"/>
      <c r="AA687" s="299"/>
      <c r="AB687" s="299"/>
      <c r="AC687" s="299"/>
      <c r="AD687" s="299"/>
      <c r="AE687" s="299"/>
      <c r="AF687" s="299"/>
      <c r="AG687" s="299"/>
      <c r="AH687" s="299"/>
      <c r="AI687" s="299"/>
      <c r="AJ687" s="299"/>
      <c r="AK687" s="299"/>
    </row>
    <row r="688" spans="2:37" ht="13.2">
      <c r="B688" s="299"/>
      <c r="C688" s="299"/>
      <c r="D688" s="299"/>
      <c r="E688" s="299"/>
      <c r="F688" s="299"/>
      <c r="G688" s="299"/>
      <c r="H688" s="299"/>
      <c r="I688" s="299"/>
      <c r="J688" s="299"/>
      <c r="K688" s="299"/>
      <c r="L688" s="299"/>
      <c r="M688" s="299"/>
      <c r="N688" s="299"/>
      <c r="O688" s="299"/>
      <c r="P688" s="299"/>
      <c r="Q688" s="299"/>
      <c r="R688" s="299"/>
      <c r="S688" s="299"/>
      <c r="T688" s="299"/>
      <c r="U688" s="299"/>
      <c r="V688" s="299"/>
      <c r="W688" s="299"/>
      <c r="X688" s="299"/>
      <c r="Y688" s="299"/>
      <c r="Z688" s="299"/>
      <c r="AA688" s="299"/>
      <c r="AB688" s="299"/>
      <c r="AC688" s="299"/>
      <c r="AD688" s="299"/>
      <c r="AE688" s="299"/>
      <c r="AF688" s="299"/>
      <c r="AG688" s="299"/>
      <c r="AH688" s="299"/>
      <c r="AI688" s="299"/>
      <c r="AJ688" s="299"/>
      <c r="AK688" s="299"/>
    </row>
    <row r="689" spans="2:37" ht="13.2">
      <c r="B689" s="299"/>
      <c r="C689" s="299"/>
      <c r="D689" s="299"/>
      <c r="E689" s="299"/>
      <c r="F689" s="299"/>
      <c r="G689" s="299"/>
      <c r="H689" s="299"/>
      <c r="I689" s="299"/>
      <c r="J689" s="299"/>
      <c r="K689" s="299"/>
      <c r="L689" s="299"/>
      <c r="M689" s="299"/>
      <c r="N689" s="299"/>
      <c r="O689" s="299"/>
      <c r="P689" s="299"/>
      <c r="Q689" s="299"/>
      <c r="R689" s="299"/>
      <c r="S689" s="299"/>
      <c r="T689" s="299"/>
      <c r="U689" s="299"/>
      <c r="V689" s="299"/>
      <c r="W689" s="299"/>
      <c r="X689" s="299"/>
      <c r="Y689" s="299"/>
      <c r="Z689" s="299"/>
      <c r="AA689" s="299"/>
      <c r="AB689" s="299"/>
      <c r="AC689" s="299"/>
      <c r="AD689" s="299"/>
      <c r="AE689" s="299"/>
      <c r="AF689" s="299"/>
      <c r="AG689" s="299"/>
      <c r="AH689" s="299"/>
      <c r="AI689" s="299"/>
      <c r="AJ689" s="299"/>
      <c r="AK689" s="299"/>
    </row>
    <row r="690" spans="2:37" ht="13.2">
      <c r="B690" s="299"/>
      <c r="C690" s="299"/>
      <c r="D690" s="299"/>
      <c r="E690" s="299"/>
      <c r="F690" s="299"/>
      <c r="G690" s="299"/>
      <c r="H690" s="299"/>
      <c r="I690" s="299"/>
      <c r="J690" s="299"/>
      <c r="K690" s="299"/>
      <c r="L690" s="299"/>
      <c r="M690" s="299"/>
      <c r="N690" s="299"/>
      <c r="O690" s="299"/>
      <c r="P690" s="299"/>
      <c r="Q690" s="299"/>
      <c r="R690" s="299"/>
      <c r="S690" s="299"/>
      <c r="T690" s="299"/>
      <c r="U690" s="299"/>
      <c r="V690" s="299"/>
      <c r="W690" s="299"/>
      <c r="X690" s="299"/>
      <c r="Y690" s="299"/>
      <c r="Z690" s="299"/>
      <c r="AA690" s="299"/>
      <c r="AB690" s="299"/>
      <c r="AC690" s="299"/>
      <c r="AD690" s="299"/>
      <c r="AE690" s="299"/>
      <c r="AF690" s="299"/>
      <c r="AG690" s="299"/>
      <c r="AH690" s="299"/>
      <c r="AI690" s="299"/>
      <c r="AJ690" s="299"/>
      <c r="AK690" s="299"/>
    </row>
    <row r="691" spans="2:37" ht="13.2">
      <c r="B691" s="299"/>
      <c r="C691" s="299"/>
      <c r="D691" s="299"/>
      <c r="E691" s="299"/>
      <c r="F691" s="299"/>
      <c r="G691" s="299"/>
      <c r="H691" s="299"/>
      <c r="I691" s="299"/>
      <c r="J691" s="299"/>
      <c r="K691" s="299"/>
      <c r="L691" s="299"/>
      <c r="M691" s="299"/>
      <c r="N691" s="299"/>
      <c r="O691" s="299"/>
      <c r="P691" s="299"/>
      <c r="Q691" s="299"/>
      <c r="R691" s="299"/>
      <c r="S691" s="299"/>
      <c r="T691" s="299"/>
      <c r="U691" s="299"/>
      <c r="V691" s="299"/>
      <c r="W691" s="299"/>
      <c r="X691" s="299"/>
      <c r="Y691" s="299"/>
      <c r="Z691" s="299"/>
      <c r="AA691" s="299"/>
      <c r="AB691" s="299"/>
      <c r="AC691" s="299"/>
      <c r="AD691" s="299"/>
      <c r="AE691" s="299"/>
      <c r="AF691" s="299"/>
      <c r="AG691" s="299"/>
      <c r="AH691" s="299"/>
      <c r="AI691" s="299"/>
      <c r="AJ691" s="299"/>
      <c r="AK691" s="299"/>
    </row>
    <row r="692" spans="2:37" ht="13.2">
      <c r="B692" s="299"/>
      <c r="C692" s="299"/>
      <c r="D692" s="299"/>
      <c r="E692" s="299"/>
      <c r="F692" s="299"/>
      <c r="G692" s="299"/>
      <c r="H692" s="299"/>
      <c r="I692" s="299"/>
      <c r="J692" s="299"/>
      <c r="K692" s="299"/>
      <c r="L692" s="299"/>
      <c r="M692" s="299"/>
      <c r="N692" s="299"/>
      <c r="O692" s="299"/>
      <c r="P692" s="299"/>
      <c r="Q692" s="299"/>
      <c r="R692" s="299"/>
      <c r="S692" s="299"/>
      <c r="T692" s="299"/>
      <c r="U692" s="299"/>
      <c r="V692" s="299"/>
      <c r="W692" s="299"/>
      <c r="X692" s="299"/>
      <c r="Y692" s="299"/>
      <c r="Z692" s="299"/>
      <c r="AA692" s="299"/>
      <c r="AB692" s="299"/>
      <c r="AC692" s="299"/>
      <c r="AD692" s="299"/>
      <c r="AE692" s="299"/>
      <c r="AF692" s="299"/>
      <c r="AG692" s="299"/>
      <c r="AH692" s="299"/>
      <c r="AI692" s="299"/>
      <c r="AJ692" s="299"/>
      <c r="AK692" s="299"/>
    </row>
    <row r="693" spans="2:37" ht="13.2">
      <c r="B693" s="299"/>
      <c r="C693" s="299"/>
      <c r="D693" s="299"/>
      <c r="E693" s="299"/>
      <c r="F693" s="299"/>
      <c r="G693" s="299"/>
      <c r="H693" s="299"/>
      <c r="I693" s="299"/>
      <c r="J693" s="299"/>
      <c r="K693" s="299"/>
      <c r="L693" s="299"/>
      <c r="M693" s="299"/>
      <c r="N693" s="299"/>
      <c r="O693" s="299"/>
      <c r="P693" s="299"/>
      <c r="Q693" s="299"/>
      <c r="R693" s="299"/>
      <c r="S693" s="299"/>
      <c r="T693" s="299"/>
      <c r="U693" s="299"/>
      <c r="V693" s="299"/>
      <c r="W693" s="299"/>
      <c r="X693" s="299"/>
      <c r="Y693" s="299"/>
      <c r="Z693" s="299"/>
      <c r="AA693" s="299"/>
      <c r="AB693" s="299"/>
      <c r="AC693" s="299"/>
      <c r="AD693" s="299"/>
      <c r="AE693" s="299"/>
      <c r="AF693" s="299"/>
      <c r="AG693" s="299"/>
      <c r="AH693" s="299"/>
      <c r="AI693" s="299"/>
      <c r="AJ693" s="299"/>
      <c r="AK693" s="299"/>
    </row>
    <row r="694" spans="2:37" ht="13.2">
      <c r="B694" s="299"/>
      <c r="C694" s="299"/>
      <c r="D694" s="299"/>
      <c r="E694" s="299"/>
      <c r="F694" s="299"/>
      <c r="G694" s="299"/>
      <c r="H694" s="299"/>
      <c r="I694" s="299"/>
      <c r="J694" s="299"/>
      <c r="K694" s="299"/>
      <c r="L694" s="299"/>
      <c r="M694" s="299"/>
      <c r="N694" s="299"/>
      <c r="O694" s="299"/>
      <c r="P694" s="299"/>
      <c r="Q694" s="299"/>
      <c r="R694" s="299"/>
      <c r="S694" s="299"/>
      <c r="T694" s="299"/>
      <c r="U694" s="299"/>
      <c r="V694" s="299"/>
      <c r="W694" s="299"/>
      <c r="X694" s="299"/>
      <c r="Y694" s="299"/>
      <c r="Z694" s="299"/>
      <c r="AA694" s="299"/>
      <c r="AB694" s="299"/>
      <c r="AC694" s="299"/>
      <c r="AD694" s="299"/>
      <c r="AE694" s="299"/>
      <c r="AF694" s="299"/>
      <c r="AG694" s="299"/>
      <c r="AH694" s="299"/>
      <c r="AI694" s="299"/>
      <c r="AJ694" s="299"/>
      <c r="AK694" s="299"/>
    </row>
    <row r="695" spans="2:37" ht="13.2">
      <c r="B695" s="299"/>
      <c r="C695" s="299"/>
      <c r="D695" s="299"/>
      <c r="E695" s="299"/>
      <c r="F695" s="299"/>
      <c r="G695" s="299"/>
      <c r="H695" s="299"/>
      <c r="I695" s="299"/>
      <c r="J695" s="299"/>
      <c r="K695" s="299"/>
      <c r="L695" s="299"/>
      <c r="M695" s="299"/>
      <c r="N695" s="299"/>
      <c r="O695" s="299"/>
      <c r="P695" s="299"/>
      <c r="Q695" s="299"/>
      <c r="R695" s="299"/>
      <c r="S695" s="299"/>
      <c r="T695" s="299"/>
      <c r="U695" s="299"/>
      <c r="V695" s="299"/>
      <c r="W695" s="299"/>
      <c r="X695" s="299"/>
      <c r="Y695" s="299"/>
      <c r="Z695" s="299"/>
      <c r="AA695" s="299"/>
      <c r="AB695" s="299"/>
      <c r="AC695" s="299"/>
      <c r="AD695" s="299"/>
      <c r="AE695" s="299"/>
      <c r="AF695" s="299"/>
      <c r="AG695" s="299"/>
      <c r="AH695" s="299"/>
      <c r="AI695" s="299"/>
      <c r="AJ695" s="299"/>
      <c r="AK695" s="299"/>
    </row>
    <row r="696" spans="2:37" ht="13.2">
      <c r="B696" s="299"/>
      <c r="C696" s="299"/>
      <c r="D696" s="299"/>
      <c r="E696" s="299"/>
      <c r="F696" s="299"/>
      <c r="G696" s="299"/>
      <c r="H696" s="299"/>
      <c r="I696" s="299"/>
      <c r="J696" s="299"/>
      <c r="K696" s="299"/>
      <c r="L696" s="299"/>
      <c r="M696" s="299"/>
      <c r="N696" s="299"/>
      <c r="O696" s="299"/>
      <c r="P696" s="299"/>
      <c r="Q696" s="299"/>
      <c r="R696" s="299"/>
      <c r="S696" s="299"/>
      <c r="T696" s="299"/>
      <c r="U696" s="299"/>
      <c r="V696" s="299"/>
      <c r="W696" s="299"/>
      <c r="X696" s="299"/>
      <c r="Y696" s="299"/>
      <c r="Z696" s="299"/>
      <c r="AA696" s="299"/>
      <c r="AB696" s="299"/>
      <c r="AC696" s="299"/>
      <c r="AD696" s="299"/>
      <c r="AE696" s="299"/>
      <c r="AF696" s="299"/>
      <c r="AG696" s="299"/>
      <c r="AH696" s="299"/>
      <c r="AI696" s="299"/>
      <c r="AJ696" s="299"/>
      <c r="AK696" s="299"/>
    </row>
    <row r="697" spans="2:37" ht="13.2">
      <c r="B697" s="299"/>
      <c r="C697" s="299"/>
      <c r="D697" s="299"/>
      <c r="E697" s="299"/>
      <c r="F697" s="299"/>
      <c r="G697" s="299"/>
      <c r="H697" s="299"/>
      <c r="I697" s="299"/>
      <c r="J697" s="299"/>
      <c r="K697" s="299"/>
      <c r="L697" s="299"/>
      <c r="M697" s="299"/>
      <c r="N697" s="299"/>
      <c r="O697" s="299"/>
      <c r="P697" s="299"/>
      <c r="Q697" s="299"/>
      <c r="R697" s="299"/>
      <c r="S697" s="299"/>
      <c r="T697" s="299"/>
      <c r="U697" s="299"/>
      <c r="V697" s="299"/>
      <c r="W697" s="299"/>
      <c r="X697" s="299"/>
      <c r="Y697" s="299"/>
      <c r="Z697" s="299"/>
      <c r="AA697" s="299"/>
      <c r="AB697" s="299"/>
      <c r="AC697" s="299"/>
      <c r="AD697" s="299"/>
      <c r="AE697" s="299"/>
      <c r="AF697" s="299"/>
      <c r="AG697" s="299"/>
      <c r="AH697" s="299"/>
      <c r="AI697" s="299"/>
      <c r="AJ697" s="299"/>
      <c r="AK697" s="299"/>
    </row>
    <row r="698" spans="2:37" ht="13.2">
      <c r="B698" s="299"/>
      <c r="C698" s="299"/>
      <c r="D698" s="299"/>
      <c r="E698" s="299"/>
      <c r="F698" s="299"/>
      <c r="G698" s="299"/>
      <c r="H698" s="299"/>
      <c r="I698" s="299"/>
      <c r="J698" s="299"/>
      <c r="K698" s="299"/>
      <c r="L698" s="299"/>
      <c r="M698" s="299"/>
      <c r="N698" s="299"/>
      <c r="O698" s="299"/>
      <c r="P698" s="299"/>
      <c r="Q698" s="299"/>
      <c r="R698" s="299"/>
      <c r="S698" s="299"/>
      <c r="T698" s="299"/>
      <c r="U698" s="299"/>
      <c r="V698" s="299"/>
      <c r="W698" s="299"/>
      <c r="X698" s="299"/>
      <c r="Y698" s="299"/>
      <c r="Z698" s="299"/>
      <c r="AA698" s="299"/>
      <c r="AB698" s="299"/>
      <c r="AC698" s="299"/>
      <c r="AD698" s="299"/>
      <c r="AE698" s="299"/>
      <c r="AF698" s="299"/>
      <c r="AG698" s="299"/>
      <c r="AH698" s="299"/>
      <c r="AI698" s="299"/>
      <c r="AJ698" s="299"/>
      <c r="AK698" s="299"/>
    </row>
    <row r="699" spans="2:37" ht="13.2">
      <c r="B699" s="299"/>
      <c r="C699" s="299"/>
      <c r="D699" s="299"/>
      <c r="E699" s="299"/>
      <c r="F699" s="299"/>
      <c r="G699" s="299"/>
      <c r="H699" s="299"/>
      <c r="I699" s="299"/>
      <c r="J699" s="299"/>
      <c r="K699" s="299"/>
      <c r="L699" s="299"/>
      <c r="M699" s="299"/>
      <c r="N699" s="299"/>
      <c r="O699" s="299"/>
      <c r="P699" s="299"/>
      <c r="Q699" s="299"/>
      <c r="R699" s="299"/>
      <c r="S699" s="299"/>
      <c r="T699" s="299"/>
      <c r="U699" s="299"/>
      <c r="V699" s="299"/>
      <c r="W699" s="299"/>
      <c r="X699" s="299"/>
      <c r="Y699" s="299"/>
      <c r="Z699" s="299"/>
      <c r="AA699" s="299"/>
      <c r="AB699" s="299"/>
      <c r="AC699" s="299"/>
      <c r="AD699" s="299"/>
      <c r="AE699" s="299"/>
      <c r="AF699" s="299"/>
      <c r="AG699" s="299"/>
      <c r="AH699" s="299"/>
      <c r="AI699" s="299"/>
      <c r="AJ699" s="299"/>
      <c r="AK699" s="299"/>
    </row>
    <row r="700" spans="2:37" ht="13.2">
      <c r="B700" s="299"/>
      <c r="C700" s="299"/>
      <c r="D700" s="299"/>
      <c r="E700" s="299"/>
      <c r="F700" s="299"/>
      <c r="G700" s="299"/>
      <c r="H700" s="299"/>
      <c r="I700" s="299"/>
      <c r="J700" s="299"/>
      <c r="K700" s="299"/>
      <c r="L700" s="299"/>
      <c r="M700" s="299"/>
      <c r="N700" s="299"/>
      <c r="O700" s="299"/>
      <c r="P700" s="299"/>
      <c r="Q700" s="299"/>
      <c r="R700" s="299"/>
      <c r="S700" s="299"/>
      <c r="T700" s="299"/>
      <c r="U700" s="299"/>
      <c r="V700" s="299"/>
      <c r="W700" s="299"/>
      <c r="X700" s="299"/>
      <c r="Y700" s="299"/>
      <c r="Z700" s="299"/>
      <c r="AA700" s="299"/>
      <c r="AB700" s="299"/>
      <c r="AC700" s="299"/>
      <c r="AD700" s="299"/>
      <c r="AE700" s="299"/>
      <c r="AF700" s="299"/>
      <c r="AG700" s="299"/>
      <c r="AH700" s="299"/>
      <c r="AI700" s="299"/>
      <c r="AJ700" s="299"/>
      <c r="AK700" s="299"/>
    </row>
    <row r="701" spans="2:37" ht="13.2">
      <c r="B701" s="299"/>
      <c r="C701" s="299"/>
      <c r="D701" s="299"/>
      <c r="E701" s="299"/>
      <c r="F701" s="299"/>
      <c r="G701" s="299"/>
      <c r="H701" s="299"/>
      <c r="I701" s="299"/>
      <c r="J701" s="299"/>
      <c r="K701" s="299"/>
      <c r="L701" s="299"/>
      <c r="M701" s="299"/>
      <c r="N701" s="299"/>
      <c r="O701" s="299"/>
      <c r="P701" s="299"/>
      <c r="Q701" s="299"/>
      <c r="R701" s="299"/>
      <c r="S701" s="299"/>
      <c r="T701" s="299"/>
      <c r="U701" s="299"/>
      <c r="V701" s="299"/>
      <c r="W701" s="299"/>
      <c r="X701" s="299"/>
      <c r="Y701" s="299"/>
      <c r="Z701" s="299"/>
      <c r="AA701" s="299"/>
      <c r="AB701" s="299"/>
      <c r="AC701" s="299"/>
      <c r="AD701" s="299"/>
      <c r="AE701" s="299"/>
      <c r="AF701" s="299"/>
      <c r="AG701" s="299"/>
      <c r="AH701" s="299"/>
      <c r="AI701" s="299"/>
      <c r="AJ701" s="299"/>
      <c r="AK701" s="299"/>
    </row>
    <row r="702" spans="2:37" ht="13.2">
      <c r="B702" s="299"/>
      <c r="C702" s="299"/>
      <c r="D702" s="299"/>
      <c r="E702" s="299"/>
      <c r="F702" s="299"/>
      <c r="G702" s="299"/>
      <c r="H702" s="299"/>
      <c r="I702" s="299"/>
      <c r="J702" s="299"/>
      <c r="K702" s="299"/>
      <c r="L702" s="299"/>
      <c r="M702" s="299"/>
      <c r="N702" s="299"/>
      <c r="O702" s="299"/>
      <c r="P702" s="299"/>
      <c r="Q702" s="299"/>
      <c r="R702" s="299"/>
      <c r="S702" s="299"/>
      <c r="T702" s="299"/>
      <c r="U702" s="299"/>
      <c r="V702" s="299"/>
      <c r="W702" s="299"/>
      <c r="X702" s="299"/>
      <c r="Y702" s="299"/>
      <c r="Z702" s="299"/>
      <c r="AA702" s="299"/>
      <c r="AB702" s="299"/>
      <c r="AC702" s="299"/>
      <c r="AD702" s="299"/>
      <c r="AE702" s="299"/>
      <c r="AF702" s="299"/>
      <c r="AG702" s="299"/>
      <c r="AH702" s="299"/>
      <c r="AI702" s="299"/>
      <c r="AJ702" s="299"/>
      <c r="AK702" s="299"/>
    </row>
    <row r="703" spans="2:37" ht="13.2">
      <c r="B703" s="299"/>
      <c r="C703" s="299"/>
      <c r="D703" s="299"/>
      <c r="E703" s="299"/>
      <c r="F703" s="299"/>
      <c r="G703" s="299"/>
      <c r="H703" s="299"/>
      <c r="I703" s="299"/>
      <c r="J703" s="299"/>
      <c r="K703" s="299"/>
      <c r="L703" s="299"/>
      <c r="M703" s="299"/>
      <c r="N703" s="299"/>
      <c r="O703" s="299"/>
      <c r="P703" s="299"/>
      <c r="Q703" s="299"/>
      <c r="R703" s="299"/>
      <c r="S703" s="299"/>
      <c r="T703" s="299"/>
      <c r="U703" s="299"/>
      <c r="V703" s="299"/>
      <c r="W703" s="299"/>
      <c r="X703" s="299"/>
      <c r="Y703" s="299"/>
      <c r="Z703" s="299"/>
      <c r="AA703" s="299"/>
      <c r="AB703" s="299"/>
      <c r="AC703" s="299"/>
      <c r="AD703" s="299"/>
      <c r="AE703" s="299"/>
      <c r="AF703" s="299"/>
      <c r="AG703" s="299"/>
      <c r="AH703" s="299"/>
      <c r="AI703" s="299"/>
      <c r="AJ703" s="299"/>
      <c r="AK703" s="299"/>
    </row>
    <row r="704" spans="2:37" ht="13.2">
      <c r="B704" s="299"/>
      <c r="C704" s="299"/>
      <c r="D704" s="299"/>
      <c r="E704" s="299"/>
      <c r="F704" s="299"/>
      <c r="G704" s="299"/>
      <c r="H704" s="299"/>
      <c r="I704" s="299"/>
      <c r="J704" s="299"/>
      <c r="K704" s="299"/>
      <c r="L704" s="299"/>
      <c r="M704" s="299"/>
      <c r="N704" s="299"/>
      <c r="O704" s="299"/>
      <c r="P704" s="299"/>
      <c r="Q704" s="299"/>
      <c r="R704" s="299"/>
      <c r="S704" s="299"/>
      <c r="T704" s="299"/>
      <c r="U704" s="299"/>
      <c r="V704" s="299"/>
      <c r="W704" s="299"/>
      <c r="X704" s="299"/>
      <c r="Y704" s="299"/>
      <c r="Z704" s="299"/>
      <c r="AA704" s="299"/>
      <c r="AB704" s="299"/>
      <c r="AC704" s="299"/>
      <c r="AD704" s="299"/>
      <c r="AE704" s="299"/>
      <c r="AF704" s="299"/>
      <c r="AG704" s="299"/>
      <c r="AH704" s="299"/>
      <c r="AI704" s="299"/>
      <c r="AJ704" s="299"/>
      <c r="AK704" s="299"/>
    </row>
    <row r="705" spans="2:37" ht="13.2">
      <c r="B705" s="299"/>
      <c r="C705" s="299"/>
      <c r="D705" s="299"/>
      <c r="E705" s="299"/>
      <c r="F705" s="299"/>
      <c r="G705" s="299"/>
      <c r="H705" s="299"/>
      <c r="I705" s="299"/>
      <c r="J705" s="299"/>
      <c r="K705" s="299"/>
      <c r="L705" s="299"/>
      <c r="M705" s="299"/>
      <c r="N705" s="299"/>
      <c r="O705" s="299"/>
      <c r="P705" s="299"/>
      <c r="Q705" s="299"/>
      <c r="R705" s="299"/>
      <c r="S705" s="299"/>
      <c r="T705" s="299"/>
      <c r="U705" s="299"/>
      <c r="V705" s="299"/>
      <c r="W705" s="299"/>
      <c r="X705" s="299"/>
      <c r="Y705" s="299"/>
      <c r="Z705" s="299"/>
      <c r="AA705" s="299"/>
      <c r="AB705" s="299"/>
      <c r="AC705" s="299"/>
      <c r="AD705" s="299"/>
      <c r="AE705" s="299"/>
      <c r="AF705" s="299"/>
      <c r="AG705" s="299"/>
      <c r="AH705" s="299"/>
      <c r="AI705" s="299"/>
      <c r="AJ705" s="299"/>
      <c r="AK705" s="299"/>
    </row>
    <row r="706" spans="2:37" ht="13.2">
      <c r="B706" s="299"/>
      <c r="C706" s="299"/>
      <c r="D706" s="299"/>
      <c r="E706" s="299"/>
      <c r="F706" s="299"/>
      <c r="G706" s="299"/>
      <c r="H706" s="299"/>
      <c r="I706" s="299"/>
      <c r="J706" s="299"/>
      <c r="K706" s="299"/>
      <c r="L706" s="299"/>
      <c r="M706" s="299"/>
      <c r="N706" s="299"/>
      <c r="O706" s="299"/>
      <c r="P706" s="299"/>
      <c r="Q706" s="299"/>
      <c r="R706" s="299"/>
      <c r="S706" s="299"/>
      <c r="T706" s="299"/>
      <c r="U706" s="299"/>
      <c r="V706" s="299"/>
      <c r="W706" s="299"/>
      <c r="X706" s="299"/>
      <c r="Y706" s="299"/>
      <c r="Z706" s="299"/>
      <c r="AA706" s="299"/>
      <c r="AB706" s="299"/>
      <c r="AC706" s="299"/>
      <c r="AD706" s="299"/>
      <c r="AE706" s="299"/>
      <c r="AF706" s="299"/>
      <c r="AG706" s="299"/>
      <c r="AH706" s="299"/>
      <c r="AI706" s="299"/>
      <c r="AJ706" s="299"/>
      <c r="AK706" s="299"/>
    </row>
    <row r="707" spans="2:37" ht="13.2">
      <c r="B707" s="299"/>
      <c r="C707" s="299"/>
      <c r="D707" s="299"/>
      <c r="E707" s="299"/>
      <c r="F707" s="299"/>
      <c r="G707" s="299"/>
      <c r="H707" s="299"/>
      <c r="I707" s="299"/>
      <c r="J707" s="299"/>
      <c r="K707" s="299"/>
      <c r="L707" s="299"/>
      <c r="M707" s="299"/>
      <c r="N707" s="299"/>
      <c r="O707" s="299"/>
      <c r="P707" s="299"/>
      <c r="Q707" s="299"/>
      <c r="R707" s="299"/>
      <c r="S707" s="299"/>
      <c r="T707" s="299"/>
      <c r="U707" s="299"/>
      <c r="V707" s="299"/>
      <c r="W707" s="299"/>
      <c r="X707" s="299"/>
      <c r="Y707" s="299"/>
      <c r="Z707" s="299"/>
      <c r="AA707" s="299"/>
      <c r="AB707" s="299"/>
      <c r="AC707" s="299"/>
      <c r="AD707" s="299"/>
      <c r="AE707" s="299"/>
      <c r="AF707" s="299"/>
      <c r="AG707" s="299"/>
      <c r="AH707" s="299"/>
      <c r="AI707" s="299"/>
      <c r="AJ707" s="299"/>
      <c r="AK707" s="299"/>
    </row>
    <row r="708" spans="2:37" ht="13.2">
      <c r="B708" s="299"/>
      <c r="C708" s="299"/>
      <c r="D708" s="299"/>
      <c r="E708" s="299"/>
      <c r="F708" s="299"/>
      <c r="G708" s="299"/>
      <c r="H708" s="299"/>
      <c r="I708" s="299"/>
      <c r="J708" s="299"/>
      <c r="K708" s="299"/>
      <c r="L708" s="299"/>
      <c r="M708" s="299"/>
      <c r="N708" s="299"/>
      <c r="O708" s="299"/>
      <c r="P708" s="299"/>
      <c r="Q708" s="299"/>
      <c r="R708" s="299"/>
      <c r="S708" s="299"/>
      <c r="T708" s="299"/>
      <c r="U708" s="299"/>
      <c r="V708" s="299"/>
      <c r="W708" s="299"/>
      <c r="X708" s="299"/>
      <c r="Y708" s="299"/>
      <c r="Z708" s="299"/>
      <c r="AA708" s="299"/>
      <c r="AB708" s="299"/>
      <c r="AC708" s="299"/>
      <c r="AD708" s="299"/>
      <c r="AE708" s="299"/>
      <c r="AF708" s="299"/>
      <c r="AG708" s="299"/>
      <c r="AH708" s="299"/>
      <c r="AI708" s="299"/>
      <c r="AJ708" s="299"/>
      <c r="AK708" s="299"/>
    </row>
    <row r="709" spans="2:37" ht="13.2">
      <c r="B709" s="299"/>
      <c r="C709" s="299"/>
      <c r="D709" s="299"/>
      <c r="E709" s="299"/>
      <c r="F709" s="299"/>
      <c r="G709" s="299"/>
      <c r="H709" s="299"/>
      <c r="I709" s="299"/>
      <c r="J709" s="299"/>
      <c r="K709" s="299"/>
      <c r="L709" s="299"/>
      <c r="M709" s="299"/>
      <c r="N709" s="299"/>
      <c r="O709" s="299"/>
      <c r="P709" s="299"/>
      <c r="Q709" s="299"/>
      <c r="R709" s="299"/>
      <c r="S709" s="299"/>
      <c r="T709" s="299"/>
      <c r="U709" s="299"/>
      <c r="V709" s="299"/>
      <c r="W709" s="299"/>
      <c r="X709" s="299"/>
      <c r="Y709" s="299"/>
      <c r="Z709" s="299"/>
      <c r="AA709" s="299"/>
      <c r="AB709" s="299"/>
      <c r="AC709" s="299"/>
      <c r="AD709" s="299"/>
      <c r="AE709" s="299"/>
      <c r="AF709" s="299"/>
      <c r="AG709" s="299"/>
      <c r="AH709" s="299"/>
      <c r="AI709" s="299"/>
      <c r="AJ709" s="299"/>
      <c r="AK709" s="299"/>
    </row>
    <row r="710" spans="2:37" ht="13.2">
      <c r="B710" s="299"/>
      <c r="C710" s="299"/>
      <c r="D710" s="299"/>
      <c r="E710" s="299"/>
      <c r="F710" s="299"/>
      <c r="G710" s="299"/>
      <c r="H710" s="299"/>
      <c r="I710" s="299"/>
      <c r="J710" s="299"/>
      <c r="K710" s="299"/>
      <c r="L710" s="299"/>
      <c r="M710" s="299"/>
      <c r="N710" s="299"/>
      <c r="O710" s="299"/>
      <c r="P710" s="299"/>
      <c r="Q710" s="299"/>
      <c r="R710" s="299"/>
      <c r="S710" s="299"/>
      <c r="T710" s="299"/>
      <c r="U710" s="299"/>
      <c r="V710" s="299"/>
      <c r="W710" s="299"/>
      <c r="X710" s="299"/>
      <c r="Y710" s="299"/>
      <c r="Z710" s="299"/>
      <c r="AA710" s="299"/>
      <c r="AB710" s="299"/>
      <c r="AC710" s="299"/>
      <c r="AD710" s="299"/>
      <c r="AE710" s="299"/>
      <c r="AF710" s="299"/>
      <c r="AG710" s="299"/>
      <c r="AH710" s="299"/>
      <c r="AI710" s="299"/>
      <c r="AJ710" s="299"/>
      <c r="AK710" s="299"/>
    </row>
    <row r="711" spans="2:37" ht="13.2">
      <c r="B711" s="299"/>
      <c r="C711" s="299"/>
      <c r="D711" s="299"/>
      <c r="E711" s="299"/>
      <c r="F711" s="299"/>
      <c r="G711" s="299"/>
      <c r="H711" s="299"/>
      <c r="I711" s="299"/>
      <c r="J711" s="299"/>
      <c r="K711" s="299"/>
      <c r="L711" s="299"/>
      <c r="M711" s="299"/>
      <c r="N711" s="299"/>
      <c r="O711" s="299"/>
      <c r="P711" s="299"/>
      <c r="Q711" s="299"/>
      <c r="R711" s="299"/>
      <c r="S711" s="299"/>
      <c r="T711" s="299"/>
      <c r="U711" s="299"/>
      <c r="V711" s="299"/>
      <c r="W711" s="299"/>
      <c r="X711" s="299"/>
      <c r="Y711" s="299"/>
      <c r="Z711" s="299"/>
      <c r="AA711" s="299"/>
      <c r="AB711" s="299"/>
      <c r="AC711" s="299"/>
      <c r="AD711" s="299"/>
      <c r="AE711" s="299"/>
      <c r="AF711" s="299"/>
      <c r="AG711" s="299"/>
      <c r="AH711" s="299"/>
      <c r="AI711" s="299"/>
      <c r="AJ711" s="299"/>
      <c r="AK711" s="299"/>
    </row>
    <row r="712" spans="2:37" ht="13.2">
      <c r="B712" s="299"/>
      <c r="C712" s="299"/>
      <c r="D712" s="299"/>
      <c r="E712" s="299"/>
      <c r="F712" s="299"/>
      <c r="G712" s="299"/>
      <c r="H712" s="299"/>
      <c r="I712" s="299"/>
      <c r="J712" s="299"/>
      <c r="K712" s="299"/>
      <c r="L712" s="299"/>
      <c r="M712" s="299"/>
      <c r="N712" s="299"/>
      <c r="O712" s="299"/>
      <c r="P712" s="299"/>
      <c r="Q712" s="299"/>
      <c r="R712" s="299"/>
      <c r="S712" s="299"/>
      <c r="T712" s="299"/>
      <c r="U712" s="299"/>
      <c r="V712" s="299"/>
      <c r="W712" s="299"/>
      <c r="X712" s="299"/>
      <c r="Y712" s="299"/>
      <c r="Z712" s="299"/>
      <c r="AA712" s="299"/>
      <c r="AB712" s="299"/>
      <c r="AC712" s="299"/>
      <c r="AD712" s="299"/>
      <c r="AE712" s="299"/>
      <c r="AF712" s="299"/>
      <c r="AG712" s="299"/>
      <c r="AH712" s="299"/>
      <c r="AI712" s="299"/>
      <c r="AJ712" s="299"/>
      <c r="AK712" s="299"/>
    </row>
    <row r="713" spans="2:37" ht="13.2">
      <c r="B713" s="299"/>
      <c r="C713" s="299"/>
      <c r="D713" s="299"/>
      <c r="E713" s="299"/>
      <c r="F713" s="299"/>
      <c r="G713" s="299"/>
      <c r="H713" s="299"/>
      <c r="I713" s="299"/>
      <c r="J713" s="299"/>
      <c r="K713" s="299"/>
      <c r="L713" s="299"/>
      <c r="M713" s="299"/>
      <c r="N713" s="299"/>
      <c r="O713" s="299"/>
      <c r="P713" s="299"/>
      <c r="Q713" s="299"/>
      <c r="R713" s="299"/>
      <c r="S713" s="299"/>
      <c r="T713" s="299"/>
      <c r="U713" s="299"/>
      <c r="V713" s="299"/>
      <c r="W713" s="299"/>
      <c r="X713" s="299"/>
      <c r="Y713" s="299"/>
      <c r="Z713" s="299"/>
      <c r="AA713" s="299"/>
      <c r="AB713" s="299"/>
      <c r="AC713" s="299"/>
      <c r="AD713" s="299"/>
      <c r="AE713" s="299"/>
      <c r="AF713" s="299"/>
      <c r="AG713" s="299"/>
      <c r="AH713" s="299"/>
      <c r="AI713" s="299"/>
      <c r="AJ713" s="299"/>
      <c r="AK713" s="299"/>
    </row>
    <row r="714" spans="2:37" ht="13.2">
      <c r="B714" s="299"/>
      <c r="C714" s="299"/>
      <c r="D714" s="299"/>
      <c r="E714" s="299"/>
      <c r="F714" s="299"/>
      <c r="G714" s="299"/>
      <c r="H714" s="299"/>
      <c r="I714" s="299"/>
      <c r="J714" s="299"/>
      <c r="K714" s="299"/>
      <c r="L714" s="299"/>
      <c r="M714" s="299"/>
      <c r="N714" s="299"/>
      <c r="O714" s="299"/>
      <c r="P714" s="299"/>
      <c r="Q714" s="299"/>
      <c r="R714" s="299"/>
      <c r="S714" s="299"/>
      <c r="T714" s="299"/>
      <c r="U714" s="299"/>
      <c r="V714" s="299"/>
      <c r="W714" s="299"/>
      <c r="X714" s="299"/>
      <c r="Y714" s="299"/>
      <c r="Z714" s="299"/>
      <c r="AA714" s="299"/>
      <c r="AB714" s="299"/>
      <c r="AC714" s="299"/>
      <c r="AD714" s="299"/>
      <c r="AE714" s="299"/>
      <c r="AF714" s="299"/>
      <c r="AG714" s="299"/>
      <c r="AH714" s="299"/>
      <c r="AI714" s="299"/>
      <c r="AJ714" s="299"/>
      <c r="AK714" s="299"/>
    </row>
    <row r="715" spans="2:37" ht="13.2">
      <c r="B715" s="299"/>
      <c r="C715" s="299"/>
      <c r="D715" s="299"/>
      <c r="E715" s="299"/>
      <c r="F715" s="299"/>
      <c r="G715" s="299"/>
      <c r="H715" s="299"/>
      <c r="I715" s="299"/>
      <c r="J715" s="299"/>
      <c r="K715" s="299"/>
      <c r="L715" s="299"/>
      <c r="M715" s="299"/>
      <c r="N715" s="299"/>
      <c r="O715" s="299"/>
      <c r="P715" s="299"/>
      <c r="Q715" s="299"/>
      <c r="R715" s="299"/>
      <c r="S715" s="299"/>
      <c r="T715" s="299"/>
      <c r="U715" s="299"/>
      <c r="V715" s="299"/>
      <c r="W715" s="299"/>
      <c r="X715" s="299"/>
      <c r="Y715" s="299"/>
      <c r="Z715" s="299"/>
      <c r="AA715" s="299"/>
      <c r="AB715" s="299"/>
      <c r="AC715" s="299"/>
      <c r="AD715" s="299"/>
      <c r="AE715" s="299"/>
      <c r="AF715" s="299"/>
      <c r="AG715" s="299"/>
      <c r="AH715" s="299"/>
      <c r="AI715" s="299"/>
      <c r="AJ715" s="299"/>
      <c r="AK715" s="299"/>
    </row>
    <row r="716" spans="2:37" ht="13.2">
      <c r="B716" s="299"/>
      <c r="C716" s="299"/>
      <c r="D716" s="299"/>
      <c r="E716" s="299"/>
      <c r="F716" s="299"/>
      <c r="G716" s="299"/>
      <c r="H716" s="299"/>
      <c r="I716" s="299"/>
      <c r="J716" s="299"/>
      <c r="K716" s="299"/>
      <c r="L716" s="299"/>
      <c r="M716" s="299"/>
      <c r="N716" s="299"/>
      <c r="O716" s="299"/>
      <c r="P716" s="299"/>
      <c r="Q716" s="299"/>
      <c r="R716" s="299"/>
      <c r="S716" s="299"/>
      <c r="T716" s="299"/>
      <c r="U716" s="299"/>
      <c r="V716" s="299"/>
      <c r="W716" s="299"/>
      <c r="X716" s="299"/>
      <c r="Y716" s="299"/>
      <c r="Z716" s="299"/>
      <c r="AA716" s="299"/>
      <c r="AB716" s="299"/>
      <c r="AC716" s="299"/>
      <c r="AD716" s="299"/>
      <c r="AE716" s="299"/>
      <c r="AF716" s="299"/>
      <c r="AG716" s="299"/>
      <c r="AH716" s="299"/>
      <c r="AI716" s="299"/>
      <c r="AJ716" s="299"/>
      <c r="AK716" s="299"/>
    </row>
    <row r="717" spans="2:37" ht="13.2">
      <c r="B717" s="299"/>
      <c r="C717" s="299"/>
      <c r="D717" s="299"/>
      <c r="E717" s="299"/>
      <c r="F717" s="299"/>
      <c r="G717" s="299"/>
      <c r="H717" s="299"/>
      <c r="I717" s="299"/>
      <c r="J717" s="299"/>
      <c r="K717" s="299"/>
      <c r="L717" s="299"/>
      <c r="M717" s="299"/>
      <c r="N717" s="299"/>
      <c r="O717" s="299"/>
      <c r="P717" s="299"/>
      <c r="Q717" s="299"/>
      <c r="R717" s="299"/>
      <c r="S717" s="299"/>
      <c r="T717" s="299"/>
      <c r="U717" s="299"/>
      <c r="V717" s="299"/>
      <c r="W717" s="299"/>
      <c r="X717" s="299"/>
      <c r="Y717" s="299"/>
      <c r="Z717" s="299"/>
      <c r="AA717" s="299"/>
      <c r="AB717" s="299"/>
      <c r="AC717" s="299"/>
      <c r="AD717" s="299"/>
      <c r="AE717" s="299"/>
      <c r="AF717" s="299"/>
      <c r="AG717" s="299"/>
      <c r="AH717" s="299"/>
      <c r="AI717" s="299"/>
      <c r="AJ717" s="299"/>
      <c r="AK717" s="299"/>
    </row>
    <row r="718" spans="2:37" ht="13.2">
      <c r="B718" s="299"/>
      <c r="C718" s="299"/>
      <c r="D718" s="299"/>
      <c r="E718" s="299"/>
      <c r="F718" s="299"/>
      <c r="G718" s="299"/>
      <c r="H718" s="299"/>
      <c r="I718" s="299"/>
      <c r="J718" s="299"/>
      <c r="K718" s="299"/>
      <c r="L718" s="299"/>
      <c r="M718" s="299"/>
      <c r="N718" s="299"/>
      <c r="O718" s="299"/>
      <c r="P718" s="299"/>
      <c r="Q718" s="299"/>
      <c r="R718" s="299"/>
      <c r="S718" s="299"/>
      <c r="T718" s="299"/>
      <c r="U718" s="299"/>
      <c r="V718" s="299"/>
      <c r="W718" s="299"/>
      <c r="X718" s="299"/>
      <c r="Y718" s="299"/>
      <c r="Z718" s="299"/>
      <c r="AA718" s="299"/>
      <c r="AB718" s="299"/>
      <c r="AC718" s="299"/>
      <c r="AD718" s="299"/>
      <c r="AE718" s="299"/>
      <c r="AF718" s="299"/>
      <c r="AG718" s="299"/>
      <c r="AH718" s="299"/>
      <c r="AI718" s="299"/>
      <c r="AJ718" s="299"/>
      <c r="AK718" s="299"/>
    </row>
    <row r="719" spans="2:37" ht="13.2">
      <c r="B719" s="299"/>
      <c r="C719" s="299"/>
      <c r="D719" s="299"/>
      <c r="E719" s="299"/>
      <c r="F719" s="299"/>
      <c r="G719" s="299"/>
      <c r="H719" s="299"/>
      <c r="I719" s="299"/>
      <c r="J719" s="299"/>
      <c r="K719" s="299"/>
      <c r="L719" s="299"/>
      <c r="M719" s="299"/>
      <c r="N719" s="299"/>
      <c r="O719" s="299"/>
      <c r="P719" s="299"/>
      <c r="Q719" s="299"/>
      <c r="R719" s="299"/>
      <c r="S719" s="299"/>
      <c r="T719" s="299"/>
      <c r="U719" s="299"/>
      <c r="V719" s="299"/>
      <c r="W719" s="299"/>
      <c r="X719" s="299"/>
      <c r="Y719" s="299"/>
      <c r="Z719" s="299"/>
      <c r="AA719" s="299"/>
      <c r="AB719" s="299"/>
      <c r="AC719" s="299"/>
      <c r="AD719" s="299"/>
      <c r="AE719" s="299"/>
      <c r="AF719" s="299"/>
      <c r="AG719" s="299"/>
      <c r="AH719" s="299"/>
      <c r="AI719" s="299"/>
      <c r="AJ719" s="299"/>
      <c r="AK719" s="299"/>
    </row>
    <row r="720" spans="2:37" ht="13.2">
      <c r="B720" s="299"/>
      <c r="C720" s="299"/>
      <c r="D720" s="299"/>
      <c r="E720" s="299"/>
      <c r="F720" s="299"/>
      <c r="G720" s="299"/>
      <c r="H720" s="299"/>
      <c r="I720" s="299"/>
      <c r="J720" s="299"/>
      <c r="K720" s="299"/>
      <c r="L720" s="299"/>
      <c r="M720" s="299"/>
      <c r="N720" s="299"/>
      <c r="O720" s="299"/>
      <c r="P720" s="299"/>
      <c r="Q720" s="299"/>
      <c r="R720" s="299"/>
      <c r="S720" s="299"/>
      <c r="T720" s="299"/>
      <c r="U720" s="299"/>
      <c r="V720" s="299"/>
      <c r="W720" s="299"/>
      <c r="X720" s="299"/>
      <c r="Y720" s="299"/>
      <c r="Z720" s="299"/>
      <c r="AA720" s="299"/>
      <c r="AB720" s="299"/>
      <c r="AC720" s="299"/>
      <c r="AD720" s="299"/>
      <c r="AE720" s="299"/>
      <c r="AF720" s="299"/>
      <c r="AG720" s="299"/>
      <c r="AH720" s="299"/>
      <c r="AI720" s="299"/>
      <c r="AJ720" s="299"/>
      <c r="AK720" s="299"/>
    </row>
    <row r="721" spans="2:37" ht="13.2">
      <c r="B721" s="299"/>
      <c r="C721" s="299"/>
      <c r="D721" s="299"/>
      <c r="E721" s="299"/>
      <c r="F721" s="299"/>
      <c r="G721" s="299"/>
      <c r="H721" s="299"/>
      <c r="I721" s="299"/>
      <c r="J721" s="299"/>
      <c r="K721" s="299"/>
      <c r="L721" s="299"/>
      <c r="M721" s="299"/>
      <c r="N721" s="299"/>
      <c r="O721" s="299"/>
      <c r="P721" s="299"/>
      <c r="Q721" s="299"/>
      <c r="R721" s="299"/>
      <c r="S721" s="299"/>
      <c r="T721" s="299"/>
      <c r="U721" s="299"/>
      <c r="V721" s="299"/>
      <c r="W721" s="299"/>
      <c r="X721" s="299"/>
      <c r="Y721" s="299"/>
      <c r="Z721" s="299"/>
      <c r="AA721" s="299"/>
      <c r="AB721" s="299"/>
      <c r="AC721" s="299"/>
      <c r="AD721" s="299"/>
      <c r="AE721" s="299"/>
      <c r="AF721" s="299"/>
      <c r="AG721" s="299"/>
      <c r="AH721" s="299"/>
      <c r="AI721" s="299"/>
      <c r="AJ721" s="299"/>
      <c r="AK721" s="299"/>
    </row>
    <row r="722" spans="2:37" ht="13.2">
      <c r="B722" s="299"/>
      <c r="C722" s="299"/>
      <c r="D722" s="299"/>
      <c r="E722" s="299"/>
      <c r="F722" s="299"/>
      <c r="G722" s="299"/>
      <c r="H722" s="299"/>
      <c r="I722" s="299"/>
      <c r="J722" s="299"/>
      <c r="K722" s="299"/>
      <c r="L722" s="299"/>
      <c r="M722" s="299"/>
      <c r="N722" s="299"/>
      <c r="O722" s="299"/>
      <c r="P722" s="299"/>
      <c r="Q722" s="299"/>
      <c r="R722" s="299"/>
      <c r="S722" s="299"/>
      <c r="T722" s="299"/>
      <c r="U722" s="299"/>
      <c r="V722" s="299"/>
      <c r="W722" s="299"/>
      <c r="X722" s="299"/>
      <c r="Y722" s="299"/>
      <c r="Z722" s="299"/>
      <c r="AA722" s="299"/>
      <c r="AB722" s="299"/>
      <c r="AC722" s="299"/>
      <c r="AD722" s="299"/>
      <c r="AE722" s="299"/>
      <c r="AF722" s="299"/>
      <c r="AG722" s="299"/>
      <c r="AH722" s="299"/>
      <c r="AI722" s="299"/>
      <c r="AJ722" s="299"/>
      <c r="AK722" s="299"/>
    </row>
    <row r="723" spans="2:37" ht="13.2">
      <c r="B723" s="299"/>
      <c r="C723" s="299"/>
      <c r="D723" s="299"/>
      <c r="E723" s="299"/>
      <c r="F723" s="299"/>
      <c r="G723" s="299"/>
      <c r="H723" s="299"/>
      <c r="I723" s="299"/>
      <c r="J723" s="299"/>
      <c r="K723" s="299"/>
      <c r="L723" s="299"/>
      <c r="M723" s="299"/>
      <c r="N723" s="299"/>
      <c r="O723" s="299"/>
      <c r="P723" s="299"/>
      <c r="Q723" s="299"/>
      <c r="R723" s="299"/>
      <c r="S723" s="299"/>
      <c r="T723" s="299"/>
      <c r="U723" s="299"/>
      <c r="V723" s="299"/>
      <c r="W723" s="299"/>
      <c r="X723" s="299"/>
      <c r="Y723" s="299"/>
      <c r="Z723" s="299"/>
      <c r="AA723" s="299"/>
      <c r="AB723" s="299"/>
      <c r="AC723" s="299"/>
      <c r="AD723" s="299"/>
      <c r="AE723" s="299"/>
      <c r="AF723" s="299"/>
      <c r="AG723" s="299"/>
      <c r="AH723" s="299"/>
      <c r="AI723" s="299"/>
      <c r="AJ723" s="299"/>
      <c r="AK723" s="299"/>
    </row>
    <row r="724" spans="2:37" ht="13.2">
      <c r="B724" s="299"/>
      <c r="C724" s="299"/>
      <c r="D724" s="299"/>
      <c r="E724" s="299"/>
      <c r="F724" s="299"/>
      <c r="G724" s="299"/>
      <c r="H724" s="299"/>
      <c r="I724" s="299"/>
      <c r="J724" s="299"/>
      <c r="K724" s="299"/>
      <c r="L724" s="299"/>
      <c r="M724" s="299"/>
      <c r="N724" s="299"/>
      <c r="O724" s="299"/>
      <c r="P724" s="299"/>
      <c r="Q724" s="299"/>
      <c r="R724" s="299"/>
      <c r="S724" s="299"/>
      <c r="T724" s="299"/>
      <c r="U724" s="299"/>
      <c r="V724" s="299"/>
      <c r="W724" s="299"/>
      <c r="X724" s="299"/>
      <c r="Y724" s="299"/>
      <c r="Z724" s="299"/>
      <c r="AA724" s="299"/>
      <c r="AB724" s="299"/>
      <c r="AC724" s="299"/>
      <c r="AD724" s="299"/>
      <c r="AE724" s="299"/>
      <c r="AF724" s="299"/>
      <c r="AG724" s="299"/>
      <c r="AH724" s="299"/>
      <c r="AI724" s="299"/>
      <c r="AJ724" s="299"/>
      <c r="AK724" s="299"/>
    </row>
    <row r="725" spans="2:37" ht="13.2">
      <c r="B725" s="299"/>
      <c r="C725" s="299"/>
      <c r="D725" s="299"/>
      <c r="E725" s="299"/>
      <c r="F725" s="299"/>
      <c r="G725" s="299"/>
      <c r="H725" s="299"/>
      <c r="I725" s="299"/>
      <c r="J725" s="299"/>
      <c r="K725" s="299"/>
      <c r="L725" s="299"/>
      <c r="M725" s="299"/>
      <c r="N725" s="299"/>
      <c r="O725" s="299"/>
      <c r="P725" s="299"/>
      <c r="Q725" s="299"/>
      <c r="R725" s="299"/>
      <c r="S725" s="299"/>
      <c r="T725" s="299"/>
      <c r="U725" s="299"/>
      <c r="V725" s="299"/>
      <c r="W725" s="299"/>
      <c r="X725" s="299"/>
      <c r="Y725" s="299"/>
      <c r="Z725" s="299"/>
      <c r="AA725" s="299"/>
      <c r="AB725" s="299"/>
      <c r="AC725" s="299"/>
      <c r="AD725" s="299"/>
      <c r="AE725" s="299"/>
      <c r="AF725" s="299"/>
      <c r="AG725" s="299"/>
      <c r="AH725" s="299"/>
      <c r="AI725" s="299"/>
      <c r="AJ725" s="299"/>
      <c r="AK725" s="299"/>
    </row>
    <row r="726" spans="2:37" ht="13.2">
      <c r="B726" s="299"/>
      <c r="C726" s="299"/>
      <c r="D726" s="299"/>
      <c r="E726" s="299"/>
      <c r="F726" s="299"/>
      <c r="G726" s="299"/>
      <c r="H726" s="299"/>
      <c r="I726" s="299"/>
      <c r="J726" s="299"/>
      <c r="K726" s="299"/>
      <c r="L726" s="299"/>
      <c r="M726" s="299"/>
      <c r="N726" s="299"/>
      <c r="O726" s="299"/>
      <c r="P726" s="299"/>
      <c r="Q726" s="299"/>
      <c r="R726" s="299"/>
      <c r="S726" s="299"/>
      <c r="T726" s="299"/>
      <c r="U726" s="299"/>
      <c r="V726" s="299"/>
      <c r="W726" s="299"/>
      <c r="X726" s="299"/>
      <c r="Y726" s="299"/>
      <c r="Z726" s="299"/>
      <c r="AA726" s="299"/>
      <c r="AB726" s="299"/>
      <c r="AC726" s="299"/>
      <c r="AD726" s="299"/>
      <c r="AE726" s="299"/>
      <c r="AF726" s="299"/>
      <c r="AG726" s="299"/>
      <c r="AH726" s="299"/>
      <c r="AI726" s="299"/>
      <c r="AJ726" s="299"/>
      <c r="AK726" s="299"/>
    </row>
    <row r="727" spans="2:37" ht="13.2">
      <c r="B727" s="299"/>
      <c r="C727" s="299"/>
      <c r="D727" s="299"/>
      <c r="E727" s="299"/>
      <c r="F727" s="299"/>
      <c r="G727" s="299"/>
      <c r="H727" s="299"/>
      <c r="I727" s="299"/>
      <c r="J727" s="299"/>
      <c r="K727" s="299"/>
      <c r="L727" s="299"/>
      <c r="M727" s="299"/>
      <c r="N727" s="299"/>
      <c r="O727" s="299"/>
      <c r="P727" s="299"/>
      <c r="Q727" s="299"/>
      <c r="R727" s="299"/>
      <c r="S727" s="299"/>
      <c r="T727" s="299"/>
      <c r="U727" s="299"/>
      <c r="V727" s="299"/>
      <c r="W727" s="299"/>
      <c r="X727" s="299"/>
      <c r="Y727" s="299"/>
      <c r="Z727" s="299"/>
      <c r="AA727" s="299"/>
      <c r="AB727" s="299"/>
      <c r="AC727" s="299"/>
      <c r="AD727" s="299"/>
      <c r="AE727" s="299"/>
      <c r="AF727" s="299"/>
      <c r="AG727" s="299"/>
      <c r="AH727" s="299"/>
      <c r="AI727" s="299"/>
      <c r="AJ727" s="299"/>
      <c r="AK727" s="299"/>
    </row>
    <row r="728" spans="2:37" ht="13.2">
      <c r="B728" s="299"/>
      <c r="C728" s="299"/>
      <c r="D728" s="299"/>
      <c r="E728" s="299"/>
      <c r="F728" s="299"/>
      <c r="G728" s="299"/>
      <c r="H728" s="299"/>
      <c r="I728" s="299"/>
      <c r="J728" s="299"/>
      <c r="K728" s="299"/>
      <c r="L728" s="299"/>
      <c r="M728" s="299"/>
      <c r="N728" s="299"/>
      <c r="O728" s="299"/>
      <c r="P728" s="299"/>
      <c r="Q728" s="299"/>
      <c r="R728" s="299"/>
      <c r="S728" s="299"/>
      <c r="T728" s="299"/>
      <c r="U728" s="299"/>
      <c r="V728" s="299"/>
      <c r="W728" s="299"/>
      <c r="X728" s="299"/>
      <c r="Y728" s="299"/>
      <c r="Z728" s="299"/>
      <c r="AA728" s="299"/>
      <c r="AB728" s="299"/>
      <c r="AC728" s="299"/>
      <c r="AD728" s="299"/>
      <c r="AE728" s="299"/>
      <c r="AF728" s="299"/>
      <c r="AG728" s="299"/>
      <c r="AH728" s="299"/>
      <c r="AI728" s="299"/>
      <c r="AJ728" s="299"/>
      <c r="AK728" s="299"/>
    </row>
    <row r="729" spans="2:37" ht="13.2">
      <c r="B729" s="299"/>
      <c r="C729" s="299"/>
      <c r="D729" s="299"/>
      <c r="E729" s="299"/>
      <c r="F729" s="299"/>
      <c r="G729" s="299"/>
      <c r="H729" s="299"/>
      <c r="I729" s="299"/>
      <c r="J729" s="299"/>
      <c r="K729" s="299"/>
      <c r="L729" s="299"/>
      <c r="M729" s="299"/>
      <c r="N729" s="299"/>
      <c r="O729" s="299"/>
      <c r="P729" s="299"/>
      <c r="Q729" s="299"/>
      <c r="R729" s="299"/>
      <c r="S729" s="299"/>
      <c r="T729" s="299"/>
      <c r="U729" s="299"/>
      <c r="V729" s="299"/>
      <c r="W729" s="299"/>
      <c r="X729" s="299"/>
      <c r="Y729" s="299"/>
      <c r="Z729" s="299"/>
      <c r="AA729" s="299"/>
      <c r="AB729" s="299"/>
      <c r="AC729" s="299"/>
      <c r="AD729" s="299"/>
      <c r="AE729" s="299"/>
      <c r="AF729" s="299"/>
      <c r="AG729" s="299"/>
      <c r="AH729" s="299"/>
      <c r="AI729" s="299"/>
      <c r="AJ729" s="299"/>
      <c r="AK729" s="299"/>
    </row>
    <row r="730" spans="2:37" ht="13.2">
      <c r="B730" s="299"/>
      <c r="C730" s="299"/>
      <c r="D730" s="299"/>
      <c r="E730" s="299"/>
      <c r="F730" s="299"/>
      <c r="G730" s="299"/>
      <c r="H730" s="299"/>
      <c r="I730" s="299"/>
      <c r="J730" s="299"/>
      <c r="K730" s="299"/>
      <c r="L730" s="299"/>
      <c r="M730" s="299"/>
      <c r="N730" s="299"/>
      <c r="O730" s="299"/>
      <c r="P730" s="299"/>
      <c r="Q730" s="299"/>
      <c r="R730" s="299"/>
      <c r="S730" s="299"/>
      <c r="T730" s="299"/>
      <c r="U730" s="299"/>
      <c r="V730" s="299"/>
      <c r="W730" s="299"/>
      <c r="X730" s="299"/>
      <c r="Y730" s="299"/>
      <c r="Z730" s="299"/>
      <c r="AA730" s="299"/>
      <c r="AB730" s="299"/>
      <c r="AC730" s="299"/>
      <c r="AD730" s="299"/>
      <c r="AE730" s="299"/>
      <c r="AF730" s="299"/>
      <c r="AG730" s="299"/>
      <c r="AH730" s="299"/>
      <c r="AI730" s="299"/>
      <c r="AJ730" s="299"/>
      <c r="AK730" s="299"/>
    </row>
    <row r="731" spans="2:37" ht="13.2">
      <c r="B731" s="299"/>
      <c r="C731" s="299"/>
      <c r="D731" s="299"/>
      <c r="E731" s="299"/>
      <c r="F731" s="299"/>
      <c r="G731" s="299"/>
      <c r="H731" s="299"/>
      <c r="I731" s="299"/>
      <c r="J731" s="299"/>
      <c r="K731" s="299"/>
      <c r="L731" s="299"/>
      <c r="M731" s="299"/>
      <c r="N731" s="299"/>
      <c r="O731" s="299"/>
      <c r="P731" s="299"/>
      <c r="Q731" s="299"/>
      <c r="R731" s="299"/>
      <c r="S731" s="299"/>
      <c r="T731" s="299"/>
      <c r="U731" s="299"/>
      <c r="V731" s="299"/>
      <c r="W731" s="299"/>
      <c r="X731" s="299"/>
      <c r="Y731" s="299"/>
      <c r="Z731" s="299"/>
      <c r="AA731" s="299"/>
      <c r="AB731" s="299"/>
      <c r="AC731" s="299"/>
      <c r="AD731" s="299"/>
      <c r="AE731" s="299"/>
      <c r="AF731" s="299"/>
      <c r="AG731" s="299"/>
      <c r="AH731" s="299"/>
      <c r="AI731" s="299"/>
      <c r="AJ731" s="299"/>
      <c r="AK731" s="299"/>
    </row>
    <row r="732" spans="2:37" ht="13.2">
      <c r="B732" s="299"/>
      <c r="C732" s="299"/>
      <c r="D732" s="299"/>
      <c r="E732" s="299"/>
      <c r="F732" s="299"/>
      <c r="G732" s="299"/>
      <c r="H732" s="299"/>
      <c r="I732" s="299"/>
      <c r="J732" s="299"/>
      <c r="K732" s="299"/>
      <c r="L732" s="299"/>
      <c r="M732" s="299"/>
      <c r="N732" s="299"/>
      <c r="O732" s="299"/>
      <c r="P732" s="299"/>
      <c r="Q732" s="299"/>
      <c r="R732" s="299"/>
      <c r="S732" s="299"/>
      <c r="T732" s="299"/>
      <c r="U732" s="299"/>
      <c r="V732" s="299"/>
      <c r="W732" s="299"/>
      <c r="X732" s="299"/>
      <c r="Y732" s="299"/>
      <c r="Z732" s="299"/>
      <c r="AA732" s="299"/>
      <c r="AB732" s="299"/>
      <c r="AC732" s="299"/>
      <c r="AD732" s="299"/>
      <c r="AE732" s="299"/>
      <c r="AF732" s="299"/>
      <c r="AG732" s="299"/>
      <c r="AH732" s="299"/>
      <c r="AI732" s="299"/>
      <c r="AJ732" s="299"/>
      <c r="AK732" s="299"/>
    </row>
    <row r="733" spans="2:37" ht="13.2">
      <c r="B733" s="299"/>
      <c r="C733" s="299"/>
      <c r="D733" s="299"/>
      <c r="E733" s="299"/>
      <c r="F733" s="299"/>
      <c r="G733" s="299"/>
      <c r="H733" s="299"/>
      <c r="I733" s="299"/>
      <c r="J733" s="299"/>
      <c r="K733" s="299"/>
      <c r="L733" s="299"/>
      <c r="M733" s="299"/>
      <c r="N733" s="299"/>
      <c r="O733" s="299"/>
      <c r="P733" s="299"/>
      <c r="Q733" s="299"/>
      <c r="R733" s="299"/>
      <c r="S733" s="299"/>
      <c r="T733" s="299"/>
      <c r="U733" s="299"/>
      <c r="V733" s="299"/>
      <c r="W733" s="299"/>
      <c r="X733" s="299"/>
      <c r="Y733" s="299"/>
      <c r="Z733" s="299"/>
      <c r="AA733" s="299"/>
      <c r="AB733" s="299"/>
      <c r="AC733" s="299"/>
      <c r="AD733" s="299"/>
      <c r="AE733" s="299"/>
      <c r="AF733" s="299"/>
      <c r="AG733" s="299"/>
      <c r="AH733" s="299"/>
      <c r="AI733" s="299"/>
      <c r="AJ733" s="299"/>
      <c r="AK733" s="299"/>
    </row>
    <row r="734" spans="2:37" ht="13.2">
      <c r="B734" s="299"/>
      <c r="C734" s="299"/>
      <c r="D734" s="299"/>
      <c r="E734" s="299"/>
      <c r="F734" s="299"/>
      <c r="G734" s="299"/>
      <c r="H734" s="299"/>
      <c r="I734" s="299"/>
      <c r="J734" s="299"/>
      <c r="K734" s="299"/>
      <c r="L734" s="299"/>
      <c r="M734" s="299"/>
      <c r="N734" s="299"/>
      <c r="O734" s="299"/>
      <c r="P734" s="299"/>
      <c r="Q734" s="299"/>
      <c r="R734" s="299"/>
      <c r="S734" s="299"/>
      <c r="T734" s="299"/>
      <c r="U734" s="299"/>
      <c r="V734" s="299"/>
      <c r="W734" s="299"/>
      <c r="X734" s="299"/>
      <c r="Y734" s="299"/>
      <c r="Z734" s="299"/>
      <c r="AA734" s="299"/>
      <c r="AB734" s="299"/>
      <c r="AC734" s="299"/>
      <c r="AD734" s="299"/>
      <c r="AE734" s="299"/>
      <c r="AF734" s="299"/>
      <c r="AG734" s="299"/>
      <c r="AH734" s="299"/>
      <c r="AI734" s="299"/>
      <c r="AJ734" s="299"/>
      <c r="AK734" s="299"/>
    </row>
    <row r="735" spans="2:37" ht="13.2">
      <c r="B735" s="299"/>
      <c r="C735" s="299"/>
      <c r="D735" s="299"/>
      <c r="E735" s="299"/>
      <c r="F735" s="299"/>
      <c r="G735" s="299"/>
      <c r="H735" s="299"/>
      <c r="I735" s="299"/>
      <c r="J735" s="299"/>
      <c r="K735" s="299"/>
      <c r="L735" s="299"/>
      <c r="M735" s="299"/>
      <c r="N735" s="299"/>
      <c r="O735" s="299"/>
      <c r="P735" s="299"/>
      <c r="Q735" s="299"/>
      <c r="R735" s="299"/>
      <c r="S735" s="299"/>
      <c r="T735" s="299"/>
      <c r="U735" s="299"/>
      <c r="V735" s="299"/>
      <c r="W735" s="299"/>
      <c r="X735" s="299"/>
      <c r="Y735" s="299"/>
      <c r="Z735" s="299"/>
      <c r="AA735" s="299"/>
      <c r="AB735" s="299"/>
      <c r="AC735" s="299"/>
      <c r="AD735" s="299"/>
      <c r="AE735" s="299"/>
      <c r="AF735" s="299"/>
      <c r="AG735" s="299"/>
      <c r="AH735" s="299"/>
      <c r="AI735" s="299"/>
      <c r="AJ735" s="299"/>
      <c r="AK735" s="299"/>
    </row>
    <row r="736" spans="2:37" ht="13.2">
      <c r="B736" s="299"/>
      <c r="C736" s="299"/>
      <c r="D736" s="299"/>
      <c r="E736" s="299"/>
      <c r="F736" s="299"/>
      <c r="G736" s="299"/>
      <c r="H736" s="299"/>
      <c r="I736" s="299"/>
      <c r="J736" s="299"/>
      <c r="K736" s="299"/>
      <c r="L736" s="299"/>
      <c r="M736" s="299"/>
      <c r="N736" s="299"/>
      <c r="O736" s="299"/>
      <c r="P736" s="299"/>
      <c r="Q736" s="299"/>
      <c r="R736" s="299"/>
      <c r="S736" s="299"/>
      <c r="T736" s="299"/>
      <c r="U736" s="299"/>
      <c r="V736" s="299"/>
      <c r="W736" s="299"/>
      <c r="X736" s="299"/>
      <c r="Y736" s="299"/>
      <c r="Z736" s="299"/>
      <c r="AA736" s="299"/>
      <c r="AB736" s="299"/>
      <c r="AC736" s="299"/>
      <c r="AD736" s="299"/>
      <c r="AE736" s="299"/>
      <c r="AF736" s="299"/>
      <c r="AG736" s="299"/>
      <c r="AH736" s="299"/>
      <c r="AI736" s="299"/>
      <c r="AJ736" s="299"/>
      <c r="AK736" s="299"/>
    </row>
    <row r="737" spans="2:37" ht="13.2">
      <c r="B737" s="299"/>
      <c r="C737" s="299"/>
      <c r="D737" s="299"/>
      <c r="E737" s="299"/>
      <c r="F737" s="299"/>
      <c r="G737" s="299"/>
      <c r="H737" s="299"/>
      <c r="I737" s="299"/>
      <c r="J737" s="299"/>
      <c r="K737" s="299"/>
      <c r="L737" s="299"/>
      <c r="M737" s="299"/>
      <c r="N737" s="299"/>
      <c r="O737" s="299"/>
      <c r="P737" s="299"/>
      <c r="Q737" s="299"/>
      <c r="R737" s="299"/>
      <c r="S737" s="299"/>
      <c r="T737" s="299"/>
      <c r="U737" s="299"/>
      <c r="V737" s="299"/>
      <c r="W737" s="299"/>
      <c r="X737" s="299"/>
      <c r="Y737" s="299"/>
      <c r="Z737" s="299"/>
      <c r="AA737" s="299"/>
      <c r="AB737" s="299"/>
      <c r="AC737" s="299"/>
      <c r="AD737" s="299"/>
      <c r="AE737" s="299"/>
      <c r="AF737" s="299"/>
      <c r="AG737" s="299"/>
      <c r="AH737" s="299"/>
      <c r="AI737" s="299"/>
      <c r="AJ737" s="299"/>
      <c r="AK737" s="299"/>
    </row>
    <row r="738" spans="2:37" ht="13.2">
      <c r="B738" s="299"/>
      <c r="C738" s="299"/>
      <c r="D738" s="299"/>
      <c r="E738" s="299"/>
      <c r="F738" s="299"/>
      <c r="G738" s="299"/>
      <c r="H738" s="299"/>
      <c r="I738" s="299"/>
      <c r="J738" s="299"/>
      <c r="K738" s="299"/>
      <c r="L738" s="299"/>
      <c r="M738" s="299"/>
      <c r="N738" s="299"/>
      <c r="O738" s="299"/>
      <c r="P738" s="299"/>
      <c r="Q738" s="299"/>
      <c r="R738" s="299"/>
      <c r="S738" s="299"/>
      <c r="T738" s="299"/>
      <c r="U738" s="299"/>
      <c r="V738" s="299"/>
      <c r="W738" s="299"/>
      <c r="X738" s="299"/>
      <c r="Y738" s="299"/>
      <c r="Z738" s="299"/>
      <c r="AA738" s="299"/>
      <c r="AB738" s="299"/>
      <c r="AC738" s="299"/>
      <c r="AD738" s="299"/>
      <c r="AE738" s="299"/>
      <c r="AF738" s="299"/>
      <c r="AG738" s="299"/>
      <c r="AH738" s="299"/>
      <c r="AI738" s="299"/>
      <c r="AJ738" s="299"/>
      <c r="AK738" s="299"/>
    </row>
    <row r="739" spans="2:37" ht="13.2">
      <c r="B739" s="299"/>
      <c r="C739" s="299"/>
      <c r="D739" s="299"/>
      <c r="E739" s="299"/>
      <c r="F739" s="299"/>
      <c r="G739" s="299"/>
      <c r="H739" s="299"/>
      <c r="I739" s="299"/>
      <c r="J739" s="299"/>
      <c r="K739" s="299"/>
      <c r="L739" s="299"/>
      <c r="M739" s="299"/>
      <c r="N739" s="299"/>
      <c r="O739" s="299"/>
      <c r="P739" s="299"/>
      <c r="Q739" s="299"/>
      <c r="R739" s="299"/>
      <c r="S739" s="299"/>
      <c r="T739" s="299"/>
      <c r="U739" s="299"/>
      <c r="V739" s="299"/>
      <c r="W739" s="299"/>
      <c r="X739" s="299"/>
      <c r="Y739" s="299"/>
      <c r="Z739" s="299"/>
      <c r="AA739" s="299"/>
      <c r="AB739" s="299"/>
      <c r="AC739" s="299"/>
      <c r="AD739" s="299"/>
      <c r="AE739" s="299"/>
      <c r="AF739" s="299"/>
      <c r="AG739" s="299"/>
      <c r="AH739" s="299"/>
      <c r="AI739" s="299"/>
      <c r="AJ739" s="299"/>
      <c r="AK739" s="299"/>
    </row>
    <row r="740" spans="2:37" ht="13.2">
      <c r="B740" s="299"/>
      <c r="C740" s="299"/>
      <c r="D740" s="299"/>
      <c r="E740" s="299"/>
      <c r="F740" s="299"/>
      <c r="G740" s="299"/>
      <c r="H740" s="299"/>
      <c r="I740" s="299"/>
      <c r="J740" s="299"/>
      <c r="K740" s="299"/>
      <c r="L740" s="299"/>
      <c r="M740" s="299"/>
      <c r="N740" s="299"/>
      <c r="O740" s="299"/>
      <c r="P740" s="299"/>
      <c r="Q740" s="299"/>
      <c r="R740" s="299"/>
      <c r="S740" s="299"/>
      <c r="T740" s="299"/>
      <c r="U740" s="299"/>
      <c r="V740" s="299"/>
      <c r="W740" s="299"/>
      <c r="X740" s="299"/>
      <c r="Y740" s="299"/>
      <c r="Z740" s="299"/>
      <c r="AA740" s="299"/>
      <c r="AB740" s="299"/>
      <c r="AC740" s="299"/>
      <c r="AD740" s="299"/>
      <c r="AE740" s="299"/>
      <c r="AF740" s="299"/>
      <c r="AG740" s="299"/>
      <c r="AH740" s="299"/>
      <c r="AI740" s="299"/>
      <c r="AJ740" s="299"/>
      <c r="AK740" s="299"/>
    </row>
    <row r="741" spans="2:37" ht="13.2">
      <c r="B741" s="299"/>
      <c r="C741" s="299"/>
      <c r="D741" s="299"/>
      <c r="E741" s="299"/>
      <c r="F741" s="299"/>
      <c r="G741" s="299"/>
      <c r="H741" s="299"/>
      <c r="I741" s="299"/>
      <c r="J741" s="299"/>
      <c r="K741" s="299"/>
      <c r="L741" s="299"/>
      <c r="M741" s="299"/>
      <c r="N741" s="299"/>
      <c r="O741" s="299"/>
      <c r="P741" s="299"/>
      <c r="Q741" s="299"/>
      <c r="R741" s="299"/>
      <c r="S741" s="299"/>
      <c r="T741" s="299"/>
      <c r="U741" s="299"/>
      <c r="V741" s="299"/>
      <c r="W741" s="299"/>
      <c r="X741" s="299"/>
      <c r="Y741" s="299"/>
      <c r="Z741" s="299"/>
      <c r="AA741" s="299"/>
      <c r="AB741" s="299"/>
      <c r="AC741" s="299"/>
      <c r="AD741" s="299"/>
      <c r="AE741" s="299"/>
      <c r="AF741" s="299"/>
      <c r="AG741" s="299"/>
      <c r="AH741" s="299"/>
      <c r="AI741" s="299"/>
      <c r="AJ741" s="299"/>
      <c r="AK741" s="299"/>
    </row>
    <row r="742" spans="2:37" ht="13.2">
      <c r="B742" s="299"/>
      <c r="C742" s="299"/>
      <c r="D742" s="299"/>
      <c r="E742" s="299"/>
      <c r="F742" s="299"/>
      <c r="G742" s="299"/>
      <c r="H742" s="299"/>
      <c r="I742" s="299"/>
      <c r="J742" s="299"/>
      <c r="K742" s="299"/>
      <c r="L742" s="299"/>
      <c r="M742" s="299"/>
      <c r="N742" s="299"/>
      <c r="O742" s="299"/>
      <c r="P742" s="299"/>
      <c r="Q742" s="299"/>
      <c r="R742" s="299"/>
      <c r="S742" s="299"/>
      <c r="T742" s="299"/>
      <c r="U742" s="299"/>
      <c r="V742" s="299"/>
      <c r="W742" s="299"/>
      <c r="X742" s="299"/>
      <c r="Y742" s="299"/>
      <c r="Z742" s="299"/>
      <c r="AA742" s="299"/>
      <c r="AB742" s="299"/>
      <c r="AC742" s="299"/>
      <c r="AD742" s="299"/>
      <c r="AE742" s="299"/>
      <c r="AF742" s="299"/>
      <c r="AG742" s="299"/>
      <c r="AH742" s="299"/>
      <c r="AI742" s="299"/>
      <c r="AJ742" s="299"/>
      <c r="AK742" s="299"/>
    </row>
    <row r="743" spans="2:37" ht="13.2">
      <c r="B743" s="299"/>
      <c r="C743" s="299"/>
      <c r="D743" s="299"/>
      <c r="E743" s="299"/>
      <c r="F743" s="299"/>
      <c r="G743" s="299"/>
      <c r="H743" s="299"/>
      <c r="I743" s="299"/>
      <c r="J743" s="299"/>
      <c r="K743" s="299"/>
      <c r="L743" s="299"/>
      <c r="M743" s="299"/>
      <c r="N743" s="299"/>
      <c r="O743" s="299"/>
      <c r="P743" s="299"/>
      <c r="Q743" s="299"/>
      <c r="R743" s="299"/>
      <c r="S743" s="299"/>
      <c r="T743" s="299"/>
      <c r="U743" s="299"/>
      <c r="V743" s="299"/>
      <c r="W743" s="299"/>
      <c r="X743" s="299"/>
      <c r="Y743" s="299"/>
      <c r="Z743" s="299"/>
      <c r="AA743" s="299"/>
      <c r="AB743" s="299"/>
      <c r="AC743" s="299"/>
      <c r="AD743" s="299"/>
      <c r="AE743" s="299"/>
      <c r="AF743" s="299"/>
      <c r="AG743" s="299"/>
      <c r="AH743" s="299"/>
      <c r="AI743" s="299"/>
      <c r="AJ743" s="299"/>
      <c r="AK743" s="299"/>
    </row>
    <row r="744" spans="2:37" ht="13.2">
      <c r="B744" s="299"/>
      <c r="C744" s="299"/>
      <c r="D744" s="299"/>
      <c r="E744" s="299"/>
      <c r="F744" s="299"/>
      <c r="G744" s="299"/>
      <c r="H744" s="299"/>
      <c r="I744" s="299"/>
      <c r="J744" s="299"/>
      <c r="K744" s="299"/>
      <c r="L744" s="299"/>
      <c r="M744" s="299"/>
      <c r="N744" s="299"/>
      <c r="O744" s="299"/>
      <c r="P744" s="299"/>
      <c r="Q744" s="299"/>
      <c r="R744" s="299"/>
      <c r="S744" s="299"/>
      <c r="T744" s="299"/>
      <c r="U744" s="299"/>
      <c r="V744" s="299"/>
      <c r="W744" s="299"/>
      <c r="X744" s="299"/>
      <c r="Y744" s="299"/>
      <c r="Z744" s="299"/>
      <c r="AA744" s="299"/>
      <c r="AB744" s="299"/>
      <c r="AC744" s="299"/>
      <c r="AD744" s="299"/>
      <c r="AE744" s="299"/>
      <c r="AF744" s="299"/>
      <c r="AG744" s="299"/>
      <c r="AH744" s="299"/>
      <c r="AI744" s="299"/>
      <c r="AJ744" s="299"/>
      <c r="AK744" s="299"/>
    </row>
    <row r="745" spans="2:37" ht="13.2">
      <c r="B745" s="299"/>
      <c r="C745" s="299"/>
      <c r="D745" s="299"/>
      <c r="E745" s="299"/>
      <c r="F745" s="299"/>
      <c r="G745" s="299"/>
      <c r="H745" s="299"/>
      <c r="I745" s="299"/>
      <c r="J745" s="299"/>
      <c r="K745" s="299"/>
      <c r="L745" s="299"/>
      <c r="M745" s="299"/>
      <c r="N745" s="299"/>
      <c r="O745" s="299"/>
      <c r="P745" s="299"/>
      <c r="Q745" s="299"/>
      <c r="R745" s="299"/>
      <c r="S745" s="299"/>
      <c r="T745" s="299"/>
      <c r="U745" s="299"/>
      <c r="V745" s="299"/>
      <c r="W745" s="299"/>
      <c r="X745" s="299"/>
      <c r="Y745" s="299"/>
      <c r="Z745" s="299"/>
      <c r="AA745" s="299"/>
      <c r="AB745" s="299"/>
      <c r="AC745" s="299"/>
      <c r="AD745" s="299"/>
      <c r="AE745" s="299"/>
      <c r="AF745" s="299"/>
      <c r="AG745" s="299"/>
      <c r="AH745" s="299"/>
      <c r="AI745" s="299"/>
      <c r="AJ745" s="299"/>
      <c r="AK745" s="299"/>
    </row>
    <row r="746" spans="2:37" ht="13.2">
      <c r="B746" s="299"/>
      <c r="C746" s="299"/>
      <c r="D746" s="299"/>
      <c r="E746" s="299"/>
      <c r="F746" s="299"/>
      <c r="G746" s="299"/>
      <c r="H746" s="299"/>
      <c r="I746" s="299"/>
      <c r="J746" s="299"/>
      <c r="K746" s="299"/>
      <c r="L746" s="299"/>
      <c r="M746" s="299"/>
      <c r="N746" s="299"/>
      <c r="O746" s="299"/>
      <c r="P746" s="299"/>
      <c r="Q746" s="299"/>
      <c r="R746" s="299"/>
      <c r="S746" s="299"/>
      <c r="T746" s="299"/>
      <c r="U746" s="299"/>
      <c r="V746" s="299"/>
      <c r="W746" s="299"/>
      <c r="X746" s="299"/>
      <c r="Y746" s="299"/>
      <c r="Z746" s="299"/>
      <c r="AA746" s="299"/>
      <c r="AB746" s="299"/>
      <c r="AC746" s="299"/>
      <c r="AD746" s="299"/>
      <c r="AE746" s="299"/>
      <c r="AF746" s="299"/>
      <c r="AG746" s="299"/>
      <c r="AH746" s="299"/>
      <c r="AI746" s="299"/>
      <c r="AJ746" s="299"/>
      <c r="AK746" s="299"/>
    </row>
    <row r="747" spans="2:37" ht="13.2">
      <c r="B747" s="299"/>
      <c r="C747" s="299"/>
      <c r="D747" s="299"/>
      <c r="E747" s="299"/>
      <c r="F747" s="299"/>
      <c r="G747" s="299"/>
      <c r="H747" s="299"/>
      <c r="I747" s="299"/>
      <c r="J747" s="299"/>
      <c r="K747" s="299"/>
      <c r="L747" s="299"/>
      <c r="M747" s="299"/>
      <c r="N747" s="299"/>
      <c r="O747" s="299"/>
      <c r="P747" s="299"/>
      <c r="Q747" s="299"/>
      <c r="R747" s="299"/>
      <c r="S747" s="299"/>
      <c r="T747" s="299"/>
      <c r="U747" s="299"/>
      <c r="V747" s="299"/>
      <c r="W747" s="299"/>
      <c r="X747" s="299"/>
      <c r="Y747" s="299"/>
      <c r="Z747" s="299"/>
      <c r="AA747" s="299"/>
      <c r="AB747" s="299"/>
      <c r="AC747" s="299"/>
      <c r="AD747" s="299"/>
      <c r="AE747" s="299"/>
      <c r="AF747" s="299"/>
      <c r="AG747" s="299"/>
      <c r="AH747" s="299"/>
      <c r="AI747" s="299"/>
      <c r="AJ747" s="299"/>
      <c r="AK747" s="299"/>
    </row>
    <row r="748" spans="2:37" ht="13.2">
      <c r="B748" s="299"/>
      <c r="C748" s="299"/>
      <c r="D748" s="299"/>
      <c r="E748" s="299"/>
      <c r="F748" s="299"/>
      <c r="G748" s="299"/>
      <c r="H748" s="299"/>
      <c r="I748" s="299"/>
      <c r="J748" s="299"/>
      <c r="K748" s="299"/>
      <c r="L748" s="299"/>
      <c r="M748" s="299"/>
      <c r="N748" s="299"/>
      <c r="O748" s="299"/>
      <c r="P748" s="299"/>
      <c r="Q748" s="299"/>
      <c r="R748" s="299"/>
      <c r="S748" s="299"/>
      <c r="T748" s="299"/>
      <c r="U748" s="299"/>
      <c r="V748" s="299"/>
      <c r="W748" s="299"/>
      <c r="X748" s="299"/>
      <c r="Y748" s="299"/>
      <c r="Z748" s="299"/>
      <c r="AA748" s="299"/>
      <c r="AB748" s="299"/>
      <c r="AC748" s="299"/>
      <c r="AD748" s="299"/>
      <c r="AE748" s="299"/>
      <c r="AF748" s="299"/>
      <c r="AG748" s="299"/>
      <c r="AH748" s="299"/>
      <c r="AI748" s="299"/>
      <c r="AJ748" s="299"/>
      <c r="AK748" s="299"/>
    </row>
    <row r="749" spans="2:37" ht="13.2">
      <c r="B749" s="299"/>
      <c r="C749" s="299"/>
      <c r="D749" s="299"/>
      <c r="E749" s="299"/>
      <c r="F749" s="299"/>
      <c r="G749" s="299"/>
      <c r="H749" s="299"/>
      <c r="I749" s="299"/>
      <c r="J749" s="299"/>
      <c r="K749" s="299"/>
      <c r="L749" s="299"/>
      <c r="M749" s="299"/>
      <c r="N749" s="299"/>
      <c r="O749" s="299"/>
      <c r="P749" s="299"/>
      <c r="Q749" s="299"/>
      <c r="R749" s="299"/>
      <c r="S749" s="299"/>
      <c r="T749" s="299"/>
      <c r="U749" s="299"/>
      <c r="V749" s="299"/>
      <c r="W749" s="299"/>
      <c r="X749" s="299"/>
      <c r="Y749" s="299"/>
      <c r="Z749" s="299"/>
      <c r="AA749" s="299"/>
      <c r="AB749" s="299"/>
      <c r="AC749" s="299"/>
      <c r="AD749" s="299"/>
      <c r="AE749" s="299"/>
      <c r="AF749" s="299"/>
      <c r="AG749" s="299"/>
      <c r="AH749" s="299"/>
      <c r="AI749" s="299"/>
      <c r="AJ749" s="299"/>
      <c r="AK749" s="299"/>
    </row>
    <row r="750" spans="2:37" ht="13.2">
      <c r="B750" s="299"/>
      <c r="C750" s="299"/>
      <c r="D750" s="299"/>
      <c r="E750" s="299"/>
      <c r="F750" s="299"/>
      <c r="G750" s="299"/>
      <c r="H750" s="299"/>
      <c r="I750" s="299"/>
      <c r="J750" s="299"/>
      <c r="K750" s="299"/>
      <c r="L750" s="299"/>
      <c r="M750" s="299"/>
      <c r="N750" s="299"/>
      <c r="O750" s="299"/>
      <c r="P750" s="299"/>
      <c r="Q750" s="299"/>
      <c r="R750" s="299"/>
      <c r="S750" s="299"/>
      <c r="T750" s="299"/>
      <c r="U750" s="299"/>
      <c r="V750" s="299"/>
      <c r="W750" s="299"/>
      <c r="X750" s="299"/>
      <c r="Y750" s="299"/>
      <c r="Z750" s="299"/>
      <c r="AA750" s="299"/>
      <c r="AB750" s="299"/>
      <c r="AC750" s="299"/>
      <c r="AD750" s="299"/>
      <c r="AE750" s="299"/>
      <c r="AF750" s="299"/>
      <c r="AG750" s="299"/>
      <c r="AH750" s="299"/>
      <c r="AI750" s="299"/>
      <c r="AJ750" s="299"/>
      <c r="AK750" s="299"/>
    </row>
    <row r="751" spans="2:37" ht="13.2">
      <c r="B751" s="299"/>
      <c r="C751" s="299"/>
      <c r="D751" s="299"/>
      <c r="E751" s="299"/>
      <c r="F751" s="299"/>
      <c r="G751" s="299"/>
      <c r="H751" s="299"/>
      <c r="I751" s="299"/>
      <c r="J751" s="299"/>
      <c r="K751" s="299"/>
      <c r="L751" s="299"/>
      <c r="M751" s="299"/>
      <c r="N751" s="299"/>
      <c r="O751" s="299"/>
      <c r="P751" s="299"/>
      <c r="Q751" s="299"/>
      <c r="R751" s="299"/>
      <c r="S751" s="299"/>
      <c r="T751" s="299"/>
      <c r="U751" s="299"/>
      <c r="V751" s="299"/>
      <c r="W751" s="299"/>
      <c r="X751" s="299"/>
      <c r="Y751" s="299"/>
      <c r="Z751" s="299"/>
      <c r="AA751" s="299"/>
      <c r="AB751" s="299"/>
      <c r="AC751" s="299"/>
      <c r="AD751" s="299"/>
      <c r="AE751" s="299"/>
      <c r="AF751" s="299"/>
      <c r="AG751" s="299"/>
      <c r="AH751" s="299"/>
      <c r="AI751" s="299"/>
      <c r="AJ751" s="299"/>
      <c r="AK751" s="299"/>
    </row>
    <row r="752" spans="2:37" ht="13.2">
      <c r="B752" s="299"/>
      <c r="C752" s="299"/>
      <c r="D752" s="299"/>
      <c r="E752" s="299"/>
      <c r="F752" s="299"/>
      <c r="G752" s="299"/>
      <c r="H752" s="299"/>
      <c r="I752" s="299"/>
      <c r="J752" s="299"/>
      <c r="K752" s="299"/>
      <c r="L752" s="299"/>
      <c r="M752" s="299"/>
      <c r="N752" s="299"/>
      <c r="O752" s="299"/>
      <c r="P752" s="299"/>
      <c r="Q752" s="299"/>
      <c r="R752" s="299"/>
      <c r="S752" s="299"/>
      <c r="T752" s="299"/>
      <c r="U752" s="299"/>
      <c r="V752" s="299"/>
      <c r="W752" s="299"/>
      <c r="X752" s="299"/>
      <c r="Y752" s="299"/>
      <c r="Z752" s="299"/>
      <c r="AA752" s="299"/>
      <c r="AB752" s="299"/>
      <c r="AC752" s="299"/>
      <c r="AD752" s="299"/>
      <c r="AE752" s="299"/>
      <c r="AF752" s="299"/>
      <c r="AG752" s="299"/>
      <c r="AH752" s="299"/>
      <c r="AI752" s="299"/>
      <c r="AJ752" s="299"/>
      <c r="AK752" s="299"/>
    </row>
    <row r="753" spans="2:37" ht="13.2">
      <c r="B753" s="299"/>
      <c r="C753" s="299"/>
      <c r="D753" s="299"/>
      <c r="E753" s="299"/>
      <c r="F753" s="299"/>
      <c r="G753" s="299"/>
      <c r="H753" s="299"/>
      <c r="I753" s="299"/>
      <c r="J753" s="299"/>
      <c r="K753" s="299"/>
      <c r="L753" s="299"/>
      <c r="M753" s="299"/>
      <c r="N753" s="299"/>
      <c r="O753" s="299"/>
      <c r="P753" s="299"/>
      <c r="Q753" s="299"/>
      <c r="R753" s="299"/>
      <c r="S753" s="299"/>
      <c r="T753" s="299"/>
      <c r="U753" s="299"/>
      <c r="V753" s="299"/>
      <c r="W753" s="299"/>
      <c r="X753" s="299"/>
      <c r="Y753" s="299"/>
      <c r="Z753" s="299"/>
      <c r="AA753" s="299"/>
      <c r="AB753" s="299"/>
      <c r="AC753" s="299"/>
      <c r="AD753" s="299"/>
      <c r="AE753" s="299"/>
      <c r="AF753" s="299"/>
      <c r="AG753" s="299"/>
      <c r="AH753" s="299"/>
      <c r="AI753" s="299"/>
      <c r="AJ753" s="299"/>
      <c r="AK753" s="299"/>
    </row>
    <row r="754" spans="2:37" ht="13.2">
      <c r="B754" s="299"/>
      <c r="C754" s="299"/>
      <c r="D754" s="299"/>
      <c r="E754" s="299"/>
      <c r="F754" s="299"/>
      <c r="G754" s="299"/>
      <c r="H754" s="299"/>
      <c r="I754" s="299"/>
      <c r="J754" s="299"/>
      <c r="K754" s="299"/>
      <c r="L754" s="299"/>
      <c r="M754" s="299"/>
      <c r="N754" s="299"/>
      <c r="O754" s="299"/>
      <c r="P754" s="299"/>
      <c r="Q754" s="299"/>
      <c r="R754" s="299"/>
      <c r="S754" s="299"/>
      <c r="T754" s="299"/>
      <c r="U754" s="299"/>
      <c r="V754" s="299"/>
      <c r="W754" s="299"/>
      <c r="X754" s="299"/>
      <c r="Y754" s="299"/>
      <c r="Z754" s="299"/>
      <c r="AA754" s="299"/>
      <c r="AB754" s="299"/>
      <c r="AC754" s="299"/>
      <c r="AD754" s="299"/>
      <c r="AE754" s="299"/>
      <c r="AF754" s="299"/>
      <c r="AG754" s="299"/>
      <c r="AH754" s="299"/>
      <c r="AI754" s="299"/>
      <c r="AJ754" s="299"/>
      <c r="AK754" s="299"/>
    </row>
    <row r="755" spans="2:37" ht="13.2">
      <c r="B755" s="299"/>
      <c r="C755" s="299"/>
      <c r="D755" s="299"/>
      <c r="E755" s="299"/>
      <c r="F755" s="299"/>
      <c r="G755" s="299"/>
      <c r="H755" s="299"/>
      <c r="I755" s="299"/>
      <c r="J755" s="299"/>
      <c r="K755" s="299"/>
      <c r="L755" s="299"/>
      <c r="M755" s="299"/>
      <c r="N755" s="299"/>
      <c r="O755" s="299"/>
      <c r="P755" s="299"/>
      <c r="Q755" s="299"/>
      <c r="R755" s="299"/>
      <c r="S755" s="299"/>
      <c r="T755" s="299"/>
      <c r="U755" s="299"/>
      <c r="V755" s="299"/>
      <c r="W755" s="299"/>
      <c r="X755" s="299"/>
      <c r="Y755" s="299"/>
      <c r="Z755" s="299"/>
      <c r="AA755" s="299"/>
      <c r="AB755" s="299"/>
      <c r="AC755" s="299"/>
      <c r="AD755" s="299"/>
      <c r="AE755" s="299"/>
      <c r="AF755" s="299"/>
      <c r="AG755" s="299"/>
      <c r="AH755" s="299"/>
      <c r="AI755" s="299"/>
      <c r="AJ755" s="299"/>
      <c r="AK755" s="299"/>
    </row>
    <row r="756" spans="2:37" ht="13.2">
      <c r="B756" s="299"/>
      <c r="C756" s="299"/>
      <c r="D756" s="299"/>
      <c r="E756" s="299"/>
      <c r="F756" s="299"/>
      <c r="G756" s="299"/>
      <c r="H756" s="299"/>
      <c r="I756" s="299"/>
      <c r="J756" s="299"/>
      <c r="K756" s="299"/>
      <c r="L756" s="299"/>
      <c r="M756" s="299"/>
      <c r="N756" s="299"/>
      <c r="O756" s="299"/>
      <c r="P756" s="299"/>
      <c r="Q756" s="299"/>
      <c r="R756" s="299"/>
      <c r="S756" s="299"/>
      <c r="T756" s="299"/>
      <c r="U756" s="299"/>
      <c r="V756" s="299"/>
      <c r="W756" s="299"/>
      <c r="X756" s="299"/>
      <c r="Y756" s="299"/>
      <c r="Z756" s="299"/>
      <c r="AA756" s="299"/>
      <c r="AB756" s="299"/>
      <c r="AC756" s="299"/>
      <c r="AD756" s="299"/>
      <c r="AE756" s="299"/>
      <c r="AF756" s="299"/>
      <c r="AG756" s="299"/>
      <c r="AH756" s="299"/>
      <c r="AI756" s="299"/>
      <c r="AJ756" s="299"/>
      <c r="AK756" s="299"/>
    </row>
    <row r="757" spans="2:37" ht="13.2">
      <c r="B757" s="299"/>
      <c r="C757" s="299"/>
      <c r="D757" s="299"/>
      <c r="E757" s="299"/>
      <c r="F757" s="299"/>
      <c r="G757" s="299"/>
      <c r="H757" s="299"/>
      <c r="I757" s="299"/>
      <c r="J757" s="299"/>
      <c r="K757" s="299"/>
      <c r="L757" s="299"/>
      <c r="M757" s="299"/>
      <c r="N757" s="299"/>
      <c r="O757" s="299"/>
      <c r="P757" s="299"/>
      <c r="Q757" s="299"/>
      <c r="R757" s="299"/>
      <c r="S757" s="299"/>
      <c r="T757" s="299"/>
      <c r="U757" s="299"/>
      <c r="V757" s="299"/>
      <c r="W757" s="299"/>
      <c r="X757" s="299"/>
      <c r="Y757" s="299"/>
      <c r="Z757" s="299"/>
      <c r="AA757" s="299"/>
      <c r="AB757" s="299"/>
      <c r="AC757" s="299"/>
      <c r="AD757" s="299"/>
      <c r="AE757" s="299"/>
      <c r="AF757" s="299"/>
      <c r="AG757" s="299"/>
      <c r="AH757" s="299"/>
      <c r="AI757" s="299"/>
      <c r="AJ757" s="299"/>
      <c r="AK757" s="299"/>
    </row>
    <row r="758" spans="2:37" ht="13.2">
      <c r="B758" s="299"/>
      <c r="C758" s="299"/>
      <c r="D758" s="299"/>
      <c r="E758" s="299"/>
      <c r="F758" s="299"/>
      <c r="G758" s="299"/>
      <c r="H758" s="299"/>
      <c r="I758" s="299"/>
      <c r="J758" s="299"/>
      <c r="K758" s="299"/>
      <c r="L758" s="299"/>
      <c r="M758" s="299"/>
      <c r="N758" s="299"/>
      <c r="O758" s="299"/>
      <c r="P758" s="299"/>
      <c r="Q758" s="299"/>
      <c r="R758" s="299"/>
      <c r="S758" s="299"/>
      <c r="T758" s="299"/>
      <c r="U758" s="299"/>
      <c r="V758" s="299"/>
      <c r="W758" s="299"/>
      <c r="X758" s="299"/>
      <c r="Y758" s="299"/>
      <c r="Z758" s="299"/>
      <c r="AA758" s="299"/>
      <c r="AB758" s="299"/>
      <c r="AC758" s="299"/>
      <c r="AD758" s="299"/>
      <c r="AE758" s="299"/>
      <c r="AF758" s="299"/>
      <c r="AG758" s="299"/>
      <c r="AH758" s="299"/>
      <c r="AI758" s="299"/>
      <c r="AJ758" s="299"/>
      <c r="AK758" s="299"/>
    </row>
    <row r="759" spans="2:37" ht="13.2">
      <c r="B759" s="299"/>
      <c r="C759" s="299"/>
      <c r="D759" s="299"/>
      <c r="E759" s="299"/>
      <c r="F759" s="299"/>
      <c r="G759" s="299"/>
      <c r="H759" s="299"/>
      <c r="I759" s="299"/>
      <c r="J759" s="299"/>
      <c r="K759" s="299"/>
      <c r="L759" s="299"/>
      <c r="M759" s="299"/>
      <c r="N759" s="299"/>
      <c r="O759" s="299"/>
      <c r="P759" s="299"/>
      <c r="Q759" s="299"/>
      <c r="R759" s="299"/>
      <c r="S759" s="299"/>
      <c r="T759" s="299"/>
      <c r="U759" s="299"/>
      <c r="V759" s="299"/>
      <c r="W759" s="299"/>
      <c r="X759" s="299"/>
      <c r="Y759" s="299"/>
      <c r="Z759" s="299"/>
      <c r="AA759" s="299"/>
      <c r="AB759" s="299"/>
      <c r="AC759" s="299"/>
      <c r="AD759" s="299"/>
      <c r="AE759" s="299"/>
      <c r="AF759" s="299"/>
      <c r="AG759" s="299"/>
      <c r="AH759" s="299"/>
      <c r="AI759" s="299"/>
      <c r="AJ759" s="299"/>
      <c r="AK759" s="299"/>
    </row>
    <row r="760" spans="2:37" ht="13.2">
      <c r="B760" s="299"/>
      <c r="C760" s="299"/>
      <c r="D760" s="299"/>
      <c r="E760" s="299"/>
      <c r="F760" s="299"/>
      <c r="G760" s="299"/>
      <c r="H760" s="299"/>
      <c r="I760" s="299"/>
      <c r="J760" s="299"/>
      <c r="K760" s="299"/>
      <c r="L760" s="299"/>
      <c r="M760" s="299"/>
      <c r="N760" s="299"/>
      <c r="O760" s="299"/>
      <c r="P760" s="299"/>
      <c r="Q760" s="299"/>
      <c r="R760" s="299"/>
      <c r="S760" s="299"/>
      <c r="T760" s="299"/>
      <c r="U760" s="299"/>
      <c r="V760" s="299"/>
      <c r="W760" s="299"/>
      <c r="X760" s="299"/>
      <c r="Y760" s="299"/>
      <c r="Z760" s="299"/>
      <c r="AA760" s="299"/>
      <c r="AB760" s="299"/>
      <c r="AC760" s="299"/>
      <c r="AD760" s="299"/>
      <c r="AE760" s="299"/>
      <c r="AF760" s="299"/>
      <c r="AG760" s="299"/>
      <c r="AH760" s="299"/>
      <c r="AI760" s="299"/>
      <c r="AJ760" s="299"/>
      <c r="AK760" s="299"/>
    </row>
    <row r="761" spans="2:37" ht="13.2">
      <c r="B761" s="299"/>
      <c r="C761" s="299"/>
      <c r="D761" s="299"/>
      <c r="E761" s="299"/>
      <c r="F761" s="299"/>
      <c r="G761" s="299"/>
      <c r="H761" s="299"/>
      <c r="I761" s="299"/>
      <c r="J761" s="299"/>
      <c r="K761" s="299"/>
      <c r="L761" s="299"/>
      <c r="M761" s="299"/>
      <c r="N761" s="299"/>
      <c r="O761" s="299"/>
      <c r="P761" s="299"/>
      <c r="Q761" s="299"/>
      <c r="R761" s="299"/>
      <c r="S761" s="299"/>
      <c r="T761" s="299"/>
      <c r="U761" s="299"/>
      <c r="V761" s="299"/>
      <c r="W761" s="299"/>
      <c r="X761" s="299"/>
      <c r="Y761" s="299"/>
      <c r="Z761" s="299"/>
      <c r="AA761" s="299"/>
      <c r="AB761" s="299"/>
      <c r="AC761" s="299"/>
      <c r="AD761" s="299"/>
      <c r="AE761" s="299"/>
      <c r="AF761" s="299"/>
      <c r="AG761" s="299"/>
      <c r="AH761" s="299"/>
      <c r="AI761" s="299"/>
      <c r="AJ761" s="299"/>
      <c r="AK761" s="299"/>
    </row>
    <row r="762" spans="2:37" ht="13.2">
      <c r="B762" s="299"/>
      <c r="C762" s="299"/>
      <c r="D762" s="299"/>
      <c r="E762" s="299"/>
      <c r="F762" s="299"/>
      <c r="G762" s="299"/>
      <c r="H762" s="299"/>
      <c r="I762" s="299"/>
      <c r="J762" s="299"/>
      <c r="K762" s="299"/>
      <c r="L762" s="299"/>
      <c r="M762" s="299"/>
      <c r="N762" s="299"/>
      <c r="O762" s="299"/>
      <c r="P762" s="299"/>
      <c r="Q762" s="299"/>
      <c r="R762" s="299"/>
      <c r="S762" s="299"/>
      <c r="T762" s="299"/>
      <c r="U762" s="299"/>
      <c r="V762" s="299"/>
      <c r="W762" s="299"/>
      <c r="X762" s="299"/>
      <c r="Y762" s="299"/>
      <c r="Z762" s="299"/>
      <c r="AA762" s="299"/>
      <c r="AB762" s="299"/>
      <c r="AC762" s="299"/>
      <c r="AD762" s="299"/>
      <c r="AE762" s="299"/>
      <c r="AF762" s="299"/>
      <c r="AG762" s="299"/>
      <c r="AH762" s="299"/>
      <c r="AI762" s="299"/>
      <c r="AJ762" s="299"/>
      <c r="AK762" s="299"/>
    </row>
    <row r="763" spans="2:37" ht="13.2">
      <c r="B763" s="299"/>
      <c r="C763" s="299"/>
      <c r="D763" s="299"/>
      <c r="E763" s="299"/>
      <c r="F763" s="299"/>
      <c r="G763" s="299"/>
      <c r="H763" s="299"/>
      <c r="I763" s="299"/>
      <c r="J763" s="299"/>
      <c r="K763" s="299"/>
      <c r="L763" s="299"/>
      <c r="M763" s="299"/>
      <c r="N763" s="299"/>
      <c r="O763" s="299"/>
      <c r="P763" s="299"/>
      <c r="Q763" s="299"/>
      <c r="R763" s="299"/>
      <c r="S763" s="299"/>
      <c r="T763" s="299"/>
      <c r="U763" s="299"/>
      <c r="V763" s="299"/>
      <c r="W763" s="299"/>
      <c r="X763" s="299"/>
      <c r="Y763" s="299"/>
      <c r="Z763" s="299"/>
      <c r="AA763" s="299"/>
      <c r="AB763" s="299"/>
      <c r="AC763" s="299"/>
      <c r="AD763" s="299"/>
      <c r="AE763" s="299"/>
      <c r="AF763" s="299"/>
      <c r="AG763" s="299"/>
      <c r="AH763" s="299"/>
      <c r="AI763" s="299"/>
      <c r="AJ763" s="299"/>
      <c r="AK763" s="299"/>
    </row>
    <row r="764" spans="2:37" ht="13.2">
      <c r="B764" s="299"/>
      <c r="C764" s="299"/>
      <c r="D764" s="299"/>
      <c r="E764" s="299"/>
      <c r="F764" s="299"/>
      <c r="G764" s="299"/>
      <c r="H764" s="299"/>
      <c r="I764" s="299"/>
      <c r="J764" s="299"/>
      <c r="K764" s="299"/>
      <c r="L764" s="299"/>
      <c r="M764" s="299"/>
      <c r="N764" s="299"/>
      <c r="O764" s="299"/>
      <c r="P764" s="299"/>
      <c r="Q764" s="299"/>
      <c r="R764" s="299"/>
      <c r="S764" s="299"/>
      <c r="T764" s="299"/>
      <c r="U764" s="299"/>
      <c r="V764" s="299"/>
      <c r="W764" s="299"/>
      <c r="X764" s="299"/>
      <c r="Y764" s="299"/>
      <c r="Z764" s="299"/>
      <c r="AA764" s="299"/>
      <c r="AB764" s="299"/>
      <c r="AC764" s="299"/>
      <c r="AD764" s="299"/>
      <c r="AE764" s="299"/>
      <c r="AF764" s="299"/>
      <c r="AG764" s="299"/>
      <c r="AH764" s="299"/>
      <c r="AI764" s="299"/>
      <c r="AJ764" s="299"/>
      <c r="AK764" s="299"/>
    </row>
    <row r="765" spans="2:37" ht="13.2">
      <c r="B765" s="299"/>
      <c r="C765" s="299"/>
      <c r="D765" s="299"/>
      <c r="E765" s="299"/>
      <c r="F765" s="299"/>
      <c r="G765" s="299"/>
      <c r="H765" s="299"/>
      <c r="I765" s="299"/>
      <c r="J765" s="299"/>
      <c r="K765" s="299"/>
      <c r="L765" s="299"/>
      <c r="M765" s="299"/>
      <c r="N765" s="299"/>
      <c r="O765" s="299"/>
      <c r="P765" s="299"/>
      <c r="Q765" s="299"/>
      <c r="R765" s="299"/>
      <c r="S765" s="299"/>
      <c r="T765" s="299"/>
      <c r="U765" s="299"/>
      <c r="V765" s="299"/>
      <c r="W765" s="299"/>
      <c r="X765" s="299"/>
      <c r="Y765" s="299"/>
      <c r="Z765" s="299"/>
      <c r="AA765" s="299"/>
      <c r="AB765" s="299"/>
      <c r="AC765" s="299"/>
      <c r="AD765" s="299"/>
      <c r="AE765" s="299"/>
      <c r="AF765" s="299"/>
      <c r="AG765" s="299"/>
      <c r="AH765" s="299"/>
      <c r="AI765" s="299"/>
      <c r="AJ765" s="299"/>
      <c r="AK765" s="299"/>
    </row>
    <row r="766" spans="2:37" ht="13.2">
      <c r="B766" s="299"/>
      <c r="C766" s="299"/>
      <c r="D766" s="299"/>
      <c r="E766" s="299"/>
      <c r="F766" s="299"/>
      <c r="G766" s="299"/>
      <c r="H766" s="299"/>
      <c r="I766" s="299"/>
      <c r="J766" s="299"/>
      <c r="K766" s="299"/>
      <c r="L766" s="299"/>
      <c r="M766" s="299"/>
      <c r="N766" s="299"/>
      <c r="O766" s="299"/>
      <c r="P766" s="299"/>
      <c r="Q766" s="299"/>
      <c r="R766" s="299"/>
      <c r="S766" s="299"/>
      <c r="T766" s="299"/>
      <c r="U766" s="299"/>
      <c r="V766" s="299"/>
      <c r="W766" s="299"/>
      <c r="X766" s="299"/>
      <c r="Y766" s="299"/>
      <c r="Z766" s="299"/>
      <c r="AA766" s="299"/>
      <c r="AB766" s="299"/>
      <c r="AC766" s="299"/>
      <c r="AD766" s="299"/>
      <c r="AE766" s="299"/>
      <c r="AF766" s="299"/>
      <c r="AG766" s="299"/>
      <c r="AH766" s="299"/>
      <c r="AI766" s="299"/>
      <c r="AJ766" s="299"/>
      <c r="AK766" s="299"/>
    </row>
    <row r="767" spans="2:37" ht="13.2">
      <c r="B767" s="299"/>
      <c r="C767" s="299"/>
      <c r="D767" s="299"/>
      <c r="E767" s="299"/>
      <c r="F767" s="299"/>
      <c r="G767" s="299"/>
      <c r="H767" s="299"/>
      <c r="I767" s="299"/>
      <c r="J767" s="299"/>
      <c r="K767" s="299"/>
      <c r="L767" s="299"/>
      <c r="M767" s="299"/>
      <c r="N767" s="299"/>
      <c r="O767" s="299"/>
      <c r="P767" s="299"/>
      <c r="Q767" s="299"/>
      <c r="R767" s="299"/>
      <c r="S767" s="299"/>
      <c r="T767" s="299"/>
      <c r="U767" s="299"/>
      <c r="V767" s="299"/>
      <c r="W767" s="299"/>
      <c r="X767" s="299"/>
      <c r="Y767" s="299"/>
      <c r="Z767" s="299"/>
      <c r="AA767" s="299"/>
      <c r="AB767" s="299"/>
      <c r="AC767" s="299"/>
      <c r="AD767" s="299"/>
      <c r="AE767" s="299"/>
      <c r="AF767" s="299"/>
      <c r="AG767" s="299"/>
      <c r="AH767" s="299"/>
      <c r="AI767" s="299"/>
      <c r="AJ767" s="299"/>
      <c r="AK767" s="299"/>
    </row>
    <row r="768" spans="2:37" ht="13.2">
      <c r="B768" s="299"/>
      <c r="C768" s="299"/>
      <c r="D768" s="299"/>
      <c r="E768" s="299"/>
      <c r="F768" s="299"/>
      <c r="G768" s="299"/>
      <c r="H768" s="299"/>
      <c r="I768" s="299"/>
      <c r="J768" s="299"/>
      <c r="K768" s="299"/>
      <c r="L768" s="299"/>
      <c r="M768" s="299"/>
      <c r="N768" s="299"/>
      <c r="O768" s="299"/>
      <c r="P768" s="299"/>
      <c r="Q768" s="299"/>
      <c r="R768" s="299"/>
      <c r="S768" s="299"/>
      <c r="T768" s="299"/>
      <c r="U768" s="299"/>
      <c r="V768" s="299"/>
      <c r="W768" s="299"/>
      <c r="X768" s="299"/>
      <c r="Y768" s="299"/>
      <c r="Z768" s="299"/>
      <c r="AA768" s="299"/>
      <c r="AB768" s="299"/>
      <c r="AC768" s="299"/>
      <c r="AD768" s="299"/>
      <c r="AE768" s="299"/>
      <c r="AF768" s="299"/>
      <c r="AG768" s="299"/>
      <c r="AH768" s="299"/>
      <c r="AI768" s="299"/>
      <c r="AJ768" s="299"/>
      <c r="AK768" s="299"/>
    </row>
    <row r="769" spans="2:37" ht="13.2">
      <c r="B769" s="299"/>
      <c r="C769" s="299"/>
      <c r="D769" s="299"/>
      <c r="E769" s="299"/>
      <c r="F769" s="299"/>
      <c r="G769" s="299"/>
      <c r="H769" s="299"/>
      <c r="I769" s="299"/>
      <c r="J769" s="299"/>
      <c r="K769" s="299"/>
      <c r="L769" s="299"/>
      <c r="M769" s="299"/>
      <c r="N769" s="299"/>
      <c r="O769" s="299"/>
      <c r="P769" s="299"/>
      <c r="Q769" s="299"/>
      <c r="R769" s="299"/>
      <c r="S769" s="299"/>
      <c r="T769" s="299"/>
      <c r="U769" s="299"/>
      <c r="V769" s="299"/>
      <c r="W769" s="299"/>
      <c r="X769" s="299"/>
      <c r="Y769" s="299"/>
      <c r="Z769" s="299"/>
      <c r="AA769" s="299"/>
      <c r="AB769" s="299"/>
      <c r="AC769" s="299"/>
      <c r="AD769" s="299"/>
      <c r="AE769" s="299"/>
      <c r="AF769" s="299"/>
      <c r="AG769" s="299"/>
      <c r="AH769" s="299"/>
      <c r="AI769" s="299"/>
      <c r="AJ769" s="299"/>
      <c r="AK769" s="299"/>
    </row>
    <row r="770" spans="2:37" ht="13.2">
      <c r="B770" s="299"/>
      <c r="C770" s="299"/>
      <c r="D770" s="299"/>
      <c r="E770" s="299"/>
      <c r="F770" s="299"/>
      <c r="G770" s="299"/>
      <c r="H770" s="299"/>
      <c r="I770" s="299"/>
      <c r="J770" s="299"/>
      <c r="K770" s="299"/>
      <c r="L770" s="299"/>
      <c r="M770" s="299"/>
      <c r="N770" s="299"/>
      <c r="O770" s="299"/>
      <c r="P770" s="299"/>
      <c r="Q770" s="299"/>
      <c r="R770" s="299"/>
      <c r="S770" s="299"/>
      <c r="T770" s="299"/>
      <c r="U770" s="299"/>
      <c r="V770" s="299"/>
      <c r="W770" s="299"/>
      <c r="X770" s="299"/>
      <c r="Y770" s="299"/>
      <c r="Z770" s="299"/>
      <c r="AA770" s="299"/>
      <c r="AB770" s="299"/>
      <c r="AC770" s="299"/>
      <c r="AD770" s="299"/>
      <c r="AE770" s="299"/>
      <c r="AF770" s="299"/>
      <c r="AG770" s="299"/>
      <c r="AH770" s="299"/>
      <c r="AI770" s="299"/>
      <c r="AJ770" s="299"/>
      <c r="AK770" s="299"/>
    </row>
    <row r="771" spans="2:37" ht="13.2">
      <c r="B771" s="299"/>
      <c r="C771" s="299"/>
      <c r="D771" s="299"/>
      <c r="E771" s="299"/>
      <c r="F771" s="299"/>
      <c r="G771" s="299"/>
      <c r="H771" s="299"/>
      <c r="I771" s="299"/>
      <c r="J771" s="299"/>
      <c r="K771" s="299"/>
      <c r="L771" s="299"/>
      <c r="M771" s="299"/>
      <c r="N771" s="299"/>
      <c r="O771" s="299"/>
      <c r="P771" s="299"/>
      <c r="Q771" s="299"/>
      <c r="R771" s="299"/>
      <c r="S771" s="299"/>
      <c r="T771" s="299"/>
      <c r="U771" s="299"/>
      <c r="V771" s="299"/>
      <c r="W771" s="299"/>
      <c r="X771" s="299"/>
      <c r="Y771" s="299"/>
      <c r="Z771" s="299"/>
      <c r="AA771" s="299"/>
      <c r="AB771" s="299"/>
      <c r="AC771" s="299"/>
      <c r="AD771" s="299"/>
      <c r="AE771" s="299"/>
      <c r="AF771" s="299"/>
      <c r="AG771" s="299"/>
      <c r="AH771" s="299"/>
      <c r="AI771" s="299"/>
      <c r="AJ771" s="299"/>
      <c r="AK771" s="299"/>
    </row>
    <row r="772" spans="2:37" ht="13.2">
      <c r="B772" s="299"/>
      <c r="C772" s="299"/>
      <c r="D772" s="299"/>
      <c r="E772" s="299"/>
      <c r="F772" s="299"/>
      <c r="G772" s="299"/>
      <c r="H772" s="299"/>
      <c r="I772" s="299"/>
      <c r="J772" s="299"/>
      <c r="K772" s="299"/>
      <c r="L772" s="299"/>
      <c r="M772" s="299"/>
      <c r="N772" s="299"/>
      <c r="O772" s="299"/>
      <c r="P772" s="299"/>
      <c r="Q772" s="299"/>
      <c r="R772" s="299"/>
      <c r="S772" s="299"/>
      <c r="T772" s="299"/>
      <c r="U772" s="299"/>
      <c r="V772" s="299"/>
      <c r="W772" s="299"/>
      <c r="X772" s="299"/>
      <c r="Y772" s="299"/>
      <c r="Z772" s="299"/>
      <c r="AA772" s="299"/>
      <c r="AB772" s="299"/>
      <c r="AC772" s="299"/>
      <c r="AD772" s="299"/>
      <c r="AE772" s="299"/>
      <c r="AF772" s="299"/>
      <c r="AG772" s="299"/>
      <c r="AH772" s="299"/>
      <c r="AI772" s="299"/>
      <c r="AJ772" s="299"/>
      <c r="AK772" s="299"/>
    </row>
    <row r="773" spans="2:37" ht="13.2">
      <c r="B773" s="299"/>
      <c r="C773" s="299"/>
      <c r="D773" s="299"/>
      <c r="E773" s="299"/>
      <c r="F773" s="299"/>
      <c r="G773" s="299"/>
      <c r="H773" s="299"/>
      <c r="I773" s="299"/>
      <c r="J773" s="299"/>
      <c r="K773" s="299"/>
      <c r="L773" s="299"/>
      <c r="M773" s="299"/>
      <c r="N773" s="299"/>
      <c r="O773" s="299"/>
      <c r="P773" s="299"/>
      <c r="Q773" s="299"/>
      <c r="R773" s="299"/>
      <c r="S773" s="299"/>
      <c r="T773" s="299"/>
      <c r="U773" s="299"/>
      <c r="V773" s="299"/>
      <c r="W773" s="299"/>
      <c r="X773" s="299"/>
      <c r="Y773" s="299"/>
      <c r="Z773" s="299"/>
      <c r="AA773" s="299"/>
      <c r="AB773" s="299"/>
      <c r="AC773" s="299"/>
      <c r="AD773" s="299"/>
      <c r="AE773" s="299"/>
      <c r="AF773" s="299"/>
      <c r="AG773" s="299"/>
      <c r="AH773" s="299"/>
      <c r="AI773" s="299"/>
      <c r="AJ773" s="299"/>
      <c r="AK773" s="299"/>
    </row>
    <row r="774" spans="2:37" ht="13.2">
      <c r="B774" s="299"/>
      <c r="C774" s="299"/>
      <c r="D774" s="299"/>
      <c r="E774" s="299"/>
      <c r="F774" s="299"/>
      <c r="G774" s="299"/>
      <c r="H774" s="299"/>
      <c r="I774" s="299"/>
      <c r="J774" s="299"/>
      <c r="K774" s="299"/>
      <c r="L774" s="299"/>
      <c r="M774" s="299"/>
      <c r="N774" s="299"/>
      <c r="O774" s="299"/>
      <c r="P774" s="299"/>
      <c r="Q774" s="299"/>
      <c r="R774" s="299"/>
      <c r="S774" s="299"/>
      <c r="T774" s="299"/>
      <c r="U774" s="299"/>
      <c r="V774" s="299"/>
      <c r="W774" s="299"/>
      <c r="X774" s="299"/>
      <c r="Y774" s="299"/>
      <c r="Z774" s="299"/>
      <c r="AA774" s="299"/>
      <c r="AB774" s="299"/>
      <c r="AC774" s="299"/>
      <c r="AD774" s="299"/>
      <c r="AE774" s="299"/>
      <c r="AF774" s="299"/>
      <c r="AG774" s="299"/>
      <c r="AH774" s="299"/>
      <c r="AI774" s="299"/>
      <c r="AJ774" s="299"/>
      <c r="AK774" s="299"/>
    </row>
    <row r="775" spans="2:37" ht="13.2">
      <c r="B775" s="299"/>
      <c r="C775" s="299"/>
      <c r="D775" s="299"/>
      <c r="E775" s="299"/>
      <c r="F775" s="299"/>
      <c r="G775" s="299"/>
      <c r="H775" s="299"/>
      <c r="I775" s="299"/>
      <c r="J775" s="299"/>
      <c r="K775" s="299"/>
      <c r="L775" s="299"/>
      <c r="M775" s="299"/>
      <c r="N775" s="299"/>
      <c r="O775" s="299"/>
      <c r="P775" s="299"/>
      <c r="Q775" s="299"/>
      <c r="R775" s="299"/>
      <c r="S775" s="299"/>
      <c r="T775" s="299"/>
      <c r="U775" s="299"/>
      <c r="V775" s="299"/>
      <c r="W775" s="299"/>
      <c r="X775" s="299"/>
      <c r="Y775" s="299"/>
      <c r="Z775" s="299"/>
      <c r="AA775" s="299"/>
      <c r="AB775" s="299"/>
      <c r="AC775" s="299"/>
      <c r="AD775" s="299"/>
      <c r="AE775" s="299"/>
      <c r="AF775" s="299"/>
      <c r="AG775" s="299"/>
      <c r="AH775" s="299"/>
      <c r="AI775" s="299"/>
      <c r="AJ775" s="299"/>
      <c r="AK775" s="299"/>
    </row>
    <row r="776" spans="2:37" ht="13.2">
      <c r="B776" s="299"/>
      <c r="C776" s="299"/>
      <c r="D776" s="299"/>
      <c r="E776" s="299"/>
      <c r="F776" s="299"/>
      <c r="G776" s="299"/>
      <c r="H776" s="299"/>
      <c r="I776" s="299"/>
      <c r="J776" s="299"/>
      <c r="K776" s="299"/>
      <c r="L776" s="299"/>
      <c r="M776" s="299"/>
      <c r="N776" s="299"/>
      <c r="O776" s="299"/>
      <c r="P776" s="299"/>
      <c r="Q776" s="299"/>
      <c r="R776" s="299"/>
      <c r="S776" s="299"/>
      <c r="T776" s="299"/>
      <c r="U776" s="299"/>
      <c r="V776" s="299"/>
      <c r="W776" s="299"/>
      <c r="X776" s="299"/>
      <c r="Y776" s="299"/>
      <c r="Z776" s="299"/>
      <c r="AA776" s="299"/>
      <c r="AB776" s="299"/>
      <c r="AC776" s="299"/>
      <c r="AD776" s="299"/>
      <c r="AE776" s="299"/>
      <c r="AF776" s="299"/>
      <c r="AG776" s="299"/>
      <c r="AH776" s="299"/>
      <c r="AI776" s="299"/>
      <c r="AJ776" s="299"/>
      <c r="AK776" s="299"/>
    </row>
    <row r="777" spans="2:37" ht="13.2">
      <c r="B777" s="299"/>
      <c r="C777" s="299"/>
      <c r="D777" s="299"/>
      <c r="E777" s="299"/>
      <c r="F777" s="299"/>
      <c r="G777" s="299"/>
      <c r="H777" s="299"/>
      <c r="I777" s="299"/>
      <c r="J777" s="299"/>
      <c r="K777" s="299"/>
      <c r="L777" s="299"/>
      <c r="M777" s="299"/>
      <c r="N777" s="299"/>
      <c r="O777" s="299"/>
      <c r="P777" s="299"/>
      <c r="Q777" s="299"/>
      <c r="R777" s="299"/>
      <c r="S777" s="299"/>
      <c r="T777" s="299"/>
      <c r="U777" s="299"/>
      <c r="V777" s="299"/>
      <c r="W777" s="299"/>
      <c r="X777" s="299"/>
      <c r="Y777" s="299"/>
      <c r="Z777" s="299"/>
      <c r="AA777" s="299"/>
      <c r="AB777" s="299"/>
      <c r="AC777" s="299"/>
      <c r="AD777" s="299"/>
      <c r="AE777" s="299"/>
      <c r="AF777" s="299"/>
      <c r="AG777" s="299"/>
      <c r="AH777" s="299"/>
      <c r="AI777" s="299"/>
      <c r="AJ777" s="299"/>
      <c r="AK777" s="299"/>
    </row>
    <row r="778" spans="2:37" ht="13.2">
      <c r="B778" s="299"/>
      <c r="C778" s="299"/>
      <c r="D778" s="299"/>
      <c r="E778" s="299"/>
      <c r="F778" s="299"/>
      <c r="G778" s="299"/>
      <c r="H778" s="299"/>
      <c r="I778" s="299"/>
      <c r="J778" s="299"/>
      <c r="K778" s="299"/>
      <c r="L778" s="299"/>
      <c r="M778" s="299"/>
      <c r="N778" s="299"/>
      <c r="O778" s="299"/>
      <c r="P778" s="299"/>
      <c r="Q778" s="299"/>
      <c r="R778" s="299"/>
      <c r="S778" s="299"/>
      <c r="T778" s="299"/>
      <c r="U778" s="299"/>
      <c r="V778" s="299"/>
      <c r="W778" s="299"/>
      <c r="X778" s="299"/>
      <c r="Y778" s="299"/>
      <c r="Z778" s="299"/>
      <c r="AA778" s="299"/>
      <c r="AB778" s="299"/>
      <c r="AC778" s="299"/>
      <c r="AD778" s="299"/>
      <c r="AE778" s="299"/>
      <c r="AF778" s="299"/>
      <c r="AG778" s="299"/>
      <c r="AH778" s="299"/>
      <c r="AI778" s="299"/>
      <c r="AJ778" s="299"/>
      <c r="AK778" s="299"/>
    </row>
    <row r="779" spans="2:37" ht="13.2">
      <c r="B779" s="299"/>
      <c r="C779" s="299"/>
      <c r="D779" s="299"/>
      <c r="E779" s="299"/>
      <c r="F779" s="299"/>
      <c r="G779" s="299"/>
      <c r="H779" s="299"/>
      <c r="I779" s="299"/>
      <c r="J779" s="299"/>
      <c r="K779" s="299"/>
      <c r="L779" s="299"/>
      <c r="M779" s="299"/>
      <c r="N779" s="299"/>
      <c r="O779" s="299"/>
      <c r="P779" s="299"/>
      <c r="Q779" s="299"/>
      <c r="R779" s="299"/>
      <c r="S779" s="299"/>
      <c r="T779" s="299"/>
      <c r="U779" s="299"/>
      <c r="V779" s="299"/>
      <c r="W779" s="299"/>
      <c r="X779" s="299"/>
      <c r="Y779" s="299"/>
      <c r="Z779" s="299"/>
      <c r="AA779" s="299"/>
      <c r="AB779" s="299"/>
      <c r="AC779" s="299"/>
      <c r="AD779" s="299"/>
      <c r="AE779" s="299"/>
      <c r="AF779" s="299"/>
      <c r="AG779" s="299"/>
      <c r="AH779" s="299"/>
      <c r="AI779" s="299"/>
      <c r="AJ779" s="299"/>
      <c r="AK779" s="299"/>
    </row>
    <row r="780" spans="2:37" ht="13.2">
      <c r="B780" s="299"/>
      <c r="C780" s="299"/>
      <c r="D780" s="299"/>
      <c r="E780" s="299"/>
      <c r="F780" s="299"/>
      <c r="G780" s="299"/>
      <c r="H780" s="299"/>
      <c r="I780" s="299"/>
      <c r="J780" s="299"/>
      <c r="K780" s="299"/>
      <c r="L780" s="299"/>
      <c r="M780" s="299"/>
      <c r="N780" s="299"/>
      <c r="O780" s="299"/>
      <c r="P780" s="299"/>
      <c r="Q780" s="299"/>
      <c r="R780" s="299"/>
      <c r="S780" s="299"/>
      <c r="T780" s="299"/>
      <c r="U780" s="299"/>
      <c r="V780" s="299"/>
      <c r="W780" s="299"/>
      <c r="X780" s="299"/>
      <c r="Y780" s="299"/>
      <c r="Z780" s="299"/>
      <c r="AA780" s="299"/>
      <c r="AB780" s="299"/>
      <c r="AC780" s="299"/>
      <c r="AD780" s="299"/>
      <c r="AE780" s="299"/>
      <c r="AF780" s="299"/>
      <c r="AG780" s="299"/>
      <c r="AH780" s="299"/>
      <c r="AI780" s="299"/>
      <c r="AJ780" s="299"/>
      <c r="AK780" s="299"/>
    </row>
    <row r="781" spans="2:37" ht="13.2">
      <c r="B781" s="299"/>
      <c r="C781" s="299"/>
      <c r="D781" s="299"/>
      <c r="E781" s="299"/>
      <c r="F781" s="299"/>
      <c r="G781" s="299"/>
      <c r="H781" s="299"/>
      <c r="I781" s="299"/>
      <c r="J781" s="299"/>
      <c r="K781" s="299"/>
      <c r="L781" s="299"/>
      <c r="M781" s="299"/>
      <c r="N781" s="299"/>
      <c r="O781" s="299"/>
      <c r="P781" s="299"/>
      <c r="Q781" s="299"/>
      <c r="R781" s="299"/>
      <c r="S781" s="299"/>
      <c r="T781" s="299"/>
      <c r="U781" s="299"/>
      <c r="V781" s="299"/>
      <c r="W781" s="299"/>
      <c r="X781" s="299"/>
      <c r="Y781" s="299"/>
      <c r="Z781" s="299"/>
      <c r="AA781" s="299"/>
      <c r="AB781" s="299"/>
      <c r="AC781" s="299"/>
      <c r="AD781" s="299"/>
      <c r="AE781" s="299"/>
      <c r="AF781" s="299"/>
      <c r="AG781" s="299"/>
      <c r="AH781" s="299"/>
      <c r="AI781" s="299"/>
      <c r="AJ781" s="299"/>
      <c r="AK781" s="299"/>
    </row>
    <row r="782" spans="2:37" ht="13.2">
      <c r="B782" s="299"/>
      <c r="C782" s="299"/>
      <c r="D782" s="299"/>
      <c r="E782" s="299"/>
      <c r="F782" s="299"/>
      <c r="G782" s="299"/>
      <c r="H782" s="299"/>
      <c r="I782" s="299"/>
      <c r="J782" s="299"/>
      <c r="K782" s="299"/>
      <c r="L782" s="299"/>
      <c r="M782" s="299"/>
      <c r="N782" s="299"/>
      <c r="O782" s="299"/>
      <c r="P782" s="299"/>
      <c r="Q782" s="299"/>
      <c r="R782" s="299"/>
      <c r="S782" s="299"/>
      <c r="T782" s="299"/>
      <c r="U782" s="299"/>
      <c r="V782" s="299"/>
      <c r="W782" s="299"/>
      <c r="X782" s="299"/>
      <c r="Y782" s="299"/>
      <c r="Z782" s="299"/>
      <c r="AA782" s="299"/>
      <c r="AB782" s="299"/>
      <c r="AC782" s="299"/>
      <c r="AD782" s="299"/>
      <c r="AE782" s="299"/>
      <c r="AF782" s="299"/>
      <c r="AG782" s="299"/>
      <c r="AH782" s="299"/>
      <c r="AI782" s="299"/>
      <c r="AJ782" s="299"/>
      <c r="AK782" s="299"/>
    </row>
    <row r="783" spans="2:37" ht="13.2">
      <c r="B783" s="299"/>
      <c r="C783" s="299"/>
      <c r="D783" s="299"/>
      <c r="E783" s="299"/>
      <c r="F783" s="299"/>
      <c r="G783" s="299"/>
      <c r="H783" s="299"/>
      <c r="I783" s="299"/>
      <c r="J783" s="299"/>
      <c r="K783" s="299"/>
      <c r="L783" s="299"/>
      <c r="M783" s="299"/>
      <c r="N783" s="299"/>
      <c r="O783" s="299"/>
      <c r="P783" s="299"/>
      <c r="Q783" s="299"/>
      <c r="R783" s="299"/>
      <c r="S783" s="299"/>
      <c r="T783" s="299"/>
      <c r="U783" s="299"/>
      <c r="V783" s="299"/>
      <c r="W783" s="299"/>
      <c r="X783" s="299"/>
      <c r="Y783" s="299"/>
      <c r="Z783" s="299"/>
      <c r="AA783" s="299"/>
      <c r="AB783" s="299"/>
      <c r="AC783" s="299"/>
      <c r="AD783" s="299"/>
      <c r="AE783" s="299"/>
      <c r="AF783" s="299"/>
      <c r="AG783" s="299"/>
      <c r="AH783" s="299"/>
      <c r="AI783" s="299"/>
      <c r="AJ783" s="299"/>
      <c r="AK783" s="299"/>
    </row>
    <row r="784" spans="2:37" ht="13.2">
      <c r="B784" s="299"/>
      <c r="C784" s="299"/>
      <c r="D784" s="299"/>
      <c r="E784" s="299"/>
      <c r="F784" s="299"/>
      <c r="G784" s="299"/>
      <c r="H784" s="299"/>
      <c r="I784" s="299"/>
      <c r="J784" s="299"/>
      <c r="K784" s="299"/>
      <c r="L784" s="299"/>
      <c r="M784" s="299"/>
      <c r="N784" s="299"/>
      <c r="O784" s="299"/>
      <c r="P784" s="299"/>
      <c r="Q784" s="299"/>
      <c r="R784" s="299"/>
      <c r="S784" s="299"/>
      <c r="T784" s="299"/>
      <c r="U784" s="299"/>
      <c r="V784" s="299"/>
      <c r="W784" s="299"/>
      <c r="X784" s="299"/>
      <c r="Y784" s="299"/>
      <c r="Z784" s="299"/>
      <c r="AA784" s="299"/>
      <c r="AB784" s="299"/>
      <c r="AC784" s="299"/>
      <c r="AD784" s="299"/>
      <c r="AE784" s="299"/>
      <c r="AF784" s="299"/>
      <c r="AG784" s="299"/>
      <c r="AH784" s="299"/>
      <c r="AI784" s="299"/>
      <c r="AJ784" s="299"/>
      <c r="AK784" s="299"/>
    </row>
    <row r="785" spans="2:37" ht="13.2">
      <c r="B785" s="299"/>
      <c r="C785" s="299"/>
      <c r="D785" s="299"/>
      <c r="E785" s="299"/>
      <c r="F785" s="299"/>
      <c r="G785" s="299"/>
      <c r="H785" s="299"/>
      <c r="I785" s="299"/>
      <c r="J785" s="299"/>
      <c r="K785" s="299"/>
      <c r="L785" s="299"/>
      <c r="M785" s="299"/>
      <c r="N785" s="299"/>
      <c r="O785" s="299"/>
      <c r="P785" s="299"/>
      <c r="Q785" s="299"/>
      <c r="R785" s="299"/>
      <c r="S785" s="299"/>
      <c r="T785" s="299"/>
      <c r="U785" s="299"/>
      <c r="V785" s="299"/>
      <c r="W785" s="299"/>
      <c r="X785" s="299"/>
      <c r="Y785" s="299"/>
      <c r="Z785" s="299"/>
      <c r="AA785" s="299"/>
      <c r="AB785" s="299"/>
      <c r="AC785" s="299"/>
      <c r="AD785" s="299"/>
      <c r="AE785" s="299"/>
      <c r="AF785" s="299"/>
      <c r="AG785" s="299"/>
      <c r="AH785" s="299"/>
      <c r="AI785" s="299"/>
      <c r="AJ785" s="299"/>
      <c r="AK785" s="299"/>
    </row>
    <row r="786" spans="2:37" ht="13.2">
      <c r="B786" s="299"/>
      <c r="C786" s="299"/>
      <c r="D786" s="299"/>
      <c r="E786" s="299"/>
      <c r="F786" s="299"/>
      <c r="G786" s="299"/>
      <c r="H786" s="299"/>
      <c r="I786" s="299"/>
      <c r="J786" s="299"/>
      <c r="K786" s="299"/>
      <c r="L786" s="299"/>
      <c r="M786" s="299"/>
      <c r="N786" s="299"/>
      <c r="O786" s="299"/>
      <c r="P786" s="299"/>
      <c r="Q786" s="299"/>
      <c r="R786" s="299"/>
      <c r="S786" s="299"/>
      <c r="T786" s="299"/>
      <c r="U786" s="299"/>
      <c r="V786" s="299"/>
      <c r="W786" s="299"/>
      <c r="X786" s="299"/>
      <c r="Y786" s="299"/>
      <c r="Z786" s="299"/>
      <c r="AA786" s="299"/>
      <c r="AB786" s="299"/>
      <c r="AC786" s="299"/>
      <c r="AD786" s="299"/>
      <c r="AE786" s="299"/>
      <c r="AF786" s="299"/>
      <c r="AG786" s="299"/>
      <c r="AH786" s="299"/>
      <c r="AI786" s="299"/>
      <c r="AJ786" s="299"/>
      <c r="AK786" s="299"/>
    </row>
    <row r="787" spans="2:37" ht="13.2">
      <c r="B787" s="299"/>
      <c r="C787" s="299"/>
      <c r="D787" s="299"/>
      <c r="E787" s="299"/>
      <c r="F787" s="299"/>
      <c r="G787" s="299"/>
      <c r="H787" s="299"/>
      <c r="I787" s="299"/>
      <c r="J787" s="299"/>
      <c r="K787" s="299"/>
      <c r="L787" s="299"/>
      <c r="M787" s="299"/>
      <c r="N787" s="299"/>
      <c r="O787" s="299"/>
      <c r="P787" s="299"/>
      <c r="Q787" s="299"/>
      <c r="R787" s="299"/>
      <c r="S787" s="299"/>
      <c r="T787" s="299"/>
      <c r="U787" s="299"/>
      <c r="V787" s="299"/>
      <c r="W787" s="299"/>
      <c r="X787" s="299"/>
      <c r="Y787" s="299"/>
      <c r="Z787" s="299"/>
      <c r="AA787" s="299"/>
      <c r="AB787" s="299"/>
      <c r="AC787" s="299"/>
      <c r="AD787" s="299"/>
      <c r="AE787" s="299"/>
      <c r="AF787" s="299"/>
      <c r="AG787" s="299"/>
      <c r="AH787" s="299"/>
      <c r="AI787" s="299"/>
      <c r="AJ787" s="299"/>
      <c r="AK787" s="299"/>
    </row>
    <row r="788" spans="2:37" ht="13.2">
      <c r="B788" s="299"/>
      <c r="C788" s="299"/>
      <c r="D788" s="299"/>
      <c r="E788" s="299"/>
      <c r="F788" s="299"/>
      <c r="G788" s="299"/>
      <c r="H788" s="299"/>
      <c r="I788" s="299"/>
      <c r="J788" s="299"/>
      <c r="K788" s="299"/>
      <c r="L788" s="299"/>
      <c r="M788" s="299"/>
      <c r="N788" s="299"/>
      <c r="O788" s="299"/>
      <c r="P788" s="299"/>
      <c r="Q788" s="299"/>
      <c r="R788" s="299"/>
      <c r="S788" s="299"/>
      <c r="T788" s="299"/>
      <c r="U788" s="299"/>
      <c r="V788" s="299"/>
      <c r="W788" s="299"/>
      <c r="X788" s="299"/>
      <c r="Y788" s="299"/>
      <c r="Z788" s="299"/>
      <c r="AA788" s="299"/>
      <c r="AB788" s="299"/>
      <c r="AC788" s="299"/>
      <c r="AD788" s="299"/>
      <c r="AE788" s="299"/>
      <c r="AF788" s="299"/>
      <c r="AG788" s="299"/>
      <c r="AH788" s="299"/>
      <c r="AI788" s="299"/>
      <c r="AJ788" s="299"/>
      <c r="AK788" s="299"/>
    </row>
    <row r="789" spans="2:37" ht="13.2">
      <c r="B789" s="299"/>
      <c r="C789" s="299"/>
      <c r="D789" s="299"/>
      <c r="E789" s="299"/>
      <c r="F789" s="299"/>
      <c r="G789" s="299"/>
      <c r="H789" s="299"/>
      <c r="I789" s="299"/>
      <c r="J789" s="299"/>
      <c r="K789" s="299"/>
      <c r="L789" s="299"/>
      <c r="M789" s="299"/>
      <c r="N789" s="299"/>
      <c r="O789" s="299"/>
      <c r="P789" s="299"/>
      <c r="Q789" s="299"/>
      <c r="R789" s="299"/>
      <c r="S789" s="299"/>
      <c r="T789" s="299"/>
      <c r="U789" s="299"/>
      <c r="V789" s="299"/>
      <c r="W789" s="299"/>
      <c r="X789" s="299"/>
      <c r="Y789" s="299"/>
      <c r="Z789" s="299"/>
      <c r="AA789" s="299"/>
      <c r="AB789" s="299"/>
      <c r="AC789" s="299"/>
      <c r="AD789" s="299"/>
      <c r="AE789" s="299"/>
      <c r="AF789" s="299"/>
      <c r="AG789" s="299"/>
      <c r="AH789" s="299"/>
      <c r="AI789" s="299"/>
      <c r="AJ789" s="299"/>
      <c r="AK789" s="299"/>
    </row>
    <row r="790" spans="2:37" ht="13.2">
      <c r="B790" s="299"/>
      <c r="C790" s="299"/>
      <c r="D790" s="299"/>
      <c r="E790" s="299"/>
      <c r="F790" s="299"/>
      <c r="G790" s="299"/>
      <c r="H790" s="299"/>
      <c r="I790" s="299"/>
      <c r="J790" s="299"/>
      <c r="K790" s="299"/>
      <c r="L790" s="299"/>
      <c r="M790" s="299"/>
      <c r="N790" s="299"/>
      <c r="O790" s="299"/>
      <c r="P790" s="299"/>
      <c r="Q790" s="299"/>
      <c r="R790" s="299"/>
      <c r="S790" s="299"/>
      <c r="T790" s="299"/>
      <c r="U790" s="299"/>
      <c r="V790" s="299"/>
      <c r="W790" s="299"/>
      <c r="X790" s="299"/>
      <c r="Y790" s="299"/>
      <c r="Z790" s="299"/>
      <c r="AA790" s="299"/>
      <c r="AB790" s="299"/>
      <c r="AC790" s="299"/>
      <c r="AD790" s="299"/>
      <c r="AE790" s="299"/>
      <c r="AF790" s="299"/>
      <c r="AG790" s="299"/>
      <c r="AH790" s="299"/>
      <c r="AI790" s="299"/>
      <c r="AJ790" s="299"/>
      <c r="AK790" s="299"/>
    </row>
    <row r="791" spans="2:37" ht="13.2">
      <c r="B791" s="299"/>
      <c r="C791" s="299"/>
      <c r="D791" s="299"/>
      <c r="E791" s="299"/>
      <c r="F791" s="299"/>
      <c r="G791" s="299"/>
      <c r="H791" s="299"/>
      <c r="I791" s="299"/>
      <c r="J791" s="299"/>
      <c r="K791" s="299"/>
      <c r="L791" s="299"/>
      <c r="M791" s="299"/>
      <c r="N791" s="299"/>
      <c r="O791" s="299"/>
      <c r="P791" s="299"/>
      <c r="Q791" s="299"/>
      <c r="R791" s="299"/>
      <c r="S791" s="299"/>
      <c r="T791" s="299"/>
      <c r="U791" s="299"/>
      <c r="V791" s="299"/>
      <c r="W791" s="299"/>
      <c r="X791" s="299"/>
      <c r="Y791" s="299"/>
      <c r="Z791" s="299"/>
      <c r="AA791" s="299"/>
      <c r="AB791" s="299"/>
      <c r="AC791" s="299"/>
      <c r="AD791" s="299"/>
      <c r="AE791" s="299"/>
      <c r="AF791" s="299"/>
      <c r="AG791" s="299"/>
      <c r="AH791" s="299"/>
      <c r="AI791" s="299"/>
      <c r="AJ791" s="299"/>
      <c r="AK791" s="299"/>
    </row>
    <row r="792" spans="2:37" ht="13.2">
      <c r="B792" s="299"/>
      <c r="C792" s="299"/>
      <c r="D792" s="299"/>
      <c r="E792" s="299"/>
      <c r="F792" s="299"/>
      <c r="G792" s="299"/>
      <c r="H792" s="299"/>
      <c r="I792" s="299"/>
      <c r="J792" s="299"/>
      <c r="K792" s="299"/>
      <c r="L792" s="299"/>
      <c r="M792" s="299"/>
      <c r="N792" s="299"/>
      <c r="O792" s="299"/>
      <c r="P792" s="299"/>
      <c r="Q792" s="299"/>
      <c r="R792" s="299"/>
      <c r="S792" s="299"/>
      <c r="T792" s="299"/>
      <c r="U792" s="299"/>
      <c r="V792" s="299"/>
      <c r="W792" s="299"/>
      <c r="X792" s="299"/>
      <c r="Y792" s="299"/>
      <c r="Z792" s="299"/>
      <c r="AA792" s="299"/>
      <c r="AB792" s="299"/>
      <c r="AC792" s="299"/>
      <c r="AD792" s="299"/>
      <c r="AE792" s="299"/>
      <c r="AF792" s="299"/>
      <c r="AG792" s="299"/>
      <c r="AH792" s="299"/>
      <c r="AI792" s="299"/>
      <c r="AJ792" s="299"/>
      <c r="AK792" s="299"/>
    </row>
    <row r="793" spans="2:37" ht="13.2">
      <c r="B793" s="299"/>
      <c r="C793" s="299"/>
      <c r="D793" s="299"/>
      <c r="E793" s="299"/>
      <c r="F793" s="299"/>
      <c r="G793" s="299"/>
      <c r="H793" s="299"/>
      <c r="I793" s="299"/>
      <c r="J793" s="299"/>
      <c r="K793" s="299"/>
      <c r="L793" s="299"/>
      <c r="M793" s="299"/>
      <c r="N793" s="299"/>
      <c r="O793" s="299"/>
      <c r="P793" s="299"/>
      <c r="Q793" s="299"/>
      <c r="R793" s="299"/>
      <c r="S793" s="299"/>
      <c r="T793" s="299"/>
      <c r="U793" s="299"/>
      <c r="V793" s="299"/>
      <c r="W793" s="299"/>
      <c r="X793" s="299"/>
      <c r="Y793" s="299"/>
      <c r="Z793" s="299"/>
      <c r="AA793" s="299"/>
      <c r="AB793" s="299"/>
      <c r="AC793" s="299"/>
      <c r="AD793" s="299"/>
      <c r="AE793" s="299"/>
      <c r="AF793" s="299"/>
      <c r="AG793" s="299"/>
      <c r="AH793" s="299"/>
      <c r="AI793" s="299"/>
      <c r="AJ793" s="299"/>
      <c r="AK793" s="299"/>
    </row>
    <row r="794" spans="2:37" ht="13.2">
      <c r="B794" s="299"/>
      <c r="C794" s="299"/>
      <c r="D794" s="299"/>
      <c r="E794" s="299"/>
      <c r="F794" s="299"/>
      <c r="G794" s="299"/>
      <c r="H794" s="299"/>
      <c r="I794" s="299"/>
      <c r="J794" s="299"/>
      <c r="K794" s="299"/>
      <c r="L794" s="299"/>
      <c r="M794" s="299"/>
      <c r="N794" s="299"/>
      <c r="O794" s="299"/>
      <c r="P794" s="299"/>
      <c r="Q794" s="299"/>
      <c r="R794" s="299"/>
      <c r="S794" s="299"/>
      <c r="T794" s="299"/>
      <c r="U794" s="299"/>
      <c r="V794" s="299"/>
      <c r="W794" s="299"/>
      <c r="X794" s="299"/>
      <c r="Y794" s="299"/>
      <c r="Z794" s="299"/>
      <c r="AA794" s="299"/>
      <c r="AB794" s="299"/>
      <c r="AC794" s="299"/>
      <c r="AD794" s="299"/>
      <c r="AE794" s="299"/>
      <c r="AF794" s="299"/>
      <c r="AG794" s="299"/>
      <c r="AH794" s="299"/>
      <c r="AI794" s="299"/>
      <c r="AJ794" s="299"/>
      <c r="AK794" s="299"/>
    </row>
    <row r="795" spans="2:37" ht="13.2">
      <c r="B795" s="299"/>
      <c r="C795" s="299"/>
      <c r="D795" s="299"/>
      <c r="E795" s="299"/>
      <c r="F795" s="299"/>
      <c r="G795" s="299"/>
      <c r="H795" s="299"/>
      <c r="I795" s="299"/>
      <c r="J795" s="299"/>
      <c r="K795" s="299"/>
      <c r="L795" s="299"/>
      <c r="M795" s="299"/>
      <c r="N795" s="299"/>
      <c r="O795" s="299"/>
      <c r="P795" s="299"/>
      <c r="Q795" s="299"/>
      <c r="R795" s="299"/>
      <c r="S795" s="299"/>
      <c r="T795" s="299"/>
      <c r="U795" s="299"/>
      <c r="V795" s="299"/>
      <c r="W795" s="299"/>
      <c r="X795" s="299"/>
      <c r="Y795" s="299"/>
      <c r="Z795" s="299"/>
      <c r="AA795" s="299"/>
      <c r="AB795" s="299"/>
      <c r="AC795" s="299"/>
      <c r="AD795" s="299"/>
      <c r="AE795" s="299"/>
      <c r="AF795" s="299"/>
      <c r="AG795" s="299"/>
      <c r="AH795" s="299"/>
      <c r="AI795" s="299"/>
      <c r="AJ795" s="299"/>
      <c r="AK795" s="299"/>
    </row>
    <row r="796" spans="2:37" ht="13.2">
      <c r="B796" s="299"/>
      <c r="C796" s="299"/>
      <c r="D796" s="299"/>
      <c r="E796" s="299"/>
      <c r="F796" s="299"/>
      <c r="G796" s="299"/>
      <c r="H796" s="299"/>
      <c r="I796" s="299"/>
      <c r="J796" s="299"/>
      <c r="K796" s="299"/>
      <c r="L796" s="299"/>
      <c r="M796" s="299"/>
      <c r="N796" s="299"/>
      <c r="O796" s="299"/>
      <c r="P796" s="299"/>
      <c r="Q796" s="299"/>
      <c r="R796" s="299"/>
      <c r="S796" s="299"/>
      <c r="T796" s="299"/>
      <c r="U796" s="299"/>
      <c r="V796" s="299"/>
      <c r="W796" s="299"/>
      <c r="X796" s="299"/>
      <c r="Y796" s="299"/>
      <c r="Z796" s="299"/>
      <c r="AA796" s="299"/>
      <c r="AB796" s="299"/>
      <c r="AC796" s="299"/>
      <c r="AD796" s="299"/>
      <c r="AE796" s="299"/>
      <c r="AF796" s="299"/>
      <c r="AG796" s="299"/>
      <c r="AH796" s="299"/>
      <c r="AI796" s="299"/>
      <c r="AJ796" s="299"/>
      <c r="AK796" s="299"/>
    </row>
    <row r="797" spans="2:37" ht="13.2">
      <c r="B797" s="299"/>
      <c r="C797" s="299"/>
      <c r="D797" s="299"/>
      <c r="E797" s="299"/>
      <c r="F797" s="299"/>
      <c r="G797" s="299"/>
      <c r="H797" s="299"/>
      <c r="I797" s="299"/>
      <c r="J797" s="299"/>
      <c r="K797" s="299"/>
      <c r="L797" s="299"/>
      <c r="M797" s="299"/>
      <c r="N797" s="299"/>
      <c r="O797" s="299"/>
      <c r="P797" s="299"/>
      <c r="Q797" s="299"/>
      <c r="R797" s="299"/>
      <c r="S797" s="299"/>
      <c r="T797" s="299"/>
      <c r="U797" s="299"/>
      <c r="V797" s="299"/>
      <c r="W797" s="299"/>
      <c r="X797" s="299"/>
      <c r="Y797" s="299"/>
      <c r="Z797" s="299"/>
      <c r="AA797" s="299"/>
      <c r="AB797" s="299"/>
      <c r="AC797" s="299"/>
      <c r="AD797" s="299"/>
      <c r="AE797" s="299"/>
      <c r="AF797" s="299"/>
      <c r="AG797" s="299"/>
      <c r="AH797" s="299"/>
      <c r="AI797" s="299"/>
      <c r="AJ797" s="299"/>
      <c r="AK797" s="299"/>
    </row>
    <row r="798" spans="2:37" ht="13.2">
      <c r="B798" s="299"/>
      <c r="C798" s="299"/>
      <c r="D798" s="299"/>
      <c r="E798" s="299"/>
      <c r="F798" s="299"/>
      <c r="G798" s="299"/>
      <c r="H798" s="299"/>
      <c r="I798" s="299"/>
      <c r="J798" s="299"/>
      <c r="K798" s="299"/>
      <c r="L798" s="299"/>
      <c r="M798" s="299"/>
      <c r="N798" s="299"/>
      <c r="O798" s="299"/>
      <c r="P798" s="299"/>
      <c r="Q798" s="299"/>
      <c r="R798" s="299"/>
      <c r="S798" s="299"/>
      <c r="T798" s="299"/>
      <c r="U798" s="299"/>
      <c r="V798" s="299"/>
      <c r="W798" s="299"/>
      <c r="X798" s="299"/>
      <c r="Y798" s="299"/>
      <c r="Z798" s="299"/>
      <c r="AA798" s="299"/>
      <c r="AB798" s="299"/>
      <c r="AC798" s="299"/>
      <c r="AD798" s="299"/>
      <c r="AE798" s="299"/>
      <c r="AF798" s="299"/>
      <c r="AG798" s="299"/>
      <c r="AH798" s="299"/>
      <c r="AI798" s="299"/>
      <c r="AJ798" s="299"/>
      <c r="AK798" s="299"/>
    </row>
    <row r="799" spans="2:37" ht="13.2">
      <c r="B799" s="299"/>
      <c r="C799" s="299"/>
      <c r="D799" s="299"/>
      <c r="E799" s="299"/>
      <c r="F799" s="299"/>
      <c r="G799" s="299"/>
      <c r="H799" s="299"/>
      <c r="I799" s="299"/>
      <c r="J799" s="299"/>
      <c r="K799" s="299"/>
      <c r="L799" s="299"/>
      <c r="M799" s="299"/>
      <c r="N799" s="299"/>
      <c r="O799" s="299"/>
      <c r="P799" s="299"/>
      <c r="Q799" s="299"/>
      <c r="R799" s="299"/>
      <c r="S799" s="299"/>
      <c r="T799" s="299"/>
      <c r="U799" s="299"/>
      <c r="V799" s="299"/>
      <c r="W799" s="299"/>
      <c r="X799" s="299"/>
      <c r="Y799" s="299"/>
      <c r="Z799" s="299"/>
      <c r="AA799" s="299"/>
      <c r="AB799" s="299"/>
      <c r="AC799" s="299"/>
      <c r="AD799" s="299"/>
      <c r="AE799" s="299"/>
      <c r="AF799" s="299"/>
      <c r="AG799" s="299"/>
      <c r="AH799" s="299"/>
      <c r="AI799" s="299"/>
      <c r="AJ799" s="299"/>
      <c r="AK799" s="299"/>
    </row>
    <row r="800" spans="2:37" ht="13.2">
      <c r="B800" s="299"/>
      <c r="C800" s="299"/>
      <c r="D800" s="299"/>
      <c r="E800" s="299"/>
      <c r="F800" s="299"/>
      <c r="G800" s="299"/>
      <c r="H800" s="299"/>
      <c r="I800" s="299"/>
      <c r="J800" s="299"/>
      <c r="K800" s="299"/>
      <c r="L800" s="299"/>
      <c r="M800" s="299"/>
      <c r="N800" s="299"/>
      <c r="O800" s="299"/>
      <c r="P800" s="299"/>
      <c r="Q800" s="299"/>
      <c r="R800" s="299"/>
      <c r="S800" s="299"/>
      <c r="T800" s="299"/>
      <c r="U800" s="299"/>
      <c r="V800" s="299"/>
      <c r="W800" s="299"/>
      <c r="X800" s="299"/>
      <c r="Y800" s="299"/>
      <c r="Z800" s="299"/>
      <c r="AA800" s="299"/>
      <c r="AB800" s="299"/>
      <c r="AC800" s="299"/>
      <c r="AD800" s="299"/>
      <c r="AE800" s="299"/>
      <c r="AF800" s="299"/>
      <c r="AG800" s="299"/>
      <c r="AH800" s="299"/>
      <c r="AI800" s="299"/>
      <c r="AJ800" s="299"/>
      <c r="AK800" s="299"/>
    </row>
    <row r="801" spans="2:37" ht="13.2">
      <c r="B801" s="299"/>
      <c r="C801" s="299"/>
      <c r="D801" s="299"/>
      <c r="E801" s="299"/>
      <c r="F801" s="299"/>
      <c r="G801" s="299"/>
      <c r="H801" s="299"/>
      <c r="I801" s="299"/>
      <c r="J801" s="299"/>
      <c r="K801" s="299"/>
      <c r="L801" s="299"/>
      <c r="M801" s="299"/>
      <c r="N801" s="299"/>
      <c r="O801" s="299"/>
      <c r="P801" s="299"/>
      <c r="Q801" s="299"/>
      <c r="R801" s="299"/>
      <c r="S801" s="299"/>
      <c r="T801" s="299"/>
      <c r="U801" s="299"/>
      <c r="V801" s="299"/>
      <c r="W801" s="299"/>
      <c r="X801" s="299"/>
      <c r="Y801" s="299"/>
      <c r="Z801" s="299"/>
      <c r="AA801" s="299"/>
      <c r="AB801" s="299"/>
      <c r="AC801" s="299"/>
      <c r="AD801" s="299"/>
      <c r="AE801" s="299"/>
      <c r="AF801" s="299"/>
      <c r="AG801" s="299"/>
      <c r="AH801" s="299"/>
      <c r="AI801" s="299"/>
      <c r="AJ801" s="299"/>
      <c r="AK801" s="299"/>
    </row>
    <row r="802" spans="2:37" ht="13.2">
      <c r="B802" s="299"/>
      <c r="C802" s="299"/>
      <c r="D802" s="299"/>
      <c r="E802" s="299"/>
      <c r="F802" s="299"/>
      <c r="G802" s="299"/>
      <c r="H802" s="299"/>
      <c r="I802" s="299"/>
      <c r="J802" s="299"/>
      <c r="K802" s="299"/>
      <c r="L802" s="299"/>
      <c r="M802" s="299"/>
      <c r="N802" s="299"/>
      <c r="O802" s="299"/>
      <c r="P802" s="299"/>
      <c r="Q802" s="299"/>
      <c r="R802" s="299"/>
      <c r="S802" s="299"/>
      <c r="T802" s="299"/>
      <c r="U802" s="299"/>
      <c r="V802" s="299"/>
      <c r="W802" s="299"/>
      <c r="X802" s="299"/>
      <c r="Y802" s="299"/>
      <c r="Z802" s="299"/>
      <c r="AA802" s="299"/>
      <c r="AB802" s="299"/>
      <c r="AC802" s="299"/>
      <c r="AD802" s="299"/>
      <c r="AE802" s="299"/>
      <c r="AF802" s="299"/>
      <c r="AG802" s="299"/>
      <c r="AH802" s="299"/>
      <c r="AI802" s="299"/>
      <c r="AJ802" s="299"/>
      <c r="AK802" s="299"/>
    </row>
    <row r="803" spans="2:37" ht="13.2">
      <c r="B803" s="299"/>
      <c r="C803" s="299"/>
      <c r="D803" s="299"/>
      <c r="E803" s="299"/>
      <c r="F803" s="299"/>
      <c r="G803" s="299"/>
      <c r="H803" s="299"/>
      <c r="I803" s="299"/>
      <c r="J803" s="299"/>
      <c r="K803" s="299"/>
      <c r="L803" s="299"/>
      <c r="M803" s="299"/>
      <c r="N803" s="299"/>
      <c r="O803" s="299"/>
      <c r="P803" s="299"/>
      <c r="Q803" s="299"/>
      <c r="R803" s="299"/>
      <c r="S803" s="299"/>
      <c r="T803" s="299"/>
      <c r="U803" s="299"/>
      <c r="V803" s="299"/>
      <c r="W803" s="299"/>
      <c r="X803" s="299"/>
      <c r="Y803" s="299"/>
      <c r="Z803" s="299"/>
      <c r="AA803" s="299"/>
      <c r="AB803" s="299"/>
      <c r="AC803" s="299"/>
      <c r="AD803" s="299"/>
      <c r="AE803" s="299"/>
      <c r="AF803" s="299"/>
      <c r="AG803" s="299"/>
      <c r="AH803" s="299"/>
      <c r="AI803" s="299"/>
      <c r="AJ803" s="299"/>
      <c r="AK803" s="299"/>
    </row>
    <row r="804" spans="2:37" ht="13.2">
      <c r="B804" s="299"/>
      <c r="C804" s="299"/>
      <c r="D804" s="299"/>
      <c r="E804" s="299"/>
      <c r="F804" s="299"/>
      <c r="G804" s="299"/>
      <c r="H804" s="299"/>
      <c r="I804" s="299"/>
      <c r="J804" s="299"/>
      <c r="K804" s="299"/>
      <c r="L804" s="299"/>
      <c r="M804" s="299"/>
      <c r="N804" s="299"/>
      <c r="O804" s="299"/>
      <c r="P804" s="299"/>
      <c r="Q804" s="299"/>
      <c r="R804" s="299"/>
      <c r="S804" s="299"/>
      <c r="T804" s="299"/>
      <c r="U804" s="299"/>
      <c r="V804" s="299"/>
      <c r="W804" s="299"/>
      <c r="X804" s="299"/>
      <c r="Y804" s="299"/>
      <c r="Z804" s="299"/>
      <c r="AA804" s="299"/>
      <c r="AB804" s="299"/>
      <c r="AC804" s="299"/>
      <c r="AD804" s="299"/>
      <c r="AE804" s="299"/>
      <c r="AF804" s="299"/>
      <c r="AG804" s="299"/>
      <c r="AH804" s="299"/>
      <c r="AI804" s="299"/>
      <c r="AJ804" s="299"/>
      <c r="AK804" s="299"/>
    </row>
    <row r="805" spans="2:37" ht="13.2">
      <c r="B805" s="299"/>
      <c r="C805" s="299"/>
      <c r="D805" s="299"/>
      <c r="E805" s="299"/>
      <c r="F805" s="299"/>
      <c r="G805" s="299"/>
      <c r="H805" s="299"/>
      <c r="I805" s="299"/>
      <c r="J805" s="299"/>
      <c r="K805" s="299"/>
      <c r="L805" s="299"/>
      <c r="M805" s="299"/>
      <c r="N805" s="299"/>
      <c r="O805" s="299"/>
      <c r="P805" s="299"/>
      <c r="Q805" s="299"/>
      <c r="R805" s="299"/>
      <c r="S805" s="299"/>
      <c r="T805" s="299"/>
      <c r="U805" s="299"/>
      <c r="V805" s="299"/>
      <c r="W805" s="299"/>
      <c r="X805" s="299"/>
      <c r="Y805" s="299"/>
      <c r="Z805" s="299"/>
      <c r="AA805" s="299"/>
      <c r="AB805" s="299"/>
      <c r="AC805" s="299"/>
      <c r="AD805" s="299"/>
      <c r="AE805" s="299"/>
      <c r="AF805" s="299"/>
      <c r="AG805" s="299"/>
      <c r="AH805" s="299"/>
      <c r="AI805" s="299"/>
      <c r="AJ805" s="299"/>
      <c r="AK805" s="299"/>
    </row>
    <row r="806" spans="2:37" ht="13.2">
      <c r="B806" s="299"/>
      <c r="C806" s="299"/>
      <c r="D806" s="299"/>
      <c r="E806" s="299"/>
      <c r="F806" s="299"/>
      <c r="G806" s="299"/>
      <c r="H806" s="299"/>
      <c r="I806" s="299"/>
      <c r="J806" s="299"/>
      <c r="K806" s="299"/>
      <c r="L806" s="299"/>
      <c r="M806" s="299"/>
      <c r="N806" s="299"/>
      <c r="O806" s="299"/>
      <c r="P806" s="299"/>
      <c r="Q806" s="299"/>
      <c r="R806" s="299"/>
      <c r="S806" s="299"/>
      <c r="T806" s="299"/>
      <c r="U806" s="299"/>
      <c r="V806" s="299"/>
      <c r="W806" s="299"/>
      <c r="X806" s="299"/>
      <c r="Y806" s="299"/>
      <c r="Z806" s="299"/>
      <c r="AA806" s="299"/>
      <c r="AB806" s="299"/>
      <c r="AC806" s="299"/>
      <c r="AD806" s="299"/>
      <c r="AE806" s="299"/>
      <c r="AF806" s="299"/>
      <c r="AG806" s="299"/>
      <c r="AH806" s="299"/>
      <c r="AI806" s="299"/>
      <c r="AJ806" s="299"/>
      <c r="AK806" s="299"/>
    </row>
    <row r="807" spans="2:37" ht="13.2">
      <c r="B807" s="299"/>
      <c r="C807" s="299"/>
      <c r="D807" s="299"/>
      <c r="E807" s="299"/>
      <c r="F807" s="299"/>
      <c r="G807" s="299"/>
      <c r="H807" s="299"/>
      <c r="I807" s="299"/>
      <c r="J807" s="299"/>
      <c r="K807" s="299"/>
      <c r="L807" s="299"/>
      <c r="M807" s="299"/>
      <c r="N807" s="299"/>
      <c r="O807" s="299"/>
      <c r="P807" s="299"/>
      <c r="Q807" s="299"/>
      <c r="R807" s="299"/>
      <c r="S807" s="299"/>
      <c r="T807" s="299"/>
      <c r="U807" s="299"/>
      <c r="V807" s="299"/>
      <c r="W807" s="299"/>
      <c r="X807" s="299"/>
      <c r="Y807" s="299"/>
      <c r="Z807" s="299"/>
      <c r="AA807" s="299"/>
      <c r="AB807" s="299"/>
      <c r="AC807" s="299"/>
      <c r="AD807" s="299"/>
      <c r="AE807" s="299"/>
      <c r="AF807" s="299"/>
      <c r="AG807" s="299"/>
      <c r="AH807" s="299"/>
      <c r="AI807" s="299"/>
      <c r="AJ807" s="299"/>
      <c r="AK807" s="299"/>
    </row>
    <row r="808" spans="2:37" ht="13.2">
      <c r="B808" s="299"/>
      <c r="C808" s="299"/>
      <c r="D808" s="299"/>
      <c r="E808" s="299"/>
      <c r="F808" s="299"/>
      <c r="G808" s="299"/>
      <c r="H808" s="299"/>
      <c r="I808" s="299"/>
      <c r="J808" s="299"/>
      <c r="K808" s="299"/>
      <c r="L808" s="299"/>
      <c r="M808" s="299"/>
      <c r="N808" s="299"/>
      <c r="O808" s="299"/>
      <c r="P808" s="299"/>
      <c r="Q808" s="299"/>
      <c r="R808" s="299"/>
      <c r="S808" s="299"/>
      <c r="T808" s="299"/>
      <c r="U808" s="299"/>
      <c r="V808" s="299"/>
      <c r="W808" s="299"/>
      <c r="X808" s="299"/>
      <c r="Y808" s="299"/>
      <c r="Z808" s="299"/>
      <c r="AA808" s="299"/>
      <c r="AB808" s="299"/>
      <c r="AC808" s="299"/>
      <c r="AD808" s="299"/>
      <c r="AE808" s="299"/>
      <c r="AF808" s="299"/>
      <c r="AG808" s="299"/>
      <c r="AH808" s="299"/>
      <c r="AI808" s="299"/>
      <c r="AJ808" s="299"/>
      <c r="AK808" s="299"/>
    </row>
    <row r="809" spans="2:37" ht="13.2">
      <c r="B809" s="299"/>
      <c r="C809" s="299"/>
      <c r="D809" s="299"/>
      <c r="E809" s="299"/>
      <c r="F809" s="299"/>
      <c r="G809" s="299"/>
      <c r="H809" s="299"/>
      <c r="I809" s="299"/>
      <c r="J809" s="299"/>
      <c r="K809" s="299"/>
      <c r="L809" s="299"/>
      <c r="M809" s="299"/>
      <c r="N809" s="299"/>
      <c r="O809" s="299"/>
      <c r="P809" s="299"/>
      <c r="Q809" s="299"/>
      <c r="R809" s="299"/>
      <c r="S809" s="299"/>
      <c r="T809" s="299"/>
      <c r="U809" s="299"/>
      <c r="V809" s="299"/>
      <c r="W809" s="299"/>
      <c r="X809" s="299"/>
      <c r="Y809" s="299"/>
      <c r="Z809" s="299"/>
      <c r="AA809" s="299"/>
      <c r="AB809" s="299"/>
      <c r="AC809" s="299"/>
      <c r="AD809" s="299"/>
      <c r="AE809" s="299"/>
      <c r="AF809" s="299"/>
      <c r="AG809" s="299"/>
      <c r="AH809" s="299"/>
      <c r="AI809" s="299"/>
      <c r="AJ809" s="299"/>
      <c r="AK809" s="299"/>
    </row>
    <row r="810" spans="2:37" ht="13.2">
      <c r="B810" s="299"/>
      <c r="C810" s="299"/>
      <c r="D810" s="299"/>
      <c r="E810" s="299"/>
      <c r="F810" s="299"/>
      <c r="G810" s="299"/>
      <c r="H810" s="299"/>
      <c r="I810" s="299"/>
      <c r="J810" s="299"/>
      <c r="K810" s="299"/>
      <c r="L810" s="299"/>
      <c r="M810" s="299"/>
      <c r="N810" s="299"/>
      <c r="O810" s="299"/>
      <c r="P810" s="299"/>
      <c r="Q810" s="299"/>
      <c r="R810" s="299"/>
      <c r="S810" s="299"/>
      <c r="T810" s="299"/>
      <c r="U810" s="299"/>
      <c r="V810" s="299"/>
      <c r="W810" s="299"/>
      <c r="X810" s="299"/>
      <c r="Y810" s="299"/>
      <c r="Z810" s="299"/>
      <c r="AA810" s="299"/>
      <c r="AB810" s="299"/>
      <c r="AC810" s="299"/>
      <c r="AD810" s="299"/>
      <c r="AE810" s="299"/>
      <c r="AF810" s="299"/>
      <c r="AG810" s="299"/>
      <c r="AH810" s="299"/>
      <c r="AI810" s="299"/>
      <c r="AJ810" s="299"/>
      <c r="AK810" s="299"/>
    </row>
    <row r="811" spans="2:37" ht="13.2">
      <c r="B811" s="299"/>
      <c r="C811" s="299"/>
      <c r="D811" s="299"/>
      <c r="E811" s="299"/>
      <c r="F811" s="299"/>
      <c r="G811" s="299"/>
      <c r="H811" s="299"/>
      <c r="I811" s="299"/>
      <c r="J811" s="299"/>
      <c r="K811" s="299"/>
      <c r="L811" s="299"/>
      <c r="M811" s="299"/>
      <c r="N811" s="299"/>
      <c r="O811" s="299"/>
      <c r="P811" s="299"/>
      <c r="Q811" s="299"/>
      <c r="R811" s="299"/>
      <c r="S811" s="299"/>
      <c r="T811" s="299"/>
      <c r="U811" s="299"/>
      <c r="V811" s="299"/>
      <c r="W811" s="299"/>
      <c r="X811" s="299"/>
      <c r="Y811" s="299"/>
      <c r="Z811" s="299"/>
      <c r="AA811" s="299"/>
      <c r="AB811" s="299"/>
      <c r="AC811" s="299"/>
      <c r="AD811" s="299"/>
      <c r="AE811" s="299"/>
      <c r="AF811" s="299"/>
      <c r="AG811" s="299"/>
      <c r="AH811" s="299"/>
      <c r="AI811" s="299"/>
      <c r="AJ811" s="299"/>
      <c r="AK811" s="299"/>
    </row>
    <row r="812" spans="2:37" ht="13.2">
      <c r="B812" s="299"/>
      <c r="C812" s="299"/>
      <c r="D812" s="299"/>
      <c r="E812" s="299"/>
      <c r="F812" s="299"/>
      <c r="G812" s="299"/>
      <c r="H812" s="299"/>
      <c r="I812" s="299"/>
      <c r="J812" s="299"/>
      <c r="K812" s="299"/>
      <c r="L812" s="299"/>
      <c r="M812" s="299"/>
      <c r="N812" s="299"/>
      <c r="O812" s="299"/>
      <c r="P812" s="299"/>
      <c r="Q812" s="299"/>
      <c r="R812" s="299"/>
      <c r="S812" s="299"/>
      <c r="T812" s="299"/>
      <c r="U812" s="299"/>
      <c r="V812" s="299"/>
      <c r="W812" s="299"/>
      <c r="X812" s="299"/>
      <c r="Y812" s="299"/>
      <c r="Z812" s="299"/>
      <c r="AA812" s="299"/>
      <c r="AB812" s="299"/>
      <c r="AC812" s="299"/>
      <c r="AD812" s="299"/>
      <c r="AE812" s="299"/>
      <c r="AF812" s="299"/>
      <c r="AG812" s="299"/>
      <c r="AH812" s="299"/>
      <c r="AI812" s="299"/>
      <c r="AJ812" s="299"/>
      <c r="AK812" s="299"/>
    </row>
    <row r="813" spans="2:37" ht="13.2">
      <c r="B813" s="299"/>
      <c r="C813" s="299"/>
      <c r="D813" s="299"/>
      <c r="E813" s="299"/>
      <c r="F813" s="299"/>
      <c r="G813" s="299"/>
      <c r="H813" s="299"/>
      <c r="I813" s="299"/>
      <c r="J813" s="299"/>
      <c r="K813" s="299"/>
      <c r="L813" s="299"/>
      <c r="M813" s="299"/>
      <c r="N813" s="299"/>
      <c r="O813" s="299"/>
      <c r="P813" s="299"/>
      <c r="Q813" s="299"/>
      <c r="R813" s="299"/>
      <c r="S813" s="299"/>
      <c r="T813" s="299"/>
      <c r="U813" s="299"/>
      <c r="V813" s="299"/>
      <c r="W813" s="299"/>
      <c r="X813" s="299"/>
      <c r="Y813" s="299"/>
      <c r="Z813" s="299"/>
      <c r="AA813" s="299"/>
      <c r="AB813" s="299"/>
      <c r="AC813" s="299"/>
      <c r="AD813" s="299"/>
      <c r="AE813" s="299"/>
      <c r="AF813" s="299"/>
      <c r="AG813" s="299"/>
      <c r="AH813" s="299"/>
      <c r="AI813" s="299"/>
      <c r="AJ813" s="299"/>
      <c r="AK813" s="299"/>
    </row>
    <row r="814" spans="2:37" ht="13.2">
      <c r="B814" s="299"/>
      <c r="C814" s="299"/>
      <c r="D814" s="299"/>
      <c r="E814" s="299"/>
      <c r="F814" s="299"/>
      <c r="G814" s="299"/>
      <c r="H814" s="299"/>
      <c r="I814" s="299"/>
      <c r="J814" s="299"/>
      <c r="K814" s="299"/>
      <c r="L814" s="299"/>
      <c r="M814" s="299"/>
      <c r="N814" s="299"/>
      <c r="O814" s="299"/>
      <c r="P814" s="299"/>
      <c r="Q814" s="299"/>
      <c r="R814" s="299"/>
      <c r="S814" s="299"/>
      <c r="T814" s="299"/>
      <c r="U814" s="299"/>
      <c r="V814" s="299"/>
      <c r="W814" s="299"/>
      <c r="X814" s="299"/>
      <c r="Y814" s="299"/>
      <c r="Z814" s="299"/>
      <c r="AA814" s="299"/>
      <c r="AB814" s="299"/>
      <c r="AC814" s="299"/>
      <c r="AD814" s="299"/>
      <c r="AE814" s="299"/>
      <c r="AF814" s="299"/>
      <c r="AG814" s="299"/>
      <c r="AH814" s="299"/>
      <c r="AI814" s="299"/>
      <c r="AJ814" s="299"/>
      <c r="AK814" s="299"/>
    </row>
    <row r="815" spans="2:37" ht="13.2">
      <c r="B815" s="299"/>
      <c r="C815" s="299"/>
      <c r="D815" s="299"/>
      <c r="E815" s="299"/>
      <c r="F815" s="299"/>
      <c r="G815" s="299"/>
      <c r="H815" s="299"/>
      <c r="I815" s="299"/>
      <c r="J815" s="299"/>
      <c r="K815" s="299"/>
      <c r="L815" s="299"/>
      <c r="M815" s="299"/>
      <c r="N815" s="299"/>
      <c r="O815" s="299"/>
      <c r="P815" s="299"/>
      <c r="Q815" s="299"/>
      <c r="R815" s="299"/>
      <c r="S815" s="299"/>
      <c r="T815" s="299"/>
      <c r="U815" s="299"/>
      <c r="V815" s="299"/>
      <c r="W815" s="299"/>
      <c r="X815" s="299"/>
      <c r="Y815" s="299"/>
      <c r="Z815" s="299"/>
      <c r="AA815" s="299"/>
      <c r="AB815" s="299"/>
      <c r="AC815" s="299"/>
      <c r="AD815" s="299"/>
      <c r="AE815" s="299"/>
      <c r="AF815" s="299"/>
      <c r="AG815" s="299"/>
      <c r="AH815" s="299"/>
      <c r="AI815" s="299"/>
      <c r="AJ815" s="299"/>
      <c r="AK815" s="299"/>
    </row>
    <row r="816" spans="2:37" ht="13.2">
      <c r="B816" s="299"/>
      <c r="C816" s="299"/>
      <c r="D816" s="299"/>
      <c r="E816" s="299"/>
      <c r="F816" s="299"/>
      <c r="G816" s="299"/>
      <c r="H816" s="299"/>
      <c r="I816" s="299"/>
      <c r="J816" s="299"/>
      <c r="K816" s="299"/>
      <c r="L816" s="299"/>
      <c r="M816" s="299"/>
      <c r="N816" s="299"/>
      <c r="O816" s="299"/>
      <c r="P816" s="299"/>
      <c r="Q816" s="299"/>
      <c r="R816" s="299"/>
      <c r="S816" s="299"/>
      <c r="T816" s="299"/>
      <c r="U816" s="299"/>
      <c r="V816" s="299"/>
      <c r="W816" s="299"/>
      <c r="X816" s="299"/>
      <c r="Y816" s="299"/>
      <c r="Z816" s="299"/>
      <c r="AA816" s="299"/>
      <c r="AB816" s="299"/>
      <c r="AC816" s="299"/>
      <c r="AD816" s="299"/>
      <c r="AE816" s="299"/>
      <c r="AF816" s="299"/>
      <c r="AG816" s="299"/>
      <c r="AH816" s="299"/>
      <c r="AI816" s="299"/>
      <c r="AJ816" s="299"/>
      <c r="AK816" s="299"/>
    </row>
    <row r="817" spans="2:37" ht="13.2">
      <c r="B817" s="299"/>
      <c r="C817" s="299"/>
      <c r="D817" s="299"/>
      <c r="E817" s="299"/>
      <c r="F817" s="299"/>
      <c r="G817" s="299"/>
      <c r="H817" s="299"/>
      <c r="I817" s="299"/>
      <c r="J817" s="299"/>
      <c r="K817" s="299"/>
      <c r="L817" s="299"/>
      <c r="M817" s="299"/>
      <c r="N817" s="299"/>
      <c r="O817" s="299"/>
      <c r="P817" s="299"/>
      <c r="Q817" s="299"/>
      <c r="R817" s="299"/>
      <c r="S817" s="299"/>
      <c r="T817" s="299"/>
      <c r="U817" s="299"/>
      <c r="V817" s="299"/>
      <c r="W817" s="299"/>
      <c r="X817" s="299"/>
      <c r="Y817" s="299"/>
      <c r="Z817" s="299"/>
      <c r="AA817" s="299"/>
      <c r="AB817" s="299"/>
      <c r="AC817" s="299"/>
      <c r="AD817" s="299"/>
      <c r="AE817" s="299"/>
      <c r="AF817" s="299"/>
      <c r="AG817" s="299"/>
      <c r="AH817" s="299"/>
      <c r="AI817" s="299"/>
      <c r="AJ817" s="299"/>
      <c r="AK817" s="299"/>
    </row>
    <row r="818" spans="2:37" ht="13.2">
      <c r="B818" s="299"/>
      <c r="C818" s="299"/>
      <c r="D818" s="299"/>
      <c r="E818" s="299"/>
      <c r="F818" s="299"/>
      <c r="G818" s="299"/>
      <c r="H818" s="299"/>
      <c r="I818" s="299"/>
      <c r="J818" s="299"/>
      <c r="K818" s="299"/>
      <c r="L818" s="299"/>
      <c r="M818" s="299"/>
      <c r="N818" s="299"/>
      <c r="O818" s="299"/>
      <c r="P818" s="299"/>
      <c r="Q818" s="299"/>
      <c r="R818" s="299"/>
      <c r="S818" s="299"/>
      <c r="T818" s="299"/>
      <c r="U818" s="299"/>
      <c r="V818" s="299"/>
      <c r="W818" s="299"/>
      <c r="X818" s="299"/>
      <c r="Y818" s="299"/>
      <c r="Z818" s="299"/>
      <c r="AA818" s="299"/>
      <c r="AB818" s="299"/>
      <c r="AC818" s="299"/>
      <c r="AD818" s="299"/>
      <c r="AE818" s="299"/>
      <c r="AF818" s="299"/>
      <c r="AG818" s="299"/>
      <c r="AH818" s="299"/>
      <c r="AI818" s="299"/>
      <c r="AJ818" s="299"/>
      <c r="AK818" s="299"/>
    </row>
    <row r="819" spans="2:37" ht="13.2">
      <c r="B819" s="299"/>
      <c r="C819" s="299"/>
      <c r="D819" s="299"/>
      <c r="E819" s="299"/>
      <c r="F819" s="299"/>
      <c r="G819" s="299"/>
      <c r="H819" s="299"/>
      <c r="I819" s="299"/>
      <c r="J819" s="299"/>
      <c r="K819" s="299"/>
      <c r="L819" s="299"/>
      <c r="M819" s="299"/>
      <c r="N819" s="299"/>
      <c r="O819" s="299"/>
      <c r="P819" s="299"/>
      <c r="Q819" s="299"/>
      <c r="R819" s="299"/>
      <c r="S819" s="299"/>
      <c r="T819" s="299"/>
      <c r="U819" s="299"/>
      <c r="V819" s="299"/>
      <c r="W819" s="299"/>
      <c r="X819" s="299"/>
      <c r="Y819" s="299"/>
      <c r="Z819" s="299"/>
      <c r="AA819" s="299"/>
      <c r="AB819" s="299"/>
      <c r="AC819" s="299"/>
      <c r="AD819" s="299"/>
      <c r="AE819" s="299"/>
      <c r="AF819" s="299"/>
      <c r="AG819" s="299"/>
      <c r="AH819" s="299"/>
      <c r="AI819" s="299"/>
      <c r="AJ819" s="299"/>
      <c r="AK819" s="299"/>
    </row>
    <row r="820" spans="2:37" ht="13.2">
      <c r="B820" s="299"/>
      <c r="C820" s="299"/>
      <c r="D820" s="299"/>
      <c r="E820" s="299"/>
      <c r="F820" s="299"/>
      <c r="G820" s="299"/>
      <c r="H820" s="299"/>
      <c r="I820" s="299"/>
      <c r="J820" s="299"/>
      <c r="K820" s="299"/>
      <c r="L820" s="299"/>
      <c r="M820" s="299"/>
      <c r="N820" s="299"/>
      <c r="O820" s="299"/>
      <c r="P820" s="299"/>
      <c r="Q820" s="299"/>
      <c r="R820" s="299"/>
      <c r="S820" s="299"/>
      <c r="T820" s="299"/>
      <c r="U820" s="299"/>
      <c r="V820" s="299"/>
      <c r="W820" s="299"/>
      <c r="X820" s="299"/>
      <c r="Y820" s="299"/>
      <c r="Z820" s="299"/>
      <c r="AA820" s="299"/>
      <c r="AB820" s="299"/>
      <c r="AC820" s="299"/>
      <c r="AD820" s="299"/>
      <c r="AE820" s="299"/>
      <c r="AF820" s="299"/>
      <c r="AG820" s="299"/>
      <c r="AH820" s="299"/>
      <c r="AI820" s="299"/>
      <c r="AJ820" s="299"/>
      <c r="AK820" s="299"/>
    </row>
    <row r="821" spans="2:37" ht="13.2">
      <c r="B821" s="299"/>
      <c r="C821" s="299"/>
      <c r="D821" s="299"/>
      <c r="E821" s="299"/>
      <c r="F821" s="299"/>
      <c r="G821" s="299"/>
      <c r="H821" s="299"/>
      <c r="I821" s="299"/>
      <c r="J821" s="299"/>
      <c r="K821" s="299"/>
      <c r="L821" s="299"/>
      <c r="M821" s="299"/>
      <c r="N821" s="299"/>
      <c r="O821" s="299"/>
      <c r="P821" s="299"/>
      <c r="Q821" s="299"/>
      <c r="R821" s="299"/>
      <c r="S821" s="299"/>
      <c r="T821" s="299"/>
      <c r="U821" s="299"/>
      <c r="V821" s="299"/>
      <c r="W821" s="299"/>
      <c r="X821" s="299"/>
      <c r="Y821" s="299"/>
      <c r="Z821" s="299"/>
      <c r="AA821" s="299"/>
      <c r="AB821" s="299"/>
      <c r="AC821" s="299"/>
      <c r="AD821" s="299"/>
      <c r="AE821" s="299"/>
      <c r="AF821" s="299"/>
      <c r="AG821" s="299"/>
      <c r="AH821" s="299"/>
      <c r="AI821" s="299"/>
      <c r="AJ821" s="299"/>
      <c r="AK821" s="299"/>
    </row>
    <row r="822" spans="2:37" ht="13.2">
      <c r="B822" s="299"/>
      <c r="C822" s="299"/>
      <c r="D822" s="299"/>
      <c r="E822" s="299"/>
      <c r="F822" s="299"/>
      <c r="G822" s="299"/>
      <c r="H822" s="299"/>
      <c r="I822" s="299"/>
      <c r="J822" s="299"/>
      <c r="K822" s="299"/>
      <c r="L822" s="299"/>
      <c r="M822" s="299"/>
      <c r="N822" s="299"/>
      <c r="O822" s="299"/>
      <c r="P822" s="299"/>
      <c r="Q822" s="299"/>
      <c r="R822" s="299"/>
      <c r="S822" s="299"/>
      <c r="T822" s="299"/>
      <c r="U822" s="299"/>
      <c r="V822" s="299"/>
      <c r="W822" s="299"/>
      <c r="X822" s="299"/>
      <c r="Y822" s="299"/>
      <c r="Z822" s="299"/>
      <c r="AA822" s="299"/>
      <c r="AB822" s="299"/>
      <c r="AC822" s="299"/>
      <c r="AD822" s="299"/>
      <c r="AE822" s="299"/>
      <c r="AF822" s="299"/>
      <c r="AG822" s="299"/>
      <c r="AH822" s="299"/>
      <c r="AI822" s="299"/>
      <c r="AJ822" s="299"/>
      <c r="AK822" s="299"/>
    </row>
    <row r="823" spans="2:37" ht="13.2">
      <c r="B823" s="299"/>
      <c r="C823" s="299"/>
      <c r="D823" s="299"/>
      <c r="E823" s="299"/>
      <c r="F823" s="299"/>
      <c r="G823" s="299"/>
      <c r="H823" s="299"/>
      <c r="I823" s="299"/>
      <c r="J823" s="299"/>
      <c r="K823" s="299"/>
      <c r="L823" s="299"/>
      <c r="M823" s="299"/>
      <c r="N823" s="299"/>
      <c r="O823" s="299"/>
      <c r="P823" s="299"/>
      <c r="Q823" s="299"/>
      <c r="R823" s="299"/>
      <c r="S823" s="299"/>
      <c r="T823" s="299"/>
      <c r="U823" s="299"/>
      <c r="V823" s="299"/>
      <c r="W823" s="299"/>
      <c r="X823" s="299"/>
      <c r="Y823" s="299"/>
      <c r="Z823" s="299"/>
      <c r="AA823" s="299"/>
      <c r="AB823" s="299"/>
      <c r="AC823" s="299"/>
      <c r="AD823" s="299"/>
      <c r="AE823" s="299"/>
      <c r="AF823" s="299"/>
      <c r="AG823" s="299"/>
      <c r="AH823" s="299"/>
      <c r="AI823" s="299"/>
      <c r="AJ823" s="299"/>
      <c r="AK823" s="299"/>
    </row>
    <row r="824" spans="2:37" ht="13.2">
      <c r="B824" s="299"/>
      <c r="C824" s="299"/>
      <c r="D824" s="299"/>
      <c r="E824" s="299"/>
      <c r="F824" s="299"/>
      <c r="G824" s="299"/>
      <c r="H824" s="299"/>
      <c r="I824" s="299"/>
      <c r="J824" s="299"/>
      <c r="K824" s="299"/>
      <c r="L824" s="299"/>
      <c r="M824" s="299"/>
      <c r="N824" s="299"/>
      <c r="O824" s="299"/>
      <c r="P824" s="299"/>
      <c r="Q824" s="299"/>
      <c r="R824" s="299"/>
      <c r="S824" s="299"/>
      <c r="T824" s="299"/>
      <c r="U824" s="299"/>
      <c r="V824" s="299"/>
      <c r="W824" s="299"/>
      <c r="X824" s="299"/>
      <c r="Y824" s="299"/>
      <c r="Z824" s="299"/>
      <c r="AA824" s="299"/>
      <c r="AB824" s="299"/>
      <c r="AC824" s="299"/>
      <c r="AD824" s="299"/>
      <c r="AE824" s="299"/>
      <c r="AF824" s="299"/>
      <c r="AG824" s="299"/>
      <c r="AH824" s="299"/>
      <c r="AI824" s="299"/>
      <c r="AJ824" s="299"/>
      <c r="AK824" s="299"/>
    </row>
    <row r="825" spans="2:37" ht="13.2">
      <c r="B825" s="299"/>
      <c r="C825" s="299"/>
      <c r="D825" s="299"/>
      <c r="E825" s="299"/>
      <c r="F825" s="299"/>
      <c r="G825" s="299"/>
      <c r="H825" s="299"/>
      <c r="I825" s="299"/>
      <c r="J825" s="299"/>
      <c r="K825" s="299"/>
      <c r="L825" s="299"/>
      <c r="M825" s="299"/>
      <c r="N825" s="299"/>
      <c r="O825" s="299"/>
      <c r="P825" s="299"/>
      <c r="Q825" s="299"/>
      <c r="R825" s="299"/>
      <c r="S825" s="299"/>
      <c r="T825" s="299"/>
      <c r="U825" s="299"/>
      <c r="V825" s="299"/>
      <c r="W825" s="299"/>
      <c r="X825" s="299"/>
      <c r="Y825" s="299"/>
      <c r="Z825" s="299"/>
      <c r="AA825" s="299"/>
      <c r="AB825" s="299"/>
      <c r="AC825" s="299"/>
      <c r="AD825" s="299"/>
      <c r="AE825" s="299"/>
      <c r="AF825" s="299"/>
      <c r="AG825" s="299"/>
      <c r="AH825" s="299"/>
      <c r="AI825" s="299"/>
      <c r="AJ825" s="299"/>
      <c r="AK825" s="299"/>
    </row>
    <row r="826" spans="2:37" ht="13.2">
      <c r="B826" s="299"/>
      <c r="C826" s="299"/>
      <c r="D826" s="299"/>
      <c r="E826" s="299"/>
      <c r="F826" s="299"/>
      <c r="G826" s="299"/>
      <c r="H826" s="299"/>
      <c r="I826" s="299"/>
      <c r="J826" s="299"/>
      <c r="K826" s="299"/>
      <c r="L826" s="299"/>
      <c r="M826" s="299"/>
      <c r="N826" s="299"/>
      <c r="O826" s="299"/>
      <c r="P826" s="299"/>
      <c r="Q826" s="299"/>
      <c r="R826" s="299"/>
      <c r="S826" s="299"/>
      <c r="T826" s="299"/>
      <c r="U826" s="299"/>
      <c r="V826" s="299"/>
      <c r="W826" s="299"/>
      <c r="X826" s="299"/>
      <c r="Y826" s="299"/>
      <c r="Z826" s="299"/>
      <c r="AA826" s="299"/>
      <c r="AB826" s="299"/>
      <c r="AC826" s="299"/>
      <c r="AD826" s="299"/>
      <c r="AE826" s="299"/>
      <c r="AF826" s="299"/>
      <c r="AG826" s="299"/>
      <c r="AH826" s="299"/>
      <c r="AI826" s="299"/>
      <c r="AJ826" s="299"/>
      <c r="AK826" s="299"/>
    </row>
    <row r="827" spans="2:37" ht="13.2">
      <c r="B827" s="299"/>
      <c r="C827" s="299"/>
      <c r="D827" s="299"/>
      <c r="E827" s="299"/>
      <c r="F827" s="299"/>
      <c r="G827" s="299"/>
      <c r="H827" s="299"/>
      <c r="I827" s="299"/>
      <c r="J827" s="299"/>
      <c r="K827" s="299"/>
      <c r="L827" s="299"/>
      <c r="M827" s="299"/>
      <c r="N827" s="299"/>
      <c r="O827" s="299"/>
      <c r="P827" s="299"/>
      <c r="Q827" s="299"/>
      <c r="R827" s="299"/>
      <c r="S827" s="299"/>
      <c r="T827" s="299"/>
      <c r="U827" s="299"/>
      <c r="V827" s="299"/>
      <c r="W827" s="299"/>
      <c r="X827" s="299"/>
      <c r="Y827" s="299"/>
      <c r="Z827" s="299"/>
      <c r="AA827" s="299"/>
      <c r="AB827" s="299"/>
      <c r="AC827" s="299"/>
      <c r="AD827" s="299"/>
      <c r="AE827" s="299"/>
      <c r="AF827" s="299"/>
      <c r="AG827" s="299"/>
      <c r="AH827" s="299"/>
      <c r="AI827" s="299"/>
      <c r="AJ827" s="299"/>
      <c r="AK827" s="299"/>
    </row>
    <row r="828" spans="2:37" ht="13.2">
      <c r="B828" s="299"/>
      <c r="C828" s="299"/>
      <c r="D828" s="299"/>
      <c r="E828" s="299"/>
      <c r="F828" s="299"/>
      <c r="G828" s="299"/>
      <c r="H828" s="299"/>
      <c r="I828" s="299"/>
      <c r="J828" s="299"/>
      <c r="K828" s="299"/>
      <c r="L828" s="299"/>
      <c r="M828" s="299"/>
      <c r="N828" s="299"/>
      <c r="O828" s="299"/>
      <c r="P828" s="299"/>
      <c r="Q828" s="299"/>
      <c r="R828" s="299"/>
      <c r="S828" s="299"/>
      <c r="T828" s="299"/>
      <c r="U828" s="299"/>
      <c r="V828" s="299"/>
      <c r="W828" s="299"/>
      <c r="X828" s="299"/>
      <c r="Y828" s="299"/>
      <c r="Z828" s="299"/>
      <c r="AA828" s="299"/>
      <c r="AB828" s="299"/>
      <c r="AC828" s="299"/>
      <c r="AD828" s="299"/>
      <c r="AE828" s="299"/>
      <c r="AF828" s="299"/>
      <c r="AG828" s="299"/>
      <c r="AH828" s="299"/>
      <c r="AI828" s="299"/>
      <c r="AJ828" s="299"/>
      <c r="AK828" s="299"/>
    </row>
    <row r="829" spans="2:37" ht="13.2">
      <c r="B829" s="299"/>
      <c r="C829" s="299"/>
      <c r="D829" s="299"/>
      <c r="E829" s="299"/>
      <c r="F829" s="299"/>
      <c r="G829" s="299"/>
      <c r="H829" s="299"/>
      <c r="I829" s="299"/>
      <c r="J829" s="299"/>
      <c r="K829" s="299"/>
      <c r="L829" s="299"/>
      <c r="M829" s="299"/>
      <c r="N829" s="299"/>
      <c r="O829" s="299"/>
      <c r="P829" s="299"/>
      <c r="Q829" s="299"/>
      <c r="R829" s="299"/>
      <c r="S829" s="299"/>
      <c r="T829" s="299"/>
      <c r="U829" s="299"/>
      <c r="V829" s="299"/>
      <c r="W829" s="299"/>
      <c r="X829" s="299"/>
      <c r="Y829" s="299"/>
      <c r="Z829" s="299"/>
      <c r="AA829" s="299"/>
      <c r="AB829" s="299"/>
      <c r="AC829" s="299"/>
      <c r="AD829" s="299"/>
      <c r="AE829" s="299"/>
      <c r="AF829" s="299"/>
      <c r="AG829" s="299"/>
      <c r="AH829" s="299"/>
      <c r="AI829" s="299"/>
      <c r="AJ829" s="299"/>
      <c r="AK829" s="299"/>
    </row>
    <row r="830" spans="2:37" ht="13.2">
      <c r="B830" s="299"/>
      <c r="C830" s="299"/>
      <c r="D830" s="299"/>
      <c r="E830" s="299"/>
      <c r="F830" s="299"/>
      <c r="G830" s="299"/>
      <c r="H830" s="299"/>
      <c r="I830" s="299"/>
      <c r="J830" s="299"/>
      <c r="K830" s="299"/>
      <c r="L830" s="299"/>
      <c r="M830" s="299"/>
      <c r="N830" s="299"/>
      <c r="O830" s="299"/>
      <c r="P830" s="299"/>
      <c r="Q830" s="299"/>
      <c r="R830" s="299"/>
      <c r="S830" s="299"/>
      <c r="T830" s="299"/>
      <c r="U830" s="299"/>
      <c r="V830" s="299"/>
      <c r="W830" s="299"/>
      <c r="X830" s="299"/>
      <c r="Y830" s="299"/>
      <c r="Z830" s="299"/>
      <c r="AA830" s="299"/>
      <c r="AB830" s="299"/>
      <c r="AC830" s="299"/>
      <c r="AD830" s="299"/>
      <c r="AE830" s="299"/>
      <c r="AF830" s="299"/>
      <c r="AG830" s="299"/>
      <c r="AH830" s="299"/>
      <c r="AI830" s="299"/>
      <c r="AJ830" s="299"/>
      <c r="AK830" s="299"/>
    </row>
    <row r="831" spans="2:37" ht="13.2">
      <c r="B831" s="299"/>
      <c r="C831" s="299"/>
      <c r="D831" s="299"/>
      <c r="E831" s="299"/>
      <c r="F831" s="299"/>
      <c r="G831" s="299"/>
      <c r="H831" s="299"/>
      <c r="I831" s="299"/>
      <c r="J831" s="299"/>
      <c r="K831" s="299"/>
      <c r="L831" s="299"/>
      <c r="M831" s="299"/>
      <c r="N831" s="299"/>
      <c r="O831" s="299"/>
      <c r="P831" s="299"/>
      <c r="Q831" s="299"/>
      <c r="R831" s="299"/>
      <c r="S831" s="299"/>
      <c r="T831" s="299"/>
      <c r="U831" s="299"/>
      <c r="V831" s="299"/>
      <c r="W831" s="299"/>
      <c r="X831" s="299"/>
      <c r="Y831" s="299"/>
      <c r="Z831" s="299"/>
      <c r="AA831" s="299"/>
      <c r="AB831" s="299"/>
      <c r="AC831" s="299"/>
      <c r="AD831" s="299"/>
      <c r="AE831" s="299"/>
      <c r="AF831" s="299"/>
      <c r="AG831" s="299"/>
      <c r="AH831" s="299"/>
      <c r="AI831" s="299"/>
      <c r="AJ831" s="299"/>
      <c r="AK831" s="299"/>
    </row>
    <row r="832" spans="2:37" ht="13.2">
      <c r="B832" s="299"/>
      <c r="C832" s="299"/>
      <c r="D832" s="299"/>
      <c r="E832" s="299"/>
      <c r="F832" s="299"/>
      <c r="G832" s="299"/>
      <c r="H832" s="299"/>
      <c r="I832" s="299"/>
      <c r="J832" s="299"/>
      <c r="K832" s="299"/>
      <c r="L832" s="299"/>
      <c r="M832" s="299"/>
      <c r="N832" s="299"/>
      <c r="O832" s="299"/>
      <c r="P832" s="299"/>
      <c r="Q832" s="299"/>
      <c r="R832" s="299"/>
      <c r="S832" s="299"/>
      <c r="T832" s="299"/>
      <c r="U832" s="299"/>
      <c r="V832" s="299"/>
      <c r="W832" s="299"/>
      <c r="X832" s="299"/>
      <c r="Y832" s="299"/>
      <c r="Z832" s="299"/>
      <c r="AA832" s="299"/>
      <c r="AB832" s="299"/>
      <c r="AC832" s="299"/>
      <c r="AD832" s="299"/>
      <c r="AE832" s="299"/>
      <c r="AF832" s="299"/>
      <c r="AG832" s="299"/>
      <c r="AH832" s="299"/>
      <c r="AI832" s="299"/>
      <c r="AJ832" s="299"/>
      <c r="AK832" s="299"/>
    </row>
    <row r="833" spans="2:37" ht="13.2">
      <c r="B833" s="299"/>
      <c r="C833" s="299"/>
      <c r="D833" s="299"/>
      <c r="E833" s="299"/>
      <c r="F833" s="299"/>
      <c r="G833" s="299"/>
      <c r="H833" s="299"/>
      <c r="I833" s="299"/>
      <c r="J833" s="299"/>
      <c r="K833" s="299"/>
      <c r="L833" s="299"/>
      <c r="M833" s="299"/>
      <c r="N833" s="299"/>
      <c r="O833" s="299"/>
      <c r="P833" s="299"/>
      <c r="Q833" s="299"/>
      <c r="R833" s="299"/>
      <c r="S833" s="299"/>
      <c r="T833" s="299"/>
      <c r="U833" s="299"/>
      <c r="V833" s="299"/>
      <c r="W833" s="299"/>
      <c r="X833" s="299"/>
      <c r="Y833" s="299"/>
      <c r="Z833" s="299"/>
      <c r="AA833" s="299"/>
      <c r="AB833" s="299"/>
      <c r="AC833" s="299"/>
      <c r="AD833" s="299"/>
      <c r="AE833" s="299"/>
      <c r="AF833" s="299"/>
      <c r="AG833" s="299"/>
      <c r="AH833" s="299"/>
      <c r="AI833" s="299"/>
      <c r="AJ833" s="299"/>
      <c r="AK833" s="299"/>
    </row>
    <row r="834" spans="2:37" ht="13.2">
      <c r="B834" s="299"/>
      <c r="C834" s="299"/>
      <c r="D834" s="299"/>
      <c r="E834" s="299"/>
      <c r="F834" s="299"/>
      <c r="G834" s="299"/>
      <c r="H834" s="299"/>
      <c r="I834" s="299"/>
      <c r="J834" s="299"/>
      <c r="K834" s="299"/>
      <c r="L834" s="299"/>
      <c r="M834" s="299"/>
      <c r="N834" s="299"/>
      <c r="O834" s="299"/>
      <c r="P834" s="299"/>
      <c r="Q834" s="299"/>
      <c r="R834" s="299"/>
      <c r="S834" s="299"/>
      <c r="T834" s="299"/>
      <c r="U834" s="299"/>
      <c r="V834" s="299"/>
      <c r="W834" s="299"/>
      <c r="X834" s="299"/>
      <c r="Y834" s="299"/>
      <c r="Z834" s="299"/>
      <c r="AA834" s="299"/>
      <c r="AB834" s="299"/>
      <c r="AC834" s="299"/>
      <c r="AD834" s="299"/>
      <c r="AE834" s="299"/>
      <c r="AF834" s="299"/>
      <c r="AG834" s="299"/>
      <c r="AH834" s="299"/>
      <c r="AI834" s="299"/>
      <c r="AJ834" s="299"/>
      <c r="AK834" s="299"/>
    </row>
    <row r="835" spans="2:37" ht="13.2">
      <c r="B835" s="299"/>
      <c r="C835" s="299"/>
      <c r="D835" s="299"/>
      <c r="E835" s="299"/>
      <c r="F835" s="299"/>
      <c r="G835" s="299"/>
      <c r="H835" s="299"/>
      <c r="I835" s="299"/>
      <c r="J835" s="299"/>
      <c r="K835" s="299"/>
      <c r="L835" s="299"/>
      <c r="M835" s="299"/>
      <c r="N835" s="299"/>
      <c r="O835" s="299"/>
      <c r="P835" s="299"/>
      <c r="Q835" s="299"/>
      <c r="R835" s="299"/>
      <c r="S835" s="299"/>
      <c r="T835" s="299"/>
      <c r="U835" s="299"/>
      <c r="V835" s="299"/>
      <c r="W835" s="299"/>
      <c r="X835" s="299"/>
      <c r="Y835" s="299"/>
      <c r="Z835" s="299"/>
      <c r="AA835" s="299"/>
      <c r="AB835" s="299"/>
      <c r="AC835" s="299"/>
      <c r="AD835" s="299"/>
      <c r="AE835" s="299"/>
      <c r="AF835" s="299"/>
      <c r="AG835" s="299"/>
      <c r="AH835" s="299"/>
      <c r="AI835" s="299"/>
      <c r="AJ835" s="299"/>
      <c r="AK835" s="299"/>
    </row>
    <row r="836" spans="2:37" ht="13.2">
      <c r="B836" s="299"/>
      <c r="C836" s="299"/>
      <c r="D836" s="299"/>
      <c r="E836" s="299"/>
      <c r="F836" s="299"/>
      <c r="G836" s="299"/>
      <c r="H836" s="299"/>
      <c r="I836" s="299"/>
      <c r="J836" s="299"/>
      <c r="K836" s="299"/>
      <c r="L836" s="299"/>
      <c r="M836" s="299"/>
      <c r="N836" s="299"/>
      <c r="O836" s="299"/>
      <c r="P836" s="299"/>
      <c r="Q836" s="299"/>
      <c r="R836" s="299"/>
      <c r="S836" s="299"/>
      <c r="T836" s="299"/>
      <c r="U836" s="299"/>
      <c r="V836" s="299"/>
      <c r="W836" s="299"/>
      <c r="X836" s="299"/>
      <c r="Y836" s="299"/>
      <c r="Z836" s="299"/>
      <c r="AA836" s="299"/>
      <c r="AB836" s="299"/>
      <c r="AC836" s="299"/>
      <c r="AD836" s="299"/>
      <c r="AE836" s="299"/>
      <c r="AF836" s="299"/>
      <c r="AG836" s="299"/>
      <c r="AH836" s="299"/>
      <c r="AI836" s="299"/>
      <c r="AJ836" s="299"/>
      <c r="AK836" s="299"/>
    </row>
    <row r="837" spans="2:37" ht="13.2">
      <c r="B837" s="299"/>
      <c r="C837" s="299"/>
      <c r="D837" s="299"/>
      <c r="E837" s="299"/>
      <c r="F837" s="299"/>
      <c r="G837" s="299"/>
      <c r="H837" s="299"/>
      <c r="I837" s="299"/>
      <c r="J837" s="299"/>
      <c r="K837" s="299"/>
      <c r="L837" s="299"/>
      <c r="M837" s="299"/>
      <c r="N837" s="299"/>
      <c r="O837" s="299"/>
      <c r="P837" s="299"/>
      <c r="Q837" s="299"/>
      <c r="R837" s="299"/>
      <c r="S837" s="299"/>
      <c r="T837" s="299"/>
      <c r="U837" s="299"/>
      <c r="V837" s="299"/>
      <c r="W837" s="299"/>
      <c r="X837" s="299"/>
      <c r="Y837" s="299"/>
      <c r="Z837" s="299"/>
      <c r="AA837" s="299"/>
      <c r="AB837" s="299"/>
      <c r="AC837" s="299"/>
      <c r="AD837" s="299"/>
      <c r="AE837" s="299"/>
      <c r="AF837" s="299"/>
      <c r="AG837" s="299"/>
      <c r="AH837" s="299"/>
      <c r="AI837" s="299"/>
      <c r="AJ837" s="299"/>
      <c r="AK837" s="299"/>
    </row>
    <row r="838" spans="2:37" ht="13.2">
      <c r="B838" s="299"/>
      <c r="C838" s="299"/>
      <c r="D838" s="299"/>
      <c r="E838" s="299"/>
      <c r="F838" s="299"/>
      <c r="G838" s="299"/>
      <c r="H838" s="299"/>
      <c r="I838" s="299"/>
      <c r="J838" s="299"/>
      <c r="K838" s="299"/>
      <c r="L838" s="299"/>
      <c r="M838" s="299"/>
      <c r="N838" s="299"/>
      <c r="O838" s="299"/>
      <c r="P838" s="299"/>
      <c r="Q838" s="299"/>
      <c r="R838" s="299"/>
      <c r="S838" s="299"/>
      <c r="T838" s="299"/>
      <c r="U838" s="299"/>
      <c r="V838" s="299"/>
      <c r="W838" s="299"/>
      <c r="X838" s="299"/>
      <c r="Y838" s="299"/>
      <c r="Z838" s="299"/>
      <c r="AA838" s="299"/>
      <c r="AB838" s="299"/>
      <c r="AC838" s="299"/>
      <c r="AD838" s="299"/>
      <c r="AE838" s="299"/>
      <c r="AF838" s="299"/>
      <c r="AG838" s="299"/>
      <c r="AH838" s="299"/>
      <c r="AI838" s="299"/>
      <c r="AJ838" s="299"/>
      <c r="AK838" s="299"/>
    </row>
    <row r="839" spans="2:37" ht="13.2">
      <c r="B839" s="299"/>
      <c r="C839" s="299"/>
      <c r="D839" s="299"/>
      <c r="E839" s="299"/>
      <c r="F839" s="299"/>
      <c r="G839" s="299"/>
      <c r="H839" s="299"/>
      <c r="I839" s="299"/>
      <c r="J839" s="299"/>
      <c r="K839" s="299"/>
      <c r="L839" s="299"/>
      <c r="M839" s="299"/>
      <c r="N839" s="299"/>
      <c r="O839" s="299"/>
      <c r="P839" s="299"/>
      <c r="Q839" s="299"/>
      <c r="R839" s="299"/>
      <c r="S839" s="299"/>
      <c r="T839" s="299"/>
      <c r="U839" s="299"/>
      <c r="V839" s="299"/>
      <c r="W839" s="299"/>
      <c r="X839" s="299"/>
      <c r="Y839" s="299"/>
      <c r="Z839" s="299"/>
      <c r="AA839" s="299"/>
      <c r="AB839" s="299"/>
      <c r="AC839" s="299"/>
      <c r="AD839" s="299"/>
      <c r="AE839" s="299"/>
      <c r="AF839" s="299"/>
      <c r="AG839" s="299"/>
      <c r="AH839" s="299"/>
      <c r="AI839" s="299"/>
      <c r="AJ839" s="299"/>
      <c r="AK839" s="299"/>
    </row>
    <row r="840" spans="2:37" ht="13.2">
      <c r="B840" s="299"/>
      <c r="C840" s="299"/>
      <c r="D840" s="299"/>
      <c r="E840" s="299"/>
      <c r="F840" s="299"/>
      <c r="G840" s="299"/>
      <c r="H840" s="299"/>
      <c r="I840" s="299"/>
      <c r="J840" s="299"/>
      <c r="K840" s="299"/>
      <c r="L840" s="299"/>
      <c r="M840" s="299"/>
      <c r="N840" s="299"/>
      <c r="O840" s="299"/>
      <c r="P840" s="299"/>
      <c r="Q840" s="299"/>
      <c r="R840" s="299"/>
      <c r="S840" s="299"/>
      <c r="T840" s="299"/>
      <c r="U840" s="299"/>
      <c r="V840" s="299"/>
      <c r="W840" s="299"/>
      <c r="X840" s="299"/>
      <c r="Y840" s="299"/>
      <c r="Z840" s="299"/>
      <c r="AA840" s="299"/>
      <c r="AB840" s="299"/>
      <c r="AC840" s="299"/>
      <c r="AD840" s="299"/>
      <c r="AE840" s="299"/>
      <c r="AF840" s="299"/>
      <c r="AG840" s="299"/>
      <c r="AH840" s="299"/>
      <c r="AI840" s="299"/>
      <c r="AJ840" s="299"/>
      <c r="AK840" s="299"/>
    </row>
    <row r="841" spans="2:37" ht="13.2">
      <c r="B841" s="299"/>
      <c r="C841" s="299"/>
      <c r="D841" s="299"/>
      <c r="E841" s="299"/>
      <c r="F841" s="299"/>
      <c r="G841" s="299"/>
      <c r="H841" s="299"/>
      <c r="I841" s="299"/>
      <c r="J841" s="299"/>
      <c r="K841" s="299"/>
      <c r="L841" s="299"/>
      <c r="M841" s="299"/>
      <c r="N841" s="299"/>
      <c r="O841" s="299"/>
      <c r="P841" s="299"/>
      <c r="Q841" s="299"/>
      <c r="R841" s="299"/>
      <c r="S841" s="299"/>
      <c r="T841" s="299"/>
      <c r="U841" s="299"/>
      <c r="V841" s="299"/>
      <c r="W841" s="299"/>
      <c r="X841" s="299"/>
      <c r="Y841" s="299"/>
      <c r="Z841" s="299"/>
      <c r="AA841" s="299"/>
      <c r="AB841" s="299"/>
      <c r="AC841" s="299"/>
      <c r="AD841" s="299"/>
      <c r="AE841" s="299"/>
      <c r="AF841" s="299"/>
      <c r="AG841" s="299"/>
      <c r="AH841" s="299"/>
      <c r="AI841" s="299"/>
      <c r="AJ841" s="299"/>
      <c r="AK841" s="299"/>
    </row>
    <row r="842" spans="2:37" ht="13.2">
      <c r="B842" s="299"/>
      <c r="C842" s="299"/>
      <c r="D842" s="299"/>
      <c r="E842" s="299"/>
      <c r="F842" s="299"/>
      <c r="G842" s="299"/>
      <c r="H842" s="299"/>
      <c r="I842" s="299"/>
      <c r="J842" s="299"/>
      <c r="K842" s="299"/>
      <c r="L842" s="299"/>
      <c r="M842" s="299"/>
      <c r="N842" s="299"/>
      <c r="O842" s="299"/>
      <c r="P842" s="299"/>
      <c r="Q842" s="299"/>
      <c r="R842" s="299"/>
      <c r="S842" s="299"/>
      <c r="T842" s="299"/>
      <c r="U842" s="299"/>
      <c r="V842" s="299"/>
      <c r="W842" s="299"/>
      <c r="X842" s="299"/>
      <c r="Y842" s="299"/>
      <c r="Z842" s="299"/>
      <c r="AA842" s="299"/>
      <c r="AB842" s="299"/>
      <c r="AC842" s="299"/>
      <c r="AD842" s="299"/>
      <c r="AE842" s="299"/>
      <c r="AF842" s="299"/>
      <c r="AG842" s="299"/>
      <c r="AH842" s="299"/>
      <c r="AI842" s="299"/>
      <c r="AJ842" s="299"/>
      <c r="AK842" s="299"/>
    </row>
    <row r="843" spans="2:37" ht="13.2">
      <c r="B843" s="299"/>
      <c r="C843" s="299"/>
      <c r="D843" s="299"/>
      <c r="E843" s="299"/>
      <c r="F843" s="299"/>
      <c r="G843" s="299"/>
      <c r="H843" s="299"/>
      <c r="I843" s="299"/>
      <c r="J843" s="299"/>
      <c r="K843" s="299"/>
      <c r="L843" s="299"/>
      <c r="M843" s="299"/>
      <c r="N843" s="299"/>
      <c r="O843" s="299"/>
      <c r="P843" s="299"/>
      <c r="Q843" s="299"/>
      <c r="R843" s="299"/>
      <c r="S843" s="299"/>
      <c r="T843" s="299"/>
      <c r="U843" s="299"/>
      <c r="V843" s="299"/>
      <c r="W843" s="299"/>
      <c r="X843" s="299"/>
      <c r="Y843" s="299"/>
      <c r="Z843" s="299"/>
      <c r="AA843" s="299"/>
      <c r="AB843" s="299"/>
      <c r="AC843" s="299"/>
      <c r="AD843" s="299"/>
      <c r="AE843" s="299"/>
      <c r="AF843" s="299"/>
      <c r="AG843" s="299"/>
      <c r="AH843" s="299"/>
      <c r="AI843" s="299"/>
      <c r="AJ843" s="299"/>
      <c r="AK843" s="299"/>
    </row>
    <row r="844" spans="2:37" ht="13.2">
      <c r="B844" s="299"/>
      <c r="C844" s="299"/>
      <c r="D844" s="299"/>
      <c r="E844" s="299"/>
      <c r="F844" s="299"/>
      <c r="G844" s="299"/>
      <c r="H844" s="299"/>
      <c r="I844" s="299"/>
      <c r="J844" s="299"/>
      <c r="K844" s="299"/>
      <c r="L844" s="299"/>
      <c r="M844" s="299"/>
      <c r="N844" s="299"/>
      <c r="O844" s="299"/>
      <c r="P844" s="299"/>
      <c r="Q844" s="299"/>
      <c r="R844" s="299"/>
      <c r="S844" s="299"/>
      <c r="T844" s="299"/>
      <c r="U844" s="299"/>
      <c r="V844" s="299"/>
      <c r="W844" s="299"/>
      <c r="X844" s="299"/>
      <c r="Y844" s="299"/>
      <c r="Z844" s="299"/>
      <c r="AA844" s="299"/>
      <c r="AB844" s="299"/>
      <c r="AC844" s="299"/>
      <c r="AD844" s="299"/>
      <c r="AE844" s="299"/>
      <c r="AF844" s="299"/>
      <c r="AG844" s="299"/>
      <c r="AH844" s="299"/>
      <c r="AI844" s="299"/>
      <c r="AJ844" s="299"/>
      <c r="AK844" s="299"/>
    </row>
    <row r="845" spans="2:37" ht="13.2">
      <c r="B845" s="299"/>
      <c r="C845" s="299"/>
      <c r="D845" s="299"/>
      <c r="E845" s="299"/>
      <c r="F845" s="299"/>
      <c r="G845" s="299"/>
      <c r="H845" s="299"/>
      <c r="I845" s="299"/>
      <c r="J845" s="299"/>
      <c r="K845" s="299"/>
      <c r="L845" s="299"/>
      <c r="M845" s="299"/>
      <c r="N845" s="299"/>
      <c r="O845" s="299"/>
      <c r="P845" s="299"/>
      <c r="Q845" s="299"/>
      <c r="R845" s="299"/>
      <c r="S845" s="299"/>
      <c r="T845" s="299"/>
      <c r="U845" s="299"/>
      <c r="V845" s="299"/>
      <c r="W845" s="299"/>
      <c r="X845" s="299"/>
      <c r="Y845" s="299"/>
      <c r="Z845" s="299"/>
      <c r="AA845" s="299"/>
      <c r="AB845" s="299"/>
      <c r="AC845" s="299"/>
      <c r="AD845" s="299"/>
      <c r="AE845" s="299"/>
      <c r="AF845" s="299"/>
      <c r="AG845" s="299"/>
      <c r="AH845" s="299"/>
      <c r="AI845" s="299"/>
      <c r="AJ845" s="299"/>
      <c r="AK845" s="299"/>
    </row>
    <row r="846" spans="2:37" ht="13.2">
      <c r="B846" s="299"/>
      <c r="C846" s="299"/>
      <c r="D846" s="299"/>
      <c r="E846" s="299"/>
      <c r="F846" s="299"/>
      <c r="G846" s="299"/>
      <c r="H846" s="299"/>
      <c r="I846" s="299"/>
      <c r="J846" s="299"/>
      <c r="K846" s="299"/>
      <c r="L846" s="299"/>
      <c r="M846" s="299"/>
      <c r="N846" s="299"/>
      <c r="O846" s="299"/>
      <c r="P846" s="299"/>
      <c r="Q846" s="299"/>
      <c r="R846" s="299"/>
      <c r="S846" s="299"/>
      <c r="T846" s="299"/>
      <c r="U846" s="299"/>
      <c r="V846" s="299"/>
      <c r="W846" s="299"/>
      <c r="X846" s="299"/>
      <c r="Y846" s="299"/>
      <c r="Z846" s="299"/>
      <c r="AA846" s="299"/>
      <c r="AB846" s="299"/>
      <c r="AC846" s="299"/>
      <c r="AD846" s="299"/>
      <c r="AE846" s="299"/>
      <c r="AF846" s="299"/>
      <c r="AG846" s="299"/>
      <c r="AH846" s="299"/>
      <c r="AI846" s="299"/>
      <c r="AJ846" s="299"/>
      <c r="AK846" s="299"/>
    </row>
    <row r="847" spans="2:37" ht="13.2">
      <c r="B847" s="299"/>
      <c r="C847" s="299"/>
      <c r="D847" s="299"/>
      <c r="E847" s="299"/>
      <c r="F847" s="299"/>
      <c r="G847" s="299"/>
      <c r="H847" s="299"/>
      <c r="I847" s="299"/>
      <c r="J847" s="299"/>
      <c r="K847" s="299"/>
      <c r="L847" s="299"/>
      <c r="M847" s="299"/>
      <c r="N847" s="299"/>
      <c r="O847" s="299"/>
      <c r="P847" s="299"/>
      <c r="Q847" s="299"/>
      <c r="R847" s="299"/>
      <c r="S847" s="299"/>
      <c r="T847" s="299"/>
      <c r="U847" s="299"/>
      <c r="V847" s="299"/>
      <c r="W847" s="299"/>
      <c r="X847" s="299"/>
      <c r="Y847" s="299"/>
      <c r="Z847" s="299"/>
      <c r="AA847" s="299"/>
      <c r="AB847" s="299"/>
      <c r="AC847" s="299"/>
      <c r="AD847" s="299"/>
      <c r="AE847" s="299"/>
      <c r="AF847" s="299"/>
      <c r="AG847" s="299"/>
      <c r="AH847" s="299"/>
      <c r="AI847" s="299"/>
      <c r="AJ847" s="299"/>
      <c r="AK847" s="299"/>
    </row>
    <row r="848" spans="2:37" ht="13.2">
      <c r="B848" s="299"/>
      <c r="C848" s="299"/>
      <c r="D848" s="299"/>
      <c r="E848" s="299"/>
      <c r="F848" s="299"/>
      <c r="G848" s="299"/>
      <c r="H848" s="299"/>
      <c r="I848" s="299"/>
      <c r="J848" s="299"/>
      <c r="K848" s="299"/>
      <c r="L848" s="299"/>
      <c r="M848" s="299"/>
      <c r="N848" s="299"/>
      <c r="O848" s="299"/>
      <c r="P848" s="299"/>
      <c r="Q848" s="299"/>
      <c r="R848" s="299"/>
      <c r="S848" s="299"/>
      <c r="T848" s="299"/>
      <c r="U848" s="299"/>
      <c r="V848" s="299"/>
      <c r="W848" s="299"/>
      <c r="X848" s="299"/>
      <c r="Y848" s="299"/>
      <c r="Z848" s="299"/>
      <c r="AA848" s="299"/>
      <c r="AB848" s="299"/>
      <c r="AC848" s="299"/>
      <c r="AD848" s="299"/>
      <c r="AE848" s="299"/>
      <c r="AF848" s="299"/>
      <c r="AG848" s="299"/>
      <c r="AH848" s="299"/>
      <c r="AI848" s="299"/>
      <c r="AJ848" s="299"/>
      <c r="AK848" s="299"/>
    </row>
    <row r="849" spans="2:37" ht="13.2">
      <c r="B849" s="299"/>
      <c r="C849" s="299"/>
      <c r="D849" s="299"/>
      <c r="E849" s="299"/>
      <c r="F849" s="299"/>
      <c r="G849" s="299"/>
      <c r="H849" s="299"/>
      <c r="I849" s="299"/>
      <c r="J849" s="299"/>
      <c r="K849" s="299"/>
      <c r="L849" s="299"/>
      <c r="M849" s="299"/>
      <c r="N849" s="299"/>
      <c r="O849" s="299"/>
      <c r="P849" s="299"/>
      <c r="Q849" s="299"/>
      <c r="R849" s="299"/>
      <c r="S849" s="299"/>
      <c r="T849" s="299"/>
      <c r="U849" s="299"/>
      <c r="V849" s="299"/>
      <c r="W849" s="299"/>
      <c r="X849" s="299"/>
      <c r="Y849" s="299"/>
      <c r="Z849" s="299"/>
      <c r="AA849" s="299"/>
      <c r="AB849" s="299"/>
      <c r="AC849" s="299"/>
      <c r="AD849" s="299"/>
      <c r="AE849" s="299"/>
      <c r="AF849" s="299"/>
      <c r="AG849" s="299"/>
      <c r="AH849" s="299"/>
      <c r="AI849" s="299"/>
      <c r="AJ849" s="299"/>
      <c r="AK849" s="299"/>
    </row>
    <row r="850" spans="2:37" ht="13.2">
      <c r="B850" s="299"/>
      <c r="C850" s="299"/>
      <c r="D850" s="299"/>
      <c r="E850" s="299"/>
      <c r="F850" s="299"/>
      <c r="G850" s="299"/>
      <c r="H850" s="299"/>
      <c r="I850" s="299"/>
      <c r="J850" s="299"/>
      <c r="K850" s="299"/>
      <c r="L850" s="299"/>
      <c r="M850" s="299"/>
      <c r="N850" s="299"/>
      <c r="O850" s="299"/>
      <c r="P850" s="299"/>
      <c r="Q850" s="299"/>
      <c r="R850" s="299"/>
      <c r="S850" s="299"/>
      <c r="T850" s="299"/>
      <c r="U850" s="299"/>
      <c r="V850" s="299"/>
      <c r="W850" s="299"/>
      <c r="X850" s="299"/>
      <c r="Y850" s="299"/>
      <c r="Z850" s="299"/>
      <c r="AA850" s="299"/>
      <c r="AB850" s="299"/>
      <c r="AC850" s="299"/>
      <c r="AD850" s="299"/>
      <c r="AE850" s="299"/>
      <c r="AF850" s="299"/>
      <c r="AG850" s="299"/>
      <c r="AH850" s="299"/>
      <c r="AI850" s="299"/>
      <c r="AJ850" s="299"/>
      <c r="AK850" s="299"/>
    </row>
    <row r="851" spans="2:37" ht="13.2">
      <c r="B851" s="299"/>
      <c r="C851" s="299"/>
      <c r="D851" s="299"/>
      <c r="E851" s="299"/>
      <c r="F851" s="299"/>
      <c r="G851" s="299"/>
      <c r="H851" s="299"/>
      <c r="I851" s="299"/>
      <c r="J851" s="299"/>
      <c r="K851" s="299"/>
      <c r="L851" s="299"/>
      <c r="M851" s="299"/>
      <c r="N851" s="299"/>
      <c r="O851" s="299"/>
      <c r="P851" s="299"/>
      <c r="Q851" s="299"/>
      <c r="R851" s="299"/>
      <c r="S851" s="299"/>
      <c r="T851" s="299"/>
      <c r="U851" s="299"/>
      <c r="V851" s="299"/>
      <c r="W851" s="299"/>
      <c r="X851" s="299"/>
      <c r="Y851" s="299"/>
      <c r="Z851" s="299"/>
      <c r="AA851" s="299"/>
      <c r="AB851" s="299"/>
      <c r="AC851" s="299"/>
      <c r="AD851" s="299"/>
      <c r="AE851" s="299"/>
      <c r="AF851" s="299"/>
      <c r="AG851" s="299"/>
      <c r="AH851" s="299"/>
      <c r="AI851" s="299"/>
      <c r="AJ851" s="299"/>
      <c r="AK851" s="299"/>
    </row>
    <row r="852" spans="2:37" ht="13.2">
      <c r="B852" s="299"/>
      <c r="C852" s="299"/>
      <c r="D852" s="299"/>
      <c r="E852" s="299"/>
      <c r="F852" s="299"/>
      <c r="G852" s="299"/>
      <c r="H852" s="299"/>
      <c r="I852" s="299"/>
      <c r="J852" s="299"/>
      <c r="K852" s="299"/>
      <c r="L852" s="299"/>
      <c r="M852" s="299"/>
      <c r="N852" s="299"/>
      <c r="O852" s="299"/>
      <c r="P852" s="299"/>
      <c r="Q852" s="299"/>
      <c r="R852" s="299"/>
      <c r="S852" s="299"/>
      <c r="T852" s="299"/>
      <c r="U852" s="299"/>
      <c r="V852" s="299"/>
      <c r="W852" s="299"/>
      <c r="X852" s="299"/>
      <c r="Y852" s="299"/>
      <c r="Z852" s="299"/>
      <c r="AA852" s="299"/>
      <c r="AB852" s="299"/>
      <c r="AC852" s="299"/>
      <c r="AD852" s="299"/>
      <c r="AE852" s="299"/>
      <c r="AF852" s="299"/>
      <c r="AG852" s="299"/>
      <c r="AH852" s="299"/>
      <c r="AI852" s="299"/>
      <c r="AJ852" s="299"/>
      <c r="AK852" s="299"/>
    </row>
    <row r="853" spans="2:37" ht="13.2">
      <c r="B853" s="299"/>
      <c r="C853" s="299"/>
      <c r="D853" s="299"/>
      <c r="E853" s="299"/>
      <c r="F853" s="299"/>
      <c r="G853" s="299"/>
      <c r="H853" s="299"/>
      <c r="I853" s="299"/>
      <c r="J853" s="299"/>
      <c r="K853" s="299"/>
      <c r="L853" s="299"/>
      <c r="M853" s="299"/>
      <c r="N853" s="299"/>
      <c r="O853" s="299"/>
      <c r="P853" s="299"/>
      <c r="Q853" s="299"/>
      <c r="R853" s="299"/>
      <c r="S853" s="299"/>
      <c r="T853" s="299"/>
      <c r="U853" s="299"/>
      <c r="V853" s="299"/>
      <c r="W853" s="299"/>
      <c r="X853" s="299"/>
      <c r="Y853" s="299"/>
      <c r="Z853" s="299"/>
      <c r="AA853" s="299"/>
      <c r="AB853" s="299"/>
      <c r="AC853" s="299"/>
      <c r="AD853" s="299"/>
      <c r="AE853" s="299"/>
      <c r="AF853" s="299"/>
      <c r="AG853" s="299"/>
      <c r="AH853" s="299"/>
      <c r="AI853" s="299"/>
      <c r="AJ853" s="299"/>
      <c r="AK853" s="299"/>
    </row>
    <row r="854" spans="2:37" ht="13.2">
      <c r="B854" s="299"/>
      <c r="C854" s="299"/>
      <c r="D854" s="299"/>
      <c r="E854" s="299"/>
      <c r="F854" s="299"/>
      <c r="G854" s="299"/>
      <c r="H854" s="299"/>
      <c r="I854" s="299"/>
      <c r="J854" s="299"/>
      <c r="K854" s="299"/>
      <c r="L854" s="299"/>
      <c r="M854" s="299"/>
      <c r="N854" s="299"/>
      <c r="O854" s="299"/>
      <c r="P854" s="299"/>
      <c r="Q854" s="299"/>
      <c r="R854" s="299"/>
      <c r="S854" s="299"/>
      <c r="T854" s="299"/>
      <c r="U854" s="299"/>
      <c r="V854" s="299"/>
      <c r="W854" s="299"/>
      <c r="X854" s="299"/>
      <c r="Y854" s="299"/>
      <c r="Z854" s="299"/>
      <c r="AA854" s="299"/>
      <c r="AB854" s="299"/>
      <c r="AC854" s="299"/>
      <c r="AD854" s="299"/>
      <c r="AE854" s="299"/>
      <c r="AF854" s="299"/>
      <c r="AG854" s="299"/>
      <c r="AH854" s="299"/>
      <c r="AI854" s="299"/>
      <c r="AJ854" s="299"/>
      <c r="AK854" s="299"/>
    </row>
    <row r="855" spans="2:37" ht="13.2">
      <c r="B855" s="299"/>
      <c r="C855" s="299"/>
      <c r="D855" s="299"/>
      <c r="E855" s="299"/>
      <c r="F855" s="299"/>
      <c r="G855" s="299"/>
      <c r="H855" s="299"/>
      <c r="I855" s="299"/>
      <c r="J855" s="299"/>
      <c r="K855" s="299"/>
      <c r="L855" s="299"/>
      <c r="M855" s="299"/>
      <c r="N855" s="299"/>
      <c r="O855" s="299"/>
      <c r="P855" s="299"/>
      <c r="Q855" s="299"/>
      <c r="R855" s="299"/>
      <c r="S855" s="299"/>
      <c r="T855" s="299"/>
      <c r="U855" s="299"/>
      <c r="V855" s="299"/>
      <c r="W855" s="299"/>
      <c r="X855" s="299"/>
      <c r="Y855" s="299"/>
      <c r="Z855" s="299"/>
      <c r="AA855" s="299"/>
      <c r="AB855" s="299"/>
      <c r="AC855" s="299"/>
      <c r="AD855" s="299"/>
      <c r="AE855" s="299"/>
      <c r="AF855" s="299"/>
      <c r="AG855" s="299"/>
      <c r="AH855" s="299"/>
      <c r="AI855" s="299"/>
      <c r="AJ855" s="299"/>
      <c r="AK855" s="299"/>
    </row>
    <row r="856" spans="2:37" ht="13.2">
      <c r="B856" s="299"/>
      <c r="C856" s="299"/>
      <c r="D856" s="299"/>
      <c r="E856" s="299"/>
      <c r="F856" s="299"/>
      <c r="G856" s="299"/>
      <c r="H856" s="299"/>
      <c r="I856" s="299"/>
      <c r="J856" s="299"/>
      <c r="K856" s="299"/>
      <c r="L856" s="299"/>
      <c r="M856" s="299"/>
      <c r="N856" s="299"/>
      <c r="O856" s="299"/>
      <c r="P856" s="299"/>
      <c r="Q856" s="299"/>
      <c r="R856" s="299"/>
      <c r="S856" s="299"/>
      <c r="T856" s="299"/>
      <c r="U856" s="299"/>
      <c r="V856" s="299"/>
      <c r="W856" s="299"/>
      <c r="X856" s="299"/>
      <c r="Y856" s="299"/>
      <c r="Z856" s="299"/>
      <c r="AA856" s="299"/>
      <c r="AB856" s="299"/>
      <c r="AC856" s="299"/>
      <c r="AD856" s="299"/>
      <c r="AE856" s="299"/>
      <c r="AF856" s="299"/>
      <c r="AG856" s="299"/>
      <c r="AH856" s="299"/>
      <c r="AI856" s="299"/>
      <c r="AJ856" s="299"/>
      <c r="AK856" s="299"/>
    </row>
    <row r="857" spans="2:37" ht="13.2">
      <c r="B857" s="299"/>
      <c r="C857" s="299"/>
      <c r="D857" s="299"/>
      <c r="E857" s="299"/>
      <c r="F857" s="299"/>
      <c r="G857" s="299"/>
      <c r="H857" s="299"/>
      <c r="I857" s="299"/>
      <c r="J857" s="299"/>
      <c r="K857" s="299"/>
      <c r="L857" s="299"/>
      <c r="M857" s="299"/>
      <c r="N857" s="299"/>
      <c r="O857" s="299"/>
      <c r="P857" s="299"/>
      <c r="Q857" s="299"/>
      <c r="R857" s="299"/>
      <c r="S857" s="299"/>
      <c r="T857" s="299"/>
      <c r="U857" s="299"/>
      <c r="V857" s="299"/>
      <c r="W857" s="299"/>
      <c r="X857" s="299"/>
      <c r="Y857" s="299"/>
      <c r="Z857" s="299"/>
      <c r="AA857" s="299"/>
      <c r="AB857" s="299"/>
      <c r="AC857" s="299"/>
      <c r="AD857" s="299"/>
      <c r="AE857" s="299"/>
      <c r="AF857" s="299"/>
      <c r="AG857" s="299"/>
      <c r="AH857" s="299"/>
      <c r="AI857" s="299"/>
      <c r="AJ857" s="299"/>
      <c r="AK857" s="299"/>
    </row>
    <row r="858" spans="2:37" ht="13.2">
      <c r="B858" s="299"/>
      <c r="C858" s="299"/>
      <c r="D858" s="299"/>
      <c r="E858" s="299"/>
      <c r="F858" s="299"/>
      <c r="G858" s="299"/>
      <c r="H858" s="299"/>
      <c r="I858" s="299"/>
      <c r="J858" s="299"/>
      <c r="K858" s="299"/>
      <c r="L858" s="299"/>
      <c r="M858" s="299"/>
      <c r="N858" s="299"/>
      <c r="O858" s="299"/>
      <c r="P858" s="299"/>
      <c r="Q858" s="299"/>
      <c r="R858" s="299"/>
      <c r="S858" s="299"/>
      <c r="T858" s="299"/>
      <c r="U858" s="299"/>
      <c r="V858" s="299"/>
      <c r="W858" s="299"/>
      <c r="X858" s="299"/>
      <c r="Y858" s="299"/>
      <c r="Z858" s="299"/>
      <c r="AA858" s="299"/>
      <c r="AB858" s="299"/>
      <c r="AC858" s="299"/>
      <c r="AD858" s="299"/>
      <c r="AE858" s="299"/>
      <c r="AF858" s="299"/>
      <c r="AG858" s="299"/>
      <c r="AH858" s="299"/>
      <c r="AI858" s="299"/>
      <c r="AJ858" s="299"/>
      <c r="AK858" s="299"/>
    </row>
    <row r="859" spans="2:37" ht="13.2">
      <c r="B859" s="299"/>
      <c r="C859" s="299"/>
      <c r="D859" s="299"/>
      <c r="E859" s="299"/>
      <c r="F859" s="299"/>
      <c r="G859" s="299"/>
      <c r="H859" s="299"/>
      <c r="I859" s="299"/>
      <c r="J859" s="299"/>
      <c r="K859" s="299"/>
      <c r="L859" s="299"/>
      <c r="M859" s="299"/>
      <c r="N859" s="299"/>
      <c r="O859" s="299"/>
      <c r="P859" s="299"/>
      <c r="Q859" s="299"/>
      <c r="R859" s="299"/>
      <c r="S859" s="299"/>
      <c r="T859" s="299"/>
      <c r="U859" s="299"/>
      <c r="V859" s="299"/>
      <c r="W859" s="299"/>
      <c r="X859" s="299"/>
      <c r="Y859" s="299"/>
      <c r="Z859" s="299"/>
      <c r="AA859" s="299"/>
      <c r="AB859" s="299"/>
      <c r="AC859" s="299"/>
      <c r="AD859" s="299"/>
      <c r="AE859" s="299"/>
      <c r="AF859" s="299"/>
      <c r="AG859" s="299"/>
      <c r="AH859" s="299"/>
      <c r="AI859" s="299"/>
      <c r="AJ859" s="299"/>
      <c r="AK859" s="299"/>
    </row>
    <row r="860" spans="2:37" ht="13.2">
      <c r="B860" s="299"/>
      <c r="C860" s="299"/>
      <c r="D860" s="299"/>
      <c r="E860" s="299"/>
      <c r="F860" s="299"/>
      <c r="G860" s="299"/>
      <c r="H860" s="299"/>
      <c r="I860" s="299"/>
      <c r="J860" s="299"/>
      <c r="K860" s="299"/>
      <c r="L860" s="299"/>
      <c r="M860" s="299"/>
      <c r="N860" s="299"/>
      <c r="O860" s="299"/>
      <c r="P860" s="299"/>
      <c r="Q860" s="299"/>
      <c r="R860" s="299"/>
      <c r="S860" s="299"/>
      <c r="T860" s="299"/>
      <c r="U860" s="299"/>
      <c r="V860" s="299"/>
      <c r="W860" s="299"/>
      <c r="X860" s="299"/>
      <c r="Y860" s="299"/>
      <c r="Z860" s="299"/>
      <c r="AA860" s="299"/>
      <c r="AB860" s="299"/>
      <c r="AC860" s="299"/>
      <c r="AD860" s="299"/>
      <c r="AE860" s="299"/>
      <c r="AF860" s="299"/>
      <c r="AG860" s="299"/>
      <c r="AH860" s="299"/>
      <c r="AI860" s="299"/>
      <c r="AJ860" s="299"/>
      <c r="AK860" s="299"/>
    </row>
    <row r="861" spans="2:37" ht="13.2">
      <c r="B861" s="299"/>
      <c r="C861" s="299"/>
      <c r="D861" s="299"/>
      <c r="E861" s="299"/>
      <c r="F861" s="299"/>
      <c r="G861" s="299"/>
      <c r="H861" s="299"/>
      <c r="I861" s="299"/>
      <c r="J861" s="299"/>
      <c r="K861" s="299"/>
      <c r="L861" s="299"/>
      <c r="M861" s="299"/>
      <c r="N861" s="299"/>
      <c r="O861" s="299"/>
      <c r="P861" s="299"/>
      <c r="Q861" s="299"/>
      <c r="R861" s="299"/>
      <c r="S861" s="299"/>
      <c r="T861" s="299"/>
      <c r="U861" s="299"/>
      <c r="V861" s="299"/>
      <c r="W861" s="299"/>
      <c r="X861" s="299"/>
      <c r="Y861" s="299"/>
      <c r="Z861" s="299"/>
      <c r="AA861" s="299"/>
      <c r="AB861" s="299"/>
      <c r="AC861" s="299"/>
      <c r="AD861" s="299"/>
      <c r="AE861" s="299"/>
      <c r="AF861" s="299"/>
      <c r="AG861" s="299"/>
      <c r="AH861" s="299"/>
      <c r="AI861" s="299"/>
      <c r="AJ861" s="299"/>
      <c r="AK861" s="299"/>
    </row>
    <row r="862" spans="2:37" ht="13.2">
      <c r="B862" s="299"/>
      <c r="C862" s="299"/>
      <c r="D862" s="299"/>
      <c r="E862" s="299"/>
      <c r="F862" s="299"/>
      <c r="G862" s="299"/>
      <c r="H862" s="299"/>
      <c r="I862" s="299"/>
      <c r="J862" s="299"/>
      <c r="K862" s="299"/>
      <c r="L862" s="299"/>
      <c r="M862" s="299"/>
      <c r="N862" s="299"/>
      <c r="O862" s="299"/>
      <c r="P862" s="299"/>
      <c r="Q862" s="299"/>
      <c r="R862" s="299"/>
      <c r="S862" s="299"/>
      <c r="T862" s="299"/>
      <c r="U862" s="299"/>
      <c r="V862" s="299"/>
      <c r="W862" s="299"/>
      <c r="X862" s="299"/>
      <c r="Y862" s="299"/>
      <c r="Z862" s="299"/>
      <c r="AA862" s="299"/>
      <c r="AB862" s="299"/>
      <c r="AC862" s="299"/>
      <c r="AD862" s="299"/>
      <c r="AE862" s="299"/>
      <c r="AF862" s="299"/>
      <c r="AG862" s="299"/>
      <c r="AH862" s="299"/>
      <c r="AI862" s="299"/>
      <c r="AJ862" s="299"/>
      <c r="AK862" s="299"/>
    </row>
    <row r="863" spans="2:37" ht="13.2">
      <c r="B863" s="299"/>
      <c r="C863" s="299"/>
      <c r="D863" s="299"/>
      <c r="E863" s="299"/>
      <c r="F863" s="299"/>
      <c r="G863" s="299"/>
      <c r="H863" s="299"/>
      <c r="I863" s="299"/>
      <c r="J863" s="299"/>
      <c r="K863" s="299"/>
      <c r="L863" s="299"/>
      <c r="M863" s="299"/>
      <c r="N863" s="299"/>
      <c r="O863" s="299"/>
      <c r="P863" s="299"/>
      <c r="Q863" s="299"/>
      <c r="R863" s="299"/>
      <c r="S863" s="299"/>
      <c r="T863" s="299"/>
      <c r="U863" s="299"/>
      <c r="V863" s="299"/>
      <c r="W863" s="299"/>
      <c r="X863" s="299"/>
      <c r="Y863" s="299"/>
      <c r="Z863" s="299"/>
      <c r="AA863" s="299"/>
      <c r="AB863" s="299"/>
      <c r="AC863" s="299"/>
      <c r="AD863" s="299"/>
      <c r="AE863" s="299"/>
      <c r="AF863" s="299"/>
      <c r="AG863" s="299"/>
      <c r="AH863" s="299"/>
      <c r="AI863" s="299"/>
      <c r="AJ863" s="299"/>
      <c r="AK863" s="299"/>
    </row>
    <row r="864" spans="2:37" ht="13.2">
      <c r="B864" s="299"/>
      <c r="C864" s="299"/>
      <c r="D864" s="299"/>
      <c r="E864" s="299"/>
      <c r="F864" s="299"/>
      <c r="G864" s="299"/>
      <c r="H864" s="299"/>
      <c r="I864" s="299"/>
      <c r="J864" s="299"/>
      <c r="K864" s="299"/>
      <c r="L864" s="299"/>
      <c r="M864" s="299"/>
      <c r="N864" s="299"/>
      <c r="O864" s="299"/>
      <c r="P864" s="299"/>
      <c r="Q864" s="299"/>
      <c r="R864" s="299"/>
      <c r="S864" s="299"/>
      <c r="T864" s="299"/>
      <c r="U864" s="299"/>
      <c r="V864" s="299"/>
      <c r="W864" s="299"/>
      <c r="X864" s="299"/>
      <c r="Y864" s="299"/>
      <c r="Z864" s="299"/>
      <c r="AA864" s="299"/>
      <c r="AB864" s="299"/>
      <c r="AC864" s="299"/>
      <c r="AD864" s="299"/>
      <c r="AE864" s="299"/>
      <c r="AF864" s="299"/>
      <c r="AG864" s="299"/>
      <c r="AH864" s="299"/>
      <c r="AI864" s="299"/>
      <c r="AJ864" s="299"/>
      <c r="AK864" s="299"/>
    </row>
    <row r="865" spans="2:37" ht="13.2">
      <c r="B865" s="299"/>
      <c r="C865" s="299"/>
      <c r="D865" s="299"/>
      <c r="E865" s="299"/>
      <c r="F865" s="299"/>
      <c r="G865" s="299"/>
      <c r="H865" s="299"/>
      <c r="I865" s="299"/>
      <c r="J865" s="299"/>
      <c r="K865" s="299"/>
      <c r="L865" s="299"/>
      <c r="M865" s="299"/>
      <c r="N865" s="299"/>
      <c r="O865" s="299"/>
      <c r="P865" s="299"/>
      <c r="Q865" s="299"/>
      <c r="R865" s="299"/>
      <c r="S865" s="299"/>
      <c r="T865" s="299"/>
      <c r="U865" s="299"/>
      <c r="V865" s="299"/>
      <c r="W865" s="299"/>
      <c r="X865" s="299"/>
      <c r="Y865" s="299"/>
      <c r="Z865" s="299"/>
      <c r="AA865" s="299"/>
      <c r="AB865" s="299"/>
      <c r="AC865" s="299"/>
      <c r="AD865" s="299"/>
      <c r="AE865" s="299"/>
      <c r="AF865" s="299"/>
      <c r="AG865" s="299"/>
      <c r="AH865" s="299"/>
      <c r="AI865" s="299"/>
      <c r="AJ865" s="299"/>
      <c r="AK865" s="299"/>
    </row>
    <row r="866" spans="2:37" ht="13.2">
      <c r="B866" s="299"/>
      <c r="C866" s="299"/>
      <c r="D866" s="299"/>
      <c r="E866" s="299"/>
      <c r="F866" s="299"/>
      <c r="G866" s="299"/>
      <c r="H866" s="299"/>
      <c r="I866" s="299"/>
      <c r="J866" s="299"/>
      <c r="K866" s="299"/>
      <c r="L866" s="299"/>
      <c r="M866" s="299"/>
      <c r="N866" s="299"/>
      <c r="O866" s="299"/>
      <c r="P866" s="299"/>
      <c r="Q866" s="299"/>
      <c r="R866" s="299"/>
      <c r="S866" s="299"/>
      <c r="T866" s="299"/>
      <c r="U866" s="299"/>
      <c r="V866" s="299"/>
      <c r="W866" s="299"/>
      <c r="X866" s="299"/>
      <c r="Y866" s="299"/>
      <c r="Z866" s="299"/>
      <c r="AA866" s="299"/>
      <c r="AB866" s="299"/>
      <c r="AC866" s="299"/>
      <c r="AD866" s="299"/>
      <c r="AE866" s="299"/>
      <c r="AF866" s="299"/>
      <c r="AG866" s="299"/>
      <c r="AH866" s="299"/>
      <c r="AI866" s="299"/>
      <c r="AJ866" s="299"/>
      <c r="AK866" s="299"/>
    </row>
    <row r="867" spans="2:37" ht="13.2">
      <c r="B867" s="299"/>
      <c r="C867" s="299"/>
      <c r="D867" s="299"/>
      <c r="E867" s="299"/>
      <c r="F867" s="299"/>
      <c r="G867" s="299"/>
      <c r="H867" s="299"/>
      <c r="I867" s="299"/>
      <c r="J867" s="299"/>
      <c r="K867" s="299"/>
      <c r="L867" s="299"/>
      <c r="M867" s="299"/>
      <c r="N867" s="299"/>
      <c r="O867" s="299"/>
      <c r="P867" s="299"/>
      <c r="Q867" s="299"/>
      <c r="R867" s="299"/>
      <c r="S867" s="299"/>
      <c r="T867" s="299"/>
      <c r="U867" s="299"/>
      <c r="V867" s="299"/>
      <c r="W867" s="299"/>
      <c r="X867" s="299"/>
      <c r="Y867" s="299"/>
      <c r="Z867" s="299"/>
      <c r="AA867" s="299"/>
      <c r="AB867" s="299"/>
      <c r="AC867" s="299"/>
      <c r="AD867" s="299"/>
      <c r="AE867" s="299"/>
      <c r="AF867" s="299"/>
      <c r="AG867" s="299"/>
      <c r="AH867" s="299"/>
      <c r="AI867" s="299"/>
      <c r="AJ867" s="299"/>
      <c r="AK867" s="299"/>
    </row>
    <row r="868" spans="2:37" ht="13.2">
      <c r="B868" s="299"/>
      <c r="C868" s="299"/>
      <c r="D868" s="299"/>
      <c r="E868" s="299"/>
      <c r="F868" s="299"/>
      <c r="G868" s="299"/>
      <c r="H868" s="299"/>
      <c r="I868" s="299"/>
      <c r="J868" s="299"/>
      <c r="K868" s="299"/>
      <c r="L868" s="299"/>
      <c r="M868" s="299"/>
      <c r="N868" s="299"/>
      <c r="O868" s="299"/>
      <c r="P868" s="299"/>
      <c r="Q868" s="299"/>
      <c r="R868" s="299"/>
      <c r="S868" s="299"/>
      <c r="T868" s="299"/>
      <c r="U868" s="299"/>
      <c r="V868" s="299"/>
      <c r="W868" s="299"/>
      <c r="X868" s="299"/>
      <c r="Y868" s="299"/>
      <c r="Z868" s="299"/>
      <c r="AA868" s="299"/>
      <c r="AB868" s="299"/>
      <c r="AC868" s="299"/>
      <c r="AD868" s="299"/>
      <c r="AE868" s="299"/>
      <c r="AF868" s="299"/>
      <c r="AG868" s="299"/>
      <c r="AH868" s="299"/>
      <c r="AI868" s="299"/>
      <c r="AJ868" s="299"/>
      <c r="AK868" s="299"/>
    </row>
    <row r="869" spans="2:37" ht="13.2">
      <c r="B869" s="299"/>
      <c r="C869" s="299"/>
      <c r="D869" s="299"/>
      <c r="E869" s="299"/>
      <c r="F869" s="299"/>
      <c r="G869" s="299"/>
      <c r="H869" s="299"/>
      <c r="I869" s="299"/>
      <c r="J869" s="299"/>
      <c r="K869" s="299"/>
      <c r="L869" s="299"/>
      <c r="M869" s="299"/>
      <c r="N869" s="299"/>
      <c r="O869" s="299"/>
      <c r="P869" s="299"/>
      <c r="Q869" s="299"/>
      <c r="R869" s="299"/>
      <c r="S869" s="299"/>
      <c r="T869" s="299"/>
      <c r="U869" s="299"/>
      <c r="V869" s="299"/>
      <c r="W869" s="299"/>
      <c r="X869" s="299"/>
      <c r="Y869" s="299"/>
      <c r="Z869" s="299"/>
      <c r="AA869" s="299"/>
      <c r="AB869" s="299"/>
      <c r="AC869" s="299"/>
      <c r="AD869" s="299"/>
      <c r="AE869" s="299"/>
      <c r="AF869" s="299"/>
      <c r="AG869" s="299"/>
      <c r="AH869" s="299"/>
      <c r="AI869" s="299"/>
      <c r="AJ869" s="299"/>
      <c r="AK869" s="299"/>
    </row>
    <row r="870" spans="2:37" ht="13.2">
      <c r="B870" s="299"/>
      <c r="C870" s="299"/>
      <c r="D870" s="299"/>
      <c r="E870" s="299"/>
      <c r="F870" s="299"/>
      <c r="G870" s="299"/>
      <c r="H870" s="299"/>
      <c r="I870" s="299"/>
      <c r="J870" s="299"/>
      <c r="K870" s="299"/>
      <c r="L870" s="299"/>
      <c r="M870" s="299"/>
      <c r="N870" s="299"/>
      <c r="O870" s="299"/>
      <c r="P870" s="299"/>
      <c r="Q870" s="299"/>
      <c r="R870" s="299"/>
      <c r="S870" s="299"/>
      <c r="T870" s="299"/>
      <c r="U870" s="299"/>
      <c r="V870" s="299"/>
      <c r="W870" s="299"/>
      <c r="X870" s="299"/>
      <c r="Y870" s="299"/>
      <c r="Z870" s="299"/>
      <c r="AA870" s="299"/>
      <c r="AB870" s="299"/>
      <c r="AC870" s="299"/>
      <c r="AD870" s="299"/>
      <c r="AE870" s="299"/>
      <c r="AF870" s="299"/>
      <c r="AG870" s="299"/>
      <c r="AH870" s="299"/>
      <c r="AI870" s="299"/>
      <c r="AJ870" s="299"/>
      <c r="AK870" s="299"/>
    </row>
    <row r="871" spans="2:37" ht="13.2">
      <c r="B871" s="299"/>
      <c r="C871" s="299"/>
      <c r="D871" s="299"/>
      <c r="E871" s="299"/>
      <c r="F871" s="299"/>
      <c r="G871" s="299"/>
      <c r="H871" s="299"/>
      <c r="I871" s="299"/>
      <c r="J871" s="299"/>
      <c r="K871" s="299"/>
      <c r="L871" s="299"/>
      <c r="M871" s="299"/>
      <c r="N871" s="299"/>
      <c r="O871" s="299"/>
      <c r="P871" s="299"/>
      <c r="Q871" s="299"/>
      <c r="R871" s="299"/>
      <c r="S871" s="299"/>
      <c r="T871" s="299"/>
      <c r="U871" s="299"/>
      <c r="V871" s="299"/>
      <c r="W871" s="299"/>
      <c r="X871" s="299"/>
      <c r="Y871" s="299"/>
      <c r="Z871" s="299"/>
      <c r="AA871" s="299"/>
      <c r="AB871" s="299"/>
      <c r="AC871" s="299"/>
      <c r="AD871" s="299"/>
      <c r="AE871" s="299"/>
      <c r="AF871" s="299"/>
      <c r="AG871" s="299"/>
      <c r="AH871" s="299"/>
      <c r="AI871" s="299"/>
      <c r="AJ871" s="299"/>
      <c r="AK871" s="299"/>
    </row>
    <row r="872" spans="2:37" ht="13.2">
      <c r="B872" s="299"/>
      <c r="C872" s="299"/>
      <c r="D872" s="299"/>
      <c r="E872" s="299"/>
      <c r="F872" s="299"/>
      <c r="G872" s="299"/>
      <c r="H872" s="299"/>
      <c r="I872" s="299"/>
      <c r="J872" s="299"/>
      <c r="K872" s="299"/>
      <c r="L872" s="299"/>
      <c r="M872" s="299"/>
      <c r="N872" s="299"/>
      <c r="O872" s="299"/>
      <c r="P872" s="299"/>
      <c r="Q872" s="299"/>
      <c r="R872" s="299"/>
      <c r="S872" s="299"/>
      <c r="T872" s="299"/>
      <c r="U872" s="299"/>
      <c r="V872" s="299"/>
      <c r="W872" s="299"/>
      <c r="X872" s="299"/>
      <c r="Y872" s="299"/>
      <c r="Z872" s="299"/>
      <c r="AA872" s="299"/>
      <c r="AB872" s="299"/>
      <c r="AC872" s="299"/>
      <c r="AD872" s="299"/>
      <c r="AE872" s="299"/>
      <c r="AF872" s="299"/>
      <c r="AG872" s="299"/>
      <c r="AH872" s="299"/>
      <c r="AI872" s="299"/>
      <c r="AJ872" s="299"/>
      <c r="AK872" s="299"/>
    </row>
    <row r="873" spans="2:37" ht="13.2">
      <c r="B873" s="299"/>
      <c r="C873" s="299"/>
      <c r="D873" s="299"/>
      <c r="E873" s="299"/>
      <c r="F873" s="299"/>
      <c r="G873" s="299"/>
      <c r="H873" s="299"/>
      <c r="I873" s="299"/>
      <c r="J873" s="299"/>
      <c r="K873" s="299"/>
      <c r="L873" s="299"/>
      <c r="M873" s="299"/>
      <c r="N873" s="299"/>
      <c r="O873" s="299"/>
      <c r="P873" s="299"/>
      <c r="Q873" s="299"/>
      <c r="R873" s="299"/>
      <c r="S873" s="299"/>
      <c r="T873" s="299"/>
      <c r="U873" s="299"/>
      <c r="V873" s="299"/>
      <c r="W873" s="299"/>
      <c r="X873" s="299"/>
      <c r="Y873" s="299"/>
      <c r="Z873" s="299"/>
      <c r="AA873" s="299"/>
      <c r="AB873" s="299"/>
      <c r="AC873" s="299"/>
      <c r="AD873" s="299"/>
      <c r="AE873" s="299"/>
      <c r="AF873" s="299"/>
      <c r="AG873" s="299"/>
      <c r="AH873" s="299"/>
      <c r="AI873" s="299"/>
      <c r="AJ873" s="299"/>
      <c r="AK873" s="299"/>
    </row>
    <row r="874" spans="2:37" ht="13.2">
      <c r="B874" s="299"/>
      <c r="C874" s="299"/>
      <c r="D874" s="299"/>
      <c r="E874" s="299"/>
      <c r="F874" s="299"/>
      <c r="G874" s="299"/>
      <c r="H874" s="299"/>
      <c r="I874" s="299"/>
      <c r="J874" s="299"/>
      <c r="K874" s="299"/>
      <c r="L874" s="299"/>
      <c r="M874" s="299"/>
      <c r="N874" s="299"/>
      <c r="O874" s="299"/>
      <c r="P874" s="299"/>
      <c r="Q874" s="299"/>
      <c r="R874" s="299"/>
      <c r="S874" s="299"/>
      <c r="T874" s="299"/>
      <c r="U874" s="299"/>
      <c r="V874" s="299"/>
      <c r="W874" s="299"/>
      <c r="X874" s="299"/>
      <c r="Y874" s="299"/>
      <c r="Z874" s="299"/>
      <c r="AA874" s="299"/>
      <c r="AB874" s="299"/>
      <c r="AC874" s="299"/>
      <c r="AD874" s="299"/>
      <c r="AE874" s="299"/>
      <c r="AF874" s="299"/>
      <c r="AG874" s="299"/>
      <c r="AH874" s="299"/>
      <c r="AI874" s="299"/>
      <c r="AJ874" s="299"/>
      <c r="AK874" s="299"/>
    </row>
    <row r="875" spans="2:37" ht="13.2">
      <c r="B875" s="299"/>
      <c r="C875" s="299"/>
      <c r="D875" s="299"/>
      <c r="E875" s="299"/>
      <c r="F875" s="299"/>
      <c r="G875" s="299"/>
      <c r="H875" s="299"/>
      <c r="I875" s="299"/>
      <c r="J875" s="299"/>
      <c r="K875" s="299"/>
      <c r="L875" s="299"/>
      <c r="M875" s="299"/>
      <c r="N875" s="299"/>
      <c r="O875" s="299"/>
      <c r="P875" s="299"/>
      <c r="Q875" s="299"/>
      <c r="R875" s="299"/>
      <c r="S875" s="299"/>
      <c r="T875" s="299"/>
      <c r="U875" s="299"/>
      <c r="V875" s="299"/>
      <c r="W875" s="299"/>
      <c r="X875" s="299"/>
      <c r="Y875" s="299"/>
      <c r="Z875" s="299"/>
      <c r="AA875" s="299"/>
      <c r="AB875" s="299"/>
      <c r="AC875" s="299"/>
      <c r="AD875" s="299"/>
      <c r="AE875" s="299"/>
      <c r="AF875" s="299"/>
      <c r="AG875" s="299"/>
      <c r="AH875" s="299"/>
      <c r="AI875" s="299"/>
      <c r="AJ875" s="299"/>
      <c r="AK875" s="299"/>
    </row>
    <row r="876" spans="2:37" ht="13.2">
      <c r="B876" s="299"/>
      <c r="C876" s="299"/>
      <c r="D876" s="299"/>
      <c r="E876" s="299"/>
      <c r="F876" s="299"/>
      <c r="G876" s="299"/>
      <c r="H876" s="299"/>
      <c r="I876" s="299"/>
      <c r="J876" s="299"/>
      <c r="K876" s="299"/>
      <c r="L876" s="299"/>
      <c r="M876" s="299"/>
      <c r="N876" s="299"/>
      <c r="O876" s="299"/>
      <c r="P876" s="299"/>
      <c r="Q876" s="299"/>
      <c r="R876" s="299"/>
      <c r="S876" s="299"/>
      <c r="T876" s="299"/>
      <c r="U876" s="299"/>
      <c r="V876" s="299"/>
      <c r="W876" s="299"/>
      <c r="X876" s="299"/>
      <c r="Y876" s="299"/>
      <c r="Z876" s="299"/>
      <c r="AA876" s="299"/>
      <c r="AB876" s="299"/>
      <c r="AC876" s="299"/>
      <c r="AD876" s="299"/>
      <c r="AE876" s="299"/>
      <c r="AF876" s="299"/>
      <c r="AG876" s="299"/>
      <c r="AH876" s="299"/>
      <c r="AI876" s="299"/>
      <c r="AJ876" s="299"/>
      <c r="AK876" s="299"/>
    </row>
    <row r="877" spans="2:37" ht="13.2">
      <c r="B877" s="299"/>
      <c r="C877" s="299"/>
      <c r="D877" s="299"/>
      <c r="E877" s="299"/>
      <c r="F877" s="299"/>
      <c r="G877" s="299"/>
      <c r="H877" s="299"/>
      <c r="I877" s="299"/>
      <c r="J877" s="299"/>
      <c r="K877" s="299"/>
      <c r="L877" s="299"/>
      <c r="M877" s="299"/>
      <c r="N877" s="299"/>
      <c r="O877" s="299"/>
      <c r="P877" s="299"/>
      <c r="Q877" s="299"/>
      <c r="R877" s="299"/>
      <c r="S877" s="299"/>
      <c r="T877" s="299"/>
      <c r="U877" s="299"/>
      <c r="V877" s="299"/>
      <c r="W877" s="299"/>
      <c r="X877" s="299"/>
      <c r="Y877" s="299"/>
      <c r="Z877" s="299"/>
      <c r="AA877" s="299"/>
      <c r="AB877" s="299"/>
      <c r="AC877" s="299"/>
      <c r="AD877" s="299"/>
      <c r="AE877" s="299"/>
      <c r="AF877" s="299"/>
      <c r="AG877" s="299"/>
      <c r="AH877" s="299"/>
      <c r="AI877" s="299"/>
      <c r="AJ877" s="299"/>
      <c r="AK877" s="299"/>
    </row>
    <row r="878" spans="2:37" ht="13.2">
      <c r="B878" s="299"/>
      <c r="C878" s="299"/>
      <c r="D878" s="299"/>
      <c r="E878" s="299"/>
      <c r="F878" s="299"/>
      <c r="G878" s="299"/>
      <c r="H878" s="299"/>
      <c r="I878" s="299"/>
      <c r="J878" s="299"/>
      <c r="K878" s="299"/>
      <c r="L878" s="299"/>
      <c r="M878" s="299"/>
      <c r="N878" s="299"/>
      <c r="O878" s="299"/>
      <c r="P878" s="299"/>
      <c r="Q878" s="299"/>
      <c r="R878" s="299"/>
      <c r="S878" s="299"/>
      <c r="T878" s="299"/>
      <c r="U878" s="299"/>
      <c r="V878" s="299"/>
      <c r="W878" s="299"/>
      <c r="X878" s="299"/>
      <c r="Y878" s="299"/>
      <c r="Z878" s="299"/>
      <c r="AA878" s="299"/>
      <c r="AB878" s="299"/>
      <c r="AC878" s="299"/>
      <c r="AD878" s="299"/>
      <c r="AE878" s="299"/>
      <c r="AF878" s="299"/>
      <c r="AG878" s="299"/>
      <c r="AH878" s="299"/>
      <c r="AI878" s="299"/>
      <c r="AJ878" s="299"/>
      <c r="AK878" s="299"/>
    </row>
    <row r="879" spans="2:37" ht="13.2">
      <c r="B879" s="299"/>
      <c r="C879" s="299"/>
      <c r="D879" s="299"/>
      <c r="E879" s="299"/>
      <c r="F879" s="299"/>
      <c r="G879" s="299"/>
      <c r="H879" s="299"/>
      <c r="I879" s="299"/>
      <c r="J879" s="299"/>
      <c r="K879" s="299"/>
      <c r="L879" s="299"/>
      <c r="M879" s="299"/>
      <c r="N879" s="299"/>
      <c r="O879" s="299"/>
      <c r="P879" s="299"/>
      <c r="Q879" s="299"/>
      <c r="R879" s="299"/>
      <c r="S879" s="299"/>
      <c r="T879" s="299"/>
      <c r="U879" s="299"/>
      <c r="V879" s="299"/>
      <c r="W879" s="299"/>
      <c r="X879" s="299"/>
      <c r="Y879" s="299"/>
      <c r="Z879" s="299"/>
      <c r="AA879" s="299"/>
      <c r="AB879" s="299"/>
      <c r="AC879" s="299"/>
      <c r="AD879" s="299"/>
      <c r="AE879" s="299"/>
      <c r="AF879" s="299"/>
      <c r="AG879" s="299"/>
      <c r="AH879" s="299"/>
      <c r="AI879" s="299"/>
      <c r="AJ879" s="299"/>
      <c r="AK879" s="299"/>
    </row>
    <row r="880" spans="2:37" ht="13.2">
      <c r="B880" s="299"/>
      <c r="C880" s="299"/>
      <c r="D880" s="299"/>
      <c r="E880" s="299"/>
      <c r="F880" s="299"/>
      <c r="G880" s="299"/>
      <c r="H880" s="299"/>
      <c r="I880" s="299"/>
      <c r="J880" s="299"/>
      <c r="K880" s="299"/>
      <c r="L880" s="299"/>
      <c r="M880" s="299"/>
      <c r="N880" s="299"/>
      <c r="O880" s="299"/>
      <c r="P880" s="299"/>
      <c r="Q880" s="299"/>
      <c r="R880" s="299"/>
      <c r="S880" s="299"/>
      <c r="T880" s="299"/>
      <c r="U880" s="299"/>
      <c r="V880" s="299"/>
      <c r="W880" s="299"/>
      <c r="X880" s="299"/>
      <c r="Y880" s="299"/>
      <c r="Z880" s="299"/>
      <c r="AA880" s="299"/>
      <c r="AB880" s="299"/>
      <c r="AC880" s="299"/>
      <c r="AD880" s="299"/>
      <c r="AE880" s="299"/>
      <c r="AF880" s="299"/>
      <c r="AG880" s="299"/>
      <c r="AH880" s="299"/>
      <c r="AI880" s="299"/>
      <c r="AJ880" s="299"/>
      <c r="AK880" s="299"/>
    </row>
    <row r="881" spans="2:37" ht="13.2">
      <c r="B881" s="299"/>
      <c r="C881" s="299"/>
      <c r="D881" s="299"/>
      <c r="E881" s="299"/>
      <c r="F881" s="299"/>
      <c r="G881" s="299"/>
      <c r="H881" s="299"/>
      <c r="I881" s="299"/>
      <c r="J881" s="299"/>
      <c r="K881" s="299"/>
      <c r="L881" s="299"/>
      <c r="M881" s="299"/>
      <c r="N881" s="299"/>
      <c r="O881" s="299"/>
      <c r="P881" s="299"/>
      <c r="Q881" s="299"/>
      <c r="R881" s="299"/>
      <c r="S881" s="299"/>
      <c r="T881" s="299"/>
      <c r="U881" s="299"/>
      <c r="V881" s="299"/>
      <c r="W881" s="299"/>
      <c r="X881" s="299"/>
      <c r="Y881" s="299"/>
      <c r="Z881" s="299"/>
      <c r="AA881" s="299"/>
      <c r="AB881" s="299"/>
      <c r="AC881" s="299"/>
      <c r="AD881" s="299"/>
      <c r="AE881" s="299"/>
      <c r="AF881" s="299"/>
      <c r="AG881" s="299"/>
      <c r="AH881" s="299"/>
      <c r="AI881" s="299"/>
      <c r="AJ881" s="299"/>
      <c r="AK881" s="299"/>
    </row>
    <row r="882" spans="2:37" ht="13.2">
      <c r="B882" s="299"/>
      <c r="C882" s="299"/>
      <c r="D882" s="299"/>
      <c r="E882" s="299"/>
      <c r="F882" s="299"/>
      <c r="G882" s="299"/>
      <c r="H882" s="299"/>
      <c r="I882" s="299"/>
      <c r="J882" s="299"/>
      <c r="K882" s="299"/>
      <c r="L882" s="299"/>
      <c r="M882" s="299"/>
      <c r="N882" s="299"/>
      <c r="O882" s="299"/>
      <c r="P882" s="299"/>
      <c r="Q882" s="299"/>
      <c r="R882" s="299"/>
      <c r="S882" s="299"/>
      <c r="T882" s="299"/>
      <c r="U882" s="299"/>
      <c r="V882" s="299"/>
      <c r="W882" s="299"/>
      <c r="X882" s="299"/>
      <c r="Y882" s="299"/>
      <c r="Z882" s="299"/>
      <c r="AA882" s="299"/>
      <c r="AB882" s="299"/>
      <c r="AC882" s="299"/>
      <c r="AD882" s="299"/>
      <c r="AE882" s="299"/>
      <c r="AF882" s="299"/>
      <c r="AG882" s="299"/>
      <c r="AH882" s="299"/>
      <c r="AI882" s="299"/>
      <c r="AJ882" s="299"/>
      <c r="AK882" s="299"/>
    </row>
    <row r="883" spans="2:37" ht="13.2">
      <c r="B883" s="299"/>
      <c r="C883" s="299"/>
      <c r="D883" s="299"/>
      <c r="E883" s="299"/>
      <c r="F883" s="299"/>
      <c r="G883" s="299"/>
      <c r="H883" s="299"/>
      <c r="I883" s="299"/>
      <c r="J883" s="299"/>
      <c r="K883" s="299"/>
      <c r="L883" s="299"/>
      <c r="M883" s="299"/>
      <c r="N883" s="299"/>
      <c r="O883" s="299"/>
      <c r="P883" s="299"/>
      <c r="Q883" s="299"/>
      <c r="R883" s="299"/>
      <c r="S883" s="299"/>
      <c r="T883" s="299"/>
      <c r="U883" s="299"/>
      <c r="V883" s="299"/>
      <c r="W883" s="299"/>
      <c r="X883" s="299"/>
      <c r="Y883" s="299"/>
      <c r="Z883" s="299"/>
      <c r="AA883" s="299"/>
      <c r="AB883" s="299"/>
      <c r="AC883" s="299"/>
      <c r="AD883" s="299"/>
      <c r="AE883" s="299"/>
      <c r="AF883" s="299"/>
      <c r="AG883" s="299"/>
      <c r="AH883" s="299"/>
      <c r="AI883" s="299"/>
      <c r="AJ883" s="299"/>
      <c r="AK883" s="299"/>
    </row>
    <row r="884" spans="2:37" ht="13.2">
      <c r="B884" s="299"/>
      <c r="C884" s="299"/>
      <c r="D884" s="299"/>
      <c r="E884" s="299"/>
      <c r="F884" s="299"/>
      <c r="G884" s="299"/>
      <c r="H884" s="299"/>
      <c r="I884" s="299"/>
      <c r="J884" s="299"/>
      <c r="K884" s="299"/>
      <c r="L884" s="299"/>
      <c r="M884" s="299"/>
      <c r="N884" s="299"/>
      <c r="O884" s="299"/>
      <c r="P884" s="299"/>
      <c r="Q884" s="299"/>
      <c r="R884" s="299"/>
      <c r="S884" s="299"/>
      <c r="T884" s="299"/>
      <c r="U884" s="299"/>
      <c r="V884" s="299"/>
      <c r="W884" s="299"/>
      <c r="X884" s="299"/>
      <c r="Y884" s="299"/>
      <c r="Z884" s="299"/>
      <c r="AA884" s="299"/>
      <c r="AB884" s="299"/>
      <c r="AC884" s="299"/>
      <c r="AD884" s="299"/>
      <c r="AE884" s="299"/>
      <c r="AF884" s="299"/>
      <c r="AG884" s="299"/>
      <c r="AH884" s="299"/>
      <c r="AI884" s="299"/>
      <c r="AJ884" s="299"/>
      <c r="AK884" s="299"/>
    </row>
    <row r="885" spans="2:37" ht="13.2">
      <c r="B885" s="299"/>
      <c r="C885" s="299"/>
      <c r="D885" s="299"/>
      <c r="E885" s="299"/>
      <c r="F885" s="299"/>
      <c r="G885" s="299"/>
      <c r="H885" s="299"/>
      <c r="I885" s="299"/>
      <c r="J885" s="299"/>
      <c r="K885" s="299"/>
      <c r="L885" s="299"/>
      <c r="M885" s="299"/>
      <c r="N885" s="299"/>
      <c r="O885" s="299"/>
      <c r="P885" s="299"/>
      <c r="Q885" s="299"/>
      <c r="R885" s="299"/>
      <c r="S885" s="299"/>
      <c r="T885" s="299"/>
      <c r="U885" s="299"/>
      <c r="V885" s="299"/>
      <c r="W885" s="299"/>
      <c r="X885" s="299"/>
      <c r="Y885" s="299"/>
      <c r="Z885" s="299"/>
      <c r="AA885" s="299"/>
      <c r="AB885" s="299"/>
      <c r="AC885" s="299"/>
      <c r="AD885" s="299"/>
      <c r="AE885" s="299"/>
      <c r="AF885" s="299"/>
      <c r="AG885" s="299"/>
      <c r="AH885" s="299"/>
      <c r="AI885" s="299"/>
      <c r="AJ885" s="299"/>
      <c r="AK885" s="299"/>
    </row>
    <row r="886" spans="2:37" ht="13.2">
      <c r="B886" s="299"/>
      <c r="C886" s="299"/>
      <c r="D886" s="299"/>
      <c r="E886" s="299"/>
      <c r="F886" s="299"/>
      <c r="G886" s="299"/>
      <c r="H886" s="299"/>
      <c r="I886" s="299"/>
      <c r="J886" s="299"/>
      <c r="K886" s="299"/>
      <c r="L886" s="299"/>
      <c r="M886" s="299"/>
      <c r="N886" s="299"/>
      <c r="O886" s="299"/>
      <c r="P886" s="299"/>
      <c r="Q886" s="299"/>
      <c r="R886" s="299"/>
      <c r="S886" s="299"/>
      <c r="T886" s="299"/>
      <c r="U886" s="299"/>
      <c r="V886" s="299"/>
      <c r="W886" s="299"/>
      <c r="X886" s="299"/>
      <c r="Y886" s="299"/>
      <c r="Z886" s="299"/>
      <c r="AA886" s="299"/>
      <c r="AB886" s="299"/>
      <c r="AC886" s="299"/>
      <c r="AD886" s="299"/>
      <c r="AE886" s="299"/>
      <c r="AF886" s="299"/>
      <c r="AG886" s="299"/>
      <c r="AH886" s="299"/>
      <c r="AI886" s="299"/>
      <c r="AJ886" s="299"/>
      <c r="AK886" s="299"/>
    </row>
    <row r="887" spans="2:37" ht="13.2">
      <c r="B887" s="299"/>
      <c r="C887" s="299"/>
      <c r="D887" s="299"/>
      <c r="E887" s="299"/>
      <c r="F887" s="299"/>
      <c r="G887" s="299"/>
      <c r="H887" s="299"/>
      <c r="I887" s="299"/>
      <c r="J887" s="299"/>
      <c r="K887" s="299"/>
      <c r="L887" s="299"/>
      <c r="M887" s="299"/>
      <c r="N887" s="299"/>
      <c r="O887" s="299"/>
      <c r="P887" s="299"/>
      <c r="Q887" s="299"/>
      <c r="R887" s="299"/>
      <c r="S887" s="299"/>
      <c r="T887" s="299"/>
      <c r="U887" s="299"/>
      <c r="V887" s="299"/>
      <c r="W887" s="299"/>
      <c r="X887" s="299"/>
      <c r="Y887" s="299"/>
      <c r="Z887" s="299"/>
      <c r="AA887" s="299"/>
      <c r="AB887" s="299"/>
      <c r="AC887" s="299"/>
      <c r="AD887" s="299"/>
      <c r="AE887" s="299"/>
      <c r="AF887" s="299"/>
      <c r="AG887" s="299"/>
      <c r="AH887" s="299"/>
      <c r="AI887" s="299"/>
      <c r="AJ887" s="299"/>
      <c r="AK887" s="299"/>
    </row>
    <row r="888" spans="2:37" ht="13.2">
      <c r="B888" s="299"/>
      <c r="C888" s="299"/>
      <c r="D888" s="299"/>
      <c r="E888" s="299"/>
      <c r="F888" s="299"/>
      <c r="G888" s="299"/>
      <c r="H888" s="299"/>
      <c r="I888" s="299"/>
      <c r="J888" s="299"/>
      <c r="K888" s="299"/>
      <c r="L888" s="299"/>
      <c r="M888" s="299"/>
      <c r="N888" s="299"/>
      <c r="O888" s="299"/>
      <c r="P888" s="299"/>
      <c r="Q888" s="299"/>
      <c r="R888" s="299"/>
      <c r="S888" s="299"/>
      <c r="T888" s="299"/>
      <c r="U888" s="299"/>
      <c r="V888" s="299"/>
      <c r="W888" s="299"/>
      <c r="X888" s="299"/>
      <c r="Y888" s="299"/>
      <c r="Z888" s="299"/>
      <c r="AA888" s="299"/>
      <c r="AB888" s="299"/>
      <c r="AC888" s="299"/>
      <c r="AD888" s="299"/>
      <c r="AE888" s="299"/>
      <c r="AF888" s="299"/>
      <c r="AG888" s="299"/>
      <c r="AH888" s="299"/>
      <c r="AI888" s="299"/>
      <c r="AJ888" s="299"/>
      <c r="AK888" s="299"/>
    </row>
    <row r="889" spans="2:37" ht="13.2">
      <c r="B889" s="299"/>
      <c r="C889" s="299"/>
      <c r="D889" s="299"/>
      <c r="E889" s="299"/>
      <c r="F889" s="299"/>
      <c r="G889" s="299"/>
      <c r="H889" s="299"/>
      <c r="I889" s="299"/>
      <c r="J889" s="299"/>
      <c r="K889" s="299"/>
      <c r="L889" s="299"/>
      <c r="M889" s="299"/>
      <c r="N889" s="299"/>
      <c r="O889" s="299"/>
      <c r="P889" s="299"/>
      <c r="Q889" s="299"/>
      <c r="R889" s="299"/>
      <c r="S889" s="299"/>
      <c r="T889" s="299"/>
      <c r="U889" s="299"/>
      <c r="V889" s="299"/>
      <c r="W889" s="299"/>
      <c r="X889" s="299"/>
      <c r="Y889" s="299"/>
      <c r="Z889" s="299"/>
      <c r="AA889" s="299"/>
      <c r="AB889" s="299"/>
      <c r="AC889" s="299"/>
      <c r="AD889" s="299"/>
      <c r="AE889" s="299"/>
      <c r="AF889" s="299"/>
      <c r="AG889" s="299"/>
      <c r="AH889" s="299"/>
      <c r="AI889" s="299"/>
      <c r="AJ889" s="299"/>
      <c r="AK889" s="299"/>
    </row>
    <row r="890" spans="2:37" ht="13.2">
      <c r="B890" s="299"/>
      <c r="C890" s="299"/>
      <c r="D890" s="299"/>
      <c r="E890" s="299"/>
      <c r="F890" s="299"/>
      <c r="G890" s="299"/>
      <c r="H890" s="299"/>
      <c r="I890" s="299"/>
      <c r="J890" s="299"/>
      <c r="K890" s="299"/>
      <c r="L890" s="299"/>
      <c r="M890" s="299"/>
      <c r="N890" s="299"/>
      <c r="O890" s="299"/>
      <c r="P890" s="299"/>
      <c r="Q890" s="299"/>
      <c r="R890" s="299"/>
      <c r="S890" s="299"/>
      <c r="T890" s="299"/>
      <c r="U890" s="299"/>
      <c r="V890" s="299"/>
      <c r="W890" s="299"/>
      <c r="X890" s="299"/>
      <c r="Y890" s="299"/>
      <c r="Z890" s="299"/>
      <c r="AA890" s="299"/>
      <c r="AB890" s="299"/>
      <c r="AC890" s="299"/>
      <c r="AD890" s="299"/>
      <c r="AE890" s="299"/>
      <c r="AF890" s="299"/>
      <c r="AG890" s="299"/>
      <c r="AH890" s="299"/>
      <c r="AI890" s="299"/>
      <c r="AJ890" s="299"/>
      <c r="AK890" s="299"/>
    </row>
    <row r="891" spans="2:37" ht="13.2">
      <c r="B891" s="299"/>
      <c r="C891" s="299"/>
      <c r="D891" s="299"/>
      <c r="E891" s="299"/>
      <c r="F891" s="299"/>
      <c r="G891" s="299"/>
      <c r="H891" s="299"/>
      <c r="I891" s="299"/>
      <c r="J891" s="299"/>
      <c r="K891" s="299"/>
      <c r="L891" s="299"/>
      <c r="M891" s="299"/>
      <c r="N891" s="299"/>
      <c r="O891" s="299"/>
      <c r="P891" s="299"/>
      <c r="Q891" s="299"/>
      <c r="R891" s="299"/>
      <c r="S891" s="299"/>
      <c r="T891" s="299"/>
      <c r="U891" s="299"/>
      <c r="V891" s="299"/>
      <c r="W891" s="299"/>
      <c r="X891" s="299"/>
      <c r="Y891" s="299"/>
      <c r="Z891" s="299"/>
      <c r="AA891" s="299"/>
      <c r="AB891" s="299"/>
      <c r="AC891" s="299"/>
      <c r="AD891" s="299"/>
      <c r="AE891" s="299"/>
      <c r="AF891" s="299"/>
      <c r="AG891" s="299"/>
      <c r="AH891" s="299"/>
      <c r="AI891" s="299"/>
      <c r="AJ891" s="299"/>
      <c r="AK891" s="299"/>
    </row>
    <row r="892" spans="2:37" ht="13.2">
      <c r="B892" s="299"/>
      <c r="C892" s="299"/>
      <c r="D892" s="299"/>
      <c r="E892" s="299"/>
      <c r="F892" s="299"/>
      <c r="G892" s="299"/>
      <c r="H892" s="299"/>
      <c r="I892" s="299"/>
      <c r="J892" s="299"/>
      <c r="K892" s="299"/>
      <c r="L892" s="299"/>
      <c r="M892" s="299"/>
      <c r="N892" s="299"/>
      <c r="O892" s="299"/>
      <c r="P892" s="299"/>
      <c r="Q892" s="299"/>
      <c r="R892" s="299"/>
      <c r="S892" s="299"/>
      <c r="T892" s="299"/>
      <c r="U892" s="299"/>
      <c r="V892" s="299"/>
      <c r="W892" s="299"/>
      <c r="X892" s="299"/>
      <c r="Y892" s="299"/>
      <c r="Z892" s="299"/>
      <c r="AA892" s="299"/>
      <c r="AB892" s="299"/>
      <c r="AC892" s="299"/>
      <c r="AD892" s="299"/>
      <c r="AE892" s="299"/>
      <c r="AF892" s="299"/>
      <c r="AG892" s="299"/>
      <c r="AH892" s="299"/>
      <c r="AI892" s="299"/>
      <c r="AJ892" s="299"/>
      <c r="AK892" s="299"/>
    </row>
    <row r="893" spans="2:37" ht="13.2">
      <c r="B893" s="299"/>
      <c r="C893" s="299"/>
      <c r="D893" s="299"/>
      <c r="E893" s="299"/>
      <c r="F893" s="299"/>
      <c r="G893" s="299"/>
      <c r="H893" s="299"/>
      <c r="I893" s="299"/>
      <c r="J893" s="299"/>
      <c r="K893" s="299"/>
      <c r="L893" s="299"/>
      <c r="M893" s="299"/>
      <c r="N893" s="299"/>
      <c r="O893" s="299"/>
      <c r="P893" s="299"/>
      <c r="Q893" s="299"/>
      <c r="R893" s="299"/>
      <c r="S893" s="299"/>
      <c r="T893" s="299"/>
      <c r="U893" s="299"/>
      <c r="V893" s="299"/>
      <c r="W893" s="299"/>
      <c r="X893" s="299"/>
      <c r="Y893" s="299"/>
      <c r="Z893" s="299"/>
      <c r="AA893" s="299"/>
      <c r="AB893" s="299"/>
      <c r="AC893" s="299"/>
      <c r="AD893" s="299"/>
      <c r="AE893" s="299"/>
      <c r="AF893" s="299"/>
      <c r="AG893" s="299"/>
      <c r="AH893" s="299"/>
      <c r="AI893" s="299"/>
      <c r="AJ893" s="299"/>
      <c r="AK893" s="299"/>
    </row>
    <row r="894" spans="2:37" ht="13.2">
      <c r="B894" s="299"/>
      <c r="C894" s="299"/>
      <c r="D894" s="299"/>
      <c r="E894" s="299"/>
      <c r="F894" s="299"/>
      <c r="G894" s="299"/>
      <c r="H894" s="299"/>
      <c r="I894" s="299"/>
      <c r="J894" s="299"/>
      <c r="K894" s="299"/>
      <c r="L894" s="299"/>
      <c r="M894" s="299"/>
      <c r="N894" s="299"/>
      <c r="O894" s="299"/>
      <c r="P894" s="299"/>
      <c r="Q894" s="299"/>
      <c r="R894" s="299"/>
      <c r="S894" s="299"/>
      <c r="T894" s="299"/>
      <c r="U894" s="299"/>
      <c r="V894" s="299"/>
      <c r="W894" s="299"/>
      <c r="X894" s="299"/>
      <c r="Y894" s="299"/>
      <c r="Z894" s="299"/>
      <c r="AA894" s="299"/>
      <c r="AB894" s="299"/>
      <c r="AC894" s="299"/>
      <c r="AD894" s="299"/>
      <c r="AE894" s="299"/>
      <c r="AF894" s="299"/>
      <c r="AG894" s="299"/>
      <c r="AH894" s="299"/>
      <c r="AI894" s="299"/>
      <c r="AJ894" s="299"/>
      <c r="AK894" s="299"/>
    </row>
    <row r="895" spans="2:37" ht="13.2">
      <c r="B895" s="299"/>
      <c r="C895" s="299"/>
      <c r="D895" s="299"/>
      <c r="E895" s="299"/>
      <c r="F895" s="299"/>
      <c r="G895" s="299"/>
      <c r="H895" s="299"/>
      <c r="I895" s="299"/>
      <c r="J895" s="299"/>
      <c r="K895" s="299"/>
      <c r="L895" s="299"/>
      <c r="M895" s="299"/>
      <c r="N895" s="299"/>
      <c r="O895" s="299"/>
      <c r="P895" s="299"/>
      <c r="Q895" s="299"/>
      <c r="R895" s="299"/>
      <c r="S895" s="299"/>
      <c r="T895" s="299"/>
      <c r="U895" s="299"/>
      <c r="V895" s="299"/>
      <c r="W895" s="299"/>
      <c r="X895" s="299"/>
      <c r="Y895" s="299"/>
      <c r="Z895" s="299"/>
      <c r="AA895" s="299"/>
      <c r="AB895" s="299"/>
      <c r="AC895" s="299"/>
      <c r="AD895" s="299"/>
      <c r="AE895" s="299"/>
      <c r="AF895" s="299"/>
      <c r="AG895" s="299"/>
      <c r="AH895" s="299"/>
      <c r="AI895" s="299"/>
      <c r="AJ895" s="299"/>
      <c r="AK895" s="299"/>
    </row>
    <row r="896" spans="2:37" ht="13.2">
      <c r="B896" s="299"/>
      <c r="C896" s="299"/>
      <c r="D896" s="299"/>
      <c r="E896" s="299"/>
      <c r="F896" s="299"/>
      <c r="G896" s="299"/>
      <c r="H896" s="299"/>
      <c r="I896" s="299"/>
      <c r="J896" s="299"/>
      <c r="K896" s="299"/>
      <c r="L896" s="299"/>
      <c r="M896" s="299"/>
      <c r="N896" s="299"/>
      <c r="O896" s="299"/>
      <c r="P896" s="299"/>
      <c r="Q896" s="299"/>
      <c r="R896" s="299"/>
      <c r="S896" s="299"/>
      <c r="T896" s="299"/>
      <c r="U896" s="299"/>
      <c r="V896" s="299"/>
      <c r="W896" s="299"/>
      <c r="X896" s="299"/>
      <c r="Y896" s="299"/>
      <c r="Z896" s="299"/>
      <c r="AA896" s="299"/>
      <c r="AB896" s="299"/>
      <c r="AC896" s="299"/>
      <c r="AD896" s="299"/>
      <c r="AE896" s="299"/>
      <c r="AF896" s="299"/>
      <c r="AG896" s="299"/>
      <c r="AH896" s="299"/>
      <c r="AI896" s="299"/>
      <c r="AJ896" s="299"/>
      <c r="AK896" s="299"/>
    </row>
    <row r="897" spans="2:37" ht="13.2">
      <c r="B897" s="299"/>
      <c r="C897" s="299"/>
      <c r="D897" s="299"/>
      <c r="E897" s="299"/>
      <c r="F897" s="299"/>
      <c r="G897" s="299"/>
      <c r="H897" s="299"/>
      <c r="I897" s="299"/>
      <c r="J897" s="299"/>
      <c r="K897" s="299"/>
      <c r="L897" s="299"/>
      <c r="M897" s="299"/>
      <c r="N897" s="299"/>
      <c r="O897" s="299"/>
      <c r="P897" s="299"/>
      <c r="Q897" s="299"/>
      <c r="R897" s="299"/>
      <c r="S897" s="299"/>
      <c r="T897" s="299"/>
      <c r="U897" s="299"/>
      <c r="V897" s="299"/>
      <c r="W897" s="299"/>
      <c r="X897" s="299"/>
      <c r="Y897" s="299"/>
      <c r="Z897" s="299"/>
      <c r="AA897" s="299"/>
      <c r="AB897" s="299"/>
      <c r="AC897" s="299"/>
      <c r="AD897" s="299"/>
      <c r="AE897" s="299"/>
      <c r="AF897" s="299"/>
      <c r="AG897" s="299"/>
      <c r="AH897" s="299"/>
      <c r="AI897" s="299"/>
      <c r="AJ897" s="299"/>
      <c r="AK897" s="299"/>
    </row>
    <row r="898" spans="2:37" ht="13.2">
      <c r="B898" s="299"/>
      <c r="C898" s="299"/>
      <c r="D898" s="299"/>
      <c r="E898" s="299"/>
      <c r="F898" s="299"/>
      <c r="G898" s="299"/>
      <c r="H898" s="299"/>
      <c r="I898" s="299"/>
      <c r="J898" s="299"/>
      <c r="K898" s="299"/>
      <c r="L898" s="299"/>
      <c r="M898" s="299"/>
      <c r="N898" s="299"/>
      <c r="O898" s="299"/>
      <c r="P898" s="299"/>
      <c r="Q898" s="299"/>
      <c r="R898" s="299"/>
      <c r="S898" s="299"/>
      <c r="T898" s="299"/>
      <c r="U898" s="299"/>
      <c r="V898" s="299"/>
      <c r="W898" s="299"/>
      <c r="X898" s="299"/>
      <c r="Y898" s="299"/>
      <c r="Z898" s="299"/>
      <c r="AA898" s="299"/>
      <c r="AB898" s="299"/>
      <c r="AC898" s="299"/>
      <c r="AD898" s="299"/>
      <c r="AE898" s="299"/>
      <c r="AF898" s="299"/>
      <c r="AG898" s="299"/>
      <c r="AH898" s="299"/>
      <c r="AI898" s="299"/>
      <c r="AJ898" s="299"/>
      <c r="AK898" s="299"/>
    </row>
    <row r="899" spans="2:37" ht="13.2">
      <c r="B899" s="299"/>
      <c r="C899" s="299"/>
      <c r="D899" s="299"/>
      <c r="E899" s="299"/>
      <c r="F899" s="299"/>
      <c r="G899" s="299"/>
      <c r="H899" s="299"/>
      <c r="I899" s="299"/>
      <c r="J899" s="299"/>
      <c r="K899" s="299"/>
      <c r="L899" s="299"/>
      <c r="M899" s="299"/>
      <c r="N899" s="299"/>
      <c r="O899" s="299"/>
      <c r="P899" s="299"/>
      <c r="Q899" s="299"/>
      <c r="R899" s="299"/>
      <c r="S899" s="299"/>
      <c r="T899" s="299"/>
      <c r="U899" s="299"/>
      <c r="V899" s="299"/>
      <c r="W899" s="299"/>
      <c r="X899" s="299"/>
      <c r="Y899" s="299"/>
      <c r="Z899" s="299"/>
      <c r="AA899" s="299"/>
      <c r="AB899" s="299"/>
      <c r="AC899" s="299"/>
      <c r="AD899" s="299"/>
      <c r="AE899" s="299"/>
      <c r="AF899" s="299"/>
      <c r="AG899" s="299"/>
      <c r="AH899" s="299"/>
      <c r="AI899" s="299"/>
      <c r="AJ899" s="299"/>
      <c r="AK899" s="299"/>
    </row>
    <row r="900" spans="2:37" ht="13.2">
      <c r="B900" s="299"/>
      <c r="C900" s="299"/>
      <c r="D900" s="299"/>
      <c r="E900" s="299"/>
      <c r="F900" s="299"/>
      <c r="G900" s="299"/>
      <c r="H900" s="299"/>
      <c r="I900" s="299"/>
      <c r="J900" s="299"/>
      <c r="K900" s="299"/>
      <c r="L900" s="299"/>
      <c r="M900" s="299"/>
      <c r="N900" s="299"/>
      <c r="O900" s="299"/>
      <c r="P900" s="299"/>
      <c r="Q900" s="299"/>
      <c r="R900" s="299"/>
      <c r="S900" s="299"/>
      <c r="T900" s="299"/>
      <c r="U900" s="299"/>
      <c r="V900" s="299"/>
      <c r="W900" s="299"/>
      <c r="X900" s="299"/>
      <c r="Y900" s="299"/>
      <c r="Z900" s="299"/>
      <c r="AA900" s="299"/>
      <c r="AB900" s="299"/>
      <c r="AC900" s="299"/>
      <c r="AD900" s="299"/>
      <c r="AE900" s="299"/>
      <c r="AF900" s="299"/>
      <c r="AG900" s="299"/>
      <c r="AH900" s="299"/>
      <c r="AI900" s="299"/>
      <c r="AJ900" s="299"/>
      <c r="AK900" s="299"/>
    </row>
    <row r="901" spans="2:37" ht="13.2">
      <c r="B901" s="299"/>
      <c r="C901" s="299"/>
      <c r="D901" s="299"/>
      <c r="E901" s="299"/>
      <c r="F901" s="299"/>
      <c r="G901" s="299"/>
      <c r="H901" s="299"/>
      <c r="I901" s="299"/>
      <c r="J901" s="299"/>
      <c r="K901" s="299"/>
      <c r="L901" s="299"/>
      <c r="M901" s="299"/>
      <c r="N901" s="299"/>
      <c r="O901" s="299"/>
      <c r="P901" s="299"/>
      <c r="Q901" s="299"/>
      <c r="R901" s="299"/>
      <c r="S901" s="299"/>
      <c r="T901" s="299"/>
      <c r="U901" s="299"/>
      <c r="V901" s="299"/>
      <c r="W901" s="299"/>
      <c r="X901" s="299"/>
      <c r="Y901" s="299"/>
      <c r="Z901" s="299"/>
      <c r="AA901" s="299"/>
      <c r="AB901" s="299"/>
      <c r="AC901" s="299"/>
      <c r="AD901" s="299"/>
      <c r="AE901" s="299"/>
      <c r="AF901" s="299"/>
      <c r="AG901" s="299"/>
      <c r="AH901" s="299"/>
      <c r="AI901" s="299"/>
      <c r="AJ901" s="299"/>
      <c r="AK901" s="299"/>
    </row>
    <row r="902" spans="2:37" ht="13.2">
      <c r="B902" s="299"/>
      <c r="C902" s="299"/>
      <c r="D902" s="299"/>
      <c r="E902" s="299"/>
      <c r="F902" s="299"/>
      <c r="G902" s="299"/>
      <c r="H902" s="299"/>
      <c r="I902" s="299"/>
      <c r="J902" s="299"/>
      <c r="K902" s="299"/>
      <c r="L902" s="299"/>
      <c r="M902" s="299"/>
      <c r="N902" s="299"/>
      <c r="O902" s="299"/>
      <c r="P902" s="299"/>
      <c r="Q902" s="299"/>
      <c r="R902" s="299"/>
      <c r="S902" s="299"/>
      <c r="T902" s="299"/>
      <c r="U902" s="299"/>
      <c r="V902" s="299"/>
      <c r="W902" s="299"/>
      <c r="X902" s="299"/>
      <c r="Y902" s="299"/>
      <c r="Z902" s="299"/>
      <c r="AA902" s="299"/>
      <c r="AB902" s="299"/>
      <c r="AC902" s="299"/>
      <c r="AD902" s="299"/>
      <c r="AE902" s="299"/>
      <c r="AF902" s="299"/>
      <c r="AG902" s="299"/>
      <c r="AH902" s="299"/>
      <c r="AI902" s="299"/>
      <c r="AJ902" s="299"/>
      <c r="AK902" s="299"/>
    </row>
    <row r="903" spans="2:37" ht="13.2">
      <c r="B903" s="299"/>
      <c r="C903" s="299"/>
      <c r="D903" s="299"/>
      <c r="E903" s="299"/>
      <c r="F903" s="299"/>
      <c r="G903" s="299"/>
      <c r="H903" s="299"/>
      <c r="I903" s="299"/>
      <c r="J903" s="299"/>
      <c r="K903" s="299"/>
      <c r="L903" s="299"/>
      <c r="M903" s="299"/>
      <c r="N903" s="299"/>
      <c r="O903" s="299"/>
      <c r="P903" s="299"/>
      <c r="Q903" s="299"/>
      <c r="R903" s="299"/>
      <c r="S903" s="299"/>
      <c r="T903" s="299"/>
      <c r="U903" s="299"/>
      <c r="V903" s="299"/>
      <c r="W903" s="299"/>
      <c r="X903" s="299"/>
      <c r="Y903" s="299"/>
      <c r="Z903" s="299"/>
      <c r="AA903" s="299"/>
      <c r="AB903" s="299"/>
      <c r="AC903" s="299"/>
      <c r="AD903" s="299"/>
      <c r="AE903" s="299"/>
      <c r="AF903" s="299"/>
      <c r="AG903" s="299"/>
      <c r="AH903" s="299"/>
      <c r="AI903" s="299"/>
      <c r="AJ903" s="299"/>
      <c r="AK903" s="299"/>
    </row>
    <row r="904" spans="2:37" ht="13.2">
      <c r="B904" s="299"/>
      <c r="C904" s="299"/>
      <c r="D904" s="299"/>
      <c r="E904" s="299"/>
      <c r="F904" s="299"/>
      <c r="G904" s="299"/>
      <c r="H904" s="299"/>
      <c r="I904" s="299"/>
      <c r="J904" s="299"/>
      <c r="K904" s="299"/>
      <c r="L904" s="299"/>
      <c r="M904" s="299"/>
      <c r="N904" s="299"/>
      <c r="O904" s="299"/>
      <c r="P904" s="299"/>
      <c r="Q904" s="299"/>
      <c r="R904" s="299"/>
      <c r="S904" s="299"/>
      <c r="T904" s="299"/>
      <c r="U904" s="299"/>
      <c r="V904" s="299"/>
      <c r="W904" s="299"/>
      <c r="X904" s="299"/>
      <c r="Y904" s="299"/>
      <c r="Z904" s="299"/>
      <c r="AA904" s="299"/>
      <c r="AB904" s="299"/>
      <c r="AC904" s="299"/>
      <c r="AD904" s="299"/>
      <c r="AE904" s="299"/>
      <c r="AF904" s="299"/>
      <c r="AG904" s="299"/>
      <c r="AH904" s="299"/>
      <c r="AI904" s="299"/>
      <c r="AJ904" s="299"/>
      <c r="AK904" s="299"/>
    </row>
    <row r="905" spans="2:37" ht="13.2">
      <c r="B905" s="299"/>
      <c r="C905" s="299"/>
      <c r="D905" s="299"/>
      <c r="E905" s="299"/>
      <c r="F905" s="299"/>
      <c r="G905" s="299"/>
      <c r="H905" s="299"/>
      <c r="I905" s="299"/>
      <c r="J905" s="299"/>
      <c r="K905" s="299"/>
      <c r="L905" s="299"/>
      <c r="M905" s="299"/>
      <c r="N905" s="299"/>
      <c r="O905" s="299"/>
      <c r="P905" s="299"/>
      <c r="Q905" s="299"/>
      <c r="R905" s="299"/>
      <c r="S905" s="299"/>
      <c r="T905" s="299"/>
      <c r="U905" s="299"/>
      <c r="V905" s="299"/>
      <c r="W905" s="299"/>
      <c r="X905" s="299"/>
      <c r="Y905" s="299"/>
      <c r="Z905" s="299"/>
      <c r="AA905" s="299"/>
      <c r="AB905" s="299"/>
      <c r="AC905" s="299"/>
      <c r="AD905" s="299"/>
      <c r="AE905" s="299"/>
      <c r="AF905" s="299"/>
      <c r="AG905" s="299"/>
      <c r="AH905" s="299"/>
      <c r="AI905" s="299"/>
      <c r="AJ905" s="299"/>
      <c r="AK905" s="299"/>
    </row>
    <row r="906" spans="2:37" ht="13.2">
      <c r="B906" s="299"/>
      <c r="C906" s="299"/>
      <c r="D906" s="299"/>
      <c r="E906" s="299"/>
      <c r="F906" s="299"/>
      <c r="G906" s="299"/>
      <c r="H906" s="299"/>
      <c r="I906" s="299"/>
      <c r="J906" s="299"/>
      <c r="K906" s="299"/>
      <c r="L906" s="299"/>
      <c r="M906" s="299"/>
      <c r="N906" s="299"/>
      <c r="O906" s="299"/>
      <c r="P906" s="299"/>
      <c r="Q906" s="299"/>
      <c r="R906" s="299"/>
      <c r="S906" s="299"/>
      <c r="T906" s="299"/>
      <c r="U906" s="299"/>
      <c r="V906" s="299"/>
      <c r="W906" s="299"/>
      <c r="X906" s="299"/>
      <c r="Y906" s="299"/>
      <c r="Z906" s="299"/>
      <c r="AA906" s="299"/>
      <c r="AB906" s="299"/>
      <c r="AC906" s="299"/>
      <c r="AD906" s="299"/>
      <c r="AE906" s="299"/>
      <c r="AF906" s="299"/>
      <c r="AG906" s="299"/>
      <c r="AH906" s="299"/>
      <c r="AI906" s="299"/>
      <c r="AJ906" s="299"/>
      <c r="AK906" s="299"/>
    </row>
    <row r="907" spans="2:37" ht="13.2">
      <c r="B907" s="299"/>
      <c r="C907" s="299"/>
      <c r="D907" s="299"/>
      <c r="E907" s="299"/>
      <c r="F907" s="299"/>
      <c r="G907" s="299"/>
      <c r="H907" s="299"/>
      <c r="I907" s="299"/>
      <c r="J907" s="299"/>
      <c r="K907" s="299"/>
      <c r="L907" s="299"/>
      <c r="M907" s="299"/>
      <c r="N907" s="299"/>
      <c r="O907" s="299"/>
      <c r="P907" s="299"/>
      <c r="Q907" s="299"/>
      <c r="R907" s="299"/>
      <c r="S907" s="299"/>
      <c r="T907" s="299"/>
      <c r="U907" s="299"/>
      <c r="V907" s="299"/>
      <c r="W907" s="299"/>
      <c r="X907" s="299"/>
      <c r="Y907" s="299"/>
      <c r="Z907" s="299"/>
      <c r="AA907" s="299"/>
      <c r="AB907" s="299"/>
      <c r="AC907" s="299"/>
      <c r="AD907" s="299"/>
      <c r="AE907" s="299"/>
      <c r="AF907" s="299"/>
      <c r="AG907" s="299"/>
      <c r="AH907" s="299"/>
      <c r="AI907" s="299"/>
      <c r="AJ907" s="299"/>
      <c r="AK907" s="299"/>
    </row>
    <row r="908" spans="2:37" ht="13.2">
      <c r="B908" s="299"/>
      <c r="C908" s="299"/>
      <c r="D908" s="299"/>
      <c r="E908" s="299"/>
      <c r="F908" s="299"/>
      <c r="G908" s="299"/>
      <c r="H908" s="299"/>
      <c r="I908" s="299"/>
      <c r="J908" s="299"/>
      <c r="K908" s="299"/>
      <c r="L908" s="299"/>
      <c r="M908" s="299"/>
      <c r="N908" s="299"/>
      <c r="O908" s="299"/>
      <c r="P908" s="299"/>
      <c r="Q908" s="299"/>
      <c r="R908" s="299"/>
      <c r="S908" s="299"/>
      <c r="T908" s="299"/>
      <c r="U908" s="299"/>
      <c r="V908" s="299"/>
      <c r="W908" s="299"/>
      <c r="X908" s="299"/>
      <c r="Y908" s="299"/>
      <c r="Z908" s="299"/>
      <c r="AA908" s="299"/>
      <c r="AB908" s="299"/>
      <c r="AC908" s="299"/>
      <c r="AD908" s="299"/>
      <c r="AE908" s="299"/>
      <c r="AF908" s="299"/>
      <c r="AG908" s="299"/>
      <c r="AH908" s="299"/>
      <c r="AI908" s="299"/>
      <c r="AJ908" s="299"/>
      <c r="AK908" s="299"/>
    </row>
    <row r="909" spans="2:37" ht="13.2">
      <c r="B909" s="299"/>
      <c r="C909" s="299"/>
      <c r="D909" s="299"/>
      <c r="E909" s="299"/>
      <c r="F909" s="299"/>
      <c r="G909" s="299"/>
      <c r="H909" s="299"/>
      <c r="I909" s="299"/>
      <c r="J909" s="299"/>
      <c r="K909" s="299"/>
      <c r="L909" s="299"/>
      <c r="M909" s="299"/>
      <c r="N909" s="299"/>
      <c r="O909" s="299"/>
      <c r="P909" s="299"/>
      <c r="Q909" s="299"/>
      <c r="R909" s="299"/>
      <c r="S909" s="299"/>
      <c r="T909" s="299"/>
      <c r="U909" s="299"/>
      <c r="V909" s="299"/>
      <c r="W909" s="299"/>
      <c r="X909" s="299"/>
      <c r="Y909" s="299"/>
      <c r="Z909" s="299"/>
      <c r="AA909" s="299"/>
      <c r="AB909" s="299"/>
      <c r="AC909" s="299"/>
      <c r="AD909" s="299"/>
      <c r="AE909" s="299"/>
      <c r="AF909" s="299"/>
      <c r="AG909" s="299"/>
      <c r="AH909" s="299"/>
      <c r="AI909" s="299"/>
      <c r="AJ909" s="299"/>
      <c r="AK909" s="299"/>
    </row>
    <row r="910" spans="2:37" ht="13.2">
      <c r="B910" s="299"/>
      <c r="C910" s="299"/>
      <c r="D910" s="299"/>
      <c r="E910" s="299"/>
      <c r="F910" s="299"/>
      <c r="G910" s="299"/>
      <c r="H910" s="299"/>
      <c r="I910" s="299"/>
      <c r="J910" s="299"/>
      <c r="K910" s="299"/>
      <c r="L910" s="299"/>
      <c r="M910" s="299"/>
      <c r="N910" s="299"/>
      <c r="O910" s="299"/>
      <c r="P910" s="299"/>
      <c r="Q910" s="299"/>
      <c r="R910" s="299"/>
      <c r="S910" s="299"/>
      <c r="T910" s="299"/>
      <c r="U910" s="299"/>
      <c r="V910" s="299"/>
      <c r="W910" s="299"/>
      <c r="X910" s="299"/>
      <c r="Y910" s="299"/>
      <c r="Z910" s="299"/>
      <c r="AA910" s="299"/>
      <c r="AB910" s="299"/>
      <c r="AC910" s="299"/>
      <c r="AD910" s="299"/>
      <c r="AE910" s="299"/>
      <c r="AF910" s="299"/>
      <c r="AG910" s="299"/>
      <c r="AH910" s="299"/>
      <c r="AI910" s="299"/>
      <c r="AJ910" s="299"/>
      <c r="AK910" s="299"/>
    </row>
    <row r="911" spans="2:37" ht="13.2">
      <c r="B911" s="300"/>
      <c r="C911"/>
    </row>
    <row r="912" spans="2:37" ht="12.75" hidden="1" customHeight="1">
      <c r="B912" s="300" t="s">
        <v>407</v>
      </c>
      <c r="C912"/>
    </row>
    <row r="913" spans="2:3" ht="12.75" hidden="1" customHeight="1">
      <c r="B913" s="300"/>
      <c r="C913"/>
    </row>
    <row r="914" spans="2:3" ht="12.75" hidden="1" customHeight="1">
      <c r="B914" s="300" t="s">
        <v>408</v>
      </c>
      <c r="C914"/>
    </row>
    <row r="915" spans="2:3" ht="12.75" hidden="1" customHeight="1">
      <c r="B915" s="300" t="s">
        <v>409</v>
      </c>
      <c r="C915"/>
    </row>
    <row r="916" spans="2:3" ht="12.75" hidden="1" customHeight="1">
      <c r="B916" s="301"/>
      <c r="C916"/>
    </row>
    <row r="917" spans="2:3" ht="12.75" hidden="1" customHeight="1">
      <c r="B917" s="300" t="s">
        <v>410</v>
      </c>
      <c r="C917"/>
    </row>
    <row r="918" spans="2:3" ht="12.75" hidden="1" customHeight="1">
      <c r="B918" s="300"/>
      <c r="C918"/>
    </row>
    <row r="919" spans="2:3" ht="12.75" hidden="1" customHeight="1">
      <c r="B919" s="300" t="s">
        <v>411</v>
      </c>
      <c r="C919"/>
    </row>
    <row r="920" spans="2:3" ht="12.75" hidden="1" customHeight="1">
      <c r="B920" s="301"/>
      <c r="C920"/>
    </row>
    <row r="921" spans="2:3" ht="12.75" hidden="1" customHeight="1">
      <c r="B921" s="301" t="s">
        <v>231</v>
      </c>
      <c r="C921"/>
    </row>
    <row r="922" spans="2:3" ht="12.75" hidden="1" customHeight="1">
      <c r="B922" s="300"/>
      <c r="C922"/>
    </row>
    <row r="923" spans="2:3" ht="12.75" hidden="1" customHeight="1">
      <c r="B923" s="300" t="s">
        <v>412</v>
      </c>
      <c r="C923"/>
    </row>
    <row r="924" spans="2:3" ht="12.75" hidden="1" customHeight="1">
      <c r="B924" s="301"/>
      <c r="C924"/>
    </row>
    <row r="925" spans="2:3" ht="12.75" hidden="1" customHeight="1">
      <c r="B925" s="300" t="s">
        <v>413</v>
      </c>
      <c r="C925"/>
    </row>
    <row r="926" spans="2:3" ht="12.75" hidden="1" customHeight="1">
      <c r="B926" s="301" t="s">
        <v>373</v>
      </c>
      <c r="C926"/>
    </row>
    <row r="927" spans="2:3" ht="12.75" hidden="1" customHeight="1">
      <c r="B927" s="301" t="s">
        <v>374</v>
      </c>
      <c r="C927"/>
    </row>
    <row r="928" spans="2:3" ht="12.75" hidden="1" customHeight="1">
      <c r="B928" s="300" t="s">
        <v>119</v>
      </c>
      <c r="C928"/>
    </row>
    <row r="929" spans="2:3" ht="12.75" hidden="1" customHeight="1">
      <c r="B929" s="300" t="s">
        <v>414</v>
      </c>
      <c r="C929"/>
    </row>
    <row r="930" spans="2:3" ht="12.75" hidden="1" customHeight="1">
      <c r="B930" s="301"/>
      <c r="C930"/>
    </row>
    <row r="931" spans="2:3" ht="12.75" hidden="1" customHeight="1">
      <c r="B931" s="300" t="s">
        <v>415</v>
      </c>
      <c r="C931"/>
    </row>
    <row r="932" spans="2:3" ht="12.75" hidden="1" customHeight="1">
      <c r="B932" s="300"/>
      <c r="C932"/>
    </row>
    <row r="933" spans="2:3" ht="12.75" hidden="1" customHeight="1">
      <c r="B933" s="300" t="s">
        <v>416</v>
      </c>
      <c r="C933"/>
    </row>
    <row r="934" spans="2:3" ht="12.75" hidden="1" customHeight="1">
      <c r="B934" s="300"/>
      <c r="C934"/>
    </row>
    <row r="935" spans="2:3" ht="12.75" hidden="1" customHeight="1">
      <c r="B935" s="300" t="s">
        <v>417</v>
      </c>
      <c r="C935"/>
    </row>
    <row r="936" spans="2:3" ht="12.75" hidden="1" customHeight="1">
      <c r="B936" s="300"/>
      <c r="C936"/>
    </row>
    <row r="937" spans="2:3" ht="12.75" hidden="1" customHeight="1">
      <c r="B937" s="300" t="s">
        <v>418</v>
      </c>
      <c r="C937"/>
    </row>
    <row r="938" spans="2:3" ht="12.75" hidden="1" customHeight="1">
      <c r="B938" s="300"/>
      <c r="C938"/>
    </row>
    <row r="939" spans="2:3" ht="12.75" hidden="1" customHeight="1">
      <c r="B939" s="300" t="s">
        <v>419</v>
      </c>
      <c r="C939"/>
    </row>
    <row r="940" spans="2:3" ht="12.75" hidden="1" customHeight="1">
      <c r="B940" s="300"/>
      <c r="C940"/>
    </row>
    <row r="941" spans="2:3" ht="12.75" hidden="1" customHeight="1">
      <c r="B941" s="300" t="s">
        <v>420</v>
      </c>
      <c r="C941"/>
    </row>
    <row r="942" spans="2:3" ht="12.75" hidden="1" customHeight="1">
      <c r="B942" s="300"/>
      <c r="C942"/>
    </row>
    <row r="943" spans="2:3" ht="12.75" hidden="1" customHeight="1">
      <c r="B943" s="300" t="s">
        <v>421</v>
      </c>
      <c r="C943"/>
    </row>
    <row r="944" spans="2:3" ht="12.75" hidden="1" customHeight="1">
      <c r="B944" s="300"/>
      <c r="C944"/>
    </row>
    <row r="945" spans="2:3" ht="12.75" hidden="1" customHeight="1">
      <c r="B945" s="300" t="s">
        <v>422</v>
      </c>
      <c r="C945"/>
    </row>
    <row r="946" spans="2:3" ht="12.75" hidden="1" customHeight="1">
      <c r="B946" s="300"/>
      <c r="C946"/>
    </row>
    <row r="947" spans="2:3" ht="12.75" hidden="1" customHeight="1">
      <c r="B947" s="300" t="s">
        <v>423</v>
      </c>
      <c r="C947"/>
    </row>
    <row r="948" spans="2:3" ht="12.75" hidden="1" customHeight="1">
      <c r="B948" s="300"/>
      <c r="C948"/>
    </row>
    <row r="949" spans="2:3" ht="12.75" hidden="1" customHeight="1">
      <c r="B949" s="300" t="s">
        <v>424</v>
      </c>
      <c r="C949"/>
    </row>
    <row r="950" spans="2:3" ht="12.75" hidden="1" customHeight="1">
      <c r="B950" s="301"/>
      <c r="C950"/>
    </row>
    <row r="951" spans="2:3" ht="12.75" hidden="1" customHeight="1">
      <c r="B951" s="301" t="s">
        <v>247</v>
      </c>
      <c r="C951"/>
    </row>
    <row r="952" spans="2:3" ht="12.75" hidden="1" customHeight="1">
      <c r="B952" s="301"/>
      <c r="C952"/>
    </row>
    <row r="953" spans="2:3" ht="12.75" hidden="1" customHeight="1">
      <c r="B953" s="301" t="s">
        <v>248</v>
      </c>
      <c r="C953"/>
    </row>
    <row r="954" spans="2:3" ht="12.75" hidden="1" customHeight="1">
      <c r="B954" s="301"/>
      <c r="C954"/>
    </row>
    <row r="955" spans="2:3" ht="12.75" hidden="1" customHeight="1">
      <c r="B955" s="301" t="s">
        <v>249</v>
      </c>
      <c r="C955"/>
    </row>
    <row r="956" spans="2:3" ht="12.75" hidden="1" customHeight="1">
      <c r="B956" s="300"/>
      <c r="C956"/>
    </row>
    <row r="957" spans="2:3" ht="12.75" hidden="1" customHeight="1">
      <c r="B957" s="300" t="s">
        <v>425</v>
      </c>
      <c r="C957"/>
    </row>
    <row r="958" spans="2:3" ht="12.75" hidden="1" customHeight="1">
      <c r="B958" s="300"/>
      <c r="C958"/>
    </row>
    <row r="959" spans="2:3" ht="12.75" hidden="1" customHeight="1">
      <c r="B959" s="300" t="s">
        <v>426</v>
      </c>
      <c r="C959"/>
    </row>
    <row r="960" spans="2:3" ht="12.75" customHeight="1"/>
    <row r="961" ht="12.75" customHeight="1"/>
    <row r="962" ht="12.75" customHeight="1"/>
    <row r="963" ht="12.75" customHeight="1"/>
    <row r="964" ht="12.75" customHeight="1"/>
    <row r="965" ht="12.75" customHeight="1"/>
    <row r="966" ht="12.75" customHeight="1"/>
  </sheetData>
  <mergeCells count="201">
    <mergeCell ref="B80:P81"/>
    <mergeCell ref="B82:P83"/>
    <mergeCell ref="AB73:AG73"/>
    <mergeCell ref="AC74:AF74"/>
    <mergeCell ref="B74:J74"/>
    <mergeCell ref="B62:AK62"/>
    <mergeCell ref="B64:AK64"/>
    <mergeCell ref="G71:I71"/>
    <mergeCell ref="B71:F71"/>
    <mergeCell ref="J71:P71"/>
    <mergeCell ref="Q71:W71"/>
    <mergeCell ref="B69:I69"/>
    <mergeCell ref="J69:P69"/>
    <mergeCell ref="Q69:W69"/>
    <mergeCell ref="X69:AF69"/>
    <mergeCell ref="AG69:AK69"/>
    <mergeCell ref="B77:AK78"/>
    <mergeCell ref="B79:P79"/>
    <mergeCell ref="Q79:V79"/>
    <mergeCell ref="W79:AB79"/>
    <mergeCell ref="AC79:AE79"/>
    <mergeCell ref="AF79:AH79"/>
    <mergeCell ref="AI79:AK79"/>
    <mergeCell ref="J70:P70"/>
    <mergeCell ref="V22:Z22"/>
    <mergeCell ref="AD22:AG22"/>
    <mergeCell ref="B44:I44"/>
    <mergeCell ref="J44:P44"/>
    <mergeCell ref="Q44:U44"/>
    <mergeCell ref="V44:Z44"/>
    <mergeCell ref="AD44:AG44"/>
    <mergeCell ref="AA44:AC44"/>
    <mergeCell ref="AA50:AC50"/>
    <mergeCell ref="B46:AF46"/>
    <mergeCell ref="AG46:AK46"/>
    <mergeCell ref="B48:T48"/>
    <mergeCell ref="U48:AK48"/>
    <mergeCell ref="B50:I50"/>
    <mergeCell ref="J50:P50"/>
    <mergeCell ref="Q50:U50"/>
    <mergeCell ref="V50:Z50"/>
    <mergeCell ref="AD50:AG50"/>
    <mergeCell ref="AH50:AK50"/>
    <mergeCell ref="AA28:AC28"/>
    <mergeCell ref="B32:AK32"/>
    <mergeCell ref="B34:AK34"/>
    <mergeCell ref="B36:AK36"/>
    <mergeCell ref="B40:AF40"/>
    <mergeCell ref="AG40:AK40"/>
    <mergeCell ref="B42:T42"/>
    <mergeCell ref="U42:AK42"/>
    <mergeCell ref="B24:AF24"/>
    <mergeCell ref="AG24:AK24"/>
    <mergeCell ref="B26:W26"/>
    <mergeCell ref="X26:AK26"/>
    <mergeCell ref="B28:I28"/>
    <mergeCell ref="J28:P28"/>
    <mergeCell ref="Q28:U28"/>
    <mergeCell ref="V28:Z28"/>
    <mergeCell ref="AD28:AG28"/>
    <mergeCell ref="O239:W239"/>
    <mergeCell ref="H240:AC240"/>
    <mergeCell ref="O241:W241"/>
    <mergeCell ref="L244:AA244"/>
    <mergeCell ref="L245:AA245"/>
    <mergeCell ref="L248:AA248"/>
    <mergeCell ref="L227:AA227"/>
    <mergeCell ref="L228:AA228"/>
    <mergeCell ref="L231:AA231"/>
    <mergeCell ref="L232:AA232"/>
    <mergeCell ref="L235:AA235"/>
    <mergeCell ref="L236:AA236"/>
    <mergeCell ref="L247:AA247"/>
    <mergeCell ref="L214:AA214"/>
    <mergeCell ref="L215:AA215"/>
    <mergeCell ref="L218:AA218"/>
    <mergeCell ref="L219:AA219"/>
    <mergeCell ref="M225:Y225"/>
    <mergeCell ref="B198:AK198"/>
    <mergeCell ref="B200:AK200"/>
    <mergeCell ref="B202:AK202"/>
    <mergeCell ref="B205:AK205"/>
    <mergeCell ref="B207:AK207"/>
    <mergeCell ref="O212:X212"/>
    <mergeCell ref="G190:P193"/>
    <mergeCell ref="Q190:AG190"/>
    <mergeCell ref="Q191:AG191"/>
    <mergeCell ref="Q192:AG193"/>
    <mergeCell ref="B195:AK195"/>
    <mergeCell ref="B197:AK197"/>
    <mergeCell ref="G183:P186"/>
    <mergeCell ref="Q183:AG183"/>
    <mergeCell ref="Q184:AG186"/>
    <mergeCell ref="G187:P189"/>
    <mergeCell ref="Q187:AG187"/>
    <mergeCell ref="Q188:AG188"/>
    <mergeCell ref="Q189:AG189"/>
    <mergeCell ref="B176:AK176"/>
    <mergeCell ref="B178:AK178"/>
    <mergeCell ref="G181:P181"/>
    <mergeCell ref="Q181:AG181"/>
    <mergeCell ref="G182:P182"/>
    <mergeCell ref="Q182:AG182"/>
    <mergeCell ref="B167:AK167"/>
    <mergeCell ref="B169:AK169"/>
    <mergeCell ref="B171:AK171"/>
    <mergeCell ref="B172:AK172"/>
    <mergeCell ref="B173:AK173"/>
    <mergeCell ref="B174:AK174"/>
    <mergeCell ref="B155:AK155"/>
    <mergeCell ref="B157:AK157"/>
    <mergeCell ref="B159:AK159"/>
    <mergeCell ref="B161:AK161"/>
    <mergeCell ref="B163:AK163"/>
    <mergeCell ref="B165:AK165"/>
    <mergeCell ref="B145:AK145"/>
    <mergeCell ref="B147:AK147"/>
    <mergeCell ref="B148:AK148"/>
    <mergeCell ref="B149:AK149"/>
    <mergeCell ref="B151:AK151"/>
    <mergeCell ref="B153:AK153"/>
    <mergeCell ref="B134:AK134"/>
    <mergeCell ref="B136:AK136"/>
    <mergeCell ref="B138:AK138"/>
    <mergeCell ref="B140:AK140"/>
    <mergeCell ref="B142:AK142"/>
    <mergeCell ref="B143:AK143"/>
    <mergeCell ref="B125:AK125"/>
    <mergeCell ref="B126:AK126"/>
    <mergeCell ref="B127:AK127"/>
    <mergeCell ref="B128:AK128"/>
    <mergeCell ref="B130:AK130"/>
    <mergeCell ref="B132:AK132"/>
    <mergeCell ref="B113:AK113"/>
    <mergeCell ref="B115:AK115"/>
    <mergeCell ref="B117:AK117"/>
    <mergeCell ref="B119:AK119"/>
    <mergeCell ref="B121:AK121"/>
    <mergeCell ref="B123:AK123"/>
    <mergeCell ref="B103:AK103"/>
    <mergeCell ref="B104:AK104"/>
    <mergeCell ref="B106:AK106"/>
    <mergeCell ref="B107:AK107"/>
    <mergeCell ref="B109:AK109"/>
    <mergeCell ref="B111:AK111"/>
    <mergeCell ref="B96:AK96"/>
    <mergeCell ref="B97:AK97"/>
    <mergeCell ref="B98:AK98"/>
    <mergeCell ref="B99:AK99"/>
    <mergeCell ref="B100:AK100"/>
    <mergeCell ref="B101:AK101"/>
    <mergeCell ref="B90:AK90"/>
    <mergeCell ref="B92:AK92"/>
    <mergeCell ref="B94:AK94"/>
    <mergeCell ref="B95:AK95"/>
    <mergeCell ref="Q70:T70"/>
    <mergeCell ref="B72:J72"/>
    <mergeCell ref="P74:V74"/>
    <mergeCell ref="B52:AF52"/>
    <mergeCell ref="AG52:AK52"/>
    <mergeCell ref="B54:T54"/>
    <mergeCell ref="U54:AK54"/>
    <mergeCell ref="B56:I56"/>
    <mergeCell ref="J56:P56"/>
    <mergeCell ref="Q56:U56"/>
    <mergeCell ref="V56:Z56"/>
    <mergeCell ref="AD56:AG56"/>
    <mergeCell ref="K74:O74"/>
    <mergeCell ref="W72:AK72"/>
    <mergeCell ref="X71:AF71"/>
    <mergeCell ref="AJ71:AK71"/>
    <mergeCell ref="AG71:AI71"/>
    <mergeCell ref="B68:L68"/>
    <mergeCell ref="M68:AK68"/>
    <mergeCell ref="AA56:AC56"/>
    <mergeCell ref="B60:AK60"/>
    <mergeCell ref="AH56:AK56"/>
    <mergeCell ref="AB4:AK4"/>
    <mergeCell ref="AA5:AK5"/>
    <mergeCell ref="AC6:AK6"/>
    <mergeCell ref="B8:F8"/>
    <mergeCell ref="B9:F9"/>
    <mergeCell ref="B10:F10"/>
    <mergeCell ref="AH22:AK22"/>
    <mergeCell ref="AH28:AK28"/>
    <mergeCell ref="AH44:AK44"/>
    <mergeCell ref="G10:U10"/>
    <mergeCell ref="V10:AK10"/>
    <mergeCell ref="B14:L14"/>
    <mergeCell ref="M14:S14"/>
    <mergeCell ref="T14:Z14"/>
    <mergeCell ref="AA14:AG14"/>
    <mergeCell ref="AH14:AK14"/>
    <mergeCell ref="B18:AF18"/>
    <mergeCell ref="AG18:AK18"/>
    <mergeCell ref="B20:W20"/>
    <mergeCell ref="X20:AK20"/>
    <mergeCell ref="B22:I22"/>
    <mergeCell ref="J22:P22"/>
    <mergeCell ref="Q22:U22"/>
    <mergeCell ref="AA22:AC22"/>
  </mergeCells>
  <printOptions horizontalCentered="1" verticalCentered="1"/>
  <pageMargins left="0" right="0" top="0" bottom="0" header="0" footer="0"/>
  <pageSetup scale="90"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M698"/>
  <sheetViews>
    <sheetView showZeros="0" zoomScale="115" zoomScaleNormal="115" workbookViewId="0">
      <selection activeCell="AB4" sqref="AB4:AK4"/>
    </sheetView>
  </sheetViews>
  <sheetFormatPr defaultColWidth="0" defaultRowHeight="12.75" customHeight="1" zeroHeight="1"/>
  <cols>
    <col min="1" max="1" width="1.109375" style="303" customWidth="1"/>
    <col min="2" max="22" width="3" style="303" customWidth="1"/>
    <col min="23" max="23" width="3.44140625" style="303" customWidth="1"/>
    <col min="24" max="29" width="3" style="303" customWidth="1"/>
    <col min="30" max="30" width="4.109375" style="303" customWidth="1"/>
    <col min="31" max="35" width="3" style="303" customWidth="1"/>
    <col min="36" max="36" width="3.6640625" style="303" customWidth="1"/>
    <col min="37" max="37" width="3.44140625" style="303" customWidth="1"/>
    <col min="38" max="39" width="0.5546875" style="303" customWidth="1"/>
    <col min="40" max="40" width="2.88671875" style="303" hidden="1" customWidth="1"/>
    <col min="41" max="16384" width="2.88671875" style="303" hidden="1"/>
  </cols>
  <sheetData>
    <row r="1" spans="1:38" ht="12.75" customHeight="1"/>
    <row r="2" spans="1:38" ht="12.75" customHeight="1"/>
    <row r="3" spans="1:38" ht="7.5" customHeight="1">
      <c r="A3" s="302"/>
      <c r="B3" s="302"/>
      <c r="C3" s="302"/>
      <c r="D3" s="302"/>
      <c r="E3" s="302"/>
      <c r="F3" s="302"/>
      <c r="G3" s="302"/>
      <c r="H3" s="302"/>
      <c r="I3" s="302"/>
      <c r="J3" s="302"/>
      <c r="K3" s="302"/>
      <c r="L3" s="302"/>
      <c r="M3" s="302"/>
      <c r="N3" s="302"/>
      <c r="O3" s="302"/>
      <c r="P3" s="302"/>
      <c r="Q3" s="302"/>
      <c r="R3" s="302"/>
      <c r="S3" s="302"/>
      <c r="T3" s="302"/>
      <c r="U3" s="302"/>
      <c r="V3" s="302"/>
      <c r="W3" s="302"/>
      <c r="X3" s="302"/>
      <c r="Y3" s="302"/>
      <c r="Z3" s="302"/>
      <c r="AA3" s="302"/>
      <c r="AB3" s="302"/>
      <c r="AC3" s="302"/>
      <c r="AD3" s="302"/>
      <c r="AE3" s="302"/>
      <c r="AF3" s="302"/>
      <c r="AG3" s="302"/>
      <c r="AH3" s="302"/>
      <c r="AI3" s="302"/>
    </row>
    <row r="4" spans="1:38" ht="13.8">
      <c r="A4" s="302"/>
      <c r="B4" s="302"/>
      <c r="C4" s="302"/>
      <c r="D4" s="302"/>
      <c r="E4" s="302"/>
      <c r="F4" s="302"/>
      <c r="G4" s="302"/>
      <c r="H4" s="302"/>
      <c r="I4" s="302"/>
      <c r="J4" s="302"/>
      <c r="K4" s="302"/>
      <c r="L4" s="302"/>
      <c r="M4" s="302"/>
      <c r="N4" s="302"/>
      <c r="O4" s="302"/>
      <c r="P4" s="302"/>
      <c r="Q4" s="302"/>
      <c r="R4" s="302"/>
      <c r="S4" s="302"/>
      <c r="T4" s="302"/>
      <c r="V4" s="304"/>
      <c r="W4" s="304"/>
      <c r="Y4" s="304"/>
      <c r="Z4" s="304"/>
      <c r="AA4" s="304"/>
      <c r="AB4" s="893" t="s">
        <v>135</v>
      </c>
      <c r="AC4" s="893"/>
      <c r="AD4" s="893"/>
      <c r="AE4" s="893"/>
      <c r="AF4" s="893"/>
      <c r="AG4" s="893"/>
      <c r="AH4" s="893"/>
      <c r="AI4" s="893"/>
      <c r="AJ4" s="893"/>
      <c r="AK4" s="893"/>
    </row>
    <row r="5" spans="1:38" ht="13.8">
      <c r="A5" s="302"/>
      <c r="B5" s="302"/>
      <c r="C5" s="302"/>
      <c r="D5" s="302"/>
      <c r="E5" s="302"/>
      <c r="F5" s="302"/>
      <c r="G5" s="302"/>
      <c r="H5" s="302"/>
      <c r="I5" s="302"/>
      <c r="J5" s="302"/>
      <c r="K5" s="302"/>
      <c r="L5" s="302"/>
      <c r="M5" s="302"/>
      <c r="N5" s="302"/>
      <c r="O5" s="302"/>
      <c r="P5" s="302"/>
      <c r="Q5" s="302"/>
      <c r="R5" s="302"/>
      <c r="S5" s="302"/>
      <c r="T5" s="302"/>
      <c r="U5" s="305"/>
      <c r="V5" s="305"/>
      <c r="X5" s="304"/>
      <c r="Y5" s="304"/>
      <c r="Z5" s="304"/>
      <c r="AA5" s="893" t="s">
        <v>287</v>
      </c>
      <c r="AB5" s="893"/>
      <c r="AC5" s="893"/>
      <c r="AD5" s="893"/>
      <c r="AE5" s="893"/>
      <c r="AF5" s="893"/>
      <c r="AG5" s="893"/>
      <c r="AH5" s="893"/>
      <c r="AI5" s="893"/>
      <c r="AJ5" s="893"/>
      <c r="AK5" s="893"/>
    </row>
    <row r="6" spans="1:38" ht="17.25" customHeight="1">
      <c r="A6" s="302"/>
      <c r="B6" s="306" t="s">
        <v>137</v>
      </c>
      <c r="C6" s="302"/>
      <c r="D6" s="302"/>
      <c r="E6" s="302"/>
      <c r="F6" s="302"/>
      <c r="G6" s="302"/>
      <c r="H6" s="302"/>
      <c r="I6" s="302"/>
      <c r="J6" s="302"/>
      <c r="K6" s="302"/>
      <c r="L6" s="302"/>
      <c r="M6" s="302"/>
      <c r="N6" s="302"/>
      <c r="O6" s="302"/>
      <c r="P6" s="302"/>
      <c r="Q6" s="302"/>
      <c r="R6" s="302"/>
      <c r="S6" s="302"/>
      <c r="T6" s="302"/>
      <c r="U6" s="305"/>
      <c r="V6" s="305"/>
      <c r="W6" s="307"/>
      <c r="X6" s="308"/>
      <c r="Y6" s="894" t="s">
        <v>427</v>
      </c>
      <c r="Z6" s="894"/>
      <c r="AA6" s="894"/>
      <c r="AB6" s="894"/>
      <c r="AC6" s="894"/>
      <c r="AD6" s="894"/>
      <c r="AE6" s="894"/>
      <c r="AF6" s="894"/>
      <c r="AG6" s="894"/>
      <c r="AH6" s="894"/>
      <c r="AI6" s="894"/>
      <c r="AJ6" s="894"/>
      <c r="AK6" s="894"/>
    </row>
    <row r="7" spans="1:38" s="310" customFormat="1" ht="2.25" customHeight="1">
      <c r="A7" s="309"/>
      <c r="B7" s="309"/>
      <c r="C7" s="309"/>
      <c r="D7" s="309"/>
      <c r="E7" s="309"/>
      <c r="F7" s="309"/>
      <c r="G7" s="309"/>
      <c r="H7" s="309"/>
      <c r="I7" s="309"/>
      <c r="J7" s="309"/>
      <c r="K7" s="309"/>
      <c r="L7" s="309"/>
      <c r="M7" s="309"/>
      <c r="N7" s="309"/>
      <c r="O7" s="309"/>
      <c r="P7" s="309"/>
      <c r="Q7" s="309"/>
      <c r="R7" s="309"/>
      <c r="S7" s="309"/>
      <c r="T7" s="309"/>
      <c r="U7" s="309"/>
      <c r="V7" s="309"/>
      <c r="W7" s="309"/>
      <c r="X7" s="309"/>
      <c r="Y7" s="309"/>
      <c r="Z7" s="309"/>
      <c r="AA7" s="309"/>
      <c r="AB7" s="309"/>
      <c r="AC7" s="309"/>
      <c r="AD7" s="309"/>
      <c r="AE7" s="309"/>
      <c r="AF7" s="309"/>
      <c r="AG7" s="309"/>
      <c r="AH7" s="309"/>
      <c r="AI7" s="309"/>
    </row>
    <row r="8" spans="1:38" s="316" customFormat="1" ht="10.5" customHeight="1">
      <c r="A8" s="311"/>
      <c r="B8" s="895" t="s">
        <v>138</v>
      </c>
      <c r="C8" s="896"/>
      <c r="D8" s="896"/>
      <c r="E8" s="896"/>
      <c r="F8" s="896"/>
      <c r="G8" s="312" t="s">
        <v>428</v>
      </c>
      <c r="H8" s="313"/>
      <c r="I8" s="313"/>
      <c r="J8" s="313"/>
      <c r="K8" s="313"/>
      <c r="L8" s="313"/>
      <c r="M8" s="313"/>
      <c r="N8" s="313"/>
      <c r="O8" s="313"/>
      <c r="P8" s="313"/>
      <c r="Q8" s="313"/>
      <c r="R8" s="313"/>
      <c r="S8" s="313"/>
      <c r="T8" s="313"/>
      <c r="U8" s="314"/>
      <c r="V8" s="313" t="s">
        <v>140</v>
      </c>
      <c r="W8" s="313"/>
      <c r="X8" s="313"/>
      <c r="Y8" s="313"/>
      <c r="Z8" s="313"/>
      <c r="AA8" s="313"/>
      <c r="AB8" s="313"/>
      <c r="AC8" s="313"/>
      <c r="AD8" s="313"/>
      <c r="AE8" s="313"/>
      <c r="AF8" s="313"/>
      <c r="AG8" s="313"/>
      <c r="AH8" s="313"/>
      <c r="AI8" s="313"/>
      <c r="AJ8" s="313"/>
      <c r="AK8" s="315"/>
      <c r="AL8" s="285"/>
    </row>
    <row r="9" spans="1:38" s="316" customFormat="1" ht="10.5" customHeight="1">
      <c r="A9" s="311"/>
      <c r="B9" s="897" t="s">
        <v>141</v>
      </c>
      <c r="C9" s="898"/>
      <c r="D9" s="898"/>
      <c r="E9" s="898"/>
      <c r="F9" s="898"/>
      <c r="G9" s="317"/>
      <c r="H9" s="318"/>
      <c r="I9" s="318"/>
      <c r="J9" s="318"/>
      <c r="K9" s="318"/>
      <c r="L9" s="318"/>
      <c r="M9" s="318"/>
      <c r="N9" s="318"/>
      <c r="O9" s="318"/>
      <c r="P9" s="318"/>
      <c r="Q9" s="318"/>
      <c r="R9" s="318"/>
      <c r="S9" s="318"/>
      <c r="T9" s="318"/>
      <c r="U9" s="319"/>
      <c r="V9" s="318"/>
      <c r="W9" s="318"/>
      <c r="X9" s="318"/>
      <c r="Y9" s="318"/>
      <c r="Z9" s="318"/>
      <c r="AA9" s="318"/>
      <c r="AB9" s="318"/>
      <c r="AC9" s="318"/>
      <c r="AD9" s="318"/>
      <c r="AE9" s="318"/>
      <c r="AF9" s="318"/>
      <c r="AG9" s="318"/>
      <c r="AH9" s="318"/>
      <c r="AI9" s="318"/>
      <c r="AJ9" s="318"/>
      <c r="AK9" s="320"/>
      <c r="AL9" s="285"/>
    </row>
    <row r="10" spans="1:38" s="316" customFormat="1" ht="10.5" customHeight="1">
      <c r="A10" s="311"/>
      <c r="B10" s="916">
        <f ca="1">AA_002_GENERALES_FECHA</f>
        <v>42625</v>
      </c>
      <c r="C10" s="917"/>
      <c r="D10" s="917"/>
      <c r="E10" s="917"/>
      <c r="F10" s="918"/>
      <c r="G10" s="899" t="str">
        <f>AA_003_GENERALES_DIA</f>
        <v>Monterrey, Nuevo León</v>
      </c>
      <c r="H10" s="900"/>
      <c r="I10" s="900"/>
      <c r="J10" s="900"/>
      <c r="K10" s="900"/>
      <c r="L10" s="900"/>
      <c r="M10" s="900"/>
      <c r="N10" s="900"/>
      <c r="O10" s="900"/>
      <c r="P10" s="900"/>
      <c r="Q10" s="900"/>
      <c r="R10" s="900"/>
      <c r="S10" s="900"/>
      <c r="T10" s="900"/>
      <c r="U10" s="901"/>
      <c r="V10" s="899" t="str">
        <f>AA_007_GENERALES_NOMBRE_Y_NÚMERO_DE_SUCURSAL</f>
        <v>161 Morones Prieto</v>
      </c>
      <c r="W10" s="813"/>
      <c r="X10" s="813"/>
      <c r="Y10" s="813"/>
      <c r="Z10" s="813"/>
      <c r="AA10" s="813"/>
      <c r="AB10" s="813"/>
      <c r="AC10" s="813"/>
      <c r="AD10" s="813"/>
      <c r="AE10" s="813"/>
      <c r="AF10" s="813"/>
      <c r="AG10" s="813"/>
      <c r="AH10" s="813"/>
      <c r="AI10" s="813"/>
      <c r="AJ10" s="813"/>
      <c r="AK10" s="814"/>
      <c r="AL10" s="285"/>
    </row>
    <row r="11" spans="1:38" s="321" customFormat="1" ht="2.25" customHeight="1">
      <c r="A11" s="311"/>
      <c r="B11" s="318"/>
      <c r="C11" s="318"/>
      <c r="D11" s="318"/>
      <c r="E11" s="318"/>
      <c r="F11" s="318"/>
      <c r="G11" s="318"/>
      <c r="H11" s="318"/>
      <c r="I11" s="318"/>
      <c r="J11" s="318"/>
      <c r="K11" s="318"/>
      <c r="L11" s="318"/>
      <c r="M11" s="318"/>
      <c r="N11" s="318"/>
      <c r="O11" s="318"/>
      <c r="P11" s="318"/>
      <c r="Q11" s="318"/>
      <c r="R11" s="318"/>
      <c r="S11" s="318"/>
      <c r="T11" s="318"/>
      <c r="U11" s="318"/>
      <c r="V11" s="318"/>
      <c r="W11" s="318"/>
      <c r="X11" s="318"/>
      <c r="Y11" s="318"/>
      <c r="Z11" s="318"/>
      <c r="AA11" s="318"/>
      <c r="AB11" s="318"/>
      <c r="AC11" s="318"/>
      <c r="AD11" s="318"/>
      <c r="AE11" s="318"/>
      <c r="AF11" s="318"/>
      <c r="AG11" s="318"/>
      <c r="AH11" s="318"/>
      <c r="AI11" s="318"/>
      <c r="AJ11" s="318"/>
      <c r="AK11" s="318"/>
      <c r="AL11" s="285"/>
    </row>
    <row r="12" spans="1:38" s="321" customFormat="1" ht="10.199999999999999">
      <c r="A12" s="311"/>
      <c r="B12" s="322" t="s">
        <v>142</v>
      </c>
      <c r="C12" s="318"/>
      <c r="D12" s="318"/>
      <c r="E12" s="318"/>
      <c r="F12" s="318"/>
      <c r="G12" s="318"/>
      <c r="H12" s="318"/>
      <c r="I12" s="318"/>
      <c r="J12" s="318"/>
      <c r="K12" s="318"/>
      <c r="L12" s="318"/>
      <c r="M12" s="318"/>
      <c r="N12" s="318"/>
      <c r="O12" s="318"/>
      <c r="P12" s="318"/>
      <c r="Q12" s="318"/>
      <c r="R12" s="318"/>
      <c r="S12" s="318"/>
      <c r="T12" s="318"/>
      <c r="U12" s="318"/>
      <c r="V12" s="318"/>
      <c r="W12" s="318"/>
      <c r="X12" s="318"/>
      <c r="Y12" s="318"/>
      <c r="Z12" s="318"/>
      <c r="AA12" s="318"/>
      <c r="AB12" s="318"/>
      <c r="AC12" s="318"/>
      <c r="AD12" s="318"/>
      <c r="AE12" s="318"/>
      <c r="AF12" s="318"/>
      <c r="AG12" s="318"/>
      <c r="AH12" s="318"/>
      <c r="AI12" s="318"/>
      <c r="AJ12" s="318"/>
      <c r="AK12" s="318"/>
      <c r="AL12" s="285"/>
    </row>
    <row r="13" spans="1:38" s="316" customFormat="1" ht="10.5" customHeight="1">
      <c r="A13" s="311"/>
      <c r="B13" s="323" t="s">
        <v>143</v>
      </c>
      <c r="C13" s="324"/>
      <c r="D13" s="324"/>
      <c r="E13" s="324" t="s">
        <v>144</v>
      </c>
      <c r="F13" s="324"/>
      <c r="G13" s="324"/>
      <c r="H13" s="324"/>
      <c r="I13" s="324"/>
      <c r="J13" s="324"/>
      <c r="K13" s="324"/>
      <c r="L13" s="325"/>
      <c r="M13" s="323" t="s">
        <v>145</v>
      </c>
      <c r="N13" s="324"/>
      <c r="O13" s="324"/>
      <c r="P13" s="324"/>
      <c r="Q13" s="324"/>
      <c r="R13" s="324"/>
      <c r="S13" s="325"/>
      <c r="T13" s="324" t="s">
        <v>146</v>
      </c>
      <c r="U13" s="324"/>
      <c r="V13" s="324"/>
      <c r="W13" s="324"/>
      <c r="X13" s="324"/>
      <c r="Y13" s="324"/>
      <c r="Z13" s="324"/>
      <c r="AA13" s="323" t="s">
        <v>147</v>
      </c>
      <c r="AB13" s="324"/>
      <c r="AC13" s="324"/>
      <c r="AD13" s="324"/>
      <c r="AE13" s="324"/>
      <c r="AF13" s="324"/>
      <c r="AG13" s="325"/>
      <c r="AH13" s="324" t="s">
        <v>148</v>
      </c>
      <c r="AI13" s="324"/>
      <c r="AJ13" s="324"/>
      <c r="AK13" s="325"/>
      <c r="AL13" s="285"/>
    </row>
    <row r="14" spans="1:38" s="316" customFormat="1" ht="10.5" customHeight="1">
      <c r="A14" s="311"/>
      <c r="B14" s="876">
        <f>AA_008_DATOS_DE_BANCO_DOMICILIO_CALLE_NÚMERO</f>
        <v>0</v>
      </c>
      <c r="C14" s="723"/>
      <c r="D14" s="723"/>
      <c r="E14" s="723"/>
      <c r="F14" s="723"/>
      <c r="G14" s="723"/>
      <c r="H14" s="723"/>
      <c r="I14" s="723"/>
      <c r="J14" s="723"/>
      <c r="K14" s="723"/>
      <c r="L14" s="724"/>
      <c r="M14" s="876">
        <f>AA_009_DATOS_DE_BANCO_COLONIA</f>
        <v>0</v>
      </c>
      <c r="N14" s="723"/>
      <c r="O14" s="723"/>
      <c r="P14" s="723"/>
      <c r="Q14" s="723"/>
      <c r="R14" s="723"/>
      <c r="S14" s="724"/>
      <c r="T14" s="876">
        <f>AA_010_DATOS_DE_BANCO_POBLACIÓN</f>
        <v>0</v>
      </c>
      <c r="U14" s="723"/>
      <c r="V14" s="723"/>
      <c r="W14" s="723"/>
      <c r="X14" s="723"/>
      <c r="Y14" s="723"/>
      <c r="Z14" s="724"/>
      <c r="AA14" s="876">
        <f>AA_011_DATOS_DE_BANCO_ESTADO</f>
        <v>0</v>
      </c>
      <c r="AB14" s="723"/>
      <c r="AC14" s="723"/>
      <c r="AD14" s="723"/>
      <c r="AE14" s="723"/>
      <c r="AF14" s="723"/>
      <c r="AG14" s="724"/>
      <c r="AH14" s="876">
        <f>AA_012_DATOS_DE_BANCO_CODIGO_POSTAL</f>
        <v>0</v>
      </c>
      <c r="AI14" s="723"/>
      <c r="AJ14" s="723"/>
      <c r="AK14" s="724"/>
      <c r="AL14" s="285"/>
    </row>
    <row r="15" spans="1:38" s="316" customFormat="1" ht="10.5" customHeight="1">
      <c r="A15" s="311"/>
      <c r="B15" s="318"/>
      <c r="C15" s="318"/>
      <c r="D15" s="318"/>
      <c r="E15" s="318"/>
      <c r="F15" s="318"/>
      <c r="G15" s="318"/>
      <c r="H15" s="318"/>
      <c r="I15" s="318"/>
      <c r="J15" s="318"/>
      <c r="K15" s="318"/>
      <c r="L15" s="318"/>
      <c r="M15" s="318"/>
      <c r="N15" s="318"/>
      <c r="O15" s="318"/>
      <c r="P15" s="318"/>
      <c r="Q15" s="318"/>
      <c r="R15" s="318"/>
      <c r="S15" s="318"/>
      <c r="T15" s="318"/>
      <c r="U15" s="318"/>
      <c r="V15" s="318"/>
      <c r="W15" s="318"/>
      <c r="X15" s="318"/>
      <c r="Y15" s="318"/>
      <c r="Z15" s="318"/>
      <c r="AA15" s="318"/>
      <c r="AB15" s="318"/>
      <c r="AC15" s="318"/>
      <c r="AD15" s="318"/>
      <c r="AE15" s="318"/>
      <c r="AF15" s="318"/>
      <c r="AG15" s="318"/>
      <c r="AH15" s="318"/>
      <c r="AI15" s="318"/>
      <c r="AJ15" s="318"/>
      <c r="AK15" s="318"/>
      <c r="AL15" s="285"/>
    </row>
    <row r="16" spans="1:38" s="316" customFormat="1" ht="10.5" customHeight="1">
      <c r="A16" s="311"/>
      <c r="B16" s="322" t="s">
        <v>149</v>
      </c>
      <c r="C16" s="318"/>
      <c r="D16" s="318"/>
      <c r="E16" s="318"/>
      <c r="F16" s="318"/>
      <c r="G16" s="318"/>
      <c r="H16" s="318"/>
      <c r="I16" s="318"/>
      <c r="J16" s="318"/>
      <c r="K16" s="318"/>
      <c r="L16" s="318"/>
      <c r="M16" s="318"/>
      <c r="N16" s="318"/>
      <c r="O16" s="318"/>
      <c r="P16" s="318"/>
      <c r="Q16" s="318"/>
      <c r="R16" s="318"/>
      <c r="S16" s="318"/>
      <c r="T16" s="318"/>
      <c r="U16" s="318"/>
      <c r="V16" s="318"/>
      <c r="W16" s="318"/>
      <c r="X16" s="318"/>
      <c r="Y16" s="318"/>
      <c r="Z16" s="318"/>
      <c r="AA16" s="318"/>
      <c r="AB16" s="318"/>
      <c r="AC16" s="318"/>
      <c r="AD16" s="318"/>
      <c r="AE16" s="318"/>
      <c r="AF16" s="318"/>
      <c r="AG16" s="318"/>
      <c r="AH16" s="318"/>
      <c r="AI16" s="318"/>
      <c r="AJ16" s="318"/>
      <c r="AK16" s="318"/>
      <c r="AL16" s="285"/>
    </row>
    <row r="17" spans="1:38" s="316" customFormat="1" ht="10.5" customHeight="1">
      <c r="A17" s="311"/>
      <c r="B17" s="323" t="s">
        <v>150</v>
      </c>
      <c r="C17" s="324"/>
      <c r="D17" s="324"/>
      <c r="E17" s="324"/>
      <c r="F17" s="324"/>
      <c r="G17" s="324"/>
      <c r="H17" s="324"/>
      <c r="I17" s="324"/>
      <c r="J17" s="324"/>
      <c r="K17" s="324"/>
      <c r="L17" s="324"/>
      <c r="M17" s="324"/>
      <c r="N17" s="324"/>
      <c r="O17" s="324"/>
      <c r="P17" s="324"/>
      <c r="Q17" s="324"/>
      <c r="R17" s="324"/>
      <c r="S17" s="324"/>
      <c r="T17" s="324"/>
      <c r="U17" s="324"/>
      <c r="V17" s="324"/>
      <c r="W17" s="324"/>
      <c r="X17" s="324"/>
      <c r="Y17" s="324"/>
      <c r="Z17" s="324"/>
      <c r="AA17" s="324"/>
      <c r="AB17" s="324"/>
      <c r="AC17" s="324"/>
      <c r="AD17" s="324"/>
      <c r="AE17" s="324"/>
      <c r="AF17" s="324"/>
      <c r="AG17" s="323" t="s">
        <v>151</v>
      </c>
      <c r="AH17" s="324"/>
      <c r="AI17" s="324"/>
      <c r="AJ17" s="324"/>
      <c r="AK17" s="325"/>
      <c r="AL17" s="285"/>
    </row>
    <row r="18" spans="1:38" s="316" customFormat="1" ht="10.5" customHeight="1">
      <c r="A18" s="311"/>
      <c r="B18" s="876">
        <f>AA_013_DATOS_DE_LA_PARTE_ACREDITADA_NOMBRE_DEL_ACREDITADO</f>
        <v>0</v>
      </c>
      <c r="C18" s="723"/>
      <c r="D18" s="723"/>
      <c r="E18" s="723"/>
      <c r="F18" s="723"/>
      <c r="G18" s="723"/>
      <c r="H18" s="723"/>
      <c r="I18" s="723"/>
      <c r="J18" s="723"/>
      <c r="K18" s="723"/>
      <c r="L18" s="723"/>
      <c r="M18" s="723"/>
      <c r="N18" s="723"/>
      <c r="O18" s="723"/>
      <c r="P18" s="723"/>
      <c r="Q18" s="723"/>
      <c r="R18" s="723"/>
      <c r="S18" s="723"/>
      <c r="T18" s="723"/>
      <c r="U18" s="723"/>
      <c r="V18" s="723"/>
      <c r="W18" s="723"/>
      <c r="X18" s="723"/>
      <c r="Y18" s="723"/>
      <c r="Z18" s="723"/>
      <c r="AA18" s="723"/>
      <c r="AB18" s="723"/>
      <c r="AC18" s="723"/>
      <c r="AD18" s="723"/>
      <c r="AE18" s="723"/>
      <c r="AF18" s="724"/>
      <c r="AG18" s="876">
        <f>AA_014_DATOS_DE_LA_PARTE_ACREDITADA_R_F_C_</f>
        <v>0</v>
      </c>
      <c r="AH18" s="723"/>
      <c r="AI18" s="723"/>
      <c r="AJ18" s="723"/>
      <c r="AK18" s="724"/>
      <c r="AL18" s="285"/>
    </row>
    <row r="19" spans="1:38" s="316" customFormat="1" ht="10.5" customHeight="1">
      <c r="A19" s="311"/>
      <c r="B19" s="323" t="s">
        <v>143</v>
      </c>
      <c r="C19" s="324"/>
      <c r="D19" s="324"/>
      <c r="E19" s="324" t="s">
        <v>144</v>
      </c>
      <c r="F19" s="324"/>
      <c r="G19" s="324"/>
      <c r="H19" s="324"/>
      <c r="I19" s="324"/>
      <c r="J19" s="324"/>
      <c r="K19" s="324"/>
      <c r="L19" s="324"/>
      <c r="M19" s="324"/>
      <c r="N19" s="324"/>
      <c r="O19" s="324"/>
      <c r="P19" s="324"/>
      <c r="Q19" s="324"/>
      <c r="R19" s="324"/>
      <c r="S19" s="324"/>
      <c r="T19" s="324"/>
      <c r="U19" s="324"/>
      <c r="V19" s="324"/>
      <c r="W19" s="324"/>
      <c r="X19" s="323" t="s">
        <v>145</v>
      </c>
      <c r="Y19" s="324"/>
      <c r="Z19" s="324"/>
      <c r="AA19" s="324"/>
      <c r="AB19" s="324"/>
      <c r="AC19" s="324"/>
      <c r="AD19" s="324"/>
      <c r="AE19" s="324"/>
      <c r="AF19" s="324"/>
      <c r="AG19" s="324"/>
      <c r="AH19" s="324"/>
      <c r="AI19" s="324"/>
      <c r="AJ19" s="324"/>
      <c r="AK19" s="325"/>
      <c r="AL19" s="285"/>
    </row>
    <row r="20" spans="1:38" s="316" customFormat="1" ht="10.5" customHeight="1">
      <c r="A20" s="311"/>
      <c r="B20" s="876">
        <f>AA_015_DATOS_DE_LA_PARTE_ACREDITADA_DOMICILIO_CALLE_NÚMERO</f>
        <v>0</v>
      </c>
      <c r="C20" s="723"/>
      <c r="D20" s="723"/>
      <c r="E20" s="723"/>
      <c r="F20" s="723"/>
      <c r="G20" s="723"/>
      <c r="H20" s="723"/>
      <c r="I20" s="723"/>
      <c r="J20" s="723"/>
      <c r="K20" s="723"/>
      <c r="L20" s="723"/>
      <c r="M20" s="723"/>
      <c r="N20" s="723"/>
      <c r="O20" s="723"/>
      <c r="P20" s="723"/>
      <c r="Q20" s="723"/>
      <c r="R20" s="723"/>
      <c r="S20" s="723"/>
      <c r="T20" s="723"/>
      <c r="U20" s="723"/>
      <c r="V20" s="723"/>
      <c r="W20" s="724"/>
      <c r="X20" s="876">
        <f>AA_016_DATOS_DE_LA_PARTE_ACREDITADA_COLONIA</f>
        <v>0</v>
      </c>
      <c r="Y20" s="723"/>
      <c r="Z20" s="723"/>
      <c r="AA20" s="723"/>
      <c r="AB20" s="723"/>
      <c r="AC20" s="723"/>
      <c r="AD20" s="723"/>
      <c r="AE20" s="723"/>
      <c r="AF20" s="723"/>
      <c r="AG20" s="723"/>
      <c r="AH20" s="723"/>
      <c r="AI20" s="723"/>
      <c r="AJ20" s="723"/>
      <c r="AK20" s="724"/>
      <c r="AL20" s="285"/>
    </row>
    <row r="21" spans="1:38" s="316" customFormat="1" ht="10.5" customHeight="1">
      <c r="A21" s="311"/>
      <c r="B21" s="323" t="s">
        <v>146</v>
      </c>
      <c r="C21" s="324"/>
      <c r="D21" s="324"/>
      <c r="E21" s="324"/>
      <c r="F21" s="324"/>
      <c r="G21" s="324"/>
      <c r="H21" s="324"/>
      <c r="I21" s="318"/>
      <c r="J21" s="323" t="s">
        <v>147</v>
      </c>
      <c r="K21" s="318"/>
      <c r="L21" s="318"/>
      <c r="M21" s="285"/>
      <c r="N21" s="285"/>
      <c r="O21" s="285"/>
      <c r="P21" s="324"/>
      <c r="Q21" s="317" t="s">
        <v>152</v>
      </c>
      <c r="R21" s="285"/>
      <c r="S21" s="324"/>
      <c r="T21" s="324"/>
      <c r="U21" s="285"/>
      <c r="V21" s="323" t="s">
        <v>153</v>
      </c>
      <c r="W21" s="324"/>
      <c r="X21" s="324"/>
      <c r="Y21" s="324"/>
      <c r="Z21" s="285"/>
      <c r="AA21" s="323" t="s">
        <v>154</v>
      </c>
      <c r="AB21" s="324"/>
      <c r="AC21" s="325"/>
      <c r="AD21" s="317" t="s">
        <v>155</v>
      </c>
      <c r="AE21" s="318"/>
      <c r="AF21" s="318"/>
      <c r="AG21" s="325"/>
      <c r="AH21" s="324" t="s">
        <v>156</v>
      </c>
      <c r="AI21" s="324"/>
      <c r="AJ21" s="324"/>
      <c r="AK21" s="325"/>
      <c r="AL21" s="285"/>
    </row>
    <row r="22" spans="1:38" s="316" customFormat="1" ht="10.5" customHeight="1">
      <c r="A22" s="311"/>
      <c r="B22" s="876">
        <f>AA_017_DATOS_DE_LA_PARTE_ACREDITADA_POBLACION</f>
        <v>0</v>
      </c>
      <c r="C22" s="723"/>
      <c r="D22" s="723"/>
      <c r="E22" s="723"/>
      <c r="F22" s="723"/>
      <c r="G22" s="723"/>
      <c r="H22" s="723"/>
      <c r="I22" s="724"/>
      <c r="J22" s="876">
        <f>AA_018_DATOS_DE_LA_PARTE_ACREDITADA_ESTADO</f>
        <v>0</v>
      </c>
      <c r="K22" s="723"/>
      <c r="L22" s="723"/>
      <c r="M22" s="723"/>
      <c r="N22" s="723"/>
      <c r="O22" s="723"/>
      <c r="P22" s="724"/>
      <c r="Q22" s="876">
        <f>AA_019_DATOS_DE_LA_PARTE_ACREDITADA_NACIONALIDAD</f>
        <v>0</v>
      </c>
      <c r="R22" s="723"/>
      <c r="S22" s="723"/>
      <c r="T22" s="723"/>
      <c r="U22" s="724"/>
      <c r="V22" s="876">
        <f>AA_020_DATOS_DE_LA_PARTE_ACREDITADA_ORIGINARIO</f>
        <v>0</v>
      </c>
      <c r="W22" s="723"/>
      <c r="X22" s="723"/>
      <c r="Y22" s="723"/>
      <c r="Z22" s="724"/>
      <c r="AA22" s="877">
        <f>AA_021_DATOS_DE_LA_PARTE_ACREDITADA_EDAD</f>
        <v>0</v>
      </c>
      <c r="AB22" s="815"/>
      <c r="AC22" s="816"/>
      <c r="AD22" s="876">
        <f>AA_022_DATOS_DE_LA_PARTE_ACREDITADA_ESTADO_CIVIL</f>
        <v>0</v>
      </c>
      <c r="AE22" s="723"/>
      <c r="AF22" s="723"/>
      <c r="AG22" s="724"/>
      <c r="AH22" s="876">
        <f>AA_023_DATOS_DE_LA_PARTE_ACREDITADA_TELEFONO</f>
        <v>0</v>
      </c>
      <c r="AI22" s="878"/>
      <c r="AJ22" s="878"/>
      <c r="AK22" s="879"/>
      <c r="AL22" s="285"/>
    </row>
    <row r="23" spans="1:38" s="316" customFormat="1" ht="10.5" customHeight="1">
      <c r="A23" s="311"/>
      <c r="B23" s="323" t="s">
        <v>157</v>
      </c>
      <c r="C23" s="324"/>
      <c r="D23" s="324"/>
      <c r="E23" s="324"/>
      <c r="F23" s="324"/>
      <c r="G23" s="324"/>
      <c r="H23" s="324"/>
      <c r="I23" s="324"/>
      <c r="J23" s="324"/>
      <c r="K23" s="324"/>
      <c r="L23" s="324"/>
      <c r="M23" s="324"/>
      <c r="N23" s="324"/>
      <c r="O23" s="324"/>
      <c r="P23" s="324"/>
      <c r="Q23" s="324"/>
      <c r="R23" s="324"/>
      <c r="S23" s="324"/>
      <c r="T23" s="324"/>
      <c r="U23" s="324"/>
      <c r="V23" s="324"/>
      <c r="W23" s="324"/>
      <c r="X23" s="324"/>
      <c r="Y23" s="324"/>
      <c r="Z23" s="324"/>
      <c r="AA23" s="324"/>
      <c r="AB23" s="324"/>
      <c r="AC23" s="324"/>
      <c r="AD23" s="324"/>
      <c r="AE23" s="324"/>
      <c r="AF23" s="324"/>
      <c r="AG23" s="323" t="s">
        <v>151</v>
      </c>
      <c r="AH23" s="324"/>
      <c r="AI23" s="324"/>
      <c r="AJ23" s="324"/>
      <c r="AK23" s="325"/>
      <c r="AL23" s="285"/>
    </row>
    <row r="24" spans="1:38" s="316" customFormat="1" ht="10.5" customHeight="1">
      <c r="A24" s="311"/>
      <c r="B24" s="880">
        <f>AA_024_DATOS_DE_LA_PARTE_ACREDITADA_NOMBRE_DEL_ACREDITADO_2</f>
        <v>0</v>
      </c>
      <c r="C24" s="881"/>
      <c r="D24" s="881"/>
      <c r="E24" s="881"/>
      <c r="F24" s="881"/>
      <c r="G24" s="881"/>
      <c r="H24" s="881"/>
      <c r="I24" s="881"/>
      <c r="J24" s="881"/>
      <c r="K24" s="881"/>
      <c r="L24" s="881"/>
      <c r="M24" s="881"/>
      <c r="N24" s="881"/>
      <c r="O24" s="881"/>
      <c r="P24" s="881"/>
      <c r="Q24" s="881"/>
      <c r="R24" s="881"/>
      <c r="S24" s="881"/>
      <c r="T24" s="881"/>
      <c r="U24" s="881"/>
      <c r="V24" s="881"/>
      <c r="W24" s="881"/>
      <c r="X24" s="881"/>
      <c r="Y24" s="881"/>
      <c r="Z24" s="881"/>
      <c r="AA24" s="881"/>
      <c r="AB24" s="881"/>
      <c r="AC24" s="881"/>
      <c r="AD24" s="881"/>
      <c r="AE24" s="881"/>
      <c r="AF24" s="882"/>
      <c r="AG24" s="876">
        <f>AA_025_DATOS_DE_LA_PARTE_ACREDITADA_R_F_C_</f>
        <v>0</v>
      </c>
      <c r="AH24" s="878"/>
      <c r="AI24" s="878"/>
      <c r="AJ24" s="878"/>
      <c r="AK24" s="879"/>
      <c r="AL24" s="285"/>
    </row>
    <row r="25" spans="1:38" s="316" customFormat="1" ht="10.5" customHeight="1">
      <c r="A25" s="311"/>
      <c r="B25" s="326" t="s">
        <v>143</v>
      </c>
      <c r="C25" s="327"/>
      <c r="D25" s="327"/>
      <c r="E25" s="327" t="s">
        <v>144</v>
      </c>
      <c r="F25" s="327"/>
      <c r="G25" s="327"/>
      <c r="H25" s="327"/>
      <c r="I25" s="327"/>
      <c r="J25" s="327"/>
      <c r="K25" s="327"/>
      <c r="L25" s="327"/>
      <c r="M25" s="327"/>
      <c r="N25" s="327"/>
      <c r="O25" s="327"/>
      <c r="P25" s="327"/>
      <c r="Q25" s="327"/>
      <c r="R25" s="327"/>
      <c r="S25" s="327"/>
      <c r="T25" s="327"/>
      <c r="U25" s="328"/>
      <c r="V25" s="327"/>
      <c r="W25" s="329"/>
      <c r="X25" s="324" t="s">
        <v>145</v>
      </c>
      <c r="Y25" s="324"/>
      <c r="Z25" s="324"/>
      <c r="AA25" s="324"/>
      <c r="AB25" s="324"/>
      <c r="AC25" s="324"/>
      <c r="AD25" s="324"/>
      <c r="AE25" s="324"/>
      <c r="AF25" s="324"/>
      <c r="AG25" s="324"/>
      <c r="AH25" s="324"/>
      <c r="AI25" s="324"/>
      <c r="AJ25" s="324"/>
      <c r="AK25" s="325"/>
      <c r="AL25" s="285"/>
    </row>
    <row r="26" spans="1:38" s="316" customFormat="1" ht="10.5" customHeight="1">
      <c r="A26" s="311"/>
      <c r="B26" s="883">
        <f>AA_026_DATOS_DE_LA_PARTE_ACREDITADA_DOMICILIO_CALLE_NÚMERO</f>
        <v>0</v>
      </c>
      <c r="C26" s="817"/>
      <c r="D26" s="817"/>
      <c r="E26" s="817"/>
      <c r="F26" s="817"/>
      <c r="G26" s="817"/>
      <c r="H26" s="817"/>
      <c r="I26" s="817"/>
      <c r="J26" s="817"/>
      <c r="K26" s="817"/>
      <c r="L26" s="817"/>
      <c r="M26" s="817"/>
      <c r="N26" s="817"/>
      <c r="O26" s="817"/>
      <c r="P26" s="817"/>
      <c r="Q26" s="817"/>
      <c r="R26" s="817"/>
      <c r="S26" s="817"/>
      <c r="T26" s="817"/>
      <c r="U26" s="817"/>
      <c r="V26" s="817"/>
      <c r="W26" s="884"/>
      <c r="X26" s="957">
        <f>AA_027_DATOS_DE_LA_PARTE_ACREDITADA_COLONIA</f>
        <v>0</v>
      </c>
      <c r="Y26" s="723"/>
      <c r="Z26" s="723"/>
      <c r="AA26" s="723"/>
      <c r="AB26" s="723"/>
      <c r="AC26" s="723"/>
      <c r="AD26" s="723"/>
      <c r="AE26" s="723"/>
      <c r="AF26" s="723"/>
      <c r="AG26" s="723"/>
      <c r="AH26" s="723"/>
      <c r="AI26" s="723"/>
      <c r="AJ26" s="723"/>
      <c r="AK26" s="724"/>
      <c r="AL26" s="285"/>
    </row>
    <row r="27" spans="1:38" s="316" customFormat="1" ht="10.5" customHeight="1">
      <c r="A27" s="311"/>
      <c r="B27" s="317" t="s">
        <v>146</v>
      </c>
      <c r="C27" s="318"/>
      <c r="D27" s="318"/>
      <c r="E27" s="318"/>
      <c r="F27" s="318"/>
      <c r="G27" s="318"/>
      <c r="H27" s="318"/>
      <c r="I27" s="318"/>
      <c r="J27" s="317" t="s">
        <v>147</v>
      </c>
      <c r="K27" s="318"/>
      <c r="L27" s="318"/>
      <c r="M27" s="311"/>
      <c r="N27" s="311"/>
      <c r="O27" s="311"/>
      <c r="P27" s="318"/>
      <c r="Q27" s="317" t="s">
        <v>152</v>
      </c>
      <c r="R27" s="311"/>
      <c r="S27" s="318"/>
      <c r="T27" s="318"/>
      <c r="U27" s="311"/>
      <c r="V27" s="317" t="s">
        <v>153</v>
      </c>
      <c r="W27" s="318"/>
      <c r="X27" s="324"/>
      <c r="Y27" s="324"/>
      <c r="Z27" s="311"/>
      <c r="AA27" s="323" t="s">
        <v>154</v>
      </c>
      <c r="AB27" s="324"/>
      <c r="AC27" s="325"/>
      <c r="AD27" s="317" t="s">
        <v>155</v>
      </c>
      <c r="AE27" s="318"/>
      <c r="AF27" s="318"/>
      <c r="AG27" s="325"/>
      <c r="AH27" s="324" t="s">
        <v>156</v>
      </c>
      <c r="AI27" s="324"/>
      <c r="AJ27" s="324"/>
      <c r="AK27" s="325"/>
      <c r="AL27" s="285"/>
    </row>
    <row r="28" spans="1:38" s="316" customFormat="1" ht="10.5" customHeight="1">
      <c r="A28" s="311"/>
      <c r="B28" s="876">
        <f>AA_028_DATOS_DE_LA_PARTE_ACREDITADA_POBLACION</f>
        <v>0</v>
      </c>
      <c r="C28" s="723"/>
      <c r="D28" s="723"/>
      <c r="E28" s="723"/>
      <c r="F28" s="723"/>
      <c r="G28" s="723"/>
      <c r="H28" s="723"/>
      <c r="I28" s="724"/>
      <c r="J28" s="876">
        <f>AA_029_DATOS_DE_LA_PARTE_ACREDITADA_ESTADO</f>
        <v>0</v>
      </c>
      <c r="K28" s="723"/>
      <c r="L28" s="723"/>
      <c r="M28" s="723"/>
      <c r="N28" s="723"/>
      <c r="O28" s="723"/>
      <c r="P28" s="724"/>
      <c r="Q28" s="876">
        <f>AA_030_DATOS_DE_LA_PARTE_ACREDITADA_NACIONALIDAD</f>
        <v>0</v>
      </c>
      <c r="R28" s="723"/>
      <c r="S28" s="723"/>
      <c r="T28" s="723"/>
      <c r="U28" s="724"/>
      <c r="V28" s="876">
        <f>AA_031_DATOS_DE_LA_PARTE_ACREDITADA_ORIGINARIO</f>
        <v>0</v>
      </c>
      <c r="W28" s="723"/>
      <c r="X28" s="723"/>
      <c r="Y28" s="723"/>
      <c r="Z28" s="724"/>
      <c r="AA28" s="877">
        <f>AA_032_DATOS_DE_LA_PARTE_ACREDITADA_EDAD</f>
        <v>0</v>
      </c>
      <c r="AB28" s="945"/>
      <c r="AC28" s="946"/>
      <c r="AD28" s="876">
        <f>AA_033_DATOS_DE_LA_PARTE_ACREDITADA_ESTADO_CIVIL</f>
        <v>0</v>
      </c>
      <c r="AE28" s="723"/>
      <c r="AF28" s="723"/>
      <c r="AG28" s="724"/>
      <c r="AH28" s="876">
        <f>AA_034_DATOS_DE_LA_PARTE_ACREDITADA_TELEFONO</f>
        <v>0</v>
      </c>
      <c r="AI28" s="878"/>
      <c r="AJ28" s="878"/>
      <c r="AK28" s="879"/>
      <c r="AL28" s="285"/>
    </row>
    <row r="29" spans="1:38" s="321" customFormat="1" ht="2.25" customHeight="1">
      <c r="A29" s="311"/>
      <c r="B29" s="318"/>
      <c r="C29" s="318"/>
      <c r="D29" s="318"/>
      <c r="E29" s="318"/>
      <c r="F29" s="318"/>
      <c r="G29" s="318"/>
      <c r="H29" s="318"/>
      <c r="I29" s="318"/>
      <c r="J29" s="318"/>
      <c r="K29" s="318"/>
      <c r="L29" s="318"/>
      <c r="M29" s="318"/>
      <c r="N29" s="318"/>
      <c r="O29" s="318"/>
      <c r="P29" s="318"/>
      <c r="Q29" s="318"/>
      <c r="R29" s="318"/>
      <c r="S29" s="318"/>
      <c r="T29" s="318"/>
      <c r="U29" s="318"/>
      <c r="V29" s="318"/>
      <c r="W29" s="318"/>
      <c r="X29" s="318"/>
      <c r="Y29" s="318"/>
      <c r="Z29" s="318"/>
      <c r="AA29" s="318"/>
      <c r="AB29" s="318"/>
      <c r="AC29" s="318"/>
      <c r="AD29" s="318"/>
      <c r="AE29" s="318"/>
      <c r="AF29" s="318"/>
      <c r="AG29" s="318"/>
      <c r="AH29" s="318"/>
      <c r="AI29" s="318"/>
      <c r="AJ29" s="318"/>
      <c r="AK29" s="318"/>
      <c r="AL29" s="285"/>
    </row>
    <row r="30" spans="1:38" s="321" customFormat="1" ht="10.199999999999999">
      <c r="A30" s="311"/>
      <c r="B30" s="322" t="s">
        <v>158</v>
      </c>
      <c r="C30" s="318"/>
      <c r="D30" s="318"/>
      <c r="E30" s="318"/>
      <c r="F30" s="318"/>
      <c r="G30" s="318"/>
      <c r="H30" s="318"/>
      <c r="I30" s="318"/>
      <c r="J30" s="318"/>
      <c r="K30" s="318"/>
      <c r="L30" s="318"/>
      <c r="M30" s="318"/>
      <c r="N30" s="318"/>
      <c r="O30" s="318"/>
      <c r="P30" s="318"/>
      <c r="Q30" s="318"/>
      <c r="R30" s="318"/>
      <c r="S30" s="318"/>
      <c r="T30" s="318"/>
      <c r="U30" s="318"/>
      <c r="V30" s="318"/>
      <c r="W30" s="318"/>
      <c r="X30" s="318"/>
      <c r="Y30" s="318"/>
      <c r="Z30" s="318"/>
      <c r="AA30" s="318"/>
      <c r="AB30" s="318"/>
      <c r="AC30" s="318"/>
      <c r="AD30" s="318"/>
      <c r="AE30" s="318"/>
      <c r="AF30" s="318"/>
      <c r="AG30" s="318"/>
      <c r="AH30" s="318"/>
      <c r="AI30" s="318"/>
      <c r="AJ30" s="318"/>
      <c r="AK30" s="318"/>
      <c r="AL30" s="285"/>
    </row>
    <row r="31" spans="1:38" s="316" customFormat="1" ht="10.5" customHeight="1">
      <c r="A31" s="311"/>
      <c r="B31" s="323" t="s">
        <v>159</v>
      </c>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E31" s="324"/>
      <c r="AF31" s="324"/>
      <c r="AG31" s="324"/>
      <c r="AH31" s="324"/>
      <c r="AI31" s="324"/>
      <c r="AJ31" s="324"/>
      <c r="AK31" s="325"/>
      <c r="AL31" s="285"/>
    </row>
    <row r="32" spans="1:38" s="316" customFormat="1" ht="10.5" customHeight="1">
      <c r="A32" s="311"/>
      <c r="B32" s="876">
        <f>AA_035_DATOS_APODERADOS_ACREDITADO_NOMBRE_APODERADO_DEL_ACREDITADO_UNO</f>
        <v>0</v>
      </c>
      <c r="C32" s="878"/>
      <c r="D32" s="878"/>
      <c r="E32" s="878"/>
      <c r="F32" s="878"/>
      <c r="G32" s="878"/>
      <c r="H32" s="878"/>
      <c r="I32" s="878"/>
      <c r="J32" s="878"/>
      <c r="K32" s="878"/>
      <c r="L32" s="878"/>
      <c r="M32" s="878"/>
      <c r="N32" s="878"/>
      <c r="O32" s="878"/>
      <c r="P32" s="878"/>
      <c r="Q32" s="878"/>
      <c r="R32" s="878"/>
      <c r="S32" s="878"/>
      <c r="T32" s="878"/>
      <c r="U32" s="878"/>
      <c r="V32" s="878"/>
      <c r="W32" s="878"/>
      <c r="X32" s="878"/>
      <c r="Y32" s="878"/>
      <c r="Z32" s="878"/>
      <c r="AA32" s="878"/>
      <c r="AB32" s="878"/>
      <c r="AC32" s="878"/>
      <c r="AD32" s="878"/>
      <c r="AE32" s="878"/>
      <c r="AF32" s="878"/>
      <c r="AG32" s="878"/>
      <c r="AH32" s="878"/>
      <c r="AI32" s="878"/>
      <c r="AJ32" s="878"/>
      <c r="AK32" s="879"/>
      <c r="AL32" s="285"/>
    </row>
    <row r="33" spans="1:38" s="316" customFormat="1" ht="10.5" customHeight="1">
      <c r="A33" s="311"/>
      <c r="B33" s="323" t="str">
        <f>B31</f>
        <v>NOMBRE  (Nombre(s) Apellidos Paterno y Materno)</v>
      </c>
      <c r="C33" s="324"/>
      <c r="D33" s="324"/>
      <c r="E33" s="324"/>
      <c r="F33" s="324"/>
      <c r="G33" s="324"/>
      <c r="H33" s="324"/>
      <c r="I33" s="324"/>
      <c r="J33" s="324"/>
      <c r="K33" s="324"/>
      <c r="L33" s="324"/>
      <c r="M33" s="324"/>
      <c r="N33" s="324"/>
      <c r="O33" s="324"/>
      <c r="P33" s="324"/>
      <c r="Q33" s="324"/>
      <c r="R33" s="324"/>
      <c r="S33" s="324"/>
      <c r="T33" s="324"/>
      <c r="U33" s="324"/>
      <c r="V33" s="324"/>
      <c r="W33" s="324"/>
      <c r="X33" s="324"/>
      <c r="Y33" s="324"/>
      <c r="Z33" s="324"/>
      <c r="AA33" s="324"/>
      <c r="AB33" s="324"/>
      <c r="AC33" s="324"/>
      <c r="AD33" s="324"/>
      <c r="AE33" s="324"/>
      <c r="AF33" s="324"/>
      <c r="AG33" s="324"/>
      <c r="AH33" s="324"/>
      <c r="AI33" s="324"/>
      <c r="AJ33" s="324"/>
      <c r="AK33" s="325"/>
      <c r="AL33" s="285"/>
    </row>
    <row r="34" spans="1:38" s="316" customFormat="1" ht="10.5" customHeight="1">
      <c r="A34" s="311"/>
      <c r="B34" s="876">
        <f>AA_036_DATOS_APODERADOS_ACREDITADO_NOMBRE_APODERADO_DEL_ACREDITADO_DOS</f>
        <v>0</v>
      </c>
      <c r="C34" s="723"/>
      <c r="D34" s="723"/>
      <c r="E34" s="723"/>
      <c r="F34" s="723"/>
      <c r="G34" s="723"/>
      <c r="H34" s="723"/>
      <c r="I34" s="723"/>
      <c r="J34" s="723"/>
      <c r="K34" s="723"/>
      <c r="L34" s="723"/>
      <c r="M34" s="723"/>
      <c r="N34" s="723"/>
      <c r="O34" s="723"/>
      <c r="P34" s="723"/>
      <c r="Q34" s="723"/>
      <c r="R34" s="723"/>
      <c r="S34" s="723"/>
      <c r="T34" s="723"/>
      <c r="U34" s="723"/>
      <c r="V34" s="723"/>
      <c r="W34" s="723"/>
      <c r="X34" s="723"/>
      <c r="Y34" s="723"/>
      <c r="Z34" s="723"/>
      <c r="AA34" s="723"/>
      <c r="AB34" s="723"/>
      <c r="AC34" s="723"/>
      <c r="AD34" s="723"/>
      <c r="AE34" s="723"/>
      <c r="AF34" s="723"/>
      <c r="AG34" s="723"/>
      <c r="AH34" s="723"/>
      <c r="AI34" s="723"/>
      <c r="AJ34" s="723"/>
      <c r="AK34" s="724"/>
      <c r="AL34" s="285"/>
    </row>
    <row r="35" spans="1:38" s="316" customFormat="1" ht="10.5" customHeight="1">
      <c r="A35" s="311"/>
      <c r="B35" s="323" t="str">
        <f>B33</f>
        <v>NOMBRE  (Nombre(s) Apellidos Paterno y Materno)</v>
      </c>
      <c r="C35" s="324"/>
      <c r="D35" s="324"/>
      <c r="E35" s="324"/>
      <c r="F35" s="324"/>
      <c r="G35" s="324"/>
      <c r="H35" s="324"/>
      <c r="I35" s="324"/>
      <c r="J35" s="324"/>
      <c r="K35" s="324"/>
      <c r="L35" s="324"/>
      <c r="M35" s="324"/>
      <c r="N35" s="324"/>
      <c r="O35" s="324"/>
      <c r="P35" s="324"/>
      <c r="Q35" s="324"/>
      <c r="R35" s="324"/>
      <c r="S35" s="324"/>
      <c r="T35" s="324"/>
      <c r="U35" s="324"/>
      <c r="V35" s="324"/>
      <c r="W35" s="324"/>
      <c r="X35" s="324"/>
      <c r="Y35" s="324"/>
      <c r="Z35" s="324"/>
      <c r="AA35" s="324"/>
      <c r="AB35" s="324"/>
      <c r="AC35" s="324"/>
      <c r="AD35" s="324"/>
      <c r="AE35" s="324"/>
      <c r="AF35" s="324"/>
      <c r="AG35" s="324"/>
      <c r="AH35" s="324"/>
      <c r="AI35" s="324"/>
      <c r="AJ35" s="324"/>
      <c r="AK35" s="325"/>
      <c r="AL35" s="285"/>
    </row>
    <row r="36" spans="1:38" s="316" customFormat="1" ht="10.5" customHeight="1">
      <c r="A36" s="311"/>
      <c r="B36" s="876">
        <f>AA_036a_DATOS_APODERADOS_ACREDITADO_NOMBRE_APODERADO_DEL_ACREDITADO_TRES</f>
        <v>0</v>
      </c>
      <c r="C36" s="723"/>
      <c r="D36" s="723"/>
      <c r="E36" s="723"/>
      <c r="F36" s="723"/>
      <c r="G36" s="723"/>
      <c r="H36" s="723"/>
      <c r="I36" s="723"/>
      <c r="J36" s="723"/>
      <c r="K36" s="723"/>
      <c r="L36" s="723"/>
      <c r="M36" s="723"/>
      <c r="N36" s="723"/>
      <c r="O36" s="723"/>
      <c r="P36" s="723"/>
      <c r="Q36" s="723"/>
      <c r="R36" s="723"/>
      <c r="S36" s="723"/>
      <c r="T36" s="723"/>
      <c r="U36" s="723"/>
      <c r="V36" s="723"/>
      <c r="W36" s="723"/>
      <c r="X36" s="723"/>
      <c r="Y36" s="723"/>
      <c r="Z36" s="723"/>
      <c r="AA36" s="723"/>
      <c r="AB36" s="723"/>
      <c r="AC36" s="723"/>
      <c r="AD36" s="723"/>
      <c r="AE36" s="723"/>
      <c r="AF36" s="723"/>
      <c r="AG36" s="723"/>
      <c r="AH36" s="723"/>
      <c r="AI36" s="723"/>
      <c r="AJ36" s="723"/>
      <c r="AK36" s="724"/>
      <c r="AL36" s="285"/>
    </row>
    <row r="37" spans="1:38" s="321" customFormat="1" ht="2.25" customHeight="1">
      <c r="A37" s="311"/>
      <c r="B37" s="318"/>
      <c r="C37" s="318"/>
      <c r="D37" s="318"/>
      <c r="E37" s="318"/>
      <c r="F37" s="318"/>
      <c r="G37" s="318"/>
      <c r="H37" s="318"/>
      <c r="I37" s="318"/>
      <c r="J37" s="318"/>
      <c r="K37" s="318"/>
      <c r="L37" s="318"/>
      <c r="M37" s="318"/>
      <c r="N37" s="318"/>
      <c r="O37" s="318"/>
      <c r="P37" s="318"/>
      <c r="Q37" s="318"/>
      <c r="R37" s="318"/>
      <c r="S37" s="318"/>
      <c r="T37" s="318"/>
      <c r="U37" s="318"/>
      <c r="V37" s="318"/>
      <c r="W37" s="318"/>
      <c r="X37" s="318"/>
      <c r="Y37" s="318"/>
      <c r="Z37" s="318"/>
      <c r="AA37" s="318"/>
      <c r="AB37" s="318"/>
      <c r="AC37" s="318"/>
      <c r="AD37" s="318"/>
      <c r="AE37" s="318"/>
      <c r="AF37" s="318"/>
      <c r="AG37" s="318"/>
      <c r="AH37" s="318"/>
      <c r="AI37" s="318"/>
      <c r="AJ37" s="318"/>
      <c r="AK37" s="318"/>
      <c r="AL37" s="285"/>
    </row>
    <row r="38" spans="1:38" s="321" customFormat="1" ht="10.199999999999999">
      <c r="A38" s="311"/>
      <c r="B38" s="322" t="s">
        <v>160</v>
      </c>
      <c r="C38" s="318"/>
      <c r="D38" s="318"/>
      <c r="E38" s="318"/>
      <c r="F38" s="318"/>
      <c r="G38" s="318"/>
      <c r="H38" s="318"/>
      <c r="I38" s="318"/>
      <c r="J38" s="318"/>
      <c r="K38" s="318"/>
      <c r="L38" s="318"/>
      <c r="M38" s="318"/>
      <c r="N38" s="318"/>
      <c r="O38" s="318"/>
      <c r="P38" s="318"/>
      <c r="Q38" s="318"/>
      <c r="R38" s="318"/>
      <c r="S38" s="318"/>
      <c r="T38" s="318"/>
      <c r="U38" s="318"/>
      <c r="V38" s="318"/>
      <c r="W38" s="318"/>
      <c r="X38" s="318"/>
      <c r="Y38" s="318"/>
      <c r="Z38" s="318"/>
      <c r="AA38" s="318"/>
      <c r="AB38" s="318"/>
      <c r="AC38" s="318"/>
      <c r="AD38" s="318"/>
      <c r="AE38" s="318"/>
      <c r="AF38" s="318"/>
      <c r="AG38" s="318"/>
      <c r="AH38" s="318"/>
      <c r="AI38" s="318"/>
      <c r="AJ38" s="318"/>
      <c r="AK38" s="318"/>
      <c r="AL38" s="285"/>
    </row>
    <row r="39" spans="1:38" s="316" customFormat="1" ht="10.5" customHeight="1">
      <c r="A39" s="311"/>
      <c r="B39" s="323" t="s">
        <v>157</v>
      </c>
      <c r="C39" s="324"/>
      <c r="D39" s="324"/>
      <c r="E39" s="324"/>
      <c r="F39" s="324"/>
      <c r="G39" s="324"/>
      <c r="H39" s="324"/>
      <c r="I39" s="324"/>
      <c r="J39" s="324"/>
      <c r="K39" s="324"/>
      <c r="L39" s="324"/>
      <c r="M39" s="324"/>
      <c r="N39" s="324"/>
      <c r="O39" s="324"/>
      <c r="P39" s="324"/>
      <c r="Q39" s="324"/>
      <c r="R39" s="324"/>
      <c r="S39" s="324"/>
      <c r="T39" s="324"/>
      <c r="U39" s="324"/>
      <c r="V39" s="324"/>
      <c r="W39" s="324"/>
      <c r="X39" s="324"/>
      <c r="Y39" s="324"/>
      <c r="Z39" s="324"/>
      <c r="AA39" s="324"/>
      <c r="AB39" s="324"/>
      <c r="AC39" s="324"/>
      <c r="AD39" s="324"/>
      <c r="AE39" s="324"/>
      <c r="AF39" s="324"/>
      <c r="AG39" s="323" t="s">
        <v>151</v>
      </c>
      <c r="AH39" s="324"/>
      <c r="AI39" s="324"/>
      <c r="AJ39" s="324"/>
      <c r="AK39" s="325"/>
      <c r="AL39" s="285"/>
    </row>
    <row r="40" spans="1:38" s="316" customFormat="1" ht="10.5" customHeight="1">
      <c r="A40" s="311"/>
      <c r="B40" s="876">
        <f>AA_037_DATOS_FIADORES_NOMBRE_DEL_FIADOR_SOLIDARIO_UNO</f>
        <v>0</v>
      </c>
      <c r="C40" s="723"/>
      <c r="D40" s="723"/>
      <c r="E40" s="723"/>
      <c r="F40" s="723"/>
      <c r="G40" s="723"/>
      <c r="H40" s="723"/>
      <c r="I40" s="723"/>
      <c r="J40" s="723"/>
      <c r="K40" s="723"/>
      <c r="L40" s="723"/>
      <c r="M40" s="723"/>
      <c r="N40" s="723"/>
      <c r="O40" s="723"/>
      <c r="P40" s="723"/>
      <c r="Q40" s="723"/>
      <c r="R40" s="723"/>
      <c r="S40" s="723"/>
      <c r="T40" s="723"/>
      <c r="U40" s="723"/>
      <c r="V40" s="723"/>
      <c r="W40" s="723"/>
      <c r="X40" s="723"/>
      <c r="Y40" s="723"/>
      <c r="Z40" s="723"/>
      <c r="AA40" s="723"/>
      <c r="AB40" s="723"/>
      <c r="AC40" s="723"/>
      <c r="AD40" s="723"/>
      <c r="AE40" s="723"/>
      <c r="AF40" s="724"/>
      <c r="AG40" s="876">
        <f>AA_038_DATOS_FIADORES_RFC</f>
        <v>0</v>
      </c>
      <c r="AH40" s="723"/>
      <c r="AI40" s="723"/>
      <c r="AJ40" s="723"/>
      <c r="AK40" s="724"/>
      <c r="AL40" s="285"/>
    </row>
    <row r="41" spans="1:38" s="316" customFormat="1" ht="10.5" customHeight="1">
      <c r="A41" s="311"/>
      <c r="B41" s="323" t="s">
        <v>143</v>
      </c>
      <c r="C41" s="324"/>
      <c r="D41" s="324"/>
      <c r="E41" s="324" t="s">
        <v>144</v>
      </c>
      <c r="F41" s="324"/>
      <c r="G41" s="324"/>
      <c r="H41" s="324"/>
      <c r="I41" s="324"/>
      <c r="J41" s="324"/>
      <c r="K41" s="324"/>
      <c r="L41" s="324"/>
      <c r="M41" s="324"/>
      <c r="N41" s="324"/>
      <c r="O41" s="324"/>
      <c r="P41" s="324"/>
      <c r="Q41" s="324"/>
      <c r="R41" s="324"/>
      <c r="S41" s="324"/>
      <c r="T41" s="324"/>
      <c r="U41" s="323" t="s">
        <v>145</v>
      </c>
      <c r="V41" s="324"/>
      <c r="W41" s="324"/>
      <c r="X41" s="324"/>
      <c r="Y41" s="324"/>
      <c r="Z41" s="324"/>
      <c r="AA41" s="324"/>
      <c r="AB41" s="324"/>
      <c r="AC41" s="324"/>
      <c r="AD41" s="324"/>
      <c r="AE41" s="324"/>
      <c r="AF41" s="324"/>
      <c r="AG41" s="324"/>
      <c r="AH41" s="324"/>
      <c r="AI41" s="324"/>
      <c r="AJ41" s="324"/>
      <c r="AK41" s="325"/>
      <c r="AL41" s="285"/>
    </row>
    <row r="42" spans="1:38" s="316" customFormat="1" ht="10.5" customHeight="1">
      <c r="A42" s="311"/>
      <c r="B42" s="876">
        <f>AA_039_DATOS_FIADORES_DOMICILIO_CALLE_NÚMERO</f>
        <v>0</v>
      </c>
      <c r="C42" s="723"/>
      <c r="D42" s="723"/>
      <c r="E42" s="723"/>
      <c r="F42" s="723"/>
      <c r="G42" s="723"/>
      <c r="H42" s="723"/>
      <c r="I42" s="723"/>
      <c r="J42" s="723"/>
      <c r="K42" s="723"/>
      <c r="L42" s="723"/>
      <c r="M42" s="723"/>
      <c r="N42" s="723"/>
      <c r="O42" s="723"/>
      <c r="P42" s="723"/>
      <c r="Q42" s="723"/>
      <c r="R42" s="723"/>
      <c r="S42" s="723"/>
      <c r="T42" s="724"/>
      <c r="U42" s="876">
        <f>AA_040_DATOS_FIADORES_COLONIA</f>
        <v>0</v>
      </c>
      <c r="V42" s="723"/>
      <c r="W42" s="723"/>
      <c r="X42" s="723"/>
      <c r="Y42" s="723"/>
      <c r="Z42" s="723"/>
      <c r="AA42" s="723"/>
      <c r="AB42" s="723"/>
      <c r="AC42" s="723"/>
      <c r="AD42" s="723"/>
      <c r="AE42" s="723"/>
      <c r="AF42" s="723"/>
      <c r="AG42" s="723"/>
      <c r="AH42" s="723"/>
      <c r="AI42" s="723"/>
      <c r="AJ42" s="723"/>
      <c r="AK42" s="724"/>
      <c r="AL42" s="285"/>
    </row>
    <row r="43" spans="1:38" s="316" customFormat="1" ht="10.5" customHeight="1">
      <c r="A43" s="311"/>
      <c r="B43" s="323" t="s">
        <v>146</v>
      </c>
      <c r="C43" s="324"/>
      <c r="D43" s="324"/>
      <c r="E43" s="324"/>
      <c r="F43" s="324"/>
      <c r="G43" s="324"/>
      <c r="H43" s="324"/>
      <c r="I43" s="318"/>
      <c r="J43" s="323" t="s">
        <v>147</v>
      </c>
      <c r="K43" s="318"/>
      <c r="L43" s="318"/>
      <c r="M43" s="285"/>
      <c r="N43" s="285"/>
      <c r="O43" s="285"/>
      <c r="P43" s="324"/>
      <c r="Q43" s="317" t="s">
        <v>152</v>
      </c>
      <c r="R43" s="285"/>
      <c r="S43" s="324"/>
      <c r="T43" s="324"/>
      <c r="U43" s="285"/>
      <c r="V43" s="323" t="s">
        <v>153</v>
      </c>
      <c r="W43" s="324"/>
      <c r="X43" s="324"/>
      <c r="Y43" s="324"/>
      <c r="Z43" s="285"/>
      <c r="AA43" s="323" t="s">
        <v>154</v>
      </c>
      <c r="AB43" s="324"/>
      <c r="AC43" s="325"/>
      <c r="AD43" s="317" t="s">
        <v>155</v>
      </c>
      <c r="AE43" s="318"/>
      <c r="AF43" s="318"/>
      <c r="AG43" s="325"/>
      <c r="AH43" s="324" t="s">
        <v>156</v>
      </c>
      <c r="AI43" s="324"/>
      <c r="AJ43" s="324"/>
      <c r="AK43" s="325"/>
      <c r="AL43" s="285"/>
    </row>
    <row r="44" spans="1:38" s="316" customFormat="1" ht="10.5" customHeight="1">
      <c r="A44" s="311"/>
      <c r="B44" s="876">
        <f>AA_041_DATOS_FIADORES_POBLACIÓN</f>
        <v>0</v>
      </c>
      <c r="C44" s="723"/>
      <c r="D44" s="723"/>
      <c r="E44" s="723"/>
      <c r="F44" s="723"/>
      <c r="G44" s="723"/>
      <c r="H44" s="723"/>
      <c r="I44" s="724"/>
      <c r="J44" s="876">
        <f>AA_042_DATOS_FIADORES_ESTADO</f>
        <v>0</v>
      </c>
      <c r="K44" s="723"/>
      <c r="L44" s="723"/>
      <c r="M44" s="723"/>
      <c r="N44" s="723"/>
      <c r="O44" s="723"/>
      <c r="P44" s="724"/>
      <c r="Q44" s="876">
        <f>AA_043_DATOS_FIADORES_NACIONALIDAD</f>
        <v>0</v>
      </c>
      <c r="R44" s="723"/>
      <c r="S44" s="723"/>
      <c r="T44" s="723"/>
      <c r="U44" s="724"/>
      <c r="V44" s="876">
        <f>AA_044_DATOS_FIADORES_ORIGINARIO</f>
        <v>0</v>
      </c>
      <c r="W44" s="723"/>
      <c r="X44" s="723"/>
      <c r="Y44" s="723"/>
      <c r="Z44" s="724"/>
      <c r="AA44" s="877">
        <f>AA_045_DATOS_FIADORES_EDAD</f>
        <v>0</v>
      </c>
      <c r="AB44" s="945"/>
      <c r="AC44" s="946"/>
      <c r="AD44" s="876">
        <f>AA_046_DATOS_FIADORES_ESTADO_CIVIL</f>
        <v>0</v>
      </c>
      <c r="AE44" s="723"/>
      <c r="AF44" s="723"/>
      <c r="AG44" s="724"/>
      <c r="AH44" s="876">
        <f>AA_047_DATOS_FIADORES_TELEFONO</f>
        <v>0</v>
      </c>
      <c r="AI44" s="878"/>
      <c r="AJ44" s="878"/>
      <c r="AK44" s="879"/>
      <c r="AL44" s="285"/>
    </row>
    <row r="45" spans="1:38" s="316" customFormat="1" ht="10.5" customHeight="1">
      <c r="A45" s="311"/>
      <c r="B45" s="323" t="s">
        <v>157</v>
      </c>
      <c r="C45" s="324"/>
      <c r="D45" s="324"/>
      <c r="E45" s="324"/>
      <c r="F45" s="324"/>
      <c r="G45" s="324"/>
      <c r="H45" s="324"/>
      <c r="I45" s="324"/>
      <c r="J45" s="324"/>
      <c r="K45" s="324"/>
      <c r="L45" s="324"/>
      <c r="M45" s="324"/>
      <c r="N45" s="324"/>
      <c r="O45" s="324"/>
      <c r="P45" s="324"/>
      <c r="Q45" s="324"/>
      <c r="R45" s="324"/>
      <c r="S45" s="324"/>
      <c r="T45" s="324"/>
      <c r="U45" s="324"/>
      <c r="V45" s="324"/>
      <c r="W45" s="324"/>
      <c r="X45" s="324"/>
      <c r="Y45" s="324"/>
      <c r="Z45" s="324"/>
      <c r="AA45" s="324"/>
      <c r="AB45" s="324"/>
      <c r="AC45" s="324"/>
      <c r="AD45" s="324"/>
      <c r="AE45" s="324"/>
      <c r="AF45" s="324"/>
      <c r="AG45" s="323" t="s">
        <v>151</v>
      </c>
      <c r="AH45" s="324"/>
      <c r="AI45" s="324"/>
      <c r="AJ45" s="324"/>
      <c r="AK45" s="325"/>
      <c r="AL45" s="285"/>
    </row>
    <row r="46" spans="1:38" s="316" customFormat="1" ht="10.5" customHeight="1">
      <c r="A46" s="311"/>
      <c r="B46" s="876">
        <f>AA_048_DATOS_FIADORES_NOMBRE_DEL_FIADOR_SOLIDARIO_DOS</f>
        <v>0</v>
      </c>
      <c r="C46" s="878"/>
      <c r="D46" s="878"/>
      <c r="E46" s="878"/>
      <c r="F46" s="878"/>
      <c r="G46" s="878"/>
      <c r="H46" s="878"/>
      <c r="I46" s="878"/>
      <c r="J46" s="878"/>
      <c r="K46" s="878"/>
      <c r="L46" s="878"/>
      <c r="M46" s="878"/>
      <c r="N46" s="878"/>
      <c r="O46" s="878"/>
      <c r="P46" s="878"/>
      <c r="Q46" s="878"/>
      <c r="R46" s="878"/>
      <c r="S46" s="878"/>
      <c r="T46" s="878"/>
      <c r="U46" s="878"/>
      <c r="V46" s="878"/>
      <c r="W46" s="878"/>
      <c r="X46" s="878"/>
      <c r="Y46" s="878"/>
      <c r="Z46" s="878"/>
      <c r="AA46" s="878"/>
      <c r="AB46" s="878"/>
      <c r="AC46" s="878"/>
      <c r="AD46" s="878"/>
      <c r="AE46" s="878"/>
      <c r="AF46" s="879"/>
      <c r="AG46" s="876">
        <f>AA_049_DATOS_FIADORES_RFC</f>
        <v>0</v>
      </c>
      <c r="AH46" s="878"/>
      <c r="AI46" s="878"/>
      <c r="AJ46" s="878"/>
      <c r="AK46" s="879"/>
      <c r="AL46" s="285"/>
    </row>
    <row r="47" spans="1:38" s="316" customFormat="1" ht="10.5" customHeight="1">
      <c r="A47" s="311"/>
      <c r="B47" s="323" t="s">
        <v>143</v>
      </c>
      <c r="C47" s="324"/>
      <c r="D47" s="324"/>
      <c r="E47" s="324" t="s">
        <v>144</v>
      </c>
      <c r="F47" s="324"/>
      <c r="G47" s="324"/>
      <c r="H47" s="324"/>
      <c r="I47" s="324"/>
      <c r="J47" s="324"/>
      <c r="K47" s="324"/>
      <c r="L47" s="324"/>
      <c r="M47" s="324"/>
      <c r="N47" s="324"/>
      <c r="O47" s="324"/>
      <c r="P47" s="324"/>
      <c r="Q47" s="324"/>
      <c r="R47" s="324"/>
      <c r="S47" s="324"/>
      <c r="T47" s="324"/>
      <c r="U47" s="323" t="s">
        <v>145</v>
      </c>
      <c r="V47" s="324"/>
      <c r="W47" s="324"/>
      <c r="X47" s="324"/>
      <c r="Y47" s="324"/>
      <c r="Z47" s="324"/>
      <c r="AA47" s="324"/>
      <c r="AB47" s="324"/>
      <c r="AC47" s="324"/>
      <c r="AD47" s="324"/>
      <c r="AE47" s="324"/>
      <c r="AF47" s="324"/>
      <c r="AG47" s="324"/>
      <c r="AH47" s="324"/>
      <c r="AI47" s="324"/>
      <c r="AJ47" s="324"/>
      <c r="AK47" s="325"/>
      <c r="AL47" s="285"/>
    </row>
    <row r="48" spans="1:38" s="316" customFormat="1" ht="10.5" customHeight="1">
      <c r="A48" s="311"/>
      <c r="B48" s="876">
        <f>AA_050_DATOS_FIADORES_DOMICILIO_CALLE_NÚMERO</f>
        <v>0</v>
      </c>
      <c r="C48" s="723"/>
      <c r="D48" s="723"/>
      <c r="E48" s="723"/>
      <c r="F48" s="723"/>
      <c r="G48" s="723"/>
      <c r="H48" s="723"/>
      <c r="I48" s="723"/>
      <c r="J48" s="723"/>
      <c r="K48" s="723"/>
      <c r="L48" s="723"/>
      <c r="M48" s="723"/>
      <c r="N48" s="723"/>
      <c r="O48" s="723"/>
      <c r="P48" s="723"/>
      <c r="Q48" s="723"/>
      <c r="R48" s="723"/>
      <c r="S48" s="723"/>
      <c r="T48" s="724"/>
      <c r="U48" s="876">
        <f>AA_051_DATOS_FIADORES_COLONIA</f>
        <v>0</v>
      </c>
      <c r="V48" s="723"/>
      <c r="W48" s="723"/>
      <c r="X48" s="723"/>
      <c r="Y48" s="723"/>
      <c r="Z48" s="723"/>
      <c r="AA48" s="723"/>
      <c r="AB48" s="723"/>
      <c r="AC48" s="723"/>
      <c r="AD48" s="723"/>
      <c r="AE48" s="723"/>
      <c r="AF48" s="723"/>
      <c r="AG48" s="723"/>
      <c r="AH48" s="723"/>
      <c r="AI48" s="723"/>
      <c r="AJ48" s="723"/>
      <c r="AK48" s="724"/>
      <c r="AL48" s="285"/>
    </row>
    <row r="49" spans="1:38" s="316" customFormat="1" ht="10.5" customHeight="1">
      <c r="A49" s="311"/>
      <c r="B49" s="323" t="s">
        <v>146</v>
      </c>
      <c r="C49" s="324"/>
      <c r="D49" s="324"/>
      <c r="E49" s="324"/>
      <c r="F49" s="324"/>
      <c r="G49" s="324"/>
      <c r="H49" s="324"/>
      <c r="I49" s="318"/>
      <c r="J49" s="323" t="s">
        <v>147</v>
      </c>
      <c r="K49" s="318"/>
      <c r="L49" s="318"/>
      <c r="M49" s="285"/>
      <c r="N49" s="285"/>
      <c r="O49" s="285"/>
      <c r="P49" s="324"/>
      <c r="Q49" s="317" t="s">
        <v>152</v>
      </c>
      <c r="R49" s="285"/>
      <c r="S49" s="324"/>
      <c r="T49" s="324"/>
      <c r="U49" s="285"/>
      <c r="V49" s="323" t="s">
        <v>153</v>
      </c>
      <c r="W49" s="324"/>
      <c r="X49" s="324"/>
      <c r="Y49" s="324"/>
      <c r="Z49" s="285"/>
      <c r="AA49" s="323" t="s">
        <v>154</v>
      </c>
      <c r="AB49" s="324"/>
      <c r="AC49" s="325"/>
      <c r="AD49" s="317" t="s">
        <v>155</v>
      </c>
      <c r="AE49" s="318"/>
      <c r="AF49" s="318"/>
      <c r="AG49" s="325"/>
      <c r="AH49" s="324" t="s">
        <v>156</v>
      </c>
      <c r="AI49" s="324"/>
      <c r="AJ49" s="324"/>
      <c r="AK49" s="325"/>
      <c r="AL49" s="285"/>
    </row>
    <row r="50" spans="1:38" s="316" customFormat="1" ht="10.5" customHeight="1">
      <c r="A50" s="311"/>
      <c r="B50" s="876">
        <f>AA_052_DATOS_FIADORES_POBLACIÓN</f>
        <v>0</v>
      </c>
      <c r="C50" s="723"/>
      <c r="D50" s="723"/>
      <c r="E50" s="723"/>
      <c r="F50" s="723"/>
      <c r="G50" s="723"/>
      <c r="H50" s="723"/>
      <c r="I50" s="724"/>
      <c r="J50" s="876">
        <f>AA_053_DATOS_FIADORES_ESTADO</f>
        <v>0</v>
      </c>
      <c r="K50" s="723"/>
      <c r="L50" s="723"/>
      <c r="M50" s="723"/>
      <c r="N50" s="723"/>
      <c r="O50" s="723"/>
      <c r="P50" s="724"/>
      <c r="Q50" s="876">
        <f>AA_054_DATOS_FIADORES_NACIONALIDAD</f>
        <v>0</v>
      </c>
      <c r="R50" s="723"/>
      <c r="S50" s="723"/>
      <c r="T50" s="723"/>
      <c r="U50" s="724"/>
      <c r="V50" s="876">
        <f>AA_055_DATOS_FIADORES_ORIGINARIO</f>
        <v>0</v>
      </c>
      <c r="W50" s="723"/>
      <c r="X50" s="723"/>
      <c r="Y50" s="723"/>
      <c r="Z50" s="724"/>
      <c r="AA50" s="877">
        <f>AA_056_DATOS_FIADORES_EDAD</f>
        <v>0</v>
      </c>
      <c r="AB50" s="945"/>
      <c r="AC50" s="946"/>
      <c r="AD50" s="876">
        <f>AA_057_DATOS_FIADORES_ESTADO_CIVIL</f>
        <v>0</v>
      </c>
      <c r="AE50" s="723"/>
      <c r="AF50" s="723"/>
      <c r="AG50" s="724"/>
      <c r="AH50" s="876">
        <f>AA_058_DATOS_FIADORES_TELEFONO</f>
        <v>0</v>
      </c>
      <c r="AI50" s="878"/>
      <c r="AJ50" s="878"/>
      <c r="AK50" s="879"/>
      <c r="AL50" s="285"/>
    </row>
    <row r="51" spans="1:38" s="316" customFormat="1" ht="10.5" customHeight="1">
      <c r="A51" s="311"/>
      <c r="B51" s="323" t="s">
        <v>157</v>
      </c>
      <c r="C51" s="324"/>
      <c r="D51" s="324"/>
      <c r="E51" s="324"/>
      <c r="F51" s="324"/>
      <c r="G51" s="324"/>
      <c r="H51" s="324"/>
      <c r="I51" s="324"/>
      <c r="J51" s="324"/>
      <c r="K51" s="324"/>
      <c r="L51" s="324"/>
      <c r="M51" s="324"/>
      <c r="N51" s="324"/>
      <c r="O51" s="324"/>
      <c r="P51" s="324"/>
      <c r="Q51" s="324"/>
      <c r="R51" s="324"/>
      <c r="S51" s="324"/>
      <c r="T51" s="324"/>
      <c r="U51" s="324"/>
      <c r="V51" s="324"/>
      <c r="W51" s="324"/>
      <c r="X51" s="324"/>
      <c r="Y51" s="324"/>
      <c r="Z51" s="324"/>
      <c r="AA51" s="324"/>
      <c r="AB51" s="324"/>
      <c r="AC51" s="324"/>
      <c r="AD51" s="324"/>
      <c r="AE51" s="324"/>
      <c r="AF51" s="324"/>
      <c r="AG51" s="323" t="s">
        <v>151</v>
      </c>
      <c r="AH51" s="324"/>
      <c r="AI51" s="324"/>
      <c r="AJ51" s="324"/>
      <c r="AK51" s="325"/>
      <c r="AL51" s="285"/>
    </row>
    <row r="52" spans="1:38" s="316" customFormat="1" ht="10.5" customHeight="1">
      <c r="A52" s="311"/>
      <c r="B52" s="876">
        <f>AA_059_DATOS_FIADORES_NOMBRE_DEL_FIADOR_SOLIDARIO_TRES</f>
        <v>0</v>
      </c>
      <c r="C52" s="723"/>
      <c r="D52" s="723"/>
      <c r="E52" s="723"/>
      <c r="F52" s="723"/>
      <c r="G52" s="723"/>
      <c r="H52" s="723"/>
      <c r="I52" s="723"/>
      <c r="J52" s="723"/>
      <c r="K52" s="723"/>
      <c r="L52" s="723"/>
      <c r="M52" s="723"/>
      <c r="N52" s="723"/>
      <c r="O52" s="723"/>
      <c r="P52" s="723"/>
      <c r="Q52" s="723"/>
      <c r="R52" s="723"/>
      <c r="S52" s="723"/>
      <c r="T52" s="723"/>
      <c r="U52" s="723"/>
      <c r="V52" s="723"/>
      <c r="W52" s="723"/>
      <c r="X52" s="723"/>
      <c r="Y52" s="723"/>
      <c r="Z52" s="723"/>
      <c r="AA52" s="723"/>
      <c r="AB52" s="723"/>
      <c r="AC52" s="723"/>
      <c r="AD52" s="723"/>
      <c r="AE52" s="723"/>
      <c r="AF52" s="724"/>
      <c r="AG52" s="876">
        <f>AA_060_DATOS_FIADORES_RFC</f>
        <v>0</v>
      </c>
      <c r="AH52" s="723"/>
      <c r="AI52" s="723"/>
      <c r="AJ52" s="723"/>
      <c r="AK52" s="724"/>
      <c r="AL52" s="285"/>
    </row>
    <row r="53" spans="1:38" s="316" customFormat="1" ht="10.5" customHeight="1">
      <c r="A53" s="311"/>
      <c r="B53" s="323" t="s">
        <v>143</v>
      </c>
      <c r="C53" s="324"/>
      <c r="D53" s="324"/>
      <c r="E53" s="324" t="s">
        <v>144</v>
      </c>
      <c r="F53" s="324"/>
      <c r="G53" s="324"/>
      <c r="H53" s="324"/>
      <c r="I53" s="324"/>
      <c r="J53" s="324"/>
      <c r="K53" s="324"/>
      <c r="L53" s="324"/>
      <c r="M53" s="324"/>
      <c r="N53" s="324"/>
      <c r="O53" s="324"/>
      <c r="P53" s="324"/>
      <c r="Q53" s="324"/>
      <c r="R53" s="324"/>
      <c r="S53" s="324"/>
      <c r="T53" s="325"/>
      <c r="U53" s="323" t="s">
        <v>145</v>
      </c>
      <c r="V53" s="324"/>
      <c r="W53" s="324"/>
      <c r="X53" s="324"/>
      <c r="Y53" s="324"/>
      <c r="Z53" s="324"/>
      <c r="AA53" s="324"/>
      <c r="AB53" s="324"/>
      <c r="AC53" s="324"/>
      <c r="AD53" s="324"/>
      <c r="AE53" s="324"/>
      <c r="AF53" s="324"/>
      <c r="AG53" s="324"/>
      <c r="AH53" s="324"/>
      <c r="AI53" s="324"/>
      <c r="AJ53" s="324"/>
      <c r="AK53" s="325"/>
      <c r="AL53" s="285"/>
    </row>
    <row r="54" spans="1:38" s="316" customFormat="1" ht="10.5" customHeight="1">
      <c r="A54" s="311"/>
      <c r="B54" s="876">
        <f>AA_061_DATOS_FIADORES_DOMICILIO_CALLE_NÚMERO</f>
        <v>0</v>
      </c>
      <c r="C54" s="723"/>
      <c r="D54" s="723"/>
      <c r="E54" s="723"/>
      <c r="F54" s="723"/>
      <c r="G54" s="723"/>
      <c r="H54" s="723"/>
      <c r="I54" s="723"/>
      <c r="J54" s="723"/>
      <c r="K54" s="723"/>
      <c r="L54" s="723"/>
      <c r="M54" s="723"/>
      <c r="N54" s="723"/>
      <c r="O54" s="723"/>
      <c r="P54" s="723"/>
      <c r="Q54" s="723"/>
      <c r="R54" s="723"/>
      <c r="S54" s="723"/>
      <c r="T54" s="724"/>
      <c r="U54" s="876">
        <f>AA_062_DATOS_FIADORES_COLONIA</f>
        <v>0</v>
      </c>
      <c r="V54" s="723"/>
      <c r="W54" s="723"/>
      <c r="X54" s="723"/>
      <c r="Y54" s="723"/>
      <c r="Z54" s="723"/>
      <c r="AA54" s="723"/>
      <c r="AB54" s="723"/>
      <c r="AC54" s="723"/>
      <c r="AD54" s="723"/>
      <c r="AE54" s="723"/>
      <c r="AF54" s="723"/>
      <c r="AG54" s="723"/>
      <c r="AH54" s="723"/>
      <c r="AI54" s="723"/>
      <c r="AJ54" s="723"/>
      <c r="AK54" s="724"/>
      <c r="AL54" s="285"/>
    </row>
    <row r="55" spans="1:38" s="316" customFormat="1" ht="10.5" customHeight="1">
      <c r="A55" s="311"/>
      <c r="B55" s="323" t="s">
        <v>146</v>
      </c>
      <c r="C55" s="324"/>
      <c r="D55" s="324"/>
      <c r="E55" s="324"/>
      <c r="F55" s="324"/>
      <c r="G55" s="324"/>
      <c r="H55" s="324"/>
      <c r="I55" s="318"/>
      <c r="J55" s="323" t="s">
        <v>147</v>
      </c>
      <c r="K55" s="318"/>
      <c r="L55" s="318"/>
      <c r="M55" s="285"/>
      <c r="N55" s="285"/>
      <c r="O55" s="285"/>
      <c r="P55" s="318"/>
      <c r="Q55" s="317" t="s">
        <v>152</v>
      </c>
      <c r="R55" s="285"/>
      <c r="S55" s="318"/>
      <c r="T55" s="318"/>
      <c r="U55" s="285"/>
      <c r="V55" s="323" t="s">
        <v>153</v>
      </c>
      <c r="W55" s="324"/>
      <c r="X55" s="324"/>
      <c r="Y55" s="324"/>
      <c r="Z55" s="285"/>
      <c r="AA55" s="323" t="s">
        <v>154</v>
      </c>
      <c r="AB55" s="324"/>
      <c r="AC55" s="325"/>
      <c r="AD55" s="317" t="s">
        <v>155</v>
      </c>
      <c r="AE55" s="318"/>
      <c r="AF55" s="318"/>
      <c r="AG55" s="325"/>
      <c r="AH55" s="324" t="s">
        <v>156</v>
      </c>
      <c r="AI55" s="324"/>
      <c r="AJ55" s="324"/>
      <c r="AK55" s="325"/>
      <c r="AL55" s="285"/>
    </row>
    <row r="56" spans="1:38" s="316" customFormat="1" ht="10.5" customHeight="1">
      <c r="A56" s="311"/>
      <c r="B56" s="876">
        <f>AA_063_DATOS_FIADORES_POBLACIÓN</f>
        <v>0</v>
      </c>
      <c r="C56" s="723"/>
      <c r="D56" s="723"/>
      <c r="E56" s="723"/>
      <c r="F56" s="723"/>
      <c r="G56" s="723"/>
      <c r="H56" s="723"/>
      <c r="I56" s="724"/>
      <c r="J56" s="876">
        <f>AA_064_DATOS_FIADORES_ESTADO</f>
        <v>0</v>
      </c>
      <c r="K56" s="723"/>
      <c r="L56" s="723"/>
      <c r="M56" s="723"/>
      <c r="N56" s="723"/>
      <c r="O56" s="723"/>
      <c r="P56" s="724"/>
      <c r="Q56" s="876">
        <f>AA_065_DATOS_FIADORES_NACIONALIDAD</f>
        <v>0</v>
      </c>
      <c r="R56" s="723"/>
      <c r="S56" s="723"/>
      <c r="T56" s="723"/>
      <c r="U56" s="724"/>
      <c r="V56" s="876">
        <f>AA_066_DATOS_FIADORES_ORIGINARIO</f>
        <v>0</v>
      </c>
      <c r="W56" s="723"/>
      <c r="X56" s="723"/>
      <c r="Y56" s="723"/>
      <c r="Z56" s="724"/>
      <c r="AA56" s="877">
        <f>AA_067_DATOS_FIADORES_EDAD</f>
        <v>0</v>
      </c>
      <c r="AB56" s="945"/>
      <c r="AC56" s="946"/>
      <c r="AD56" s="876">
        <f>AA_068_DATOS_FIADORES_ESTADO_CIVIL</f>
        <v>0</v>
      </c>
      <c r="AE56" s="723"/>
      <c r="AF56" s="723"/>
      <c r="AG56" s="724"/>
      <c r="AH56" s="876">
        <f>AA_069_DATOS_FIADORES_TELEFONO</f>
        <v>0</v>
      </c>
      <c r="AI56" s="878"/>
      <c r="AJ56" s="878"/>
      <c r="AK56" s="879"/>
      <c r="AL56" s="285"/>
    </row>
    <row r="57" spans="1:38" s="321" customFormat="1" ht="2.25" customHeight="1">
      <c r="A57" s="285"/>
      <c r="B57" s="318"/>
      <c r="C57" s="318"/>
      <c r="D57" s="318"/>
      <c r="E57" s="318"/>
      <c r="F57" s="318"/>
      <c r="G57" s="318"/>
      <c r="H57" s="318"/>
      <c r="I57" s="318"/>
      <c r="J57" s="318"/>
      <c r="K57" s="318"/>
      <c r="L57" s="318"/>
      <c r="M57" s="318"/>
      <c r="N57" s="318"/>
      <c r="O57" s="318"/>
      <c r="P57" s="318"/>
      <c r="Q57" s="318"/>
      <c r="R57" s="318"/>
      <c r="S57" s="318"/>
      <c r="T57" s="318"/>
      <c r="U57" s="318"/>
      <c r="V57" s="318"/>
      <c r="W57" s="318"/>
      <c r="X57" s="318"/>
      <c r="Y57" s="318"/>
      <c r="Z57" s="318"/>
      <c r="AA57" s="318"/>
      <c r="AB57" s="318"/>
      <c r="AC57" s="318"/>
      <c r="AD57" s="318"/>
      <c r="AE57" s="318"/>
      <c r="AF57" s="318"/>
      <c r="AG57" s="318"/>
      <c r="AH57" s="318"/>
      <c r="AI57" s="318"/>
      <c r="AJ57" s="318"/>
      <c r="AK57" s="318"/>
      <c r="AL57" s="285"/>
    </row>
    <row r="58" spans="1:38" s="321" customFormat="1" ht="10.199999999999999">
      <c r="A58" s="285"/>
      <c r="B58" s="322" t="s">
        <v>161</v>
      </c>
      <c r="C58" s="318"/>
      <c r="D58" s="318"/>
      <c r="E58" s="318"/>
      <c r="F58" s="318"/>
      <c r="G58" s="318"/>
      <c r="H58" s="318"/>
      <c r="I58" s="318"/>
      <c r="J58" s="318"/>
      <c r="K58" s="318"/>
      <c r="L58" s="318"/>
      <c r="M58" s="318"/>
      <c r="N58" s="318"/>
      <c r="O58" s="318"/>
      <c r="P58" s="318"/>
      <c r="Q58" s="318"/>
      <c r="R58" s="318"/>
      <c r="S58" s="318"/>
      <c r="T58" s="318"/>
      <c r="U58" s="318"/>
      <c r="V58" s="318"/>
      <c r="W58" s="318"/>
      <c r="X58" s="318"/>
      <c r="Y58" s="318"/>
      <c r="Z58" s="318"/>
      <c r="AA58" s="318"/>
      <c r="AB58" s="318"/>
      <c r="AC58" s="318"/>
      <c r="AD58" s="318"/>
      <c r="AE58" s="318"/>
      <c r="AF58" s="318"/>
      <c r="AG58" s="318"/>
      <c r="AH58" s="318"/>
      <c r="AI58" s="318"/>
      <c r="AJ58" s="318"/>
      <c r="AK58" s="318"/>
      <c r="AL58" s="285"/>
    </row>
    <row r="59" spans="1:38" s="316" customFormat="1" ht="10.5" customHeight="1">
      <c r="A59" s="311"/>
      <c r="B59" s="323" t="str">
        <f>B31</f>
        <v>NOMBRE  (Nombre(s) Apellidos Paterno y Materno)</v>
      </c>
      <c r="C59" s="324"/>
      <c r="D59" s="324"/>
      <c r="E59" s="324"/>
      <c r="F59" s="324"/>
      <c r="G59" s="324"/>
      <c r="H59" s="324"/>
      <c r="I59" s="324"/>
      <c r="J59" s="324"/>
      <c r="K59" s="324"/>
      <c r="L59" s="324"/>
      <c r="M59" s="324"/>
      <c r="N59" s="324"/>
      <c r="O59" s="324"/>
      <c r="P59" s="324"/>
      <c r="Q59" s="324"/>
      <c r="R59" s="324"/>
      <c r="S59" s="324"/>
      <c r="T59" s="324"/>
      <c r="U59" s="324"/>
      <c r="V59" s="324"/>
      <c r="W59" s="324"/>
      <c r="X59" s="324"/>
      <c r="Y59" s="324"/>
      <c r="Z59" s="324"/>
      <c r="AA59" s="324"/>
      <c r="AB59" s="324"/>
      <c r="AC59" s="324"/>
      <c r="AD59" s="324"/>
      <c r="AE59" s="324"/>
      <c r="AF59" s="324"/>
      <c r="AG59" s="324"/>
      <c r="AH59" s="324"/>
      <c r="AI59" s="324"/>
      <c r="AJ59" s="324"/>
      <c r="AK59" s="325"/>
      <c r="AL59" s="285"/>
    </row>
    <row r="60" spans="1:38" s="316" customFormat="1" ht="10.5" customHeight="1">
      <c r="A60" s="311"/>
      <c r="B60" s="876">
        <f>AA_070_DATOS_APODERADOS_FIADOR_NOMBRE_APODERADO_DEL_FIADOR_SOLIDARIO_UNO</f>
        <v>0</v>
      </c>
      <c r="C60" s="878"/>
      <c r="D60" s="878"/>
      <c r="E60" s="878"/>
      <c r="F60" s="878"/>
      <c r="G60" s="878"/>
      <c r="H60" s="878"/>
      <c r="I60" s="878"/>
      <c r="J60" s="878"/>
      <c r="K60" s="878"/>
      <c r="L60" s="878"/>
      <c r="M60" s="878"/>
      <c r="N60" s="878"/>
      <c r="O60" s="878"/>
      <c r="P60" s="878"/>
      <c r="Q60" s="878"/>
      <c r="R60" s="878"/>
      <c r="S60" s="878"/>
      <c r="T60" s="878"/>
      <c r="U60" s="878"/>
      <c r="V60" s="878"/>
      <c r="W60" s="878"/>
      <c r="X60" s="878"/>
      <c r="Y60" s="878"/>
      <c r="Z60" s="878"/>
      <c r="AA60" s="878"/>
      <c r="AB60" s="878"/>
      <c r="AC60" s="878"/>
      <c r="AD60" s="878"/>
      <c r="AE60" s="878"/>
      <c r="AF60" s="878"/>
      <c r="AG60" s="878"/>
      <c r="AH60" s="878"/>
      <c r="AI60" s="878"/>
      <c r="AJ60" s="878"/>
      <c r="AK60" s="879"/>
      <c r="AL60" s="285"/>
    </row>
    <row r="61" spans="1:38" s="316" customFormat="1" ht="10.5" customHeight="1">
      <c r="A61" s="311"/>
      <c r="B61" s="323" t="str">
        <f>B59</f>
        <v>NOMBRE  (Nombre(s) Apellidos Paterno y Materno)</v>
      </c>
      <c r="C61" s="324"/>
      <c r="D61" s="324"/>
      <c r="E61" s="324"/>
      <c r="F61" s="324"/>
      <c r="G61" s="324"/>
      <c r="H61" s="324"/>
      <c r="I61" s="324"/>
      <c r="J61" s="324"/>
      <c r="K61" s="324"/>
      <c r="L61" s="324"/>
      <c r="M61" s="324"/>
      <c r="N61" s="324"/>
      <c r="O61" s="324"/>
      <c r="P61" s="324"/>
      <c r="Q61" s="324"/>
      <c r="R61" s="324"/>
      <c r="S61" s="324"/>
      <c r="T61" s="324"/>
      <c r="U61" s="324"/>
      <c r="V61" s="324"/>
      <c r="W61" s="324"/>
      <c r="X61" s="324"/>
      <c r="Y61" s="324"/>
      <c r="Z61" s="324"/>
      <c r="AA61" s="324"/>
      <c r="AB61" s="324"/>
      <c r="AC61" s="324"/>
      <c r="AD61" s="324"/>
      <c r="AE61" s="324"/>
      <c r="AF61" s="324"/>
      <c r="AG61" s="324"/>
      <c r="AH61" s="324"/>
      <c r="AI61" s="324"/>
      <c r="AJ61" s="324"/>
      <c r="AK61" s="325"/>
      <c r="AL61" s="285"/>
    </row>
    <row r="62" spans="1:38" s="316" customFormat="1" ht="10.5" customHeight="1">
      <c r="A62" s="311"/>
      <c r="B62" s="876">
        <f>AA_071_DATOS_APODERADOS_FIADOR_NOMBRE_APODERADO_DEL_FIADOR_SOLIDARIO_DOS</f>
        <v>0</v>
      </c>
      <c r="C62" s="723"/>
      <c r="D62" s="723"/>
      <c r="E62" s="723"/>
      <c r="F62" s="723"/>
      <c r="G62" s="723"/>
      <c r="H62" s="723"/>
      <c r="I62" s="723"/>
      <c r="J62" s="723"/>
      <c r="K62" s="723"/>
      <c r="L62" s="723"/>
      <c r="M62" s="723"/>
      <c r="N62" s="723"/>
      <c r="O62" s="723"/>
      <c r="P62" s="723"/>
      <c r="Q62" s="723"/>
      <c r="R62" s="723"/>
      <c r="S62" s="723"/>
      <c r="T62" s="723"/>
      <c r="U62" s="723"/>
      <c r="V62" s="723"/>
      <c r="W62" s="723"/>
      <c r="X62" s="723"/>
      <c r="Y62" s="723"/>
      <c r="Z62" s="723"/>
      <c r="AA62" s="723"/>
      <c r="AB62" s="723"/>
      <c r="AC62" s="723"/>
      <c r="AD62" s="723"/>
      <c r="AE62" s="723"/>
      <c r="AF62" s="723"/>
      <c r="AG62" s="723"/>
      <c r="AH62" s="723"/>
      <c r="AI62" s="723"/>
      <c r="AJ62" s="723"/>
      <c r="AK62" s="724"/>
      <c r="AL62" s="285"/>
    </row>
    <row r="63" spans="1:38" s="316" customFormat="1" ht="10.5" customHeight="1">
      <c r="A63" s="311"/>
      <c r="B63" s="323" t="str">
        <f>B61</f>
        <v>NOMBRE  (Nombre(s) Apellidos Paterno y Materno)</v>
      </c>
      <c r="C63" s="324"/>
      <c r="D63" s="324"/>
      <c r="E63" s="324"/>
      <c r="F63" s="324"/>
      <c r="G63" s="324"/>
      <c r="H63" s="324"/>
      <c r="I63" s="324"/>
      <c r="J63" s="324"/>
      <c r="K63" s="324"/>
      <c r="L63" s="324"/>
      <c r="M63" s="324"/>
      <c r="N63" s="324"/>
      <c r="O63" s="324"/>
      <c r="P63" s="324"/>
      <c r="Q63" s="324"/>
      <c r="R63" s="324"/>
      <c r="S63" s="324"/>
      <c r="T63" s="324"/>
      <c r="U63" s="324"/>
      <c r="V63" s="324"/>
      <c r="W63" s="324"/>
      <c r="X63" s="324"/>
      <c r="Y63" s="324"/>
      <c r="Z63" s="324"/>
      <c r="AA63" s="324"/>
      <c r="AB63" s="324"/>
      <c r="AC63" s="324"/>
      <c r="AD63" s="324"/>
      <c r="AE63" s="324"/>
      <c r="AF63" s="324"/>
      <c r="AG63" s="324"/>
      <c r="AH63" s="324"/>
      <c r="AI63" s="324"/>
      <c r="AJ63" s="324"/>
      <c r="AK63" s="325"/>
      <c r="AL63" s="285"/>
    </row>
    <row r="64" spans="1:38" s="316" customFormat="1" ht="10.5" customHeight="1">
      <c r="A64" s="311"/>
      <c r="B64" s="876">
        <f>AA_072_DATOS_APODERADOS_FIADOR_NOMBRE_APODERADO_DEL_FIADOR_SOLIDARIO_TRES</f>
        <v>0</v>
      </c>
      <c r="C64" s="723"/>
      <c r="D64" s="723"/>
      <c r="E64" s="723"/>
      <c r="F64" s="723"/>
      <c r="G64" s="723"/>
      <c r="H64" s="723"/>
      <c r="I64" s="723"/>
      <c r="J64" s="723"/>
      <c r="K64" s="723"/>
      <c r="L64" s="723"/>
      <c r="M64" s="723"/>
      <c r="N64" s="723"/>
      <c r="O64" s="723"/>
      <c r="P64" s="723"/>
      <c r="Q64" s="723"/>
      <c r="R64" s="723"/>
      <c r="S64" s="723"/>
      <c r="T64" s="723"/>
      <c r="U64" s="723"/>
      <c r="V64" s="723"/>
      <c r="W64" s="723"/>
      <c r="X64" s="723"/>
      <c r="Y64" s="723"/>
      <c r="Z64" s="723"/>
      <c r="AA64" s="723"/>
      <c r="AB64" s="723"/>
      <c r="AC64" s="723"/>
      <c r="AD64" s="723"/>
      <c r="AE64" s="723"/>
      <c r="AF64" s="723"/>
      <c r="AG64" s="723"/>
      <c r="AH64" s="723"/>
      <c r="AI64" s="723"/>
      <c r="AJ64" s="723"/>
      <c r="AK64" s="724"/>
      <c r="AL64" s="285"/>
    </row>
    <row r="65" spans="1:39" s="321" customFormat="1" ht="2.25" customHeight="1">
      <c r="A65" s="285"/>
      <c r="B65" s="318"/>
      <c r="C65" s="318"/>
      <c r="D65" s="318"/>
      <c r="E65" s="318"/>
      <c r="F65" s="318"/>
      <c r="G65" s="318"/>
      <c r="H65" s="318"/>
      <c r="I65" s="318"/>
      <c r="J65" s="318"/>
      <c r="K65" s="318"/>
      <c r="L65" s="318"/>
      <c r="M65" s="318"/>
      <c r="N65" s="318"/>
      <c r="O65" s="318"/>
      <c r="P65" s="318"/>
      <c r="Q65" s="318"/>
      <c r="R65" s="318"/>
      <c r="S65" s="318"/>
      <c r="T65" s="318"/>
      <c r="U65" s="318"/>
      <c r="V65" s="318"/>
      <c r="W65" s="318"/>
      <c r="X65" s="318"/>
      <c r="Y65" s="318"/>
      <c r="Z65" s="318"/>
      <c r="AA65" s="318"/>
      <c r="AB65" s="318"/>
      <c r="AC65" s="318"/>
      <c r="AD65" s="318"/>
      <c r="AE65" s="318"/>
      <c r="AF65" s="318"/>
      <c r="AG65" s="318"/>
      <c r="AH65" s="318"/>
      <c r="AI65" s="318"/>
      <c r="AJ65" s="318"/>
      <c r="AK65" s="318"/>
      <c r="AL65" s="285"/>
    </row>
    <row r="66" spans="1:39" s="321" customFormat="1" ht="10.199999999999999">
      <c r="A66" s="285"/>
      <c r="B66" s="322" t="s">
        <v>162</v>
      </c>
      <c r="C66" s="318"/>
      <c r="D66" s="318"/>
      <c r="E66" s="318"/>
      <c r="F66" s="318"/>
      <c r="G66" s="318"/>
      <c r="H66" s="318"/>
      <c r="I66" s="318"/>
      <c r="J66" s="318"/>
      <c r="K66" s="318"/>
      <c r="L66" s="318"/>
      <c r="M66" s="318"/>
      <c r="N66" s="318"/>
      <c r="O66" s="318"/>
      <c r="P66" s="318"/>
      <c r="Q66" s="318"/>
      <c r="R66" s="318"/>
      <c r="S66" s="318"/>
      <c r="T66" s="318"/>
      <c r="U66" s="318"/>
      <c r="V66" s="318"/>
      <c r="W66" s="318"/>
      <c r="X66" s="318"/>
      <c r="Y66" s="318"/>
      <c r="Z66" s="318"/>
      <c r="AA66" s="318"/>
      <c r="AB66" s="318"/>
      <c r="AC66" s="318"/>
      <c r="AD66" s="318"/>
      <c r="AE66" s="318"/>
      <c r="AF66" s="318"/>
      <c r="AG66" s="318"/>
      <c r="AH66" s="318"/>
      <c r="AI66" s="318"/>
      <c r="AJ66" s="318"/>
      <c r="AK66" s="318"/>
      <c r="AL66" s="285"/>
    </row>
    <row r="67" spans="1:39" s="316" customFormat="1" ht="10.5" customHeight="1">
      <c r="A67" s="285"/>
      <c r="B67" s="323" t="s">
        <v>163</v>
      </c>
      <c r="C67" s="324"/>
      <c r="D67" s="324"/>
      <c r="E67" s="324"/>
      <c r="F67" s="324"/>
      <c r="G67" s="324"/>
      <c r="H67" s="324"/>
      <c r="I67" s="324"/>
      <c r="J67" s="324"/>
      <c r="K67" s="324"/>
      <c r="L67" s="324"/>
      <c r="M67" s="324"/>
      <c r="N67" s="324"/>
      <c r="O67" s="324"/>
      <c r="P67" s="324"/>
      <c r="Q67" s="324"/>
      <c r="R67" s="324"/>
      <c r="S67" s="324"/>
      <c r="T67" s="324"/>
      <c r="U67" s="324"/>
      <c r="V67" s="324"/>
      <c r="W67" s="324"/>
      <c r="X67" s="324"/>
      <c r="Y67" s="324"/>
      <c r="Z67" s="324"/>
      <c r="AA67" s="324"/>
      <c r="AB67" s="324"/>
      <c r="AC67" s="324"/>
      <c r="AD67" s="324"/>
      <c r="AE67" s="324"/>
      <c r="AF67" s="324"/>
      <c r="AG67" s="324"/>
      <c r="AH67" s="324"/>
      <c r="AI67" s="324"/>
      <c r="AJ67" s="324"/>
      <c r="AK67" s="331"/>
      <c r="AL67" s="285"/>
    </row>
    <row r="68" spans="1:39" s="334" customFormat="1" ht="10.5" customHeight="1">
      <c r="A68" s="332"/>
      <c r="B68" s="679">
        <f>AA_073_CARACTERISTICAS_CREDITO_IMPORTE_NÚMERO_LETRA</f>
        <v>1000000</v>
      </c>
      <c r="C68" s="680"/>
      <c r="D68" s="680"/>
      <c r="E68" s="680"/>
      <c r="F68" s="680"/>
      <c r="G68" s="680"/>
      <c r="H68" s="680"/>
      <c r="I68" s="680"/>
      <c r="J68" s="680"/>
      <c r="K68" s="680"/>
      <c r="L68" s="680"/>
      <c r="M68" s="681" t="str">
        <f>AA_106_CARACTERISTICAS_CREDITO_IMPORTE_NÚMERO_LETRA</f>
        <v>(UN MILLON DE PESOS 00/100 M.N.)</v>
      </c>
      <c r="N68" s="681"/>
      <c r="O68" s="681"/>
      <c r="P68" s="681"/>
      <c r="Q68" s="681"/>
      <c r="R68" s="681"/>
      <c r="S68" s="681"/>
      <c r="T68" s="681"/>
      <c r="U68" s="681"/>
      <c r="V68" s="681"/>
      <c r="W68" s="681"/>
      <c r="X68" s="681"/>
      <c r="Y68" s="681"/>
      <c r="Z68" s="681"/>
      <c r="AA68" s="681"/>
      <c r="AB68" s="681"/>
      <c r="AC68" s="681"/>
      <c r="AD68" s="681"/>
      <c r="AE68" s="681"/>
      <c r="AF68" s="681"/>
      <c r="AG68" s="681"/>
      <c r="AH68" s="681"/>
      <c r="AI68" s="681"/>
      <c r="AJ68" s="681"/>
      <c r="AK68" s="682"/>
      <c r="AL68" s="332"/>
    </row>
    <row r="69" spans="1:39" s="316" customFormat="1" ht="10.5" customHeight="1">
      <c r="A69" s="285"/>
      <c r="B69" s="927" t="s">
        <v>164</v>
      </c>
      <c r="C69" s="928"/>
      <c r="D69" s="928"/>
      <c r="E69" s="929"/>
      <c r="F69" s="933" t="s">
        <v>165</v>
      </c>
      <c r="G69" s="934"/>
      <c r="H69" s="934"/>
      <c r="I69" s="934"/>
      <c r="J69" s="934"/>
      <c r="K69" s="934"/>
      <c r="L69" s="935" t="s">
        <v>166</v>
      </c>
      <c r="M69" s="936"/>
      <c r="N69" s="936"/>
      <c r="O69" s="937"/>
      <c r="P69" s="933" t="s">
        <v>288</v>
      </c>
      <c r="Q69" s="934"/>
      <c r="R69" s="934"/>
      <c r="S69" s="941"/>
      <c r="T69" s="933" t="s">
        <v>289</v>
      </c>
      <c r="U69" s="934"/>
      <c r="V69" s="934"/>
      <c r="W69" s="941"/>
      <c r="X69" s="904" t="s">
        <v>661</v>
      </c>
      <c r="Y69" s="905"/>
      <c r="Z69" s="905"/>
      <c r="AA69" s="905"/>
      <c r="AB69" s="905"/>
      <c r="AC69" s="906"/>
      <c r="AD69" s="933" t="s">
        <v>291</v>
      </c>
      <c r="AE69" s="934"/>
      <c r="AF69" s="934"/>
      <c r="AG69" s="952"/>
      <c r="AH69" s="764" t="s">
        <v>168</v>
      </c>
      <c r="AI69" s="765"/>
      <c r="AJ69" s="765"/>
      <c r="AK69" s="766"/>
      <c r="AL69" s="333"/>
      <c r="AM69" s="338"/>
    </row>
    <row r="70" spans="1:39" s="316" customFormat="1" ht="10.5" customHeight="1">
      <c r="A70" s="285"/>
      <c r="B70" s="930"/>
      <c r="C70" s="931"/>
      <c r="D70" s="931"/>
      <c r="E70" s="932"/>
      <c r="F70" s="942" t="s">
        <v>169</v>
      </c>
      <c r="G70" s="920"/>
      <c r="H70" s="920"/>
      <c r="I70" s="920"/>
      <c r="J70" s="920"/>
      <c r="K70" s="943"/>
      <c r="L70" s="938"/>
      <c r="M70" s="939"/>
      <c r="N70" s="939"/>
      <c r="O70" s="940"/>
      <c r="P70" s="942" t="s">
        <v>292</v>
      </c>
      <c r="Q70" s="920"/>
      <c r="R70" s="920"/>
      <c r="S70" s="943"/>
      <c r="T70" s="942" t="s">
        <v>430</v>
      </c>
      <c r="U70" s="920"/>
      <c r="V70" s="920"/>
      <c r="W70" s="943"/>
      <c r="X70" s="907"/>
      <c r="Y70" s="908"/>
      <c r="Z70" s="908"/>
      <c r="AA70" s="908"/>
      <c r="AB70" s="908"/>
      <c r="AC70" s="909"/>
      <c r="AD70" s="942" t="s">
        <v>295</v>
      </c>
      <c r="AE70" s="920"/>
      <c r="AF70" s="920"/>
      <c r="AG70" s="953"/>
      <c r="AH70" s="783">
        <f>AA_078_CARACTERISTICAS_CREDITO_CAT_SIN_IVA</f>
        <v>0.17247098775006298</v>
      </c>
      <c r="AI70" s="644"/>
      <c r="AJ70" s="481"/>
      <c r="AK70" s="483"/>
      <c r="AL70" s="333"/>
      <c r="AM70" s="338"/>
    </row>
    <row r="71" spans="1:39" s="316" customFormat="1" ht="10.5" customHeight="1">
      <c r="A71" s="285"/>
      <c r="B71" s="954">
        <f>AA_074_CARACTERISTICAS_CREDITO_PLAZO_DEL_CRÉDITO_MESES</f>
        <v>60</v>
      </c>
      <c r="C71" s="955"/>
      <c r="D71" s="340" t="s">
        <v>170</v>
      </c>
      <c r="E71" s="341"/>
      <c r="F71" s="922">
        <f>AA_075_CARACTERISTICAS_CREDITO_FECHA_DE_VENCIMIENTO</f>
        <v>42614</v>
      </c>
      <c r="G71" s="923"/>
      <c r="H71" s="923"/>
      <c r="I71" s="923"/>
      <c r="J71" s="923"/>
      <c r="K71" s="924"/>
      <c r="L71" s="925" t="str">
        <f>AA_076_CARACTERISTICAS_CREDITO_CUENTA_DE_CHEQUES</f>
        <v>161-25351-5</v>
      </c>
      <c r="M71" s="923"/>
      <c r="N71" s="923"/>
      <c r="O71" s="924"/>
      <c r="P71" s="913">
        <f>IF(AA_077_CARACTERISTICAS_CREDITO_COMISIÓN_POR_APERTURA=0,"0",AA_077_CARACTERISTICAS_CREDITO_COMISIÓN_POR_APERTURA)</f>
        <v>0.02</v>
      </c>
      <c r="Q71" s="914"/>
      <c r="R71" s="914"/>
      <c r="S71" s="944"/>
      <c r="T71" s="926" t="str">
        <f>IF(Combos!$C$22=1,"",IF(AA_080_CARACTERISTICAS_CREDITO_DIFERENCIAL_TASA_VARIABLE_TIIE=0,"0",AA_080_CARACTERISTICAS_CREDITO_DIFERENCIAL_TASA_VARIABLE_TIIE))</f>
        <v/>
      </c>
      <c r="U71" s="923"/>
      <c r="V71" s="923"/>
      <c r="W71" s="924"/>
      <c r="X71" s="910"/>
      <c r="Y71" s="911"/>
      <c r="Z71" s="911"/>
      <c r="AA71" s="911"/>
      <c r="AB71" s="911"/>
      <c r="AC71" s="912"/>
      <c r="AD71" s="913">
        <f>IF(AA_084_CARACTERISTICAS_CREDITO_PORCENTAJE_DE_COMISIÓN_POR_PAGOS_ANTICIPADOS=0,"0.00%",AA_084_CARACTERISTICAS_CREDITO_PORCENTAJE_DE_COMISIÓN_POR_PAGOS_ANTICIPADOS)</f>
        <v>0.1</v>
      </c>
      <c r="AE71" s="914"/>
      <c r="AF71" s="914"/>
      <c r="AG71" s="915"/>
      <c r="AH71" s="784"/>
      <c r="AI71" s="646"/>
      <c r="AJ71" s="546" t="s">
        <v>96</v>
      </c>
      <c r="AK71" s="547"/>
      <c r="AL71" s="311"/>
      <c r="AM71" s="342"/>
    </row>
    <row r="72" spans="1:39" s="316" customFormat="1" ht="10.5" customHeight="1">
      <c r="A72" s="285"/>
      <c r="B72" s="919" t="s">
        <v>431</v>
      </c>
      <c r="C72" s="920"/>
      <c r="D72" s="920"/>
      <c r="E72" s="920"/>
      <c r="F72" s="920"/>
      <c r="G72" s="920"/>
      <c r="H72" s="920"/>
      <c r="I72" s="920"/>
      <c r="J72" s="920"/>
      <c r="K72" s="920"/>
      <c r="L72" s="920"/>
      <c r="M72" s="920"/>
      <c r="N72" s="920"/>
      <c r="O72" s="920"/>
      <c r="P72" s="920"/>
      <c r="Q72" s="920"/>
      <c r="R72" s="920"/>
      <c r="S72" s="920"/>
      <c r="T72" s="920"/>
      <c r="U72" s="920"/>
      <c r="V72" s="920"/>
      <c r="W72" s="920"/>
      <c r="X72" s="920"/>
      <c r="Y72" s="920"/>
      <c r="Z72" s="920"/>
      <c r="AA72" s="920"/>
      <c r="AB72" s="920"/>
      <c r="AC72" s="920"/>
      <c r="AD72" s="920"/>
      <c r="AE72" s="920"/>
      <c r="AF72" s="920"/>
      <c r="AG72" s="920"/>
      <c r="AH72" s="920"/>
      <c r="AI72" s="920"/>
      <c r="AJ72" s="920"/>
      <c r="AK72" s="921"/>
      <c r="AL72" s="285"/>
    </row>
    <row r="73" spans="1:39" s="316" customFormat="1" ht="10.5" customHeight="1">
      <c r="A73" s="285"/>
      <c r="B73" s="919" t="s">
        <v>432</v>
      </c>
      <c r="C73" s="920"/>
      <c r="D73" s="920"/>
      <c r="E73" s="920"/>
      <c r="F73" s="920"/>
      <c r="G73" s="902">
        <f>AA_086_CARACTERISTICAS_CREDITO_FECHA_DE_PRIMER_PAGO</f>
        <v>42278</v>
      </c>
      <c r="H73" s="903"/>
      <c r="I73" s="903"/>
      <c r="J73" s="903"/>
      <c r="K73" s="903"/>
      <c r="L73" s="903"/>
      <c r="M73" s="920" t="s">
        <v>433</v>
      </c>
      <c r="N73" s="920"/>
      <c r="O73" s="920"/>
      <c r="P73" s="920"/>
      <c r="Q73" s="920"/>
      <c r="R73" s="920"/>
      <c r="S73" s="949">
        <f>AA_087_CARACTERISTICAS_CREDITO_FECHA_DE_SEGUNDO_PAGO</f>
        <v>42309</v>
      </c>
      <c r="T73" s="950"/>
      <c r="U73" s="950"/>
      <c r="V73" s="950"/>
      <c r="W73" s="950"/>
      <c r="X73" s="950"/>
      <c r="Y73" s="951" t="s">
        <v>434</v>
      </c>
      <c r="Z73" s="951"/>
      <c r="AA73" s="951"/>
      <c r="AB73" s="951"/>
      <c r="AC73" s="951"/>
      <c r="AD73" s="951"/>
      <c r="AE73" s="902">
        <f>AA_088_CARACTERISTICAS_CREDITO_FECHA_DE_TERCER_PAGO</f>
        <v>42339</v>
      </c>
      <c r="AF73" s="903"/>
      <c r="AG73" s="903"/>
      <c r="AH73" s="903"/>
      <c r="AI73" s="903"/>
      <c r="AJ73" s="311"/>
      <c r="AK73" s="343"/>
      <c r="AL73" s="285"/>
    </row>
    <row r="74" spans="1:39" s="316" customFormat="1" ht="10.5" customHeight="1">
      <c r="A74" s="285"/>
      <c r="B74" s="344"/>
      <c r="C74" s="345"/>
      <c r="D74" s="345"/>
      <c r="E74" s="345"/>
      <c r="F74" s="345"/>
      <c r="G74" s="345"/>
      <c r="H74" s="345"/>
      <c r="I74" s="345"/>
      <c r="J74" s="345"/>
      <c r="K74" s="345"/>
      <c r="L74" s="345"/>
      <c r="M74" s="345"/>
      <c r="N74" s="346"/>
      <c r="O74" s="346"/>
      <c r="P74" s="346"/>
      <c r="Q74" s="346"/>
      <c r="R74" s="346"/>
      <c r="S74" s="346"/>
      <c r="T74" s="347"/>
      <c r="U74" s="347"/>
      <c r="V74" s="347"/>
      <c r="W74" s="347"/>
      <c r="X74" s="347"/>
      <c r="Y74" s="347"/>
      <c r="Z74" s="348"/>
      <c r="AA74" s="349"/>
      <c r="AB74" s="349"/>
      <c r="AC74" s="349"/>
      <c r="AD74" s="349"/>
      <c r="AE74" s="349"/>
      <c r="AF74" s="349"/>
      <c r="AG74" s="349"/>
      <c r="AH74" s="347"/>
      <c r="AI74" s="347"/>
      <c r="AJ74" s="346"/>
      <c r="AK74" s="350"/>
      <c r="AL74" s="285"/>
    </row>
    <row r="75" spans="1:39" s="321" customFormat="1" ht="2.25" customHeight="1">
      <c r="A75" s="285"/>
      <c r="B75" s="318"/>
      <c r="C75" s="318"/>
      <c r="D75" s="318"/>
      <c r="E75" s="318"/>
      <c r="F75" s="318"/>
      <c r="G75" s="318"/>
      <c r="H75" s="318"/>
      <c r="I75" s="318"/>
      <c r="J75" s="318"/>
      <c r="K75" s="318"/>
      <c r="L75" s="318"/>
      <c r="M75" s="318"/>
      <c r="N75" s="318"/>
      <c r="O75" s="318"/>
      <c r="P75" s="318"/>
      <c r="Q75" s="318"/>
      <c r="R75" s="318"/>
      <c r="S75" s="318"/>
      <c r="T75" s="318"/>
      <c r="U75" s="318"/>
      <c r="V75" s="318"/>
      <c r="W75" s="318"/>
      <c r="X75" s="318"/>
      <c r="Y75" s="318"/>
      <c r="Z75" s="318"/>
      <c r="AA75" s="318"/>
      <c r="AB75" s="318"/>
      <c r="AC75" s="285"/>
      <c r="AD75" s="285"/>
      <c r="AE75" s="285"/>
      <c r="AF75" s="285"/>
      <c r="AG75" s="285"/>
      <c r="AH75" s="285"/>
      <c r="AI75" s="318"/>
      <c r="AJ75" s="318"/>
      <c r="AK75" s="318"/>
      <c r="AL75" s="285"/>
    </row>
    <row r="76" spans="1:39" s="321" customFormat="1" ht="10.199999999999999">
      <c r="A76" s="285"/>
      <c r="B76" s="322" t="s">
        <v>177</v>
      </c>
      <c r="C76" s="318"/>
      <c r="D76" s="318"/>
      <c r="E76" s="318"/>
      <c r="F76" s="318"/>
      <c r="G76" s="318"/>
      <c r="H76" s="318"/>
      <c r="I76" s="318"/>
      <c r="J76" s="318"/>
      <c r="K76" s="318"/>
      <c r="L76" s="318"/>
      <c r="M76" s="318"/>
      <c r="N76" s="318"/>
      <c r="O76" s="318"/>
      <c r="P76" s="318"/>
      <c r="Q76" s="318"/>
      <c r="R76" s="318"/>
      <c r="S76" s="318"/>
      <c r="T76" s="318"/>
      <c r="U76" s="318"/>
      <c r="V76" s="318"/>
      <c r="W76" s="318"/>
      <c r="X76" s="318"/>
      <c r="Y76" s="318"/>
      <c r="Z76" s="318"/>
      <c r="AA76" s="318"/>
      <c r="AB76" s="318"/>
      <c r="AC76" s="318"/>
      <c r="AD76" s="318"/>
      <c r="AE76" s="318"/>
      <c r="AF76" s="318"/>
      <c r="AG76" s="318"/>
      <c r="AH76" s="318"/>
      <c r="AI76" s="318"/>
      <c r="AJ76" s="318"/>
      <c r="AK76" s="318"/>
      <c r="AL76" s="285"/>
    </row>
    <row r="77" spans="1:39" s="321" customFormat="1" ht="15.75" customHeight="1">
      <c r="A77" s="285"/>
      <c r="B77" s="885" t="s">
        <v>297</v>
      </c>
      <c r="C77" s="886"/>
      <c r="D77" s="886"/>
      <c r="E77" s="886"/>
      <c r="F77" s="886"/>
      <c r="G77" s="886"/>
      <c r="H77" s="886"/>
      <c r="I77" s="886"/>
      <c r="J77" s="886"/>
      <c r="K77" s="886"/>
      <c r="L77" s="886"/>
      <c r="M77" s="886"/>
      <c r="N77" s="886"/>
      <c r="O77" s="886"/>
      <c r="P77" s="886"/>
      <c r="Q77" s="886"/>
      <c r="R77" s="886"/>
      <c r="S77" s="886"/>
      <c r="T77" s="886"/>
      <c r="U77" s="886"/>
      <c r="V77" s="886"/>
      <c r="W77" s="886"/>
      <c r="X77" s="886"/>
      <c r="Y77" s="886"/>
      <c r="Z77" s="886"/>
      <c r="AA77" s="886"/>
      <c r="AB77" s="886"/>
      <c r="AC77" s="886"/>
      <c r="AD77" s="886"/>
      <c r="AE77" s="886"/>
      <c r="AF77" s="886"/>
      <c r="AG77" s="886"/>
      <c r="AH77" s="886"/>
      <c r="AI77" s="886"/>
      <c r="AJ77" s="886"/>
      <c r="AK77" s="886"/>
      <c r="AL77" s="285"/>
    </row>
    <row r="78" spans="1:39" s="321" customFormat="1" ht="10.199999999999999">
      <c r="A78" s="285"/>
      <c r="B78" s="886"/>
      <c r="C78" s="886"/>
      <c r="D78" s="886"/>
      <c r="E78" s="886"/>
      <c r="F78" s="886"/>
      <c r="G78" s="886"/>
      <c r="H78" s="886"/>
      <c r="I78" s="886"/>
      <c r="J78" s="886"/>
      <c r="K78" s="886"/>
      <c r="L78" s="886"/>
      <c r="M78" s="886"/>
      <c r="N78" s="886"/>
      <c r="O78" s="886"/>
      <c r="P78" s="886"/>
      <c r="Q78" s="886"/>
      <c r="R78" s="886"/>
      <c r="S78" s="886"/>
      <c r="T78" s="886"/>
      <c r="U78" s="886"/>
      <c r="V78" s="886"/>
      <c r="W78" s="886"/>
      <c r="X78" s="886"/>
      <c r="Y78" s="886"/>
      <c r="Z78" s="886"/>
      <c r="AA78" s="886"/>
      <c r="AB78" s="886"/>
      <c r="AC78" s="886"/>
      <c r="AD78" s="886"/>
      <c r="AE78" s="886"/>
      <c r="AF78" s="886"/>
      <c r="AG78" s="886"/>
      <c r="AH78" s="886"/>
      <c r="AI78" s="886"/>
      <c r="AJ78" s="886"/>
      <c r="AK78" s="886"/>
      <c r="AL78" s="285"/>
    </row>
    <row r="79" spans="1:39" s="316" customFormat="1" ht="10.5" customHeight="1">
      <c r="A79" s="285"/>
      <c r="B79" s="887" t="s">
        <v>179</v>
      </c>
      <c r="C79" s="888"/>
      <c r="D79" s="888"/>
      <c r="E79" s="888"/>
      <c r="F79" s="888"/>
      <c r="G79" s="888"/>
      <c r="H79" s="888"/>
      <c r="I79" s="888"/>
      <c r="J79" s="888"/>
      <c r="K79" s="888"/>
      <c r="L79" s="888"/>
      <c r="M79" s="888"/>
      <c r="N79" s="889"/>
      <c r="O79" s="890" t="s">
        <v>180</v>
      </c>
      <c r="P79" s="891"/>
      <c r="Q79" s="891"/>
      <c r="R79" s="891"/>
      <c r="S79" s="892"/>
      <c r="T79" s="890" t="s">
        <v>180</v>
      </c>
      <c r="U79" s="891"/>
      <c r="V79" s="891"/>
      <c r="W79" s="891"/>
      <c r="X79" s="892"/>
      <c r="Y79" s="890" t="s">
        <v>181</v>
      </c>
      <c r="Z79" s="891"/>
      <c r="AA79" s="891"/>
      <c r="AB79" s="892"/>
      <c r="AC79" s="890" t="s">
        <v>181</v>
      </c>
      <c r="AD79" s="891"/>
      <c r="AE79" s="891"/>
      <c r="AF79" s="892"/>
      <c r="AG79" s="890" t="s">
        <v>181</v>
      </c>
      <c r="AH79" s="891"/>
      <c r="AI79" s="891"/>
      <c r="AJ79" s="892"/>
      <c r="AK79" s="318"/>
      <c r="AL79" s="285"/>
    </row>
    <row r="80" spans="1:39" s="316" customFormat="1" ht="12.75" customHeight="1">
      <c r="A80" s="285"/>
      <c r="B80" s="959">
        <f>AA_089_DATOS_APODERADOS_BANCO_NOMBRE_APODERADO_DEL_BANCO_UNO</f>
        <v>0</v>
      </c>
      <c r="C80" s="960"/>
      <c r="D80" s="960"/>
      <c r="E80" s="960"/>
      <c r="F80" s="960"/>
      <c r="G80" s="960"/>
      <c r="H80" s="960"/>
      <c r="I80" s="960"/>
      <c r="J80" s="960"/>
      <c r="K80" s="960"/>
      <c r="L80" s="960"/>
      <c r="M80" s="960"/>
      <c r="N80" s="961"/>
      <c r="O80" s="335"/>
      <c r="P80" s="336"/>
      <c r="Q80" s="336"/>
      <c r="R80" s="335"/>
      <c r="S80" s="337"/>
      <c r="T80" s="335"/>
      <c r="U80" s="328"/>
      <c r="V80" s="328"/>
      <c r="W80" s="328"/>
      <c r="X80" s="352"/>
      <c r="Y80" s="351"/>
      <c r="Z80" s="328"/>
      <c r="AA80" s="328"/>
      <c r="AB80" s="352"/>
      <c r="AC80" s="351"/>
      <c r="AD80" s="328"/>
      <c r="AE80" s="328"/>
      <c r="AF80" s="352"/>
      <c r="AG80" s="351"/>
      <c r="AH80" s="328"/>
      <c r="AI80" s="328"/>
      <c r="AJ80" s="352"/>
      <c r="AK80" s="318"/>
      <c r="AL80" s="285"/>
    </row>
    <row r="81" spans="1:38" s="316" customFormat="1" ht="12.75" customHeight="1">
      <c r="A81" s="285"/>
      <c r="B81" s="962"/>
      <c r="C81" s="923"/>
      <c r="D81" s="923"/>
      <c r="E81" s="923"/>
      <c r="F81" s="923"/>
      <c r="G81" s="923"/>
      <c r="H81" s="923"/>
      <c r="I81" s="923"/>
      <c r="J81" s="923"/>
      <c r="K81" s="923"/>
      <c r="L81" s="923"/>
      <c r="M81" s="923"/>
      <c r="N81" s="963"/>
      <c r="O81" s="333"/>
      <c r="P81" s="318"/>
      <c r="Q81" s="318"/>
      <c r="R81" s="333"/>
      <c r="S81" s="339"/>
      <c r="T81" s="333"/>
      <c r="U81" s="311"/>
      <c r="V81" s="311"/>
      <c r="W81" s="311"/>
      <c r="X81" s="354"/>
      <c r="Y81" s="353"/>
      <c r="Z81" s="311"/>
      <c r="AA81" s="311"/>
      <c r="AB81" s="354"/>
      <c r="AC81" s="353"/>
      <c r="AD81" s="311"/>
      <c r="AE81" s="311"/>
      <c r="AF81" s="354"/>
      <c r="AG81" s="353"/>
      <c r="AH81" s="311"/>
      <c r="AI81" s="311"/>
      <c r="AJ81" s="354"/>
      <c r="AK81" s="318"/>
      <c r="AL81" s="285"/>
    </row>
    <row r="82" spans="1:38" s="316" customFormat="1" ht="12.75" customHeight="1">
      <c r="A82" s="285"/>
      <c r="B82" s="964">
        <f>AA_090_DATOS_APODERADOS_BANCO_NOMBRE_APODERADO_DEL_BANCO_DOS</f>
        <v>0</v>
      </c>
      <c r="C82" s="920"/>
      <c r="D82" s="920"/>
      <c r="E82" s="920"/>
      <c r="F82" s="920"/>
      <c r="G82" s="920"/>
      <c r="H82" s="920"/>
      <c r="I82" s="920"/>
      <c r="J82" s="920"/>
      <c r="K82" s="920"/>
      <c r="L82" s="920"/>
      <c r="M82" s="920"/>
      <c r="N82" s="953"/>
      <c r="O82" s="445"/>
      <c r="P82" s="333"/>
      <c r="Q82" s="333"/>
      <c r="R82" s="333"/>
      <c r="S82" s="339"/>
      <c r="T82" s="333"/>
      <c r="U82" s="311"/>
      <c r="V82" s="311"/>
      <c r="W82" s="311"/>
      <c r="X82" s="354"/>
      <c r="Y82" s="353"/>
      <c r="Z82" s="311"/>
      <c r="AA82" s="311"/>
      <c r="AB82" s="354"/>
      <c r="AC82" s="353"/>
      <c r="AD82" s="311"/>
      <c r="AE82" s="311"/>
      <c r="AF82" s="354"/>
      <c r="AG82" s="353"/>
      <c r="AH82" s="311"/>
      <c r="AI82" s="311"/>
      <c r="AJ82" s="354"/>
      <c r="AK82" s="318"/>
      <c r="AL82" s="285"/>
    </row>
    <row r="83" spans="1:38" s="316" customFormat="1" ht="12.75" customHeight="1">
      <c r="A83" s="285"/>
      <c r="B83" s="962"/>
      <c r="C83" s="923"/>
      <c r="D83" s="923"/>
      <c r="E83" s="923"/>
      <c r="F83" s="923"/>
      <c r="G83" s="923"/>
      <c r="H83" s="923"/>
      <c r="I83" s="923"/>
      <c r="J83" s="923"/>
      <c r="K83" s="923"/>
      <c r="L83" s="923"/>
      <c r="M83" s="923"/>
      <c r="N83" s="963"/>
      <c r="O83" s="355"/>
      <c r="P83" s="330"/>
      <c r="Q83" s="330"/>
      <c r="R83" s="330"/>
      <c r="S83" s="356"/>
      <c r="T83" s="355"/>
      <c r="U83" s="330"/>
      <c r="V83" s="330"/>
      <c r="W83" s="330"/>
      <c r="X83" s="356"/>
      <c r="Y83" s="355"/>
      <c r="Z83" s="330"/>
      <c r="AA83" s="330"/>
      <c r="AB83" s="356"/>
      <c r="AC83" s="355"/>
      <c r="AD83" s="330"/>
      <c r="AE83" s="330"/>
      <c r="AF83" s="356"/>
      <c r="AG83" s="355"/>
      <c r="AH83" s="330"/>
      <c r="AI83" s="330"/>
      <c r="AJ83" s="356"/>
      <c r="AK83" s="318"/>
      <c r="AL83" s="285"/>
    </row>
    <row r="84" spans="1:38" s="316" customFormat="1" ht="12.75" customHeight="1">
      <c r="A84" s="285"/>
      <c r="B84" s="358" t="s">
        <v>435</v>
      </c>
      <c r="C84" s="357"/>
      <c r="D84" s="357"/>
      <c r="E84" s="357"/>
      <c r="F84" s="357"/>
      <c r="G84" s="357"/>
      <c r="H84" s="357"/>
      <c r="I84" s="357"/>
      <c r="J84" s="357"/>
      <c r="K84" s="357"/>
      <c r="L84" s="357"/>
      <c r="M84" s="357"/>
      <c r="N84" s="357"/>
      <c r="O84" s="357"/>
      <c r="P84" s="357"/>
      <c r="Q84" s="357"/>
      <c r="R84" s="357"/>
      <c r="S84" s="357"/>
      <c r="T84" s="357"/>
      <c r="U84" s="357"/>
      <c r="V84" s="357"/>
      <c r="W84" s="357"/>
      <c r="X84" s="357"/>
      <c r="Y84" s="357"/>
      <c r="Z84" s="357"/>
      <c r="AA84" s="357"/>
      <c r="AB84" s="357"/>
      <c r="AC84" s="357"/>
      <c r="AD84" s="357"/>
      <c r="AE84" s="357"/>
      <c r="AF84" s="357"/>
      <c r="AG84" s="357" t="s">
        <v>183</v>
      </c>
      <c r="AH84" s="285"/>
      <c r="AI84" s="357"/>
      <c r="AJ84" s="357"/>
      <c r="AK84" s="357"/>
      <c r="AL84" s="285"/>
    </row>
    <row r="85" spans="1:38" s="310" customFormat="1" ht="10.199999999999999">
      <c r="A85" s="285"/>
      <c r="B85" s="357"/>
      <c r="C85" s="357"/>
      <c r="D85" s="357"/>
      <c r="E85" s="357"/>
      <c r="F85" s="357"/>
      <c r="G85" s="357"/>
      <c r="H85" s="357"/>
      <c r="I85" s="357"/>
      <c r="J85" s="357"/>
      <c r="K85" s="357"/>
      <c r="L85" s="357"/>
      <c r="M85" s="357"/>
      <c r="N85" s="357"/>
      <c r="O85" s="357"/>
      <c r="P85" s="357"/>
      <c r="Q85" s="357"/>
      <c r="R85" s="357"/>
      <c r="S85" s="357"/>
      <c r="T85" s="357"/>
      <c r="U85" s="357"/>
      <c r="V85" s="357"/>
      <c r="W85" s="357"/>
      <c r="X85" s="357"/>
      <c r="Y85" s="357"/>
      <c r="Z85" s="357"/>
      <c r="AA85" s="357"/>
      <c r="AB85" s="357"/>
      <c r="AC85" s="357"/>
      <c r="AD85" s="357"/>
      <c r="AE85" s="357"/>
      <c r="AF85" s="357"/>
      <c r="AG85" s="357"/>
      <c r="AH85" s="357"/>
      <c r="AI85" s="357"/>
      <c r="AJ85" s="357"/>
      <c r="AK85" s="357"/>
      <c r="AL85" s="285"/>
    </row>
    <row r="86" spans="1:38" s="310" customFormat="1" ht="18" customHeight="1">
      <c r="A86" s="285"/>
      <c r="AL86" s="285"/>
    </row>
    <row r="87" spans="1:38" s="310" customFormat="1" ht="71.25" customHeight="1">
      <c r="B87" s="958" t="s">
        <v>698</v>
      </c>
      <c r="C87" s="958"/>
      <c r="D87" s="958"/>
      <c r="E87" s="958"/>
      <c r="F87" s="958"/>
      <c r="G87" s="958"/>
      <c r="H87" s="958"/>
      <c r="I87" s="958"/>
      <c r="J87" s="958"/>
      <c r="K87" s="958"/>
      <c r="L87" s="958"/>
      <c r="M87" s="958"/>
      <c r="N87" s="958"/>
      <c r="O87" s="958"/>
      <c r="P87" s="958"/>
      <c r="Q87" s="958"/>
      <c r="R87" s="958"/>
      <c r="S87" s="958"/>
      <c r="T87" s="958"/>
      <c r="U87" s="958"/>
      <c r="V87" s="958"/>
      <c r="W87" s="958"/>
      <c r="X87" s="958"/>
      <c r="Y87" s="958"/>
      <c r="Z87" s="958"/>
      <c r="AA87" s="958"/>
      <c r="AB87" s="958"/>
      <c r="AC87" s="958"/>
      <c r="AD87" s="958"/>
      <c r="AE87" s="958"/>
      <c r="AF87" s="958"/>
      <c r="AG87" s="958"/>
      <c r="AH87" s="958"/>
      <c r="AI87" s="958"/>
      <c r="AJ87" s="958"/>
      <c r="AK87" s="958"/>
    </row>
    <row r="88" spans="1:38" s="285" customFormat="1" ht="12.75" customHeight="1">
      <c r="A88" s="311"/>
      <c r="B88" s="311"/>
      <c r="C88" s="311"/>
      <c r="D88" s="311"/>
      <c r="E88" s="311"/>
      <c r="F88" s="311"/>
      <c r="G88" s="311"/>
      <c r="H88" s="311"/>
      <c r="I88" s="311"/>
      <c r="J88" s="311"/>
      <c r="K88" s="311"/>
      <c r="L88" s="311"/>
      <c r="M88" s="311"/>
      <c r="N88" s="311"/>
      <c r="O88" s="311"/>
      <c r="P88" s="311"/>
      <c r="Q88" s="311"/>
      <c r="R88" s="311"/>
      <c r="S88" s="311"/>
      <c r="T88" s="311"/>
      <c r="U88" s="311"/>
      <c r="V88" s="311"/>
      <c r="W88" s="311"/>
      <c r="X88" s="311"/>
      <c r="Y88" s="311"/>
      <c r="Z88" s="311"/>
      <c r="AA88" s="311"/>
      <c r="AB88" s="311"/>
      <c r="AC88" s="311"/>
      <c r="AD88" s="311"/>
      <c r="AE88" s="311"/>
      <c r="AF88" s="311"/>
      <c r="AG88" s="311"/>
      <c r="AH88" s="311"/>
      <c r="AI88" s="311"/>
    </row>
    <row r="89" spans="1:38" s="285" customFormat="1" ht="11.25" customHeight="1">
      <c r="B89" s="956" t="s">
        <v>185</v>
      </c>
      <c r="C89" s="956"/>
      <c r="D89" s="956"/>
      <c r="E89" s="956"/>
      <c r="F89" s="956"/>
      <c r="G89" s="956"/>
      <c r="H89" s="956"/>
      <c r="I89" s="956"/>
      <c r="J89" s="956"/>
      <c r="K89" s="956"/>
      <c r="L89" s="956"/>
      <c r="M89" s="956"/>
      <c r="N89" s="956"/>
      <c r="O89" s="956"/>
      <c r="P89" s="956"/>
      <c r="Q89" s="956"/>
      <c r="R89" s="956"/>
      <c r="S89" s="956"/>
      <c r="T89" s="956"/>
      <c r="U89" s="956"/>
      <c r="V89" s="956"/>
      <c r="W89" s="956"/>
      <c r="X89" s="956"/>
      <c r="Y89" s="956"/>
      <c r="Z89" s="956"/>
      <c r="AA89" s="956"/>
      <c r="AB89" s="956"/>
      <c r="AC89" s="956"/>
      <c r="AD89" s="956"/>
      <c r="AE89" s="956"/>
      <c r="AF89" s="956"/>
      <c r="AG89" s="956"/>
      <c r="AH89" s="956"/>
      <c r="AI89" s="956"/>
      <c r="AJ89" s="956"/>
      <c r="AK89" s="956"/>
      <c r="AL89" s="360"/>
    </row>
    <row r="90" spans="1:38" s="285" customFormat="1" ht="12.75" customHeight="1">
      <c r="A90" s="359"/>
      <c r="B90" s="494"/>
      <c r="C90" s="494"/>
      <c r="D90" s="494"/>
      <c r="E90" s="494"/>
      <c r="F90" s="494"/>
      <c r="G90" s="494"/>
      <c r="H90" s="494"/>
      <c r="I90" s="494"/>
      <c r="J90" s="494"/>
      <c r="K90" s="494"/>
      <c r="L90" s="494"/>
      <c r="M90" s="494"/>
      <c r="N90" s="494"/>
      <c r="O90" s="494"/>
      <c r="P90" s="494"/>
      <c r="Q90" s="494"/>
      <c r="R90" s="494"/>
      <c r="S90" s="494"/>
      <c r="T90" s="494"/>
      <c r="U90" s="494"/>
      <c r="V90" s="494"/>
      <c r="W90" s="494"/>
      <c r="X90" s="494"/>
      <c r="Y90" s="494"/>
      <c r="Z90" s="494"/>
      <c r="AA90" s="494"/>
      <c r="AB90" s="494"/>
      <c r="AC90" s="494"/>
      <c r="AD90" s="494"/>
      <c r="AE90" s="494"/>
      <c r="AF90" s="494"/>
      <c r="AG90" s="494"/>
      <c r="AH90" s="494"/>
      <c r="AI90" s="494"/>
      <c r="AJ90" s="494"/>
      <c r="AK90" s="359"/>
      <c r="AL90" s="360"/>
    </row>
    <row r="91" spans="1:38" s="285" customFormat="1" ht="12.75" customHeight="1">
      <c r="A91" s="359"/>
      <c r="B91" s="947" t="s">
        <v>709</v>
      </c>
      <c r="C91" s="947"/>
      <c r="D91" s="947"/>
      <c r="E91" s="947"/>
      <c r="F91" s="947"/>
      <c r="G91" s="947"/>
      <c r="H91" s="947"/>
      <c r="I91" s="947"/>
      <c r="J91" s="947"/>
      <c r="K91" s="947"/>
      <c r="L91" s="947"/>
      <c r="M91" s="947"/>
      <c r="N91" s="947"/>
      <c r="O91" s="947"/>
      <c r="P91" s="947"/>
      <c r="Q91" s="947"/>
      <c r="R91" s="947"/>
      <c r="S91" s="947"/>
      <c r="T91" s="947"/>
      <c r="U91" s="947"/>
      <c r="V91" s="947"/>
      <c r="W91" s="947"/>
      <c r="X91" s="947"/>
      <c r="Y91" s="947"/>
      <c r="Z91" s="947"/>
      <c r="AA91" s="947"/>
      <c r="AB91" s="947"/>
      <c r="AC91" s="947"/>
      <c r="AD91" s="947"/>
      <c r="AE91" s="947"/>
      <c r="AF91" s="947"/>
      <c r="AG91" s="947"/>
      <c r="AH91" s="947"/>
      <c r="AI91" s="947"/>
      <c r="AJ91" s="947"/>
      <c r="AK91" s="947"/>
      <c r="AL91" s="360"/>
    </row>
    <row r="92" spans="1:38" s="285" customFormat="1" ht="90" customHeight="1">
      <c r="A92" s="359"/>
      <c r="B92" s="948" t="s">
        <v>699</v>
      </c>
      <c r="C92" s="948"/>
      <c r="D92" s="948"/>
      <c r="E92" s="948"/>
      <c r="F92" s="948"/>
      <c r="G92" s="948"/>
      <c r="H92" s="948"/>
      <c r="I92" s="948"/>
      <c r="J92" s="948"/>
      <c r="K92" s="948"/>
      <c r="L92" s="948"/>
      <c r="M92" s="948"/>
      <c r="N92" s="948"/>
      <c r="O92" s="948"/>
      <c r="P92" s="948"/>
      <c r="Q92" s="948"/>
      <c r="R92" s="948"/>
      <c r="S92" s="948"/>
      <c r="T92" s="948"/>
      <c r="U92" s="948"/>
      <c r="V92" s="948"/>
      <c r="W92" s="948"/>
      <c r="X92" s="948"/>
      <c r="Y92" s="948"/>
      <c r="Z92" s="948"/>
      <c r="AA92" s="948"/>
      <c r="AB92" s="948"/>
      <c r="AC92" s="948"/>
      <c r="AD92" s="948"/>
      <c r="AE92" s="948"/>
      <c r="AF92" s="948"/>
      <c r="AG92" s="948"/>
      <c r="AH92" s="948"/>
      <c r="AI92" s="948"/>
      <c r="AJ92" s="948"/>
      <c r="AK92" s="948"/>
      <c r="AL92" s="360"/>
    </row>
    <row r="93" spans="1:38" s="285" customFormat="1" ht="33.75" customHeight="1">
      <c r="A93" s="359"/>
      <c r="B93" s="562" t="s">
        <v>700</v>
      </c>
      <c r="C93" s="562"/>
      <c r="D93" s="562"/>
      <c r="E93" s="562"/>
      <c r="F93" s="562"/>
      <c r="G93" s="562"/>
      <c r="H93" s="562"/>
      <c r="I93" s="562"/>
      <c r="J93" s="562"/>
      <c r="K93" s="562"/>
      <c r="L93" s="562"/>
      <c r="M93" s="562"/>
      <c r="N93" s="562"/>
      <c r="O93" s="562"/>
      <c r="P93" s="562"/>
      <c r="Q93" s="562"/>
      <c r="R93" s="562"/>
      <c r="S93" s="562"/>
      <c r="T93" s="562"/>
      <c r="U93" s="562"/>
      <c r="V93" s="562"/>
      <c r="W93" s="562"/>
      <c r="X93" s="562"/>
      <c r="Y93" s="562"/>
      <c r="Z93" s="562"/>
      <c r="AA93" s="562"/>
      <c r="AB93" s="562"/>
      <c r="AC93" s="562"/>
      <c r="AD93" s="562"/>
      <c r="AE93" s="562"/>
      <c r="AF93" s="562"/>
      <c r="AG93" s="562"/>
      <c r="AH93" s="562"/>
      <c r="AI93" s="562"/>
      <c r="AJ93" s="562"/>
      <c r="AK93" s="562"/>
      <c r="AL93" s="363"/>
    </row>
    <row r="94" spans="1:38" s="285" customFormat="1" ht="33.75" customHeight="1">
      <c r="A94" s="359"/>
      <c r="B94" s="562" t="s">
        <v>701</v>
      </c>
      <c r="C94" s="562"/>
      <c r="D94" s="562"/>
      <c r="E94" s="562"/>
      <c r="F94" s="562"/>
      <c r="G94" s="562"/>
      <c r="H94" s="562"/>
      <c r="I94" s="562"/>
      <c r="J94" s="562"/>
      <c r="K94" s="562"/>
      <c r="L94" s="562"/>
      <c r="M94" s="562"/>
      <c r="N94" s="562"/>
      <c r="O94" s="562"/>
      <c r="P94" s="562"/>
      <c r="Q94" s="562"/>
      <c r="R94" s="562"/>
      <c r="S94" s="562"/>
      <c r="T94" s="562"/>
      <c r="U94" s="562"/>
      <c r="V94" s="562"/>
      <c r="W94" s="562"/>
      <c r="X94" s="562"/>
      <c r="Y94" s="562"/>
      <c r="Z94" s="562"/>
      <c r="AA94" s="562"/>
      <c r="AB94" s="562"/>
      <c r="AC94" s="562"/>
      <c r="AD94" s="562"/>
      <c r="AE94" s="562"/>
      <c r="AF94" s="562"/>
      <c r="AG94" s="562"/>
      <c r="AH94" s="562"/>
      <c r="AI94" s="562"/>
      <c r="AJ94" s="562"/>
      <c r="AK94" s="562"/>
      <c r="AL94" s="363"/>
    </row>
    <row r="95" spans="1:38" s="285" customFormat="1" ht="22.5" customHeight="1">
      <c r="A95" s="359"/>
      <c r="B95" s="562" t="s">
        <v>702</v>
      </c>
      <c r="C95" s="562"/>
      <c r="D95" s="562"/>
      <c r="E95" s="562"/>
      <c r="F95" s="562"/>
      <c r="G95" s="562"/>
      <c r="H95" s="562"/>
      <c r="I95" s="562"/>
      <c r="J95" s="562"/>
      <c r="K95" s="562"/>
      <c r="L95" s="562"/>
      <c r="M95" s="562"/>
      <c r="N95" s="562"/>
      <c r="O95" s="562"/>
      <c r="P95" s="562"/>
      <c r="Q95" s="562"/>
      <c r="R95" s="562"/>
      <c r="S95" s="562"/>
      <c r="T95" s="562"/>
      <c r="U95" s="562"/>
      <c r="V95" s="562"/>
      <c r="W95" s="562"/>
      <c r="X95" s="562"/>
      <c r="Y95" s="562"/>
      <c r="Z95" s="562"/>
      <c r="AA95" s="562"/>
      <c r="AB95" s="562"/>
      <c r="AC95" s="562"/>
      <c r="AD95" s="562"/>
      <c r="AE95" s="562"/>
      <c r="AF95" s="562"/>
      <c r="AG95" s="562"/>
      <c r="AH95" s="562"/>
      <c r="AI95" s="562"/>
      <c r="AJ95" s="562"/>
      <c r="AK95" s="562"/>
      <c r="AL95" s="363"/>
    </row>
    <row r="96" spans="1:38" s="285" customFormat="1" ht="33.75" customHeight="1">
      <c r="A96" s="359"/>
      <c r="B96" s="562" t="s">
        <v>703</v>
      </c>
      <c r="C96" s="562"/>
      <c r="D96" s="562"/>
      <c r="E96" s="562"/>
      <c r="F96" s="562"/>
      <c r="G96" s="562"/>
      <c r="H96" s="562"/>
      <c r="I96" s="562"/>
      <c r="J96" s="562"/>
      <c r="K96" s="562"/>
      <c r="L96" s="562"/>
      <c r="M96" s="562"/>
      <c r="N96" s="562"/>
      <c r="O96" s="562"/>
      <c r="P96" s="562"/>
      <c r="Q96" s="562"/>
      <c r="R96" s="562"/>
      <c r="S96" s="562"/>
      <c r="T96" s="562"/>
      <c r="U96" s="562"/>
      <c r="V96" s="562"/>
      <c r="W96" s="562"/>
      <c r="X96" s="562"/>
      <c r="Y96" s="562"/>
      <c r="Z96" s="562"/>
      <c r="AA96" s="562"/>
      <c r="AB96" s="562"/>
      <c r="AC96" s="562"/>
      <c r="AD96" s="562"/>
      <c r="AE96" s="562"/>
      <c r="AF96" s="562"/>
      <c r="AG96" s="562"/>
      <c r="AH96" s="562"/>
      <c r="AI96" s="562"/>
      <c r="AJ96" s="562"/>
      <c r="AK96" s="562"/>
      <c r="AL96" s="562"/>
    </row>
    <row r="97" spans="1:38" s="285" customFormat="1" ht="45" customHeight="1">
      <c r="A97" s="359"/>
      <c r="B97" s="562" t="s">
        <v>704</v>
      </c>
      <c r="C97" s="562"/>
      <c r="D97" s="562"/>
      <c r="E97" s="562"/>
      <c r="F97" s="562"/>
      <c r="G97" s="562"/>
      <c r="H97" s="562"/>
      <c r="I97" s="562"/>
      <c r="J97" s="562"/>
      <c r="K97" s="562"/>
      <c r="L97" s="562"/>
      <c r="M97" s="562"/>
      <c r="N97" s="562"/>
      <c r="O97" s="562"/>
      <c r="P97" s="562"/>
      <c r="Q97" s="562"/>
      <c r="R97" s="562"/>
      <c r="S97" s="562"/>
      <c r="T97" s="562"/>
      <c r="U97" s="562"/>
      <c r="V97" s="562"/>
      <c r="W97" s="562"/>
      <c r="X97" s="562"/>
      <c r="Y97" s="562"/>
      <c r="Z97" s="562"/>
      <c r="AA97" s="562"/>
      <c r="AB97" s="562"/>
      <c r="AC97" s="562"/>
      <c r="AD97" s="562"/>
      <c r="AE97" s="562"/>
      <c r="AF97" s="562"/>
      <c r="AG97" s="562"/>
      <c r="AH97" s="562"/>
      <c r="AI97" s="562"/>
      <c r="AJ97" s="562"/>
      <c r="AK97" s="562"/>
      <c r="AL97" s="363"/>
    </row>
    <row r="98" spans="1:38" s="285" customFormat="1" ht="33.75" customHeight="1">
      <c r="A98" s="359"/>
      <c r="B98" s="562" t="s">
        <v>705</v>
      </c>
      <c r="C98" s="562"/>
      <c r="D98" s="562"/>
      <c r="E98" s="562"/>
      <c r="F98" s="562"/>
      <c r="G98" s="562"/>
      <c r="H98" s="562"/>
      <c r="I98" s="562"/>
      <c r="J98" s="562"/>
      <c r="K98" s="562"/>
      <c r="L98" s="562"/>
      <c r="M98" s="562"/>
      <c r="N98" s="562"/>
      <c r="O98" s="562"/>
      <c r="P98" s="562"/>
      <c r="Q98" s="562"/>
      <c r="R98" s="562"/>
      <c r="S98" s="562"/>
      <c r="T98" s="562"/>
      <c r="U98" s="562"/>
      <c r="V98" s="562"/>
      <c r="W98" s="562"/>
      <c r="X98" s="562"/>
      <c r="Y98" s="562"/>
      <c r="Z98" s="562"/>
      <c r="AA98" s="562"/>
      <c r="AB98" s="562"/>
      <c r="AC98" s="562"/>
      <c r="AD98" s="562"/>
      <c r="AE98" s="562"/>
      <c r="AF98" s="562"/>
      <c r="AG98" s="562"/>
      <c r="AH98" s="562"/>
      <c r="AI98" s="562"/>
      <c r="AJ98" s="562"/>
      <c r="AK98" s="562"/>
      <c r="AL98" s="363"/>
    </row>
    <row r="99" spans="1:38" s="285" customFormat="1" ht="12.75" customHeight="1">
      <c r="A99" s="359"/>
      <c r="B99" s="495"/>
      <c r="C99" s="495"/>
      <c r="D99" s="495"/>
      <c r="E99" s="495"/>
      <c r="F99" s="495"/>
      <c r="G99" s="495"/>
      <c r="H99" s="495"/>
      <c r="I99" s="495"/>
      <c r="J99" s="495"/>
      <c r="K99" s="495"/>
      <c r="L99" s="495"/>
      <c r="M99" s="495"/>
      <c r="N99" s="495"/>
      <c r="O99" s="495"/>
      <c r="P99" s="495"/>
      <c r="Q99" s="495"/>
      <c r="R99" s="495"/>
      <c r="S99" s="495"/>
      <c r="T99" s="495"/>
      <c r="U99" s="495"/>
      <c r="V99" s="495"/>
      <c r="W99" s="495"/>
      <c r="X99" s="495"/>
      <c r="Y99" s="495"/>
      <c r="Z99" s="495"/>
      <c r="AA99" s="495"/>
      <c r="AB99" s="495"/>
      <c r="AC99" s="495"/>
      <c r="AD99" s="495"/>
      <c r="AE99" s="495"/>
      <c r="AF99" s="495"/>
      <c r="AG99" s="495"/>
      <c r="AH99" s="495"/>
      <c r="AI99" s="495"/>
      <c r="AJ99" s="495"/>
      <c r="AK99" s="495"/>
      <c r="AL99" s="360"/>
    </row>
    <row r="100" spans="1:38" s="285" customFormat="1" ht="11.25" customHeight="1">
      <c r="A100" s="359"/>
      <c r="B100" s="947" t="s">
        <v>710</v>
      </c>
      <c r="C100" s="947"/>
      <c r="D100" s="947"/>
      <c r="E100" s="947"/>
      <c r="F100" s="947"/>
      <c r="G100" s="947"/>
      <c r="H100" s="947"/>
      <c r="I100" s="947"/>
      <c r="J100" s="947"/>
      <c r="K100" s="947"/>
      <c r="L100" s="947"/>
      <c r="M100" s="947"/>
      <c r="N100" s="947"/>
      <c r="O100" s="947"/>
      <c r="P100" s="947"/>
      <c r="Q100" s="947"/>
      <c r="R100" s="947"/>
      <c r="S100" s="947"/>
      <c r="T100" s="947"/>
      <c r="U100" s="947"/>
      <c r="V100" s="947"/>
      <c r="W100" s="947"/>
      <c r="X100" s="947"/>
      <c r="Y100" s="947"/>
      <c r="Z100" s="947"/>
      <c r="AA100" s="947"/>
      <c r="AB100" s="947"/>
      <c r="AC100" s="947"/>
      <c r="AD100" s="947"/>
      <c r="AE100" s="947"/>
      <c r="AF100" s="947"/>
      <c r="AG100" s="947"/>
      <c r="AH100" s="947"/>
      <c r="AI100" s="947"/>
      <c r="AJ100" s="947"/>
      <c r="AK100" s="947"/>
      <c r="AL100" s="360"/>
    </row>
    <row r="101" spans="1:38" s="285" customFormat="1" ht="33.75" customHeight="1">
      <c r="A101" s="359"/>
      <c r="B101" s="965" t="s">
        <v>707</v>
      </c>
      <c r="C101" s="965"/>
      <c r="D101" s="965"/>
      <c r="E101" s="965"/>
      <c r="F101" s="965"/>
      <c r="G101" s="965"/>
      <c r="H101" s="965"/>
      <c r="I101" s="965"/>
      <c r="J101" s="965"/>
      <c r="K101" s="965"/>
      <c r="L101" s="965"/>
      <c r="M101" s="965"/>
      <c r="N101" s="965"/>
      <c r="O101" s="965"/>
      <c r="P101" s="965"/>
      <c r="Q101" s="965"/>
      <c r="R101" s="965"/>
      <c r="S101" s="965"/>
      <c r="T101" s="965"/>
      <c r="U101" s="965"/>
      <c r="V101" s="965"/>
      <c r="W101" s="965"/>
      <c r="X101" s="965"/>
      <c r="Y101" s="965"/>
      <c r="Z101" s="965"/>
      <c r="AA101" s="965"/>
      <c r="AB101" s="965"/>
      <c r="AC101" s="965"/>
      <c r="AD101" s="965"/>
      <c r="AE101" s="965"/>
      <c r="AF101" s="965"/>
      <c r="AG101" s="965"/>
      <c r="AH101" s="965"/>
      <c r="AI101" s="965"/>
      <c r="AJ101" s="965"/>
      <c r="AK101" s="965"/>
      <c r="AL101" s="360"/>
    </row>
    <row r="102" spans="1:38" s="285" customFormat="1" ht="11.25" customHeight="1">
      <c r="A102" s="359"/>
      <c r="B102" s="494"/>
      <c r="C102" s="494"/>
      <c r="D102" s="494"/>
      <c r="E102" s="494"/>
      <c r="F102" s="494"/>
      <c r="G102" s="494"/>
      <c r="H102" s="494"/>
      <c r="I102" s="494"/>
      <c r="J102" s="494"/>
      <c r="K102" s="494"/>
      <c r="L102" s="494"/>
      <c r="M102" s="494"/>
      <c r="N102" s="494"/>
      <c r="O102" s="494"/>
      <c r="P102" s="494"/>
      <c r="Q102" s="494"/>
      <c r="R102" s="494"/>
      <c r="S102" s="494"/>
      <c r="T102" s="494"/>
      <c r="U102" s="494"/>
      <c r="V102" s="494"/>
      <c r="W102" s="494"/>
      <c r="X102" s="494"/>
      <c r="Y102" s="494"/>
      <c r="Z102" s="494"/>
      <c r="AA102" s="494"/>
      <c r="AB102" s="494"/>
      <c r="AC102" s="494"/>
      <c r="AD102" s="494"/>
      <c r="AE102" s="494"/>
      <c r="AF102" s="494"/>
      <c r="AG102" s="494"/>
      <c r="AH102" s="494"/>
      <c r="AI102" s="494"/>
      <c r="AJ102" s="494"/>
      <c r="AK102" s="359"/>
      <c r="AL102" s="360"/>
    </row>
    <row r="103" spans="1:38" s="285" customFormat="1" ht="12.75" customHeight="1">
      <c r="A103" s="359"/>
      <c r="B103" s="798" t="s">
        <v>711</v>
      </c>
      <c r="C103" s="798"/>
      <c r="D103" s="798"/>
      <c r="E103" s="798"/>
      <c r="F103" s="798"/>
      <c r="G103" s="798"/>
      <c r="H103" s="798"/>
      <c r="I103" s="798"/>
      <c r="J103" s="798"/>
      <c r="K103" s="798"/>
      <c r="L103" s="798"/>
      <c r="M103" s="798"/>
      <c r="N103" s="798"/>
      <c r="O103" s="798"/>
      <c r="P103" s="798"/>
      <c r="Q103" s="798"/>
      <c r="R103" s="798"/>
      <c r="S103" s="798"/>
      <c r="T103" s="798"/>
      <c r="U103" s="798"/>
      <c r="V103" s="798"/>
      <c r="W103" s="798"/>
      <c r="X103" s="798"/>
      <c r="Y103" s="798"/>
      <c r="Z103" s="798"/>
      <c r="AA103" s="798"/>
      <c r="AB103" s="798"/>
      <c r="AC103" s="798"/>
      <c r="AD103" s="798"/>
      <c r="AE103" s="798"/>
      <c r="AF103" s="798"/>
      <c r="AG103" s="798"/>
      <c r="AH103" s="798"/>
      <c r="AI103" s="798"/>
      <c r="AJ103" s="798"/>
      <c r="AK103" s="798"/>
      <c r="AL103" s="360"/>
    </row>
    <row r="104" spans="1:38" s="285" customFormat="1" ht="22.5" customHeight="1">
      <c r="A104" s="359"/>
      <c r="B104" s="725" t="s">
        <v>712</v>
      </c>
      <c r="C104" s="725"/>
      <c r="D104" s="725"/>
      <c r="E104" s="725"/>
      <c r="F104" s="725"/>
      <c r="G104" s="725"/>
      <c r="H104" s="725"/>
      <c r="I104" s="725"/>
      <c r="J104" s="725"/>
      <c r="K104" s="725"/>
      <c r="L104" s="725"/>
      <c r="M104" s="725"/>
      <c r="N104" s="725"/>
      <c r="O104" s="725"/>
      <c r="P104" s="725"/>
      <c r="Q104" s="725"/>
      <c r="R104" s="725"/>
      <c r="S104" s="725"/>
      <c r="T104" s="725"/>
      <c r="U104" s="725"/>
      <c r="V104" s="725"/>
      <c r="W104" s="725"/>
      <c r="X104" s="725"/>
      <c r="Y104" s="725"/>
      <c r="Z104" s="725"/>
      <c r="AA104" s="725"/>
      <c r="AB104" s="725"/>
      <c r="AC104" s="725"/>
      <c r="AD104" s="725"/>
      <c r="AE104" s="725"/>
      <c r="AF104" s="725"/>
      <c r="AG104" s="725"/>
      <c r="AH104" s="725"/>
      <c r="AI104" s="725"/>
      <c r="AJ104" s="725"/>
      <c r="AK104" s="725"/>
      <c r="AL104" s="360"/>
    </row>
    <row r="105" spans="1:38" s="285" customFormat="1" ht="11.25" customHeight="1">
      <c r="A105" s="359"/>
      <c r="B105" s="239"/>
      <c r="C105" s="498"/>
      <c r="D105" s="498"/>
      <c r="E105" s="498"/>
      <c r="F105" s="498"/>
      <c r="G105" s="498"/>
      <c r="H105" s="498"/>
      <c r="I105" s="498"/>
      <c r="J105" s="498"/>
      <c r="K105" s="498"/>
      <c r="L105" s="498"/>
      <c r="M105" s="498"/>
      <c r="N105" s="498"/>
      <c r="O105" s="498"/>
      <c r="P105" s="498"/>
      <c r="Q105" s="498"/>
      <c r="R105" s="498"/>
      <c r="S105" s="498"/>
      <c r="T105" s="498"/>
      <c r="U105" s="498"/>
      <c r="V105" s="498"/>
      <c r="W105" s="498"/>
      <c r="X105" s="498"/>
      <c r="Y105" s="498"/>
      <c r="Z105" s="498"/>
      <c r="AA105" s="498"/>
      <c r="AB105" s="498"/>
      <c r="AC105" s="498"/>
      <c r="AD105" s="498"/>
      <c r="AE105" s="498"/>
      <c r="AF105" s="498"/>
      <c r="AG105" s="498"/>
      <c r="AH105" s="498"/>
      <c r="AI105" s="498"/>
      <c r="AJ105" s="498"/>
      <c r="AK105" s="362"/>
      <c r="AL105" s="360"/>
    </row>
    <row r="106" spans="1:38" s="285" customFormat="1" ht="12.75" customHeight="1">
      <c r="A106" s="359"/>
      <c r="B106" s="725" t="s">
        <v>199</v>
      </c>
      <c r="C106" s="725"/>
      <c r="D106" s="725"/>
      <c r="E106" s="725"/>
      <c r="F106" s="725"/>
      <c r="G106" s="725"/>
      <c r="H106" s="725"/>
      <c r="I106" s="725"/>
      <c r="J106" s="725"/>
      <c r="K106" s="725"/>
      <c r="L106" s="725"/>
      <c r="M106" s="725"/>
      <c r="N106" s="725"/>
      <c r="O106" s="725"/>
      <c r="P106" s="725"/>
      <c r="Q106" s="725"/>
      <c r="R106" s="725"/>
      <c r="S106" s="725"/>
      <c r="T106" s="725"/>
      <c r="U106" s="725"/>
      <c r="V106" s="725"/>
      <c r="W106" s="725"/>
      <c r="X106" s="725"/>
      <c r="Y106" s="725"/>
      <c r="Z106" s="725"/>
      <c r="AA106" s="725"/>
      <c r="AB106" s="725"/>
      <c r="AC106" s="725"/>
      <c r="AD106" s="725"/>
      <c r="AE106" s="725"/>
      <c r="AF106" s="725"/>
      <c r="AG106" s="725"/>
      <c r="AH106" s="725"/>
      <c r="AI106" s="725"/>
      <c r="AJ106" s="725"/>
      <c r="AK106" s="725"/>
      <c r="AL106" s="360"/>
    </row>
    <row r="107" spans="1:38" s="285" customFormat="1" ht="11.25" customHeight="1">
      <c r="A107" s="359"/>
      <c r="C107" s="494"/>
      <c r="E107" s="494"/>
      <c r="F107" s="494"/>
      <c r="G107" s="494"/>
      <c r="H107" s="494"/>
      <c r="I107" s="494"/>
      <c r="J107" s="494"/>
      <c r="K107" s="494"/>
      <c r="L107" s="494"/>
      <c r="M107" s="494"/>
      <c r="N107" s="494"/>
      <c r="O107" s="494"/>
      <c r="P107" s="494"/>
      <c r="Q107" s="494"/>
      <c r="R107" s="494"/>
      <c r="S107" s="494"/>
      <c r="T107" s="494"/>
      <c r="U107" s="494"/>
      <c r="V107" s="494"/>
      <c r="W107" s="494"/>
      <c r="X107" s="494"/>
      <c r="Y107" s="494"/>
      <c r="Z107" s="494"/>
      <c r="AA107" s="494"/>
      <c r="AB107" s="494"/>
      <c r="AC107" s="494"/>
      <c r="AD107" s="494"/>
      <c r="AE107" s="494"/>
      <c r="AF107" s="494"/>
      <c r="AG107" s="494"/>
      <c r="AH107" s="494"/>
      <c r="AI107" s="494"/>
      <c r="AJ107" s="494"/>
      <c r="AK107" s="359"/>
      <c r="AL107" s="360"/>
    </row>
    <row r="108" spans="1:38" s="285" customFormat="1" ht="11.25" customHeight="1">
      <c r="A108" s="359"/>
      <c r="B108" s="859" t="s">
        <v>200</v>
      </c>
      <c r="C108" s="859"/>
      <c r="D108" s="859"/>
      <c r="E108" s="859"/>
      <c r="F108" s="859"/>
      <c r="G108" s="859"/>
      <c r="H108" s="859"/>
      <c r="I108" s="859"/>
      <c r="J108" s="859"/>
      <c r="K108" s="859"/>
      <c r="L108" s="859"/>
      <c r="M108" s="859"/>
      <c r="N108" s="859"/>
      <c r="O108" s="859"/>
      <c r="P108" s="859"/>
      <c r="Q108" s="859"/>
      <c r="R108" s="859"/>
      <c r="S108" s="859"/>
      <c r="T108" s="859"/>
      <c r="U108" s="859"/>
      <c r="V108" s="859"/>
      <c r="W108" s="859"/>
      <c r="X108" s="859"/>
      <c r="Y108" s="859"/>
      <c r="Z108" s="859"/>
      <c r="AA108" s="859"/>
      <c r="AB108" s="859"/>
      <c r="AC108" s="859"/>
      <c r="AD108" s="859"/>
      <c r="AE108" s="859"/>
      <c r="AF108" s="859"/>
      <c r="AG108" s="859"/>
      <c r="AH108" s="859"/>
      <c r="AI108" s="859"/>
      <c r="AJ108" s="859"/>
      <c r="AK108" s="859"/>
      <c r="AL108" s="360"/>
    </row>
    <row r="109" spans="1:38" s="285" customFormat="1" ht="12.75" customHeight="1">
      <c r="A109" s="359"/>
      <c r="B109" s="494"/>
      <c r="C109" s="494"/>
      <c r="D109" s="494"/>
      <c r="E109" s="494"/>
      <c r="F109" s="494"/>
      <c r="G109" s="494"/>
      <c r="H109" s="494"/>
      <c r="I109" s="494"/>
      <c r="J109" s="494"/>
      <c r="K109" s="494"/>
      <c r="L109" s="494"/>
      <c r="M109" s="494"/>
      <c r="N109" s="494"/>
      <c r="O109" s="494"/>
      <c r="P109" s="494"/>
      <c r="Q109" s="494"/>
      <c r="R109" s="494"/>
      <c r="S109" s="494"/>
      <c r="T109" s="494"/>
      <c r="U109" s="494"/>
      <c r="V109" s="494"/>
      <c r="W109" s="494"/>
      <c r="X109" s="494"/>
      <c r="Y109" s="494"/>
      <c r="Z109" s="494"/>
      <c r="AA109" s="494"/>
      <c r="AB109" s="494"/>
      <c r="AC109" s="494"/>
      <c r="AD109" s="494"/>
      <c r="AE109" s="494"/>
      <c r="AF109" s="494"/>
      <c r="AG109" s="494"/>
      <c r="AH109" s="494"/>
      <c r="AI109" s="494"/>
      <c r="AJ109" s="494"/>
      <c r="AK109" s="359"/>
      <c r="AL109" s="360"/>
    </row>
    <row r="110" spans="1:38" s="285" customFormat="1" ht="33.75" customHeight="1">
      <c r="A110" s="359"/>
      <c r="B110" s="798" t="s">
        <v>301</v>
      </c>
      <c r="C110" s="798"/>
      <c r="D110" s="798"/>
      <c r="E110" s="798"/>
      <c r="F110" s="798"/>
      <c r="G110" s="798"/>
      <c r="H110" s="798"/>
      <c r="I110" s="798"/>
      <c r="J110" s="798"/>
      <c r="K110" s="798"/>
      <c r="L110" s="798"/>
      <c r="M110" s="798"/>
      <c r="N110" s="798"/>
      <c r="O110" s="798"/>
      <c r="P110" s="798"/>
      <c r="Q110" s="798"/>
      <c r="R110" s="798"/>
      <c r="S110" s="798"/>
      <c r="T110" s="798"/>
      <c r="U110" s="798"/>
      <c r="V110" s="798"/>
      <c r="W110" s="798"/>
      <c r="X110" s="798"/>
      <c r="Y110" s="798"/>
      <c r="Z110" s="798"/>
      <c r="AA110" s="798"/>
      <c r="AB110" s="798"/>
      <c r="AC110" s="798"/>
      <c r="AD110" s="798"/>
      <c r="AE110" s="798"/>
      <c r="AF110" s="798"/>
      <c r="AG110" s="798"/>
      <c r="AH110" s="798"/>
      <c r="AI110" s="798"/>
      <c r="AJ110" s="798"/>
      <c r="AK110" s="798"/>
      <c r="AL110" s="360"/>
    </row>
    <row r="111" spans="1:38" s="285" customFormat="1" ht="11.25" customHeight="1">
      <c r="A111" s="359"/>
      <c r="B111" s="581"/>
      <c r="C111" s="581"/>
      <c r="D111" s="581"/>
      <c r="E111" s="581"/>
      <c r="F111" s="581"/>
      <c r="G111" s="581"/>
      <c r="H111" s="581"/>
      <c r="I111" s="581"/>
      <c r="J111" s="581"/>
      <c r="K111" s="581"/>
      <c r="L111" s="581"/>
      <c r="M111" s="581"/>
      <c r="N111" s="581"/>
      <c r="O111" s="581"/>
      <c r="P111" s="581"/>
      <c r="Q111" s="581"/>
      <c r="R111" s="581"/>
      <c r="S111" s="581"/>
      <c r="T111" s="581"/>
      <c r="U111" s="581"/>
      <c r="V111" s="581"/>
      <c r="W111" s="581"/>
      <c r="X111" s="581"/>
      <c r="Y111" s="581"/>
      <c r="Z111" s="581"/>
      <c r="AA111" s="581"/>
      <c r="AB111" s="581"/>
      <c r="AC111" s="581"/>
      <c r="AD111" s="581"/>
      <c r="AE111" s="581"/>
      <c r="AF111" s="581"/>
      <c r="AG111" s="581"/>
      <c r="AH111" s="581"/>
      <c r="AI111" s="581"/>
      <c r="AJ111" s="581"/>
      <c r="AK111" s="581"/>
      <c r="AL111" s="360"/>
    </row>
    <row r="112" spans="1:38" s="285" customFormat="1" ht="90" customHeight="1">
      <c r="A112" s="359"/>
      <c r="B112" s="725" t="s">
        <v>713</v>
      </c>
      <c r="C112" s="725"/>
      <c r="D112" s="725"/>
      <c r="E112" s="725"/>
      <c r="F112" s="725"/>
      <c r="G112" s="725"/>
      <c r="H112" s="725"/>
      <c r="I112" s="725"/>
      <c r="J112" s="725"/>
      <c r="K112" s="725"/>
      <c r="L112" s="725"/>
      <c r="M112" s="725"/>
      <c r="N112" s="725"/>
      <c r="O112" s="725"/>
      <c r="P112" s="725"/>
      <c r="Q112" s="725"/>
      <c r="R112" s="725"/>
      <c r="S112" s="725"/>
      <c r="T112" s="725"/>
      <c r="U112" s="725"/>
      <c r="V112" s="725"/>
      <c r="W112" s="725"/>
      <c r="X112" s="725"/>
      <c r="Y112" s="725"/>
      <c r="Z112" s="725"/>
      <c r="AA112" s="725"/>
      <c r="AB112" s="725"/>
      <c r="AC112" s="725"/>
      <c r="AD112" s="725"/>
      <c r="AE112" s="725"/>
      <c r="AF112" s="725"/>
      <c r="AG112" s="725"/>
      <c r="AH112" s="725"/>
      <c r="AI112" s="725"/>
      <c r="AJ112" s="725"/>
      <c r="AK112" s="725"/>
      <c r="AL112" s="360"/>
    </row>
    <row r="113" spans="1:38" s="285" customFormat="1" ht="11.25" customHeight="1">
      <c r="A113" s="359"/>
      <c r="B113" s="966"/>
      <c r="C113" s="966"/>
      <c r="D113" s="966"/>
      <c r="E113" s="966"/>
      <c r="F113" s="966"/>
      <c r="G113" s="966"/>
      <c r="H113" s="966"/>
      <c r="I113" s="966"/>
      <c r="J113" s="966"/>
      <c r="K113" s="966"/>
      <c r="L113" s="966"/>
      <c r="M113" s="966"/>
      <c r="N113" s="966"/>
      <c r="O113" s="966"/>
      <c r="P113" s="966"/>
      <c r="Q113" s="966"/>
      <c r="R113" s="966"/>
      <c r="S113" s="966"/>
      <c r="T113" s="966"/>
      <c r="U113" s="966"/>
      <c r="V113" s="966"/>
      <c r="W113" s="966"/>
      <c r="X113" s="966"/>
      <c r="Y113" s="966"/>
      <c r="Z113" s="966"/>
      <c r="AA113" s="966"/>
      <c r="AB113" s="966"/>
      <c r="AC113" s="966"/>
      <c r="AD113" s="966"/>
      <c r="AE113" s="966"/>
      <c r="AF113" s="966"/>
      <c r="AG113" s="966"/>
      <c r="AH113" s="966"/>
      <c r="AI113" s="966"/>
      <c r="AJ113" s="966"/>
      <c r="AK113" s="966"/>
      <c r="AL113" s="360"/>
    </row>
    <row r="114" spans="1:38" s="285" customFormat="1" ht="78.75" customHeight="1">
      <c r="A114" s="359"/>
      <c r="B114" s="798" t="s">
        <v>714</v>
      </c>
      <c r="C114" s="798"/>
      <c r="D114" s="798"/>
      <c r="E114" s="798"/>
      <c r="F114" s="798"/>
      <c r="G114" s="798"/>
      <c r="H114" s="798"/>
      <c r="I114" s="798"/>
      <c r="J114" s="798"/>
      <c r="K114" s="798"/>
      <c r="L114" s="798"/>
      <c r="M114" s="798"/>
      <c r="N114" s="798"/>
      <c r="O114" s="798"/>
      <c r="P114" s="798"/>
      <c r="Q114" s="798"/>
      <c r="R114" s="798"/>
      <c r="S114" s="798"/>
      <c r="T114" s="798"/>
      <c r="U114" s="798"/>
      <c r="V114" s="798"/>
      <c r="W114" s="798"/>
      <c r="X114" s="798"/>
      <c r="Y114" s="798"/>
      <c r="Z114" s="798"/>
      <c r="AA114" s="798"/>
      <c r="AB114" s="798"/>
      <c r="AC114" s="798"/>
      <c r="AD114" s="798"/>
      <c r="AE114" s="798"/>
      <c r="AF114" s="798"/>
      <c r="AG114" s="798"/>
      <c r="AH114" s="798"/>
      <c r="AI114" s="798"/>
      <c r="AJ114" s="798"/>
      <c r="AK114" s="798"/>
      <c r="AL114" s="360"/>
    </row>
    <row r="115" spans="1:38" s="285" customFormat="1" ht="45" customHeight="1">
      <c r="A115" s="359"/>
      <c r="B115" s="620" t="s">
        <v>715</v>
      </c>
      <c r="C115" s="620"/>
      <c r="D115" s="620"/>
      <c r="E115" s="620"/>
      <c r="F115" s="620"/>
      <c r="G115" s="620"/>
      <c r="H115" s="620"/>
      <c r="I115" s="620"/>
      <c r="J115" s="620"/>
      <c r="K115" s="620"/>
      <c r="L115" s="620"/>
      <c r="M115" s="620"/>
      <c r="N115" s="620"/>
      <c r="O115" s="620"/>
      <c r="P115" s="620"/>
      <c r="Q115" s="620"/>
      <c r="R115" s="620"/>
      <c r="S115" s="620"/>
      <c r="T115" s="620"/>
      <c r="U115" s="620"/>
      <c r="V115" s="620"/>
      <c r="W115" s="620"/>
      <c r="X115" s="620"/>
      <c r="Y115" s="620"/>
      <c r="Z115" s="620"/>
      <c r="AA115" s="620"/>
      <c r="AB115" s="620"/>
      <c r="AC115" s="620"/>
      <c r="AD115" s="620"/>
      <c r="AE115" s="620"/>
      <c r="AF115" s="620"/>
      <c r="AG115" s="620"/>
      <c r="AH115" s="620"/>
      <c r="AI115" s="620"/>
      <c r="AJ115" s="620"/>
      <c r="AK115" s="620"/>
      <c r="AL115" s="360"/>
    </row>
    <row r="116" spans="1:38" s="285" customFormat="1" ht="11.25" customHeight="1">
      <c r="A116" s="359"/>
      <c r="B116" s="725"/>
      <c r="C116" s="725"/>
      <c r="D116" s="725"/>
      <c r="E116" s="725"/>
      <c r="F116" s="725"/>
      <c r="G116" s="725"/>
      <c r="H116" s="725"/>
      <c r="I116" s="725"/>
      <c r="J116" s="725"/>
      <c r="K116" s="725"/>
      <c r="L116" s="725"/>
      <c r="M116" s="725"/>
      <c r="N116" s="725"/>
      <c r="O116" s="725"/>
      <c r="P116" s="725"/>
      <c r="Q116" s="725"/>
      <c r="R116" s="725"/>
      <c r="S116" s="725"/>
      <c r="T116" s="725"/>
      <c r="U116" s="725"/>
      <c r="V116" s="725"/>
      <c r="W116" s="725"/>
      <c r="X116" s="725"/>
      <c r="Y116" s="725"/>
      <c r="Z116" s="725"/>
      <c r="AA116" s="725"/>
      <c r="AB116" s="725"/>
      <c r="AC116" s="725"/>
      <c r="AD116" s="725"/>
      <c r="AE116" s="725"/>
      <c r="AF116" s="725"/>
      <c r="AG116" s="725"/>
      <c r="AH116" s="725"/>
      <c r="AI116" s="725"/>
      <c r="AJ116" s="725"/>
      <c r="AK116" s="725"/>
      <c r="AL116" s="360"/>
    </row>
    <row r="117" spans="1:38" s="285" customFormat="1" ht="12.75" customHeight="1">
      <c r="A117" s="359"/>
      <c r="B117" s="494"/>
      <c r="C117" s="494"/>
      <c r="D117" s="494"/>
      <c r="E117" s="494"/>
      <c r="F117" s="494"/>
      <c r="G117" s="494"/>
      <c r="H117" s="494"/>
      <c r="I117" s="494"/>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94"/>
      <c r="AK117" s="359"/>
      <c r="AL117" s="360"/>
    </row>
    <row r="118" spans="1:38" s="285" customFormat="1" ht="33.75" customHeight="1">
      <c r="A118" s="359"/>
      <c r="B118" s="725" t="s">
        <v>716</v>
      </c>
      <c r="C118" s="725"/>
      <c r="D118" s="725"/>
      <c r="E118" s="725"/>
      <c r="F118" s="725"/>
      <c r="G118" s="725"/>
      <c r="H118" s="725"/>
      <c r="I118" s="725"/>
      <c r="J118" s="725"/>
      <c r="K118" s="725"/>
      <c r="L118" s="725"/>
      <c r="M118" s="725"/>
      <c r="N118" s="725"/>
      <c r="O118" s="725"/>
      <c r="P118" s="725"/>
      <c r="Q118" s="725"/>
      <c r="R118" s="725"/>
      <c r="S118" s="725"/>
      <c r="T118" s="725"/>
      <c r="U118" s="725"/>
      <c r="V118" s="725"/>
      <c r="W118" s="725"/>
      <c r="X118" s="725"/>
      <c r="Y118" s="725"/>
      <c r="Z118" s="725"/>
      <c r="AA118" s="725"/>
      <c r="AB118" s="725"/>
      <c r="AC118" s="725"/>
      <c r="AD118" s="725"/>
      <c r="AE118" s="725"/>
      <c r="AF118" s="725"/>
      <c r="AG118" s="725"/>
      <c r="AH118" s="725"/>
      <c r="AI118" s="725"/>
      <c r="AJ118" s="725"/>
      <c r="AK118" s="725"/>
      <c r="AL118" s="360"/>
    </row>
    <row r="119" spans="1:38" s="285" customFormat="1" ht="45" customHeight="1">
      <c r="A119" s="359"/>
      <c r="B119" s="725" t="s">
        <v>722</v>
      </c>
      <c r="C119" s="725"/>
      <c r="D119" s="725"/>
      <c r="E119" s="725"/>
      <c r="F119" s="725"/>
      <c r="G119" s="725"/>
      <c r="H119" s="725"/>
      <c r="I119" s="725"/>
      <c r="J119" s="725"/>
      <c r="K119" s="725"/>
      <c r="L119" s="725"/>
      <c r="M119" s="725"/>
      <c r="N119" s="725"/>
      <c r="O119" s="725"/>
      <c r="P119" s="725"/>
      <c r="Q119" s="725"/>
      <c r="R119" s="725"/>
      <c r="S119" s="725"/>
      <c r="T119" s="725"/>
      <c r="U119" s="725"/>
      <c r="V119" s="725"/>
      <c r="W119" s="725"/>
      <c r="X119" s="725"/>
      <c r="Y119" s="725"/>
      <c r="Z119" s="725"/>
      <c r="AA119" s="725"/>
      <c r="AB119" s="725"/>
      <c r="AC119" s="725"/>
      <c r="AD119" s="725"/>
      <c r="AE119" s="725"/>
      <c r="AF119" s="725"/>
      <c r="AG119" s="725"/>
      <c r="AH119" s="725"/>
      <c r="AI119" s="725"/>
      <c r="AJ119" s="725"/>
      <c r="AK119" s="725"/>
      <c r="AL119" s="360"/>
    </row>
    <row r="120" spans="1:38" s="285" customFormat="1" ht="22.5" customHeight="1">
      <c r="A120" s="359"/>
      <c r="B120" s="725" t="s">
        <v>720</v>
      </c>
      <c r="C120" s="725"/>
      <c r="D120" s="725"/>
      <c r="E120" s="725"/>
      <c r="F120" s="725"/>
      <c r="G120" s="725"/>
      <c r="H120" s="725"/>
      <c r="I120" s="725"/>
      <c r="J120" s="725"/>
      <c r="K120" s="725"/>
      <c r="L120" s="725"/>
      <c r="M120" s="725"/>
      <c r="N120" s="725"/>
      <c r="O120" s="725"/>
      <c r="P120" s="725"/>
      <c r="Q120" s="725"/>
      <c r="R120" s="725"/>
      <c r="S120" s="725"/>
      <c r="T120" s="725"/>
      <c r="U120" s="725"/>
      <c r="V120" s="725"/>
      <c r="W120" s="725"/>
      <c r="X120" s="725"/>
      <c r="Y120" s="725"/>
      <c r="Z120" s="725"/>
      <c r="AA120" s="725"/>
      <c r="AB120" s="725"/>
      <c r="AC120" s="725"/>
      <c r="AD120" s="725"/>
      <c r="AE120" s="725"/>
      <c r="AF120" s="725"/>
      <c r="AG120" s="725"/>
      <c r="AH120" s="725"/>
      <c r="AI120" s="725"/>
      <c r="AJ120" s="725"/>
      <c r="AK120" s="725"/>
      <c r="AL120" s="360"/>
    </row>
    <row r="121" spans="1:38" s="285" customFormat="1" ht="45" customHeight="1">
      <c r="A121" s="359"/>
      <c r="B121" s="725" t="s">
        <v>721</v>
      </c>
      <c r="C121" s="725"/>
      <c r="D121" s="725"/>
      <c r="E121" s="725"/>
      <c r="F121" s="725"/>
      <c r="G121" s="725"/>
      <c r="H121" s="725"/>
      <c r="I121" s="725"/>
      <c r="J121" s="725"/>
      <c r="K121" s="725"/>
      <c r="L121" s="725"/>
      <c r="M121" s="725"/>
      <c r="N121" s="725"/>
      <c r="O121" s="725"/>
      <c r="P121" s="725"/>
      <c r="Q121" s="725"/>
      <c r="R121" s="725"/>
      <c r="S121" s="725"/>
      <c r="T121" s="725"/>
      <c r="U121" s="725"/>
      <c r="V121" s="725"/>
      <c r="W121" s="725"/>
      <c r="X121" s="725"/>
      <c r="Y121" s="725"/>
      <c r="Z121" s="725"/>
      <c r="AA121" s="725"/>
      <c r="AB121" s="725"/>
      <c r="AC121" s="725"/>
      <c r="AD121" s="725"/>
      <c r="AE121" s="725"/>
      <c r="AF121" s="725"/>
      <c r="AG121" s="725"/>
      <c r="AH121" s="725"/>
      <c r="AI121" s="725"/>
      <c r="AJ121" s="725"/>
      <c r="AK121" s="725"/>
      <c r="AL121" s="360"/>
    </row>
    <row r="122" spans="1:38" s="285" customFormat="1" ht="33.75" customHeight="1">
      <c r="A122" s="359"/>
      <c r="B122" s="725" t="s">
        <v>717</v>
      </c>
      <c r="C122" s="725"/>
      <c r="D122" s="725"/>
      <c r="E122" s="725"/>
      <c r="F122" s="725"/>
      <c r="G122" s="725"/>
      <c r="H122" s="725"/>
      <c r="I122" s="725"/>
      <c r="J122" s="725"/>
      <c r="K122" s="725"/>
      <c r="L122" s="725"/>
      <c r="M122" s="725"/>
      <c r="N122" s="725"/>
      <c r="O122" s="725"/>
      <c r="P122" s="725"/>
      <c r="Q122" s="725"/>
      <c r="R122" s="725"/>
      <c r="S122" s="725"/>
      <c r="T122" s="725"/>
      <c r="U122" s="725"/>
      <c r="V122" s="725"/>
      <c r="W122" s="725"/>
      <c r="X122" s="725"/>
      <c r="Y122" s="725"/>
      <c r="Z122" s="725"/>
      <c r="AA122" s="725"/>
      <c r="AB122" s="725"/>
      <c r="AC122" s="725"/>
      <c r="AD122" s="725"/>
      <c r="AE122" s="725"/>
      <c r="AF122" s="725"/>
      <c r="AG122" s="725"/>
      <c r="AH122" s="725"/>
      <c r="AI122" s="725"/>
      <c r="AJ122" s="725"/>
      <c r="AK122" s="725"/>
      <c r="AL122" s="360"/>
    </row>
    <row r="123" spans="1:38" s="285" customFormat="1" ht="22.5" customHeight="1">
      <c r="A123" s="359"/>
      <c r="B123" s="725" t="s">
        <v>723</v>
      </c>
      <c r="C123" s="725"/>
      <c r="D123" s="725"/>
      <c r="E123" s="725"/>
      <c r="F123" s="725"/>
      <c r="G123" s="725"/>
      <c r="H123" s="725"/>
      <c r="I123" s="725"/>
      <c r="J123" s="725"/>
      <c r="K123" s="725"/>
      <c r="L123" s="725"/>
      <c r="M123" s="725"/>
      <c r="N123" s="725"/>
      <c r="O123" s="725"/>
      <c r="P123" s="725"/>
      <c r="Q123" s="725"/>
      <c r="R123" s="725"/>
      <c r="S123" s="725"/>
      <c r="T123" s="725"/>
      <c r="U123" s="725"/>
      <c r="V123" s="725"/>
      <c r="W123" s="725"/>
      <c r="X123" s="725"/>
      <c r="Y123" s="725"/>
      <c r="Z123" s="725"/>
      <c r="AA123" s="725"/>
      <c r="AB123" s="725"/>
      <c r="AC123" s="725"/>
      <c r="AD123" s="725"/>
      <c r="AE123" s="725"/>
      <c r="AF123" s="725"/>
      <c r="AG123" s="725"/>
      <c r="AH123" s="725"/>
      <c r="AI123" s="725"/>
      <c r="AJ123" s="725"/>
      <c r="AK123" s="725"/>
      <c r="AL123" s="360"/>
    </row>
    <row r="124" spans="1:38" s="285" customFormat="1" ht="22.5" customHeight="1">
      <c r="A124" s="359"/>
      <c r="B124" s="725" t="s">
        <v>718</v>
      </c>
      <c r="C124" s="725"/>
      <c r="D124" s="725"/>
      <c r="E124" s="725"/>
      <c r="F124" s="725"/>
      <c r="G124" s="725"/>
      <c r="H124" s="725"/>
      <c r="I124" s="725"/>
      <c r="J124" s="725"/>
      <c r="K124" s="725"/>
      <c r="L124" s="725"/>
      <c r="M124" s="725"/>
      <c r="N124" s="725"/>
      <c r="O124" s="725"/>
      <c r="P124" s="725"/>
      <c r="Q124" s="725"/>
      <c r="R124" s="725"/>
      <c r="S124" s="725"/>
      <c r="T124" s="725"/>
      <c r="U124" s="725"/>
      <c r="V124" s="725"/>
      <c r="W124" s="725"/>
      <c r="X124" s="725"/>
      <c r="Y124" s="725"/>
      <c r="Z124" s="725"/>
      <c r="AA124" s="725"/>
      <c r="AB124" s="725"/>
      <c r="AC124" s="725"/>
      <c r="AD124" s="725"/>
      <c r="AE124" s="725"/>
      <c r="AF124" s="725"/>
      <c r="AG124" s="725"/>
      <c r="AH124" s="725"/>
      <c r="AI124" s="725"/>
      <c r="AJ124" s="725"/>
      <c r="AK124" s="725"/>
      <c r="AL124" s="360"/>
    </row>
    <row r="125" spans="1:38" s="285" customFormat="1" ht="22.5" customHeight="1">
      <c r="A125" s="359"/>
      <c r="B125" s="725" t="s">
        <v>724</v>
      </c>
      <c r="C125" s="725"/>
      <c r="D125" s="725"/>
      <c r="E125" s="725"/>
      <c r="F125" s="725"/>
      <c r="G125" s="725"/>
      <c r="H125" s="725"/>
      <c r="I125" s="725"/>
      <c r="J125" s="725"/>
      <c r="K125" s="725"/>
      <c r="L125" s="725"/>
      <c r="M125" s="725"/>
      <c r="N125" s="725"/>
      <c r="O125" s="725"/>
      <c r="P125" s="725"/>
      <c r="Q125" s="725"/>
      <c r="R125" s="725"/>
      <c r="S125" s="725"/>
      <c r="T125" s="725"/>
      <c r="U125" s="725"/>
      <c r="V125" s="725"/>
      <c r="W125" s="725"/>
      <c r="X125" s="725"/>
      <c r="Y125" s="725"/>
      <c r="Z125" s="725"/>
      <c r="AA125" s="725"/>
      <c r="AB125" s="725"/>
      <c r="AC125" s="725"/>
      <c r="AD125" s="725"/>
      <c r="AE125" s="725"/>
      <c r="AF125" s="725"/>
      <c r="AG125" s="725"/>
      <c r="AH125" s="725"/>
      <c r="AI125" s="725"/>
      <c r="AJ125" s="725"/>
      <c r="AK125" s="725"/>
      <c r="AL125" s="360"/>
    </row>
    <row r="126" spans="1:38" s="285" customFormat="1" ht="22.5" customHeight="1">
      <c r="A126" s="359"/>
      <c r="B126" s="725" t="s">
        <v>725</v>
      </c>
      <c r="C126" s="725"/>
      <c r="D126" s="725"/>
      <c r="E126" s="725"/>
      <c r="F126" s="725"/>
      <c r="G126" s="725"/>
      <c r="H126" s="725"/>
      <c r="I126" s="725"/>
      <c r="J126" s="725"/>
      <c r="K126" s="725"/>
      <c r="L126" s="725"/>
      <c r="M126" s="725"/>
      <c r="N126" s="725"/>
      <c r="O126" s="725"/>
      <c r="P126" s="725"/>
      <c r="Q126" s="725"/>
      <c r="R126" s="725"/>
      <c r="S126" s="725"/>
      <c r="T126" s="725"/>
      <c r="U126" s="725"/>
      <c r="V126" s="725"/>
      <c r="W126" s="725"/>
      <c r="X126" s="725"/>
      <c r="Y126" s="725"/>
      <c r="Z126" s="725"/>
      <c r="AA126" s="725"/>
      <c r="AB126" s="725"/>
      <c r="AC126" s="725"/>
      <c r="AD126" s="725"/>
      <c r="AE126" s="725"/>
      <c r="AF126" s="725"/>
      <c r="AG126" s="725"/>
      <c r="AH126" s="725"/>
      <c r="AI126" s="725"/>
      <c r="AJ126" s="725"/>
      <c r="AK126" s="725"/>
      <c r="AL126" s="360"/>
    </row>
    <row r="127" spans="1:38" s="285" customFormat="1" ht="67.5" customHeight="1">
      <c r="A127" s="359"/>
      <c r="B127" s="725" t="s">
        <v>726</v>
      </c>
      <c r="C127" s="725"/>
      <c r="D127" s="725"/>
      <c r="E127" s="725"/>
      <c r="F127" s="725"/>
      <c r="G127" s="725"/>
      <c r="H127" s="725"/>
      <c r="I127" s="725"/>
      <c r="J127" s="725"/>
      <c r="K127" s="725"/>
      <c r="L127" s="725"/>
      <c r="M127" s="725"/>
      <c r="N127" s="725"/>
      <c r="O127" s="725"/>
      <c r="P127" s="725"/>
      <c r="Q127" s="725"/>
      <c r="R127" s="725"/>
      <c r="S127" s="725"/>
      <c r="T127" s="725"/>
      <c r="U127" s="725"/>
      <c r="V127" s="725"/>
      <c r="W127" s="725"/>
      <c r="X127" s="725"/>
      <c r="Y127" s="725"/>
      <c r="Z127" s="725"/>
      <c r="AA127" s="725"/>
      <c r="AB127" s="725"/>
      <c r="AC127" s="725"/>
      <c r="AD127" s="725"/>
      <c r="AE127" s="725"/>
      <c r="AF127" s="725"/>
      <c r="AG127" s="725"/>
      <c r="AH127" s="725"/>
      <c r="AI127" s="725"/>
      <c r="AJ127" s="725"/>
      <c r="AK127" s="725"/>
      <c r="AL127" s="360"/>
    </row>
    <row r="128" spans="1:38" s="285" customFormat="1" ht="56.25" customHeight="1">
      <c r="A128" s="359"/>
      <c r="B128" s="725" t="s">
        <v>727</v>
      </c>
      <c r="C128" s="725"/>
      <c r="D128" s="725"/>
      <c r="E128" s="725"/>
      <c r="F128" s="725"/>
      <c r="G128" s="725"/>
      <c r="H128" s="725"/>
      <c r="I128" s="725"/>
      <c r="J128" s="725"/>
      <c r="K128" s="725"/>
      <c r="L128" s="725"/>
      <c r="M128" s="725"/>
      <c r="N128" s="725"/>
      <c r="O128" s="725"/>
      <c r="P128" s="725"/>
      <c r="Q128" s="725"/>
      <c r="R128" s="725"/>
      <c r="S128" s="725"/>
      <c r="T128" s="725"/>
      <c r="U128" s="725"/>
      <c r="V128" s="725"/>
      <c r="W128" s="725"/>
      <c r="X128" s="725"/>
      <c r="Y128" s="725"/>
      <c r="Z128" s="725"/>
      <c r="AA128" s="725"/>
      <c r="AB128" s="725"/>
      <c r="AC128" s="725"/>
      <c r="AD128" s="725"/>
      <c r="AE128" s="725"/>
      <c r="AF128" s="725"/>
      <c r="AG128" s="725"/>
      <c r="AH128" s="725"/>
      <c r="AI128" s="725"/>
      <c r="AJ128" s="725"/>
      <c r="AK128" s="725"/>
      <c r="AL128" s="360"/>
    </row>
    <row r="129" spans="1:38" s="285" customFormat="1" ht="22.5" customHeight="1">
      <c r="A129" s="359"/>
      <c r="B129" s="725" t="s">
        <v>719</v>
      </c>
      <c r="C129" s="725"/>
      <c r="D129" s="725"/>
      <c r="E129" s="725"/>
      <c r="F129" s="725"/>
      <c r="G129" s="725"/>
      <c r="H129" s="725"/>
      <c r="I129" s="725"/>
      <c r="J129" s="725"/>
      <c r="K129" s="725"/>
      <c r="L129" s="725"/>
      <c r="M129" s="725"/>
      <c r="N129" s="725"/>
      <c r="O129" s="725"/>
      <c r="P129" s="725"/>
      <c r="Q129" s="725"/>
      <c r="R129" s="725"/>
      <c r="S129" s="725"/>
      <c r="T129" s="725"/>
      <c r="U129" s="725"/>
      <c r="V129" s="725"/>
      <c r="W129" s="725"/>
      <c r="X129" s="725"/>
      <c r="Y129" s="725"/>
      <c r="Z129" s="725"/>
      <c r="AA129" s="725"/>
      <c r="AB129" s="725"/>
      <c r="AC129" s="725"/>
      <c r="AD129" s="725"/>
      <c r="AE129" s="725"/>
      <c r="AF129" s="725"/>
      <c r="AG129" s="725"/>
      <c r="AH129" s="725"/>
      <c r="AI129" s="725"/>
      <c r="AJ129" s="725"/>
      <c r="AK129" s="725"/>
      <c r="AL129" s="360"/>
    </row>
    <row r="130" spans="1:38" s="285" customFormat="1" ht="11.25" customHeight="1">
      <c r="A130" s="359"/>
      <c r="B130" s="494"/>
      <c r="C130" s="494"/>
      <c r="D130" s="494"/>
      <c r="E130" s="494"/>
      <c r="F130" s="494"/>
      <c r="G130" s="494"/>
      <c r="H130" s="494"/>
      <c r="I130" s="494"/>
      <c r="J130" s="494"/>
      <c r="K130" s="494"/>
      <c r="L130" s="494"/>
      <c r="M130" s="494"/>
      <c r="N130" s="494"/>
      <c r="O130" s="494"/>
      <c r="P130" s="494"/>
      <c r="Q130" s="494"/>
      <c r="R130" s="494"/>
      <c r="S130" s="494"/>
      <c r="T130" s="494"/>
      <c r="U130" s="494"/>
      <c r="V130" s="494"/>
      <c r="W130" s="494"/>
      <c r="X130" s="494"/>
      <c r="Y130" s="494"/>
      <c r="Z130" s="494"/>
      <c r="AA130" s="494"/>
      <c r="AB130" s="494"/>
      <c r="AC130" s="494"/>
      <c r="AD130" s="494"/>
      <c r="AE130" s="494"/>
      <c r="AF130" s="494"/>
      <c r="AG130" s="494"/>
      <c r="AH130" s="494"/>
      <c r="AI130" s="494"/>
      <c r="AJ130" s="494"/>
      <c r="AK130" s="359"/>
      <c r="AL130" s="360"/>
    </row>
    <row r="131" spans="1:38" s="285" customFormat="1" ht="11.25" customHeight="1">
      <c r="A131" s="359"/>
      <c r="B131" s="967" t="s">
        <v>728</v>
      </c>
      <c r="C131" s="967"/>
      <c r="D131" s="967"/>
      <c r="E131" s="967"/>
      <c r="F131" s="967"/>
      <c r="G131" s="967"/>
      <c r="H131" s="967"/>
      <c r="I131" s="967"/>
      <c r="J131" s="967"/>
      <c r="K131" s="967"/>
      <c r="L131" s="967"/>
      <c r="M131" s="967"/>
      <c r="N131" s="967"/>
      <c r="O131" s="967"/>
      <c r="P131" s="967"/>
      <c r="Q131" s="967"/>
      <c r="R131" s="967"/>
      <c r="S131" s="967"/>
      <c r="T131" s="967"/>
      <c r="U131" s="967"/>
      <c r="V131" s="967"/>
      <c r="W131" s="967"/>
      <c r="X131" s="967"/>
      <c r="Y131" s="967"/>
      <c r="Z131" s="967"/>
      <c r="AA131" s="967"/>
      <c r="AB131" s="967"/>
      <c r="AC131" s="967"/>
      <c r="AD131" s="967"/>
      <c r="AE131" s="967"/>
      <c r="AF131" s="967"/>
      <c r="AG131" s="967"/>
      <c r="AH131" s="967"/>
      <c r="AI131" s="967"/>
      <c r="AJ131" s="967"/>
      <c r="AK131" s="967"/>
      <c r="AL131" s="360"/>
    </row>
    <row r="132" spans="1:38" s="285" customFormat="1" ht="11.25" customHeight="1">
      <c r="A132" s="359"/>
      <c r="B132" s="494"/>
      <c r="C132" s="494"/>
      <c r="D132" s="494"/>
      <c r="E132" s="494"/>
      <c r="F132" s="494"/>
      <c r="G132" s="494"/>
      <c r="H132" s="494"/>
      <c r="I132" s="494"/>
      <c r="J132" s="494"/>
      <c r="K132" s="494"/>
      <c r="L132" s="494"/>
      <c r="M132" s="494"/>
      <c r="N132" s="494"/>
      <c r="O132" s="494"/>
      <c r="P132" s="494"/>
      <c r="Q132" s="494"/>
      <c r="R132" s="494"/>
      <c r="S132" s="494"/>
      <c r="T132" s="494"/>
      <c r="U132" s="494"/>
      <c r="V132" s="494"/>
      <c r="W132" s="494"/>
      <c r="X132" s="494"/>
      <c r="Y132" s="494"/>
      <c r="Z132" s="494"/>
      <c r="AA132" s="494"/>
      <c r="AB132" s="494"/>
      <c r="AC132" s="494"/>
      <c r="AD132" s="494"/>
      <c r="AE132" s="494"/>
      <c r="AF132" s="494"/>
      <c r="AG132" s="494"/>
      <c r="AH132" s="494"/>
      <c r="AI132" s="494"/>
      <c r="AJ132" s="494"/>
      <c r="AK132" s="359"/>
      <c r="AL132" s="360"/>
    </row>
    <row r="133" spans="1:38" s="285" customFormat="1" ht="33.75" customHeight="1">
      <c r="A133" s="359"/>
      <c r="B133" s="967" t="s">
        <v>729</v>
      </c>
      <c r="C133" s="967"/>
      <c r="D133" s="967"/>
      <c r="E133" s="967"/>
      <c r="F133" s="967"/>
      <c r="G133" s="967"/>
      <c r="H133" s="967"/>
      <c r="I133" s="967"/>
      <c r="J133" s="967"/>
      <c r="K133" s="967"/>
      <c r="L133" s="967"/>
      <c r="M133" s="967"/>
      <c r="N133" s="967"/>
      <c r="O133" s="967"/>
      <c r="P133" s="967"/>
      <c r="Q133" s="967"/>
      <c r="R133" s="967"/>
      <c r="S133" s="967"/>
      <c r="T133" s="967"/>
      <c r="U133" s="967"/>
      <c r="V133" s="967"/>
      <c r="W133" s="967"/>
      <c r="X133" s="967"/>
      <c r="Y133" s="967"/>
      <c r="Z133" s="967"/>
      <c r="AA133" s="967"/>
      <c r="AB133" s="967"/>
      <c r="AC133" s="967"/>
      <c r="AD133" s="967"/>
      <c r="AE133" s="967"/>
      <c r="AF133" s="967"/>
      <c r="AG133" s="967"/>
      <c r="AH133" s="967"/>
      <c r="AI133" s="967"/>
      <c r="AJ133" s="967"/>
      <c r="AK133" s="967"/>
      <c r="AL133" s="360"/>
    </row>
    <row r="134" spans="1:38" s="285" customFormat="1" ht="11.25" customHeight="1">
      <c r="A134" s="359"/>
      <c r="B134" s="497"/>
      <c r="C134" s="494"/>
      <c r="D134" s="494"/>
      <c r="E134" s="494"/>
      <c r="F134" s="494"/>
      <c r="G134" s="494"/>
      <c r="H134" s="494"/>
      <c r="I134" s="494"/>
      <c r="J134" s="494"/>
      <c r="K134" s="494"/>
      <c r="L134" s="494"/>
      <c r="M134" s="494"/>
      <c r="N134" s="494"/>
      <c r="O134" s="494"/>
      <c r="P134" s="494"/>
      <c r="Q134" s="494"/>
      <c r="R134" s="494"/>
      <c r="S134" s="494"/>
      <c r="T134" s="494"/>
      <c r="U134" s="494"/>
      <c r="V134" s="494"/>
      <c r="W134" s="494"/>
      <c r="X134" s="494"/>
      <c r="Y134" s="494"/>
      <c r="Z134" s="494"/>
      <c r="AA134" s="494"/>
      <c r="AB134" s="494"/>
      <c r="AC134" s="494"/>
      <c r="AD134" s="494"/>
      <c r="AE134" s="494"/>
      <c r="AF134" s="494"/>
      <c r="AG134" s="494"/>
      <c r="AH134" s="494"/>
      <c r="AI134" s="494"/>
      <c r="AJ134" s="494"/>
      <c r="AK134" s="359"/>
      <c r="AL134" s="360"/>
    </row>
    <row r="135" spans="1:38" s="285" customFormat="1" ht="56.25" customHeight="1">
      <c r="A135" s="359"/>
      <c r="B135" s="967" t="s">
        <v>730</v>
      </c>
      <c r="C135" s="967"/>
      <c r="D135" s="967"/>
      <c r="E135" s="967"/>
      <c r="F135" s="967"/>
      <c r="G135" s="967"/>
      <c r="H135" s="967"/>
      <c r="I135" s="967"/>
      <c r="J135" s="967"/>
      <c r="K135" s="967"/>
      <c r="L135" s="967"/>
      <c r="M135" s="967"/>
      <c r="N135" s="967"/>
      <c r="O135" s="967"/>
      <c r="P135" s="967"/>
      <c r="Q135" s="967"/>
      <c r="R135" s="967"/>
      <c r="S135" s="967"/>
      <c r="T135" s="967"/>
      <c r="U135" s="967"/>
      <c r="V135" s="967"/>
      <c r="W135" s="967"/>
      <c r="X135" s="967"/>
      <c r="Y135" s="967"/>
      <c r="Z135" s="967"/>
      <c r="AA135" s="967"/>
      <c r="AB135" s="967"/>
      <c r="AC135" s="967"/>
      <c r="AD135" s="967"/>
      <c r="AE135" s="967"/>
      <c r="AF135" s="967"/>
      <c r="AG135" s="967"/>
      <c r="AH135" s="967"/>
      <c r="AI135" s="967"/>
      <c r="AJ135" s="967"/>
      <c r="AK135" s="967"/>
      <c r="AL135" s="360"/>
    </row>
    <row r="136" spans="1:38" s="285" customFormat="1" ht="11.25" customHeight="1">
      <c r="A136" s="359"/>
      <c r="B136" s="494"/>
      <c r="C136" s="494"/>
      <c r="D136" s="494"/>
      <c r="E136" s="494"/>
      <c r="F136" s="494"/>
      <c r="G136" s="494"/>
      <c r="H136" s="494"/>
      <c r="I136" s="494"/>
      <c r="J136" s="494"/>
      <c r="K136" s="494"/>
      <c r="L136" s="494"/>
      <c r="M136" s="494"/>
      <c r="N136" s="494"/>
      <c r="O136" s="494"/>
      <c r="P136" s="494"/>
      <c r="Q136" s="494"/>
      <c r="R136" s="494"/>
      <c r="S136" s="494"/>
      <c r="T136" s="494"/>
      <c r="U136" s="494"/>
      <c r="V136" s="494"/>
      <c r="W136" s="494"/>
      <c r="X136" s="494"/>
      <c r="Y136" s="494"/>
      <c r="Z136" s="494"/>
      <c r="AA136" s="494"/>
      <c r="AB136" s="494"/>
      <c r="AC136" s="494"/>
      <c r="AD136" s="494"/>
      <c r="AE136" s="494"/>
      <c r="AF136" s="494"/>
      <c r="AG136" s="494"/>
      <c r="AH136" s="494"/>
      <c r="AI136" s="494"/>
      <c r="AJ136" s="494"/>
      <c r="AK136" s="359"/>
      <c r="AL136" s="360"/>
    </row>
    <row r="137" spans="1:38" s="285" customFormat="1" ht="22.5" customHeight="1">
      <c r="A137" s="359"/>
      <c r="B137" s="798" t="s">
        <v>731</v>
      </c>
      <c r="C137" s="798"/>
      <c r="D137" s="798"/>
      <c r="E137" s="798"/>
      <c r="F137" s="798"/>
      <c r="G137" s="798"/>
      <c r="H137" s="798"/>
      <c r="I137" s="798"/>
      <c r="J137" s="798"/>
      <c r="K137" s="798"/>
      <c r="L137" s="798"/>
      <c r="M137" s="798"/>
      <c r="N137" s="798"/>
      <c r="O137" s="798"/>
      <c r="P137" s="798"/>
      <c r="Q137" s="798"/>
      <c r="R137" s="798"/>
      <c r="S137" s="798"/>
      <c r="T137" s="798"/>
      <c r="U137" s="798"/>
      <c r="V137" s="798"/>
      <c r="W137" s="798"/>
      <c r="X137" s="798"/>
      <c r="Y137" s="798"/>
      <c r="Z137" s="798"/>
      <c r="AA137" s="798"/>
      <c r="AB137" s="798"/>
      <c r="AC137" s="798"/>
      <c r="AD137" s="798"/>
      <c r="AE137" s="798"/>
      <c r="AF137" s="798"/>
      <c r="AG137" s="798"/>
      <c r="AH137" s="798"/>
      <c r="AI137" s="798"/>
      <c r="AJ137" s="798"/>
      <c r="AK137" s="798"/>
      <c r="AL137" s="360"/>
    </row>
    <row r="138" spans="1:38" s="285" customFormat="1" ht="11.25" customHeight="1">
      <c r="A138" s="359"/>
      <c r="B138" s="259"/>
      <c r="C138" s="498"/>
      <c r="D138" s="498"/>
      <c r="E138" s="498"/>
      <c r="F138" s="498"/>
      <c r="G138" s="498"/>
      <c r="H138" s="498"/>
      <c r="I138" s="498"/>
      <c r="J138" s="498"/>
      <c r="K138" s="498"/>
      <c r="L138" s="498"/>
      <c r="M138" s="498"/>
      <c r="N138" s="498"/>
      <c r="O138" s="498"/>
      <c r="P138" s="498"/>
      <c r="Q138" s="498"/>
      <c r="R138" s="498"/>
      <c r="S138" s="498"/>
      <c r="T138" s="498"/>
      <c r="U138" s="498"/>
      <c r="V138" s="498"/>
      <c r="W138" s="498"/>
      <c r="X138" s="498"/>
      <c r="Y138" s="498"/>
      <c r="Z138" s="498"/>
      <c r="AA138" s="498"/>
      <c r="AB138" s="498"/>
      <c r="AC138" s="498"/>
      <c r="AD138" s="498"/>
      <c r="AE138" s="498"/>
      <c r="AF138" s="498"/>
      <c r="AG138" s="498"/>
      <c r="AH138" s="498"/>
      <c r="AI138" s="498"/>
      <c r="AJ138" s="498"/>
      <c r="AK138" s="362"/>
      <c r="AL138" s="360"/>
    </row>
    <row r="139" spans="1:38" s="285" customFormat="1" ht="22.5" customHeight="1">
      <c r="A139" s="359"/>
      <c r="B139" s="725" t="s">
        <v>735</v>
      </c>
      <c r="C139" s="725"/>
      <c r="D139" s="725"/>
      <c r="E139" s="725"/>
      <c r="F139" s="725"/>
      <c r="G139" s="725"/>
      <c r="H139" s="725"/>
      <c r="I139" s="725"/>
      <c r="J139" s="725"/>
      <c r="K139" s="725"/>
      <c r="L139" s="725"/>
      <c r="M139" s="725"/>
      <c r="N139" s="725"/>
      <c r="O139" s="725"/>
      <c r="P139" s="725"/>
      <c r="Q139" s="725"/>
      <c r="R139" s="725"/>
      <c r="S139" s="725"/>
      <c r="T139" s="725"/>
      <c r="U139" s="725"/>
      <c r="V139" s="725"/>
      <c r="W139" s="725"/>
      <c r="X139" s="725"/>
      <c r="Y139" s="725"/>
      <c r="Z139" s="725"/>
      <c r="AA139" s="725"/>
      <c r="AB139" s="725"/>
      <c r="AC139" s="725"/>
      <c r="AD139" s="725"/>
      <c r="AE139" s="725"/>
      <c r="AF139" s="725"/>
      <c r="AG139" s="725"/>
      <c r="AH139" s="725"/>
      <c r="AI139" s="725"/>
      <c r="AJ139" s="725"/>
      <c r="AK139" s="725"/>
      <c r="AL139" s="360"/>
    </row>
    <row r="140" spans="1:38" s="285" customFormat="1" ht="22.5" customHeight="1">
      <c r="A140" s="359"/>
      <c r="B140" s="725" t="s">
        <v>733</v>
      </c>
      <c r="C140" s="725"/>
      <c r="D140" s="725"/>
      <c r="E140" s="725"/>
      <c r="F140" s="725"/>
      <c r="G140" s="725"/>
      <c r="H140" s="725"/>
      <c r="I140" s="725"/>
      <c r="J140" s="725"/>
      <c r="K140" s="725"/>
      <c r="L140" s="725"/>
      <c r="M140" s="725"/>
      <c r="N140" s="725"/>
      <c r="O140" s="725"/>
      <c r="P140" s="725"/>
      <c r="Q140" s="725"/>
      <c r="R140" s="725"/>
      <c r="S140" s="725"/>
      <c r="T140" s="725"/>
      <c r="U140" s="725"/>
      <c r="V140" s="725"/>
      <c r="W140" s="725"/>
      <c r="X140" s="725"/>
      <c r="Y140" s="725"/>
      <c r="Z140" s="725"/>
      <c r="AA140" s="725"/>
      <c r="AB140" s="725"/>
      <c r="AC140" s="725"/>
      <c r="AD140" s="725"/>
      <c r="AE140" s="725"/>
      <c r="AF140" s="725"/>
      <c r="AG140" s="725"/>
      <c r="AH140" s="725"/>
      <c r="AI140" s="725"/>
      <c r="AJ140" s="725"/>
      <c r="AK140" s="725"/>
      <c r="AL140" s="360"/>
    </row>
    <row r="141" spans="1:38" s="285" customFormat="1" ht="22.5" customHeight="1">
      <c r="A141" s="359"/>
      <c r="B141" s="725" t="s">
        <v>734</v>
      </c>
      <c r="C141" s="725"/>
      <c r="D141" s="725"/>
      <c r="E141" s="725"/>
      <c r="F141" s="725"/>
      <c r="G141" s="725"/>
      <c r="H141" s="725"/>
      <c r="I141" s="725"/>
      <c r="J141" s="725"/>
      <c r="K141" s="725"/>
      <c r="L141" s="725"/>
      <c r="M141" s="725"/>
      <c r="N141" s="725"/>
      <c r="O141" s="725"/>
      <c r="P141" s="725"/>
      <c r="Q141" s="725"/>
      <c r="R141" s="725"/>
      <c r="S141" s="725"/>
      <c r="T141" s="725"/>
      <c r="U141" s="725"/>
      <c r="V141" s="725"/>
      <c r="W141" s="725"/>
      <c r="X141" s="725"/>
      <c r="Y141" s="725"/>
      <c r="Z141" s="725"/>
      <c r="AA141" s="725"/>
      <c r="AB141" s="725"/>
      <c r="AC141" s="725"/>
      <c r="AD141" s="725"/>
      <c r="AE141" s="725"/>
      <c r="AF141" s="725"/>
      <c r="AG141" s="725"/>
      <c r="AH141" s="725"/>
      <c r="AI141" s="725"/>
      <c r="AJ141" s="725"/>
      <c r="AK141" s="725"/>
      <c r="AL141" s="360"/>
    </row>
    <row r="142" spans="1:38" s="285" customFormat="1" ht="11.25" customHeight="1">
      <c r="A142" s="359"/>
      <c r="B142" s="494"/>
      <c r="C142" s="494"/>
      <c r="D142" s="494"/>
      <c r="E142" s="494"/>
      <c r="F142" s="494"/>
      <c r="G142" s="494"/>
      <c r="H142" s="494"/>
      <c r="I142" s="494"/>
      <c r="J142" s="494"/>
      <c r="K142" s="494"/>
      <c r="L142" s="494"/>
      <c r="M142" s="494"/>
      <c r="N142" s="494"/>
      <c r="O142" s="494"/>
      <c r="P142" s="494"/>
      <c r="Q142" s="494"/>
      <c r="R142" s="494"/>
      <c r="S142" s="494"/>
      <c r="T142" s="494"/>
      <c r="U142" s="494"/>
      <c r="V142" s="494"/>
      <c r="W142" s="494"/>
      <c r="X142" s="494"/>
      <c r="Y142" s="494"/>
      <c r="Z142" s="494"/>
      <c r="AA142" s="494"/>
      <c r="AB142" s="494"/>
      <c r="AC142" s="494"/>
      <c r="AD142" s="494"/>
      <c r="AE142" s="494"/>
      <c r="AF142" s="494"/>
      <c r="AG142" s="494"/>
      <c r="AH142" s="494"/>
      <c r="AI142" s="494"/>
      <c r="AJ142" s="494"/>
      <c r="AK142" s="359"/>
      <c r="AL142" s="360"/>
    </row>
    <row r="143" spans="1:38" s="285" customFormat="1" ht="78.75" customHeight="1">
      <c r="A143" s="359"/>
      <c r="B143" s="798" t="s">
        <v>736</v>
      </c>
      <c r="C143" s="798"/>
      <c r="D143" s="798"/>
      <c r="E143" s="798"/>
      <c r="F143" s="798"/>
      <c r="G143" s="798"/>
      <c r="H143" s="798"/>
      <c r="I143" s="798"/>
      <c r="J143" s="798"/>
      <c r="K143" s="798"/>
      <c r="L143" s="798"/>
      <c r="M143" s="798"/>
      <c r="N143" s="798"/>
      <c r="O143" s="798"/>
      <c r="P143" s="798"/>
      <c r="Q143" s="798"/>
      <c r="R143" s="798"/>
      <c r="S143" s="798"/>
      <c r="T143" s="798"/>
      <c r="U143" s="798"/>
      <c r="V143" s="798"/>
      <c r="W143" s="798"/>
      <c r="X143" s="798"/>
      <c r="Y143" s="798"/>
      <c r="Z143" s="798"/>
      <c r="AA143" s="798"/>
      <c r="AB143" s="798"/>
      <c r="AC143" s="798"/>
      <c r="AD143" s="798"/>
      <c r="AE143" s="798"/>
      <c r="AF143" s="798"/>
      <c r="AG143" s="798"/>
      <c r="AH143" s="798"/>
      <c r="AI143" s="798"/>
      <c r="AJ143" s="798"/>
      <c r="AK143" s="798"/>
      <c r="AL143" s="360"/>
    </row>
    <row r="144" spans="1:38" s="285" customFormat="1" ht="22.5" customHeight="1">
      <c r="A144" s="359"/>
      <c r="B144" s="620" t="s">
        <v>209</v>
      </c>
      <c r="C144" s="620"/>
      <c r="D144" s="620"/>
      <c r="E144" s="620"/>
      <c r="F144" s="620"/>
      <c r="G144" s="620"/>
      <c r="H144" s="620"/>
      <c r="I144" s="620"/>
      <c r="J144" s="620"/>
      <c r="K144" s="620"/>
      <c r="L144" s="620"/>
      <c r="M144" s="620"/>
      <c r="N144" s="620"/>
      <c r="O144" s="620"/>
      <c r="P144" s="620"/>
      <c r="Q144" s="620"/>
      <c r="R144" s="620"/>
      <c r="S144" s="620"/>
      <c r="T144" s="620"/>
      <c r="U144" s="620"/>
      <c r="V144" s="620"/>
      <c r="W144" s="620"/>
      <c r="X144" s="620"/>
      <c r="Y144" s="620"/>
      <c r="Z144" s="620"/>
      <c r="AA144" s="620"/>
      <c r="AB144" s="620"/>
      <c r="AC144" s="620"/>
      <c r="AD144" s="620"/>
      <c r="AE144" s="620"/>
      <c r="AF144" s="620"/>
      <c r="AG144" s="620"/>
      <c r="AH144" s="620"/>
      <c r="AI144" s="620"/>
      <c r="AJ144" s="620"/>
      <c r="AK144" s="620"/>
      <c r="AL144" s="360"/>
    </row>
    <row r="145" spans="1:38" s="285" customFormat="1" ht="22.5" customHeight="1">
      <c r="A145" s="359"/>
      <c r="B145" s="620" t="s">
        <v>308</v>
      </c>
      <c r="C145" s="620"/>
      <c r="D145" s="620"/>
      <c r="E145" s="620"/>
      <c r="F145" s="620"/>
      <c r="G145" s="620"/>
      <c r="H145" s="620"/>
      <c r="I145" s="620"/>
      <c r="J145" s="620"/>
      <c r="K145" s="620"/>
      <c r="L145" s="620"/>
      <c r="M145" s="620"/>
      <c r="N145" s="620"/>
      <c r="O145" s="620"/>
      <c r="P145" s="620"/>
      <c r="Q145" s="620"/>
      <c r="R145" s="620"/>
      <c r="S145" s="620"/>
      <c r="T145" s="620"/>
      <c r="U145" s="620"/>
      <c r="V145" s="620"/>
      <c r="W145" s="620"/>
      <c r="X145" s="620"/>
      <c r="Y145" s="620"/>
      <c r="Z145" s="620"/>
      <c r="AA145" s="620"/>
      <c r="AB145" s="620"/>
      <c r="AC145" s="620"/>
      <c r="AD145" s="620"/>
      <c r="AE145" s="620"/>
      <c r="AF145" s="620"/>
      <c r="AG145" s="620"/>
      <c r="AH145" s="620"/>
      <c r="AI145" s="620"/>
      <c r="AJ145" s="620"/>
      <c r="AK145" s="620"/>
      <c r="AL145" s="360"/>
    </row>
    <row r="146" spans="1:38" s="285" customFormat="1" ht="33.75" customHeight="1">
      <c r="A146" s="359"/>
      <c r="B146" s="725" t="s">
        <v>211</v>
      </c>
      <c r="C146" s="725"/>
      <c r="D146" s="725"/>
      <c r="E146" s="725"/>
      <c r="F146" s="725"/>
      <c r="G146" s="725"/>
      <c r="H146" s="725"/>
      <c r="I146" s="725"/>
      <c r="J146" s="725"/>
      <c r="K146" s="725"/>
      <c r="L146" s="725"/>
      <c r="M146" s="725"/>
      <c r="N146" s="725"/>
      <c r="O146" s="725"/>
      <c r="P146" s="725"/>
      <c r="Q146" s="725"/>
      <c r="R146" s="725"/>
      <c r="S146" s="725"/>
      <c r="T146" s="725"/>
      <c r="U146" s="725"/>
      <c r="V146" s="725"/>
      <c r="W146" s="725"/>
      <c r="X146" s="725"/>
      <c r="Y146" s="725"/>
      <c r="Z146" s="725"/>
      <c r="AA146" s="725"/>
      <c r="AB146" s="725"/>
      <c r="AC146" s="725"/>
      <c r="AD146" s="725"/>
      <c r="AE146" s="725"/>
      <c r="AF146" s="725"/>
      <c r="AG146" s="725"/>
      <c r="AH146" s="725"/>
      <c r="AI146" s="725"/>
      <c r="AJ146" s="725"/>
      <c r="AK146" s="725"/>
      <c r="AL146" s="360"/>
    </row>
    <row r="147" spans="1:38" s="285" customFormat="1" ht="12.75" customHeight="1">
      <c r="A147" s="359"/>
      <c r="B147" s="494"/>
      <c r="C147" s="494"/>
      <c r="D147" s="494"/>
      <c r="E147" s="494"/>
      <c r="F147" s="494"/>
      <c r="G147" s="494"/>
      <c r="H147" s="494"/>
      <c r="I147" s="494"/>
      <c r="J147" s="494"/>
      <c r="K147" s="494"/>
      <c r="L147" s="494"/>
      <c r="M147" s="494"/>
      <c r="N147" s="494"/>
      <c r="O147" s="494"/>
      <c r="P147" s="494"/>
      <c r="Q147" s="494"/>
      <c r="R147" s="494"/>
      <c r="S147" s="494"/>
      <c r="T147" s="494"/>
      <c r="U147" s="494"/>
      <c r="V147" s="494"/>
      <c r="W147" s="494"/>
      <c r="X147" s="494"/>
      <c r="Y147" s="494"/>
      <c r="Z147" s="494"/>
      <c r="AA147" s="494"/>
      <c r="AB147" s="494"/>
      <c r="AC147" s="494"/>
      <c r="AD147" s="494"/>
      <c r="AE147" s="494"/>
      <c r="AF147" s="494"/>
      <c r="AG147" s="494"/>
      <c r="AH147" s="494"/>
      <c r="AI147" s="494"/>
      <c r="AJ147" s="494"/>
      <c r="AK147" s="359"/>
      <c r="AL147" s="360"/>
    </row>
    <row r="148" spans="1:38" s="285" customFormat="1" ht="12.75" customHeight="1">
      <c r="A148" s="359"/>
      <c r="B148" s="494"/>
      <c r="C148" s="494"/>
      <c r="D148" s="494"/>
      <c r="E148" s="494"/>
      <c r="F148" s="494"/>
      <c r="G148" s="494"/>
      <c r="H148" s="494"/>
      <c r="I148" s="494"/>
      <c r="J148" s="494"/>
      <c r="K148" s="494"/>
      <c r="L148" s="494"/>
      <c r="M148" s="494"/>
      <c r="N148" s="494"/>
      <c r="O148" s="494"/>
      <c r="P148" s="494"/>
      <c r="Q148" s="494"/>
      <c r="R148" s="494"/>
      <c r="S148" s="494"/>
      <c r="T148" s="494"/>
      <c r="U148" s="494"/>
      <c r="V148" s="494"/>
      <c r="W148" s="494"/>
      <c r="X148" s="494"/>
      <c r="Y148" s="494"/>
      <c r="Z148" s="494"/>
      <c r="AA148" s="494"/>
      <c r="AB148" s="494"/>
      <c r="AC148" s="494"/>
      <c r="AD148" s="494"/>
      <c r="AE148" s="494"/>
      <c r="AF148" s="494"/>
      <c r="AG148" s="494"/>
      <c r="AH148" s="494"/>
      <c r="AI148" s="494"/>
      <c r="AJ148" s="494"/>
      <c r="AK148" s="359"/>
      <c r="AL148" s="360"/>
    </row>
    <row r="149" spans="1:38" s="285" customFormat="1" ht="12.75" customHeight="1">
      <c r="A149" s="359"/>
      <c r="B149" s="494"/>
      <c r="C149" s="494"/>
      <c r="D149" s="494"/>
      <c r="E149" s="494"/>
      <c r="F149" s="494"/>
      <c r="G149" s="494"/>
      <c r="H149" s="494"/>
      <c r="I149" s="494"/>
      <c r="J149" s="494"/>
      <c r="K149" s="494"/>
      <c r="L149" s="494"/>
      <c r="M149" s="494"/>
      <c r="N149" s="494"/>
      <c r="O149" s="494"/>
      <c r="P149" s="494"/>
      <c r="Q149" s="494"/>
      <c r="R149" s="494"/>
      <c r="S149" s="494"/>
      <c r="T149" s="494"/>
      <c r="U149" s="494"/>
      <c r="V149" s="494"/>
      <c r="W149" s="494"/>
      <c r="X149" s="494"/>
      <c r="Y149" s="494"/>
      <c r="Z149" s="494"/>
      <c r="AA149" s="494"/>
      <c r="AB149" s="494"/>
      <c r="AC149" s="494"/>
      <c r="AD149" s="494"/>
      <c r="AE149" s="494"/>
      <c r="AF149" s="494"/>
      <c r="AG149" s="494"/>
      <c r="AH149" s="494"/>
      <c r="AI149" s="494"/>
      <c r="AJ149" s="494"/>
      <c r="AK149" s="359"/>
      <c r="AL149" s="360"/>
    </row>
    <row r="150" spans="1:38" s="285" customFormat="1" ht="78.75" customHeight="1">
      <c r="A150" s="359"/>
      <c r="B150" s="965" t="s">
        <v>309</v>
      </c>
      <c r="C150" s="965"/>
      <c r="D150" s="965"/>
      <c r="E150" s="965"/>
      <c r="F150" s="965"/>
      <c r="G150" s="965"/>
      <c r="H150" s="965"/>
      <c r="I150" s="965"/>
      <c r="J150" s="965"/>
      <c r="K150" s="965"/>
      <c r="L150" s="965"/>
      <c r="M150" s="965"/>
      <c r="N150" s="965"/>
      <c r="O150" s="965"/>
      <c r="P150" s="965"/>
      <c r="Q150" s="965"/>
      <c r="R150" s="965"/>
      <c r="S150" s="965"/>
      <c r="T150" s="965"/>
      <c r="U150" s="965"/>
      <c r="V150" s="965"/>
      <c r="W150" s="965"/>
      <c r="X150" s="965"/>
      <c r="Y150" s="965"/>
      <c r="Z150" s="965"/>
      <c r="AA150" s="965"/>
      <c r="AB150" s="965"/>
      <c r="AC150" s="965"/>
      <c r="AD150" s="965"/>
      <c r="AE150" s="965"/>
      <c r="AF150" s="965"/>
      <c r="AG150" s="965"/>
      <c r="AH150" s="965"/>
      <c r="AI150" s="965"/>
      <c r="AJ150" s="965"/>
      <c r="AK150" s="965"/>
      <c r="AL150" s="360"/>
    </row>
    <row r="151" spans="1:38" s="285" customFormat="1" ht="11.25" customHeight="1">
      <c r="B151" s="361"/>
    </row>
    <row r="152" spans="1:38" s="285" customFormat="1" ht="45" customHeight="1">
      <c r="B152" s="798" t="s">
        <v>737</v>
      </c>
      <c r="C152" s="798"/>
      <c r="D152" s="798"/>
      <c r="E152" s="798"/>
      <c r="F152" s="798"/>
      <c r="G152" s="798"/>
      <c r="H152" s="798"/>
      <c r="I152" s="798"/>
      <c r="J152" s="798"/>
      <c r="K152" s="798"/>
      <c r="L152" s="798"/>
      <c r="M152" s="798"/>
      <c r="N152" s="798"/>
      <c r="O152" s="798"/>
      <c r="P152" s="798"/>
      <c r="Q152" s="798"/>
      <c r="R152" s="798"/>
      <c r="S152" s="798"/>
      <c r="T152" s="798"/>
      <c r="U152" s="798"/>
      <c r="V152" s="798"/>
      <c r="W152" s="798"/>
      <c r="X152" s="798"/>
      <c r="Y152" s="798"/>
      <c r="Z152" s="798"/>
      <c r="AA152" s="798"/>
      <c r="AB152" s="798"/>
      <c r="AC152" s="798"/>
      <c r="AD152" s="798"/>
      <c r="AE152" s="798"/>
      <c r="AF152" s="798"/>
      <c r="AG152" s="798"/>
      <c r="AH152" s="798"/>
      <c r="AI152" s="798"/>
      <c r="AJ152" s="798"/>
      <c r="AK152" s="798"/>
    </row>
    <row r="153" spans="1:38" s="285" customFormat="1" ht="12.75" customHeight="1">
      <c r="A153" s="311"/>
      <c r="B153" s="614"/>
      <c r="C153" s="614"/>
      <c r="D153" s="614"/>
      <c r="E153" s="614"/>
      <c r="F153" s="614"/>
      <c r="G153" s="614"/>
      <c r="H153" s="614"/>
      <c r="I153" s="614"/>
      <c r="J153" s="614"/>
      <c r="K153" s="614"/>
      <c r="L153" s="614"/>
      <c r="M153" s="614"/>
      <c r="N153" s="614"/>
      <c r="O153" s="614"/>
      <c r="P153" s="614"/>
      <c r="Q153" s="614"/>
      <c r="R153" s="614"/>
      <c r="S153" s="614"/>
      <c r="T153" s="614"/>
      <c r="U153" s="614"/>
      <c r="V153" s="614"/>
      <c r="W153" s="614"/>
      <c r="X153" s="614"/>
      <c r="Y153" s="614"/>
      <c r="Z153" s="614"/>
      <c r="AA153" s="614"/>
      <c r="AB153" s="614"/>
      <c r="AC153" s="614"/>
      <c r="AD153" s="614"/>
      <c r="AE153" s="614"/>
      <c r="AF153" s="614"/>
      <c r="AG153" s="614"/>
      <c r="AH153" s="614"/>
      <c r="AI153" s="614"/>
      <c r="AJ153" s="614"/>
      <c r="AK153" s="614"/>
    </row>
    <row r="154" spans="1:38" s="285" customFormat="1" ht="90" customHeight="1">
      <c r="B154" s="798" t="s">
        <v>738</v>
      </c>
      <c r="C154" s="798"/>
      <c r="D154" s="798"/>
      <c r="E154" s="798"/>
      <c r="F154" s="798"/>
      <c r="G154" s="798"/>
      <c r="H154" s="798"/>
      <c r="I154" s="798"/>
      <c r="J154" s="798"/>
      <c r="K154" s="798"/>
      <c r="L154" s="798"/>
      <c r="M154" s="798"/>
      <c r="N154" s="798"/>
      <c r="O154" s="798"/>
      <c r="P154" s="798"/>
      <c r="Q154" s="798"/>
      <c r="R154" s="798"/>
      <c r="S154" s="798"/>
      <c r="T154" s="798"/>
      <c r="U154" s="798"/>
      <c r="V154" s="798"/>
      <c r="W154" s="798"/>
      <c r="X154" s="798"/>
      <c r="Y154" s="798"/>
      <c r="Z154" s="798"/>
      <c r="AA154" s="798"/>
      <c r="AB154" s="798"/>
      <c r="AC154" s="798"/>
      <c r="AD154" s="798"/>
      <c r="AE154" s="798"/>
      <c r="AF154" s="798"/>
      <c r="AG154" s="798"/>
      <c r="AH154" s="798"/>
      <c r="AI154" s="798"/>
      <c r="AJ154" s="798"/>
      <c r="AK154" s="798"/>
      <c r="AL154" s="360"/>
    </row>
    <row r="155" spans="1:38" s="285" customFormat="1" ht="90" customHeight="1">
      <c r="A155" s="359"/>
      <c r="B155" s="620" t="s">
        <v>215</v>
      </c>
      <c r="C155" s="620"/>
      <c r="D155" s="620"/>
      <c r="E155" s="620"/>
      <c r="F155" s="620"/>
      <c r="G155" s="620"/>
      <c r="H155" s="620"/>
      <c r="I155" s="620"/>
      <c r="J155" s="620"/>
      <c r="K155" s="620"/>
      <c r="L155" s="620"/>
      <c r="M155" s="620"/>
      <c r="N155" s="620"/>
      <c r="O155" s="620"/>
      <c r="P155" s="620"/>
      <c r="Q155" s="620"/>
      <c r="R155" s="620"/>
      <c r="S155" s="620"/>
      <c r="T155" s="620"/>
      <c r="U155" s="620"/>
      <c r="V155" s="620"/>
      <c r="W155" s="620"/>
      <c r="X155" s="620"/>
      <c r="Y155" s="620"/>
      <c r="Z155" s="620"/>
      <c r="AA155" s="620"/>
      <c r="AB155" s="620"/>
      <c r="AC155" s="620"/>
      <c r="AD155" s="620"/>
      <c r="AE155" s="620"/>
      <c r="AF155" s="620"/>
      <c r="AG155" s="620"/>
      <c r="AH155" s="620"/>
      <c r="AI155" s="620"/>
      <c r="AJ155" s="620"/>
      <c r="AK155" s="620"/>
      <c r="AL155" s="360"/>
    </row>
    <row r="156" spans="1:38" s="285" customFormat="1" ht="12.75" customHeight="1">
      <c r="A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60"/>
    </row>
    <row r="157" spans="1:38" s="285" customFormat="1" ht="22.5" customHeight="1">
      <c r="A157" s="359"/>
      <c r="B157" s="798" t="s">
        <v>739</v>
      </c>
      <c r="C157" s="798"/>
      <c r="D157" s="798"/>
      <c r="E157" s="798"/>
      <c r="F157" s="798"/>
      <c r="G157" s="798"/>
      <c r="H157" s="798"/>
      <c r="I157" s="798"/>
      <c r="J157" s="798"/>
      <c r="K157" s="798"/>
      <c r="L157" s="798"/>
      <c r="M157" s="798"/>
      <c r="N157" s="798"/>
      <c r="O157" s="798"/>
      <c r="P157" s="798"/>
      <c r="Q157" s="798"/>
      <c r="R157" s="798"/>
      <c r="S157" s="798"/>
      <c r="T157" s="798"/>
      <c r="U157" s="798"/>
      <c r="V157" s="798"/>
      <c r="W157" s="798"/>
      <c r="X157" s="798"/>
      <c r="Y157" s="798"/>
      <c r="Z157" s="798"/>
      <c r="AA157" s="798"/>
      <c r="AB157" s="798"/>
      <c r="AC157" s="798"/>
      <c r="AD157" s="798"/>
      <c r="AE157" s="798"/>
      <c r="AF157" s="798"/>
      <c r="AG157" s="798"/>
      <c r="AH157" s="798"/>
      <c r="AI157" s="798"/>
      <c r="AJ157" s="798"/>
      <c r="AK157" s="798"/>
      <c r="AL157" s="360"/>
    </row>
    <row r="158" spans="1:38" s="285" customFormat="1" ht="22.5" customHeight="1">
      <c r="A158" s="359"/>
      <c r="B158" s="725" t="s">
        <v>740</v>
      </c>
      <c r="C158" s="725"/>
      <c r="D158" s="725"/>
      <c r="E158" s="725"/>
      <c r="F158" s="725"/>
      <c r="G158" s="725"/>
      <c r="H158" s="725"/>
      <c r="I158" s="725"/>
      <c r="J158" s="725"/>
      <c r="K158" s="725"/>
      <c r="L158" s="725"/>
      <c r="M158" s="725"/>
      <c r="N158" s="725"/>
      <c r="O158" s="725"/>
      <c r="P158" s="725"/>
      <c r="Q158" s="725"/>
      <c r="R158" s="725"/>
      <c r="S158" s="725"/>
      <c r="T158" s="725"/>
      <c r="U158" s="725"/>
      <c r="V158" s="725"/>
      <c r="W158" s="725"/>
      <c r="X158" s="725"/>
      <c r="Y158" s="725"/>
      <c r="Z158" s="725"/>
      <c r="AA158" s="725"/>
      <c r="AB158" s="725"/>
      <c r="AC158" s="725"/>
      <c r="AD158" s="725"/>
      <c r="AE158" s="725"/>
      <c r="AF158" s="725"/>
      <c r="AG158" s="725"/>
      <c r="AH158" s="725"/>
      <c r="AI158" s="725"/>
      <c r="AJ158" s="725"/>
      <c r="AK158" s="725"/>
      <c r="AL158" s="496"/>
    </row>
    <row r="159" spans="1:38" s="285" customFormat="1" ht="33.75" customHeight="1">
      <c r="A159" s="359"/>
      <c r="B159" s="725" t="s">
        <v>741</v>
      </c>
      <c r="C159" s="725"/>
      <c r="D159" s="725"/>
      <c r="E159" s="725"/>
      <c r="F159" s="725"/>
      <c r="G159" s="725"/>
      <c r="H159" s="725"/>
      <c r="I159" s="725"/>
      <c r="J159" s="725"/>
      <c r="K159" s="725"/>
      <c r="L159" s="725"/>
      <c r="M159" s="725"/>
      <c r="N159" s="725"/>
      <c r="O159" s="725"/>
      <c r="P159" s="725"/>
      <c r="Q159" s="725"/>
      <c r="R159" s="725"/>
      <c r="S159" s="725"/>
      <c r="T159" s="725"/>
      <c r="U159" s="725"/>
      <c r="V159" s="725"/>
      <c r="W159" s="725"/>
      <c r="X159" s="725"/>
      <c r="Y159" s="725"/>
      <c r="Z159" s="725"/>
      <c r="AA159" s="725"/>
      <c r="AB159" s="725"/>
      <c r="AC159" s="725"/>
      <c r="AD159" s="725"/>
      <c r="AE159" s="725"/>
      <c r="AF159" s="725"/>
      <c r="AG159" s="725"/>
      <c r="AH159" s="725"/>
      <c r="AI159" s="725"/>
      <c r="AJ159" s="725"/>
      <c r="AK159" s="725"/>
      <c r="AL159" s="360"/>
    </row>
    <row r="160" spans="1:38" s="285" customFormat="1" ht="11.25" customHeight="1">
      <c r="A160" s="359"/>
      <c r="B160" s="237"/>
      <c r="C160" s="362"/>
      <c r="D160" s="362"/>
      <c r="E160" s="362"/>
      <c r="F160" s="362"/>
      <c r="G160" s="362"/>
      <c r="H160" s="362"/>
      <c r="I160" s="362"/>
      <c r="J160" s="362"/>
      <c r="K160" s="362"/>
      <c r="L160" s="362"/>
      <c r="M160" s="362"/>
      <c r="N160" s="362"/>
      <c r="O160" s="362"/>
      <c r="P160" s="362"/>
      <c r="Q160" s="362"/>
      <c r="R160" s="362"/>
      <c r="S160" s="362"/>
      <c r="T160" s="362"/>
      <c r="U160" s="362"/>
      <c r="V160" s="362"/>
      <c r="W160" s="362"/>
      <c r="X160" s="362"/>
      <c r="Y160" s="362"/>
      <c r="Z160" s="362"/>
      <c r="AA160" s="362"/>
      <c r="AB160" s="362"/>
      <c r="AC160" s="362"/>
      <c r="AD160" s="362"/>
      <c r="AE160" s="362"/>
      <c r="AF160" s="362"/>
      <c r="AG160" s="362"/>
      <c r="AH160" s="362"/>
      <c r="AI160" s="362"/>
      <c r="AJ160" s="362"/>
      <c r="AK160" s="362"/>
      <c r="AL160" s="360"/>
    </row>
    <row r="161" spans="1:38" s="285" customFormat="1" ht="67.5" customHeight="1">
      <c r="A161" s="359"/>
      <c r="B161" s="967" t="s">
        <v>742</v>
      </c>
      <c r="C161" s="967"/>
      <c r="D161" s="967"/>
      <c r="E161" s="967"/>
      <c r="F161" s="967"/>
      <c r="G161" s="967"/>
      <c r="H161" s="967"/>
      <c r="I161" s="967"/>
      <c r="J161" s="967"/>
      <c r="K161" s="967"/>
      <c r="L161" s="967"/>
      <c r="M161" s="967"/>
      <c r="N161" s="967"/>
      <c r="O161" s="967"/>
      <c r="P161" s="967"/>
      <c r="Q161" s="967"/>
      <c r="R161" s="967"/>
      <c r="S161" s="967"/>
      <c r="T161" s="967"/>
      <c r="U161" s="967"/>
      <c r="V161" s="967"/>
      <c r="W161" s="967"/>
      <c r="X161" s="967"/>
      <c r="Y161" s="967"/>
      <c r="Z161" s="967"/>
      <c r="AA161" s="967"/>
      <c r="AB161" s="967"/>
      <c r="AC161" s="967"/>
      <c r="AD161" s="967"/>
      <c r="AE161" s="967"/>
      <c r="AF161" s="967"/>
      <c r="AG161" s="967"/>
      <c r="AH161" s="967"/>
      <c r="AI161" s="967"/>
      <c r="AJ161" s="967"/>
      <c r="AK161" s="967"/>
      <c r="AL161" s="360"/>
    </row>
    <row r="162" spans="1:38" s="285" customFormat="1" ht="12.75" customHeight="1">
      <c r="A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60"/>
    </row>
    <row r="163" spans="1:38" s="285" customFormat="1" ht="33.75" customHeight="1">
      <c r="A163" s="359"/>
      <c r="B163" s="798" t="s">
        <v>743</v>
      </c>
      <c r="C163" s="798"/>
      <c r="D163" s="798"/>
      <c r="E163" s="798"/>
      <c r="F163" s="798"/>
      <c r="G163" s="798"/>
      <c r="H163" s="798"/>
      <c r="I163" s="798"/>
      <c r="J163" s="798"/>
      <c r="K163" s="798"/>
      <c r="L163" s="798"/>
      <c r="M163" s="798"/>
      <c r="N163" s="798"/>
      <c r="O163" s="798"/>
      <c r="P163" s="798"/>
      <c r="Q163" s="798"/>
      <c r="R163" s="798"/>
      <c r="S163" s="798"/>
      <c r="T163" s="798"/>
      <c r="U163" s="798"/>
      <c r="V163" s="798"/>
      <c r="W163" s="798"/>
      <c r="X163" s="798"/>
      <c r="Y163" s="798"/>
      <c r="Z163" s="798"/>
      <c r="AA163" s="798"/>
      <c r="AB163" s="798"/>
      <c r="AC163" s="798"/>
      <c r="AD163" s="798"/>
      <c r="AE163" s="798"/>
      <c r="AF163" s="798"/>
      <c r="AG163" s="798"/>
      <c r="AH163" s="798"/>
      <c r="AI163" s="798"/>
      <c r="AJ163" s="798"/>
      <c r="AK163" s="798"/>
      <c r="AL163" s="360"/>
    </row>
    <row r="164" spans="1:38" s="285" customFormat="1" ht="11.25" customHeight="1">
      <c r="A164" s="359"/>
      <c r="B164" s="239"/>
      <c r="C164" s="362"/>
      <c r="D164" s="362"/>
      <c r="E164" s="362"/>
      <c r="F164" s="362"/>
      <c r="G164" s="362"/>
      <c r="H164" s="362"/>
      <c r="I164" s="362"/>
      <c r="J164" s="362"/>
      <c r="K164" s="362"/>
      <c r="L164" s="362"/>
      <c r="M164" s="362"/>
      <c r="N164" s="362"/>
      <c r="O164" s="362"/>
      <c r="P164" s="362"/>
      <c r="Q164" s="362"/>
      <c r="R164" s="362"/>
      <c r="S164" s="362"/>
      <c r="T164" s="362"/>
      <c r="U164" s="362"/>
      <c r="V164" s="362"/>
      <c r="W164" s="362"/>
      <c r="X164" s="362"/>
      <c r="Y164" s="362"/>
      <c r="Z164" s="362"/>
      <c r="AA164" s="362"/>
      <c r="AB164" s="362"/>
      <c r="AC164" s="362"/>
      <c r="AD164" s="362"/>
      <c r="AE164" s="362"/>
      <c r="AF164" s="362"/>
      <c r="AG164" s="362"/>
      <c r="AH164" s="362"/>
      <c r="AI164" s="362"/>
      <c r="AJ164" s="362"/>
      <c r="AK164" s="362"/>
      <c r="AL164" s="360"/>
    </row>
    <row r="165" spans="1:38" s="285" customFormat="1" ht="45" customHeight="1">
      <c r="A165" s="359"/>
      <c r="B165" s="798" t="s">
        <v>744</v>
      </c>
      <c r="C165" s="798"/>
      <c r="D165" s="798"/>
      <c r="E165" s="798"/>
      <c r="F165" s="798"/>
      <c r="G165" s="798"/>
      <c r="H165" s="798"/>
      <c r="I165" s="798"/>
      <c r="J165" s="798"/>
      <c r="K165" s="798"/>
      <c r="L165" s="798"/>
      <c r="M165" s="798"/>
      <c r="N165" s="798"/>
      <c r="O165" s="798"/>
      <c r="P165" s="798"/>
      <c r="Q165" s="798"/>
      <c r="R165" s="798"/>
      <c r="S165" s="798"/>
      <c r="T165" s="798"/>
      <c r="U165" s="798"/>
      <c r="V165" s="798"/>
      <c r="W165" s="798"/>
      <c r="X165" s="798"/>
      <c r="Y165" s="798"/>
      <c r="Z165" s="798"/>
      <c r="AA165" s="798"/>
      <c r="AB165" s="798"/>
      <c r="AC165" s="798"/>
      <c r="AD165" s="798"/>
      <c r="AE165" s="798"/>
      <c r="AF165" s="798"/>
      <c r="AG165" s="798"/>
      <c r="AH165" s="798"/>
      <c r="AI165" s="798"/>
      <c r="AJ165" s="798"/>
      <c r="AK165" s="798"/>
      <c r="AL165" s="360"/>
    </row>
    <row r="166" spans="1:38" s="285" customFormat="1" ht="12.75" customHeight="1">
      <c r="A166" s="359"/>
      <c r="B166" s="390"/>
      <c r="C166" s="362"/>
      <c r="D166" s="362"/>
      <c r="E166" s="362"/>
      <c r="F166" s="362"/>
      <c r="G166" s="362"/>
      <c r="H166" s="362"/>
      <c r="I166" s="362"/>
      <c r="J166" s="362"/>
      <c r="K166" s="362"/>
      <c r="L166" s="362"/>
      <c r="M166" s="362"/>
      <c r="N166" s="362"/>
      <c r="O166" s="362"/>
      <c r="P166" s="362"/>
      <c r="Q166" s="362"/>
      <c r="R166" s="362"/>
      <c r="S166" s="362"/>
      <c r="T166" s="362"/>
      <c r="U166" s="362"/>
      <c r="V166" s="362"/>
      <c r="W166" s="362"/>
      <c r="X166" s="362"/>
      <c r="Y166" s="362"/>
      <c r="Z166" s="362"/>
      <c r="AA166" s="362"/>
      <c r="AB166" s="362"/>
      <c r="AC166" s="362"/>
      <c r="AD166" s="362"/>
      <c r="AE166" s="362"/>
      <c r="AF166" s="362"/>
      <c r="AG166" s="362"/>
      <c r="AH166" s="362"/>
      <c r="AI166" s="362"/>
      <c r="AJ166" s="362"/>
      <c r="AK166" s="362"/>
      <c r="AL166" s="360"/>
    </row>
    <row r="167" spans="1:38" s="285" customFormat="1" ht="56.25" customHeight="1">
      <c r="A167" s="359"/>
      <c r="B167" s="798" t="s">
        <v>745</v>
      </c>
      <c r="C167" s="798"/>
      <c r="D167" s="798"/>
      <c r="E167" s="798"/>
      <c r="F167" s="798"/>
      <c r="G167" s="798"/>
      <c r="H167" s="798"/>
      <c r="I167" s="798"/>
      <c r="J167" s="798"/>
      <c r="K167" s="798"/>
      <c r="L167" s="798"/>
      <c r="M167" s="798"/>
      <c r="N167" s="798"/>
      <c r="O167" s="798"/>
      <c r="P167" s="798"/>
      <c r="Q167" s="798"/>
      <c r="R167" s="798"/>
      <c r="S167" s="798"/>
      <c r="T167" s="798"/>
      <c r="U167" s="798"/>
      <c r="V167" s="798"/>
      <c r="W167" s="798"/>
      <c r="X167" s="798"/>
      <c r="Y167" s="798"/>
      <c r="Z167" s="798"/>
      <c r="AA167" s="798"/>
      <c r="AB167" s="798"/>
      <c r="AC167" s="798"/>
      <c r="AD167" s="798"/>
      <c r="AE167" s="798"/>
      <c r="AF167" s="798"/>
      <c r="AG167" s="798"/>
      <c r="AH167" s="798"/>
      <c r="AI167" s="798"/>
      <c r="AJ167" s="798"/>
      <c r="AK167" s="798"/>
      <c r="AL167" s="360"/>
    </row>
    <row r="168" spans="1:38" s="285" customFormat="1" ht="22.5" customHeight="1">
      <c r="A168" s="359"/>
      <c r="B168" s="725" t="s">
        <v>231</v>
      </c>
      <c r="C168" s="725"/>
      <c r="D168" s="725"/>
      <c r="E168" s="725"/>
      <c r="F168" s="725"/>
      <c r="G168" s="725"/>
      <c r="H168" s="725"/>
      <c r="I168" s="725"/>
      <c r="J168" s="725"/>
      <c r="K168" s="725"/>
      <c r="L168" s="725"/>
      <c r="M168" s="725"/>
      <c r="N168" s="725"/>
      <c r="O168" s="725"/>
      <c r="P168" s="725"/>
      <c r="Q168" s="725"/>
      <c r="R168" s="725"/>
      <c r="S168" s="725"/>
      <c r="T168" s="725"/>
      <c r="U168" s="725"/>
      <c r="V168" s="725"/>
      <c r="W168" s="725"/>
      <c r="X168" s="725"/>
      <c r="Y168" s="725"/>
      <c r="Z168" s="725"/>
      <c r="AA168" s="725"/>
      <c r="AB168" s="725"/>
      <c r="AC168" s="725"/>
      <c r="AD168" s="725"/>
      <c r="AE168" s="725"/>
      <c r="AF168" s="725"/>
      <c r="AG168" s="725"/>
      <c r="AH168" s="725"/>
      <c r="AI168" s="725"/>
      <c r="AJ168" s="725"/>
      <c r="AK168" s="725"/>
      <c r="AL168" s="360"/>
    </row>
    <row r="169" spans="1:38" s="285" customFormat="1" ht="12.75" customHeight="1">
      <c r="A169" s="359"/>
      <c r="B169" s="237"/>
      <c r="C169" s="362"/>
      <c r="D169" s="362"/>
      <c r="E169" s="362"/>
      <c r="F169" s="362"/>
      <c r="G169" s="362"/>
      <c r="H169" s="362"/>
      <c r="I169" s="362"/>
      <c r="J169" s="362"/>
      <c r="K169" s="362"/>
      <c r="L169" s="362"/>
      <c r="M169" s="362"/>
      <c r="N169" s="362"/>
      <c r="O169" s="362"/>
      <c r="P169" s="362"/>
      <c r="Q169" s="362"/>
      <c r="R169" s="362"/>
      <c r="S169" s="362"/>
      <c r="T169" s="362"/>
      <c r="U169" s="362"/>
      <c r="V169" s="362"/>
      <c r="W169" s="362"/>
      <c r="X169" s="362"/>
      <c r="Y169" s="362"/>
      <c r="Z169" s="362"/>
      <c r="AA169" s="362"/>
      <c r="AB169" s="362"/>
      <c r="AC169" s="362"/>
      <c r="AD169" s="362"/>
      <c r="AE169" s="362"/>
      <c r="AF169" s="362"/>
      <c r="AG169" s="362"/>
      <c r="AH169" s="362"/>
      <c r="AI169" s="362"/>
      <c r="AJ169" s="362"/>
      <c r="AK169" s="362"/>
      <c r="AL169" s="360"/>
    </row>
    <row r="170" spans="1:38" s="285" customFormat="1" ht="56.25" customHeight="1">
      <c r="A170" s="359"/>
      <c r="B170" s="967" t="s">
        <v>746</v>
      </c>
      <c r="C170" s="967"/>
      <c r="D170" s="967"/>
      <c r="E170" s="967"/>
      <c r="F170" s="967"/>
      <c r="G170" s="967"/>
      <c r="H170" s="967"/>
      <c r="I170" s="967"/>
      <c r="J170" s="967"/>
      <c r="K170" s="967"/>
      <c r="L170" s="967"/>
      <c r="M170" s="967"/>
      <c r="N170" s="967"/>
      <c r="O170" s="967"/>
      <c r="P170" s="967"/>
      <c r="Q170" s="967"/>
      <c r="R170" s="967"/>
      <c r="S170" s="967"/>
      <c r="T170" s="967"/>
      <c r="U170" s="967"/>
      <c r="V170" s="967"/>
      <c r="W170" s="967"/>
      <c r="X170" s="967"/>
      <c r="Y170" s="967"/>
      <c r="Z170" s="967"/>
      <c r="AA170" s="967"/>
      <c r="AB170" s="967"/>
      <c r="AC170" s="967"/>
      <c r="AD170" s="967"/>
      <c r="AE170" s="967"/>
      <c r="AF170" s="967"/>
      <c r="AG170" s="967"/>
      <c r="AH170" s="967"/>
      <c r="AI170" s="967"/>
      <c r="AJ170" s="967"/>
      <c r="AK170" s="967"/>
      <c r="AL170" s="360"/>
    </row>
    <row r="171" spans="1:38" s="285" customFormat="1" ht="12.75" customHeight="1">
      <c r="A171" s="359"/>
      <c r="B171" s="362"/>
      <c r="C171" s="362"/>
      <c r="D171" s="362"/>
      <c r="E171" s="362"/>
      <c r="F171" s="362"/>
      <c r="G171" s="362"/>
      <c r="H171" s="362"/>
      <c r="I171" s="362"/>
      <c r="J171" s="362"/>
      <c r="K171" s="362"/>
      <c r="L171" s="362"/>
      <c r="M171" s="362"/>
      <c r="N171" s="362"/>
      <c r="O171" s="362"/>
      <c r="P171" s="362"/>
      <c r="Q171" s="362"/>
      <c r="R171" s="362"/>
      <c r="S171" s="362"/>
      <c r="T171" s="362"/>
      <c r="U171" s="362"/>
      <c r="V171" s="362"/>
      <c r="W171" s="362"/>
      <c r="X171" s="362"/>
      <c r="Y171" s="362"/>
      <c r="Z171" s="362"/>
      <c r="AA171" s="362"/>
      <c r="AB171" s="362"/>
      <c r="AC171" s="362"/>
      <c r="AD171" s="362"/>
      <c r="AE171" s="362"/>
      <c r="AF171" s="362"/>
      <c r="AG171" s="362"/>
      <c r="AH171" s="362"/>
      <c r="AI171" s="362"/>
      <c r="AJ171" s="362"/>
      <c r="AK171" s="362"/>
      <c r="AL171" s="360"/>
    </row>
    <row r="172" spans="1:38" s="285" customFormat="1" ht="78.75" customHeight="1">
      <c r="A172" s="359"/>
      <c r="B172" s="967" t="s">
        <v>747</v>
      </c>
      <c r="C172" s="967"/>
      <c r="D172" s="967"/>
      <c r="E172" s="967"/>
      <c r="F172" s="967"/>
      <c r="G172" s="967"/>
      <c r="H172" s="967"/>
      <c r="I172" s="967"/>
      <c r="J172" s="967"/>
      <c r="K172" s="967"/>
      <c r="L172" s="967"/>
      <c r="M172" s="967"/>
      <c r="N172" s="967"/>
      <c r="O172" s="967"/>
      <c r="P172" s="967"/>
      <c r="Q172" s="967"/>
      <c r="R172" s="967"/>
      <c r="S172" s="967"/>
      <c r="T172" s="967"/>
      <c r="U172" s="967"/>
      <c r="V172" s="967"/>
      <c r="W172" s="967"/>
      <c r="X172" s="967"/>
      <c r="Y172" s="967"/>
      <c r="Z172" s="967"/>
      <c r="AA172" s="967"/>
      <c r="AB172" s="967"/>
      <c r="AC172" s="967"/>
      <c r="AD172" s="967"/>
      <c r="AE172" s="967"/>
      <c r="AF172" s="967"/>
      <c r="AG172" s="967"/>
      <c r="AH172" s="967"/>
      <c r="AI172" s="967"/>
      <c r="AJ172" s="967"/>
      <c r="AK172" s="967"/>
      <c r="AL172" s="360"/>
    </row>
    <row r="173" spans="1:38" s="285" customFormat="1" ht="12.75" customHeight="1">
      <c r="A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60"/>
    </row>
    <row r="174" spans="1:38" s="285" customFormat="1" ht="56.25" customHeight="1">
      <c r="A174" s="359"/>
      <c r="B174" s="725" t="s">
        <v>234</v>
      </c>
      <c r="C174" s="725"/>
      <c r="D174" s="725"/>
      <c r="E174" s="725"/>
      <c r="F174" s="725"/>
      <c r="G174" s="725"/>
      <c r="H174" s="725"/>
      <c r="I174" s="725"/>
      <c r="J174" s="725"/>
      <c r="K174" s="725"/>
      <c r="L174" s="725"/>
      <c r="M174" s="725"/>
      <c r="N174" s="725"/>
      <c r="O174" s="725"/>
      <c r="P174" s="725"/>
      <c r="Q174" s="725"/>
      <c r="R174" s="725"/>
      <c r="S174" s="725"/>
      <c r="T174" s="725"/>
      <c r="U174" s="725"/>
      <c r="V174" s="725"/>
      <c r="W174" s="725"/>
      <c r="X174" s="725"/>
      <c r="Y174" s="725"/>
      <c r="Z174" s="725"/>
      <c r="AA174" s="725"/>
      <c r="AB174" s="725"/>
      <c r="AC174" s="725"/>
      <c r="AD174" s="725"/>
      <c r="AE174" s="725"/>
      <c r="AF174" s="725"/>
      <c r="AG174" s="725"/>
      <c r="AH174" s="725"/>
      <c r="AI174" s="725"/>
      <c r="AJ174" s="725"/>
      <c r="AK174" s="725"/>
      <c r="AL174" s="360"/>
    </row>
    <row r="175" spans="1:38" s="285" customFormat="1" ht="22.5" customHeight="1">
      <c r="A175" s="359"/>
      <c r="B175" s="620" t="s">
        <v>235</v>
      </c>
      <c r="C175" s="620"/>
      <c r="D175" s="620"/>
      <c r="E175" s="620"/>
      <c r="F175" s="620"/>
      <c r="G175" s="620"/>
      <c r="H175" s="620"/>
      <c r="I175" s="620"/>
      <c r="J175" s="620"/>
      <c r="K175" s="620"/>
      <c r="L175" s="620"/>
      <c r="M175" s="620"/>
      <c r="N175" s="620"/>
      <c r="O175" s="620"/>
      <c r="P175" s="620"/>
      <c r="Q175" s="620"/>
      <c r="R175" s="620"/>
      <c r="S175" s="620"/>
      <c r="T175" s="620"/>
      <c r="U175" s="620"/>
      <c r="V175" s="620"/>
      <c r="W175" s="620"/>
      <c r="X175" s="620"/>
      <c r="Y175" s="620"/>
      <c r="Z175" s="620"/>
      <c r="AA175" s="620"/>
      <c r="AB175" s="620"/>
      <c r="AC175" s="620"/>
      <c r="AD175" s="620"/>
      <c r="AE175" s="620"/>
      <c r="AF175" s="620"/>
      <c r="AG175" s="620"/>
      <c r="AH175" s="620"/>
      <c r="AI175" s="620"/>
      <c r="AJ175" s="620"/>
      <c r="AK175" s="620"/>
      <c r="AL175" s="360"/>
    </row>
    <row r="176" spans="1:38" s="285" customFormat="1" ht="11.25" customHeight="1">
      <c r="A176" s="359"/>
      <c r="B176" s="237"/>
      <c r="C176" s="362"/>
      <c r="D176" s="362"/>
      <c r="E176" s="362"/>
      <c r="F176" s="362"/>
      <c r="G176" s="362"/>
      <c r="H176" s="362"/>
      <c r="I176" s="362"/>
      <c r="J176" s="362"/>
      <c r="K176" s="362"/>
      <c r="L176" s="362"/>
      <c r="M176" s="362"/>
      <c r="N176" s="362"/>
      <c r="O176" s="362"/>
      <c r="P176" s="362"/>
      <c r="Q176" s="362"/>
      <c r="R176" s="362"/>
      <c r="S176" s="362"/>
      <c r="T176" s="362"/>
      <c r="U176" s="362"/>
      <c r="V176" s="362"/>
      <c r="W176" s="362"/>
      <c r="X176" s="362"/>
      <c r="Y176" s="362"/>
      <c r="Z176" s="362"/>
      <c r="AA176" s="362"/>
      <c r="AB176" s="362"/>
      <c r="AC176" s="362"/>
      <c r="AD176" s="362"/>
      <c r="AE176" s="362"/>
      <c r="AF176" s="362"/>
      <c r="AG176" s="362"/>
      <c r="AH176" s="362"/>
      <c r="AI176" s="362"/>
      <c r="AJ176" s="362"/>
      <c r="AK176" s="362"/>
      <c r="AL176" s="360"/>
    </row>
    <row r="177" spans="1:38" s="285" customFormat="1" ht="351" customHeight="1">
      <c r="A177" s="359"/>
      <c r="B177" s="967" t="s">
        <v>748</v>
      </c>
      <c r="C177" s="967"/>
      <c r="D177" s="967"/>
      <c r="E177" s="967"/>
      <c r="F177" s="967"/>
      <c r="G177" s="967"/>
      <c r="H177" s="967"/>
      <c r="I177" s="967"/>
      <c r="J177" s="967"/>
      <c r="K177" s="967"/>
      <c r="L177" s="967"/>
      <c r="M177" s="967"/>
      <c r="N177" s="967"/>
      <c r="O177" s="967"/>
      <c r="P177" s="967"/>
      <c r="Q177" s="967"/>
      <c r="R177" s="967"/>
      <c r="S177" s="967"/>
      <c r="T177" s="967"/>
      <c r="U177" s="967"/>
      <c r="V177" s="967"/>
      <c r="W177" s="967"/>
      <c r="X177" s="967"/>
      <c r="Y177" s="967"/>
      <c r="Z177" s="967"/>
      <c r="AA177" s="967"/>
      <c r="AB177" s="967"/>
      <c r="AC177" s="967"/>
      <c r="AD177" s="967"/>
      <c r="AE177" s="967"/>
      <c r="AF177" s="967"/>
      <c r="AG177" s="967"/>
      <c r="AH177" s="967"/>
      <c r="AI177" s="967"/>
      <c r="AJ177" s="967"/>
      <c r="AK177" s="967"/>
      <c r="AL177" s="360"/>
    </row>
    <row r="178" spans="1:38" s="285" customFormat="1" ht="11.25" customHeight="1">
      <c r="A178" s="359"/>
      <c r="B178" s="390"/>
      <c r="C178" s="362"/>
      <c r="D178" s="362"/>
      <c r="E178" s="362"/>
      <c r="F178" s="362"/>
      <c r="G178" s="362"/>
      <c r="H178" s="362"/>
      <c r="I178" s="362"/>
      <c r="J178" s="362"/>
      <c r="K178" s="362"/>
      <c r="L178" s="362"/>
      <c r="M178" s="362"/>
      <c r="N178" s="362"/>
      <c r="O178" s="362"/>
      <c r="P178" s="362"/>
      <c r="Q178" s="362"/>
      <c r="R178" s="362"/>
      <c r="S178" s="362"/>
      <c r="T178" s="362"/>
      <c r="U178" s="362"/>
      <c r="V178" s="362"/>
      <c r="W178" s="362"/>
      <c r="X178" s="362"/>
      <c r="Y178" s="362"/>
      <c r="Z178" s="362"/>
      <c r="AA178" s="362"/>
      <c r="AB178" s="362"/>
      <c r="AC178" s="362"/>
      <c r="AD178" s="362"/>
      <c r="AE178" s="362"/>
      <c r="AF178" s="362"/>
      <c r="AG178" s="362"/>
      <c r="AH178" s="362"/>
      <c r="AI178" s="362"/>
      <c r="AJ178" s="362"/>
      <c r="AK178" s="362"/>
      <c r="AL178" s="360"/>
    </row>
    <row r="179" spans="1:38" s="285" customFormat="1" ht="56.25" customHeight="1">
      <c r="A179" s="359"/>
      <c r="B179" s="798" t="s">
        <v>749</v>
      </c>
      <c r="C179" s="798"/>
      <c r="D179" s="798"/>
      <c r="E179" s="798"/>
      <c r="F179" s="798"/>
      <c r="G179" s="798"/>
      <c r="H179" s="798"/>
      <c r="I179" s="798"/>
      <c r="J179" s="798"/>
      <c r="K179" s="798"/>
      <c r="L179" s="798"/>
      <c r="M179" s="798"/>
      <c r="N179" s="798"/>
      <c r="O179" s="798"/>
      <c r="P179" s="798"/>
      <c r="Q179" s="798"/>
      <c r="R179" s="798"/>
      <c r="S179" s="798"/>
      <c r="T179" s="798"/>
      <c r="U179" s="798"/>
      <c r="V179" s="798"/>
      <c r="W179" s="798"/>
      <c r="X179" s="798"/>
      <c r="Y179" s="798"/>
      <c r="Z179" s="798"/>
      <c r="AA179" s="798"/>
      <c r="AB179" s="798"/>
      <c r="AC179" s="798"/>
      <c r="AD179" s="798"/>
      <c r="AE179" s="798"/>
      <c r="AF179" s="798"/>
      <c r="AG179" s="798"/>
      <c r="AH179" s="798"/>
      <c r="AI179" s="798"/>
      <c r="AJ179" s="798"/>
      <c r="AK179" s="798"/>
      <c r="AL179" s="360"/>
    </row>
    <row r="180" spans="1:38" s="285" customFormat="1" ht="11.25" customHeight="1">
      <c r="A180" s="359"/>
      <c r="B180" s="390"/>
      <c r="C180" s="362"/>
      <c r="D180" s="362"/>
      <c r="E180" s="362"/>
      <c r="F180" s="362"/>
      <c r="G180" s="362"/>
      <c r="H180" s="362"/>
      <c r="I180" s="362"/>
      <c r="J180" s="362"/>
      <c r="K180" s="362"/>
      <c r="L180" s="362"/>
      <c r="M180" s="362"/>
      <c r="N180" s="362"/>
      <c r="O180" s="362"/>
      <c r="P180" s="362"/>
      <c r="Q180" s="362"/>
      <c r="R180" s="362"/>
      <c r="S180" s="362"/>
      <c r="T180" s="362"/>
      <c r="U180" s="362"/>
      <c r="V180" s="362"/>
      <c r="W180" s="362"/>
      <c r="X180" s="362"/>
      <c r="Y180" s="362"/>
      <c r="Z180" s="362"/>
      <c r="AA180" s="362"/>
      <c r="AB180" s="362"/>
      <c r="AC180" s="362"/>
      <c r="AD180" s="362"/>
      <c r="AE180" s="362"/>
      <c r="AF180" s="362"/>
      <c r="AG180" s="362"/>
      <c r="AH180" s="362"/>
      <c r="AI180" s="362"/>
      <c r="AJ180" s="362"/>
      <c r="AK180" s="362"/>
      <c r="AL180" s="360"/>
    </row>
    <row r="181" spans="1:38" s="285" customFormat="1" ht="331.5" customHeight="1">
      <c r="A181" s="359"/>
      <c r="B181" s="967" t="s">
        <v>750</v>
      </c>
      <c r="C181" s="967"/>
      <c r="D181" s="967"/>
      <c r="E181" s="967"/>
      <c r="F181" s="967"/>
      <c r="G181" s="967"/>
      <c r="H181" s="967"/>
      <c r="I181" s="967"/>
      <c r="J181" s="967"/>
      <c r="K181" s="967"/>
      <c r="L181" s="967"/>
      <c r="M181" s="967"/>
      <c r="N181" s="967"/>
      <c r="O181" s="967"/>
      <c r="P181" s="967"/>
      <c r="Q181" s="967"/>
      <c r="R181" s="967"/>
      <c r="S181" s="967"/>
      <c r="T181" s="967"/>
      <c r="U181" s="967"/>
      <c r="V181" s="967"/>
      <c r="W181" s="967"/>
      <c r="X181" s="967"/>
      <c r="Y181" s="967"/>
      <c r="Z181" s="967"/>
      <c r="AA181" s="967"/>
      <c r="AB181" s="967"/>
      <c r="AC181" s="967"/>
      <c r="AD181" s="967"/>
      <c r="AE181" s="967"/>
      <c r="AF181" s="967"/>
      <c r="AG181" s="967"/>
      <c r="AH181" s="967"/>
      <c r="AI181" s="967"/>
      <c r="AJ181" s="967"/>
      <c r="AK181" s="967"/>
      <c r="AL181" s="360"/>
    </row>
    <row r="182" spans="1:38" s="285" customFormat="1" ht="11.25" customHeight="1">
      <c r="A182" s="359"/>
      <c r="B182" s="499"/>
      <c r="C182" s="362"/>
      <c r="D182" s="362"/>
      <c r="E182" s="362"/>
      <c r="F182" s="362"/>
      <c r="G182" s="362"/>
      <c r="H182" s="362"/>
      <c r="I182" s="362"/>
      <c r="J182" s="362"/>
      <c r="K182" s="362"/>
      <c r="L182" s="362"/>
      <c r="M182" s="362"/>
      <c r="N182" s="362"/>
      <c r="O182" s="362"/>
      <c r="P182" s="362"/>
      <c r="Q182" s="362"/>
      <c r="R182" s="362"/>
      <c r="S182" s="362"/>
      <c r="T182" s="362"/>
      <c r="U182" s="362"/>
      <c r="V182" s="362"/>
      <c r="W182" s="362"/>
      <c r="X182" s="362"/>
      <c r="Y182" s="362"/>
      <c r="Z182" s="362"/>
      <c r="AA182" s="362"/>
      <c r="AB182" s="362"/>
      <c r="AC182" s="362"/>
      <c r="AD182" s="362"/>
      <c r="AE182" s="362"/>
      <c r="AF182" s="362"/>
      <c r="AG182" s="362"/>
      <c r="AH182" s="362"/>
      <c r="AI182" s="362"/>
      <c r="AJ182" s="362"/>
      <c r="AK182" s="362"/>
      <c r="AL182" s="360"/>
    </row>
    <row r="183" spans="1:38" s="285" customFormat="1" ht="22.5" customHeight="1">
      <c r="A183" s="359"/>
      <c r="B183" s="798" t="s">
        <v>751</v>
      </c>
      <c r="C183" s="798"/>
      <c r="D183" s="798"/>
      <c r="E183" s="798"/>
      <c r="F183" s="798"/>
      <c r="G183" s="798"/>
      <c r="H183" s="798"/>
      <c r="I183" s="798"/>
      <c r="J183" s="798"/>
      <c r="K183" s="798"/>
      <c r="L183" s="798"/>
      <c r="M183" s="798"/>
      <c r="N183" s="798"/>
      <c r="O183" s="798"/>
      <c r="P183" s="798"/>
      <c r="Q183" s="798"/>
      <c r="R183" s="798"/>
      <c r="S183" s="798"/>
      <c r="T183" s="798"/>
      <c r="U183" s="798"/>
      <c r="V183" s="798"/>
      <c r="W183" s="798"/>
      <c r="X183" s="798"/>
      <c r="Y183" s="798"/>
      <c r="Z183" s="798"/>
      <c r="AA183" s="798"/>
      <c r="AB183" s="798"/>
      <c r="AC183" s="798"/>
      <c r="AD183" s="798"/>
      <c r="AE183" s="798"/>
      <c r="AF183" s="798"/>
      <c r="AG183" s="798"/>
      <c r="AH183" s="798"/>
      <c r="AI183" s="798"/>
      <c r="AJ183" s="798"/>
      <c r="AK183" s="798"/>
      <c r="AL183" s="360"/>
    </row>
    <row r="184" spans="1:38" s="285" customFormat="1" ht="11.25" customHeight="1">
      <c r="A184" s="359"/>
      <c r="B184" s="390"/>
      <c r="C184" s="362"/>
      <c r="D184" s="362"/>
      <c r="E184" s="362"/>
      <c r="F184" s="362"/>
      <c r="G184" s="362"/>
      <c r="H184" s="362"/>
      <c r="I184" s="362"/>
      <c r="J184" s="362"/>
      <c r="K184" s="362"/>
      <c r="L184" s="362"/>
      <c r="M184" s="362"/>
      <c r="N184" s="362"/>
      <c r="O184" s="362"/>
      <c r="P184" s="362"/>
      <c r="Q184" s="362"/>
      <c r="R184" s="362"/>
      <c r="S184" s="362"/>
      <c r="T184" s="362"/>
      <c r="U184" s="362"/>
      <c r="V184" s="362"/>
      <c r="W184" s="362"/>
      <c r="X184" s="362"/>
      <c r="Y184" s="362"/>
      <c r="Z184" s="362"/>
      <c r="AA184" s="362"/>
      <c r="AB184" s="362"/>
      <c r="AC184" s="362"/>
      <c r="AD184" s="362"/>
      <c r="AE184" s="362"/>
      <c r="AF184" s="362"/>
      <c r="AG184" s="362"/>
      <c r="AH184" s="362"/>
      <c r="AI184" s="362"/>
      <c r="AJ184" s="362"/>
      <c r="AK184" s="362"/>
      <c r="AL184" s="360"/>
    </row>
    <row r="185" spans="1:38" s="285" customFormat="1" ht="33.75" customHeight="1">
      <c r="A185" s="359"/>
      <c r="B185" s="798" t="s">
        <v>752</v>
      </c>
      <c r="C185" s="798"/>
      <c r="D185" s="798"/>
      <c r="E185" s="798"/>
      <c r="F185" s="798"/>
      <c r="G185" s="798"/>
      <c r="H185" s="798"/>
      <c r="I185" s="798"/>
      <c r="J185" s="798"/>
      <c r="K185" s="798"/>
      <c r="L185" s="798"/>
      <c r="M185" s="798"/>
      <c r="N185" s="798"/>
      <c r="O185" s="798"/>
      <c r="P185" s="798"/>
      <c r="Q185" s="798"/>
      <c r="R185" s="798"/>
      <c r="S185" s="798"/>
      <c r="T185" s="798"/>
      <c r="U185" s="798"/>
      <c r="V185" s="798"/>
      <c r="W185" s="798"/>
      <c r="X185" s="798"/>
      <c r="Y185" s="798"/>
      <c r="Z185" s="798"/>
      <c r="AA185" s="798"/>
      <c r="AB185" s="798"/>
      <c r="AC185" s="798"/>
      <c r="AD185" s="798"/>
      <c r="AE185" s="798"/>
      <c r="AF185" s="798"/>
      <c r="AG185" s="798"/>
      <c r="AH185" s="798"/>
      <c r="AI185" s="798"/>
      <c r="AJ185" s="798"/>
      <c r="AK185" s="798"/>
      <c r="AL185" s="360"/>
    </row>
    <row r="186" spans="1:38" s="285" customFormat="1" ht="11.25" customHeight="1">
      <c r="A186" s="359"/>
      <c r="B186" s="390"/>
      <c r="C186" s="362"/>
      <c r="D186" s="362"/>
      <c r="E186" s="362"/>
      <c r="F186" s="362"/>
      <c r="G186" s="362"/>
      <c r="H186" s="362"/>
      <c r="I186" s="362"/>
      <c r="J186" s="362"/>
      <c r="K186" s="362"/>
      <c r="L186" s="362"/>
      <c r="M186" s="362"/>
      <c r="N186" s="362"/>
      <c r="O186" s="362"/>
      <c r="P186" s="362"/>
      <c r="Q186" s="362"/>
      <c r="R186" s="362"/>
      <c r="S186" s="362"/>
      <c r="T186" s="362"/>
      <c r="U186" s="362"/>
      <c r="V186" s="362"/>
      <c r="W186" s="362"/>
      <c r="X186" s="362"/>
      <c r="Y186" s="362"/>
      <c r="Z186" s="362"/>
      <c r="AA186" s="362"/>
      <c r="AB186" s="362"/>
      <c r="AC186" s="362"/>
      <c r="AD186" s="362"/>
      <c r="AE186" s="362"/>
      <c r="AF186" s="362"/>
      <c r="AG186" s="362"/>
      <c r="AH186" s="362"/>
      <c r="AI186" s="362"/>
      <c r="AJ186" s="362"/>
      <c r="AK186" s="362"/>
      <c r="AL186" s="360"/>
    </row>
    <row r="187" spans="1:38" s="285" customFormat="1" ht="45" customHeight="1">
      <c r="A187" s="359"/>
      <c r="B187" s="798" t="s">
        <v>753</v>
      </c>
      <c r="C187" s="798"/>
      <c r="D187" s="798"/>
      <c r="E187" s="798"/>
      <c r="F187" s="798"/>
      <c r="G187" s="798"/>
      <c r="H187" s="798"/>
      <c r="I187" s="798"/>
      <c r="J187" s="798"/>
      <c r="K187" s="798"/>
      <c r="L187" s="798"/>
      <c r="M187" s="798"/>
      <c r="N187" s="798"/>
      <c r="O187" s="798"/>
      <c r="P187" s="798"/>
      <c r="Q187" s="798"/>
      <c r="R187" s="798"/>
      <c r="S187" s="798"/>
      <c r="T187" s="798"/>
      <c r="U187" s="798"/>
      <c r="V187" s="798"/>
      <c r="W187" s="798"/>
      <c r="X187" s="798"/>
      <c r="Y187" s="798"/>
      <c r="Z187" s="798"/>
      <c r="AA187" s="798"/>
      <c r="AB187" s="798"/>
      <c r="AC187" s="798"/>
      <c r="AD187" s="798"/>
      <c r="AE187" s="798"/>
      <c r="AF187" s="798"/>
      <c r="AG187" s="798"/>
      <c r="AH187" s="798"/>
      <c r="AI187" s="798"/>
      <c r="AJ187" s="798"/>
      <c r="AK187" s="798"/>
      <c r="AL187" s="360"/>
    </row>
    <row r="188" spans="1:38" s="285" customFormat="1" ht="11.25" customHeight="1">
      <c r="A188" s="359"/>
      <c r="B188" s="237"/>
      <c r="C188" s="362"/>
      <c r="D188" s="362"/>
      <c r="E188" s="362"/>
      <c r="F188" s="362"/>
      <c r="G188" s="362"/>
      <c r="H188" s="362"/>
      <c r="I188" s="362"/>
      <c r="J188" s="362"/>
      <c r="K188" s="362"/>
      <c r="L188" s="362"/>
      <c r="M188" s="362"/>
      <c r="N188" s="362"/>
      <c r="O188" s="362"/>
      <c r="P188" s="362"/>
      <c r="Q188" s="362"/>
      <c r="R188" s="362"/>
      <c r="S188" s="362"/>
      <c r="T188" s="362"/>
      <c r="U188" s="362"/>
      <c r="V188" s="362"/>
      <c r="W188" s="362"/>
      <c r="X188" s="362"/>
      <c r="Y188" s="362"/>
      <c r="Z188" s="362"/>
      <c r="AA188" s="362"/>
      <c r="AB188" s="362"/>
      <c r="AC188" s="362"/>
      <c r="AD188" s="362"/>
      <c r="AE188" s="362"/>
      <c r="AF188" s="362"/>
      <c r="AG188" s="362"/>
      <c r="AH188" s="362"/>
      <c r="AI188" s="362"/>
      <c r="AJ188" s="362"/>
      <c r="AK188" s="362"/>
      <c r="AL188" s="360"/>
    </row>
    <row r="189" spans="1:38" s="285" customFormat="1" ht="22.5" customHeight="1">
      <c r="A189" s="359"/>
      <c r="B189" s="798" t="s">
        <v>754</v>
      </c>
      <c r="C189" s="798"/>
      <c r="D189" s="798"/>
      <c r="E189" s="798"/>
      <c r="F189" s="798"/>
      <c r="G189" s="798"/>
      <c r="H189" s="798"/>
      <c r="I189" s="798"/>
      <c r="J189" s="798"/>
      <c r="K189" s="798"/>
      <c r="L189" s="798"/>
      <c r="M189" s="798"/>
      <c r="N189" s="798"/>
      <c r="O189" s="798"/>
      <c r="P189" s="798"/>
      <c r="Q189" s="798"/>
      <c r="R189" s="798"/>
      <c r="S189" s="798"/>
      <c r="T189" s="798"/>
      <c r="U189" s="798"/>
      <c r="V189" s="798"/>
      <c r="W189" s="798"/>
      <c r="X189" s="798"/>
      <c r="Y189" s="798"/>
      <c r="Z189" s="798"/>
      <c r="AA189" s="798"/>
      <c r="AB189" s="798"/>
      <c r="AC189" s="798"/>
      <c r="AD189" s="798"/>
      <c r="AE189" s="798"/>
      <c r="AF189" s="798"/>
      <c r="AG189" s="798"/>
      <c r="AH189" s="798"/>
      <c r="AI189" s="798"/>
      <c r="AJ189" s="798"/>
      <c r="AK189" s="798"/>
      <c r="AL189" s="360"/>
    </row>
    <row r="190" spans="1:38" s="285" customFormat="1" ht="11.25" customHeight="1">
      <c r="A190" s="359"/>
      <c r="B190" s="237"/>
      <c r="C190" s="362"/>
      <c r="D190" s="362"/>
      <c r="E190" s="362"/>
      <c r="F190" s="362"/>
      <c r="G190" s="362"/>
      <c r="H190" s="362"/>
      <c r="I190" s="362"/>
      <c r="J190" s="362"/>
      <c r="K190" s="362"/>
      <c r="L190" s="362"/>
      <c r="M190" s="362"/>
      <c r="N190" s="362"/>
      <c r="O190" s="362"/>
      <c r="P190" s="362"/>
      <c r="Q190" s="362"/>
      <c r="R190" s="362"/>
      <c r="S190" s="362"/>
      <c r="T190" s="362"/>
      <c r="U190" s="362"/>
      <c r="V190" s="362"/>
      <c r="W190" s="362"/>
      <c r="X190" s="362"/>
      <c r="Y190" s="362"/>
      <c r="Z190" s="362"/>
      <c r="AA190" s="362"/>
      <c r="AB190" s="362"/>
      <c r="AC190" s="362"/>
      <c r="AD190" s="362"/>
      <c r="AE190" s="362"/>
      <c r="AF190" s="362"/>
      <c r="AG190" s="362"/>
      <c r="AH190" s="362"/>
      <c r="AI190" s="362"/>
      <c r="AJ190" s="362"/>
      <c r="AK190" s="362"/>
      <c r="AL190" s="360"/>
    </row>
    <row r="191" spans="1:38" s="285" customFormat="1" ht="33.75" customHeight="1">
      <c r="A191" s="359"/>
      <c r="B191" s="798" t="s">
        <v>755</v>
      </c>
      <c r="C191" s="798"/>
      <c r="D191" s="798"/>
      <c r="E191" s="798"/>
      <c r="F191" s="798"/>
      <c r="G191" s="798"/>
      <c r="H191" s="798"/>
      <c r="I191" s="798"/>
      <c r="J191" s="798"/>
      <c r="K191" s="798"/>
      <c r="L191" s="798"/>
      <c r="M191" s="798"/>
      <c r="N191" s="798"/>
      <c r="O191" s="798"/>
      <c r="P191" s="798"/>
      <c r="Q191" s="798"/>
      <c r="R191" s="798"/>
      <c r="S191" s="798"/>
      <c r="T191" s="798"/>
      <c r="U191" s="798"/>
      <c r="V191" s="798"/>
      <c r="W191" s="798"/>
      <c r="X191" s="798"/>
      <c r="Y191" s="798"/>
      <c r="Z191" s="798"/>
      <c r="AA191" s="798"/>
      <c r="AB191" s="798"/>
      <c r="AC191" s="798"/>
      <c r="AD191" s="798"/>
      <c r="AE191" s="798"/>
      <c r="AF191" s="798"/>
      <c r="AG191" s="798"/>
      <c r="AH191" s="798"/>
      <c r="AI191" s="798"/>
      <c r="AJ191" s="798"/>
      <c r="AK191" s="798"/>
      <c r="AL191" s="360"/>
    </row>
    <row r="192" spans="1:38" s="285" customFormat="1" ht="11.25" customHeight="1">
      <c r="A192" s="359"/>
      <c r="B192" s="239"/>
      <c r="C192" s="362"/>
      <c r="D192" s="362"/>
      <c r="E192" s="362"/>
      <c r="F192" s="362"/>
      <c r="G192" s="362"/>
      <c r="H192" s="362"/>
      <c r="I192" s="362"/>
      <c r="J192" s="362"/>
      <c r="K192" s="362"/>
      <c r="L192" s="362"/>
      <c r="M192" s="362"/>
      <c r="N192" s="362"/>
      <c r="O192" s="362"/>
      <c r="P192" s="362"/>
      <c r="Q192" s="362"/>
      <c r="R192" s="362"/>
      <c r="S192" s="362"/>
      <c r="T192" s="362"/>
      <c r="U192" s="362"/>
      <c r="V192" s="362"/>
      <c r="W192" s="362"/>
      <c r="X192" s="362"/>
      <c r="Y192" s="362"/>
      <c r="Z192" s="362"/>
      <c r="AA192" s="362"/>
      <c r="AB192" s="362"/>
      <c r="AC192" s="362"/>
      <c r="AD192" s="362"/>
      <c r="AE192" s="362"/>
      <c r="AF192" s="362"/>
      <c r="AG192" s="362"/>
      <c r="AH192" s="362"/>
      <c r="AI192" s="362"/>
      <c r="AJ192" s="362"/>
      <c r="AK192" s="362"/>
      <c r="AL192" s="360"/>
    </row>
    <row r="193" spans="1:38" s="285" customFormat="1" ht="33.75" customHeight="1">
      <c r="A193" s="359"/>
      <c r="B193" s="798" t="s">
        <v>756</v>
      </c>
      <c r="C193" s="798"/>
      <c r="D193" s="798"/>
      <c r="E193" s="798"/>
      <c r="F193" s="798"/>
      <c r="G193" s="798"/>
      <c r="H193" s="798"/>
      <c r="I193" s="798"/>
      <c r="J193" s="798"/>
      <c r="K193" s="798"/>
      <c r="L193" s="798"/>
      <c r="M193" s="798"/>
      <c r="N193" s="798"/>
      <c r="O193" s="798"/>
      <c r="P193" s="798"/>
      <c r="Q193" s="798"/>
      <c r="R193" s="798"/>
      <c r="S193" s="798"/>
      <c r="T193" s="798"/>
      <c r="U193" s="798"/>
      <c r="V193" s="798"/>
      <c r="W193" s="798"/>
      <c r="X193" s="798"/>
      <c r="Y193" s="798"/>
      <c r="Z193" s="798"/>
      <c r="AA193" s="798"/>
      <c r="AB193" s="798"/>
      <c r="AC193" s="798"/>
      <c r="AD193" s="798"/>
      <c r="AE193" s="798"/>
      <c r="AF193" s="798"/>
      <c r="AG193" s="798"/>
      <c r="AH193" s="798"/>
      <c r="AI193" s="798"/>
      <c r="AJ193" s="798"/>
      <c r="AK193" s="798"/>
      <c r="AL193" s="360"/>
    </row>
    <row r="194" spans="1:38" s="285" customFormat="1" ht="11.25" customHeight="1">
      <c r="A194" s="359"/>
      <c r="B194" s="239"/>
      <c r="C194" s="362"/>
      <c r="D194" s="362"/>
      <c r="E194" s="362"/>
      <c r="F194" s="362"/>
      <c r="G194" s="362"/>
      <c r="H194" s="362"/>
      <c r="I194" s="362"/>
      <c r="J194" s="362"/>
      <c r="K194" s="362"/>
      <c r="L194" s="362"/>
      <c r="M194" s="362"/>
      <c r="N194" s="362"/>
      <c r="O194" s="362"/>
      <c r="P194" s="362"/>
      <c r="Q194" s="362"/>
      <c r="R194" s="362"/>
      <c r="S194" s="362"/>
      <c r="T194" s="362"/>
      <c r="U194" s="362"/>
      <c r="V194" s="362"/>
      <c r="W194" s="362"/>
      <c r="X194" s="362"/>
      <c r="Y194" s="362"/>
      <c r="Z194" s="362"/>
      <c r="AA194" s="362"/>
      <c r="AB194" s="362"/>
      <c r="AC194" s="362"/>
      <c r="AD194" s="362"/>
      <c r="AE194" s="362"/>
      <c r="AF194" s="362"/>
      <c r="AG194" s="362"/>
      <c r="AH194" s="362"/>
      <c r="AI194" s="362"/>
      <c r="AJ194" s="362"/>
      <c r="AK194" s="362"/>
      <c r="AL194" s="360"/>
    </row>
    <row r="195" spans="1:38" s="285" customFormat="1" ht="56.25" customHeight="1">
      <c r="A195" s="359"/>
      <c r="B195" s="798" t="s">
        <v>757</v>
      </c>
      <c r="C195" s="798"/>
      <c r="D195" s="798"/>
      <c r="E195" s="798"/>
      <c r="F195" s="798"/>
      <c r="G195" s="798"/>
      <c r="H195" s="798"/>
      <c r="I195" s="798"/>
      <c r="J195" s="798"/>
      <c r="K195" s="798"/>
      <c r="L195" s="798"/>
      <c r="M195" s="798"/>
      <c r="N195" s="798"/>
      <c r="O195" s="798"/>
      <c r="P195" s="798"/>
      <c r="Q195" s="798"/>
      <c r="R195" s="798"/>
      <c r="S195" s="798"/>
      <c r="T195" s="798"/>
      <c r="U195" s="798"/>
      <c r="V195" s="798"/>
      <c r="W195" s="798"/>
      <c r="X195" s="798"/>
      <c r="Y195" s="798"/>
      <c r="Z195" s="798"/>
      <c r="AA195" s="798"/>
      <c r="AB195" s="798"/>
      <c r="AC195" s="798"/>
      <c r="AD195" s="798"/>
      <c r="AE195" s="798"/>
      <c r="AF195" s="798"/>
      <c r="AG195" s="798"/>
      <c r="AH195" s="798"/>
      <c r="AI195" s="798"/>
      <c r="AJ195" s="798"/>
      <c r="AK195" s="798"/>
      <c r="AL195" s="360"/>
    </row>
    <row r="196" spans="1:38" s="285" customFormat="1" ht="11.25" customHeight="1">
      <c r="A196" s="359"/>
      <c r="B196" s="390"/>
      <c r="C196" s="362"/>
      <c r="D196" s="362"/>
      <c r="E196" s="362"/>
      <c r="F196" s="362"/>
      <c r="G196" s="362"/>
      <c r="H196" s="362"/>
      <c r="I196" s="362"/>
      <c r="J196" s="362"/>
      <c r="K196" s="362"/>
      <c r="L196" s="362"/>
      <c r="M196" s="362"/>
      <c r="N196" s="362"/>
      <c r="O196" s="362"/>
      <c r="P196" s="362"/>
      <c r="Q196" s="362"/>
      <c r="R196" s="362"/>
      <c r="S196" s="362"/>
      <c r="T196" s="362"/>
      <c r="U196" s="362"/>
      <c r="V196" s="362"/>
      <c r="W196" s="362"/>
      <c r="X196" s="362"/>
      <c r="Y196" s="362"/>
      <c r="Z196" s="362"/>
      <c r="AA196" s="362"/>
      <c r="AB196" s="362"/>
      <c r="AC196" s="362"/>
      <c r="AD196" s="362"/>
      <c r="AE196" s="362"/>
      <c r="AF196" s="362"/>
      <c r="AG196" s="362"/>
      <c r="AH196" s="362"/>
      <c r="AI196" s="362"/>
      <c r="AJ196" s="362"/>
      <c r="AK196" s="362"/>
      <c r="AL196" s="360"/>
    </row>
    <row r="197" spans="1:38" s="285" customFormat="1" ht="33.75" customHeight="1">
      <c r="A197" s="359"/>
      <c r="B197" s="966" t="s">
        <v>758</v>
      </c>
      <c r="C197" s="966"/>
      <c r="D197" s="966"/>
      <c r="E197" s="966"/>
      <c r="F197" s="966"/>
      <c r="G197" s="966"/>
      <c r="H197" s="966"/>
      <c r="I197" s="966"/>
      <c r="J197" s="966"/>
      <c r="K197" s="966"/>
      <c r="L197" s="966"/>
      <c r="M197" s="966"/>
      <c r="N197" s="966"/>
      <c r="O197" s="966"/>
      <c r="P197" s="966"/>
      <c r="Q197" s="966"/>
      <c r="R197" s="966"/>
      <c r="S197" s="966"/>
      <c r="T197" s="966"/>
      <c r="U197" s="966"/>
      <c r="V197" s="966"/>
      <c r="W197" s="966"/>
      <c r="X197" s="966"/>
      <c r="Y197" s="966"/>
      <c r="Z197" s="966"/>
      <c r="AA197" s="966"/>
      <c r="AB197" s="966"/>
      <c r="AC197" s="966"/>
      <c r="AD197" s="966"/>
      <c r="AE197" s="966"/>
      <c r="AF197" s="966"/>
      <c r="AG197" s="966"/>
      <c r="AH197" s="966"/>
      <c r="AI197" s="966"/>
      <c r="AJ197" s="966"/>
      <c r="AK197" s="966"/>
      <c r="AL197" s="360"/>
    </row>
    <row r="198" spans="1:38" s="285" customFormat="1" ht="56.25" customHeight="1">
      <c r="A198" s="359"/>
      <c r="B198" s="725" t="s">
        <v>247</v>
      </c>
      <c r="C198" s="725"/>
      <c r="D198" s="725"/>
      <c r="E198" s="725"/>
      <c r="F198" s="725"/>
      <c r="G198" s="725"/>
      <c r="H198" s="725"/>
      <c r="I198" s="725"/>
      <c r="J198" s="725"/>
      <c r="K198" s="725"/>
      <c r="L198" s="725"/>
      <c r="M198" s="725"/>
      <c r="N198" s="725"/>
      <c r="O198" s="725"/>
      <c r="P198" s="725"/>
      <c r="Q198" s="725"/>
      <c r="R198" s="725"/>
      <c r="S198" s="725"/>
      <c r="T198" s="725"/>
      <c r="U198" s="725"/>
      <c r="V198" s="725"/>
      <c r="W198" s="725"/>
      <c r="X198" s="725"/>
      <c r="Y198" s="725"/>
      <c r="Z198" s="725"/>
      <c r="AA198" s="725"/>
      <c r="AB198" s="725"/>
      <c r="AC198" s="725"/>
      <c r="AD198" s="725"/>
      <c r="AE198" s="725"/>
      <c r="AF198" s="725"/>
      <c r="AG198" s="725"/>
      <c r="AH198" s="725"/>
      <c r="AI198" s="725"/>
      <c r="AJ198" s="725"/>
      <c r="AK198" s="725"/>
      <c r="AL198" s="360"/>
    </row>
    <row r="199" spans="1:38" s="285" customFormat="1" ht="45" customHeight="1">
      <c r="A199" s="359"/>
      <c r="B199" s="620" t="s">
        <v>248</v>
      </c>
      <c r="C199" s="620"/>
      <c r="D199" s="620"/>
      <c r="E199" s="620"/>
      <c r="F199" s="620"/>
      <c r="G199" s="620"/>
      <c r="H199" s="620"/>
      <c r="I199" s="620"/>
      <c r="J199" s="620"/>
      <c r="K199" s="620"/>
      <c r="L199" s="620"/>
      <c r="M199" s="620"/>
      <c r="N199" s="620"/>
      <c r="O199" s="620"/>
      <c r="P199" s="620"/>
      <c r="Q199" s="620"/>
      <c r="R199" s="620"/>
      <c r="S199" s="620"/>
      <c r="T199" s="620"/>
      <c r="U199" s="620"/>
      <c r="V199" s="620"/>
      <c r="W199" s="620"/>
      <c r="X199" s="620"/>
      <c r="Y199" s="620"/>
      <c r="Z199" s="620"/>
      <c r="AA199" s="620"/>
      <c r="AB199" s="620"/>
      <c r="AC199" s="620"/>
      <c r="AD199" s="620"/>
      <c r="AE199" s="620"/>
      <c r="AF199" s="620"/>
      <c r="AG199" s="620"/>
      <c r="AH199" s="620"/>
      <c r="AI199" s="620"/>
      <c r="AJ199" s="620"/>
      <c r="AK199" s="620"/>
      <c r="AL199" s="360"/>
    </row>
    <row r="200" spans="1:38" s="285" customFormat="1" ht="22.5" customHeight="1">
      <c r="A200" s="359"/>
      <c r="B200" s="803" t="s">
        <v>249</v>
      </c>
      <c r="C200" s="803"/>
      <c r="D200" s="803"/>
      <c r="E200" s="803"/>
      <c r="F200" s="803"/>
      <c r="G200" s="803"/>
      <c r="H200" s="803"/>
      <c r="I200" s="803"/>
      <c r="J200" s="803"/>
      <c r="K200" s="803"/>
      <c r="L200" s="803"/>
      <c r="M200" s="803"/>
      <c r="N200" s="803"/>
      <c r="O200" s="803"/>
      <c r="P200" s="803"/>
      <c r="Q200" s="803"/>
      <c r="R200" s="803"/>
      <c r="S200" s="803"/>
      <c r="T200" s="803"/>
      <c r="U200" s="803"/>
      <c r="V200" s="803"/>
      <c r="W200" s="803"/>
      <c r="X200" s="803"/>
      <c r="Y200" s="803"/>
      <c r="Z200" s="803"/>
      <c r="AA200" s="803"/>
      <c r="AB200" s="803"/>
      <c r="AC200" s="803"/>
      <c r="AD200" s="803"/>
      <c r="AE200" s="803"/>
      <c r="AF200" s="803"/>
      <c r="AG200" s="803"/>
      <c r="AH200" s="803"/>
      <c r="AI200" s="803"/>
      <c r="AJ200" s="803"/>
      <c r="AK200" s="803"/>
      <c r="AL200" s="360"/>
    </row>
    <row r="201" spans="1:38" s="285" customFormat="1" ht="11.25" customHeight="1">
      <c r="A201" s="359"/>
      <c r="B201" s="390"/>
      <c r="C201" s="362"/>
      <c r="D201" s="362"/>
      <c r="E201" s="362"/>
      <c r="F201" s="362"/>
      <c r="G201" s="362"/>
      <c r="H201" s="362"/>
      <c r="I201" s="362"/>
      <c r="J201" s="362"/>
      <c r="K201" s="362"/>
      <c r="L201" s="362"/>
      <c r="M201" s="362"/>
      <c r="N201" s="362"/>
      <c r="O201" s="362"/>
      <c r="P201" s="362"/>
      <c r="Q201" s="362"/>
      <c r="R201" s="362"/>
      <c r="S201" s="362"/>
      <c r="T201" s="362"/>
      <c r="U201" s="362"/>
      <c r="V201" s="362"/>
      <c r="W201" s="362"/>
      <c r="X201" s="362"/>
      <c r="Y201" s="362"/>
      <c r="Z201" s="362"/>
      <c r="AA201" s="362"/>
      <c r="AB201" s="362"/>
      <c r="AC201" s="362"/>
      <c r="AD201" s="362"/>
      <c r="AE201" s="362"/>
      <c r="AF201" s="362"/>
      <c r="AG201" s="362"/>
      <c r="AH201" s="362"/>
      <c r="AI201" s="362"/>
      <c r="AJ201" s="362"/>
      <c r="AK201" s="362"/>
      <c r="AL201" s="360"/>
    </row>
    <row r="202" spans="1:38" s="285" customFormat="1" ht="67.5" customHeight="1">
      <c r="A202" s="359"/>
      <c r="B202" s="967" t="s">
        <v>759</v>
      </c>
      <c r="C202" s="967"/>
      <c r="D202" s="967"/>
      <c r="E202" s="967"/>
      <c r="F202" s="967"/>
      <c r="G202" s="967"/>
      <c r="H202" s="967"/>
      <c r="I202" s="967"/>
      <c r="J202" s="967"/>
      <c r="K202" s="967"/>
      <c r="L202" s="967"/>
      <c r="M202" s="967"/>
      <c r="N202" s="967"/>
      <c r="O202" s="967"/>
      <c r="P202" s="967"/>
      <c r="Q202" s="967"/>
      <c r="R202" s="967"/>
      <c r="S202" s="967"/>
      <c r="T202" s="967"/>
      <c r="U202" s="967"/>
      <c r="V202" s="967"/>
      <c r="W202" s="967"/>
      <c r="X202" s="967"/>
      <c r="Y202" s="967"/>
      <c r="Z202" s="967"/>
      <c r="AA202" s="967"/>
      <c r="AB202" s="967"/>
      <c r="AC202" s="967"/>
      <c r="AD202" s="967"/>
      <c r="AE202" s="967"/>
      <c r="AF202" s="967"/>
      <c r="AG202" s="967"/>
      <c r="AH202" s="967"/>
      <c r="AI202" s="967"/>
      <c r="AJ202" s="967"/>
      <c r="AK202" s="967"/>
      <c r="AL202" s="360"/>
    </row>
    <row r="203" spans="1:38" s="285" customFormat="1" ht="11.25" customHeight="1">
      <c r="A203" s="359"/>
      <c r="C203" s="359"/>
      <c r="D203" s="359"/>
      <c r="E203" s="359"/>
      <c r="F203" s="359"/>
      <c r="G203" s="359"/>
      <c r="H203" s="359"/>
      <c r="I203" s="359"/>
      <c r="J203" s="359"/>
      <c r="K203" s="359"/>
      <c r="L203" s="359"/>
      <c r="M203" s="359"/>
      <c r="N203" s="359"/>
      <c r="O203" s="359"/>
      <c r="P203" s="359"/>
      <c r="Q203" s="359"/>
      <c r="R203" s="359"/>
      <c r="S203" s="359"/>
      <c r="T203" s="359"/>
      <c r="U203" s="359"/>
      <c r="V203" s="359"/>
      <c r="W203" s="359"/>
      <c r="X203" s="359"/>
      <c r="Y203" s="359"/>
      <c r="Z203" s="359"/>
      <c r="AA203" s="359"/>
      <c r="AB203" s="359"/>
      <c r="AC203" s="359"/>
      <c r="AD203" s="359"/>
      <c r="AE203" s="359"/>
      <c r="AF203" s="359"/>
      <c r="AG203" s="359"/>
      <c r="AH203" s="359"/>
      <c r="AI203" s="359"/>
      <c r="AJ203" s="359"/>
      <c r="AK203" s="359"/>
      <c r="AL203" s="360"/>
    </row>
    <row r="204" spans="1:38" s="285" customFormat="1" ht="22.5" customHeight="1">
      <c r="A204" s="359"/>
      <c r="B204" s="967" t="s">
        <v>760</v>
      </c>
      <c r="C204" s="967"/>
      <c r="D204" s="967"/>
      <c r="E204" s="967"/>
      <c r="F204" s="967"/>
      <c r="G204" s="967"/>
      <c r="H204" s="967"/>
      <c r="I204" s="967"/>
      <c r="J204" s="967"/>
      <c r="K204" s="967"/>
      <c r="L204" s="967"/>
      <c r="M204" s="967"/>
      <c r="N204" s="967"/>
      <c r="O204" s="967"/>
      <c r="P204" s="967"/>
      <c r="Q204" s="967"/>
      <c r="R204" s="967"/>
      <c r="S204" s="967"/>
      <c r="T204" s="967"/>
      <c r="U204" s="967"/>
      <c r="V204" s="967"/>
      <c r="W204" s="967"/>
      <c r="X204" s="967"/>
      <c r="Y204" s="967"/>
      <c r="Z204" s="967"/>
      <c r="AA204" s="967"/>
      <c r="AB204" s="967"/>
      <c r="AC204" s="967"/>
      <c r="AD204" s="967"/>
      <c r="AE204" s="967"/>
      <c r="AF204" s="967"/>
      <c r="AG204" s="967"/>
      <c r="AH204" s="967"/>
      <c r="AI204" s="967"/>
      <c r="AJ204" s="967"/>
      <c r="AK204" s="967"/>
      <c r="AL204" s="360"/>
    </row>
    <row r="205" spans="1:38" s="285" customFormat="1" ht="12.75" customHeight="1">
      <c r="A205" s="359"/>
      <c r="B205" s="359"/>
      <c r="C205" s="359"/>
      <c r="D205" s="359"/>
      <c r="E205" s="359"/>
      <c r="F205" s="359"/>
      <c r="G205" s="359"/>
      <c r="H205" s="359"/>
      <c r="I205" s="359"/>
      <c r="J205" s="359"/>
      <c r="K205" s="359"/>
      <c r="L205" s="359"/>
      <c r="M205" s="359"/>
      <c r="N205" s="359"/>
      <c r="O205" s="359"/>
      <c r="P205" s="359"/>
      <c r="Q205" s="359"/>
      <c r="R205" s="359"/>
      <c r="S205" s="359"/>
      <c r="T205" s="359"/>
      <c r="U205" s="359"/>
      <c r="V205" s="359"/>
      <c r="W205" s="359"/>
      <c r="X205" s="359"/>
      <c r="Y205" s="359"/>
      <c r="Z205" s="359"/>
      <c r="AA205" s="359"/>
      <c r="AB205" s="359"/>
      <c r="AC205" s="359"/>
      <c r="AD205" s="359"/>
      <c r="AE205" s="359"/>
      <c r="AF205" s="359"/>
      <c r="AG205" s="359"/>
      <c r="AH205" s="359"/>
      <c r="AI205" s="359"/>
      <c r="AJ205" s="359"/>
      <c r="AK205" s="359"/>
      <c r="AL205" s="360"/>
    </row>
    <row r="206" spans="1:38" s="285" customFormat="1" ht="12.75" customHeight="1">
      <c r="A206" s="359"/>
      <c r="B206" s="359"/>
      <c r="C206" s="359"/>
      <c r="D206" s="359"/>
      <c r="E206" s="359"/>
      <c r="F206" s="359"/>
      <c r="G206" s="600" t="s">
        <v>252</v>
      </c>
      <c r="H206" s="601"/>
      <c r="I206" s="601"/>
      <c r="J206" s="601"/>
      <c r="K206" s="601"/>
      <c r="L206" s="601"/>
      <c r="M206" s="601"/>
      <c r="N206" s="601"/>
      <c r="O206" s="601"/>
      <c r="P206" s="602"/>
      <c r="Q206" s="603" t="s">
        <v>253</v>
      </c>
      <c r="R206" s="604"/>
      <c r="S206" s="604"/>
      <c r="T206" s="604"/>
      <c r="U206" s="604"/>
      <c r="V206" s="604"/>
      <c r="W206" s="604"/>
      <c r="X206" s="604"/>
      <c r="Y206" s="604"/>
      <c r="Z206" s="604"/>
      <c r="AA206" s="604"/>
      <c r="AB206" s="604"/>
      <c r="AC206" s="604"/>
      <c r="AD206" s="604"/>
      <c r="AE206" s="604"/>
      <c r="AF206" s="604"/>
      <c r="AG206" s="605"/>
      <c r="AH206" s="359"/>
      <c r="AI206" s="359"/>
      <c r="AJ206" s="359"/>
      <c r="AK206" s="359"/>
      <c r="AL206" s="360"/>
    </row>
    <row r="207" spans="1:38" s="285" customFormat="1" ht="12.75" customHeight="1">
      <c r="A207" s="359"/>
      <c r="B207" s="359"/>
      <c r="C207" s="359"/>
      <c r="D207" s="359"/>
      <c r="E207" s="359"/>
      <c r="F207" s="359"/>
      <c r="G207" s="600" t="s">
        <v>254</v>
      </c>
      <c r="H207" s="601"/>
      <c r="I207" s="601"/>
      <c r="J207" s="601"/>
      <c r="K207" s="601"/>
      <c r="L207" s="601"/>
      <c r="M207" s="601"/>
      <c r="N207" s="601"/>
      <c r="O207" s="601"/>
      <c r="P207" s="602"/>
      <c r="Q207" s="606" t="s">
        <v>255</v>
      </c>
      <c r="R207" s="607"/>
      <c r="S207" s="607"/>
      <c r="T207" s="607"/>
      <c r="U207" s="607"/>
      <c r="V207" s="607"/>
      <c r="W207" s="607"/>
      <c r="X207" s="607"/>
      <c r="Y207" s="607"/>
      <c r="Z207" s="607"/>
      <c r="AA207" s="607"/>
      <c r="AB207" s="607"/>
      <c r="AC207" s="607"/>
      <c r="AD207" s="607"/>
      <c r="AE207" s="607"/>
      <c r="AF207" s="607"/>
      <c r="AG207" s="608"/>
      <c r="AH207" s="359"/>
      <c r="AI207" s="359"/>
      <c r="AJ207" s="359"/>
      <c r="AK207" s="359"/>
      <c r="AL207" s="360"/>
    </row>
    <row r="208" spans="1:38" s="285" customFormat="1" ht="12.75" customHeight="1">
      <c r="A208" s="359"/>
      <c r="B208" s="359"/>
      <c r="C208" s="359"/>
      <c r="D208" s="359"/>
      <c r="E208" s="359"/>
      <c r="F208" s="359"/>
      <c r="G208" s="582" t="s">
        <v>256</v>
      </c>
      <c r="H208" s="583"/>
      <c r="I208" s="583"/>
      <c r="J208" s="583"/>
      <c r="K208" s="583"/>
      <c r="L208" s="583"/>
      <c r="M208" s="583"/>
      <c r="N208" s="583"/>
      <c r="O208" s="583"/>
      <c r="P208" s="584"/>
      <c r="Q208" s="588" t="s">
        <v>257</v>
      </c>
      <c r="R208" s="589"/>
      <c r="S208" s="589"/>
      <c r="T208" s="589"/>
      <c r="U208" s="589"/>
      <c r="V208" s="589"/>
      <c r="W208" s="589"/>
      <c r="X208" s="589"/>
      <c r="Y208" s="589"/>
      <c r="Z208" s="589"/>
      <c r="AA208" s="589"/>
      <c r="AB208" s="589"/>
      <c r="AC208" s="589"/>
      <c r="AD208" s="589"/>
      <c r="AE208" s="589"/>
      <c r="AF208" s="589"/>
      <c r="AG208" s="590"/>
      <c r="AH208" s="359"/>
      <c r="AI208" s="359"/>
      <c r="AJ208" s="359"/>
      <c r="AK208" s="359"/>
      <c r="AL208" s="360"/>
    </row>
    <row r="209" spans="1:38" s="285" customFormat="1" ht="12.75" customHeight="1">
      <c r="A209" s="359"/>
      <c r="B209" s="359"/>
      <c r="C209" s="359"/>
      <c r="D209" s="359"/>
      <c r="E209" s="359"/>
      <c r="F209" s="359"/>
      <c r="G209" s="585"/>
      <c r="H209" s="586"/>
      <c r="I209" s="586"/>
      <c r="J209" s="586"/>
      <c r="K209" s="586"/>
      <c r="L209" s="586"/>
      <c r="M209" s="586"/>
      <c r="N209" s="586"/>
      <c r="O209" s="586"/>
      <c r="P209" s="587"/>
      <c r="Q209" s="588" t="s">
        <v>258</v>
      </c>
      <c r="R209" s="589"/>
      <c r="S209" s="589"/>
      <c r="T209" s="589"/>
      <c r="U209" s="589"/>
      <c r="V209" s="589"/>
      <c r="W209" s="589"/>
      <c r="X209" s="589"/>
      <c r="Y209" s="589"/>
      <c r="Z209" s="589"/>
      <c r="AA209" s="589"/>
      <c r="AB209" s="589"/>
      <c r="AC209" s="589"/>
      <c r="AD209" s="589"/>
      <c r="AE209" s="589"/>
      <c r="AF209" s="589"/>
      <c r="AG209" s="590"/>
      <c r="AH209" s="359"/>
      <c r="AI209" s="359"/>
      <c r="AJ209" s="359"/>
      <c r="AK209" s="359"/>
      <c r="AL209" s="360"/>
    </row>
    <row r="210" spans="1:38" s="285" customFormat="1" ht="12.75" customHeight="1">
      <c r="A210" s="359"/>
      <c r="B210" s="359"/>
      <c r="C210" s="359"/>
      <c r="D210" s="359"/>
      <c r="E210" s="359"/>
      <c r="F210" s="359"/>
      <c r="G210" s="585"/>
      <c r="H210" s="586"/>
      <c r="I210" s="586"/>
      <c r="J210" s="586"/>
      <c r="K210" s="586"/>
      <c r="L210" s="586"/>
      <c r="M210" s="586"/>
      <c r="N210" s="586"/>
      <c r="O210" s="586"/>
      <c r="P210" s="587"/>
      <c r="Q210" s="588"/>
      <c r="R210" s="589"/>
      <c r="S210" s="589"/>
      <c r="T210" s="589"/>
      <c r="U210" s="589"/>
      <c r="V210" s="589"/>
      <c r="W210" s="589"/>
      <c r="X210" s="589"/>
      <c r="Y210" s="589"/>
      <c r="Z210" s="589"/>
      <c r="AA210" s="589"/>
      <c r="AB210" s="589"/>
      <c r="AC210" s="589"/>
      <c r="AD210" s="589"/>
      <c r="AE210" s="589"/>
      <c r="AF210" s="589"/>
      <c r="AG210" s="590"/>
      <c r="AH210" s="359"/>
      <c r="AI210" s="359"/>
      <c r="AJ210" s="359"/>
      <c r="AK210" s="359"/>
      <c r="AL210" s="360"/>
    </row>
    <row r="211" spans="1:38" s="285" customFormat="1" ht="12.75" customHeight="1">
      <c r="A211" s="359"/>
      <c r="B211" s="359"/>
      <c r="C211" s="359"/>
      <c r="D211" s="359"/>
      <c r="E211" s="359"/>
      <c r="F211" s="359"/>
      <c r="G211" s="585"/>
      <c r="H211" s="586"/>
      <c r="I211" s="586"/>
      <c r="J211" s="586"/>
      <c r="K211" s="586"/>
      <c r="L211" s="586"/>
      <c r="M211" s="586"/>
      <c r="N211" s="586"/>
      <c r="O211" s="586"/>
      <c r="P211" s="587"/>
      <c r="Q211" s="588"/>
      <c r="R211" s="589"/>
      <c r="S211" s="589"/>
      <c r="T211" s="589"/>
      <c r="U211" s="589"/>
      <c r="V211" s="589"/>
      <c r="W211" s="589"/>
      <c r="X211" s="589"/>
      <c r="Y211" s="589"/>
      <c r="Z211" s="589"/>
      <c r="AA211" s="589"/>
      <c r="AB211" s="589"/>
      <c r="AC211" s="589"/>
      <c r="AD211" s="589"/>
      <c r="AE211" s="589"/>
      <c r="AF211" s="589"/>
      <c r="AG211" s="590"/>
      <c r="AH211" s="359"/>
      <c r="AI211" s="359"/>
      <c r="AJ211" s="359"/>
      <c r="AK211" s="359"/>
      <c r="AL211" s="360"/>
    </row>
    <row r="212" spans="1:38" s="285" customFormat="1" ht="12.75" customHeight="1">
      <c r="A212" s="359"/>
      <c r="B212" s="359"/>
      <c r="C212" s="359"/>
      <c r="D212" s="359"/>
      <c r="E212" s="359"/>
      <c r="F212" s="359"/>
      <c r="G212" s="582" t="s">
        <v>259</v>
      </c>
      <c r="H212" s="583"/>
      <c r="I212" s="583"/>
      <c r="J212" s="583"/>
      <c r="K212" s="583"/>
      <c r="L212" s="583"/>
      <c r="M212" s="583"/>
      <c r="N212" s="583"/>
      <c r="O212" s="583"/>
      <c r="P212" s="584"/>
      <c r="Q212" s="594" t="s">
        <v>260</v>
      </c>
      <c r="R212" s="595"/>
      <c r="S212" s="595"/>
      <c r="T212" s="595"/>
      <c r="U212" s="595"/>
      <c r="V212" s="595"/>
      <c r="W212" s="595"/>
      <c r="X212" s="595"/>
      <c r="Y212" s="595"/>
      <c r="Z212" s="595"/>
      <c r="AA212" s="595"/>
      <c r="AB212" s="595"/>
      <c r="AC212" s="595"/>
      <c r="AD212" s="595"/>
      <c r="AE212" s="595"/>
      <c r="AF212" s="595"/>
      <c r="AG212" s="596"/>
      <c r="AH212" s="359"/>
      <c r="AI212" s="359"/>
      <c r="AJ212" s="359"/>
      <c r="AK212" s="359"/>
      <c r="AL212" s="360"/>
    </row>
    <row r="213" spans="1:38" s="285" customFormat="1" ht="12.75" customHeight="1">
      <c r="A213" s="359"/>
      <c r="B213" s="359"/>
      <c r="C213" s="359"/>
      <c r="D213" s="359"/>
      <c r="E213" s="359"/>
      <c r="F213" s="359"/>
      <c r="G213" s="585"/>
      <c r="H213" s="586"/>
      <c r="I213" s="586"/>
      <c r="J213" s="586"/>
      <c r="K213" s="586"/>
      <c r="L213" s="586"/>
      <c r="M213" s="586"/>
      <c r="N213" s="586"/>
      <c r="O213" s="586"/>
      <c r="P213" s="587"/>
      <c r="Q213" s="588" t="s">
        <v>261</v>
      </c>
      <c r="R213" s="589"/>
      <c r="S213" s="589"/>
      <c r="T213" s="589"/>
      <c r="U213" s="589"/>
      <c r="V213" s="589"/>
      <c r="W213" s="589"/>
      <c r="X213" s="589"/>
      <c r="Y213" s="589"/>
      <c r="Z213" s="589"/>
      <c r="AA213" s="589"/>
      <c r="AB213" s="589"/>
      <c r="AC213" s="589"/>
      <c r="AD213" s="589"/>
      <c r="AE213" s="589"/>
      <c r="AF213" s="589"/>
      <c r="AG213" s="590"/>
      <c r="AH213" s="359"/>
      <c r="AI213" s="359"/>
      <c r="AJ213" s="359"/>
      <c r="AK213" s="359"/>
      <c r="AL213" s="360"/>
    </row>
    <row r="214" spans="1:38" s="285" customFormat="1" ht="12.75" customHeight="1">
      <c r="A214" s="359"/>
      <c r="B214" s="359"/>
      <c r="C214" s="359"/>
      <c r="D214" s="359"/>
      <c r="E214" s="359"/>
      <c r="F214" s="359"/>
      <c r="G214" s="591"/>
      <c r="H214" s="592"/>
      <c r="I214" s="592"/>
      <c r="J214" s="592"/>
      <c r="K214" s="592"/>
      <c r="L214" s="592"/>
      <c r="M214" s="592"/>
      <c r="N214" s="592"/>
      <c r="O214" s="592"/>
      <c r="P214" s="593"/>
      <c r="Q214" s="597" t="s">
        <v>262</v>
      </c>
      <c r="R214" s="598"/>
      <c r="S214" s="598"/>
      <c r="T214" s="598"/>
      <c r="U214" s="598"/>
      <c r="V214" s="598"/>
      <c r="W214" s="598"/>
      <c r="X214" s="598"/>
      <c r="Y214" s="598"/>
      <c r="Z214" s="598"/>
      <c r="AA214" s="598"/>
      <c r="AB214" s="598"/>
      <c r="AC214" s="598"/>
      <c r="AD214" s="598"/>
      <c r="AE214" s="598"/>
      <c r="AF214" s="598"/>
      <c r="AG214" s="599"/>
      <c r="AH214" s="359"/>
      <c r="AI214" s="359"/>
      <c r="AJ214" s="359"/>
      <c r="AK214" s="359"/>
      <c r="AL214" s="360"/>
    </row>
    <row r="215" spans="1:38" s="285" customFormat="1" ht="21.75" customHeight="1">
      <c r="A215" s="359"/>
      <c r="B215" s="359"/>
      <c r="C215" s="359"/>
      <c r="D215" s="359"/>
      <c r="E215" s="359"/>
      <c r="F215" s="359"/>
      <c r="G215" s="582" t="s">
        <v>263</v>
      </c>
      <c r="H215" s="583"/>
      <c r="I215" s="583"/>
      <c r="J215" s="583"/>
      <c r="K215" s="583"/>
      <c r="L215" s="583"/>
      <c r="M215" s="583"/>
      <c r="N215" s="583"/>
      <c r="O215" s="583"/>
      <c r="P215" s="584"/>
      <c r="Q215" s="588" t="s">
        <v>264</v>
      </c>
      <c r="R215" s="589"/>
      <c r="S215" s="589"/>
      <c r="T215" s="589"/>
      <c r="U215" s="589"/>
      <c r="V215" s="589"/>
      <c r="W215" s="589"/>
      <c r="X215" s="589"/>
      <c r="Y215" s="589"/>
      <c r="Z215" s="589"/>
      <c r="AA215" s="589"/>
      <c r="AB215" s="589"/>
      <c r="AC215" s="589"/>
      <c r="AD215" s="589"/>
      <c r="AE215" s="589"/>
      <c r="AF215" s="589"/>
      <c r="AG215" s="590"/>
      <c r="AH215" s="359"/>
      <c r="AI215" s="359"/>
      <c r="AJ215" s="359"/>
      <c r="AK215" s="359"/>
      <c r="AL215" s="360"/>
    </row>
    <row r="216" spans="1:38" s="285" customFormat="1" ht="12.75" customHeight="1">
      <c r="A216" s="359"/>
      <c r="B216" s="359"/>
      <c r="C216" s="359"/>
      <c r="D216" s="359"/>
      <c r="E216" s="359"/>
      <c r="F216" s="359"/>
      <c r="G216" s="585"/>
      <c r="H216" s="586"/>
      <c r="I216" s="586"/>
      <c r="J216" s="586"/>
      <c r="K216" s="586"/>
      <c r="L216" s="586"/>
      <c r="M216" s="586"/>
      <c r="N216" s="586"/>
      <c r="O216" s="586"/>
      <c r="P216" s="587"/>
      <c r="Q216" s="588" t="s">
        <v>265</v>
      </c>
      <c r="R216" s="589"/>
      <c r="S216" s="589"/>
      <c r="T216" s="589"/>
      <c r="U216" s="589"/>
      <c r="V216" s="589"/>
      <c r="W216" s="589"/>
      <c r="X216" s="589"/>
      <c r="Y216" s="589"/>
      <c r="Z216" s="589"/>
      <c r="AA216" s="589"/>
      <c r="AB216" s="589"/>
      <c r="AC216" s="589"/>
      <c r="AD216" s="589"/>
      <c r="AE216" s="589"/>
      <c r="AF216" s="589"/>
      <c r="AG216" s="590"/>
      <c r="AH216" s="359"/>
      <c r="AI216" s="359"/>
      <c r="AJ216" s="359"/>
      <c r="AK216" s="359"/>
      <c r="AL216" s="360"/>
    </row>
    <row r="217" spans="1:38" s="285" customFormat="1" ht="12.75" customHeight="1">
      <c r="B217" s="361"/>
      <c r="G217" s="585"/>
      <c r="H217" s="586"/>
      <c r="I217" s="586"/>
      <c r="J217" s="586"/>
      <c r="K217" s="586"/>
      <c r="L217" s="586"/>
      <c r="M217" s="586"/>
      <c r="N217" s="586"/>
      <c r="O217" s="586"/>
      <c r="P217" s="587"/>
      <c r="Q217" s="588" t="s">
        <v>266</v>
      </c>
      <c r="R217" s="589"/>
      <c r="S217" s="589"/>
      <c r="T217" s="589"/>
      <c r="U217" s="589"/>
      <c r="V217" s="589"/>
      <c r="W217" s="589"/>
      <c r="X217" s="589"/>
      <c r="Y217" s="589"/>
      <c r="Z217" s="589"/>
      <c r="AA217" s="589"/>
      <c r="AB217" s="589"/>
      <c r="AC217" s="589"/>
      <c r="AD217" s="589"/>
      <c r="AE217" s="589"/>
      <c r="AF217" s="589"/>
      <c r="AG217" s="590"/>
    </row>
    <row r="218" spans="1:38" s="285" customFormat="1" ht="12.75" customHeight="1">
      <c r="G218" s="591"/>
      <c r="H218" s="592"/>
      <c r="I218" s="592"/>
      <c r="J218" s="592"/>
      <c r="K218" s="592"/>
      <c r="L218" s="592"/>
      <c r="M218" s="592"/>
      <c r="N218" s="592"/>
      <c r="O218" s="592"/>
      <c r="P218" s="593"/>
      <c r="Q218" s="597"/>
      <c r="R218" s="598"/>
      <c r="S218" s="598"/>
      <c r="T218" s="598"/>
      <c r="U218" s="598"/>
      <c r="V218" s="598"/>
      <c r="W218" s="598"/>
      <c r="X218" s="598"/>
      <c r="Y218" s="598"/>
      <c r="Z218" s="598"/>
      <c r="AA218" s="598"/>
      <c r="AB218" s="598"/>
      <c r="AC218" s="598"/>
      <c r="AD218" s="598"/>
      <c r="AE218" s="598"/>
      <c r="AF218" s="598"/>
      <c r="AG218" s="599"/>
    </row>
    <row r="219" spans="1:38" s="285" customFormat="1" ht="12.75" customHeight="1">
      <c r="A219" s="311"/>
      <c r="B219" s="311"/>
      <c r="C219" s="311"/>
      <c r="D219" s="311"/>
      <c r="E219" s="311"/>
      <c r="F219" s="311"/>
      <c r="G219" s="311"/>
      <c r="H219" s="311"/>
      <c r="I219" s="311"/>
      <c r="J219" s="311"/>
      <c r="K219" s="311"/>
      <c r="L219" s="311"/>
      <c r="M219" s="311"/>
      <c r="N219" s="311"/>
      <c r="O219" s="311"/>
      <c r="P219" s="311"/>
      <c r="Q219" s="311"/>
      <c r="R219" s="311"/>
      <c r="S219" s="311"/>
      <c r="T219" s="311"/>
      <c r="U219" s="311"/>
      <c r="V219" s="311"/>
      <c r="W219" s="311"/>
      <c r="X219" s="311"/>
      <c r="Y219" s="311"/>
      <c r="Z219" s="311"/>
      <c r="AA219" s="311"/>
      <c r="AB219" s="311"/>
      <c r="AC219" s="311"/>
      <c r="AD219" s="311"/>
      <c r="AE219" s="311"/>
      <c r="AF219" s="311"/>
      <c r="AG219" s="311"/>
      <c r="AH219" s="311"/>
      <c r="AI219" s="311"/>
    </row>
    <row r="220" spans="1:38" s="285" customFormat="1" ht="11.25" customHeight="1">
      <c r="AL220" s="360"/>
    </row>
    <row r="221" spans="1:38" s="285" customFormat="1" ht="22.5" customHeight="1">
      <c r="A221" s="283"/>
      <c r="B221" s="798" t="s">
        <v>761</v>
      </c>
      <c r="C221" s="798"/>
      <c r="D221" s="798"/>
      <c r="E221" s="798"/>
      <c r="F221" s="798"/>
      <c r="G221" s="798"/>
      <c r="H221" s="798"/>
      <c r="I221" s="798"/>
      <c r="J221" s="798"/>
      <c r="K221" s="798"/>
      <c r="L221" s="798"/>
      <c r="M221" s="798"/>
      <c r="N221" s="798"/>
      <c r="O221" s="798"/>
      <c r="P221" s="798"/>
      <c r="Q221" s="798"/>
      <c r="R221" s="798"/>
      <c r="S221" s="798"/>
      <c r="T221" s="798"/>
      <c r="U221" s="798"/>
      <c r="V221" s="798"/>
      <c r="W221" s="798"/>
      <c r="X221" s="798"/>
      <c r="Y221" s="798"/>
      <c r="Z221" s="798"/>
      <c r="AA221" s="798"/>
      <c r="AB221" s="798"/>
      <c r="AC221" s="798"/>
      <c r="AD221" s="798"/>
      <c r="AE221" s="798"/>
      <c r="AF221" s="798"/>
      <c r="AG221" s="798"/>
      <c r="AH221" s="798"/>
      <c r="AI221" s="798"/>
      <c r="AJ221" s="798"/>
      <c r="AK221" s="798"/>
      <c r="AL221" s="360"/>
    </row>
    <row r="222" spans="1:38" s="285" customFormat="1" ht="12.75" customHeight="1">
      <c r="A222" s="283"/>
      <c r="B222" s="362"/>
      <c r="C222" s="362"/>
      <c r="D222" s="362"/>
      <c r="E222" s="362"/>
      <c r="F222" s="362"/>
      <c r="G222" s="362"/>
      <c r="H222" s="362"/>
      <c r="I222" s="362"/>
      <c r="J222" s="362"/>
      <c r="K222" s="362"/>
      <c r="L222" s="362"/>
      <c r="M222" s="362"/>
      <c r="N222" s="362"/>
      <c r="O222" s="362"/>
      <c r="P222" s="362"/>
      <c r="Q222" s="362"/>
      <c r="R222" s="362"/>
      <c r="S222" s="362"/>
      <c r="T222" s="362"/>
      <c r="U222" s="362"/>
      <c r="V222" s="362"/>
      <c r="W222" s="362"/>
      <c r="X222" s="362"/>
      <c r="Y222" s="362"/>
      <c r="Z222" s="362"/>
      <c r="AA222" s="362"/>
      <c r="AB222" s="362"/>
      <c r="AC222" s="362"/>
      <c r="AD222" s="362"/>
      <c r="AE222" s="362"/>
      <c r="AF222" s="362"/>
      <c r="AG222" s="362"/>
      <c r="AH222" s="362"/>
      <c r="AI222" s="362"/>
      <c r="AJ222" s="362"/>
      <c r="AK222" s="233"/>
      <c r="AL222" s="360"/>
    </row>
    <row r="223" spans="1:38" s="285" customFormat="1" ht="12.75" customHeight="1">
      <c r="A223" s="283"/>
      <c r="B223" s="359"/>
      <c r="C223" s="359"/>
      <c r="D223" s="359"/>
      <c r="E223" s="359"/>
      <c r="F223" s="359"/>
      <c r="G223" s="359"/>
      <c r="H223" s="359"/>
      <c r="I223" s="359"/>
      <c r="J223" s="359"/>
      <c r="K223" s="359"/>
      <c r="L223" s="359"/>
      <c r="M223" s="359"/>
      <c r="N223" s="359"/>
      <c r="O223" s="359"/>
      <c r="P223" s="359"/>
      <c r="Q223" s="359"/>
      <c r="R223" s="359"/>
      <c r="S223" s="359"/>
      <c r="T223" s="359"/>
      <c r="U223" s="359"/>
      <c r="V223" s="359"/>
      <c r="W223" s="359"/>
      <c r="X223" s="359"/>
      <c r="Y223" s="359"/>
      <c r="Z223" s="359"/>
      <c r="AA223" s="359"/>
      <c r="AB223" s="359"/>
      <c r="AC223" s="359"/>
      <c r="AD223" s="359"/>
      <c r="AE223" s="359"/>
      <c r="AF223" s="359"/>
      <c r="AG223" s="359"/>
      <c r="AH223" s="359"/>
      <c r="AI223" s="359"/>
      <c r="AJ223" s="359"/>
      <c r="AK223" s="283"/>
      <c r="AL223" s="360"/>
    </row>
    <row r="224" spans="1:38" s="285" customFormat="1" ht="12.75" customHeight="1">
      <c r="A224" s="283"/>
      <c r="B224" s="359"/>
      <c r="C224" s="359"/>
      <c r="D224" s="359"/>
      <c r="E224" s="359"/>
      <c r="F224" s="359"/>
      <c r="G224" s="359"/>
      <c r="H224" s="359"/>
      <c r="I224" s="359"/>
      <c r="J224" s="359"/>
      <c r="K224" s="359"/>
      <c r="L224" s="359"/>
      <c r="M224" s="359"/>
      <c r="N224" s="359"/>
      <c r="O224" s="359"/>
      <c r="P224" s="359"/>
      <c r="Q224" s="359"/>
      <c r="R224" s="359"/>
      <c r="S224" s="359"/>
      <c r="T224" s="359"/>
      <c r="U224" s="359"/>
      <c r="V224" s="359"/>
      <c r="W224" s="359"/>
      <c r="X224" s="359"/>
      <c r="Y224" s="359"/>
      <c r="Z224" s="359"/>
      <c r="AA224" s="359"/>
      <c r="AB224" s="359"/>
      <c r="AC224" s="359"/>
      <c r="AD224" s="359"/>
      <c r="AE224" s="359"/>
      <c r="AF224" s="359"/>
      <c r="AG224" s="359"/>
      <c r="AH224" s="359"/>
      <c r="AI224" s="359"/>
      <c r="AJ224" s="359"/>
      <c r="AK224" s="283"/>
      <c r="AL224" s="360"/>
    </row>
    <row r="225" spans="1:38" s="285" customFormat="1" ht="56.25" customHeight="1">
      <c r="A225" s="283"/>
      <c r="B225" s="798" t="s">
        <v>762</v>
      </c>
      <c r="C225" s="798"/>
      <c r="D225" s="798"/>
      <c r="E225" s="798"/>
      <c r="F225" s="798"/>
      <c r="G225" s="798"/>
      <c r="H225" s="798"/>
      <c r="I225" s="798"/>
      <c r="J225" s="798"/>
      <c r="K225" s="798"/>
      <c r="L225" s="798"/>
      <c r="M225" s="798"/>
      <c r="N225" s="798"/>
      <c r="O225" s="798"/>
      <c r="P225" s="798"/>
      <c r="Q225" s="798"/>
      <c r="R225" s="798"/>
      <c r="S225" s="798"/>
      <c r="T225" s="798"/>
      <c r="U225" s="798"/>
      <c r="V225" s="798"/>
      <c r="W225" s="798"/>
      <c r="X225" s="798"/>
      <c r="Y225" s="798"/>
      <c r="Z225" s="798"/>
      <c r="AA225" s="798"/>
      <c r="AB225" s="798"/>
      <c r="AC225" s="798"/>
      <c r="AD225" s="798"/>
      <c r="AE225" s="798"/>
      <c r="AF225" s="798"/>
      <c r="AG225" s="798"/>
      <c r="AH225" s="798"/>
      <c r="AI225" s="798"/>
      <c r="AJ225" s="798"/>
      <c r="AK225" s="798"/>
      <c r="AL225" s="360"/>
    </row>
    <row r="226" spans="1:38" s="285" customFormat="1" ht="33.75" customHeight="1">
      <c r="A226" s="283"/>
      <c r="B226" s="725" t="s">
        <v>269</v>
      </c>
      <c r="C226" s="725"/>
      <c r="D226" s="725"/>
      <c r="E226" s="725"/>
      <c r="F226" s="725"/>
      <c r="G226" s="725"/>
      <c r="H226" s="725"/>
      <c r="I226" s="725"/>
      <c r="J226" s="725"/>
      <c r="K226" s="725"/>
      <c r="L226" s="725"/>
      <c r="M226" s="725"/>
      <c r="N226" s="725"/>
      <c r="O226" s="725"/>
      <c r="P226" s="725"/>
      <c r="Q226" s="725"/>
      <c r="R226" s="725"/>
      <c r="S226" s="725"/>
      <c r="T226" s="725"/>
      <c r="U226" s="725"/>
      <c r="V226" s="725"/>
      <c r="W226" s="725"/>
      <c r="X226" s="725"/>
      <c r="Y226" s="725"/>
      <c r="Z226" s="725"/>
      <c r="AA226" s="725"/>
      <c r="AB226" s="725"/>
      <c r="AC226" s="725"/>
      <c r="AD226" s="725"/>
      <c r="AE226" s="725"/>
      <c r="AF226" s="725"/>
      <c r="AG226" s="725"/>
      <c r="AH226" s="725"/>
      <c r="AI226" s="725"/>
      <c r="AJ226" s="725"/>
      <c r="AK226" s="725"/>
      <c r="AL226" s="360"/>
    </row>
    <row r="227" spans="1:38" s="285" customFormat="1" ht="11.25" customHeight="1">
      <c r="A227" s="283"/>
      <c r="B227" s="237"/>
      <c r="C227" s="362"/>
      <c r="D227" s="362"/>
      <c r="E227" s="362"/>
      <c r="F227" s="362"/>
      <c r="G227" s="362"/>
      <c r="H227" s="362"/>
      <c r="I227" s="362"/>
      <c r="J227" s="362"/>
      <c r="K227" s="362"/>
      <c r="L227" s="362"/>
      <c r="M227" s="362"/>
      <c r="N227" s="362"/>
      <c r="O227" s="362"/>
      <c r="P227" s="362"/>
      <c r="Q227" s="362"/>
      <c r="R227" s="362"/>
      <c r="S227" s="362"/>
      <c r="T227" s="362"/>
      <c r="U227" s="362"/>
      <c r="V227" s="362"/>
      <c r="W227" s="362"/>
      <c r="X227" s="362"/>
      <c r="Y227" s="362"/>
      <c r="Z227" s="362"/>
      <c r="AA227" s="362"/>
      <c r="AB227" s="362"/>
      <c r="AC227" s="362"/>
      <c r="AD227" s="362"/>
      <c r="AE227" s="362"/>
      <c r="AF227" s="362"/>
      <c r="AG227" s="362"/>
      <c r="AH227" s="362"/>
      <c r="AI227" s="362"/>
      <c r="AJ227" s="362"/>
      <c r="AK227" s="233"/>
      <c r="AL227" s="360"/>
    </row>
    <row r="228" spans="1:38" s="285" customFormat="1" ht="33.75" customHeight="1">
      <c r="A228" s="283"/>
      <c r="B228" s="798" t="s">
        <v>763</v>
      </c>
      <c r="C228" s="798"/>
      <c r="D228" s="798"/>
      <c r="E228" s="798"/>
      <c r="F228" s="798"/>
      <c r="G228" s="798"/>
      <c r="H228" s="798"/>
      <c r="I228" s="798"/>
      <c r="J228" s="798"/>
      <c r="K228" s="798"/>
      <c r="L228" s="798"/>
      <c r="M228" s="798"/>
      <c r="N228" s="798"/>
      <c r="O228" s="798"/>
      <c r="P228" s="798"/>
      <c r="Q228" s="798"/>
      <c r="R228" s="798"/>
      <c r="S228" s="798"/>
      <c r="T228" s="798"/>
      <c r="U228" s="798"/>
      <c r="V228" s="798"/>
      <c r="W228" s="798"/>
      <c r="X228" s="798"/>
      <c r="Y228" s="798"/>
      <c r="Z228" s="798"/>
      <c r="AA228" s="798"/>
      <c r="AB228" s="798"/>
      <c r="AC228" s="798"/>
      <c r="AD228" s="798"/>
      <c r="AE228" s="798"/>
      <c r="AF228" s="798"/>
      <c r="AG228" s="798"/>
      <c r="AH228" s="798"/>
      <c r="AI228" s="798"/>
      <c r="AJ228" s="798"/>
      <c r="AK228" s="798"/>
      <c r="AL228" s="360"/>
    </row>
    <row r="229" spans="1:38" s="285" customFormat="1" ht="12.75" customHeight="1">
      <c r="A229" s="283"/>
      <c r="B229" s="390"/>
      <c r="C229" s="362"/>
      <c r="D229" s="362"/>
      <c r="E229" s="362"/>
      <c r="F229" s="362"/>
      <c r="G229" s="362"/>
      <c r="H229" s="362"/>
      <c r="I229" s="362"/>
      <c r="J229" s="362"/>
      <c r="K229" s="362"/>
      <c r="L229" s="362"/>
      <c r="M229" s="362"/>
      <c r="N229" s="362"/>
      <c r="O229" s="362"/>
      <c r="P229" s="362"/>
      <c r="Q229" s="362"/>
      <c r="R229" s="362"/>
      <c r="S229" s="362"/>
      <c r="T229" s="362"/>
      <c r="U229" s="362"/>
      <c r="V229" s="362"/>
      <c r="W229" s="362"/>
      <c r="X229" s="362"/>
      <c r="Y229" s="362"/>
      <c r="Z229" s="362"/>
      <c r="AA229" s="362"/>
      <c r="AB229" s="362"/>
      <c r="AC229" s="362"/>
      <c r="AD229" s="362"/>
      <c r="AE229" s="362"/>
      <c r="AF229" s="362"/>
      <c r="AG229" s="362"/>
      <c r="AH229" s="362"/>
      <c r="AI229" s="362"/>
      <c r="AJ229" s="362"/>
      <c r="AK229" s="233"/>
      <c r="AL229" s="360"/>
    </row>
    <row r="230" spans="1:38" s="285" customFormat="1" ht="33.75" customHeight="1">
      <c r="A230" s="283"/>
      <c r="B230" s="798" t="s">
        <v>764</v>
      </c>
      <c r="C230" s="798"/>
      <c r="D230" s="798"/>
      <c r="E230" s="798"/>
      <c r="F230" s="798"/>
      <c r="G230" s="798"/>
      <c r="H230" s="798"/>
      <c r="I230" s="798"/>
      <c r="J230" s="798"/>
      <c r="K230" s="798"/>
      <c r="L230" s="798"/>
      <c r="M230" s="798"/>
      <c r="N230" s="798"/>
      <c r="O230" s="798"/>
      <c r="P230" s="798"/>
      <c r="Q230" s="798"/>
      <c r="R230" s="798"/>
      <c r="S230" s="798"/>
      <c r="T230" s="798"/>
      <c r="U230" s="798"/>
      <c r="V230" s="798"/>
      <c r="W230" s="798"/>
      <c r="X230" s="798"/>
      <c r="Y230" s="798"/>
      <c r="Z230" s="798"/>
      <c r="AA230" s="798"/>
      <c r="AB230" s="798"/>
      <c r="AC230" s="798"/>
      <c r="AD230" s="798"/>
      <c r="AE230" s="798"/>
      <c r="AF230" s="798"/>
      <c r="AG230" s="798"/>
      <c r="AH230" s="798"/>
      <c r="AI230" s="798"/>
      <c r="AJ230" s="798"/>
      <c r="AK230" s="798"/>
      <c r="AL230" s="360"/>
    </row>
    <row r="231" spans="1:38" s="285" customFormat="1" ht="11.25" customHeight="1">
      <c r="A231" s="283"/>
      <c r="C231" s="359"/>
      <c r="D231" s="359"/>
      <c r="E231" s="359"/>
      <c r="F231" s="359"/>
      <c r="G231" s="359"/>
      <c r="H231" s="359"/>
      <c r="I231" s="359"/>
      <c r="J231" s="359"/>
      <c r="K231" s="359"/>
      <c r="L231" s="359"/>
      <c r="M231" s="359"/>
      <c r="N231" s="359"/>
      <c r="O231" s="359"/>
      <c r="P231" s="359"/>
      <c r="Q231" s="359"/>
      <c r="R231" s="359"/>
      <c r="S231" s="359"/>
      <c r="T231" s="359"/>
      <c r="U231" s="359"/>
      <c r="V231" s="359"/>
      <c r="W231" s="359"/>
      <c r="X231" s="359"/>
      <c r="Y231" s="359"/>
      <c r="Z231" s="359"/>
      <c r="AA231" s="359"/>
      <c r="AB231" s="359"/>
      <c r="AC231" s="359"/>
      <c r="AD231" s="359"/>
      <c r="AE231" s="359"/>
      <c r="AF231" s="359"/>
      <c r="AG231" s="359"/>
      <c r="AH231" s="359"/>
      <c r="AI231" s="359"/>
      <c r="AJ231" s="359"/>
      <c r="AK231" s="283"/>
      <c r="AL231" s="360"/>
    </row>
    <row r="232" spans="1:38" s="285" customFormat="1" ht="11.25" customHeight="1">
      <c r="A232" s="283"/>
      <c r="B232" s="797" t="s">
        <v>272</v>
      </c>
      <c r="C232" s="797"/>
      <c r="D232" s="797"/>
      <c r="E232" s="797"/>
      <c r="F232" s="797"/>
      <c r="G232" s="797"/>
      <c r="H232" s="797"/>
      <c r="I232" s="797"/>
      <c r="J232" s="797"/>
      <c r="K232" s="797"/>
      <c r="L232" s="797"/>
      <c r="M232" s="797"/>
      <c r="N232" s="797"/>
      <c r="O232" s="797"/>
      <c r="P232" s="797"/>
      <c r="Q232" s="797"/>
      <c r="R232" s="797"/>
      <c r="S232" s="797"/>
      <c r="T232" s="797"/>
      <c r="U232" s="797"/>
      <c r="V232" s="797"/>
      <c r="W232" s="797"/>
      <c r="X232" s="797"/>
      <c r="Y232" s="797"/>
      <c r="Z232" s="797"/>
      <c r="AA232" s="797"/>
      <c r="AB232" s="797"/>
      <c r="AC232" s="797"/>
      <c r="AD232" s="797"/>
      <c r="AE232" s="797"/>
      <c r="AF232" s="797"/>
      <c r="AG232" s="797"/>
      <c r="AH232" s="797"/>
      <c r="AI232" s="797"/>
      <c r="AJ232" s="797"/>
      <c r="AK232" s="797"/>
      <c r="AL232" s="360"/>
    </row>
    <row r="233" spans="1:38" s="285" customFormat="1" ht="11.25" customHeight="1">
      <c r="A233" s="283"/>
      <c r="C233" s="359"/>
      <c r="D233" s="359"/>
      <c r="E233" s="359"/>
      <c r="F233" s="359"/>
      <c r="G233" s="359"/>
      <c r="H233" s="359"/>
      <c r="I233" s="359"/>
      <c r="J233" s="359"/>
      <c r="K233" s="359"/>
      <c r="L233" s="359"/>
      <c r="M233" s="359"/>
      <c r="N233" s="359"/>
      <c r="O233" s="359"/>
      <c r="P233" s="359"/>
      <c r="Q233" s="359"/>
      <c r="R233" s="359"/>
      <c r="S233" s="359"/>
      <c r="T233" s="359"/>
      <c r="U233" s="359"/>
      <c r="V233" s="359"/>
      <c r="W233" s="359"/>
      <c r="X233" s="359"/>
      <c r="Y233" s="359"/>
      <c r="Z233" s="359"/>
      <c r="AA233" s="359"/>
      <c r="AB233" s="359"/>
      <c r="AC233" s="359"/>
      <c r="AD233" s="359"/>
      <c r="AE233" s="359"/>
      <c r="AF233" s="359"/>
      <c r="AG233" s="359"/>
      <c r="AH233" s="359"/>
      <c r="AI233" s="359"/>
      <c r="AJ233" s="359"/>
      <c r="AK233" s="283"/>
      <c r="AL233" s="360"/>
    </row>
    <row r="234" spans="1:38" s="285" customFormat="1" ht="45" customHeight="1">
      <c r="A234" s="283"/>
      <c r="B234" s="803" t="s">
        <v>337</v>
      </c>
      <c r="C234" s="803"/>
      <c r="D234" s="803"/>
      <c r="E234" s="803"/>
      <c r="F234" s="803"/>
      <c r="G234" s="803"/>
      <c r="H234" s="803"/>
      <c r="I234" s="803"/>
      <c r="J234" s="803"/>
      <c r="K234" s="803"/>
      <c r="L234" s="803"/>
      <c r="M234" s="803"/>
      <c r="N234" s="803"/>
      <c r="O234" s="803"/>
      <c r="P234" s="803"/>
      <c r="Q234" s="803"/>
      <c r="R234" s="803"/>
      <c r="S234" s="803"/>
      <c r="T234" s="803"/>
      <c r="U234" s="803"/>
      <c r="V234" s="803"/>
      <c r="W234" s="803"/>
      <c r="X234" s="803"/>
      <c r="Y234" s="803"/>
      <c r="Z234" s="803"/>
      <c r="AA234" s="803"/>
      <c r="AB234" s="803"/>
      <c r="AC234" s="803"/>
      <c r="AD234" s="803"/>
      <c r="AE234" s="803"/>
      <c r="AF234" s="803"/>
      <c r="AG234" s="803"/>
      <c r="AH234" s="803"/>
      <c r="AI234" s="803"/>
      <c r="AJ234" s="803"/>
      <c r="AK234" s="803"/>
      <c r="AL234" s="360"/>
    </row>
    <row r="235" spans="1:38" s="285" customFormat="1" ht="12.75" customHeight="1">
      <c r="A235" s="283"/>
      <c r="B235" s="359"/>
      <c r="C235" s="359"/>
      <c r="D235" s="359"/>
      <c r="E235" s="359"/>
      <c r="F235" s="359"/>
      <c r="G235" s="359"/>
      <c r="H235" s="359"/>
      <c r="I235" s="359"/>
      <c r="J235" s="359"/>
      <c r="K235" s="359"/>
      <c r="L235" s="359"/>
      <c r="M235" s="359"/>
      <c r="N235" s="359"/>
      <c r="O235" s="359"/>
      <c r="P235" s="359"/>
      <c r="Q235" s="359"/>
      <c r="R235" s="359"/>
      <c r="S235" s="359"/>
      <c r="T235" s="359"/>
      <c r="U235" s="359"/>
      <c r="V235" s="359"/>
      <c r="W235" s="359"/>
      <c r="X235" s="359"/>
      <c r="Y235" s="359"/>
      <c r="Z235" s="359"/>
      <c r="AA235" s="359"/>
      <c r="AB235" s="359"/>
      <c r="AC235" s="359"/>
      <c r="AD235" s="359"/>
      <c r="AE235" s="359"/>
      <c r="AF235" s="359"/>
      <c r="AG235" s="359"/>
      <c r="AH235" s="359"/>
      <c r="AI235" s="359"/>
      <c r="AJ235" s="359"/>
      <c r="AK235" s="283"/>
      <c r="AL235" s="360"/>
    </row>
    <row r="236" spans="1:38" s="285" customFormat="1" ht="12.75" customHeight="1">
      <c r="A236" s="283"/>
      <c r="B236" s="359"/>
      <c r="C236" s="359"/>
      <c r="D236" s="359"/>
      <c r="E236" s="359"/>
      <c r="F236" s="359"/>
      <c r="G236" s="359"/>
      <c r="H236" s="359"/>
      <c r="I236" s="359"/>
      <c r="J236" s="359"/>
      <c r="K236" s="359"/>
      <c r="L236" s="359"/>
      <c r="M236" s="359"/>
      <c r="N236" s="359"/>
      <c r="O236" s="359"/>
      <c r="P236" s="359"/>
      <c r="Q236" s="359"/>
      <c r="R236" s="359"/>
      <c r="S236" s="359"/>
      <c r="T236" s="359"/>
      <c r="U236" s="359"/>
      <c r="V236" s="359"/>
      <c r="W236" s="359"/>
      <c r="X236" s="359"/>
      <c r="Y236" s="359"/>
      <c r="Z236" s="359"/>
      <c r="AA236" s="359"/>
      <c r="AB236" s="359"/>
      <c r="AC236" s="359"/>
      <c r="AD236" s="359"/>
      <c r="AE236" s="359"/>
      <c r="AF236" s="359"/>
      <c r="AG236" s="359"/>
      <c r="AH236" s="359"/>
      <c r="AI236" s="359"/>
      <c r="AJ236" s="359"/>
      <c r="AK236" s="283"/>
      <c r="AL236" s="360"/>
    </row>
    <row r="237" spans="1:38" s="285" customFormat="1" ht="12.75" customHeight="1">
      <c r="A237" s="283"/>
      <c r="B237" s="969" t="s">
        <v>274</v>
      </c>
      <c r="C237" s="969"/>
      <c r="D237" s="969"/>
      <c r="E237" s="969"/>
      <c r="F237" s="969"/>
      <c r="G237" s="969"/>
      <c r="H237" s="969"/>
      <c r="I237" s="969"/>
      <c r="J237" s="969"/>
      <c r="K237" s="969"/>
      <c r="L237" s="969"/>
      <c r="M237" s="969"/>
      <c r="N237" s="969"/>
      <c r="O237" s="969"/>
      <c r="P237" s="969"/>
      <c r="Q237" s="969"/>
      <c r="R237" s="969"/>
      <c r="S237" s="969"/>
      <c r="T237" s="969"/>
      <c r="U237" s="969"/>
      <c r="V237" s="969"/>
      <c r="W237" s="969"/>
      <c r="X237" s="969"/>
      <c r="Y237" s="969"/>
      <c r="Z237" s="969"/>
      <c r="AA237" s="969"/>
      <c r="AB237" s="969"/>
      <c r="AC237" s="969"/>
      <c r="AD237" s="969"/>
      <c r="AE237" s="969"/>
      <c r="AF237" s="969"/>
      <c r="AG237" s="969"/>
      <c r="AH237" s="969"/>
      <c r="AI237" s="969"/>
      <c r="AJ237" s="969"/>
      <c r="AK237" s="969"/>
      <c r="AL237" s="360"/>
    </row>
    <row r="238" spans="1:38" s="285" customFormat="1" ht="12.75" customHeight="1">
      <c r="A238" s="283"/>
      <c r="B238" s="359"/>
      <c r="C238" s="359"/>
      <c r="D238" s="359"/>
      <c r="E238" s="359"/>
      <c r="F238" s="359"/>
      <c r="G238" s="359"/>
      <c r="H238" s="359"/>
      <c r="I238" s="359"/>
      <c r="J238" s="359"/>
      <c r="K238" s="359"/>
      <c r="L238" s="359"/>
      <c r="M238" s="359"/>
      <c r="N238" s="359"/>
      <c r="O238" s="359"/>
      <c r="P238" s="359"/>
      <c r="Q238" s="359"/>
      <c r="R238" s="359"/>
      <c r="S238" s="359"/>
      <c r="T238" s="359"/>
      <c r="U238" s="359"/>
      <c r="V238" s="359"/>
      <c r="W238" s="359"/>
      <c r="X238" s="359"/>
      <c r="Y238" s="359"/>
      <c r="Z238" s="359"/>
      <c r="AA238" s="359"/>
      <c r="AB238" s="359"/>
      <c r="AC238" s="359"/>
      <c r="AD238" s="359"/>
      <c r="AE238" s="359"/>
      <c r="AF238" s="359"/>
      <c r="AG238" s="359"/>
      <c r="AH238" s="359"/>
      <c r="AI238" s="359"/>
      <c r="AJ238" s="359"/>
      <c r="AK238" s="283"/>
      <c r="AL238" s="360"/>
    </row>
    <row r="239" spans="1:38" s="285" customFormat="1" ht="12.75" customHeight="1">
      <c r="A239" s="283"/>
      <c r="B239" s="359"/>
      <c r="C239" s="359"/>
      <c r="D239" s="359"/>
      <c r="E239" s="359"/>
      <c r="F239" s="359"/>
      <c r="G239" s="359"/>
      <c r="H239" s="359"/>
      <c r="I239" s="359"/>
      <c r="J239" s="359"/>
      <c r="K239" s="359"/>
      <c r="L239" s="359"/>
      <c r="M239" s="359"/>
      <c r="N239" s="359"/>
      <c r="O239" s="359"/>
      <c r="P239" s="359"/>
      <c r="Q239" s="359"/>
      <c r="R239" s="359"/>
      <c r="S239" s="359"/>
      <c r="T239" s="359"/>
      <c r="U239" s="359"/>
      <c r="V239" s="359"/>
      <c r="W239" s="359"/>
      <c r="X239" s="359"/>
      <c r="Y239" s="359"/>
      <c r="Z239" s="359"/>
      <c r="AA239" s="359"/>
      <c r="AB239" s="359"/>
      <c r="AC239" s="359"/>
      <c r="AD239" s="359"/>
      <c r="AE239" s="359"/>
      <c r="AF239" s="359"/>
      <c r="AG239" s="359"/>
      <c r="AH239" s="359"/>
      <c r="AI239" s="359"/>
      <c r="AJ239" s="359"/>
      <c r="AK239" s="283"/>
      <c r="AL239" s="360"/>
    </row>
    <row r="240" spans="1:38" s="285" customFormat="1" ht="12.75" customHeight="1">
      <c r="A240" s="283"/>
      <c r="B240" s="359"/>
      <c r="C240" s="359"/>
      <c r="D240" s="359"/>
      <c r="E240" s="359"/>
      <c r="F240" s="359"/>
      <c r="G240" s="359"/>
      <c r="H240" s="359"/>
      <c r="I240" s="359"/>
      <c r="J240" s="359"/>
      <c r="K240" s="359"/>
      <c r="L240" s="968"/>
      <c r="M240" s="968"/>
      <c r="N240" s="968"/>
      <c r="O240" s="968"/>
      <c r="P240" s="968"/>
      <c r="Q240" s="968"/>
      <c r="R240" s="968"/>
      <c r="S240" s="968"/>
      <c r="T240" s="968"/>
      <c r="U240" s="968"/>
      <c r="V240" s="968"/>
      <c r="W240" s="968"/>
      <c r="X240" s="968"/>
      <c r="Y240" s="968"/>
      <c r="Z240" s="968"/>
      <c r="AA240" s="968"/>
      <c r="AB240" s="359"/>
      <c r="AC240" s="359"/>
      <c r="AD240" s="359"/>
      <c r="AE240" s="359"/>
      <c r="AF240" s="359"/>
      <c r="AG240" s="359"/>
      <c r="AH240" s="359"/>
      <c r="AI240" s="359"/>
      <c r="AJ240" s="359"/>
      <c r="AK240" s="283"/>
      <c r="AL240" s="360"/>
    </row>
    <row r="241" spans="1:38" s="285" customFormat="1" ht="12.75" customHeight="1">
      <c r="A241" s="283"/>
      <c r="B241" s="359"/>
      <c r="C241" s="359"/>
      <c r="D241" s="359"/>
      <c r="E241" s="359"/>
      <c r="F241" s="359"/>
      <c r="G241" s="359"/>
      <c r="H241" s="359"/>
      <c r="I241" s="359"/>
      <c r="J241" s="359"/>
      <c r="K241" s="359"/>
      <c r="L241" s="359"/>
      <c r="M241" s="359"/>
      <c r="N241" s="359"/>
      <c r="O241" s="359"/>
      <c r="P241" s="359"/>
      <c r="Q241" s="359"/>
      <c r="R241" s="500"/>
      <c r="S241" s="359"/>
      <c r="T241" s="359"/>
      <c r="U241" s="359"/>
      <c r="V241" s="359"/>
      <c r="W241" s="359"/>
      <c r="X241" s="359"/>
      <c r="Y241" s="359"/>
      <c r="Z241" s="359"/>
      <c r="AA241" s="359"/>
      <c r="AB241" s="359"/>
      <c r="AC241" s="359"/>
      <c r="AD241" s="359"/>
      <c r="AE241" s="359"/>
      <c r="AF241" s="359"/>
      <c r="AG241" s="359"/>
      <c r="AH241" s="359"/>
      <c r="AI241" s="359"/>
      <c r="AJ241" s="359"/>
      <c r="AK241" s="283"/>
      <c r="AL241" s="360"/>
    </row>
    <row r="242" spans="1:38" s="285" customFormat="1" ht="12.75" customHeight="1">
      <c r="A242" s="283"/>
      <c r="B242" s="359"/>
      <c r="C242" s="359"/>
      <c r="D242" s="359"/>
      <c r="E242" s="359"/>
      <c r="F242" s="359"/>
      <c r="G242" s="359"/>
      <c r="H242" s="359"/>
      <c r="I242" s="359"/>
      <c r="J242" s="359"/>
      <c r="K242" s="359"/>
      <c r="L242" s="359"/>
      <c r="M242" s="359"/>
      <c r="N242" s="359"/>
      <c r="O242" s="359"/>
      <c r="P242" s="359"/>
      <c r="Q242" s="359"/>
      <c r="R242" s="359"/>
      <c r="S242" s="359"/>
      <c r="T242" s="359"/>
      <c r="U242" s="359"/>
      <c r="V242" s="359"/>
      <c r="W242" s="359"/>
      <c r="X242" s="359"/>
      <c r="Y242" s="359"/>
      <c r="Z242" s="359"/>
      <c r="AA242" s="359"/>
      <c r="AB242" s="359"/>
      <c r="AC242" s="359"/>
      <c r="AD242" s="359"/>
      <c r="AE242" s="359"/>
      <c r="AF242" s="359"/>
      <c r="AG242" s="359"/>
      <c r="AH242" s="359"/>
      <c r="AI242" s="359"/>
      <c r="AJ242" s="359"/>
      <c r="AK242" s="283"/>
      <c r="AL242" s="360"/>
    </row>
    <row r="243" spans="1:38" s="285" customFormat="1" ht="12.75" customHeight="1">
      <c r="A243" s="283"/>
      <c r="B243" s="359"/>
      <c r="C243" s="359"/>
      <c r="D243" s="359"/>
      <c r="E243" s="359"/>
      <c r="F243" s="359"/>
      <c r="G243" s="359"/>
      <c r="H243" s="359"/>
      <c r="I243" s="359"/>
      <c r="J243" s="359"/>
      <c r="K243" s="359"/>
      <c r="L243" s="968"/>
      <c r="M243" s="968"/>
      <c r="N243" s="968"/>
      <c r="O243" s="968"/>
      <c r="P243" s="968"/>
      <c r="Q243" s="968"/>
      <c r="R243" s="968"/>
      <c r="S243" s="968"/>
      <c r="T243" s="968"/>
      <c r="U243" s="968"/>
      <c r="V243" s="968"/>
      <c r="W243" s="968"/>
      <c r="X243" s="968"/>
      <c r="Y243" s="968"/>
      <c r="Z243" s="968"/>
      <c r="AA243" s="968"/>
      <c r="AB243" s="359"/>
      <c r="AC243" s="359"/>
      <c r="AD243" s="359"/>
      <c r="AE243" s="359"/>
      <c r="AF243" s="359"/>
      <c r="AG243" s="359"/>
      <c r="AH243" s="359"/>
      <c r="AI243" s="359"/>
      <c r="AJ243" s="359"/>
      <c r="AK243" s="283"/>
      <c r="AL243" s="360"/>
    </row>
    <row r="244" spans="1:38" s="285" customFormat="1" ht="12.75" customHeight="1">
      <c r="A244" s="283"/>
      <c r="B244" s="359"/>
      <c r="C244" s="359"/>
      <c r="D244" s="359"/>
      <c r="E244" s="359"/>
      <c r="F244" s="359"/>
      <c r="G244" s="359"/>
      <c r="H244" s="359"/>
      <c r="I244" s="359"/>
      <c r="J244" s="359"/>
      <c r="K244" s="359"/>
      <c r="L244" s="359"/>
      <c r="M244" s="359"/>
      <c r="N244" s="359"/>
      <c r="O244" s="359"/>
      <c r="P244" s="359"/>
      <c r="Q244" s="359"/>
      <c r="R244" s="359"/>
      <c r="S244" s="359"/>
      <c r="T244" s="359"/>
      <c r="U244" s="359"/>
      <c r="V244" s="359"/>
      <c r="W244" s="359"/>
      <c r="X244" s="359"/>
      <c r="Y244" s="359"/>
      <c r="Z244" s="359"/>
      <c r="AA244" s="359"/>
      <c r="AB244" s="359"/>
      <c r="AC244" s="359"/>
      <c r="AD244" s="359"/>
      <c r="AE244" s="359"/>
      <c r="AF244" s="359"/>
      <c r="AG244" s="359"/>
      <c r="AH244" s="359"/>
      <c r="AI244" s="359"/>
      <c r="AJ244" s="359"/>
      <c r="AK244" s="283"/>
      <c r="AL244" s="360"/>
    </row>
    <row r="245" spans="1:38" s="285" customFormat="1" ht="12.75" customHeight="1">
      <c r="A245" s="283"/>
      <c r="B245" s="359"/>
      <c r="C245" s="359"/>
      <c r="D245" s="359"/>
      <c r="E245" s="359"/>
      <c r="F245" s="359"/>
      <c r="G245" s="359"/>
      <c r="H245" s="359"/>
      <c r="I245" s="359"/>
      <c r="J245" s="359"/>
      <c r="K245" s="359"/>
      <c r="L245" s="359"/>
      <c r="M245" s="359"/>
      <c r="N245" s="359"/>
      <c r="O245" s="359"/>
      <c r="P245" s="359"/>
      <c r="Q245" s="359"/>
      <c r="R245" s="359"/>
      <c r="S245" s="359"/>
      <c r="T245" s="359"/>
      <c r="U245" s="359"/>
      <c r="V245" s="359"/>
      <c r="W245" s="359"/>
      <c r="X245" s="359"/>
      <c r="Y245" s="359"/>
      <c r="Z245" s="359"/>
      <c r="AA245" s="359"/>
      <c r="AB245" s="359"/>
      <c r="AC245" s="359"/>
      <c r="AD245" s="359"/>
      <c r="AE245" s="359"/>
      <c r="AF245" s="359"/>
      <c r="AG245" s="359"/>
      <c r="AH245" s="359"/>
      <c r="AI245" s="359"/>
      <c r="AJ245" s="359"/>
      <c r="AK245" s="283"/>
      <c r="AL245" s="360"/>
    </row>
    <row r="246" spans="1:38" s="285" customFormat="1" ht="12.75" customHeight="1">
      <c r="A246" s="283"/>
      <c r="B246" s="359"/>
      <c r="C246" s="359"/>
      <c r="D246" s="359"/>
      <c r="E246" s="359"/>
      <c r="F246" s="359"/>
      <c r="G246" s="359"/>
      <c r="H246" s="359"/>
      <c r="I246" s="359"/>
      <c r="J246" s="359"/>
      <c r="K246" s="359"/>
      <c r="L246" s="359"/>
      <c r="M246" s="359"/>
      <c r="N246" s="359"/>
      <c r="O246" s="359"/>
      <c r="P246" s="359"/>
      <c r="Q246" s="359"/>
      <c r="R246" s="359"/>
      <c r="S246" s="359"/>
      <c r="T246" s="359"/>
      <c r="U246" s="359"/>
      <c r="V246" s="359"/>
      <c r="W246" s="359"/>
      <c r="X246" s="359"/>
      <c r="Y246" s="359"/>
      <c r="Z246" s="359"/>
      <c r="AA246" s="359"/>
      <c r="AB246" s="359"/>
      <c r="AC246" s="359"/>
      <c r="AD246" s="359"/>
      <c r="AE246" s="359"/>
      <c r="AF246" s="359"/>
      <c r="AG246" s="359"/>
      <c r="AH246" s="359"/>
      <c r="AI246" s="359"/>
      <c r="AJ246" s="359"/>
      <c r="AK246" s="283"/>
      <c r="AL246" s="360"/>
    </row>
    <row r="247" spans="1:38" s="285" customFormat="1" ht="12.75" customHeight="1">
      <c r="A247" s="283"/>
      <c r="B247" s="359"/>
      <c r="C247" s="359"/>
      <c r="D247" s="359"/>
      <c r="E247" s="359"/>
      <c r="F247" s="359"/>
      <c r="G247" s="359"/>
      <c r="H247" s="359"/>
      <c r="I247" s="359"/>
      <c r="J247" s="359"/>
      <c r="K247" s="359"/>
      <c r="L247" s="359"/>
      <c r="M247" s="359"/>
      <c r="N247" s="359"/>
      <c r="O247" s="359"/>
      <c r="P247" s="359"/>
      <c r="Q247" s="359"/>
      <c r="R247" s="359"/>
      <c r="S247" s="359"/>
      <c r="T247" s="359"/>
      <c r="U247" s="359"/>
      <c r="V247" s="359"/>
      <c r="W247" s="359"/>
      <c r="X247" s="359"/>
      <c r="Y247" s="359"/>
      <c r="Z247" s="359"/>
      <c r="AA247" s="359"/>
      <c r="AB247" s="359"/>
      <c r="AC247" s="359"/>
      <c r="AD247" s="359"/>
      <c r="AE247" s="359"/>
      <c r="AF247" s="359"/>
      <c r="AG247" s="359"/>
      <c r="AH247" s="359"/>
      <c r="AI247" s="359"/>
      <c r="AJ247" s="359"/>
      <c r="AK247" s="283"/>
      <c r="AL247" s="360"/>
    </row>
    <row r="248" spans="1:38" s="285" customFormat="1" ht="12.75" customHeight="1">
      <c r="A248" s="283"/>
      <c r="B248" s="969" t="s">
        <v>275</v>
      </c>
      <c r="C248" s="969"/>
      <c r="D248" s="969"/>
      <c r="E248" s="969"/>
      <c r="F248" s="969"/>
      <c r="G248" s="969"/>
      <c r="H248" s="969"/>
      <c r="I248" s="969"/>
      <c r="J248" s="969"/>
      <c r="K248" s="969"/>
      <c r="L248" s="969"/>
      <c r="M248" s="969"/>
      <c r="N248" s="969"/>
      <c r="O248" s="969"/>
      <c r="P248" s="969"/>
      <c r="Q248" s="969"/>
      <c r="R248" s="969"/>
      <c r="S248" s="969"/>
      <c r="T248" s="969"/>
      <c r="U248" s="969"/>
      <c r="V248" s="969"/>
      <c r="W248" s="969"/>
      <c r="X248" s="969"/>
      <c r="Y248" s="969"/>
      <c r="Z248" s="969"/>
      <c r="AA248" s="969"/>
      <c r="AB248" s="969"/>
      <c r="AC248" s="969"/>
      <c r="AD248" s="969"/>
      <c r="AE248" s="969"/>
      <c r="AF248" s="969"/>
      <c r="AG248" s="969"/>
      <c r="AH248" s="969"/>
      <c r="AI248" s="969"/>
      <c r="AJ248" s="969"/>
      <c r="AK248" s="969"/>
      <c r="AL248" s="360"/>
    </row>
    <row r="249" spans="1:38" s="285" customFormat="1" ht="12.75" customHeight="1">
      <c r="A249" s="283"/>
      <c r="B249" s="359"/>
      <c r="C249" s="359"/>
      <c r="D249" s="359"/>
      <c r="E249" s="359"/>
      <c r="F249" s="359"/>
      <c r="G249" s="359"/>
      <c r="H249" s="359"/>
      <c r="I249" s="359"/>
      <c r="J249" s="359"/>
      <c r="K249" s="359"/>
      <c r="L249" s="359"/>
      <c r="M249" s="359"/>
      <c r="N249" s="359"/>
      <c r="O249" s="359"/>
      <c r="P249" s="359"/>
      <c r="Q249" s="359"/>
      <c r="R249" s="359"/>
      <c r="S249" s="359"/>
      <c r="T249" s="359"/>
      <c r="U249" s="359"/>
      <c r="V249" s="359"/>
      <c r="W249" s="359"/>
      <c r="X249" s="359"/>
      <c r="Y249" s="359"/>
      <c r="Z249" s="359"/>
      <c r="AA249" s="359"/>
      <c r="AB249" s="359"/>
      <c r="AC249" s="359"/>
      <c r="AD249" s="359"/>
      <c r="AE249" s="359"/>
      <c r="AF249" s="359"/>
      <c r="AG249" s="359"/>
      <c r="AH249" s="359"/>
      <c r="AI249" s="359"/>
      <c r="AJ249" s="359"/>
      <c r="AK249" s="283"/>
      <c r="AL249" s="360"/>
    </row>
    <row r="250" spans="1:38" s="285" customFormat="1" ht="12.75" customHeight="1">
      <c r="A250" s="283"/>
      <c r="B250" s="359"/>
      <c r="C250" s="359"/>
      <c r="D250" s="359"/>
      <c r="E250" s="359"/>
      <c r="F250" s="359"/>
      <c r="G250" s="359"/>
      <c r="H250" s="359"/>
      <c r="I250" s="359"/>
      <c r="J250" s="359"/>
      <c r="K250" s="359"/>
      <c r="L250" s="359"/>
      <c r="M250" s="359"/>
      <c r="N250" s="359"/>
      <c r="O250" s="359"/>
      <c r="P250" s="359"/>
      <c r="Q250" s="359"/>
      <c r="R250" s="359"/>
      <c r="S250" s="359"/>
      <c r="T250" s="359"/>
      <c r="U250" s="359"/>
      <c r="V250" s="359"/>
      <c r="W250" s="359"/>
      <c r="X250" s="359"/>
      <c r="Y250" s="359"/>
      <c r="Z250" s="359"/>
      <c r="AA250" s="359"/>
      <c r="AB250" s="359"/>
      <c r="AC250" s="359"/>
      <c r="AD250" s="359"/>
      <c r="AE250" s="359"/>
      <c r="AF250" s="359"/>
      <c r="AG250" s="359"/>
      <c r="AH250" s="359"/>
      <c r="AI250" s="359"/>
      <c r="AJ250" s="359"/>
      <c r="AK250" s="283"/>
      <c r="AL250" s="360"/>
    </row>
    <row r="251" spans="1:38" s="285" customFormat="1" ht="12.75" customHeight="1">
      <c r="A251" s="283"/>
      <c r="B251" s="359"/>
      <c r="C251" s="359"/>
      <c r="D251" s="359"/>
      <c r="E251" s="359"/>
      <c r="F251" s="359"/>
      <c r="G251" s="359"/>
      <c r="H251" s="359"/>
      <c r="I251" s="359"/>
      <c r="J251" s="359"/>
      <c r="K251" s="359"/>
      <c r="L251" s="968"/>
      <c r="M251" s="968"/>
      <c r="N251" s="968"/>
      <c r="O251" s="968"/>
      <c r="P251" s="968"/>
      <c r="Q251" s="968"/>
      <c r="R251" s="968"/>
      <c r="S251" s="968"/>
      <c r="T251" s="968"/>
      <c r="U251" s="968"/>
      <c r="V251" s="968"/>
      <c r="W251" s="968"/>
      <c r="X251" s="968"/>
      <c r="Y251" s="968"/>
      <c r="Z251" s="968"/>
      <c r="AA251" s="968"/>
      <c r="AB251" s="359"/>
      <c r="AC251" s="359"/>
      <c r="AD251" s="359"/>
      <c r="AE251" s="359"/>
      <c r="AF251" s="359"/>
      <c r="AG251" s="359"/>
      <c r="AH251" s="359"/>
      <c r="AI251" s="359"/>
      <c r="AJ251" s="359"/>
      <c r="AK251" s="283"/>
      <c r="AL251" s="360"/>
    </row>
    <row r="252" spans="1:38" s="285" customFormat="1" ht="12.75" customHeight="1">
      <c r="A252" s="283"/>
      <c r="B252" s="359"/>
      <c r="C252" s="359"/>
      <c r="D252" s="359"/>
      <c r="E252" s="359"/>
      <c r="F252" s="359"/>
      <c r="G252" s="359"/>
      <c r="H252" s="359"/>
      <c r="I252" s="359"/>
      <c r="J252" s="359"/>
      <c r="K252" s="359"/>
      <c r="L252" s="359"/>
      <c r="M252" s="359"/>
      <c r="N252" s="359"/>
      <c r="O252" s="359"/>
      <c r="P252" s="359"/>
      <c r="Q252" s="359"/>
      <c r="R252" s="500"/>
      <c r="S252" s="359"/>
      <c r="T252" s="359"/>
      <c r="U252" s="359"/>
      <c r="V252" s="359"/>
      <c r="W252" s="359"/>
      <c r="X252" s="359"/>
      <c r="Y252" s="359"/>
      <c r="Z252" s="359"/>
      <c r="AA252" s="359"/>
      <c r="AB252" s="359"/>
      <c r="AC252" s="359"/>
      <c r="AD252" s="359"/>
      <c r="AE252" s="359"/>
      <c r="AF252" s="359"/>
      <c r="AG252" s="359"/>
      <c r="AH252" s="359"/>
      <c r="AI252" s="359"/>
      <c r="AJ252" s="359"/>
      <c r="AK252" s="283"/>
      <c r="AL252" s="360"/>
    </row>
    <row r="253" spans="1:38" s="285" customFormat="1" ht="12.75" customHeight="1">
      <c r="A253" s="283"/>
      <c r="B253" s="359"/>
      <c r="C253" s="359"/>
      <c r="D253" s="359"/>
      <c r="E253" s="359"/>
      <c r="F253" s="359"/>
      <c r="G253" s="359"/>
      <c r="H253" s="359"/>
      <c r="I253" s="359"/>
      <c r="J253" s="359"/>
      <c r="K253" s="359"/>
      <c r="L253" s="359"/>
      <c r="M253" s="359"/>
      <c r="N253" s="359"/>
      <c r="O253" s="359"/>
      <c r="P253" s="359"/>
      <c r="Q253" s="359"/>
      <c r="R253" s="359"/>
      <c r="S253" s="359"/>
      <c r="T253" s="359"/>
      <c r="U253" s="359"/>
      <c r="V253" s="359"/>
      <c r="W253" s="359"/>
      <c r="X253" s="359"/>
      <c r="Y253" s="359"/>
      <c r="Z253" s="359"/>
      <c r="AA253" s="359"/>
      <c r="AB253" s="359"/>
      <c r="AC253" s="359"/>
      <c r="AD253" s="359"/>
      <c r="AE253" s="359"/>
      <c r="AF253" s="359"/>
      <c r="AG253" s="359"/>
      <c r="AH253" s="359"/>
      <c r="AI253" s="359"/>
      <c r="AJ253" s="359"/>
      <c r="AK253" s="283"/>
      <c r="AL253" s="360"/>
    </row>
    <row r="254" spans="1:38" s="285" customFormat="1" ht="12.75" customHeight="1">
      <c r="A254" s="283"/>
      <c r="B254" s="359"/>
      <c r="C254" s="359"/>
      <c r="D254" s="359"/>
      <c r="E254" s="359"/>
      <c r="F254" s="359"/>
      <c r="G254" s="359"/>
      <c r="H254" s="359"/>
      <c r="I254" s="359"/>
      <c r="J254" s="359"/>
      <c r="K254" s="359"/>
      <c r="L254" s="968"/>
      <c r="M254" s="968"/>
      <c r="N254" s="968"/>
      <c r="O254" s="968"/>
      <c r="P254" s="968"/>
      <c r="Q254" s="968"/>
      <c r="R254" s="968"/>
      <c r="S254" s="968"/>
      <c r="T254" s="968"/>
      <c r="U254" s="968"/>
      <c r="V254" s="968"/>
      <c r="W254" s="968"/>
      <c r="X254" s="968"/>
      <c r="Y254" s="968"/>
      <c r="Z254" s="968"/>
      <c r="AA254" s="968"/>
      <c r="AB254" s="359"/>
      <c r="AC254" s="359"/>
      <c r="AD254" s="359"/>
      <c r="AE254" s="359"/>
      <c r="AF254" s="359"/>
      <c r="AG254" s="359"/>
      <c r="AH254" s="359"/>
      <c r="AI254" s="359"/>
      <c r="AJ254" s="359"/>
      <c r="AK254" s="283"/>
      <c r="AL254" s="360"/>
    </row>
    <row r="255" spans="1:38" s="285" customFormat="1" ht="12.75" customHeight="1">
      <c r="A255" s="283"/>
      <c r="B255" s="359"/>
      <c r="C255" s="359"/>
      <c r="D255" s="359"/>
      <c r="E255" s="359"/>
      <c r="F255" s="359"/>
      <c r="G255" s="359"/>
      <c r="H255" s="359"/>
      <c r="I255" s="359"/>
      <c r="J255" s="359"/>
      <c r="K255" s="359"/>
      <c r="L255" s="359"/>
      <c r="M255" s="359"/>
      <c r="N255" s="359"/>
      <c r="O255" s="359"/>
      <c r="P255" s="359"/>
      <c r="Q255" s="359"/>
      <c r="R255" s="500"/>
      <c r="S255" s="359"/>
      <c r="T255" s="359"/>
      <c r="U255" s="359"/>
      <c r="V255" s="359"/>
      <c r="W255" s="359"/>
      <c r="X255" s="359"/>
      <c r="Y255" s="359"/>
      <c r="Z255" s="359"/>
      <c r="AA255" s="359"/>
      <c r="AB255" s="359"/>
      <c r="AC255" s="359"/>
      <c r="AD255" s="359"/>
      <c r="AE255" s="359"/>
      <c r="AF255" s="359"/>
      <c r="AG255" s="359"/>
      <c r="AH255" s="359"/>
      <c r="AI255" s="359"/>
      <c r="AJ255" s="359"/>
      <c r="AK255" s="283"/>
      <c r="AL255" s="360"/>
    </row>
    <row r="256" spans="1:38" s="285" customFormat="1" ht="12.75" customHeight="1">
      <c r="A256" s="283"/>
      <c r="B256" s="359"/>
      <c r="C256" s="359"/>
      <c r="D256" s="359"/>
      <c r="E256" s="359"/>
      <c r="F256" s="359"/>
      <c r="G256" s="359"/>
      <c r="H256" s="359"/>
      <c r="I256" s="359"/>
      <c r="J256" s="359"/>
      <c r="K256" s="359"/>
      <c r="L256" s="359"/>
      <c r="M256" s="359"/>
      <c r="N256" s="359"/>
      <c r="O256" s="359"/>
      <c r="P256" s="359"/>
      <c r="Q256" s="359"/>
      <c r="R256" s="359"/>
      <c r="S256" s="359"/>
      <c r="T256" s="359"/>
      <c r="U256" s="359"/>
      <c r="V256" s="359"/>
      <c r="W256" s="359"/>
      <c r="X256" s="359"/>
      <c r="Y256" s="359"/>
      <c r="Z256" s="359"/>
      <c r="AA256" s="359"/>
      <c r="AB256" s="359"/>
      <c r="AC256" s="359"/>
      <c r="AD256" s="359"/>
      <c r="AE256" s="359"/>
      <c r="AF256" s="359"/>
      <c r="AG256" s="359"/>
      <c r="AH256" s="359"/>
      <c r="AI256" s="359"/>
      <c r="AJ256" s="359"/>
      <c r="AK256" s="283"/>
      <c r="AL256" s="360"/>
    </row>
    <row r="257" spans="1:38" s="285" customFormat="1" ht="12.75" customHeight="1">
      <c r="A257" s="283"/>
      <c r="B257" s="359"/>
      <c r="C257" s="359"/>
      <c r="D257" s="359"/>
      <c r="E257" s="359"/>
      <c r="F257" s="359"/>
      <c r="G257" s="359"/>
      <c r="H257" s="359"/>
      <c r="I257" s="359"/>
      <c r="J257" s="359"/>
      <c r="K257" s="359"/>
      <c r="L257" s="968"/>
      <c r="M257" s="968"/>
      <c r="N257" s="968"/>
      <c r="O257" s="968"/>
      <c r="P257" s="968"/>
      <c r="Q257" s="968"/>
      <c r="R257" s="968"/>
      <c r="S257" s="968"/>
      <c r="T257" s="968"/>
      <c r="U257" s="968"/>
      <c r="V257" s="968"/>
      <c r="W257" s="968"/>
      <c r="X257" s="968"/>
      <c r="Y257" s="968"/>
      <c r="Z257" s="968"/>
      <c r="AA257" s="968"/>
      <c r="AB257" s="359"/>
      <c r="AC257" s="359"/>
      <c r="AD257" s="359"/>
      <c r="AE257" s="359"/>
      <c r="AF257" s="359"/>
      <c r="AG257" s="359"/>
      <c r="AH257" s="359"/>
      <c r="AI257" s="359"/>
      <c r="AJ257" s="359"/>
      <c r="AK257" s="283"/>
      <c r="AL257" s="360"/>
    </row>
    <row r="258" spans="1:38" s="285" customFormat="1" ht="12.75" customHeight="1">
      <c r="A258" s="283"/>
      <c r="B258" s="359"/>
      <c r="C258" s="359"/>
      <c r="D258" s="359"/>
      <c r="E258" s="359"/>
      <c r="F258" s="359"/>
      <c r="G258" s="359"/>
      <c r="H258" s="359"/>
      <c r="I258" s="359"/>
      <c r="J258" s="359"/>
      <c r="K258" s="359"/>
      <c r="L258" s="359"/>
      <c r="M258" s="359"/>
      <c r="N258" s="359"/>
      <c r="O258" s="359"/>
      <c r="P258" s="359"/>
      <c r="Q258" s="359"/>
      <c r="R258" s="359"/>
      <c r="S258" s="359"/>
      <c r="T258" s="359"/>
      <c r="U258" s="359"/>
      <c r="V258" s="359"/>
      <c r="W258" s="359"/>
      <c r="X258" s="359"/>
      <c r="Y258" s="359"/>
      <c r="Z258" s="359"/>
      <c r="AA258" s="359"/>
      <c r="AB258" s="359"/>
      <c r="AC258" s="359"/>
      <c r="AD258" s="359"/>
      <c r="AE258" s="359"/>
      <c r="AF258" s="359"/>
      <c r="AG258" s="359"/>
      <c r="AH258" s="359"/>
      <c r="AI258" s="359"/>
      <c r="AJ258" s="359"/>
      <c r="AK258" s="283"/>
      <c r="AL258" s="360"/>
    </row>
    <row r="259" spans="1:38" s="285" customFormat="1" ht="12.75" customHeight="1">
      <c r="A259" s="283"/>
      <c r="B259" s="359"/>
      <c r="C259" s="359"/>
      <c r="D259" s="359"/>
      <c r="E259" s="359"/>
      <c r="F259" s="359"/>
      <c r="G259" s="359"/>
      <c r="H259" s="359"/>
      <c r="I259" s="359"/>
      <c r="J259" s="359"/>
      <c r="K259" s="359"/>
      <c r="L259" s="359"/>
      <c r="M259" s="359"/>
      <c r="N259" s="359"/>
      <c r="O259" s="359"/>
      <c r="P259" s="359"/>
      <c r="Q259" s="359"/>
      <c r="R259" s="359"/>
      <c r="S259" s="359"/>
      <c r="T259" s="359"/>
      <c r="U259" s="359"/>
      <c r="V259" s="359"/>
      <c r="W259" s="359"/>
      <c r="X259" s="359"/>
      <c r="Y259" s="359"/>
      <c r="Z259" s="359"/>
      <c r="AA259" s="359"/>
      <c r="AB259" s="359"/>
      <c r="AC259" s="359"/>
      <c r="AD259" s="359"/>
      <c r="AE259" s="359"/>
      <c r="AF259" s="359"/>
      <c r="AG259" s="359"/>
      <c r="AH259" s="359"/>
      <c r="AI259" s="359"/>
      <c r="AJ259" s="359"/>
      <c r="AK259" s="283"/>
      <c r="AL259" s="360"/>
    </row>
    <row r="260" spans="1:38" s="285" customFormat="1" ht="12.75" customHeight="1">
      <c r="A260" s="283"/>
      <c r="B260" s="359"/>
      <c r="C260" s="359"/>
      <c r="D260" s="359"/>
      <c r="E260" s="359"/>
      <c r="F260" s="359"/>
      <c r="G260" s="359"/>
      <c r="H260" s="359"/>
      <c r="I260" s="359"/>
      <c r="J260" s="359"/>
      <c r="K260" s="359"/>
      <c r="L260" s="359"/>
      <c r="M260" s="359"/>
      <c r="N260" s="359"/>
      <c r="O260" s="359"/>
      <c r="P260" s="359"/>
      <c r="Q260" s="359"/>
      <c r="R260" s="359"/>
      <c r="S260" s="359"/>
      <c r="T260" s="359"/>
      <c r="U260" s="359"/>
      <c r="V260" s="359"/>
      <c r="W260" s="359"/>
      <c r="X260" s="359"/>
      <c r="Y260" s="359"/>
      <c r="Z260" s="359"/>
      <c r="AA260" s="359"/>
      <c r="AB260" s="359"/>
      <c r="AC260" s="359"/>
      <c r="AD260" s="359"/>
      <c r="AE260" s="359"/>
      <c r="AF260" s="359"/>
      <c r="AG260" s="359"/>
      <c r="AH260" s="359"/>
      <c r="AI260" s="359"/>
      <c r="AJ260" s="359"/>
      <c r="AK260" s="283"/>
      <c r="AL260" s="360"/>
    </row>
    <row r="261" spans="1:38" s="285" customFormat="1" ht="12.75" customHeight="1">
      <c r="A261" s="283"/>
      <c r="B261" s="730" t="s">
        <v>338</v>
      </c>
      <c r="C261" s="730"/>
      <c r="D261" s="730"/>
      <c r="E261" s="730"/>
      <c r="F261" s="730"/>
      <c r="G261" s="730"/>
      <c r="H261" s="730"/>
      <c r="I261" s="730"/>
      <c r="J261" s="730"/>
      <c r="K261" s="730"/>
      <c r="L261" s="730"/>
      <c r="M261" s="730"/>
      <c r="N261" s="730"/>
      <c r="O261" s="730"/>
      <c r="P261" s="730"/>
      <c r="Q261" s="730"/>
      <c r="R261" s="730"/>
      <c r="S261" s="730"/>
      <c r="T261" s="730"/>
      <c r="U261" s="730"/>
      <c r="V261" s="730"/>
      <c r="W261" s="730"/>
      <c r="X261" s="730"/>
      <c r="Y261" s="730"/>
      <c r="Z261" s="730"/>
      <c r="AA261" s="730"/>
      <c r="AB261" s="730"/>
      <c r="AC261" s="730"/>
      <c r="AD261" s="730"/>
      <c r="AE261" s="730"/>
      <c r="AF261" s="730"/>
      <c r="AG261" s="730"/>
      <c r="AH261" s="730"/>
      <c r="AI261" s="730"/>
      <c r="AJ261" s="730"/>
      <c r="AK261" s="730"/>
      <c r="AL261" s="360"/>
    </row>
    <row r="262" spans="1:38" s="285" customFormat="1" ht="12.75" customHeight="1">
      <c r="A262" s="283"/>
      <c r="B262" s="730" t="s">
        <v>339</v>
      </c>
      <c r="C262" s="730"/>
      <c r="D262" s="730"/>
      <c r="E262" s="730"/>
      <c r="F262" s="730"/>
      <c r="G262" s="730"/>
      <c r="H262" s="730"/>
      <c r="I262" s="730"/>
      <c r="J262" s="730"/>
      <c r="K262" s="730"/>
      <c r="L262" s="730"/>
      <c r="M262" s="730"/>
      <c r="N262" s="730"/>
      <c r="O262" s="730"/>
      <c r="P262" s="730"/>
      <c r="Q262" s="730"/>
      <c r="R262" s="730"/>
      <c r="S262" s="730"/>
      <c r="T262" s="730"/>
      <c r="U262" s="730"/>
      <c r="V262" s="730"/>
      <c r="W262" s="730"/>
      <c r="X262" s="730"/>
      <c r="Y262" s="730"/>
      <c r="Z262" s="730"/>
      <c r="AA262" s="730"/>
      <c r="AB262" s="730"/>
      <c r="AC262" s="730"/>
      <c r="AD262" s="730"/>
      <c r="AE262" s="730"/>
      <c r="AF262" s="730"/>
      <c r="AG262" s="730"/>
      <c r="AH262" s="730"/>
      <c r="AI262" s="730"/>
      <c r="AJ262" s="730"/>
      <c r="AK262" s="730"/>
      <c r="AL262" s="360"/>
    </row>
    <row r="263" spans="1:38" s="285" customFormat="1" ht="12.75" customHeight="1">
      <c r="A263" s="283"/>
      <c r="B263" s="359"/>
      <c r="C263" s="359"/>
      <c r="D263" s="359"/>
      <c r="E263" s="359"/>
      <c r="F263" s="359"/>
      <c r="G263" s="359"/>
      <c r="H263" s="359"/>
      <c r="I263" s="359"/>
      <c r="J263" s="359"/>
      <c r="K263" s="359"/>
      <c r="L263" s="359"/>
      <c r="M263" s="359"/>
      <c r="N263" s="359"/>
      <c r="O263" s="359"/>
      <c r="P263" s="359"/>
      <c r="Q263" s="359"/>
      <c r="R263" s="359"/>
      <c r="S263" s="359"/>
      <c r="T263" s="359"/>
      <c r="U263" s="359"/>
      <c r="V263" s="359"/>
      <c r="W263" s="359"/>
      <c r="X263" s="359"/>
      <c r="Y263" s="359"/>
      <c r="Z263" s="359"/>
      <c r="AA263" s="359"/>
      <c r="AB263" s="359"/>
      <c r="AC263" s="359"/>
      <c r="AD263" s="359"/>
      <c r="AE263" s="359"/>
      <c r="AF263" s="359"/>
      <c r="AG263" s="359"/>
      <c r="AH263" s="359"/>
      <c r="AI263" s="359"/>
      <c r="AJ263" s="359"/>
      <c r="AK263" s="283"/>
      <c r="AL263" s="360"/>
    </row>
    <row r="264" spans="1:38" s="285" customFormat="1" ht="12.75" customHeight="1">
      <c r="A264" s="283"/>
      <c r="B264" s="359"/>
      <c r="C264" s="359"/>
      <c r="D264" s="359"/>
      <c r="E264" s="359"/>
      <c r="F264" s="359"/>
      <c r="G264" s="359"/>
      <c r="H264" s="359"/>
      <c r="I264" s="359"/>
      <c r="J264" s="359"/>
      <c r="K264" s="359"/>
      <c r="L264" s="359"/>
      <c r="M264" s="359"/>
      <c r="N264" s="359"/>
      <c r="O264" s="359"/>
      <c r="P264" s="359"/>
      <c r="Q264" s="359"/>
      <c r="R264" s="359"/>
      <c r="S264" s="359"/>
      <c r="T264" s="359"/>
      <c r="U264" s="359"/>
      <c r="V264" s="359"/>
      <c r="W264" s="359"/>
      <c r="X264" s="359"/>
      <c r="Y264" s="359"/>
      <c r="Z264" s="359"/>
      <c r="AA264" s="359"/>
      <c r="AB264" s="359"/>
      <c r="AC264" s="359"/>
      <c r="AD264" s="359"/>
      <c r="AE264" s="359"/>
      <c r="AF264" s="359"/>
      <c r="AG264" s="359"/>
      <c r="AH264" s="359"/>
      <c r="AI264" s="359"/>
      <c r="AJ264" s="359"/>
      <c r="AK264" s="283"/>
      <c r="AL264" s="360"/>
    </row>
    <row r="265" spans="1:38" s="285" customFormat="1" ht="12.75" customHeight="1">
      <c r="A265" s="283"/>
      <c r="B265" s="359"/>
      <c r="C265" s="359"/>
      <c r="D265" s="359"/>
      <c r="E265" s="359"/>
      <c r="F265" s="359"/>
      <c r="G265" s="359"/>
      <c r="H265" s="359"/>
      <c r="I265" s="359"/>
      <c r="J265" s="359"/>
      <c r="K265" s="359"/>
      <c r="L265" s="359"/>
      <c r="M265" s="359"/>
      <c r="N265" s="359"/>
      <c r="O265" s="359"/>
      <c r="P265" s="359"/>
      <c r="Q265" s="359"/>
      <c r="R265" s="359"/>
      <c r="S265" s="359"/>
      <c r="T265" s="359"/>
      <c r="U265" s="359"/>
      <c r="V265" s="359"/>
      <c r="W265" s="359"/>
      <c r="X265" s="359"/>
      <c r="Y265" s="359"/>
      <c r="Z265" s="359"/>
      <c r="AA265" s="359"/>
      <c r="AB265" s="359"/>
      <c r="AC265" s="359"/>
      <c r="AD265" s="359"/>
      <c r="AE265" s="359"/>
      <c r="AF265" s="359"/>
      <c r="AG265" s="359"/>
      <c r="AH265" s="359"/>
      <c r="AI265" s="359"/>
      <c r="AJ265" s="359"/>
      <c r="AK265" s="283"/>
      <c r="AL265" s="360"/>
    </row>
    <row r="266" spans="1:38" s="285" customFormat="1" ht="12.75" customHeight="1">
      <c r="A266" s="283"/>
      <c r="B266" s="359"/>
      <c r="C266" s="359"/>
      <c r="D266" s="359"/>
      <c r="E266" s="359"/>
      <c r="F266" s="359"/>
      <c r="G266" s="359"/>
      <c r="H266" s="359"/>
      <c r="I266" s="359"/>
      <c r="J266" s="359"/>
      <c r="K266" s="359"/>
      <c r="L266" s="968"/>
      <c r="M266" s="968"/>
      <c r="N266" s="968"/>
      <c r="O266" s="968"/>
      <c r="P266" s="968"/>
      <c r="Q266" s="968"/>
      <c r="R266" s="968"/>
      <c r="S266" s="968"/>
      <c r="T266" s="968"/>
      <c r="U266" s="968"/>
      <c r="V266" s="968"/>
      <c r="W266" s="968"/>
      <c r="X266" s="968"/>
      <c r="Y266" s="968"/>
      <c r="Z266" s="968"/>
      <c r="AA266" s="968"/>
      <c r="AB266" s="359"/>
      <c r="AC266" s="359"/>
      <c r="AD266" s="359"/>
      <c r="AE266" s="359"/>
      <c r="AF266" s="359"/>
      <c r="AG266" s="359"/>
      <c r="AH266" s="359"/>
      <c r="AI266" s="359"/>
      <c r="AJ266" s="359"/>
      <c r="AK266" s="283"/>
      <c r="AL266" s="360"/>
    </row>
    <row r="267" spans="1:38" s="285" customFormat="1" ht="12.75" customHeight="1">
      <c r="A267" s="283"/>
      <c r="B267" s="359"/>
      <c r="C267" s="359"/>
      <c r="D267" s="359"/>
      <c r="E267" s="359"/>
      <c r="F267" s="359"/>
      <c r="G267" s="359"/>
      <c r="H267" s="359"/>
      <c r="I267" s="359"/>
      <c r="J267" s="359"/>
      <c r="K267" s="359"/>
      <c r="L267" s="359"/>
      <c r="M267" s="359"/>
      <c r="N267" s="359"/>
      <c r="O267" s="359"/>
      <c r="P267" s="359"/>
      <c r="Q267" s="359"/>
      <c r="R267" s="500"/>
      <c r="S267" s="359"/>
      <c r="T267" s="359"/>
      <c r="U267" s="359"/>
      <c r="V267" s="359"/>
      <c r="W267" s="359"/>
      <c r="X267" s="359"/>
      <c r="Y267" s="359"/>
      <c r="Z267" s="359"/>
      <c r="AA267" s="359"/>
      <c r="AB267" s="359"/>
      <c r="AC267" s="359"/>
      <c r="AD267" s="359"/>
      <c r="AE267" s="359"/>
      <c r="AF267" s="359"/>
      <c r="AG267" s="359"/>
      <c r="AH267" s="359"/>
      <c r="AI267" s="359"/>
      <c r="AJ267" s="359"/>
      <c r="AK267" s="283"/>
      <c r="AL267" s="360"/>
    </row>
    <row r="268" spans="1:38" s="285" customFormat="1" ht="12.75" customHeight="1">
      <c r="A268" s="283"/>
      <c r="B268" s="359"/>
      <c r="C268" s="359"/>
      <c r="D268" s="359"/>
      <c r="E268" s="359"/>
      <c r="F268" s="359"/>
      <c r="G268" s="359"/>
      <c r="H268" s="359"/>
      <c r="I268" s="359"/>
      <c r="J268" s="359"/>
      <c r="K268" s="359"/>
      <c r="L268" s="359"/>
      <c r="M268" s="359"/>
      <c r="N268" s="359"/>
      <c r="O268" s="359"/>
      <c r="P268" s="359"/>
      <c r="Q268" s="359"/>
      <c r="R268" s="359"/>
      <c r="S268" s="359"/>
      <c r="T268" s="359"/>
      <c r="U268" s="359"/>
      <c r="V268" s="359"/>
      <c r="W268" s="359"/>
      <c r="X268" s="359"/>
      <c r="Y268" s="359"/>
      <c r="Z268" s="359"/>
      <c r="AA268" s="359"/>
      <c r="AB268" s="359"/>
      <c r="AC268" s="359"/>
      <c r="AD268" s="359"/>
      <c r="AE268" s="359"/>
      <c r="AF268" s="359"/>
      <c r="AG268" s="359"/>
      <c r="AH268" s="359"/>
      <c r="AI268" s="359"/>
      <c r="AJ268" s="359"/>
      <c r="AK268" s="283"/>
      <c r="AL268" s="360"/>
    </row>
    <row r="269" spans="1:38" s="285" customFormat="1" ht="12.75" customHeight="1">
      <c r="A269" s="283"/>
      <c r="B269" s="359"/>
      <c r="C269" s="359"/>
      <c r="D269" s="359"/>
      <c r="E269" s="359"/>
      <c r="F269" s="359"/>
      <c r="G269" s="359"/>
      <c r="H269" s="359"/>
      <c r="I269" s="359"/>
      <c r="J269" s="359"/>
      <c r="K269" s="359"/>
      <c r="L269" s="968"/>
      <c r="M269" s="968"/>
      <c r="N269" s="968"/>
      <c r="O269" s="968"/>
      <c r="P269" s="968"/>
      <c r="Q269" s="968"/>
      <c r="R269" s="968"/>
      <c r="S269" s="968"/>
      <c r="T269" s="968"/>
      <c r="U269" s="968"/>
      <c r="V269" s="968"/>
      <c r="W269" s="968"/>
      <c r="X269" s="968"/>
      <c r="Y269" s="968"/>
      <c r="Z269" s="968"/>
      <c r="AA269" s="968"/>
      <c r="AB269" s="359"/>
      <c r="AC269" s="359"/>
      <c r="AD269" s="359"/>
      <c r="AE269" s="359"/>
      <c r="AF269" s="359"/>
      <c r="AG269" s="359"/>
      <c r="AH269" s="359"/>
      <c r="AI269" s="359"/>
      <c r="AJ269" s="359"/>
      <c r="AK269" s="283"/>
      <c r="AL269" s="360"/>
    </row>
    <row r="270" spans="1:38" s="285" customFormat="1" ht="12.75" customHeight="1">
      <c r="A270" s="283"/>
      <c r="B270" s="359"/>
      <c r="C270" s="359"/>
      <c r="D270" s="359"/>
      <c r="E270" s="359"/>
      <c r="F270" s="359"/>
      <c r="G270" s="359"/>
      <c r="H270" s="359"/>
      <c r="I270" s="359"/>
      <c r="J270" s="359"/>
      <c r="K270" s="359"/>
      <c r="L270" s="359"/>
      <c r="M270" s="359"/>
      <c r="N270" s="359"/>
      <c r="O270" s="359"/>
      <c r="P270" s="359"/>
      <c r="Q270" s="359"/>
      <c r="R270" s="359"/>
      <c r="S270" s="359"/>
      <c r="T270" s="359"/>
      <c r="U270" s="359"/>
      <c r="V270" s="359"/>
      <c r="W270" s="359"/>
      <c r="X270" s="359"/>
      <c r="Y270" s="359"/>
      <c r="Z270" s="359"/>
      <c r="AA270" s="359"/>
      <c r="AB270" s="359"/>
      <c r="AC270" s="359"/>
      <c r="AD270" s="359"/>
      <c r="AE270" s="359"/>
      <c r="AF270" s="359"/>
      <c r="AG270" s="359"/>
      <c r="AH270" s="359"/>
      <c r="AI270" s="359"/>
      <c r="AJ270" s="359"/>
      <c r="AK270" s="283"/>
      <c r="AL270" s="360"/>
    </row>
    <row r="271" spans="1:38" s="285" customFormat="1" ht="12.75" customHeight="1">
      <c r="A271" s="283"/>
      <c r="B271" s="359"/>
      <c r="C271" s="359"/>
      <c r="D271" s="359"/>
      <c r="E271" s="359"/>
      <c r="F271" s="359"/>
      <c r="G271" s="359"/>
      <c r="H271" s="359"/>
      <c r="I271" s="359"/>
      <c r="J271" s="359"/>
      <c r="K271" s="359"/>
      <c r="L271" s="359"/>
      <c r="M271" s="359"/>
      <c r="N271" s="359"/>
      <c r="O271" s="359"/>
      <c r="P271" s="359"/>
      <c r="Q271" s="359"/>
      <c r="R271" s="359"/>
      <c r="S271" s="359"/>
      <c r="T271" s="359"/>
      <c r="U271" s="359"/>
      <c r="V271" s="359"/>
      <c r="W271" s="359"/>
      <c r="X271" s="359"/>
      <c r="Y271" s="359"/>
      <c r="Z271" s="359"/>
      <c r="AA271" s="359"/>
      <c r="AB271" s="359"/>
      <c r="AC271" s="359"/>
      <c r="AD271" s="359"/>
      <c r="AE271" s="359"/>
      <c r="AF271" s="359"/>
      <c r="AG271" s="359"/>
      <c r="AH271" s="359"/>
      <c r="AI271" s="359"/>
      <c r="AJ271" s="359"/>
      <c r="AK271" s="283"/>
      <c r="AL271" s="360"/>
    </row>
    <row r="272" spans="1:38" s="285" customFormat="1" ht="12.75" customHeight="1">
      <c r="A272" s="283"/>
      <c r="B272" s="359"/>
      <c r="C272" s="359"/>
      <c r="D272" s="359"/>
      <c r="E272" s="359"/>
      <c r="F272" s="359"/>
      <c r="G272" s="359"/>
      <c r="H272" s="359"/>
      <c r="I272" s="359"/>
      <c r="J272" s="359"/>
      <c r="K272" s="359"/>
      <c r="L272" s="359"/>
      <c r="M272" s="359"/>
      <c r="N272" s="359"/>
      <c r="O272" s="359"/>
      <c r="P272" s="359"/>
      <c r="Q272" s="359"/>
      <c r="R272" s="359"/>
      <c r="S272" s="359"/>
      <c r="T272" s="359"/>
      <c r="U272" s="359"/>
      <c r="V272" s="359"/>
      <c r="W272" s="359"/>
      <c r="X272" s="359"/>
      <c r="Y272" s="359"/>
      <c r="Z272" s="359"/>
      <c r="AA272" s="359"/>
      <c r="AB272" s="359"/>
      <c r="AC272" s="359"/>
      <c r="AD272" s="359"/>
      <c r="AE272" s="359"/>
      <c r="AF272" s="359"/>
      <c r="AG272" s="359"/>
      <c r="AH272" s="359"/>
      <c r="AI272" s="359"/>
      <c r="AJ272" s="359"/>
      <c r="AK272" s="283"/>
      <c r="AL272" s="360"/>
    </row>
    <row r="273" spans="1:38" s="285" customFormat="1" ht="12.75" customHeight="1">
      <c r="A273" s="283"/>
      <c r="B273" s="359"/>
      <c r="C273" s="359"/>
      <c r="D273" s="359"/>
      <c r="E273" s="359"/>
      <c r="F273" s="359"/>
      <c r="G273" s="359"/>
      <c r="H273" s="359"/>
      <c r="I273" s="359"/>
      <c r="J273" s="359"/>
      <c r="K273" s="359"/>
      <c r="L273" s="359"/>
      <c r="M273" s="359"/>
      <c r="N273" s="359"/>
      <c r="O273" s="359"/>
      <c r="P273" s="359"/>
      <c r="Q273" s="359"/>
      <c r="R273" s="359"/>
      <c r="S273" s="359"/>
      <c r="T273" s="359"/>
      <c r="U273" s="359"/>
      <c r="V273" s="359"/>
      <c r="W273" s="359"/>
      <c r="X273" s="359"/>
      <c r="Y273" s="359"/>
      <c r="Z273" s="359"/>
      <c r="AA273" s="359"/>
      <c r="AB273" s="359"/>
      <c r="AC273" s="359"/>
      <c r="AD273" s="359"/>
      <c r="AE273" s="359"/>
      <c r="AF273" s="359"/>
      <c r="AG273" s="359"/>
      <c r="AH273" s="359"/>
      <c r="AI273" s="359"/>
      <c r="AJ273" s="359"/>
      <c r="AK273" s="283"/>
      <c r="AL273" s="360"/>
    </row>
    <row r="274" spans="1:38" s="285" customFormat="1" ht="12.75" customHeight="1">
      <c r="A274" s="283"/>
      <c r="B274" s="359"/>
      <c r="C274" s="359"/>
      <c r="D274" s="359"/>
      <c r="E274" s="359"/>
      <c r="F274" s="359"/>
      <c r="G274" s="359"/>
      <c r="H274" s="359"/>
      <c r="I274" s="359"/>
      <c r="J274" s="359"/>
      <c r="K274" s="359"/>
      <c r="L274" s="359"/>
      <c r="M274" s="359"/>
      <c r="N274" s="359"/>
      <c r="O274" s="359"/>
      <c r="P274" s="359"/>
      <c r="Q274" s="359"/>
      <c r="R274" s="359"/>
      <c r="S274" s="359"/>
      <c r="T274" s="359"/>
      <c r="U274" s="359"/>
      <c r="V274" s="359"/>
      <c r="W274" s="359"/>
      <c r="X274" s="359"/>
      <c r="Y274" s="359"/>
      <c r="Z274" s="359"/>
      <c r="AA274" s="359"/>
      <c r="AB274" s="359"/>
      <c r="AC274" s="359"/>
      <c r="AD274" s="359"/>
      <c r="AE274" s="359"/>
      <c r="AF274" s="359"/>
      <c r="AG274" s="359"/>
      <c r="AH274" s="359"/>
      <c r="AI274" s="359"/>
      <c r="AJ274" s="359"/>
      <c r="AK274" s="283"/>
      <c r="AL274" s="360"/>
    </row>
    <row r="275" spans="1:38" s="285" customFormat="1" ht="12.75" customHeight="1">
      <c r="A275" s="283"/>
      <c r="B275" s="359"/>
      <c r="C275" s="359"/>
      <c r="D275" s="359"/>
      <c r="E275" s="359"/>
      <c r="F275" s="359"/>
      <c r="G275" s="359"/>
      <c r="H275" s="359"/>
      <c r="I275" s="359"/>
      <c r="J275" s="359"/>
      <c r="K275" s="359"/>
      <c r="L275" s="359"/>
      <c r="M275" s="359"/>
      <c r="N275" s="359"/>
      <c r="O275" s="359"/>
      <c r="P275" s="359"/>
      <c r="Q275" s="359"/>
      <c r="R275" s="359"/>
      <c r="S275" s="359"/>
      <c r="T275" s="359"/>
      <c r="U275" s="359"/>
      <c r="V275" s="359"/>
      <c r="W275" s="359"/>
      <c r="X275" s="359"/>
      <c r="Y275" s="359"/>
      <c r="Z275" s="359"/>
      <c r="AA275" s="359"/>
      <c r="AB275" s="359"/>
      <c r="AC275" s="359"/>
      <c r="AD275" s="359"/>
      <c r="AE275" s="359"/>
      <c r="AF275" s="359"/>
      <c r="AG275" s="359"/>
      <c r="AH275" s="359"/>
      <c r="AI275" s="359"/>
      <c r="AJ275" s="359"/>
      <c r="AK275" s="283"/>
      <c r="AL275" s="360"/>
    </row>
    <row r="276" spans="1:38" s="285" customFormat="1" ht="12.75" customHeight="1">
      <c r="A276" s="283"/>
      <c r="B276" s="359"/>
      <c r="C276" s="359"/>
      <c r="D276" s="359"/>
      <c r="E276" s="359"/>
      <c r="F276" s="359"/>
      <c r="G276" s="359"/>
      <c r="H276" s="359"/>
      <c r="I276" s="359"/>
      <c r="J276" s="359"/>
      <c r="K276" s="359"/>
      <c r="L276" s="359"/>
      <c r="M276" s="359"/>
      <c r="N276" s="359"/>
      <c r="O276" s="359"/>
      <c r="P276" s="359"/>
      <c r="Q276" s="359"/>
      <c r="R276" s="359"/>
      <c r="S276" s="359"/>
      <c r="T276" s="359"/>
      <c r="U276" s="359"/>
      <c r="V276" s="359"/>
      <c r="W276" s="359"/>
      <c r="X276" s="359"/>
      <c r="Y276" s="359"/>
      <c r="Z276" s="359"/>
      <c r="AA276" s="359"/>
      <c r="AB276" s="359"/>
      <c r="AC276" s="359"/>
      <c r="AD276" s="359"/>
      <c r="AE276" s="359"/>
      <c r="AF276" s="359"/>
      <c r="AG276" s="359"/>
      <c r="AH276" s="359"/>
      <c r="AI276" s="359"/>
      <c r="AJ276" s="359"/>
      <c r="AK276" s="283"/>
      <c r="AL276" s="360"/>
    </row>
    <row r="277" spans="1:38" s="285" customFormat="1" ht="12.75" customHeight="1">
      <c r="A277" s="283"/>
      <c r="B277" s="359"/>
      <c r="C277" s="359"/>
      <c r="D277" s="359"/>
      <c r="E277" s="359"/>
      <c r="F277" s="359"/>
      <c r="G277" s="359"/>
      <c r="H277" s="359"/>
      <c r="I277" s="359"/>
      <c r="J277" s="359"/>
      <c r="K277" s="359"/>
      <c r="L277" s="359"/>
      <c r="M277" s="359"/>
      <c r="N277" s="359"/>
      <c r="O277" s="359"/>
      <c r="P277" s="359"/>
      <c r="Q277" s="359"/>
      <c r="R277" s="359"/>
      <c r="S277" s="359"/>
      <c r="T277" s="359"/>
      <c r="U277" s="359"/>
      <c r="V277" s="359"/>
      <c r="W277" s="359"/>
      <c r="X277" s="359"/>
      <c r="Y277" s="359"/>
      <c r="Z277" s="359"/>
      <c r="AA277" s="359"/>
      <c r="AB277" s="359"/>
      <c r="AC277" s="359"/>
      <c r="AD277" s="359"/>
      <c r="AE277" s="359"/>
      <c r="AF277" s="359"/>
      <c r="AG277" s="359"/>
      <c r="AH277" s="359"/>
      <c r="AI277" s="359"/>
      <c r="AJ277" s="359"/>
      <c r="AK277" s="283"/>
      <c r="AL277" s="360"/>
    </row>
    <row r="278" spans="1:38" s="285" customFormat="1" ht="12.75" customHeight="1">
      <c r="A278" s="283"/>
      <c r="B278" s="359"/>
      <c r="C278" s="359"/>
      <c r="D278" s="359"/>
      <c r="E278" s="359"/>
      <c r="F278" s="359"/>
      <c r="G278" s="359"/>
      <c r="H278" s="359"/>
      <c r="I278" s="359"/>
      <c r="J278" s="359"/>
      <c r="K278" s="359"/>
      <c r="L278" s="359"/>
      <c r="M278" s="359"/>
      <c r="N278" s="359"/>
      <c r="O278" s="359"/>
      <c r="P278" s="359"/>
      <c r="Q278" s="359"/>
      <c r="R278" s="359"/>
      <c r="S278" s="359"/>
      <c r="T278" s="359"/>
      <c r="U278" s="359"/>
      <c r="V278" s="359"/>
      <c r="W278" s="359"/>
      <c r="X278" s="359"/>
      <c r="Y278" s="359"/>
      <c r="Z278" s="359"/>
      <c r="AA278" s="359"/>
      <c r="AB278" s="359"/>
      <c r="AC278" s="359"/>
      <c r="AD278" s="359"/>
      <c r="AE278" s="359"/>
      <c r="AF278" s="359"/>
      <c r="AG278" s="359"/>
      <c r="AH278" s="359"/>
      <c r="AI278" s="359"/>
      <c r="AJ278" s="359"/>
      <c r="AK278" s="283"/>
      <c r="AL278" s="360"/>
    </row>
    <row r="279" spans="1:38" s="285" customFormat="1" ht="12.75" customHeight="1">
      <c r="A279" s="283"/>
      <c r="B279" s="359"/>
      <c r="C279" s="359"/>
      <c r="D279" s="359"/>
      <c r="E279" s="359"/>
      <c r="F279" s="359"/>
      <c r="G279" s="359"/>
      <c r="H279" s="359"/>
      <c r="I279" s="359"/>
      <c r="J279" s="359"/>
      <c r="K279" s="359"/>
      <c r="L279" s="359"/>
      <c r="M279" s="359"/>
      <c r="N279" s="359"/>
      <c r="O279" s="359"/>
      <c r="P279" s="359"/>
      <c r="Q279" s="359"/>
      <c r="R279" s="359"/>
      <c r="S279" s="359"/>
      <c r="T279" s="359"/>
      <c r="U279" s="359"/>
      <c r="V279" s="359"/>
      <c r="W279" s="359"/>
      <c r="X279" s="359"/>
      <c r="Y279" s="359"/>
      <c r="Z279" s="359"/>
      <c r="AA279" s="359"/>
      <c r="AB279" s="359"/>
      <c r="AC279" s="359"/>
      <c r="AD279" s="359"/>
      <c r="AE279" s="359"/>
      <c r="AF279" s="359"/>
      <c r="AG279" s="359"/>
      <c r="AH279" s="359"/>
      <c r="AI279" s="359"/>
      <c r="AJ279" s="359"/>
      <c r="AK279" s="283"/>
      <c r="AL279" s="360"/>
    </row>
    <row r="280" spans="1:38" s="285" customFormat="1" ht="12.75" customHeight="1">
      <c r="A280" s="283"/>
      <c r="B280" s="359"/>
      <c r="C280" s="359"/>
      <c r="D280" s="359"/>
      <c r="E280" s="359"/>
      <c r="F280" s="359"/>
      <c r="G280" s="359"/>
      <c r="H280" s="359"/>
      <c r="I280" s="359"/>
      <c r="J280" s="359"/>
      <c r="K280" s="359"/>
      <c r="L280" s="359"/>
      <c r="M280" s="359"/>
      <c r="N280" s="359"/>
      <c r="O280" s="359"/>
      <c r="P280" s="359"/>
      <c r="Q280" s="359"/>
      <c r="R280" s="359"/>
      <c r="S280" s="359"/>
      <c r="T280" s="359"/>
      <c r="U280" s="359"/>
      <c r="V280" s="359"/>
      <c r="W280" s="359"/>
      <c r="X280" s="359"/>
      <c r="Y280" s="359"/>
      <c r="Z280" s="359"/>
      <c r="AA280" s="359"/>
      <c r="AB280" s="359"/>
      <c r="AC280" s="359"/>
      <c r="AD280" s="359"/>
      <c r="AE280" s="359"/>
      <c r="AF280" s="359"/>
      <c r="AG280" s="359"/>
      <c r="AH280" s="359"/>
      <c r="AI280" s="359"/>
      <c r="AJ280" s="359"/>
      <c r="AK280" s="283"/>
      <c r="AL280" s="360"/>
    </row>
    <row r="281" spans="1:38" ht="12.75" customHeight="1"/>
    <row r="282" spans="1:38" ht="12.75" customHeight="1"/>
    <row r="283" spans="1:38" ht="12.75" customHeight="1"/>
    <row r="284" spans="1:38" ht="12.75" customHeight="1"/>
    <row r="285" spans="1:38" ht="12.75" customHeight="1"/>
    <row r="286" spans="1:38" ht="12.75" customHeight="1"/>
    <row r="287" spans="1:38" ht="12.75" customHeight="1"/>
    <row r="288" spans="1:3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sheetData>
  <mergeCells count="224">
    <mergeCell ref="B221:AK221"/>
    <mergeCell ref="B225:AK225"/>
    <mergeCell ref="B226:AK226"/>
    <mergeCell ref="B228:AK228"/>
    <mergeCell ref="B230:AK230"/>
    <mergeCell ref="B232:AK232"/>
    <mergeCell ref="B234:AK234"/>
    <mergeCell ref="B237:AK237"/>
    <mergeCell ref="L240:AA240"/>
    <mergeCell ref="L243:AA243"/>
    <mergeCell ref="B248:AK248"/>
    <mergeCell ref="L251:AA251"/>
    <mergeCell ref="L254:AA254"/>
    <mergeCell ref="L257:AA257"/>
    <mergeCell ref="B261:AK261"/>
    <mergeCell ref="B262:AK262"/>
    <mergeCell ref="L266:AA266"/>
    <mergeCell ref="L269:AA269"/>
    <mergeCell ref="G215:P218"/>
    <mergeCell ref="Q215:AG215"/>
    <mergeCell ref="Q216:AG216"/>
    <mergeCell ref="Q217:AG218"/>
    <mergeCell ref="B193:AK193"/>
    <mergeCell ref="B195:AK195"/>
    <mergeCell ref="B197:AK197"/>
    <mergeCell ref="B198:AK198"/>
    <mergeCell ref="B199:AK199"/>
    <mergeCell ref="B200:AK200"/>
    <mergeCell ref="B202:AK202"/>
    <mergeCell ref="B204:AK204"/>
    <mergeCell ref="G206:P206"/>
    <mergeCell ref="Q206:AG206"/>
    <mergeCell ref="G207:P207"/>
    <mergeCell ref="Q207:AG207"/>
    <mergeCell ref="G208:P211"/>
    <mergeCell ref="Q208:AG208"/>
    <mergeCell ref="Q209:AG211"/>
    <mergeCell ref="G212:P214"/>
    <mergeCell ref="Q212:AG212"/>
    <mergeCell ref="Q213:AG213"/>
    <mergeCell ref="Q214:AG214"/>
    <mergeCell ref="B175:AK175"/>
    <mergeCell ref="B177:AK177"/>
    <mergeCell ref="B179:AK179"/>
    <mergeCell ref="B181:AK181"/>
    <mergeCell ref="B183:AK183"/>
    <mergeCell ref="B185:AK185"/>
    <mergeCell ref="B187:AK187"/>
    <mergeCell ref="B189:AK189"/>
    <mergeCell ref="B191:AK191"/>
    <mergeCell ref="B159:AK159"/>
    <mergeCell ref="B161:AK161"/>
    <mergeCell ref="B163:AK163"/>
    <mergeCell ref="B165:AK165"/>
    <mergeCell ref="B167:AK167"/>
    <mergeCell ref="B168:AK168"/>
    <mergeCell ref="B170:AK170"/>
    <mergeCell ref="B172:AK172"/>
    <mergeCell ref="B174:AK174"/>
    <mergeCell ref="B146:AK146"/>
    <mergeCell ref="B150:AK150"/>
    <mergeCell ref="B152:AK152"/>
    <mergeCell ref="B153:AK153"/>
    <mergeCell ref="B154:AK154"/>
    <mergeCell ref="B155:AK155"/>
    <mergeCell ref="B157:AK157"/>
    <mergeCell ref="B158:AK158"/>
    <mergeCell ref="B133:AK133"/>
    <mergeCell ref="B135:AK135"/>
    <mergeCell ref="B137:AK137"/>
    <mergeCell ref="B139:AK139"/>
    <mergeCell ref="B140:AK140"/>
    <mergeCell ref="B141:AK141"/>
    <mergeCell ref="B143:AK143"/>
    <mergeCell ref="B144:AK144"/>
    <mergeCell ref="B145:AK145"/>
    <mergeCell ref="B122:AK122"/>
    <mergeCell ref="B123:AK123"/>
    <mergeCell ref="B124:AK124"/>
    <mergeCell ref="B125:AK125"/>
    <mergeCell ref="B126:AK126"/>
    <mergeCell ref="B127:AK127"/>
    <mergeCell ref="B128:AK128"/>
    <mergeCell ref="B129:AK129"/>
    <mergeCell ref="B131:AK131"/>
    <mergeCell ref="B113:AK113"/>
    <mergeCell ref="B112:AK112"/>
    <mergeCell ref="B114:AK114"/>
    <mergeCell ref="B115:AK115"/>
    <mergeCell ref="B116:AK116"/>
    <mergeCell ref="B118:AK118"/>
    <mergeCell ref="B119:AK119"/>
    <mergeCell ref="B120:AK120"/>
    <mergeCell ref="B121:AK121"/>
    <mergeCell ref="B100:AK100"/>
    <mergeCell ref="B101:AK101"/>
    <mergeCell ref="B96:AL96"/>
    <mergeCell ref="B103:AK103"/>
    <mergeCell ref="B104:AK104"/>
    <mergeCell ref="B106:AK106"/>
    <mergeCell ref="B108:AK108"/>
    <mergeCell ref="B110:AK110"/>
    <mergeCell ref="B111:AK111"/>
    <mergeCell ref="B95:AK95"/>
    <mergeCell ref="B97:AK97"/>
    <mergeCell ref="B98:AK98"/>
    <mergeCell ref="AH14:AK14"/>
    <mergeCell ref="B18:AF18"/>
    <mergeCell ref="AG18:AK18"/>
    <mergeCell ref="B20:W20"/>
    <mergeCell ref="X26:AK26"/>
    <mergeCell ref="AJ71:AK71"/>
    <mergeCell ref="B68:L68"/>
    <mergeCell ref="B87:AK87"/>
    <mergeCell ref="B80:N81"/>
    <mergeCell ref="B82:N83"/>
    <mergeCell ref="J28:P28"/>
    <mergeCell ref="Q28:U28"/>
    <mergeCell ref="V28:Z28"/>
    <mergeCell ref="AD28:AG28"/>
    <mergeCell ref="AA28:AC28"/>
    <mergeCell ref="AH28:AK28"/>
    <mergeCell ref="B50:I50"/>
    <mergeCell ref="AH44:AK44"/>
    <mergeCell ref="AH50:AK50"/>
    <mergeCell ref="B60:AK60"/>
    <mergeCell ref="B62:AK62"/>
    <mergeCell ref="B91:AK91"/>
    <mergeCell ref="B92:AK92"/>
    <mergeCell ref="B93:AK93"/>
    <mergeCell ref="B94:AK94"/>
    <mergeCell ref="B46:AF46"/>
    <mergeCell ref="M73:R73"/>
    <mergeCell ref="S73:X73"/>
    <mergeCell ref="Y73:AD73"/>
    <mergeCell ref="U48:AK48"/>
    <mergeCell ref="F70:K70"/>
    <mergeCell ref="M68:AK68"/>
    <mergeCell ref="AD69:AG69"/>
    <mergeCell ref="AD70:AG70"/>
    <mergeCell ref="AH70:AI71"/>
    <mergeCell ref="B71:C71"/>
    <mergeCell ref="B89:AK89"/>
    <mergeCell ref="U54:AK54"/>
    <mergeCell ref="B56:I56"/>
    <mergeCell ref="J56:P56"/>
    <mergeCell ref="Q56:U56"/>
    <mergeCell ref="V56:Z56"/>
    <mergeCell ref="AD56:AG56"/>
    <mergeCell ref="AA56:AC56"/>
    <mergeCell ref="B28:I28"/>
    <mergeCell ref="AD50:AG50"/>
    <mergeCell ref="AA50:AC50"/>
    <mergeCell ref="Y79:AB79"/>
    <mergeCell ref="AC79:AF79"/>
    <mergeCell ref="AG79:AJ79"/>
    <mergeCell ref="B32:AK32"/>
    <mergeCell ref="B34:AK34"/>
    <mergeCell ref="B36:AK36"/>
    <mergeCell ref="B40:AF40"/>
    <mergeCell ref="AG40:AK40"/>
    <mergeCell ref="B42:T42"/>
    <mergeCell ref="U42:AK42"/>
    <mergeCell ref="B44:I44"/>
    <mergeCell ref="J44:P44"/>
    <mergeCell ref="Q44:U44"/>
    <mergeCell ref="V44:Z44"/>
    <mergeCell ref="AG46:AK46"/>
    <mergeCell ref="B48:T48"/>
    <mergeCell ref="J50:P50"/>
    <mergeCell ref="Q50:U50"/>
    <mergeCell ref="V50:Z50"/>
    <mergeCell ref="AD44:AG44"/>
    <mergeCell ref="AA44:AC44"/>
    <mergeCell ref="B72:AK72"/>
    <mergeCell ref="B73:F73"/>
    <mergeCell ref="AH56:AK56"/>
    <mergeCell ref="F71:K71"/>
    <mergeCell ref="L71:O71"/>
    <mergeCell ref="T71:W71"/>
    <mergeCell ref="B69:E70"/>
    <mergeCell ref="F69:K69"/>
    <mergeCell ref="L69:O70"/>
    <mergeCell ref="AH69:AK69"/>
    <mergeCell ref="B64:AK64"/>
    <mergeCell ref="P69:S69"/>
    <mergeCell ref="P70:S70"/>
    <mergeCell ref="T69:W69"/>
    <mergeCell ref="T70:W70"/>
    <mergeCell ref="P71:S71"/>
    <mergeCell ref="G73:L73"/>
    <mergeCell ref="B26:W26"/>
    <mergeCell ref="B77:AK78"/>
    <mergeCell ref="B79:N79"/>
    <mergeCell ref="O79:S79"/>
    <mergeCell ref="T79:X79"/>
    <mergeCell ref="AB4:AK4"/>
    <mergeCell ref="AA5:AK5"/>
    <mergeCell ref="Y6:AK6"/>
    <mergeCell ref="B8:F8"/>
    <mergeCell ref="B9:F9"/>
    <mergeCell ref="G10:U10"/>
    <mergeCell ref="V10:AK10"/>
    <mergeCell ref="B14:L14"/>
    <mergeCell ref="M14:S14"/>
    <mergeCell ref="T14:Z14"/>
    <mergeCell ref="AA14:AG14"/>
    <mergeCell ref="AE73:AI73"/>
    <mergeCell ref="X69:AC71"/>
    <mergeCell ref="AD71:AG71"/>
    <mergeCell ref="B52:AF52"/>
    <mergeCell ref="AG52:AK52"/>
    <mergeCell ref="B54:T54"/>
    <mergeCell ref="B10:F10"/>
    <mergeCell ref="B22:I22"/>
    <mergeCell ref="J22:P22"/>
    <mergeCell ref="Q22:U22"/>
    <mergeCell ref="V22:Z22"/>
    <mergeCell ref="AA22:AC22"/>
    <mergeCell ref="AD22:AG22"/>
    <mergeCell ref="AH22:AK22"/>
    <mergeCell ref="B24:AF24"/>
    <mergeCell ref="AG24:AK24"/>
    <mergeCell ref="X20:AK20"/>
  </mergeCells>
  <printOptions horizontalCentered="1"/>
  <pageMargins left="0" right="0" top="0" bottom="0" header="0" footer="0"/>
  <pageSetup scale="90"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3:AN298"/>
  <sheetViews>
    <sheetView showZeros="0" zoomScale="115" zoomScaleNormal="115" workbookViewId="0">
      <selection activeCell="B8" sqref="B8:F8"/>
    </sheetView>
  </sheetViews>
  <sheetFormatPr defaultColWidth="11.44140625" defaultRowHeight="12.75" customHeight="1"/>
  <cols>
    <col min="1" max="1" width="2.109375" style="285" customWidth="1"/>
    <col min="2" max="22" width="3" style="285" customWidth="1"/>
    <col min="23" max="23" width="3.5546875" style="285" customWidth="1"/>
    <col min="24" max="29" width="3" style="285" customWidth="1"/>
    <col min="30" max="30" width="4.109375" style="285" customWidth="1"/>
    <col min="31" max="35" width="3" style="285" customWidth="1"/>
    <col min="36" max="36" width="4.44140625" style="285" customWidth="1"/>
    <col min="37" max="37" width="3" style="285" customWidth="1"/>
    <col min="38" max="39" width="0.5546875" style="285" customWidth="1"/>
    <col min="40" max="40" width="2.88671875" style="285" hidden="1" customWidth="1"/>
    <col min="41" max="16384" width="11.44140625" style="285"/>
  </cols>
  <sheetData>
    <row r="3" spans="1:37" ht="7.5" customHeight="1">
      <c r="A3" s="311"/>
      <c r="B3" s="311"/>
      <c r="C3" s="311"/>
      <c r="D3" s="311"/>
      <c r="E3" s="311"/>
      <c r="F3" s="311"/>
      <c r="G3" s="311"/>
      <c r="H3" s="311"/>
      <c r="I3" s="311"/>
      <c r="J3" s="311"/>
      <c r="K3" s="311"/>
      <c r="L3" s="311"/>
      <c r="M3" s="311"/>
      <c r="N3" s="311"/>
      <c r="O3" s="311"/>
      <c r="P3" s="311"/>
      <c r="Q3" s="311"/>
      <c r="R3" s="311"/>
      <c r="S3" s="311"/>
      <c r="T3" s="311"/>
      <c r="U3" s="311"/>
      <c r="V3" s="311"/>
      <c r="W3" s="311"/>
      <c r="X3" s="311"/>
      <c r="Y3" s="311"/>
      <c r="Z3" s="311"/>
      <c r="AA3" s="311"/>
      <c r="AB3" s="311"/>
      <c r="AC3" s="311"/>
      <c r="AD3" s="311"/>
      <c r="AE3" s="311"/>
      <c r="AF3" s="311"/>
      <c r="AG3" s="311"/>
      <c r="AH3" s="311"/>
      <c r="AI3" s="311"/>
    </row>
    <row r="4" spans="1:37" ht="10.199999999999999">
      <c r="A4" s="311"/>
      <c r="B4" s="311"/>
      <c r="C4" s="311"/>
      <c r="D4" s="311"/>
      <c r="E4" s="311"/>
      <c r="F4" s="311"/>
      <c r="G4" s="311"/>
      <c r="H4" s="311"/>
      <c r="I4" s="311"/>
      <c r="J4" s="311"/>
      <c r="K4" s="311"/>
      <c r="L4" s="311"/>
      <c r="M4" s="311"/>
      <c r="N4" s="311"/>
      <c r="O4" s="311"/>
      <c r="P4" s="311"/>
      <c r="Q4" s="311"/>
      <c r="R4" s="311"/>
      <c r="S4" s="311"/>
      <c r="T4" s="311"/>
      <c r="V4" s="364"/>
      <c r="W4" s="364"/>
      <c r="Y4" s="364"/>
      <c r="Z4" s="364"/>
      <c r="AA4" s="364"/>
      <c r="AB4" s="970" t="s">
        <v>135</v>
      </c>
      <c r="AC4" s="970"/>
      <c r="AD4" s="970"/>
      <c r="AE4" s="970"/>
      <c r="AF4" s="970"/>
      <c r="AG4" s="970"/>
      <c r="AH4" s="970"/>
      <c r="AI4" s="970"/>
      <c r="AJ4" s="970"/>
      <c r="AK4" s="970"/>
    </row>
    <row r="5" spans="1:37" ht="10.199999999999999">
      <c r="A5" s="311"/>
      <c r="B5" s="311"/>
      <c r="C5" s="311"/>
      <c r="D5" s="311"/>
      <c r="E5" s="311"/>
      <c r="F5" s="311"/>
      <c r="G5" s="311"/>
      <c r="H5" s="311"/>
      <c r="I5" s="311"/>
      <c r="J5" s="311"/>
      <c r="K5" s="311"/>
      <c r="L5" s="311"/>
      <c r="M5" s="311"/>
      <c r="N5" s="311"/>
      <c r="O5" s="311"/>
      <c r="P5" s="311"/>
      <c r="Q5" s="311"/>
      <c r="R5" s="311"/>
      <c r="S5" s="311"/>
      <c r="T5" s="311"/>
      <c r="U5" s="365"/>
      <c r="V5" s="365"/>
      <c r="X5" s="364"/>
      <c r="Y5" s="364"/>
      <c r="Z5" s="364"/>
      <c r="AA5" s="970" t="s">
        <v>287</v>
      </c>
      <c r="AB5" s="970"/>
      <c r="AC5" s="970"/>
      <c r="AD5" s="970"/>
      <c r="AE5" s="970"/>
      <c r="AF5" s="970"/>
      <c r="AG5" s="970"/>
      <c r="AH5" s="970"/>
      <c r="AI5" s="970"/>
      <c r="AJ5" s="970"/>
      <c r="AK5" s="970"/>
    </row>
    <row r="6" spans="1:37" ht="17.25" customHeight="1">
      <c r="A6" s="311"/>
      <c r="B6" s="366" t="s">
        <v>137</v>
      </c>
      <c r="C6" s="311"/>
      <c r="D6" s="311"/>
      <c r="E6" s="311"/>
      <c r="F6" s="311"/>
      <c r="G6" s="311"/>
      <c r="H6" s="311"/>
      <c r="I6" s="311"/>
      <c r="J6" s="311"/>
      <c r="K6" s="311"/>
      <c r="L6" s="311"/>
      <c r="M6" s="311"/>
      <c r="N6" s="311"/>
      <c r="O6" s="311"/>
      <c r="P6" s="311"/>
      <c r="Q6" s="311"/>
      <c r="R6" s="311"/>
      <c r="S6" s="311"/>
      <c r="T6" s="311"/>
      <c r="U6" s="365"/>
      <c r="V6" s="365"/>
      <c r="W6" s="367"/>
      <c r="AA6" s="971" t="s">
        <v>437</v>
      </c>
      <c r="AB6" s="971"/>
      <c r="AC6" s="971"/>
      <c r="AD6" s="971"/>
      <c r="AE6" s="971"/>
      <c r="AF6" s="971"/>
      <c r="AG6" s="971"/>
      <c r="AH6" s="971"/>
      <c r="AI6" s="971"/>
      <c r="AJ6" s="971"/>
      <c r="AK6" s="971"/>
    </row>
    <row r="7" spans="1:37" ht="2.25" customHeight="1">
      <c r="A7" s="311"/>
      <c r="B7" s="311"/>
      <c r="C7" s="311"/>
      <c r="D7" s="311"/>
      <c r="E7" s="311"/>
      <c r="F7" s="311"/>
      <c r="G7" s="311"/>
      <c r="H7" s="311"/>
      <c r="I7" s="311"/>
      <c r="J7" s="311"/>
      <c r="K7" s="311"/>
      <c r="L7" s="311"/>
      <c r="M7" s="311"/>
      <c r="N7" s="311"/>
      <c r="O7" s="311"/>
      <c r="P7" s="311"/>
      <c r="Q7" s="311"/>
      <c r="R7" s="311"/>
      <c r="S7" s="311"/>
      <c r="T7" s="311"/>
      <c r="U7" s="311"/>
      <c r="V7" s="311"/>
      <c r="W7" s="311"/>
      <c r="X7" s="311"/>
      <c r="Y7" s="311"/>
      <c r="Z7" s="311"/>
      <c r="AA7" s="311"/>
      <c r="AB7" s="311"/>
      <c r="AC7" s="311"/>
      <c r="AD7" s="311"/>
      <c r="AE7" s="311"/>
      <c r="AF7" s="311"/>
      <c r="AG7" s="311"/>
      <c r="AH7" s="311"/>
      <c r="AI7" s="311"/>
    </row>
    <row r="8" spans="1:37" ht="10.5" customHeight="1">
      <c r="A8" s="311"/>
      <c r="B8" s="972" t="s">
        <v>138</v>
      </c>
      <c r="C8" s="973"/>
      <c r="D8" s="973"/>
      <c r="E8" s="973"/>
      <c r="F8" s="973"/>
      <c r="G8" s="368" t="s">
        <v>438</v>
      </c>
      <c r="H8" s="369"/>
      <c r="I8" s="369"/>
      <c r="J8" s="369"/>
      <c r="K8" s="369"/>
      <c r="L8" s="369"/>
      <c r="M8" s="369"/>
      <c r="N8" s="369"/>
      <c r="O8" s="369"/>
      <c r="P8" s="369"/>
      <c r="Q8" s="369"/>
      <c r="R8" s="369"/>
      <c r="S8" s="369"/>
      <c r="T8" s="369"/>
      <c r="U8" s="370"/>
      <c r="V8" s="369" t="s">
        <v>140</v>
      </c>
      <c r="W8" s="369"/>
      <c r="X8" s="369"/>
      <c r="Y8" s="369"/>
      <c r="Z8" s="369"/>
      <c r="AA8" s="369"/>
      <c r="AB8" s="369"/>
      <c r="AC8" s="369"/>
      <c r="AD8" s="369"/>
      <c r="AE8" s="369"/>
      <c r="AF8" s="369"/>
      <c r="AG8" s="369"/>
      <c r="AH8" s="369"/>
      <c r="AI8" s="369"/>
      <c r="AJ8" s="369"/>
      <c r="AK8" s="371"/>
    </row>
    <row r="9" spans="1:37" ht="10.5" customHeight="1">
      <c r="A9" s="311"/>
      <c r="B9" s="974" t="s">
        <v>141</v>
      </c>
      <c r="C9" s="975"/>
      <c r="D9" s="975"/>
      <c r="E9" s="975"/>
      <c r="F9" s="975"/>
      <c r="G9" s="372"/>
      <c r="H9" s="311"/>
      <c r="I9" s="311"/>
      <c r="J9" s="311"/>
      <c r="K9" s="311"/>
      <c r="L9" s="311"/>
      <c r="M9" s="311"/>
      <c r="N9" s="311"/>
      <c r="O9" s="311"/>
      <c r="P9" s="311"/>
      <c r="Q9" s="311"/>
      <c r="R9" s="311"/>
      <c r="S9" s="311"/>
      <c r="T9" s="311"/>
      <c r="U9" s="373"/>
      <c r="V9" s="311"/>
      <c r="W9" s="311"/>
      <c r="X9" s="311"/>
      <c r="Y9" s="311"/>
      <c r="Z9" s="311"/>
      <c r="AA9" s="311"/>
      <c r="AB9" s="311"/>
      <c r="AC9" s="311"/>
      <c r="AD9" s="311"/>
      <c r="AE9" s="311"/>
      <c r="AF9" s="311"/>
      <c r="AG9" s="311"/>
      <c r="AH9" s="311"/>
      <c r="AI9" s="311"/>
      <c r="AJ9" s="311"/>
      <c r="AK9" s="374"/>
    </row>
    <row r="10" spans="1:37" ht="10.5" customHeight="1">
      <c r="A10" s="311"/>
      <c r="B10" s="976">
        <f ca="1">AA_002_GENERALES_FECHA</f>
        <v>42625</v>
      </c>
      <c r="C10" s="977"/>
      <c r="D10" s="977"/>
      <c r="E10" s="977"/>
      <c r="F10" s="978"/>
      <c r="G10" s="998" t="str">
        <f>AA_003_GENERALES_DIA</f>
        <v>Monterrey, Nuevo León</v>
      </c>
      <c r="H10" s="999"/>
      <c r="I10" s="999"/>
      <c r="J10" s="999"/>
      <c r="K10" s="999"/>
      <c r="L10" s="999"/>
      <c r="M10" s="999"/>
      <c r="N10" s="999"/>
      <c r="O10" s="999"/>
      <c r="P10" s="999"/>
      <c r="Q10" s="999"/>
      <c r="R10" s="999"/>
      <c r="S10" s="999"/>
      <c r="T10" s="999"/>
      <c r="U10" s="1000"/>
      <c r="V10" s="998" t="str">
        <f>AA_007_GENERALES_NOMBRE_Y_NÚMERO_DE_SUCURSAL</f>
        <v>161 Morones Prieto</v>
      </c>
      <c r="W10" s="813"/>
      <c r="X10" s="813"/>
      <c r="Y10" s="813"/>
      <c r="Z10" s="813"/>
      <c r="AA10" s="813"/>
      <c r="AB10" s="813"/>
      <c r="AC10" s="813"/>
      <c r="AD10" s="813"/>
      <c r="AE10" s="813"/>
      <c r="AF10" s="813"/>
      <c r="AG10" s="813"/>
      <c r="AH10" s="813"/>
      <c r="AI10" s="813"/>
      <c r="AJ10" s="813"/>
      <c r="AK10" s="814"/>
    </row>
    <row r="11" spans="1:37" ht="2.25" customHeight="1">
      <c r="A11" s="311"/>
      <c r="B11" s="311"/>
      <c r="C11" s="311"/>
      <c r="D11" s="311"/>
      <c r="E11" s="311"/>
      <c r="F11" s="311"/>
      <c r="G11" s="311"/>
      <c r="H11" s="311"/>
      <c r="I11" s="311"/>
      <c r="J11" s="311"/>
      <c r="K11" s="311"/>
      <c r="L11" s="311"/>
      <c r="M11" s="311"/>
      <c r="N11" s="311"/>
      <c r="O11" s="311"/>
      <c r="P11" s="311"/>
      <c r="Q11" s="311"/>
      <c r="R11" s="311"/>
      <c r="S11" s="311"/>
      <c r="T11" s="311"/>
      <c r="U11" s="311"/>
      <c r="V11" s="311"/>
      <c r="W11" s="311"/>
      <c r="X11" s="311"/>
      <c r="Y11" s="311"/>
      <c r="Z11" s="311"/>
      <c r="AA11" s="311"/>
      <c r="AB11" s="311"/>
      <c r="AC11" s="311"/>
      <c r="AD11" s="311"/>
      <c r="AE11" s="311"/>
      <c r="AF11" s="311"/>
      <c r="AG11" s="311"/>
      <c r="AH11" s="311"/>
      <c r="AI11" s="311"/>
      <c r="AJ11" s="311"/>
      <c r="AK11" s="311"/>
    </row>
    <row r="12" spans="1:37" ht="10.199999999999999">
      <c r="A12" s="311"/>
      <c r="B12" s="375" t="s">
        <v>142</v>
      </c>
      <c r="C12" s="311"/>
      <c r="D12" s="311"/>
      <c r="E12" s="311"/>
      <c r="F12" s="311"/>
      <c r="G12" s="311"/>
      <c r="H12" s="311"/>
      <c r="I12" s="311"/>
      <c r="J12" s="311"/>
      <c r="K12" s="311"/>
      <c r="L12" s="311"/>
      <c r="M12" s="311"/>
      <c r="N12" s="311"/>
      <c r="O12" s="311"/>
      <c r="P12" s="311"/>
      <c r="Q12" s="311"/>
      <c r="R12" s="311"/>
      <c r="S12" s="311"/>
      <c r="T12" s="311"/>
      <c r="U12" s="311"/>
      <c r="V12" s="311"/>
      <c r="W12" s="311"/>
      <c r="X12" s="311"/>
      <c r="Y12" s="311"/>
      <c r="Z12" s="311"/>
      <c r="AA12" s="311"/>
      <c r="AB12" s="311"/>
      <c r="AC12" s="311"/>
      <c r="AD12" s="311"/>
      <c r="AE12" s="311"/>
      <c r="AF12" s="311"/>
      <c r="AG12" s="311"/>
      <c r="AH12" s="311"/>
      <c r="AI12" s="311"/>
      <c r="AJ12" s="311"/>
      <c r="AK12" s="311"/>
    </row>
    <row r="13" spans="1:37" ht="10.5" customHeight="1">
      <c r="A13" s="311"/>
      <c r="B13" s="376" t="s">
        <v>143</v>
      </c>
      <c r="C13" s="377"/>
      <c r="D13" s="377"/>
      <c r="E13" s="377" t="s">
        <v>144</v>
      </c>
      <c r="F13" s="377"/>
      <c r="G13" s="377"/>
      <c r="H13" s="377"/>
      <c r="I13" s="377"/>
      <c r="J13" s="377"/>
      <c r="K13" s="377"/>
      <c r="L13" s="378"/>
      <c r="M13" s="376" t="s">
        <v>145</v>
      </c>
      <c r="N13" s="377"/>
      <c r="O13" s="377"/>
      <c r="P13" s="377"/>
      <c r="Q13" s="377"/>
      <c r="R13" s="377"/>
      <c r="S13" s="378"/>
      <c r="T13" s="377" t="s">
        <v>146</v>
      </c>
      <c r="U13" s="377"/>
      <c r="V13" s="377"/>
      <c r="W13" s="377"/>
      <c r="X13" s="377"/>
      <c r="Y13" s="377"/>
      <c r="Z13" s="377"/>
      <c r="AA13" s="376" t="s">
        <v>147</v>
      </c>
      <c r="AB13" s="377"/>
      <c r="AC13" s="377"/>
      <c r="AD13" s="377"/>
      <c r="AE13" s="377"/>
      <c r="AF13" s="377"/>
      <c r="AG13" s="378"/>
      <c r="AH13" s="377" t="s">
        <v>148</v>
      </c>
      <c r="AI13" s="377"/>
      <c r="AJ13" s="377"/>
      <c r="AK13" s="378"/>
    </row>
    <row r="14" spans="1:37" ht="10.5" customHeight="1">
      <c r="A14" s="311"/>
      <c r="B14" s="986">
        <f>AA_008_DATOS_DE_BANCO_DOMICILIO_CALLE_NÚMERO</f>
        <v>0</v>
      </c>
      <c r="C14" s="723"/>
      <c r="D14" s="723"/>
      <c r="E14" s="723"/>
      <c r="F14" s="723"/>
      <c r="G14" s="723"/>
      <c r="H14" s="723"/>
      <c r="I14" s="723"/>
      <c r="J14" s="723"/>
      <c r="K14" s="723"/>
      <c r="L14" s="724"/>
      <c r="M14" s="986">
        <f>AA_009_DATOS_DE_BANCO_COLONIA</f>
        <v>0</v>
      </c>
      <c r="N14" s="723"/>
      <c r="O14" s="723"/>
      <c r="P14" s="723"/>
      <c r="Q14" s="723"/>
      <c r="R14" s="723"/>
      <c r="S14" s="724"/>
      <c r="T14" s="986">
        <f>AA_010_DATOS_DE_BANCO_POBLACIÓN</f>
        <v>0</v>
      </c>
      <c r="U14" s="723"/>
      <c r="V14" s="723"/>
      <c r="W14" s="723"/>
      <c r="X14" s="723"/>
      <c r="Y14" s="723"/>
      <c r="Z14" s="724"/>
      <c r="AA14" s="986">
        <f>AA_011_DATOS_DE_BANCO_ESTADO</f>
        <v>0</v>
      </c>
      <c r="AB14" s="723"/>
      <c r="AC14" s="723"/>
      <c r="AD14" s="723"/>
      <c r="AE14" s="723"/>
      <c r="AF14" s="723"/>
      <c r="AG14" s="724"/>
      <c r="AH14" s="986">
        <f>AA_012_DATOS_DE_BANCO_CODIGO_POSTAL</f>
        <v>0</v>
      </c>
      <c r="AI14" s="723"/>
      <c r="AJ14" s="723"/>
      <c r="AK14" s="724"/>
    </row>
    <row r="15" spans="1:37" ht="10.5" customHeight="1">
      <c r="A15" s="311"/>
      <c r="B15" s="311"/>
      <c r="C15" s="311"/>
      <c r="D15" s="311"/>
      <c r="E15" s="311"/>
      <c r="F15" s="311"/>
      <c r="G15" s="311"/>
      <c r="H15" s="311"/>
      <c r="I15" s="311"/>
      <c r="J15" s="311"/>
      <c r="K15" s="311"/>
      <c r="L15" s="311"/>
      <c r="M15" s="311"/>
      <c r="N15" s="311"/>
      <c r="O15" s="311"/>
      <c r="P15" s="311"/>
      <c r="Q15" s="311"/>
      <c r="R15" s="311"/>
      <c r="S15" s="311"/>
      <c r="T15" s="311"/>
      <c r="U15" s="311"/>
      <c r="V15" s="311"/>
      <c r="W15" s="311"/>
      <c r="X15" s="311"/>
      <c r="Y15" s="311"/>
      <c r="Z15" s="311"/>
      <c r="AA15" s="311"/>
      <c r="AB15" s="311"/>
      <c r="AC15" s="311"/>
      <c r="AD15" s="311"/>
      <c r="AE15" s="311"/>
      <c r="AF15" s="311"/>
      <c r="AG15" s="311"/>
      <c r="AH15" s="311"/>
      <c r="AI15" s="311"/>
      <c r="AJ15" s="311"/>
      <c r="AK15" s="311"/>
    </row>
    <row r="16" spans="1:37" ht="10.5" customHeight="1">
      <c r="A16" s="311"/>
      <c r="B16" s="375" t="s">
        <v>149</v>
      </c>
      <c r="C16" s="311"/>
      <c r="D16" s="311"/>
      <c r="E16" s="311"/>
      <c r="F16" s="311"/>
      <c r="G16" s="311"/>
      <c r="H16" s="311"/>
      <c r="I16" s="311"/>
      <c r="J16" s="311"/>
      <c r="K16" s="311"/>
      <c r="L16" s="311"/>
      <c r="M16" s="311"/>
      <c r="N16" s="311"/>
      <c r="O16" s="311"/>
      <c r="P16" s="311"/>
      <c r="Q16" s="311"/>
      <c r="R16" s="311"/>
      <c r="S16" s="311"/>
      <c r="T16" s="311"/>
      <c r="U16" s="311"/>
      <c r="V16" s="311"/>
      <c r="W16" s="311"/>
      <c r="X16" s="311"/>
      <c r="Y16" s="311"/>
      <c r="Z16" s="311"/>
      <c r="AA16" s="311"/>
      <c r="AB16" s="311"/>
      <c r="AC16" s="311"/>
      <c r="AD16" s="311"/>
      <c r="AE16" s="311"/>
      <c r="AF16" s="311"/>
      <c r="AG16" s="311"/>
      <c r="AH16" s="311"/>
      <c r="AI16" s="311"/>
      <c r="AJ16" s="311"/>
      <c r="AK16" s="311"/>
    </row>
    <row r="17" spans="1:37" ht="10.5" customHeight="1">
      <c r="A17" s="311"/>
      <c r="B17" s="376" t="s">
        <v>150</v>
      </c>
      <c r="C17" s="377"/>
      <c r="D17" s="377"/>
      <c r="E17" s="377"/>
      <c r="F17" s="377"/>
      <c r="G17" s="377"/>
      <c r="H17" s="377"/>
      <c r="I17" s="377"/>
      <c r="J17" s="377"/>
      <c r="K17" s="377"/>
      <c r="L17" s="377"/>
      <c r="M17" s="377"/>
      <c r="N17" s="377"/>
      <c r="O17" s="377"/>
      <c r="P17" s="377"/>
      <c r="Q17" s="377"/>
      <c r="R17" s="377"/>
      <c r="S17" s="377"/>
      <c r="T17" s="377"/>
      <c r="U17" s="377"/>
      <c r="V17" s="377"/>
      <c r="W17" s="377"/>
      <c r="X17" s="377"/>
      <c r="Y17" s="377"/>
      <c r="Z17" s="377"/>
      <c r="AA17" s="377"/>
      <c r="AB17" s="377"/>
      <c r="AC17" s="377"/>
      <c r="AD17" s="377"/>
      <c r="AE17" s="377"/>
      <c r="AF17" s="377"/>
      <c r="AG17" s="376" t="s">
        <v>151</v>
      </c>
      <c r="AH17" s="377"/>
      <c r="AI17" s="377"/>
      <c r="AJ17" s="377"/>
      <c r="AK17" s="378"/>
    </row>
    <row r="18" spans="1:37" ht="10.5" customHeight="1">
      <c r="A18" s="311"/>
      <c r="B18" s="986">
        <f>AA_013_DATOS_DE_LA_PARTE_ACREDITADA_NOMBRE_DEL_ACREDITADO</f>
        <v>0</v>
      </c>
      <c r="C18" s="723"/>
      <c r="D18" s="723"/>
      <c r="E18" s="723"/>
      <c r="F18" s="723"/>
      <c r="G18" s="723"/>
      <c r="H18" s="723"/>
      <c r="I18" s="723"/>
      <c r="J18" s="723"/>
      <c r="K18" s="723"/>
      <c r="L18" s="723"/>
      <c r="M18" s="723"/>
      <c r="N18" s="723"/>
      <c r="O18" s="723"/>
      <c r="P18" s="723"/>
      <c r="Q18" s="723"/>
      <c r="R18" s="723"/>
      <c r="S18" s="723"/>
      <c r="T18" s="723"/>
      <c r="U18" s="723"/>
      <c r="V18" s="723"/>
      <c r="W18" s="723"/>
      <c r="X18" s="723"/>
      <c r="Y18" s="723"/>
      <c r="Z18" s="723"/>
      <c r="AA18" s="723"/>
      <c r="AB18" s="723"/>
      <c r="AC18" s="723"/>
      <c r="AD18" s="723"/>
      <c r="AE18" s="723"/>
      <c r="AF18" s="724"/>
      <c r="AG18" s="986">
        <f>AA_014_DATOS_DE_LA_PARTE_ACREDITADA_R_F_C_</f>
        <v>0</v>
      </c>
      <c r="AH18" s="723"/>
      <c r="AI18" s="723"/>
      <c r="AJ18" s="723"/>
      <c r="AK18" s="724"/>
    </row>
    <row r="19" spans="1:37" ht="10.5" customHeight="1">
      <c r="A19" s="311"/>
      <c r="B19" s="376" t="s">
        <v>143</v>
      </c>
      <c r="C19" s="377"/>
      <c r="D19" s="377"/>
      <c r="E19" s="377" t="s">
        <v>144</v>
      </c>
      <c r="F19" s="377"/>
      <c r="G19" s="377"/>
      <c r="H19" s="377"/>
      <c r="I19" s="377"/>
      <c r="J19" s="377"/>
      <c r="K19" s="377"/>
      <c r="L19" s="377"/>
      <c r="M19" s="377"/>
      <c r="N19" s="377"/>
      <c r="O19" s="377"/>
      <c r="P19" s="377"/>
      <c r="Q19" s="377"/>
      <c r="R19" s="377"/>
      <c r="S19" s="377"/>
      <c r="T19" s="377"/>
      <c r="U19" s="377"/>
      <c r="V19" s="377"/>
      <c r="W19" s="377"/>
      <c r="X19" s="376" t="s">
        <v>145</v>
      </c>
      <c r="Y19" s="377"/>
      <c r="Z19" s="377"/>
      <c r="AA19" s="377"/>
      <c r="AB19" s="377"/>
      <c r="AC19" s="377"/>
      <c r="AD19" s="377"/>
      <c r="AE19" s="377"/>
      <c r="AF19" s="377"/>
      <c r="AG19" s="377"/>
      <c r="AH19" s="377"/>
      <c r="AI19" s="377"/>
      <c r="AJ19" s="377"/>
      <c r="AK19" s="378"/>
    </row>
    <row r="20" spans="1:37" ht="10.5" customHeight="1">
      <c r="A20" s="311"/>
      <c r="B20" s="986">
        <f>AA_015_DATOS_DE_LA_PARTE_ACREDITADA_DOMICILIO_CALLE_NÚMERO</f>
        <v>0</v>
      </c>
      <c r="C20" s="723"/>
      <c r="D20" s="723"/>
      <c r="E20" s="723"/>
      <c r="F20" s="723"/>
      <c r="G20" s="723"/>
      <c r="H20" s="723"/>
      <c r="I20" s="723"/>
      <c r="J20" s="723"/>
      <c r="K20" s="723"/>
      <c r="L20" s="723"/>
      <c r="M20" s="723"/>
      <c r="N20" s="723"/>
      <c r="O20" s="723"/>
      <c r="P20" s="723"/>
      <c r="Q20" s="723"/>
      <c r="R20" s="723"/>
      <c r="S20" s="723"/>
      <c r="T20" s="723"/>
      <c r="U20" s="723"/>
      <c r="V20" s="723"/>
      <c r="W20" s="724"/>
      <c r="X20" s="986">
        <f>AA_016_DATOS_DE_LA_PARTE_ACREDITADA_COLONIA</f>
        <v>0</v>
      </c>
      <c r="Y20" s="723"/>
      <c r="Z20" s="723"/>
      <c r="AA20" s="723"/>
      <c r="AB20" s="723"/>
      <c r="AC20" s="723"/>
      <c r="AD20" s="723"/>
      <c r="AE20" s="723"/>
      <c r="AF20" s="723"/>
      <c r="AG20" s="723"/>
      <c r="AH20" s="723"/>
      <c r="AI20" s="723"/>
      <c r="AJ20" s="723"/>
      <c r="AK20" s="724"/>
    </row>
    <row r="21" spans="1:37" ht="10.5" customHeight="1">
      <c r="A21" s="311"/>
      <c r="B21" s="376" t="s">
        <v>146</v>
      </c>
      <c r="C21" s="377"/>
      <c r="D21" s="377"/>
      <c r="E21" s="377"/>
      <c r="F21" s="377"/>
      <c r="G21" s="377"/>
      <c r="H21" s="377"/>
      <c r="I21" s="311"/>
      <c r="J21" s="376" t="s">
        <v>147</v>
      </c>
      <c r="K21" s="311"/>
      <c r="L21" s="311"/>
      <c r="P21" s="377"/>
      <c r="Q21" s="372" t="s">
        <v>152</v>
      </c>
      <c r="S21" s="377"/>
      <c r="T21" s="377"/>
      <c r="V21" s="376" t="s">
        <v>153</v>
      </c>
      <c r="W21" s="377"/>
      <c r="X21" s="377"/>
      <c r="Y21" s="377"/>
      <c r="AA21" s="376" t="s">
        <v>154</v>
      </c>
      <c r="AB21" s="377"/>
      <c r="AC21" s="378"/>
      <c r="AD21" s="372" t="s">
        <v>155</v>
      </c>
      <c r="AE21" s="311"/>
      <c r="AF21" s="311"/>
      <c r="AG21" s="378"/>
      <c r="AH21" s="377" t="s">
        <v>156</v>
      </c>
      <c r="AI21" s="377"/>
      <c r="AJ21" s="377"/>
      <c r="AK21" s="378"/>
    </row>
    <row r="22" spans="1:37" ht="10.5" customHeight="1">
      <c r="A22" s="311"/>
      <c r="B22" s="986">
        <f>AA_017_DATOS_DE_LA_PARTE_ACREDITADA_POBLACION</f>
        <v>0</v>
      </c>
      <c r="C22" s="723"/>
      <c r="D22" s="723"/>
      <c r="E22" s="723"/>
      <c r="F22" s="723"/>
      <c r="G22" s="723"/>
      <c r="H22" s="723"/>
      <c r="I22" s="724"/>
      <c r="J22" s="986">
        <f>AA_018_DATOS_DE_LA_PARTE_ACREDITADA_ESTADO</f>
        <v>0</v>
      </c>
      <c r="K22" s="723"/>
      <c r="L22" s="723"/>
      <c r="M22" s="723"/>
      <c r="N22" s="723"/>
      <c r="O22" s="723"/>
      <c r="P22" s="724"/>
      <c r="Q22" s="986">
        <f>AA_019_DATOS_DE_LA_PARTE_ACREDITADA_NACIONALIDAD</f>
        <v>0</v>
      </c>
      <c r="R22" s="723"/>
      <c r="S22" s="723"/>
      <c r="T22" s="723"/>
      <c r="U22" s="724"/>
      <c r="V22" s="986">
        <f>AA_020_DATOS_DE_LA_PARTE_ACREDITADA_ORIGINARIO</f>
        <v>0</v>
      </c>
      <c r="W22" s="723"/>
      <c r="X22" s="723"/>
      <c r="Y22" s="723"/>
      <c r="Z22" s="724"/>
      <c r="AA22" s="1001">
        <f>AA_021_DATOS_DE_LA_PARTE_ACREDITADA_EDAD</f>
        <v>0</v>
      </c>
      <c r="AB22" s="1002"/>
      <c r="AC22" s="1003"/>
      <c r="AD22" s="986">
        <f>AA_022_DATOS_DE_LA_PARTE_ACREDITADA_ESTADO_CIVIL</f>
        <v>0</v>
      </c>
      <c r="AE22" s="723"/>
      <c r="AF22" s="723"/>
      <c r="AG22" s="724"/>
      <c r="AH22" s="986">
        <f>AA_023_DATOS_DE_LA_PARTE_ACREDITADA_TELEFONO</f>
        <v>0</v>
      </c>
      <c r="AI22" s="987"/>
      <c r="AJ22" s="987"/>
      <c r="AK22" s="988"/>
    </row>
    <row r="23" spans="1:37" ht="10.5" customHeight="1">
      <c r="A23" s="311"/>
      <c r="B23" s="376" t="s">
        <v>157</v>
      </c>
      <c r="C23" s="377"/>
      <c r="D23" s="377"/>
      <c r="E23" s="377"/>
      <c r="F23" s="377"/>
      <c r="G23" s="377"/>
      <c r="H23" s="377"/>
      <c r="I23" s="377"/>
      <c r="J23" s="377"/>
      <c r="K23" s="377"/>
      <c r="L23" s="377"/>
      <c r="M23" s="377"/>
      <c r="N23" s="377"/>
      <c r="O23" s="377"/>
      <c r="P23" s="377"/>
      <c r="Q23" s="377"/>
      <c r="R23" s="377"/>
      <c r="S23" s="377"/>
      <c r="T23" s="377"/>
      <c r="U23" s="377"/>
      <c r="V23" s="377"/>
      <c r="W23" s="377"/>
      <c r="X23" s="377"/>
      <c r="Y23" s="377"/>
      <c r="Z23" s="377"/>
      <c r="AA23" s="377"/>
      <c r="AB23" s="377"/>
      <c r="AC23" s="377"/>
      <c r="AD23" s="377"/>
      <c r="AE23" s="377"/>
      <c r="AF23" s="377"/>
      <c r="AG23" s="376" t="s">
        <v>151</v>
      </c>
      <c r="AH23" s="377"/>
      <c r="AI23" s="377"/>
      <c r="AJ23" s="377"/>
      <c r="AK23" s="378"/>
    </row>
    <row r="24" spans="1:37" ht="10.5" customHeight="1">
      <c r="A24" s="311"/>
      <c r="B24" s="995">
        <f>AA_024_DATOS_DE_LA_PARTE_ACREDITADA_NOMBRE_DEL_ACREDITADO_2</f>
        <v>0</v>
      </c>
      <c r="C24" s="996"/>
      <c r="D24" s="996"/>
      <c r="E24" s="996"/>
      <c r="F24" s="996"/>
      <c r="G24" s="996"/>
      <c r="H24" s="996"/>
      <c r="I24" s="996"/>
      <c r="J24" s="996"/>
      <c r="K24" s="996"/>
      <c r="L24" s="996"/>
      <c r="M24" s="996"/>
      <c r="N24" s="996"/>
      <c r="O24" s="996"/>
      <c r="P24" s="996"/>
      <c r="Q24" s="996"/>
      <c r="R24" s="996"/>
      <c r="S24" s="996"/>
      <c r="T24" s="996"/>
      <c r="U24" s="996"/>
      <c r="V24" s="996"/>
      <c r="W24" s="996"/>
      <c r="X24" s="996"/>
      <c r="Y24" s="996"/>
      <c r="Z24" s="996"/>
      <c r="AA24" s="996"/>
      <c r="AB24" s="996"/>
      <c r="AC24" s="996"/>
      <c r="AD24" s="996"/>
      <c r="AE24" s="996"/>
      <c r="AF24" s="997"/>
      <c r="AG24" s="986">
        <f>AA_025_DATOS_DE_LA_PARTE_ACREDITADA_R_F_C_</f>
        <v>0</v>
      </c>
      <c r="AH24" s="723"/>
      <c r="AI24" s="723"/>
      <c r="AJ24" s="723"/>
      <c r="AK24" s="724"/>
    </row>
    <row r="25" spans="1:37" ht="10.5" customHeight="1">
      <c r="A25" s="311"/>
      <c r="B25" s="351" t="s">
        <v>143</v>
      </c>
      <c r="C25" s="328"/>
      <c r="D25" s="328"/>
      <c r="E25" s="328" t="s">
        <v>144</v>
      </c>
      <c r="F25" s="328"/>
      <c r="G25" s="328"/>
      <c r="H25" s="328"/>
      <c r="I25" s="328"/>
      <c r="J25" s="328"/>
      <c r="K25" s="328"/>
      <c r="L25" s="328"/>
      <c r="M25" s="328"/>
      <c r="N25" s="328"/>
      <c r="O25" s="328"/>
      <c r="P25" s="328"/>
      <c r="Q25" s="328"/>
      <c r="R25" s="328"/>
      <c r="S25" s="328"/>
      <c r="T25" s="328"/>
      <c r="U25" s="328"/>
      <c r="V25" s="328"/>
      <c r="W25" s="352"/>
      <c r="X25" s="377" t="s">
        <v>145</v>
      </c>
      <c r="Y25" s="377"/>
      <c r="Z25" s="377"/>
      <c r="AA25" s="377"/>
      <c r="AB25" s="377"/>
      <c r="AC25" s="377"/>
      <c r="AD25" s="377"/>
      <c r="AE25" s="377"/>
      <c r="AF25" s="377"/>
      <c r="AG25" s="377"/>
      <c r="AH25" s="377"/>
      <c r="AI25" s="377"/>
      <c r="AJ25" s="377"/>
      <c r="AK25" s="378"/>
    </row>
    <row r="26" spans="1:37" ht="10.5" customHeight="1">
      <c r="A26" s="311"/>
      <c r="B26" s="1019">
        <f>AA_026_DATOS_DE_LA_PARTE_ACREDITADA_DOMICILIO_CALLE_NÚMERO</f>
        <v>0</v>
      </c>
      <c r="C26" s="817"/>
      <c r="D26" s="817"/>
      <c r="E26" s="817"/>
      <c r="F26" s="817"/>
      <c r="G26" s="817"/>
      <c r="H26" s="817"/>
      <c r="I26" s="817"/>
      <c r="J26" s="817"/>
      <c r="K26" s="817"/>
      <c r="L26" s="817"/>
      <c r="M26" s="817"/>
      <c r="N26" s="817"/>
      <c r="O26" s="817"/>
      <c r="P26" s="817"/>
      <c r="Q26" s="817"/>
      <c r="R26" s="817"/>
      <c r="S26" s="817"/>
      <c r="T26" s="817"/>
      <c r="U26" s="817"/>
      <c r="V26" s="817"/>
      <c r="W26" s="884"/>
      <c r="X26" s="1020">
        <f>AA_027_DATOS_DE_LA_PARTE_ACREDITADA_COLONIA</f>
        <v>0</v>
      </c>
      <c r="Y26" s="723"/>
      <c r="Z26" s="723"/>
      <c r="AA26" s="723"/>
      <c r="AB26" s="723"/>
      <c r="AC26" s="723"/>
      <c r="AD26" s="723"/>
      <c r="AE26" s="723"/>
      <c r="AF26" s="723"/>
      <c r="AG26" s="723"/>
      <c r="AH26" s="723"/>
      <c r="AI26" s="723"/>
      <c r="AJ26" s="723"/>
      <c r="AK26" s="724"/>
    </row>
    <row r="27" spans="1:37" ht="10.5" customHeight="1">
      <c r="A27" s="311"/>
      <c r="B27" s="372" t="s">
        <v>146</v>
      </c>
      <c r="C27" s="311"/>
      <c r="D27" s="311"/>
      <c r="E27" s="311"/>
      <c r="F27" s="311"/>
      <c r="G27" s="311"/>
      <c r="H27" s="311"/>
      <c r="I27" s="311"/>
      <c r="J27" s="372" t="s">
        <v>147</v>
      </c>
      <c r="K27" s="311"/>
      <c r="L27" s="311"/>
      <c r="M27" s="311"/>
      <c r="N27" s="311"/>
      <c r="O27" s="311"/>
      <c r="P27" s="311"/>
      <c r="Q27" s="372" t="s">
        <v>152</v>
      </c>
      <c r="R27" s="311"/>
      <c r="S27" s="311"/>
      <c r="T27" s="311"/>
      <c r="U27" s="311"/>
      <c r="V27" s="372" t="s">
        <v>153</v>
      </c>
      <c r="W27" s="311"/>
      <c r="X27" s="377"/>
      <c r="Y27" s="377"/>
      <c r="Z27" s="311"/>
      <c r="AA27" s="376" t="s">
        <v>154</v>
      </c>
      <c r="AB27" s="377"/>
      <c r="AC27" s="378"/>
      <c r="AD27" s="372" t="s">
        <v>155</v>
      </c>
      <c r="AE27" s="311"/>
      <c r="AF27" s="311"/>
      <c r="AG27" s="378"/>
      <c r="AH27" s="377" t="s">
        <v>156</v>
      </c>
      <c r="AI27" s="377"/>
      <c r="AJ27" s="377"/>
      <c r="AK27" s="378"/>
    </row>
    <row r="28" spans="1:37" ht="10.5" customHeight="1">
      <c r="A28" s="311"/>
      <c r="B28" s="986">
        <f>AA_028_DATOS_DE_LA_PARTE_ACREDITADA_POBLACION</f>
        <v>0</v>
      </c>
      <c r="C28" s="723"/>
      <c r="D28" s="723"/>
      <c r="E28" s="723"/>
      <c r="F28" s="723"/>
      <c r="G28" s="723"/>
      <c r="H28" s="723"/>
      <c r="I28" s="724"/>
      <c r="J28" s="986">
        <f>AA_029_DATOS_DE_LA_PARTE_ACREDITADA_ESTADO</f>
        <v>0</v>
      </c>
      <c r="K28" s="723"/>
      <c r="L28" s="723"/>
      <c r="M28" s="723"/>
      <c r="N28" s="723"/>
      <c r="O28" s="723"/>
      <c r="P28" s="724"/>
      <c r="Q28" s="986">
        <f>AA_030_DATOS_DE_LA_PARTE_ACREDITADA_NACIONALIDAD</f>
        <v>0</v>
      </c>
      <c r="R28" s="723"/>
      <c r="S28" s="723"/>
      <c r="T28" s="723"/>
      <c r="U28" s="724"/>
      <c r="V28" s="986">
        <f>AA_031_DATOS_DE_LA_PARTE_ACREDITADA_ORIGINARIO</f>
        <v>0</v>
      </c>
      <c r="W28" s="723"/>
      <c r="X28" s="723"/>
      <c r="Y28" s="723"/>
      <c r="Z28" s="724"/>
      <c r="AA28" s="1001">
        <f>AA_032_DATOS_DE_LA_PARTE_ACREDITADA_EDAD</f>
        <v>0</v>
      </c>
      <c r="AB28" s="1002"/>
      <c r="AC28" s="1003"/>
      <c r="AD28" s="986">
        <f>AA_033_DATOS_DE_LA_PARTE_ACREDITADA_ESTADO_CIVIL</f>
        <v>0</v>
      </c>
      <c r="AE28" s="723"/>
      <c r="AF28" s="723"/>
      <c r="AG28" s="724"/>
      <c r="AH28" s="986">
        <f>AA_034_DATOS_DE_LA_PARTE_ACREDITADA_TELEFONO</f>
        <v>0</v>
      </c>
      <c r="AI28" s="987"/>
      <c r="AJ28" s="987"/>
      <c r="AK28" s="988"/>
    </row>
    <row r="29" spans="1:37" ht="2.25" customHeight="1">
      <c r="A29" s="311"/>
      <c r="B29" s="311"/>
      <c r="C29" s="311"/>
      <c r="D29" s="311"/>
      <c r="E29" s="311"/>
      <c r="F29" s="311"/>
      <c r="G29" s="311"/>
      <c r="H29" s="311"/>
      <c r="I29" s="311"/>
      <c r="J29" s="311"/>
      <c r="K29" s="311"/>
      <c r="L29" s="311"/>
      <c r="M29" s="311"/>
      <c r="N29" s="311"/>
      <c r="O29" s="311"/>
      <c r="P29" s="311"/>
      <c r="Q29" s="311"/>
      <c r="R29" s="311"/>
      <c r="S29" s="311"/>
      <c r="T29" s="311"/>
      <c r="U29" s="311"/>
      <c r="V29" s="311"/>
      <c r="W29" s="311"/>
      <c r="X29" s="311"/>
      <c r="Y29" s="311"/>
      <c r="Z29" s="311"/>
      <c r="AA29" s="311"/>
      <c r="AB29" s="311"/>
      <c r="AC29" s="311"/>
      <c r="AD29" s="311"/>
      <c r="AE29" s="311"/>
      <c r="AF29" s="311"/>
      <c r="AG29" s="311"/>
      <c r="AH29" s="311"/>
      <c r="AI29" s="311"/>
      <c r="AJ29" s="311"/>
      <c r="AK29" s="311"/>
    </row>
    <row r="30" spans="1:37" ht="10.199999999999999">
      <c r="A30" s="311"/>
      <c r="B30" s="375" t="s">
        <v>158</v>
      </c>
      <c r="C30" s="311"/>
      <c r="D30" s="311"/>
      <c r="E30" s="311"/>
      <c r="F30" s="311"/>
      <c r="G30" s="311"/>
      <c r="H30" s="311"/>
      <c r="I30" s="311"/>
      <c r="J30" s="311"/>
      <c r="K30" s="311"/>
      <c r="L30" s="311"/>
      <c r="M30" s="311"/>
      <c r="N30" s="311"/>
      <c r="O30" s="311"/>
      <c r="P30" s="311"/>
      <c r="Q30" s="311"/>
      <c r="R30" s="311"/>
      <c r="S30" s="311"/>
      <c r="T30" s="311"/>
      <c r="U30" s="311"/>
      <c r="V30" s="311"/>
      <c r="W30" s="311"/>
      <c r="X30" s="311"/>
      <c r="Y30" s="311"/>
      <c r="Z30" s="311"/>
      <c r="AA30" s="311"/>
      <c r="AB30" s="311"/>
      <c r="AC30" s="311"/>
      <c r="AD30" s="311"/>
      <c r="AE30" s="311"/>
      <c r="AF30" s="311"/>
      <c r="AG30" s="311"/>
      <c r="AH30" s="311"/>
      <c r="AI30" s="311"/>
      <c r="AJ30" s="311"/>
      <c r="AK30" s="311"/>
    </row>
    <row r="31" spans="1:37" ht="10.5" customHeight="1">
      <c r="A31" s="311"/>
      <c r="B31" s="376" t="s">
        <v>159</v>
      </c>
      <c r="C31" s="377"/>
      <c r="D31" s="377"/>
      <c r="E31" s="377"/>
      <c r="F31" s="377"/>
      <c r="G31" s="377"/>
      <c r="H31" s="377"/>
      <c r="I31" s="377"/>
      <c r="J31" s="377"/>
      <c r="K31" s="377"/>
      <c r="L31" s="377"/>
      <c r="M31" s="377"/>
      <c r="N31" s="377"/>
      <c r="O31" s="377"/>
      <c r="P31" s="377"/>
      <c r="Q31" s="377"/>
      <c r="R31" s="377"/>
      <c r="S31" s="377"/>
      <c r="T31" s="377"/>
      <c r="U31" s="377"/>
      <c r="V31" s="377"/>
      <c r="W31" s="377"/>
      <c r="X31" s="377"/>
      <c r="Y31" s="377"/>
      <c r="Z31" s="377"/>
      <c r="AA31" s="377"/>
      <c r="AB31" s="377"/>
      <c r="AC31" s="377"/>
      <c r="AD31" s="377"/>
      <c r="AE31" s="377"/>
      <c r="AF31" s="377"/>
      <c r="AG31" s="377"/>
      <c r="AH31" s="377"/>
      <c r="AI31" s="377"/>
      <c r="AJ31" s="377"/>
      <c r="AK31" s="378"/>
    </row>
    <row r="32" spans="1:37" ht="10.5" customHeight="1">
      <c r="A32" s="311"/>
      <c r="B32" s="986">
        <f>AA_035_DATOS_APODERADOS_ACREDITADO_NOMBRE_APODERADO_DEL_ACREDITADO_UNO</f>
        <v>0</v>
      </c>
      <c r="C32" s="723"/>
      <c r="D32" s="723"/>
      <c r="E32" s="723"/>
      <c r="F32" s="723"/>
      <c r="G32" s="723"/>
      <c r="H32" s="723"/>
      <c r="I32" s="723"/>
      <c r="J32" s="723"/>
      <c r="K32" s="723"/>
      <c r="L32" s="723"/>
      <c r="M32" s="723"/>
      <c r="N32" s="723"/>
      <c r="O32" s="723"/>
      <c r="P32" s="723"/>
      <c r="Q32" s="723"/>
      <c r="R32" s="723"/>
      <c r="S32" s="723"/>
      <c r="T32" s="723"/>
      <c r="U32" s="723"/>
      <c r="V32" s="723"/>
      <c r="W32" s="723"/>
      <c r="X32" s="723"/>
      <c r="Y32" s="723"/>
      <c r="Z32" s="723"/>
      <c r="AA32" s="723"/>
      <c r="AB32" s="723"/>
      <c r="AC32" s="723"/>
      <c r="AD32" s="723"/>
      <c r="AE32" s="723"/>
      <c r="AF32" s="723"/>
      <c r="AG32" s="723"/>
      <c r="AH32" s="723"/>
      <c r="AI32" s="723"/>
      <c r="AJ32" s="723"/>
      <c r="AK32" s="724"/>
    </row>
    <row r="33" spans="1:37" ht="10.5" customHeight="1">
      <c r="A33" s="311"/>
      <c r="B33" s="376" t="str">
        <f>B31</f>
        <v>NOMBRE  (Nombre(s) Apellidos Paterno y Materno)</v>
      </c>
      <c r="C33" s="377"/>
      <c r="D33" s="377"/>
      <c r="E33" s="377"/>
      <c r="F33" s="377"/>
      <c r="G33" s="377"/>
      <c r="H33" s="377"/>
      <c r="I33" s="377"/>
      <c r="J33" s="377"/>
      <c r="K33" s="377"/>
      <c r="L33" s="377"/>
      <c r="M33" s="377"/>
      <c r="N33" s="377"/>
      <c r="O33" s="377"/>
      <c r="P33" s="377"/>
      <c r="Q33" s="377"/>
      <c r="R33" s="377"/>
      <c r="S33" s="377"/>
      <c r="T33" s="377"/>
      <c r="U33" s="377"/>
      <c r="V33" s="377"/>
      <c r="W33" s="377"/>
      <c r="X33" s="377"/>
      <c r="Y33" s="377"/>
      <c r="Z33" s="377"/>
      <c r="AA33" s="377"/>
      <c r="AB33" s="377"/>
      <c r="AC33" s="377"/>
      <c r="AD33" s="377"/>
      <c r="AE33" s="377"/>
      <c r="AF33" s="377"/>
      <c r="AG33" s="377"/>
      <c r="AH33" s="377"/>
      <c r="AI33" s="377"/>
      <c r="AJ33" s="377"/>
      <c r="AK33" s="378"/>
    </row>
    <row r="34" spans="1:37" ht="10.5" customHeight="1">
      <c r="A34" s="311"/>
      <c r="B34" s="986">
        <f>AA_036_DATOS_APODERADOS_ACREDITADO_NOMBRE_APODERADO_DEL_ACREDITADO_DOS</f>
        <v>0</v>
      </c>
      <c r="C34" s="723"/>
      <c r="D34" s="723"/>
      <c r="E34" s="723"/>
      <c r="F34" s="723"/>
      <c r="G34" s="723"/>
      <c r="H34" s="723"/>
      <c r="I34" s="723"/>
      <c r="J34" s="723"/>
      <c r="K34" s="723"/>
      <c r="L34" s="723"/>
      <c r="M34" s="723"/>
      <c r="N34" s="723"/>
      <c r="O34" s="723"/>
      <c r="P34" s="723"/>
      <c r="Q34" s="723"/>
      <c r="R34" s="723"/>
      <c r="S34" s="723"/>
      <c r="T34" s="723"/>
      <c r="U34" s="723"/>
      <c r="V34" s="723"/>
      <c r="W34" s="723"/>
      <c r="X34" s="723"/>
      <c r="Y34" s="723"/>
      <c r="Z34" s="723"/>
      <c r="AA34" s="723"/>
      <c r="AB34" s="723"/>
      <c r="AC34" s="723"/>
      <c r="AD34" s="723"/>
      <c r="AE34" s="723"/>
      <c r="AF34" s="723"/>
      <c r="AG34" s="723"/>
      <c r="AH34" s="723"/>
      <c r="AI34" s="723"/>
      <c r="AJ34" s="723"/>
      <c r="AK34" s="724"/>
    </row>
    <row r="35" spans="1:37" ht="10.5" customHeight="1">
      <c r="A35" s="311"/>
      <c r="B35" s="376" t="str">
        <f>B33</f>
        <v>NOMBRE  (Nombre(s) Apellidos Paterno y Materno)</v>
      </c>
      <c r="C35" s="377"/>
      <c r="D35" s="377"/>
      <c r="E35" s="377"/>
      <c r="F35" s="377"/>
      <c r="G35" s="377"/>
      <c r="H35" s="377"/>
      <c r="I35" s="377"/>
      <c r="J35" s="377"/>
      <c r="K35" s="377"/>
      <c r="L35" s="377"/>
      <c r="M35" s="377"/>
      <c r="N35" s="377"/>
      <c r="O35" s="377"/>
      <c r="P35" s="377"/>
      <c r="Q35" s="377"/>
      <c r="R35" s="377"/>
      <c r="S35" s="377"/>
      <c r="T35" s="377"/>
      <c r="U35" s="377"/>
      <c r="V35" s="377"/>
      <c r="W35" s="377"/>
      <c r="X35" s="377"/>
      <c r="Y35" s="377"/>
      <c r="Z35" s="377"/>
      <c r="AA35" s="377"/>
      <c r="AB35" s="377"/>
      <c r="AC35" s="377"/>
      <c r="AD35" s="377"/>
      <c r="AE35" s="377"/>
      <c r="AF35" s="377"/>
      <c r="AG35" s="377"/>
      <c r="AH35" s="377"/>
      <c r="AI35" s="377"/>
      <c r="AJ35" s="377"/>
      <c r="AK35" s="378"/>
    </row>
    <row r="36" spans="1:37" ht="10.5" customHeight="1">
      <c r="A36" s="311"/>
      <c r="B36" s="986">
        <f>AA_036a_DATOS_APODERADOS_ACREDITADO_NOMBRE_APODERADO_DEL_ACREDITADO_TRES</f>
        <v>0</v>
      </c>
      <c r="C36" s="723"/>
      <c r="D36" s="723"/>
      <c r="E36" s="723"/>
      <c r="F36" s="723"/>
      <c r="G36" s="723"/>
      <c r="H36" s="723"/>
      <c r="I36" s="723"/>
      <c r="J36" s="723"/>
      <c r="K36" s="723"/>
      <c r="L36" s="723"/>
      <c r="M36" s="723"/>
      <c r="N36" s="723"/>
      <c r="O36" s="723"/>
      <c r="P36" s="723"/>
      <c r="Q36" s="723"/>
      <c r="R36" s="723"/>
      <c r="S36" s="723"/>
      <c r="T36" s="723"/>
      <c r="U36" s="723"/>
      <c r="V36" s="723"/>
      <c r="W36" s="723"/>
      <c r="X36" s="723"/>
      <c r="Y36" s="723"/>
      <c r="Z36" s="723"/>
      <c r="AA36" s="723"/>
      <c r="AB36" s="723"/>
      <c r="AC36" s="723"/>
      <c r="AD36" s="723"/>
      <c r="AE36" s="723"/>
      <c r="AF36" s="723"/>
      <c r="AG36" s="723"/>
      <c r="AH36" s="723"/>
      <c r="AI36" s="723"/>
      <c r="AJ36" s="723"/>
      <c r="AK36" s="724"/>
    </row>
    <row r="37" spans="1:37" ht="2.25" customHeight="1">
      <c r="A37" s="311"/>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ht="10.199999999999999">
      <c r="A38" s="311"/>
      <c r="B38" s="375" t="s">
        <v>160</v>
      </c>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ht="10.5" customHeight="1">
      <c r="A39" s="311"/>
      <c r="B39" s="376" t="s">
        <v>157</v>
      </c>
      <c r="C39" s="377"/>
      <c r="D39" s="377"/>
      <c r="E39" s="377"/>
      <c r="F39" s="377"/>
      <c r="G39" s="377"/>
      <c r="H39" s="377"/>
      <c r="I39" s="377"/>
      <c r="J39" s="377"/>
      <c r="K39" s="377"/>
      <c r="L39" s="377"/>
      <c r="M39" s="377"/>
      <c r="N39" s="377"/>
      <c r="O39" s="377"/>
      <c r="P39" s="377"/>
      <c r="Q39" s="377"/>
      <c r="R39" s="377"/>
      <c r="S39" s="377"/>
      <c r="T39" s="377"/>
      <c r="U39" s="377"/>
      <c r="V39" s="377"/>
      <c r="W39" s="377"/>
      <c r="X39" s="377"/>
      <c r="Y39" s="377"/>
      <c r="Z39" s="377"/>
      <c r="AA39" s="377"/>
      <c r="AB39" s="377"/>
      <c r="AC39" s="377"/>
      <c r="AD39" s="377"/>
      <c r="AE39" s="377"/>
      <c r="AF39" s="377"/>
      <c r="AG39" s="376" t="s">
        <v>151</v>
      </c>
      <c r="AH39" s="377"/>
      <c r="AI39" s="377"/>
      <c r="AJ39" s="377"/>
      <c r="AK39" s="378"/>
    </row>
    <row r="40" spans="1:37" ht="10.5" customHeight="1">
      <c r="A40" s="311"/>
      <c r="B40" s="986">
        <f>AA_037_DATOS_FIADORES_NOMBRE_DEL_FIADOR_SOLIDARIO_UNO</f>
        <v>0</v>
      </c>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8"/>
      <c r="AG40" s="986">
        <f>AA_038_DATOS_FIADORES_RFC</f>
        <v>0</v>
      </c>
      <c r="AH40" s="723"/>
      <c r="AI40" s="723"/>
      <c r="AJ40" s="723"/>
      <c r="AK40" s="724"/>
    </row>
    <row r="41" spans="1:37" ht="10.5" customHeight="1">
      <c r="A41" s="311"/>
      <c r="B41" s="376" t="s">
        <v>143</v>
      </c>
      <c r="C41" s="377"/>
      <c r="D41" s="377"/>
      <c r="E41" s="377" t="s">
        <v>144</v>
      </c>
      <c r="F41" s="377"/>
      <c r="G41" s="377"/>
      <c r="H41" s="377"/>
      <c r="I41" s="377"/>
      <c r="J41" s="377"/>
      <c r="K41" s="377"/>
      <c r="L41" s="377"/>
      <c r="M41" s="377"/>
      <c r="N41" s="377"/>
      <c r="O41" s="377"/>
      <c r="P41" s="377"/>
      <c r="Q41" s="377"/>
      <c r="R41" s="377"/>
      <c r="S41" s="377"/>
      <c r="T41" s="377"/>
      <c r="U41" s="376" t="s">
        <v>145</v>
      </c>
      <c r="V41" s="377"/>
      <c r="W41" s="377"/>
      <c r="X41" s="377"/>
      <c r="Y41" s="377"/>
      <c r="Z41" s="377"/>
      <c r="AA41" s="377"/>
      <c r="AB41" s="377"/>
      <c r="AC41" s="377"/>
      <c r="AD41" s="377"/>
      <c r="AE41" s="377"/>
      <c r="AF41" s="377"/>
      <c r="AG41" s="377"/>
      <c r="AH41" s="377"/>
      <c r="AI41" s="377"/>
      <c r="AJ41" s="377"/>
      <c r="AK41" s="378"/>
    </row>
    <row r="42" spans="1:37" ht="10.5" customHeight="1">
      <c r="A42" s="311"/>
      <c r="B42" s="986">
        <f>AA_039_DATOS_FIADORES_DOMICILIO_CALLE_NÚMERO</f>
        <v>0</v>
      </c>
      <c r="C42" s="723"/>
      <c r="D42" s="723"/>
      <c r="E42" s="723"/>
      <c r="F42" s="723"/>
      <c r="G42" s="723"/>
      <c r="H42" s="723"/>
      <c r="I42" s="723"/>
      <c r="J42" s="723"/>
      <c r="K42" s="723"/>
      <c r="L42" s="723"/>
      <c r="M42" s="723"/>
      <c r="N42" s="723"/>
      <c r="O42" s="723"/>
      <c r="P42" s="723"/>
      <c r="Q42" s="723"/>
      <c r="R42" s="723"/>
      <c r="S42" s="723"/>
      <c r="T42" s="724"/>
      <c r="U42" s="986">
        <f>AA_040_DATOS_FIADORES_COLONIA</f>
        <v>0</v>
      </c>
      <c r="V42" s="723"/>
      <c r="W42" s="723"/>
      <c r="X42" s="723"/>
      <c r="Y42" s="723"/>
      <c r="Z42" s="723"/>
      <c r="AA42" s="723"/>
      <c r="AB42" s="723"/>
      <c r="AC42" s="723"/>
      <c r="AD42" s="723"/>
      <c r="AE42" s="723"/>
      <c r="AF42" s="723"/>
      <c r="AG42" s="723"/>
      <c r="AH42" s="723"/>
      <c r="AI42" s="723"/>
      <c r="AJ42" s="723"/>
      <c r="AK42" s="724"/>
    </row>
    <row r="43" spans="1:37" ht="10.5" customHeight="1">
      <c r="A43" s="311"/>
      <c r="B43" s="376" t="s">
        <v>146</v>
      </c>
      <c r="C43" s="377"/>
      <c r="D43" s="377"/>
      <c r="E43" s="377"/>
      <c r="F43" s="377"/>
      <c r="G43" s="377"/>
      <c r="H43" s="377"/>
      <c r="I43" s="311"/>
      <c r="J43" s="376" t="s">
        <v>147</v>
      </c>
      <c r="K43" s="311"/>
      <c r="L43" s="311"/>
      <c r="P43" s="377"/>
      <c r="Q43" s="372" t="s">
        <v>152</v>
      </c>
      <c r="S43" s="377"/>
      <c r="T43" s="377"/>
      <c r="V43" s="376" t="s">
        <v>153</v>
      </c>
      <c r="W43" s="377"/>
      <c r="X43" s="377"/>
      <c r="Y43" s="377"/>
      <c r="AA43" s="376" t="s">
        <v>154</v>
      </c>
      <c r="AB43" s="377"/>
      <c r="AC43" s="378"/>
      <c r="AD43" s="372" t="s">
        <v>155</v>
      </c>
      <c r="AE43" s="311"/>
      <c r="AF43" s="311"/>
      <c r="AG43" s="378"/>
      <c r="AH43" s="377" t="s">
        <v>156</v>
      </c>
      <c r="AI43" s="377"/>
      <c r="AJ43" s="377"/>
      <c r="AK43" s="378"/>
    </row>
    <row r="44" spans="1:37" ht="10.5" customHeight="1">
      <c r="A44" s="311"/>
      <c r="B44" s="986">
        <f>AA_041_DATOS_FIADORES_POBLACIÓN</f>
        <v>0</v>
      </c>
      <c r="C44" s="723"/>
      <c r="D44" s="723"/>
      <c r="E44" s="723"/>
      <c r="F44" s="723"/>
      <c r="G44" s="723"/>
      <c r="H44" s="723"/>
      <c r="I44" s="724"/>
      <c r="J44" s="986">
        <f>AA_042_DATOS_FIADORES_ESTADO</f>
        <v>0</v>
      </c>
      <c r="K44" s="723"/>
      <c r="L44" s="723"/>
      <c r="M44" s="723"/>
      <c r="N44" s="723"/>
      <c r="O44" s="723"/>
      <c r="P44" s="724"/>
      <c r="Q44" s="986">
        <f>AA_043_DATOS_FIADORES_NACIONALIDAD</f>
        <v>0</v>
      </c>
      <c r="R44" s="723"/>
      <c r="S44" s="723"/>
      <c r="T44" s="723"/>
      <c r="U44" s="724"/>
      <c r="V44" s="986">
        <f>AA_044_DATOS_FIADORES_ORIGINARIO</f>
        <v>0</v>
      </c>
      <c r="W44" s="723"/>
      <c r="X44" s="723"/>
      <c r="Y44" s="723"/>
      <c r="Z44" s="724"/>
      <c r="AA44" s="1001">
        <f>AA_045_DATOS_FIADORES_EDAD</f>
        <v>0</v>
      </c>
      <c r="AB44" s="1002"/>
      <c r="AC44" s="1003"/>
      <c r="AD44" s="986">
        <f>AA_046_DATOS_FIADORES_ESTADO_CIVIL</f>
        <v>0</v>
      </c>
      <c r="AE44" s="723"/>
      <c r="AF44" s="723"/>
      <c r="AG44" s="724"/>
      <c r="AH44" s="986">
        <f>AA_047_DATOS_FIADORES_TELEFONO</f>
        <v>0</v>
      </c>
      <c r="AI44" s="987"/>
      <c r="AJ44" s="987"/>
      <c r="AK44" s="988"/>
    </row>
    <row r="45" spans="1:37" ht="10.5" customHeight="1">
      <c r="A45" s="311"/>
      <c r="B45" s="376" t="s">
        <v>157</v>
      </c>
      <c r="C45" s="377"/>
      <c r="D45" s="377"/>
      <c r="E45" s="377"/>
      <c r="F45" s="377"/>
      <c r="G45" s="377"/>
      <c r="H45" s="377"/>
      <c r="I45" s="377"/>
      <c r="J45" s="377"/>
      <c r="K45" s="377"/>
      <c r="L45" s="377"/>
      <c r="M45" s="377"/>
      <c r="N45" s="377"/>
      <c r="O45" s="377"/>
      <c r="P45" s="377"/>
      <c r="Q45" s="377"/>
      <c r="R45" s="377"/>
      <c r="S45" s="377"/>
      <c r="T45" s="377"/>
      <c r="U45" s="377"/>
      <c r="V45" s="377"/>
      <c r="W45" s="377"/>
      <c r="X45" s="377"/>
      <c r="Y45" s="377"/>
      <c r="Z45" s="377"/>
      <c r="AA45" s="377"/>
      <c r="AB45" s="377"/>
      <c r="AC45" s="377"/>
      <c r="AD45" s="377"/>
      <c r="AE45" s="377"/>
      <c r="AF45" s="377"/>
      <c r="AG45" s="376" t="s">
        <v>151</v>
      </c>
      <c r="AH45" s="377"/>
      <c r="AI45" s="377"/>
      <c r="AJ45" s="377"/>
      <c r="AK45" s="378"/>
    </row>
    <row r="46" spans="1:37" ht="10.5" customHeight="1">
      <c r="A46" s="311"/>
      <c r="B46" s="986">
        <f>AA_048_DATOS_FIADORES_NOMBRE_DEL_FIADOR_SOLIDARIO_DOS</f>
        <v>0</v>
      </c>
      <c r="C46" s="723"/>
      <c r="D46" s="723"/>
      <c r="E46" s="723"/>
      <c r="F46" s="723"/>
      <c r="G46" s="723"/>
      <c r="H46" s="723"/>
      <c r="I46" s="723"/>
      <c r="J46" s="723"/>
      <c r="K46" s="723"/>
      <c r="L46" s="723"/>
      <c r="M46" s="723"/>
      <c r="N46" s="723"/>
      <c r="O46" s="723"/>
      <c r="P46" s="723"/>
      <c r="Q46" s="723"/>
      <c r="R46" s="723"/>
      <c r="S46" s="723"/>
      <c r="T46" s="723"/>
      <c r="U46" s="723"/>
      <c r="V46" s="723"/>
      <c r="W46" s="723"/>
      <c r="X46" s="723"/>
      <c r="Y46" s="723"/>
      <c r="Z46" s="723"/>
      <c r="AA46" s="723"/>
      <c r="AB46" s="723"/>
      <c r="AC46" s="723"/>
      <c r="AD46" s="723"/>
      <c r="AE46" s="723"/>
      <c r="AF46" s="724"/>
      <c r="AG46" s="986">
        <f>AA_049_DATOS_FIADORES_RFC</f>
        <v>0</v>
      </c>
      <c r="AH46" s="723"/>
      <c r="AI46" s="723"/>
      <c r="AJ46" s="723"/>
      <c r="AK46" s="724"/>
    </row>
    <row r="47" spans="1:37" ht="10.5" customHeight="1">
      <c r="A47" s="311"/>
      <c r="B47" s="376" t="s">
        <v>143</v>
      </c>
      <c r="C47" s="377"/>
      <c r="D47" s="377"/>
      <c r="E47" s="377" t="s">
        <v>144</v>
      </c>
      <c r="F47" s="377"/>
      <c r="G47" s="377"/>
      <c r="H47" s="377"/>
      <c r="I47" s="377"/>
      <c r="J47" s="377"/>
      <c r="K47" s="377"/>
      <c r="L47" s="377"/>
      <c r="M47" s="377"/>
      <c r="N47" s="377"/>
      <c r="O47" s="377"/>
      <c r="P47" s="377"/>
      <c r="Q47" s="377"/>
      <c r="R47" s="377"/>
      <c r="S47" s="377"/>
      <c r="T47" s="377"/>
      <c r="U47" s="376" t="s">
        <v>145</v>
      </c>
      <c r="V47" s="377"/>
      <c r="W47" s="377"/>
      <c r="X47" s="377"/>
      <c r="Y47" s="377"/>
      <c r="Z47" s="377"/>
      <c r="AA47" s="377"/>
      <c r="AB47" s="377"/>
      <c r="AC47" s="377"/>
      <c r="AD47" s="377"/>
      <c r="AE47" s="377"/>
      <c r="AF47" s="377"/>
      <c r="AG47" s="377"/>
      <c r="AH47" s="377"/>
      <c r="AI47" s="377"/>
      <c r="AJ47" s="377"/>
      <c r="AK47" s="378"/>
    </row>
    <row r="48" spans="1:37" ht="10.5" customHeight="1">
      <c r="A48" s="311"/>
      <c r="B48" s="986">
        <f>AA_050_DATOS_FIADORES_DOMICILIO_CALLE_NÚMERO</f>
        <v>0</v>
      </c>
      <c r="C48" s="723"/>
      <c r="D48" s="723"/>
      <c r="E48" s="723"/>
      <c r="F48" s="723"/>
      <c r="G48" s="723"/>
      <c r="H48" s="723"/>
      <c r="I48" s="723"/>
      <c r="J48" s="723"/>
      <c r="K48" s="723"/>
      <c r="L48" s="723"/>
      <c r="M48" s="723"/>
      <c r="N48" s="723"/>
      <c r="O48" s="723"/>
      <c r="P48" s="723"/>
      <c r="Q48" s="723"/>
      <c r="R48" s="723"/>
      <c r="S48" s="723"/>
      <c r="T48" s="724"/>
      <c r="U48" s="986">
        <f>AA_051_DATOS_FIADORES_COLONIA</f>
        <v>0</v>
      </c>
      <c r="V48" s="723"/>
      <c r="W48" s="723"/>
      <c r="X48" s="723"/>
      <c r="Y48" s="723"/>
      <c r="Z48" s="723"/>
      <c r="AA48" s="723"/>
      <c r="AB48" s="723"/>
      <c r="AC48" s="723"/>
      <c r="AD48" s="723"/>
      <c r="AE48" s="723"/>
      <c r="AF48" s="723"/>
      <c r="AG48" s="723"/>
      <c r="AH48" s="723"/>
      <c r="AI48" s="723"/>
      <c r="AJ48" s="723"/>
      <c r="AK48" s="724"/>
    </row>
    <row r="49" spans="1:37" ht="10.5" customHeight="1">
      <c r="A49" s="311"/>
      <c r="B49" s="376" t="s">
        <v>146</v>
      </c>
      <c r="C49" s="377"/>
      <c r="D49" s="377"/>
      <c r="E49" s="377"/>
      <c r="F49" s="377"/>
      <c r="G49" s="377"/>
      <c r="H49" s="377"/>
      <c r="I49" s="311"/>
      <c r="J49" s="376" t="s">
        <v>147</v>
      </c>
      <c r="K49" s="311"/>
      <c r="L49" s="311"/>
      <c r="P49" s="377"/>
      <c r="Q49" s="372" t="s">
        <v>152</v>
      </c>
      <c r="S49" s="377"/>
      <c r="T49" s="377"/>
      <c r="V49" s="376" t="s">
        <v>153</v>
      </c>
      <c r="W49" s="377"/>
      <c r="X49" s="377"/>
      <c r="Y49" s="377"/>
      <c r="AA49" s="376" t="s">
        <v>154</v>
      </c>
      <c r="AB49" s="377"/>
      <c r="AC49" s="378"/>
      <c r="AD49" s="372" t="s">
        <v>155</v>
      </c>
      <c r="AE49" s="311"/>
      <c r="AF49" s="311"/>
      <c r="AG49" s="378"/>
      <c r="AH49" s="377" t="s">
        <v>156</v>
      </c>
      <c r="AI49" s="377"/>
      <c r="AJ49" s="377"/>
      <c r="AK49" s="378"/>
    </row>
    <row r="50" spans="1:37" ht="10.5" customHeight="1">
      <c r="A50" s="311"/>
      <c r="B50" s="986">
        <f>AA_052_DATOS_FIADORES_POBLACIÓN</f>
        <v>0</v>
      </c>
      <c r="C50" s="723"/>
      <c r="D50" s="723"/>
      <c r="E50" s="723"/>
      <c r="F50" s="723"/>
      <c r="G50" s="723"/>
      <c r="H50" s="723"/>
      <c r="I50" s="724"/>
      <c r="J50" s="986">
        <f>AA_053_DATOS_FIADORES_ESTADO</f>
        <v>0</v>
      </c>
      <c r="K50" s="723"/>
      <c r="L50" s="723"/>
      <c r="M50" s="723"/>
      <c r="N50" s="723"/>
      <c r="O50" s="723"/>
      <c r="P50" s="724"/>
      <c r="Q50" s="986">
        <f>AA_054_DATOS_FIADORES_NACIONALIDAD</f>
        <v>0</v>
      </c>
      <c r="R50" s="723"/>
      <c r="S50" s="723"/>
      <c r="T50" s="723"/>
      <c r="U50" s="724"/>
      <c r="V50" s="986">
        <f>AA_055_DATOS_FIADORES_ORIGINARIO</f>
        <v>0</v>
      </c>
      <c r="W50" s="723"/>
      <c r="X50" s="723"/>
      <c r="Y50" s="723"/>
      <c r="Z50" s="724"/>
      <c r="AA50" s="1001">
        <f>AA_056_DATOS_FIADORES_EDAD</f>
        <v>0</v>
      </c>
      <c r="AB50" s="1002"/>
      <c r="AC50" s="1003"/>
      <c r="AD50" s="986">
        <f>AA_057_DATOS_FIADORES_ESTADO_CIVIL</f>
        <v>0</v>
      </c>
      <c r="AE50" s="723"/>
      <c r="AF50" s="723"/>
      <c r="AG50" s="724"/>
      <c r="AH50" s="986">
        <f>AA_058_DATOS_FIADORES_TELEFONO</f>
        <v>0</v>
      </c>
      <c r="AI50" s="987"/>
      <c r="AJ50" s="987"/>
      <c r="AK50" s="988"/>
    </row>
    <row r="51" spans="1:37" ht="10.5" customHeight="1">
      <c r="A51" s="311"/>
      <c r="B51" s="376" t="s">
        <v>157</v>
      </c>
      <c r="C51" s="377"/>
      <c r="D51" s="377"/>
      <c r="E51" s="377"/>
      <c r="F51" s="377"/>
      <c r="G51" s="377"/>
      <c r="H51" s="377"/>
      <c r="I51" s="377"/>
      <c r="J51" s="377"/>
      <c r="K51" s="377"/>
      <c r="L51" s="377"/>
      <c r="M51" s="377"/>
      <c r="N51" s="377"/>
      <c r="O51" s="377"/>
      <c r="P51" s="377"/>
      <c r="Q51" s="377"/>
      <c r="R51" s="377"/>
      <c r="S51" s="377"/>
      <c r="T51" s="377"/>
      <c r="U51" s="377"/>
      <c r="V51" s="377"/>
      <c r="W51" s="377"/>
      <c r="X51" s="377"/>
      <c r="Y51" s="377"/>
      <c r="Z51" s="377"/>
      <c r="AA51" s="377"/>
      <c r="AB51" s="377"/>
      <c r="AC51" s="377"/>
      <c r="AD51" s="377"/>
      <c r="AE51" s="377"/>
      <c r="AF51" s="377"/>
      <c r="AG51" s="376" t="s">
        <v>151</v>
      </c>
      <c r="AH51" s="377"/>
      <c r="AI51" s="377"/>
      <c r="AJ51" s="377"/>
      <c r="AK51" s="378"/>
    </row>
    <row r="52" spans="1:37" ht="10.5" customHeight="1">
      <c r="A52" s="311"/>
      <c r="B52" s="986">
        <f>AA_059_DATOS_FIADORES_NOMBRE_DEL_FIADOR_SOLIDARIO_TRES</f>
        <v>0</v>
      </c>
      <c r="C52" s="723"/>
      <c r="D52" s="723"/>
      <c r="E52" s="723"/>
      <c r="F52" s="723"/>
      <c r="G52" s="723"/>
      <c r="H52" s="723"/>
      <c r="I52" s="723"/>
      <c r="J52" s="723"/>
      <c r="K52" s="723"/>
      <c r="L52" s="723"/>
      <c r="M52" s="723"/>
      <c r="N52" s="723"/>
      <c r="O52" s="723"/>
      <c r="P52" s="723"/>
      <c r="Q52" s="723"/>
      <c r="R52" s="723"/>
      <c r="S52" s="723"/>
      <c r="T52" s="723"/>
      <c r="U52" s="723"/>
      <c r="V52" s="723"/>
      <c r="W52" s="723"/>
      <c r="X52" s="723"/>
      <c r="Y52" s="723"/>
      <c r="Z52" s="723"/>
      <c r="AA52" s="723"/>
      <c r="AB52" s="723"/>
      <c r="AC52" s="723"/>
      <c r="AD52" s="723"/>
      <c r="AE52" s="723"/>
      <c r="AF52" s="724"/>
      <c r="AG52" s="986">
        <f>AA_060_DATOS_FIADORES_RFC</f>
        <v>0</v>
      </c>
      <c r="AH52" s="723"/>
      <c r="AI52" s="723"/>
      <c r="AJ52" s="723"/>
      <c r="AK52" s="724"/>
    </row>
    <row r="53" spans="1:37" ht="10.5" customHeight="1">
      <c r="A53" s="311"/>
      <c r="B53" s="376" t="s">
        <v>143</v>
      </c>
      <c r="C53" s="377"/>
      <c r="D53" s="377"/>
      <c r="E53" s="377" t="s">
        <v>144</v>
      </c>
      <c r="F53" s="377"/>
      <c r="G53" s="377"/>
      <c r="H53" s="377"/>
      <c r="I53" s="377"/>
      <c r="J53" s="377"/>
      <c r="K53" s="377"/>
      <c r="L53" s="377"/>
      <c r="M53" s="377"/>
      <c r="N53" s="377"/>
      <c r="O53" s="377"/>
      <c r="P53" s="377"/>
      <c r="Q53" s="377"/>
      <c r="R53" s="377"/>
      <c r="S53" s="377"/>
      <c r="T53" s="378"/>
      <c r="U53" s="376" t="s">
        <v>145</v>
      </c>
      <c r="V53" s="377"/>
      <c r="W53" s="377"/>
      <c r="X53" s="377"/>
      <c r="Y53" s="377"/>
      <c r="Z53" s="377"/>
      <c r="AA53" s="377"/>
      <c r="AB53" s="377"/>
      <c r="AC53" s="377"/>
      <c r="AD53" s="377"/>
      <c r="AE53" s="377"/>
      <c r="AF53" s="377"/>
      <c r="AG53" s="377"/>
      <c r="AH53" s="377"/>
      <c r="AI53" s="377"/>
      <c r="AJ53" s="377"/>
      <c r="AK53" s="378"/>
    </row>
    <row r="54" spans="1:37" ht="10.5" customHeight="1">
      <c r="A54" s="311"/>
      <c r="B54" s="986">
        <f>AA_061_DATOS_FIADORES_DOMICILIO_CALLE_NÚMERO</f>
        <v>0</v>
      </c>
      <c r="C54" s="723"/>
      <c r="D54" s="723"/>
      <c r="E54" s="723"/>
      <c r="F54" s="723"/>
      <c r="G54" s="723"/>
      <c r="H54" s="723"/>
      <c r="I54" s="723"/>
      <c r="J54" s="723"/>
      <c r="K54" s="723"/>
      <c r="L54" s="723"/>
      <c r="M54" s="723"/>
      <c r="N54" s="723"/>
      <c r="O54" s="723"/>
      <c r="P54" s="723"/>
      <c r="Q54" s="723"/>
      <c r="R54" s="723"/>
      <c r="S54" s="723"/>
      <c r="T54" s="724"/>
      <c r="U54" s="986">
        <f>AA_062_DATOS_FIADORES_COLONIA</f>
        <v>0</v>
      </c>
      <c r="V54" s="723"/>
      <c r="W54" s="723"/>
      <c r="X54" s="723"/>
      <c r="Y54" s="723"/>
      <c r="Z54" s="723"/>
      <c r="AA54" s="723"/>
      <c r="AB54" s="723"/>
      <c r="AC54" s="723"/>
      <c r="AD54" s="723"/>
      <c r="AE54" s="723"/>
      <c r="AF54" s="723"/>
      <c r="AG54" s="723"/>
      <c r="AH54" s="723"/>
      <c r="AI54" s="723"/>
      <c r="AJ54" s="723"/>
      <c r="AK54" s="724"/>
    </row>
    <row r="55" spans="1:37" ht="10.5" customHeight="1">
      <c r="A55" s="311"/>
      <c r="B55" s="376" t="s">
        <v>146</v>
      </c>
      <c r="C55" s="377"/>
      <c r="D55" s="377"/>
      <c r="E55" s="377"/>
      <c r="F55" s="377"/>
      <c r="G55" s="377"/>
      <c r="H55" s="377"/>
      <c r="I55" s="311"/>
      <c r="J55" s="376" t="s">
        <v>147</v>
      </c>
      <c r="K55" s="311"/>
      <c r="L55" s="311"/>
      <c r="P55" s="311"/>
      <c r="Q55" s="372" t="s">
        <v>152</v>
      </c>
      <c r="S55" s="311"/>
      <c r="T55" s="311"/>
      <c r="V55" s="376" t="s">
        <v>153</v>
      </c>
      <c r="W55" s="377"/>
      <c r="X55" s="377"/>
      <c r="Y55" s="377"/>
      <c r="AA55" s="376" t="s">
        <v>154</v>
      </c>
      <c r="AB55" s="377"/>
      <c r="AC55" s="378"/>
      <c r="AD55" s="372" t="s">
        <v>155</v>
      </c>
      <c r="AE55" s="311"/>
      <c r="AF55" s="311"/>
      <c r="AG55" s="378"/>
      <c r="AH55" s="377" t="s">
        <v>156</v>
      </c>
      <c r="AI55" s="377"/>
      <c r="AJ55" s="377"/>
      <c r="AK55" s="378"/>
    </row>
    <row r="56" spans="1:37" ht="10.5" customHeight="1">
      <c r="A56" s="311"/>
      <c r="B56" s="986">
        <f>AA_063_DATOS_FIADORES_POBLACIÓN</f>
        <v>0</v>
      </c>
      <c r="C56" s="723"/>
      <c r="D56" s="723"/>
      <c r="E56" s="723"/>
      <c r="F56" s="723"/>
      <c r="G56" s="723"/>
      <c r="H56" s="723"/>
      <c r="I56" s="724"/>
      <c r="J56" s="986">
        <f>AA_064_DATOS_FIADORES_ESTADO</f>
        <v>0</v>
      </c>
      <c r="K56" s="723"/>
      <c r="L56" s="723"/>
      <c r="M56" s="723"/>
      <c r="N56" s="723"/>
      <c r="O56" s="723"/>
      <c r="P56" s="724"/>
      <c r="Q56" s="986">
        <f>AA_065_DATOS_FIADORES_NACIONALIDAD</f>
        <v>0</v>
      </c>
      <c r="R56" s="723"/>
      <c r="S56" s="723"/>
      <c r="T56" s="723"/>
      <c r="U56" s="724"/>
      <c r="V56" s="986">
        <f>AA_066_DATOS_FIADORES_ORIGINARIO</f>
        <v>0</v>
      </c>
      <c r="W56" s="723"/>
      <c r="X56" s="723"/>
      <c r="Y56" s="723"/>
      <c r="Z56" s="724"/>
      <c r="AA56" s="1001">
        <f>AA_067_DATOS_FIADORES_EDAD</f>
        <v>0</v>
      </c>
      <c r="AB56" s="1002"/>
      <c r="AC56" s="1003"/>
      <c r="AD56" s="986">
        <f>AA_068_DATOS_FIADORES_ESTADO_CIVIL</f>
        <v>0</v>
      </c>
      <c r="AE56" s="723"/>
      <c r="AF56" s="723"/>
      <c r="AG56" s="724"/>
      <c r="AH56" s="986">
        <f>AA_069_DATOS_FIADORES_TELEFONO</f>
        <v>0</v>
      </c>
      <c r="AI56" s="987"/>
      <c r="AJ56" s="987"/>
      <c r="AK56" s="988"/>
    </row>
    <row r="57" spans="1:37" ht="2.25" customHeight="1">
      <c r="B57" s="311"/>
      <c r="C57" s="311"/>
      <c r="D57" s="311"/>
      <c r="E57" s="311"/>
      <c r="F57" s="311"/>
      <c r="G57" s="311"/>
      <c r="H57" s="311"/>
      <c r="I57" s="311"/>
      <c r="J57" s="311"/>
      <c r="K57" s="311"/>
      <c r="L57" s="311"/>
      <c r="M57" s="311"/>
      <c r="N57" s="311"/>
      <c r="O57" s="311"/>
      <c r="P57" s="311"/>
      <c r="Q57" s="311"/>
      <c r="R57" s="311"/>
      <c r="S57" s="311"/>
      <c r="T57" s="311"/>
      <c r="U57" s="311"/>
      <c r="V57" s="311"/>
      <c r="W57" s="311"/>
      <c r="X57" s="311"/>
      <c r="Y57" s="311"/>
      <c r="Z57" s="311"/>
      <c r="AA57" s="311"/>
      <c r="AB57" s="311"/>
      <c r="AC57" s="311"/>
      <c r="AD57" s="311"/>
      <c r="AE57" s="311"/>
      <c r="AF57" s="311"/>
      <c r="AG57" s="311"/>
      <c r="AH57" s="311"/>
      <c r="AI57" s="311"/>
      <c r="AJ57" s="311"/>
      <c r="AK57" s="311"/>
    </row>
    <row r="58" spans="1:37" ht="10.199999999999999">
      <c r="B58" s="375" t="s">
        <v>161</v>
      </c>
      <c r="C58" s="311"/>
      <c r="D58" s="311"/>
      <c r="E58" s="311"/>
      <c r="F58" s="311"/>
      <c r="G58" s="311"/>
      <c r="H58" s="311"/>
      <c r="I58" s="311"/>
      <c r="J58" s="311"/>
      <c r="K58" s="311"/>
      <c r="L58" s="311"/>
      <c r="M58" s="311"/>
      <c r="N58" s="311"/>
      <c r="O58" s="311"/>
      <c r="P58" s="311"/>
      <c r="Q58" s="311"/>
      <c r="R58" s="311"/>
      <c r="S58" s="311"/>
      <c r="T58" s="311"/>
      <c r="U58" s="311"/>
      <c r="V58" s="311"/>
      <c r="W58" s="311"/>
      <c r="X58" s="311"/>
      <c r="Y58" s="311"/>
      <c r="Z58" s="311"/>
      <c r="AA58" s="311"/>
      <c r="AB58" s="311"/>
      <c r="AC58" s="311"/>
      <c r="AD58" s="311"/>
      <c r="AE58" s="311"/>
      <c r="AF58" s="311"/>
      <c r="AG58" s="311"/>
      <c r="AH58" s="311"/>
      <c r="AI58" s="311"/>
      <c r="AJ58" s="311"/>
      <c r="AK58" s="311"/>
    </row>
    <row r="59" spans="1:37" ht="10.5" customHeight="1">
      <c r="A59" s="311"/>
      <c r="B59" s="376" t="str">
        <f>B31</f>
        <v>NOMBRE  (Nombre(s) Apellidos Paterno y Materno)</v>
      </c>
      <c r="C59" s="377"/>
      <c r="D59" s="377"/>
      <c r="E59" s="377"/>
      <c r="F59" s="377"/>
      <c r="G59" s="377"/>
      <c r="H59" s="377"/>
      <c r="I59" s="377"/>
      <c r="J59" s="377"/>
      <c r="K59" s="377"/>
      <c r="L59" s="377"/>
      <c r="M59" s="377"/>
      <c r="N59" s="377"/>
      <c r="O59" s="377"/>
      <c r="P59" s="377"/>
      <c r="Q59" s="377"/>
      <c r="R59" s="377"/>
      <c r="S59" s="377"/>
      <c r="T59" s="377"/>
      <c r="U59" s="377"/>
      <c r="V59" s="377"/>
      <c r="W59" s="377"/>
      <c r="X59" s="377"/>
      <c r="Y59" s="377"/>
      <c r="Z59" s="377"/>
      <c r="AA59" s="377"/>
      <c r="AB59" s="377"/>
      <c r="AC59" s="377"/>
      <c r="AD59" s="377"/>
      <c r="AE59" s="377"/>
      <c r="AF59" s="377"/>
      <c r="AG59" s="377"/>
      <c r="AH59" s="377"/>
      <c r="AI59" s="377"/>
      <c r="AJ59" s="377"/>
      <c r="AK59" s="378"/>
    </row>
    <row r="60" spans="1:37" ht="10.5" customHeight="1">
      <c r="A60" s="311"/>
      <c r="B60" s="986">
        <f>AA_070_DATOS_APODERADOS_FIADOR_NOMBRE_APODERADO_DEL_FIADOR_SOLIDARIO_UNO</f>
        <v>0</v>
      </c>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987"/>
      <c r="AK60" s="988"/>
    </row>
    <row r="61" spans="1:37" ht="10.5" customHeight="1">
      <c r="A61" s="311"/>
      <c r="B61" s="376" t="str">
        <f>B59</f>
        <v>NOMBRE  (Nombre(s) Apellidos Paterno y Materno)</v>
      </c>
      <c r="C61" s="377"/>
      <c r="D61" s="377"/>
      <c r="E61" s="377"/>
      <c r="F61" s="377"/>
      <c r="G61" s="377"/>
      <c r="H61" s="377"/>
      <c r="I61" s="377"/>
      <c r="J61" s="377"/>
      <c r="K61" s="377"/>
      <c r="L61" s="377"/>
      <c r="M61" s="377"/>
      <c r="N61" s="377"/>
      <c r="O61" s="377"/>
      <c r="P61" s="377"/>
      <c r="Q61" s="377"/>
      <c r="R61" s="377"/>
      <c r="S61" s="377"/>
      <c r="T61" s="377"/>
      <c r="U61" s="377"/>
      <c r="V61" s="377"/>
      <c r="W61" s="377"/>
      <c r="X61" s="377"/>
      <c r="Y61" s="377"/>
      <c r="Z61" s="377"/>
      <c r="AA61" s="377"/>
      <c r="AB61" s="377"/>
      <c r="AC61" s="377"/>
      <c r="AD61" s="377"/>
      <c r="AE61" s="377"/>
      <c r="AF61" s="377"/>
      <c r="AG61" s="377"/>
      <c r="AH61" s="377"/>
      <c r="AI61" s="377"/>
      <c r="AJ61" s="377"/>
      <c r="AK61" s="378"/>
    </row>
    <row r="62" spans="1:37" ht="10.5" customHeight="1">
      <c r="A62" s="311"/>
      <c r="B62" s="986">
        <f>AA_071_DATOS_APODERADOS_FIADOR_NOMBRE_APODERADO_DEL_FIADOR_SOLIDARIO_DOS</f>
        <v>0</v>
      </c>
      <c r="C62" s="723"/>
      <c r="D62" s="723"/>
      <c r="E62" s="723"/>
      <c r="F62" s="723"/>
      <c r="G62" s="723"/>
      <c r="H62" s="723"/>
      <c r="I62" s="723"/>
      <c r="J62" s="723"/>
      <c r="K62" s="723"/>
      <c r="L62" s="723"/>
      <c r="M62" s="723"/>
      <c r="N62" s="723"/>
      <c r="O62" s="723"/>
      <c r="P62" s="723"/>
      <c r="Q62" s="723"/>
      <c r="R62" s="723"/>
      <c r="S62" s="723"/>
      <c r="T62" s="723"/>
      <c r="U62" s="723"/>
      <c r="V62" s="723"/>
      <c r="W62" s="723"/>
      <c r="X62" s="723"/>
      <c r="Y62" s="723"/>
      <c r="Z62" s="723"/>
      <c r="AA62" s="723"/>
      <c r="AB62" s="723"/>
      <c r="AC62" s="723"/>
      <c r="AD62" s="723"/>
      <c r="AE62" s="723"/>
      <c r="AF62" s="723"/>
      <c r="AG62" s="723"/>
      <c r="AH62" s="723"/>
      <c r="AI62" s="723"/>
      <c r="AJ62" s="723"/>
      <c r="AK62" s="724"/>
    </row>
    <row r="63" spans="1:37" ht="10.5" customHeight="1">
      <c r="A63" s="311"/>
      <c r="B63" s="376" t="str">
        <f>B61</f>
        <v>NOMBRE  (Nombre(s) Apellidos Paterno y Materno)</v>
      </c>
      <c r="C63" s="377"/>
      <c r="D63" s="377"/>
      <c r="E63" s="377"/>
      <c r="F63" s="377"/>
      <c r="G63" s="377"/>
      <c r="H63" s="377"/>
      <c r="I63" s="377"/>
      <c r="J63" s="377"/>
      <c r="K63" s="377"/>
      <c r="L63" s="377"/>
      <c r="M63" s="377"/>
      <c r="N63" s="377"/>
      <c r="O63" s="377"/>
      <c r="P63" s="377"/>
      <c r="Q63" s="377"/>
      <c r="R63" s="377"/>
      <c r="S63" s="377"/>
      <c r="T63" s="377"/>
      <c r="U63" s="377"/>
      <c r="V63" s="377"/>
      <c r="W63" s="377"/>
      <c r="X63" s="377"/>
      <c r="Y63" s="377"/>
      <c r="Z63" s="377"/>
      <c r="AA63" s="377"/>
      <c r="AB63" s="377"/>
      <c r="AC63" s="377"/>
      <c r="AD63" s="377"/>
      <c r="AE63" s="377"/>
      <c r="AF63" s="377"/>
      <c r="AG63" s="377"/>
      <c r="AH63" s="377"/>
      <c r="AI63" s="377"/>
      <c r="AJ63" s="377"/>
      <c r="AK63" s="378"/>
    </row>
    <row r="64" spans="1:37" ht="10.5" customHeight="1">
      <c r="A64" s="311"/>
      <c r="B64" s="986">
        <f>AA_072_DATOS_APODERADOS_FIADOR_NOMBRE_APODERADO_DEL_FIADOR_SOLIDARIO_TRES</f>
        <v>0</v>
      </c>
      <c r="C64" s="723"/>
      <c r="D64" s="723"/>
      <c r="E64" s="723"/>
      <c r="F64" s="723"/>
      <c r="G64" s="723"/>
      <c r="H64" s="723"/>
      <c r="I64" s="723"/>
      <c r="J64" s="723"/>
      <c r="K64" s="723"/>
      <c r="L64" s="723"/>
      <c r="M64" s="723"/>
      <c r="N64" s="723"/>
      <c r="O64" s="723"/>
      <c r="P64" s="723"/>
      <c r="Q64" s="723"/>
      <c r="R64" s="723"/>
      <c r="S64" s="723"/>
      <c r="T64" s="723"/>
      <c r="U64" s="723"/>
      <c r="V64" s="723"/>
      <c r="W64" s="723"/>
      <c r="X64" s="723"/>
      <c r="Y64" s="723"/>
      <c r="Z64" s="723"/>
      <c r="AA64" s="723"/>
      <c r="AB64" s="723"/>
      <c r="AC64" s="723"/>
      <c r="AD64" s="723"/>
      <c r="AE64" s="723"/>
      <c r="AF64" s="723"/>
      <c r="AG64" s="723"/>
      <c r="AH64" s="723"/>
      <c r="AI64" s="723"/>
      <c r="AJ64" s="723"/>
      <c r="AK64" s="724"/>
    </row>
    <row r="65" spans="2:39" ht="2.25" customHeight="1">
      <c r="B65" s="311"/>
      <c r="C65" s="311"/>
      <c r="D65" s="311"/>
      <c r="E65" s="311"/>
      <c r="F65" s="311"/>
      <c r="G65" s="311"/>
      <c r="H65" s="311"/>
      <c r="I65" s="311"/>
      <c r="J65" s="311"/>
      <c r="K65" s="311"/>
      <c r="L65" s="311"/>
      <c r="M65" s="311"/>
      <c r="N65" s="311"/>
      <c r="O65" s="311"/>
      <c r="P65" s="311"/>
      <c r="Q65" s="311"/>
      <c r="R65" s="311"/>
      <c r="S65" s="311"/>
      <c r="T65" s="311"/>
      <c r="U65" s="311"/>
      <c r="V65" s="311"/>
      <c r="W65" s="311"/>
      <c r="X65" s="311"/>
      <c r="Y65" s="311"/>
      <c r="Z65" s="311"/>
      <c r="AA65" s="311"/>
      <c r="AB65" s="311"/>
      <c r="AC65" s="311"/>
      <c r="AD65" s="311"/>
      <c r="AE65" s="311"/>
      <c r="AF65" s="311"/>
      <c r="AG65" s="311"/>
      <c r="AH65" s="311"/>
      <c r="AI65" s="311"/>
      <c r="AJ65" s="311"/>
      <c r="AK65" s="311"/>
    </row>
    <row r="66" spans="2:39" ht="10.199999999999999">
      <c r="B66" s="375" t="s">
        <v>162</v>
      </c>
      <c r="C66" s="311"/>
      <c r="D66" s="311"/>
      <c r="E66" s="311"/>
      <c r="F66" s="311"/>
      <c r="G66" s="311"/>
      <c r="H66" s="311"/>
      <c r="I66" s="311"/>
      <c r="J66" s="311"/>
      <c r="K66" s="311"/>
      <c r="L66" s="311"/>
      <c r="M66" s="311"/>
      <c r="N66" s="311"/>
      <c r="O66" s="311"/>
      <c r="P66" s="311"/>
      <c r="Q66" s="311"/>
      <c r="R66" s="311"/>
      <c r="S66" s="311"/>
      <c r="T66" s="311"/>
      <c r="U66" s="311"/>
      <c r="V66" s="311"/>
      <c r="W66" s="311"/>
      <c r="X66" s="311"/>
      <c r="Y66" s="311"/>
      <c r="Z66" s="311"/>
      <c r="AA66" s="311"/>
      <c r="AB66" s="311"/>
      <c r="AC66" s="311"/>
      <c r="AD66" s="311"/>
      <c r="AE66" s="311"/>
      <c r="AF66" s="311"/>
      <c r="AG66" s="311"/>
      <c r="AH66" s="311"/>
      <c r="AI66" s="311"/>
      <c r="AJ66" s="311"/>
      <c r="AK66" s="311"/>
    </row>
    <row r="67" spans="2:39" ht="10.5" customHeight="1">
      <c r="B67" s="376" t="s">
        <v>163</v>
      </c>
      <c r="C67" s="377"/>
      <c r="D67" s="377"/>
      <c r="E67" s="377"/>
      <c r="F67" s="377"/>
      <c r="G67" s="377"/>
      <c r="H67" s="377"/>
      <c r="I67" s="377"/>
      <c r="J67" s="377"/>
      <c r="K67" s="377"/>
      <c r="L67" s="377"/>
      <c r="M67" s="377"/>
      <c r="N67" s="377"/>
      <c r="O67" s="377"/>
      <c r="P67" s="377"/>
      <c r="Q67" s="377"/>
      <c r="R67" s="377"/>
      <c r="S67" s="377"/>
      <c r="T67" s="377"/>
      <c r="U67" s="377"/>
      <c r="V67" s="377"/>
      <c r="W67" s="377"/>
      <c r="X67" s="377"/>
      <c r="Y67" s="377"/>
      <c r="Z67" s="377"/>
      <c r="AA67" s="377"/>
      <c r="AB67" s="377"/>
      <c r="AC67" s="377"/>
      <c r="AD67" s="377"/>
      <c r="AE67" s="377"/>
      <c r="AF67" s="377"/>
      <c r="AG67" s="377"/>
      <c r="AH67" s="377"/>
      <c r="AI67" s="377"/>
      <c r="AJ67" s="377"/>
      <c r="AK67" s="379"/>
    </row>
    <row r="68" spans="2:39" s="332" customFormat="1" ht="10.5" customHeight="1">
      <c r="B68" s="679">
        <f>AA_073_CARACTERISTICAS_CREDITO_IMPORTE_NÚMERO_LETRA</f>
        <v>1000000</v>
      </c>
      <c r="C68" s="680"/>
      <c r="D68" s="680"/>
      <c r="E68" s="680"/>
      <c r="F68" s="680"/>
      <c r="G68" s="680"/>
      <c r="H68" s="680"/>
      <c r="I68" s="680"/>
      <c r="J68" s="680"/>
      <c r="K68" s="680"/>
      <c r="L68" s="680"/>
      <c r="M68" s="681" t="str">
        <f>AA_106_CARACTERISTICAS_CREDITO_IMPORTE_NÚMERO_LETRA</f>
        <v>(UN MILLON DE PESOS 00/100 M.N.)</v>
      </c>
      <c r="N68" s="681"/>
      <c r="O68" s="681"/>
      <c r="P68" s="681"/>
      <c r="Q68" s="681"/>
      <c r="R68" s="681"/>
      <c r="S68" s="681"/>
      <c r="T68" s="681"/>
      <c r="U68" s="681"/>
      <c r="V68" s="681"/>
      <c r="W68" s="681"/>
      <c r="X68" s="681"/>
      <c r="Y68" s="681"/>
      <c r="Z68" s="681"/>
      <c r="AA68" s="681"/>
      <c r="AB68" s="681"/>
      <c r="AC68" s="681"/>
      <c r="AD68" s="681"/>
      <c r="AE68" s="681"/>
      <c r="AF68" s="681"/>
      <c r="AG68" s="681"/>
      <c r="AH68" s="681"/>
      <c r="AI68" s="681"/>
      <c r="AJ68" s="681"/>
      <c r="AK68" s="682"/>
    </row>
    <row r="69" spans="2:39" ht="10.5" customHeight="1">
      <c r="B69" s="989" t="s">
        <v>164</v>
      </c>
      <c r="C69" s="990"/>
      <c r="D69" s="990"/>
      <c r="E69" s="991"/>
      <c r="F69" s="1004" t="s">
        <v>165</v>
      </c>
      <c r="G69" s="1005"/>
      <c r="H69" s="1005"/>
      <c r="I69" s="1005"/>
      <c r="J69" s="1005"/>
      <c r="K69" s="1005"/>
      <c r="L69" s="1006" t="s">
        <v>166</v>
      </c>
      <c r="M69" s="1007"/>
      <c r="N69" s="1007"/>
      <c r="O69" s="1008"/>
      <c r="P69" s="1004" t="s">
        <v>288</v>
      </c>
      <c r="Q69" s="1005"/>
      <c r="R69" s="1005"/>
      <c r="S69" s="1015"/>
      <c r="T69" s="1004" t="s">
        <v>289</v>
      </c>
      <c r="U69" s="1005"/>
      <c r="V69" s="1005"/>
      <c r="W69" s="1015"/>
      <c r="X69" s="1021" t="s">
        <v>661</v>
      </c>
      <c r="Y69" s="1022"/>
      <c r="Z69" s="1022"/>
      <c r="AA69" s="1022"/>
      <c r="AB69" s="1022"/>
      <c r="AC69" s="1023"/>
      <c r="AD69" s="1004" t="s">
        <v>291</v>
      </c>
      <c r="AE69" s="1005"/>
      <c r="AF69" s="1005"/>
      <c r="AG69" s="1016"/>
      <c r="AH69" s="764" t="s">
        <v>168</v>
      </c>
      <c r="AI69" s="765"/>
      <c r="AJ69" s="765"/>
      <c r="AK69" s="766"/>
      <c r="AL69" s="380"/>
      <c r="AM69" s="380"/>
    </row>
    <row r="70" spans="2:39" ht="10.5" customHeight="1">
      <c r="B70" s="992"/>
      <c r="C70" s="993"/>
      <c r="D70" s="993"/>
      <c r="E70" s="994"/>
      <c r="F70" s="1012" t="s">
        <v>169</v>
      </c>
      <c r="G70" s="1013"/>
      <c r="H70" s="1013"/>
      <c r="I70" s="1013"/>
      <c r="J70" s="1013"/>
      <c r="K70" s="1014"/>
      <c r="L70" s="1009"/>
      <c r="M70" s="1010"/>
      <c r="N70" s="1010"/>
      <c r="O70" s="1011"/>
      <c r="P70" s="1012" t="s">
        <v>292</v>
      </c>
      <c r="Q70" s="1013"/>
      <c r="R70" s="1013"/>
      <c r="S70" s="1014"/>
      <c r="T70" s="1012" t="s">
        <v>430</v>
      </c>
      <c r="U70" s="1013"/>
      <c r="V70" s="1013"/>
      <c r="W70" s="1014"/>
      <c r="X70" s="1024"/>
      <c r="Y70" s="1025"/>
      <c r="Z70" s="1025"/>
      <c r="AA70" s="1025"/>
      <c r="AB70" s="1025"/>
      <c r="AC70" s="1026"/>
      <c r="AD70" s="1012" t="s">
        <v>295</v>
      </c>
      <c r="AE70" s="1013"/>
      <c r="AF70" s="1013"/>
      <c r="AG70" s="1017"/>
      <c r="AH70" s="783">
        <f>AA_078_CARACTERISTICAS_CREDITO_CAT_SIN_IVA</f>
        <v>0.17247098775006298</v>
      </c>
      <c r="AI70" s="644"/>
      <c r="AJ70" s="481"/>
      <c r="AK70" s="483"/>
      <c r="AL70" s="380"/>
      <c r="AM70" s="380"/>
    </row>
    <row r="71" spans="2:39" ht="9" customHeight="1">
      <c r="B71" s="979">
        <f>AA_074_CARACTERISTICAS_CREDITO_PLAZO_DEL_CRÉDITO_MESES</f>
        <v>60</v>
      </c>
      <c r="C71" s="980"/>
      <c r="D71" s="381" t="s">
        <v>170</v>
      </c>
      <c r="E71" s="382"/>
      <c r="F71" s="981">
        <f>AA_075_CARACTERISTICAS_CREDITO_FECHA_DE_VENCIMIENTO</f>
        <v>42614</v>
      </c>
      <c r="G71" s="982"/>
      <c r="H71" s="982"/>
      <c r="I71" s="982"/>
      <c r="J71" s="982"/>
      <c r="K71" s="983"/>
      <c r="L71" s="984" t="str">
        <f>AA_076_CARACTERISTICAS_CREDITO_CUENTA_DE_CHEQUES</f>
        <v>161-25351-5</v>
      </c>
      <c r="M71" s="982"/>
      <c r="N71" s="982"/>
      <c r="O71" s="983"/>
      <c r="P71" s="1036">
        <f>IF(AA_077_CARACTERISTICAS_CREDITO_COMISIÓN_POR_APERTURA=0,"0",AA_077_CARACTERISTICAS_CREDITO_COMISIÓN_POR_APERTURA)</f>
        <v>0.02</v>
      </c>
      <c r="Q71" s="1037"/>
      <c r="R71" s="1037"/>
      <c r="S71" s="1053"/>
      <c r="T71" s="985" t="str">
        <f>IF(Combos!$C$22=1,"",IF(AA_080_CARACTERISTICAS_CREDITO_DIFERENCIAL_TASA_VARIABLE_TIIE=0,"0",AA_080_CARACTERISTICAS_CREDITO_DIFERENCIAL_TASA_VARIABLE_TIIE))</f>
        <v/>
      </c>
      <c r="U71" s="982"/>
      <c r="V71" s="982"/>
      <c r="W71" s="983"/>
      <c r="X71" s="1027"/>
      <c r="Y71" s="1028"/>
      <c r="Z71" s="1028"/>
      <c r="AA71" s="1028"/>
      <c r="AB71" s="1028"/>
      <c r="AC71" s="1029"/>
      <c r="AD71" s="1036">
        <f>IF(AA_084_CARACTERISTICAS_CREDITO_PORCENTAJE_DE_COMISIÓN_POR_PAGOS_ANTICIPADOS=0,"0.00%",AA_084_CARACTERISTICAS_CREDITO_PORCENTAJE_DE_COMISIÓN_POR_PAGOS_ANTICIPADOS)</f>
        <v>0.1</v>
      </c>
      <c r="AE71" s="1037"/>
      <c r="AF71" s="1037"/>
      <c r="AG71" s="1038"/>
      <c r="AH71" s="784"/>
      <c r="AI71" s="646"/>
      <c r="AJ71" s="546" t="s">
        <v>96</v>
      </c>
      <c r="AK71" s="547"/>
      <c r="AL71" s="311"/>
      <c r="AM71" s="311"/>
    </row>
    <row r="72" spans="2:39" ht="10.5" customHeight="1">
      <c r="B72" s="1046" t="s">
        <v>431</v>
      </c>
      <c r="C72" s="1013"/>
      <c r="D72" s="1013"/>
      <c r="E72" s="1013"/>
      <c r="F72" s="1013"/>
      <c r="G72" s="1013"/>
      <c r="H72" s="1013"/>
      <c r="I72" s="1013"/>
      <c r="J72" s="1013"/>
      <c r="K72" s="1013"/>
      <c r="L72" s="1013"/>
      <c r="M72" s="1013"/>
      <c r="N72" s="1013"/>
      <c r="O72" s="1013"/>
      <c r="P72" s="1013"/>
      <c r="Q72" s="1013"/>
      <c r="R72" s="1013"/>
      <c r="S72" s="1013"/>
      <c r="T72" s="1013"/>
      <c r="U72" s="1013"/>
      <c r="V72" s="1013"/>
      <c r="W72" s="1013"/>
      <c r="X72" s="1013"/>
      <c r="Y72" s="1013"/>
      <c r="Z72" s="1013"/>
      <c r="AA72" s="1013"/>
      <c r="AB72" s="1013"/>
      <c r="AC72" s="1013"/>
      <c r="AD72" s="1013"/>
      <c r="AE72" s="1013"/>
      <c r="AF72" s="1013"/>
      <c r="AG72" s="1013"/>
      <c r="AH72" s="1013"/>
      <c r="AI72" s="1013"/>
      <c r="AJ72" s="1013"/>
      <c r="AK72" s="1047"/>
    </row>
    <row r="73" spans="2:39" ht="10.5" customHeight="1">
      <c r="B73" s="1046" t="s">
        <v>432</v>
      </c>
      <c r="C73" s="1013"/>
      <c r="D73" s="1013"/>
      <c r="E73" s="1013"/>
      <c r="F73" s="1013"/>
      <c r="G73" s="1048">
        <f>AA_086_CARACTERISTICAS_CREDITO_FECHA_DE_PRIMER_PAGO</f>
        <v>42278</v>
      </c>
      <c r="H73" s="1049"/>
      <c r="I73" s="1049"/>
      <c r="J73" s="1049"/>
      <c r="K73" s="1049"/>
      <c r="L73" s="1049"/>
      <c r="M73" s="1013" t="s">
        <v>433</v>
      </c>
      <c r="N73" s="1013"/>
      <c r="O73" s="1013"/>
      <c r="P73" s="1013"/>
      <c r="Q73" s="1013"/>
      <c r="R73" s="1013"/>
      <c r="S73" s="1048">
        <f>AA_087_CARACTERISTICAS_CREDITO_FECHA_DE_SEGUNDO_PAGO</f>
        <v>42309</v>
      </c>
      <c r="T73" s="1049"/>
      <c r="U73" s="1049"/>
      <c r="V73" s="1049"/>
      <c r="W73" s="1049"/>
      <c r="X73" s="1049"/>
      <c r="Y73" s="1050" t="s">
        <v>434</v>
      </c>
      <c r="Z73" s="1050"/>
      <c r="AA73" s="1050"/>
      <c r="AB73" s="1050"/>
      <c r="AC73" s="1050"/>
      <c r="AD73" s="1050"/>
      <c r="AE73" s="1051">
        <f>AA_088_CARACTERISTICAS_CREDITO_FECHA_DE_TERCER_PAGO</f>
        <v>42339</v>
      </c>
      <c r="AF73" s="1052"/>
      <c r="AG73" s="1052"/>
      <c r="AH73" s="1052"/>
      <c r="AI73" s="1052"/>
      <c r="AJ73" s="1052"/>
      <c r="AK73" s="343"/>
    </row>
    <row r="74" spans="2:39" ht="10.5" customHeight="1">
      <c r="B74" s="383"/>
      <c r="C74" s="384"/>
      <c r="D74" s="384"/>
      <c r="E74" s="384"/>
      <c r="F74" s="384"/>
      <c r="G74" s="384"/>
      <c r="H74" s="384"/>
      <c r="I74" s="384"/>
      <c r="J74" s="384"/>
      <c r="K74" s="384"/>
      <c r="L74" s="384"/>
      <c r="M74" s="384"/>
      <c r="N74" s="347"/>
      <c r="O74" s="347"/>
      <c r="P74" s="347"/>
      <c r="Q74" s="347"/>
      <c r="R74" s="347"/>
      <c r="S74" s="347"/>
      <c r="T74" s="347"/>
      <c r="U74" s="347"/>
      <c r="V74" s="347"/>
      <c r="W74" s="347"/>
      <c r="X74" s="347"/>
      <c r="Y74" s="347"/>
      <c r="Z74" s="385"/>
      <c r="AA74" s="349"/>
      <c r="AB74" s="349"/>
      <c r="AC74" s="349"/>
      <c r="AD74" s="349"/>
      <c r="AE74" s="349"/>
      <c r="AF74" s="349"/>
      <c r="AG74" s="349"/>
      <c r="AH74" s="347"/>
      <c r="AI74" s="347"/>
      <c r="AJ74" s="347"/>
      <c r="AK74" s="386"/>
    </row>
    <row r="75" spans="2:39" ht="2.25" customHeight="1">
      <c r="B75" s="311"/>
      <c r="C75" s="311"/>
      <c r="D75" s="311"/>
      <c r="E75" s="311"/>
      <c r="F75" s="311"/>
      <c r="G75" s="311"/>
      <c r="H75" s="311"/>
      <c r="I75" s="311"/>
      <c r="J75" s="311"/>
      <c r="K75" s="311"/>
      <c r="L75" s="311"/>
      <c r="M75" s="311"/>
      <c r="N75" s="311"/>
      <c r="O75" s="311"/>
      <c r="P75" s="311"/>
      <c r="Q75" s="311"/>
      <c r="R75" s="311"/>
      <c r="S75" s="311"/>
      <c r="T75" s="311"/>
      <c r="U75" s="311"/>
      <c r="V75" s="311"/>
      <c r="W75" s="311"/>
      <c r="X75" s="311"/>
      <c r="Y75" s="311"/>
      <c r="Z75" s="311"/>
      <c r="AA75" s="311"/>
      <c r="AB75" s="311"/>
      <c r="AI75" s="311"/>
      <c r="AJ75" s="311"/>
      <c r="AK75" s="311"/>
    </row>
    <row r="76" spans="2:39" ht="10.199999999999999">
      <c r="B76" s="375" t="s">
        <v>177</v>
      </c>
      <c r="C76" s="311"/>
      <c r="D76" s="311"/>
      <c r="E76" s="311"/>
      <c r="F76" s="311"/>
      <c r="G76" s="311"/>
      <c r="H76" s="311"/>
      <c r="I76" s="311"/>
      <c r="J76" s="311"/>
      <c r="K76" s="311"/>
      <c r="L76" s="311"/>
      <c r="M76" s="311"/>
      <c r="N76" s="311"/>
      <c r="O76" s="311"/>
      <c r="P76" s="311"/>
      <c r="Q76" s="311"/>
      <c r="R76" s="311"/>
      <c r="S76" s="311"/>
      <c r="T76" s="311"/>
      <c r="U76" s="311"/>
      <c r="V76" s="311"/>
      <c r="W76" s="311"/>
      <c r="X76" s="311"/>
      <c r="Y76" s="311"/>
      <c r="Z76" s="311"/>
      <c r="AA76" s="311"/>
      <c r="AB76" s="311"/>
      <c r="AC76" s="311"/>
      <c r="AD76" s="311"/>
      <c r="AE76" s="311"/>
      <c r="AF76" s="311"/>
      <c r="AG76" s="311"/>
      <c r="AH76" s="311"/>
      <c r="AI76" s="311"/>
      <c r="AJ76" s="311"/>
      <c r="AK76" s="311"/>
    </row>
    <row r="77" spans="2:39" ht="15.75" customHeight="1">
      <c r="B77" s="1039" t="s">
        <v>297</v>
      </c>
      <c r="C77" s="886"/>
      <c r="D77" s="886"/>
      <c r="E77" s="886"/>
      <c r="F77" s="886"/>
      <c r="G77" s="886"/>
      <c r="H77" s="886"/>
      <c r="I77" s="886"/>
      <c r="J77" s="886"/>
      <c r="K77" s="886"/>
      <c r="L77" s="886"/>
      <c r="M77" s="886"/>
      <c r="N77" s="886"/>
      <c r="O77" s="886"/>
      <c r="P77" s="886"/>
      <c r="Q77" s="886"/>
      <c r="R77" s="886"/>
      <c r="S77" s="886"/>
      <c r="T77" s="886"/>
      <c r="U77" s="886"/>
      <c r="V77" s="886"/>
      <c r="W77" s="886"/>
      <c r="X77" s="886"/>
      <c r="Y77" s="886"/>
      <c r="Z77" s="886"/>
      <c r="AA77" s="886"/>
      <c r="AB77" s="886"/>
      <c r="AC77" s="886"/>
      <c r="AD77" s="886"/>
      <c r="AE77" s="886"/>
      <c r="AF77" s="886"/>
      <c r="AG77" s="886"/>
      <c r="AH77" s="886"/>
      <c r="AI77" s="886"/>
      <c r="AJ77" s="886"/>
      <c r="AK77" s="886"/>
    </row>
    <row r="78" spans="2:39" ht="10.199999999999999">
      <c r="B78" s="886"/>
      <c r="C78" s="886"/>
      <c r="D78" s="886"/>
      <c r="E78" s="886"/>
      <c r="F78" s="886"/>
      <c r="G78" s="886"/>
      <c r="H78" s="886"/>
      <c r="I78" s="886"/>
      <c r="J78" s="886"/>
      <c r="K78" s="886"/>
      <c r="L78" s="886"/>
      <c r="M78" s="886"/>
      <c r="N78" s="886"/>
      <c r="O78" s="886"/>
      <c r="P78" s="886"/>
      <c r="Q78" s="886"/>
      <c r="R78" s="886"/>
      <c r="S78" s="886"/>
      <c r="T78" s="886"/>
      <c r="U78" s="886"/>
      <c r="V78" s="886"/>
      <c r="W78" s="886"/>
      <c r="X78" s="886"/>
      <c r="Y78" s="886"/>
      <c r="Z78" s="886"/>
      <c r="AA78" s="886"/>
      <c r="AB78" s="886"/>
      <c r="AC78" s="886"/>
      <c r="AD78" s="886"/>
      <c r="AE78" s="886"/>
      <c r="AF78" s="886"/>
      <c r="AG78" s="886"/>
      <c r="AH78" s="886"/>
      <c r="AI78" s="886"/>
      <c r="AJ78" s="886"/>
      <c r="AK78" s="886"/>
    </row>
    <row r="79" spans="2:39" ht="10.5" customHeight="1">
      <c r="B79" s="1040" t="s">
        <v>179</v>
      </c>
      <c r="C79" s="1041"/>
      <c r="D79" s="1041"/>
      <c r="E79" s="1041"/>
      <c r="F79" s="1041"/>
      <c r="G79" s="1041"/>
      <c r="H79" s="1041"/>
      <c r="I79" s="1041"/>
      <c r="J79" s="1041"/>
      <c r="K79" s="1041"/>
      <c r="L79" s="1041"/>
      <c r="M79" s="1041"/>
      <c r="N79" s="1042"/>
      <c r="O79" s="1043" t="s">
        <v>180</v>
      </c>
      <c r="P79" s="1044"/>
      <c r="Q79" s="1044"/>
      <c r="R79" s="1044"/>
      <c r="S79" s="1045"/>
      <c r="T79" s="1043" t="s">
        <v>180</v>
      </c>
      <c r="U79" s="1044"/>
      <c r="V79" s="1044"/>
      <c r="W79" s="1044"/>
      <c r="X79" s="1045"/>
      <c r="Y79" s="1043" t="s">
        <v>181</v>
      </c>
      <c r="Z79" s="1044"/>
      <c r="AA79" s="1044"/>
      <c r="AB79" s="1045"/>
      <c r="AC79" s="1043" t="s">
        <v>181</v>
      </c>
      <c r="AD79" s="1044"/>
      <c r="AE79" s="1044"/>
      <c r="AF79" s="1045"/>
      <c r="AG79" s="1043" t="s">
        <v>181</v>
      </c>
      <c r="AH79" s="1044"/>
      <c r="AI79" s="1044"/>
      <c r="AJ79" s="1045"/>
      <c r="AK79" s="311"/>
    </row>
    <row r="80" spans="2:39" ht="12.75" customHeight="1">
      <c r="B80" s="1030">
        <f>AA_089_DATOS_APODERADOS_BANCO_NOMBRE_APODERADO_DEL_BANCO_UNO</f>
        <v>0</v>
      </c>
      <c r="C80" s="1031"/>
      <c r="D80" s="1031"/>
      <c r="E80" s="1031"/>
      <c r="F80" s="1031"/>
      <c r="G80" s="1031"/>
      <c r="H80" s="1031"/>
      <c r="I80" s="1031"/>
      <c r="J80" s="1031"/>
      <c r="K80" s="1031"/>
      <c r="L80" s="1031"/>
      <c r="M80" s="1031"/>
      <c r="N80" s="1032"/>
      <c r="O80" s="351"/>
      <c r="P80" s="328"/>
      <c r="Q80" s="328"/>
      <c r="R80" s="328"/>
      <c r="S80" s="352"/>
      <c r="T80" s="351"/>
      <c r="U80" s="328"/>
      <c r="V80" s="328"/>
      <c r="W80" s="328"/>
      <c r="X80" s="352"/>
      <c r="Y80" s="351"/>
      <c r="Z80" s="328"/>
      <c r="AA80" s="328"/>
      <c r="AB80" s="352"/>
      <c r="AC80" s="351"/>
      <c r="AD80" s="328"/>
      <c r="AE80" s="328"/>
      <c r="AF80" s="352"/>
      <c r="AG80" s="351"/>
      <c r="AH80" s="328"/>
      <c r="AI80" s="328"/>
      <c r="AJ80" s="352"/>
      <c r="AK80" s="311"/>
    </row>
    <row r="81" spans="1:38" ht="12.75" customHeight="1">
      <c r="B81" s="1033"/>
      <c r="C81" s="982"/>
      <c r="D81" s="982"/>
      <c r="E81" s="982"/>
      <c r="F81" s="982"/>
      <c r="G81" s="982"/>
      <c r="H81" s="982"/>
      <c r="I81" s="982"/>
      <c r="J81" s="982"/>
      <c r="K81" s="982"/>
      <c r="L81" s="982"/>
      <c r="M81" s="982"/>
      <c r="N81" s="1034"/>
      <c r="O81" s="353"/>
      <c r="P81" s="311"/>
      <c r="Q81" s="311"/>
      <c r="R81" s="311"/>
      <c r="S81" s="354"/>
      <c r="T81" s="353"/>
      <c r="U81" s="311"/>
      <c r="V81" s="311"/>
      <c r="W81" s="311"/>
      <c r="X81" s="354"/>
      <c r="Y81" s="353"/>
      <c r="Z81" s="311"/>
      <c r="AA81" s="311"/>
      <c r="AB81" s="354"/>
      <c r="AC81" s="353"/>
      <c r="AD81" s="311"/>
      <c r="AE81" s="311"/>
      <c r="AF81" s="354"/>
      <c r="AG81" s="353"/>
      <c r="AH81" s="311"/>
      <c r="AI81" s="311"/>
      <c r="AJ81" s="354"/>
      <c r="AK81" s="311"/>
    </row>
    <row r="82" spans="1:38" ht="12.75" customHeight="1">
      <c r="B82" s="1035">
        <f>AA_090_DATOS_APODERADOS_BANCO_NOMBRE_APODERADO_DEL_BANCO_DOS</f>
        <v>0</v>
      </c>
      <c r="C82" s="1013"/>
      <c r="D82" s="1013"/>
      <c r="E82" s="1013"/>
      <c r="F82" s="1013"/>
      <c r="G82" s="1013"/>
      <c r="H82" s="1013"/>
      <c r="I82" s="1013"/>
      <c r="J82" s="1013"/>
      <c r="K82" s="1013"/>
      <c r="L82" s="1013"/>
      <c r="M82" s="1013"/>
      <c r="N82" s="1017"/>
      <c r="O82" s="353"/>
      <c r="P82" s="311"/>
      <c r="Q82" s="311"/>
      <c r="R82" s="311"/>
      <c r="S82" s="354"/>
      <c r="T82" s="353"/>
      <c r="U82" s="311"/>
      <c r="V82" s="311"/>
      <c r="W82" s="311"/>
      <c r="X82" s="354"/>
      <c r="Y82" s="353"/>
      <c r="Z82" s="311"/>
      <c r="AA82" s="311"/>
      <c r="AB82" s="354"/>
      <c r="AC82" s="353"/>
      <c r="AD82" s="311"/>
      <c r="AE82" s="311"/>
      <c r="AF82" s="354"/>
      <c r="AG82" s="353"/>
      <c r="AH82" s="311"/>
      <c r="AI82" s="311"/>
      <c r="AJ82" s="354"/>
      <c r="AK82" s="311"/>
    </row>
    <row r="83" spans="1:38" ht="12.75" customHeight="1">
      <c r="B83" s="1033"/>
      <c r="C83" s="982"/>
      <c r="D83" s="982"/>
      <c r="E83" s="982"/>
      <c r="F83" s="982"/>
      <c r="G83" s="982"/>
      <c r="H83" s="982"/>
      <c r="I83" s="982"/>
      <c r="J83" s="982"/>
      <c r="K83" s="982"/>
      <c r="L83" s="982"/>
      <c r="M83" s="982"/>
      <c r="N83" s="1034"/>
      <c r="O83" s="355"/>
      <c r="P83" s="330"/>
      <c r="Q83" s="330"/>
      <c r="R83" s="330"/>
      <c r="S83" s="356"/>
      <c r="T83" s="355"/>
      <c r="U83" s="330"/>
      <c r="V83" s="330"/>
      <c r="W83" s="330"/>
      <c r="X83" s="356"/>
      <c r="Y83" s="355"/>
      <c r="Z83" s="330"/>
      <c r="AA83" s="330"/>
      <c r="AB83" s="356"/>
      <c r="AC83" s="355"/>
      <c r="AD83" s="330"/>
      <c r="AE83" s="330"/>
      <c r="AF83" s="356"/>
      <c r="AG83" s="355"/>
      <c r="AH83" s="330"/>
      <c r="AI83" s="330"/>
      <c r="AJ83" s="356"/>
      <c r="AK83" s="311"/>
    </row>
    <row r="84" spans="1:38" ht="10.199999999999999">
      <c r="B84" s="311"/>
      <c r="C84" s="311"/>
      <c r="D84" s="311"/>
      <c r="E84" s="311"/>
      <c r="F84" s="311"/>
      <c r="G84" s="311"/>
      <c r="H84" s="311"/>
      <c r="I84" s="311"/>
      <c r="J84" s="311"/>
      <c r="K84" s="311"/>
      <c r="L84" s="311"/>
      <c r="M84" s="311"/>
      <c r="N84" s="311"/>
      <c r="O84" s="311"/>
      <c r="P84" s="311"/>
      <c r="Q84" s="311"/>
      <c r="R84" s="311"/>
      <c r="S84" s="311"/>
      <c r="T84" s="311"/>
      <c r="U84" s="311"/>
      <c r="V84" s="311"/>
      <c r="W84" s="311"/>
      <c r="X84" s="311"/>
      <c r="Y84" s="311"/>
      <c r="Z84" s="311"/>
      <c r="AA84" s="311"/>
      <c r="AB84" s="311"/>
      <c r="AC84" s="311"/>
      <c r="AD84" s="311"/>
      <c r="AE84" s="311"/>
      <c r="AF84" s="311"/>
      <c r="AG84" s="311"/>
      <c r="AH84" s="311"/>
      <c r="AI84" s="311"/>
      <c r="AJ84" s="311"/>
      <c r="AK84" s="311"/>
    </row>
    <row r="85" spans="1:38" ht="10.199999999999999"/>
    <row r="86" spans="1:38" ht="2.25" customHeight="1"/>
    <row r="87" spans="1:38" ht="10.199999999999999">
      <c r="B87" s="361" t="s">
        <v>436</v>
      </c>
      <c r="AG87" s="285" t="s">
        <v>183</v>
      </c>
    </row>
    <row r="88" spans="1:38" ht="2.25" customHeight="1"/>
    <row r="90" spans="1:38" ht="58.5" customHeight="1">
      <c r="A90" s="311"/>
      <c r="B90" s="967" t="s">
        <v>298</v>
      </c>
      <c r="C90" s="967"/>
      <c r="D90" s="967"/>
      <c r="E90" s="967"/>
      <c r="F90" s="967"/>
      <c r="G90" s="967"/>
      <c r="H90" s="967"/>
      <c r="I90" s="967"/>
      <c r="J90" s="967"/>
      <c r="K90" s="967"/>
      <c r="L90" s="967"/>
      <c r="M90" s="967"/>
      <c r="N90" s="967"/>
      <c r="O90" s="967"/>
      <c r="P90" s="967"/>
      <c r="Q90" s="967"/>
      <c r="R90" s="967"/>
      <c r="S90" s="967"/>
      <c r="T90" s="967"/>
      <c r="U90" s="967"/>
      <c r="V90" s="967"/>
      <c r="W90" s="967"/>
      <c r="X90" s="967"/>
      <c r="Y90" s="967"/>
      <c r="Z90" s="967"/>
      <c r="AA90" s="967"/>
      <c r="AB90" s="967"/>
      <c r="AC90" s="967"/>
      <c r="AD90" s="967"/>
      <c r="AE90" s="967"/>
      <c r="AF90" s="967"/>
      <c r="AG90" s="967"/>
      <c r="AH90" s="967"/>
      <c r="AI90" s="967"/>
      <c r="AJ90" s="967"/>
      <c r="AK90" s="967"/>
    </row>
    <row r="91" spans="1:38" ht="12.75" customHeight="1">
      <c r="B91" s="359"/>
      <c r="C91" s="359"/>
      <c r="D91" s="359"/>
      <c r="E91" s="359"/>
      <c r="F91" s="359"/>
      <c r="G91" s="359"/>
      <c r="H91" s="359"/>
      <c r="I91" s="359"/>
      <c r="J91" s="359"/>
      <c r="K91" s="359"/>
      <c r="L91" s="359"/>
      <c r="M91" s="359"/>
      <c r="N91" s="359"/>
      <c r="O91" s="359"/>
      <c r="P91" s="359"/>
      <c r="Q91" s="359"/>
      <c r="R91" s="359"/>
      <c r="S91" s="359"/>
      <c r="T91" s="359"/>
      <c r="U91" s="359"/>
      <c r="V91" s="359"/>
      <c r="W91" s="359"/>
      <c r="X91" s="359"/>
      <c r="Y91" s="359"/>
      <c r="Z91" s="359"/>
      <c r="AA91" s="359"/>
      <c r="AB91" s="359"/>
      <c r="AC91" s="359"/>
      <c r="AD91" s="359"/>
      <c r="AE91" s="359"/>
      <c r="AF91" s="359"/>
      <c r="AG91" s="359"/>
      <c r="AH91" s="359"/>
      <c r="AI91" s="359"/>
      <c r="AJ91" s="359"/>
      <c r="AK91" s="359"/>
      <c r="AL91" s="360"/>
    </row>
    <row r="92" spans="1:38" ht="11.25" customHeight="1">
      <c r="A92" s="359"/>
      <c r="B92" s="956" t="s">
        <v>185</v>
      </c>
      <c r="C92" s="956"/>
      <c r="D92" s="956"/>
      <c r="E92" s="956"/>
      <c r="F92" s="956"/>
      <c r="G92" s="956"/>
      <c r="H92" s="956"/>
      <c r="I92" s="956"/>
      <c r="J92" s="956"/>
      <c r="K92" s="956"/>
      <c r="L92" s="956"/>
      <c r="M92" s="956"/>
      <c r="N92" s="956"/>
      <c r="O92" s="956"/>
      <c r="P92" s="956"/>
      <c r="Q92" s="956"/>
      <c r="R92" s="956"/>
      <c r="S92" s="956"/>
      <c r="T92" s="956"/>
      <c r="U92" s="956"/>
      <c r="V92" s="956"/>
      <c r="W92" s="956"/>
      <c r="X92" s="956"/>
      <c r="Y92" s="956"/>
      <c r="Z92" s="956"/>
      <c r="AA92" s="956"/>
      <c r="AB92" s="956"/>
      <c r="AC92" s="956"/>
      <c r="AD92" s="956"/>
      <c r="AE92" s="956"/>
      <c r="AF92" s="956"/>
      <c r="AG92" s="956"/>
      <c r="AH92" s="956"/>
      <c r="AI92" s="956"/>
      <c r="AJ92" s="956"/>
      <c r="AK92" s="956"/>
      <c r="AL92" s="360"/>
    </row>
    <row r="93" spans="1:38" ht="12.75" customHeight="1">
      <c r="A93" s="359"/>
      <c r="B93" s="359"/>
      <c r="C93" s="359"/>
      <c r="D93" s="359"/>
      <c r="E93" s="359"/>
      <c r="F93" s="359"/>
      <c r="G93" s="359"/>
      <c r="H93" s="359"/>
      <c r="I93" s="359"/>
      <c r="J93" s="359"/>
      <c r="K93" s="359"/>
      <c r="L93" s="359"/>
      <c r="M93" s="359"/>
      <c r="N93" s="359"/>
      <c r="O93" s="359"/>
      <c r="P93" s="359"/>
      <c r="Q93" s="359"/>
      <c r="R93" s="359"/>
      <c r="S93" s="359"/>
      <c r="T93" s="359"/>
      <c r="U93" s="359"/>
      <c r="V93" s="359"/>
      <c r="W93" s="359"/>
      <c r="X93" s="359"/>
      <c r="Y93" s="359"/>
      <c r="Z93" s="359"/>
      <c r="AA93" s="359"/>
      <c r="AB93" s="359"/>
      <c r="AC93" s="359"/>
      <c r="AD93" s="359"/>
      <c r="AE93" s="359"/>
      <c r="AF93" s="359"/>
      <c r="AG93" s="359"/>
      <c r="AH93" s="359"/>
      <c r="AI93" s="359"/>
      <c r="AJ93" s="359"/>
      <c r="AK93" s="359"/>
      <c r="AL93" s="360"/>
    </row>
    <row r="94" spans="1:38" ht="12.75" customHeight="1">
      <c r="A94" s="359"/>
      <c r="B94" s="727" t="s">
        <v>186</v>
      </c>
      <c r="C94" s="727"/>
      <c r="D94" s="727"/>
      <c r="E94" s="727"/>
      <c r="F94" s="727"/>
      <c r="G94" s="727"/>
      <c r="H94" s="727"/>
      <c r="I94" s="727"/>
      <c r="J94" s="727"/>
      <c r="K94" s="727"/>
      <c r="L94" s="727"/>
      <c r="M94" s="727"/>
      <c r="N94" s="727"/>
      <c r="O94" s="727"/>
      <c r="P94" s="727"/>
      <c r="Q94" s="727"/>
      <c r="R94" s="727"/>
      <c r="S94" s="727"/>
      <c r="T94" s="727"/>
      <c r="U94" s="727"/>
      <c r="V94" s="727"/>
      <c r="W94" s="727"/>
      <c r="X94" s="727"/>
      <c r="Y94" s="727"/>
      <c r="Z94" s="727"/>
      <c r="AA94" s="727"/>
      <c r="AB94" s="727"/>
      <c r="AC94" s="727"/>
      <c r="AD94" s="727"/>
      <c r="AE94" s="727"/>
      <c r="AF94" s="727"/>
      <c r="AG94" s="727"/>
      <c r="AH94" s="727"/>
      <c r="AI94" s="727"/>
      <c r="AJ94" s="727"/>
      <c r="AK94" s="727"/>
      <c r="AL94" s="360"/>
    </row>
    <row r="95" spans="1:38" ht="12.75" customHeight="1">
      <c r="A95" s="359"/>
      <c r="B95" s="239"/>
      <c r="C95" s="362"/>
      <c r="D95" s="362"/>
      <c r="E95" s="362"/>
      <c r="F95" s="362"/>
      <c r="G95" s="362"/>
      <c r="H95" s="362"/>
      <c r="I95" s="362"/>
      <c r="J95" s="362"/>
      <c r="K95" s="362"/>
      <c r="L95" s="362"/>
      <c r="M95" s="362"/>
      <c r="N95" s="362"/>
      <c r="O95" s="362"/>
      <c r="P95" s="362"/>
      <c r="Q95" s="362"/>
      <c r="R95" s="362"/>
      <c r="S95" s="362"/>
      <c r="T95" s="362"/>
      <c r="U95" s="362"/>
      <c r="V95" s="362"/>
      <c r="W95" s="362"/>
      <c r="X95" s="362"/>
      <c r="Y95" s="362"/>
      <c r="Z95" s="362"/>
      <c r="AA95" s="362"/>
      <c r="AB95" s="362"/>
      <c r="AC95" s="362"/>
      <c r="AD95" s="362"/>
      <c r="AE95" s="362"/>
      <c r="AF95" s="362"/>
      <c r="AG95" s="362"/>
      <c r="AH95" s="362"/>
      <c r="AI95" s="362"/>
      <c r="AJ95" s="362"/>
      <c r="AK95" s="362"/>
      <c r="AL95" s="360"/>
    </row>
    <row r="96" spans="1:38" ht="78" customHeight="1">
      <c r="A96" s="359"/>
      <c r="B96" s="725" t="s">
        <v>299</v>
      </c>
      <c r="C96" s="725"/>
      <c r="D96" s="725"/>
      <c r="E96" s="725"/>
      <c r="F96" s="725"/>
      <c r="G96" s="725"/>
      <c r="H96" s="725"/>
      <c r="I96" s="725"/>
      <c r="J96" s="725"/>
      <c r="K96" s="725"/>
      <c r="L96" s="725"/>
      <c r="M96" s="725"/>
      <c r="N96" s="725"/>
      <c r="O96" s="725"/>
      <c r="P96" s="725"/>
      <c r="Q96" s="725"/>
      <c r="R96" s="725"/>
      <c r="S96" s="725"/>
      <c r="T96" s="725"/>
      <c r="U96" s="725"/>
      <c r="V96" s="725"/>
      <c r="W96" s="725"/>
      <c r="X96" s="725"/>
      <c r="Y96" s="725"/>
      <c r="Z96" s="725"/>
      <c r="AA96" s="725"/>
      <c r="AB96" s="725"/>
      <c r="AC96" s="725"/>
      <c r="AD96" s="725"/>
      <c r="AE96" s="725"/>
      <c r="AF96" s="725"/>
      <c r="AG96" s="725"/>
      <c r="AH96" s="725"/>
      <c r="AI96" s="725"/>
      <c r="AJ96" s="725"/>
      <c r="AK96" s="725"/>
      <c r="AL96" s="360"/>
    </row>
    <row r="97" spans="1:38" ht="33.75" customHeight="1">
      <c r="A97" s="359"/>
      <c r="B97" s="725" t="s">
        <v>188</v>
      </c>
      <c r="C97" s="725"/>
      <c r="D97" s="725"/>
      <c r="E97" s="725"/>
      <c r="F97" s="725"/>
      <c r="G97" s="725"/>
      <c r="H97" s="725"/>
      <c r="I97" s="725"/>
      <c r="J97" s="725"/>
      <c r="K97" s="725"/>
      <c r="L97" s="725"/>
      <c r="M97" s="725"/>
      <c r="N97" s="725"/>
      <c r="O97" s="725"/>
      <c r="P97" s="725"/>
      <c r="Q97" s="725"/>
      <c r="R97" s="725"/>
      <c r="S97" s="725"/>
      <c r="T97" s="725"/>
      <c r="U97" s="725"/>
      <c r="V97" s="725"/>
      <c r="W97" s="725"/>
      <c r="X97" s="725"/>
      <c r="Y97" s="725"/>
      <c r="Z97" s="725"/>
      <c r="AA97" s="725"/>
      <c r="AB97" s="725"/>
      <c r="AC97" s="725"/>
      <c r="AD97" s="725"/>
      <c r="AE97" s="725"/>
      <c r="AF97" s="725"/>
      <c r="AG97" s="725"/>
      <c r="AH97" s="725"/>
      <c r="AI97" s="725"/>
      <c r="AJ97" s="725"/>
      <c r="AK97" s="725"/>
      <c r="AL97" s="360"/>
    </row>
    <row r="98" spans="1:38" ht="33.75" customHeight="1">
      <c r="A98" s="359"/>
      <c r="B98" s="725" t="s">
        <v>189</v>
      </c>
      <c r="C98" s="725"/>
      <c r="D98" s="725"/>
      <c r="E98" s="725"/>
      <c r="F98" s="725"/>
      <c r="G98" s="725"/>
      <c r="H98" s="725"/>
      <c r="I98" s="725"/>
      <c r="J98" s="725"/>
      <c r="K98" s="725"/>
      <c r="L98" s="725"/>
      <c r="M98" s="725"/>
      <c r="N98" s="725"/>
      <c r="O98" s="725"/>
      <c r="P98" s="725"/>
      <c r="Q98" s="725"/>
      <c r="R98" s="725"/>
      <c r="S98" s="725"/>
      <c r="T98" s="725"/>
      <c r="U98" s="725"/>
      <c r="V98" s="725"/>
      <c r="W98" s="725"/>
      <c r="X98" s="725"/>
      <c r="Y98" s="725"/>
      <c r="Z98" s="725"/>
      <c r="AA98" s="725"/>
      <c r="AB98" s="725"/>
      <c r="AC98" s="725"/>
      <c r="AD98" s="725"/>
      <c r="AE98" s="725"/>
      <c r="AF98" s="725"/>
      <c r="AG98" s="725"/>
      <c r="AH98" s="725"/>
      <c r="AI98" s="725"/>
      <c r="AJ98" s="725"/>
      <c r="AK98" s="725"/>
      <c r="AL98" s="360"/>
    </row>
    <row r="99" spans="1:38" ht="22.5" customHeight="1">
      <c r="A99" s="359"/>
      <c r="B99" s="725" t="s">
        <v>190</v>
      </c>
      <c r="C99" s="725"/>
      <c r="D99" s="725"/>
      <c r="E99" s="725"/>
      <c r="F99" s="725"/>
      <c r="G99" s="725"/>
      <c r="H99" s="725"/>
      <c r="I99" s="725"/>
      <c r="J99" s="725"/>
      <c r="K99" s="725"/>
      <c r="L99" s="725"/>
      <c r="M99" s="725"/>
      <c r="N99" s="725"/>
      <c r="O99" s="725"/>
      <c r="P99" s="725"/>
      <c r="Q99" s="725"/>
      <c r="R99" s="725"/>
      <c r="S99" s="725"/>
      <c r="T99" s="725"/>
      <c r="U99" s="725"/>
      <c r="V99" s="725"/>
      <c r="W99" s="725"/>
      <c r="X99" s="725"/>
      <c r="Y99" s="725"/>
      <c r="Z99" s="725"/>
      <c r="AA99" s="725"/>
      <c r="AB99" s="725"/>
      <c r="AC99" s="725"/>
      <c r="AD99" s="725"/>
      <c r="AE99" s="725"/>
      <c r="AF99" s="725"/>
      <c r="AG99" s="725"/>
      <c r="AH99" s="725"/>
      <c r="AI99" s="725"/>
      <c r="AJ99" s="725"/>
      <c r="AK99" s="725"/>
      <c r="AL99" s="360"/>
    </row>
    <row r="100" spans="1:38" ht="33.75" customHeight="1">
      <c r="A100" s="359"/>
      <c r="B100" s="725" t="s">
        <v>191</v>
      </c>
      <c r="C100" s="725"/>
      <c r="D100" s="725"/>
      <c r="E100" s="725"/>
      <c r="F100" s="725"/>
      <c r="G100" s="725"/>
      <c r="H100" s="725"/>
      <c r="I100" s="725"/>
      <c r="J100" s="725"/>
      <c r="K100" s="725"/>
      <c r="L100" s="725"/>
      <c r="M100" s="725"/>
      <c r="N100" s="725"/>
      <c r="O100" s="725"/>
      <c r="P100" s="725"/>
      <c r="Q100" s="725"/>
      <c r="R100" s="725"/>
      <c r="S100" s="725"/>
      <c r="T100" s="725"/>
      <c r="U100" s="725"/>
      <c r="V100" s="725"/>
      <c r="W100" s="725"/>
      <c r="X100" s="725"/>
      <c r="Y100" s="725"/>
      <c r="Z100" s="725"/>
      <c r="AA100" s="725"/>
      <c r="AB100" s="725"/>
      <c r="AC100" s="725"/>
      <c r="AD100" s="725"/>
      <c r="AE100" s="725"/>
      <c r="AF100" s="725"/>
      <c r="AG100" s="725"/>
      <c r="AH100" s="725"/>
      <c r="AI100" s="725"/>
      <c r="AJ100" s="725"/>
      <c r="AK100" s="725"/>
      <c r="AL100" s="360"/>
    </row>
    <row r="101" spans="1:38" ht="45" customHeight="1">
      <c r="A101" s="359"/>
      <c r="B101" s="725" t="s">
        <v>192</v>
      </c>
      <c r="C101" s="725"/>
      <c r="D101" s="725"/>
      <c r="E101" s="725"/>
      <c r="F101" s="725"/>
      <c r="G101" s="725"/>
      <c r="H101" s="725"/>
      <c r="I101" s="725"/>
      <c r="J101" s="725"/>
      <c r="K101" s="725"/>
      <c r="L101" s="725"/>
      <c r="M101" s="725"/>
      <c r="N101" s="725"/>
      <c r="O101" s="725"/>
      <c r="P101" s="725"/>
      <c r="Q101" s="725"/>
      <c r="R101" s="725"/>
      <c r="S101" s="725"/>
      <c r="T101" s="725"/>
      <c r="U101" s="725"/>
      <c r="V101" s="725"/>
      <c r="W101" s="725"/>
      <c r="X101" s="725"/>
      <c r="Y101" s="725"/>
      <c r="Z101" s="725"/>
      <c r="AA101" s="725"/>
      <c r="AB101" s="725"/>
      <c r="AC101" s="725"/>
      <c r="AD101" s="725"/>
      <c r="AE101" s="725"/>
      <c r="AF101" s="725"/>
      <c r="AG101" s="725"/>
      <c r="AH101" s="725"/>
      <c r="AI101" s="725"/>
      <c r="AJ101" s="725"/>
      <c r="AK101" s="725"/>
      <c r="AL101" s="360"/>
    </row>
    <row r="102" spans="1:38" ht="33.75" customHeight="1">
      <c r="A102" s="359"/>
      <c r="B102" s="725" t="s">
        <v>193</v>
      </c>
      <c r="C102" s="725"/>
      <c r="D102" s="725"/>
      <c r="E102" s="725"/>
      <c r="F102" s="725"/>
      <c r="G102" s="725"/>
      <c r="H102" s="725"/>
      <c r="I102" s="725"/>
      <c r="J102" s="725"/>
      <c r="K102" s="725"/>
      <c r="L102" s="725"/>
      <c r="M102" s="725"/>
      <c r="N102" s="725"/>
      <c r="O102" s="725"/>
      <c r="P102" s="725"/>
      <c r="Q102" s="725"/>
      <c r="R102" s="725"/>
      <c r="S102" s="725"/>
      <c r="T102" s="725"/>
      <c r="U102" s="725"/>
      <c r="V102" s="725"/>
      <c r="W102" s="725"/>
      <c r="X102" s="725"/>
      <c r="Y102" s="725"/>
      <c r="Z102" s="725"/>
      <c r="AA102" s="725"/>
      <c r="AB102" s="725"/>
      <c r="AC102" s="725"/>
      <c r="AD102" s="725"/>
      <c r="AE102" s="725"/>
      <c r="AF102" s="725"/>
      <c r="AG102" s="725"/>
      <c r="AH102" s="725"/>
      <c r="AI102" s="725"/>
      <c r="AJ102" s="725"/>
      <c r="AK102" s="725"/>
      <c r="AL102" s="360"/>
    </row>
    <row r="103" spans="1:38" ht="12.75" customHeight="1">
      <c r="A103" s="359"/>
      <c r="B103" s="359"/>
      <c r="C103" s="359"/>
      <c r="D103" s="359"/>
      <c r="E103" s="359"/>
      <c r="F103" s="359"/>
      <c r="G103" s="359"/>
      <c r="H103" s="359"/>
      <c r="I103" s="359"/>
      <c r="J103" s="359"/>
      <c r="K103" s="359"/>
      <c r="L103" s="359"/>
      <c r="M103" s="359"/>
      <c r="N103" s="359"/>
      <c r="O103" s="359"/>
      <c r="P103" s="359"/>
      <c r="Q103" s="359"/>
      <c r="R103" s="359"/>
      <c r="S103" s="359"/>
      <c r="T103" s="359"/>
      <c r="U103" s="359"/>
      <c r="V103" s="359"/>
      <c r="W103" s="359"/>
      <c r="X103" s="359"/>
      <c r="Y103" s="359"/>
      <c r="Z103" s="359"/>
      <c r="AA103" s="359"/>
      <c r="AB103" s="359"/>
      <c r="AC103" s="359"/>
      <c r="AD103" s="359"/>
      <c r="AE103" s="359"/>
      <c r="AF103" s="359"/>
      <c r="AG103" s="359"/>
      <c r="AH103" s="359"/>
      <c r="AI103" s="359"/>
      <c r="AJ103" s="359"/>
      <c r="AK103" s="359"/>
      <c r="AL103" s="360"/>
    </row>
    <row r="104" spans="1:38" ht="12.75" customHeight="1">
      <c r="A104" s="359"/>
      <c r="B104" s="798" t="s">
        <v>342</v>
      </c>
      <c r="C104" s="798"/>
      <c r="D104" s="798"/>
      <c r="E104" s="798"/>
      <c r="F104" s="798"/>
      <c r="G104" s="798"/>
      <c r="H104" s="798"/>
      <c r="I104" s="798"/>
      <c r="J104" s="798"/>
      <c r="K104" s="798"/>
      <c r="L104" s="798"/>
      <c r="M104" s="798"/>
      <c r="N104" s="798"/>
      <c r="O104" s="798"/>
      <c r="P104" s="798"/>
      <c r="Q104" s="798"/>
      <c r="R104" s="798"/>
      <c r="S104" s="798"/>
      <c r="T104" s="798"/>
      <c r="U104" s="798"/>
      <c r="V104" s="798"/>
      <c r="W104" s="798"/>
      <c r="X104" s="798"/>
      <c r="Y104" s="798"/>
      <c r="Z104" s="798"/>
      <c r="AA104" s="798"/>
      <c r="AB104" s="798"/>
      <c r="AC104" s="798"/>
      <c r="AD104" s="798"/>
      <c r="AE104" s="798"/>
      <c r="AF104" s="798"/>
      <c r="AG104" s="798"/>
      <c r="AH104" s="798"/>
      <c r="AI104" s="798"/>
      <c r="AJ104" s="798"/>
      <c r="AK104" s="798"/>
      <c r="AL104" s="360"/>
    </row>
    <row r="105" spans="1:38" ht="11.25" customHeight="1">
      <c r="A105" s="359"/>
      <c r="B105" s="239"/>
      <c r="C105" s="362"/>
      <c r="D105" s="362"/>
      <c r="E105" s="362"/>
      <c r="F105" s="362"/>
      <c r="G105" s="362"/>
      <c r="H105" s="362"/>
      <c r="I105" s="362"/>
      <c r="J105" s="362"/>
      <c r="K105" s="362"/>
      <c r="L105" s="362"/>
      <c r="M105" s="362"/>
      <c r="N105" s="362"/>
      <c r="O105" s="362"/>
      <c r="P105" s="362"/>
      <c r="Q105" s="362"/>
      <c r="R105" s="362"/>
      <c r="S105" s="362"/>
      <c r="T105" s="362"/>
      <c r="U105" s="362"/>
      <c r="V105" s="362"/>
      <c r="W105" s="362"/>
      <c r="X105" s="362"/>
      <c r="Y105" s="362"/>
      <c r="Z105" s="362"/>
      <c r="AA105" s="362"/>
      <c r="AB105" s="362"/>
      <c r="AC105" s="362"/>
      <c r="AD105" s="362"/>
      <c r="AE105" s="362"/>
      <c r="AF105" s="362"/>
      <c r="AG105" s="362"/>
      <c r="AH105" s="362"/>
      <c r="AI105" s="362"/>
      <c r="AJ105" s="362"/>
      <c r="AK105" s="362"/>
      <c r="AL105" s="360"/>
    </row>
    <row r="106" spans="1:38" ht="33.75" customHeight="1">
      <c r="A106" s="359"/>
      <c r="B106" s="620" t="s">
        <v>706</v>
      </c>
      <c r="C106" s="620"/>
      <c r="D106" s="620"/>
      <c r="E106" s="620"/>
      <c r="F106" s="620"/>
      <c r="G106" s="620"/>
      <c r="H106" s="620"/>
      <c r="I106" s="620"/>
      <c r="J106" s="620"/>
      <c r="K106" s="620"/>
      <c r="L106" s="620"/>
      <c r="M106" s="620"/>
      <c r="N106" s="620"/>
      <c r="O106" s="620"/>
      <c r="P106" s="620"/>
      <c r="Q106" s="620"/>
      <c r="R106" s="620"/>
      <c r="S106" s="620"/>
      <c r="T106" s="620"/>
      <c r="U106" s="620"/>
      <c r="V106" s="620"/>
      <c r="W106" s="620"/>
      <c r="X106" s="620"/>
      <c r="Y106" s="620"/>
      <c r="Z106" s="620"/>
      <c r="AA106" s="620"/>
      <c r="AB106" s="620"/>
      <c r="AC106" s="620"/>
      <c r="AD106" s="620"/>
      <c r="AE106" s="620"/>
      <c r="AF106" s="620"/>
      <c r="AG106" s="620"/>
      <c r="AH106" s="620"/>
      <c r="AI106" s="620"/>
      <c r="AJ106" s="620"/>
      <c r="AK106" s="620"/>
      <c r="AL106" s="360"/>
    </row>
    <row r="107" spans="1:38" ht="11.25" customHeight="1">
      <c r="A107" s="359"/>
      <c r="B107" s="359"/>
      <c r="C107" s="359"/>
      <c r="D107" s="359"/>
      <c r="E107" s="359"/>
      <c r="F107" s="359"/>
      <c r="G107" s="359"/>
      <c r="H107" s="359"/>
      <c r="I107" s="359"/>
      <c r="J107" s="359"/>
      <c r="K107" s="359"/>
      <c r="L107" s="359"/>
      <c r="M107" s="359"/>
      <c r="N107" s="359"/>
      <c r="O107" s="359"/>
      <c r="P107" s="359"/>
      <c r="Q107" s="359"/>
      <c r="R107" s="359"/>
      <c r="S107" s="359"/>
      <c r="T107" s="359"/>
      <c r="U107" s="359"/>
      <c r="V107" s="359"/>
      <c r="W107" s="359"/>
      <c r="X107" s="359"/>
      <c r="Y107" s="359"/>
      <c r="Z107" s="359"/>
      <c r="AA107" s="359"/>
      <c r="AB107" s="359"/>
      <c r="AC107" s="359"/>
      <c r="AD107" s="359"/>
      <c r="AE107" s="359"/>
      <c r="AF107" s="359"/>
      <c r="AG107" s="359"/>
      <c r="AH107" s="359"/>
      <c r="AI107" s="359"/>
      <c r="AJ107" s="359"/>
      <c r="AK107" s="359"/>
      <c r="AL107" s="360"/>
    </row>
    <row r="108" spans="1:38" ht="12.75" customHeight="1">
      <c r="A108" s="359"/>
      <c r="B108" s="967" t="s">
        <v>708</v>
      </c>
      <c r="C108" s="967"/>
      <c r="D108" s="967"/>
      <c r="E108" s="967"/>
      <c r="F108" s="967"/>
      <c r="G108" s="967"/>
      <c r="H108" s="967"/>
      <c r="I108" s="967"/>
      <c r="J108" s="967"/>
      <c r="K108" s="967"/>
      <c r="L108" s="967"/>
      <c r="M108" s="967"/>
      <c r="N108" s="967"/>
      <c r="O108" s="967"/>
      <c r="P108" s="967"/>
      <c r="Q108" s="967"/>
      <c r="R108" s="967"/>
      <c r="S108" s="967"/>
      <c r="T108" s="967"/>
      <c r="U108" s="967"/>
      <c r="V108" s="967"/>
      <c r="W108" s="967"/>
      <c r="X108" s="967"/>
      <c r="Y108" s="967"/>
      <c r="Z108" s="967"/>
      <c r="AA108" s="967"/>
      <c r="AB108" s="967"/>
      <c r="AC108" s="967"/>
      <c r="AD108" s="967"/>
      <c r="AE108" s="967"/>
      <c r="AF108" s="967"/>
      <c r="AG108" s="967"/>
      <c r="AH108" s="967"/>
      <c r="AI108" s="967"/>
      <c r="AJ108" s="967"/>
      <c r="AK108" s="967"/>
      <c r="AL108" s="360"/>
    </row>
    <row r="109" spans="1:38" ht="11.25" customHeight="1">
      <c r="A109" s="359"/>
      <c r="B109" s="359"/>
      <c r="C109" s="359"/>
      <c r="D109" s="359"/>
      <c r="E109" s="359"/>
      <c r="F109" s="359"/>
      <c r="G109" s="359"/>
      <c r="H109" s="359"/>
      <c r="I109" s="359"/>
      <c r="J109" s="359"/>
      <c r="K109" s="359"/>
      <c r="L109" s="359"/>
      <c r="M109" s="359"/>
      <c r="N109" s="359"/>
      <c r="O109" s="359"/>
      <c r="P109" s="359"/>
      <c r="Q109" s="359"/>
      <c r="R109" s="359"/>
      <c r="S109" s="359"/>
      <c r="T109" s="359"/>
      <c r="U109" s="359"/>
      <c r="V109" s="359"/>
      <c r="W109" s="359"/>
      <c r="X109" s="359"/>
      <c r="Y109" s="359"/>
      <c r="Z109" s="359"/>
      <c r="AA109" s="359"/>
      <c r="AB109" s="359"/>
      <c r="AC109" s="359"/>
      <c r="AD109" s="359"/>
      <c r="AE109" s="359"/>
      <c r="AF109" s="359"/>
      <c r="AG109" s="359"/>
      <c r="AH109" s="359"/>
      <c r="AI109" s="359"/>
      <c r="AJ109" s="359"/>
      <c r="AK109" s="359"/>
      <c r="AL109" s="360"/>
    </row>
    <row r="110" spans="1:38" ht="22.5" customHeight="1">
      <c r="A110" s="359"/>
      <c r="B110" s="965" t="s">
        <v>467</v>
      </c>
      <c r="C110" s="965"/>
      <c r="D110" s="965"/>
      <c r="E110" s="965"/>
      <c r="F110" s="965"/>
      <c r="G110" s="965"/>
      <c r="H110" s="965"/>
      <c r="I110" s="965"/>
      <c r="J110" s="965"/>
      <c r="K110" s="965"/>
      <c r="L110" s="965"/>
      <c r="M110" s="965"/>
      <c r="N110" s="965"/>
      <c r="O110" s="965"/>
      <c r="P110" s="965"/>
      <c r="Q110" s="965"/>
      <c r="R110" s="965"/>
      <c r="S110" s="965"/>
      <c r="T110" s="965"/>
      <c r="U110" s="965"/>
      <c r="V110" s="965"/>
      <c r="W110" s="965"/>
      <c r="X110" s="965"/>
      <c r="Y110" s="965"/>
      <c r="Z110" s="965"/>
      <c r="AA110" s="965"/>
      <c r="AB110" s="965"/>
      <c r="AC110" s="965"/>
      <c r="AD110" s="965"/>
      <c r="AE110" s="965"/>
      <c r="AF110" s="965"/>
      <c r="AG110" s="965"/>
      <c r="AH110" s="965"/>
      <c r="AI110" s="965"/>
      <c r="AJ110" s="965"/>
      <c r="AK110" s="965"/>
      <c r="AL110" s="360"/>
    </row>
    <row r="111" spans="1:38" ht="12.75" customHeight="1">
      <c r="A111" s="359"/>
      <c r="B111" s="359"/>
      <c r="C111" s="359"/>
      <c r="D111" s="359"/>
      <c r="E111" s="359"/>
      <c r="F111" s="359"/>
      <c r="G111" s="359"/>
      <c r="H111" s="359"/>
      <c r="I111" s="359"/>
      <c r="J111" s="359"/>
      <c r="K111" s="359"/>
      <c r="L111" s="359"/>
      <c r="M111" s="359"/>
      <c r="N111" s="359"/>
      <c r="O111" s="359"/>
      <c r="P111" s="359"/>
      <c r="Q111" s="359"/>
      <c r="R111" s="359"/>
      <c r="S111" s="359"/>
      <c r="T111" s="359"/>
      <c r="U111" s="359"/>
      <c r="V111" s="359"/>
      <c r="W111" s="359"/>
      <c r="X111" s="359"/>
      <c r="Y111" s="359"/>
      <c r="Z111" s="359"/>
      <c r="AA111" s="359"/>
      <c r="AB111" s="359"/>
      <c r="AC111" s="359"/>
      <c r="AD111" s="359"/>
      <c r="AE111" s="359"/>
      <c r="AF111" s="359"/>
      <c r="AG111" s="359"/>
      <c r="AH111" s="359"/>
      <c r="AI111" s="359"/>
      <c r="AJ111" s="359"/>
      <c r="AK111" s="359"/>
      <c r="AL111" s="360"/>
    </row>
    <row r="112" spans="1:38" ht="12.75" customHeight="1">
      <c r="A112" s="359"/>
      <c r="B112" s="1018" t="s">
        <v>199</v>
      </c>
      <c r="C112" s="1018"/>
      <c r="D112" s="1018"/>
      <c r="E112" s="1018"/>
      <c r="F112" s="1018"/>
      <c r="G112" s="1018"/>
      <c r="H112" s="1018"/>
      <c r="I112" s="1018"/>
      <c r="J112" s="1018"/>
      <c r="K112" s="1018"/>
      <c r="L112" s="1018"/>
      <c r="M112" s="1018"/>
      <c r="N112" s="1018"/>
      <c r="O112" s="1018"/>
      <c r="P112" s="1018"/>
      <c r="Q112" s="1018"/>
      <c r="R112" s="1018"/>
      <c r="S112" s="1018"/>
      <c r="T112" s="1018"/>
      <c r="U112" s="1018"/>
      <c r="V112" s="1018"/>
      <c r="W112" s="1018"/>
      <c r="X112" s="1018"/>
      <c r="Y112" s="1018"/>
      <c r="Z112" s="1018"/>
      <c r="AA112" s="1018"/>
      <c r="AB112" s="1018"/>
      <c r="AC112" s="1018"/>
      <c r="AD112" s="1018"/>
      <c r="AE112" s="1018"/>
      <c r="AF112" s="1018"/>
      <c r="AG112" s="1018"/>
      <c r="AH112" s="1018"/>
      <c r="AI112" s="1018"/>
      <c r="AJ112" s="1018"/>
      <c r="AK112" s="1018"/>
      <c r="AL112" s="360"/>
    </row>
    <row r="113" spans="1:38" ht="12.75" customHeight="1">
      <c r="A113" s="359"/>
      <c r="B113" s="362"/>
      <c r="C113" s="362"/>
      <c r="D113" s="362"/>
      <c r="E113" s="362"/>
      <c r="F113" s="362"/>
      <c r="G113" s="362"/>
      <c r="H113" s="362"/>
      <c r="I113" s="362"/>
      <c r="J113" s="362"/>
      <c r="K113" s="362"/>
      <c r="L113" s="362"/>
      <c r="M113" s="362"/>
      <c r="N113" s="362"/>
      <c r="O113" s="362"/>
      <c r="P113" s="362"/>
      <c r="Q113" s="362"/>
      <c r="R113" s="362"/>
      <c r="S113" s="362"/>
      <c r="T113" s="362"/>
      <c r="U113" s="362"/>
      <c r="V113" s="362"/>
      <c r="W113" s="362"/>
      <c r="X113" s="362"/>
      <c r="Y113" s="362"/>
      <c r="Z113" s="362"/>
      <c r="AA113" s="362"/>
      <c r="AB113" s="362"/>
      <c r="AC113" s="362"/>
      <c r="AD113" s="362"/>
      <c r="AE113" s="362"/>
      <c r="AF113" s="362"/>
      <c r="AG113" s="362"/>
      <c r="AH113" s="362"/>
      <c r="AI113" s="362"/>
      <c r="AJ113" s="362"/>
      <c r="AK113" s="362"/>
      <c r="AL113" s="360"/>
    </row>
    <row r="114" spans="1:38" ht="11.25" customHeight="1">
      <c r="A114" s="359"/>
      <c r="B114" s="859" t="s">
        <v>200</v>
      </c>
      <c r="C114" s="859"/>
      <c r="D114" s="859"/>
      <c r="E114" s="859"/>
      <c r="F114" s="859"/>
      <c r="G114" s="859"/>
      <c r="H114" s="859"/>
      <c r="I114" s="859"/>
      <c r="J114" s="859"/>
      <c r="K114" s="859"/>
      <c r="L114" s="859"/>
      <c r="M114" s="859"/>
      <c r="N114" s="859"/>
      <c r="O114" s="859"/>
      <c r="P114" s="859"/>
      <c r="Q114" s="859"/>
      <c r="R114" s="859"/>
      <c r="S114" s="859"/>
      <c r="T114" s="859"/>
      <c r="U114" s="859"/>
      <c r="V114" s="859"/>
      <c r="W114" s="859"/>
      <c r="X114" s="859"/>
      <c r="Y114" s="859"/>
      <c r="Z114" s="859"/>
      <c r="AA114" s="859"/>
      <c r="AB114" s="859"/>
      <c r="AC114" s="859"/>
      <c r="AD114" s="859"/>
      <c r="AE114" s="859"/>
      <c r="AF114" s="859"/>
      <c r="AG114" s="859"/>
      <c r="AH114" s="859"/>
      <c r="AI114" s="859"/>
      <c r="AJ114" s="859"/>
      <c r="AK114" s="859"/>
      <c r="AL114" s="360"/>
    </row>
    <row r="115" spans="1:38" ht="12.75" customHeight="1">
      <c r="A115" s="359"/>
      <c r="B115" s="362"/>
      <c r="C115" s="362"/>
      <c r="D115" s="362"/>
      <c r="E115" s="362"/>
      <c r="F115" s="362"/>
      <c r="G115" s="362"/>
      <c r="H115" s="362"/>
      <c r="I115" s="362"/>
      <c r="J115" s="362"/>
      <c r="K115" s="362"/>
      <c r="L115" s="362"/>
      <c r="M115" s="362"/>
      <c r="N115" s="362"/>
      <c r="O115" s="362"/>
      <c r="P115" s="362"/>
      <c r="Q115" s="362"/>
      <c r="R115" s="362"/>
      <c r="S115" s="362"/>
      <c r="T115" s="362"/>
      <c r="U115" s="362"/>
      <c r="V115" s="362"/>
      <c r="W115" s="362"/>
      <c r="X115" s="362"/>
      <c r="Y115" s="362"/>
      <c r="Z115" s="362"/>
      <c r="AA115" s="362"/>
      <c r="AB115" s="362"/>
      <c r="AC115" s="362"/>
      <c r="AD115" s="362"/>
      <c r="AE115" s="362"/>
      <c r="AF115" s="362"/>
      <c r="AG115" s="362"/>
      <c r="AH115" s="362"/>
      <c r="AI115" s="362"/>
      <c r="AJ115" s="362"/>
      <c r="AK115" s="362"/>
      <c r="AL115" s="360"/>
    </row>
    <row r="116" spans="1:38" ht="33.75" customHeight="1">
      <c r="A116" s="359"/>
      <c r="B116" s="798" t="s">
        <v>301</v>
      </c>
      <c r="C116" s="798"/>
      <c r="D116" s="798"/>
      <c r="E116" s="798"/>
      <c r="F116" s="798"/>
      <c r="G116" s="798"/>
      <c r="H116" s="798"/>
      <c r="I116" s="798"/>
      <c r="J116" s="798"/>
      <c r="K116" s="798"/>
      <c r="L116" s="798"/>
      <c r="M116" s="798"/>
      <c r="N116" s="798"/>
      <c r="O116" s="798"/>
      <c r="P116" s="798"/>
      <c r="Q116" s="798"/>
      <c r="R116" s="798"/>
      <c r="S116" s="798"/>
      <c r="T116" s="798"/>
      <c r="U116" s="798"/>
      <c r="V116" s="798"/>
      <c r="W116" s="798"/>
      <c r="X116" s="798"/>
      <c r="Y116" s="798"/>
      <c r="Z116" s="798"/>
      <c r="AA116" s="798"/>
      <c r="AB116" s="798"/>
      <c r="AC116" s="798"/>
      <c r="AD116" s="798"/>
      <c r="AE116" s="798"/>
      <c r="AF116" s="798"/>
      <c r="AG116" s="798"/>
      <c r="AH116" s="798"/>
      <c r="AI116" s="798"/>
      <c r="AJ116" s="798"/>
      <c r="AK116" s="798"/>
      <c r="AL116" s="360"/>
    </row>
    <row r="117" spans="1:38" ht="11.25" customHeight="1">
      <c r="A117" s="359"/>
      <c r="B117" s="499"/>
      <c r="C117" s="362"/>
      <c r="D117" s="362"/>
      <c r="E117" s="362"/>
      <c r="F117" s="362"/>
      <c r="G117" s="362"/>
      <c r="H117" s="362"/>
      <c r="I117" s="362"/>
      <c r="J117" s="362"/>
      <c r="K117" s="362"/>
      <c r="L117" s="362"/>
      <c r="M117" s="362"/>
      <c r="N117" s="362"/>
      <c r="O117" s="362"/>
      <c r="P117" s="362"/>
      <c r="Q117" s="362"/>
      <c r="R117" s="362"/>
      <c r="S117" s="362"/>
      <c r="T117" s="362"/>
      <c r="U117" s="362"/>
      <c r="V117" s="362"/>
      <c r="W117" s="362"/>
      <c r="X117" s="362"/>
      <c r="Y117" s="362"/>
      <c r="Z117" s="362"/>
      <c r="AA117" s="362"/>
      <c r="AB117" s="362"/>
      <c r="AC117" s="362"/>
      <c r="AD117" s="362"/>
      <c r="AE117" s="362"/>
      <c r="AF117" s="362"/>
      <c r="AG117" s="362"/>
      <c r="AH117" s="362"/>
      <c r="AI117" s="362"/>
      <c r="AJ117" s="362"/>
      <c r="AK117" s="362"/>
      <c r="AL117" s="360"/>
    </row>
    <row r="118" spans="1:38" ht="22.5" customHeight="1">
      <c r="A118" s="359"/>
      <c r="B118" s="798" t="s">
        <v>766</v>
      </c>
      <c r="C118" s="798"/>
      <c r="D118" s="798"/>
      <c r="E118" s="798"/>
      <c r="F118" s="798"/>
      <c r="G118" s="798"/>
      <c r="H118" s="798"/>
      <c r="I118" s="798"/>
      <c r="J118" s="798"/>
      <c r="K118" s="798"/>
      <c r="L118" s="798"/>
      <c r="M118" s="798"/>
      <c r="N118" s="798"/>
      <c r="O118" s="798"/>
      <c r="P118" s="798"/>
      <c r="Q118" s="798"/>
      <c r="R118" s="798"/>
      <c r="S118" s="798"/>
      <c r="T118" s="798"/>
      <c r="U118" s="798"/>
      <c r="V118" s="798"/>
      <c r="W118" s="798"/>
      <c r="X118" s="798"/>
      <c r="Y118" s="798"/>
      <c r="Z118" s="798"/>
      <c r="AA118" s="798"/>
      <c r="AB118" s="798"/>
      <c r="AC118" s="798"/>
      <c r="AD118" s="798"/>
      <c r="AE118" s="798"/>
      <c r="AF118" s="798"/>
      <c r="AG118" s="798"/>
      <c r="AH118" s="798"/>
      <c r="AI118" s="798"/>
      <c r="AJ118" s="798"/>
      <c r="AK118" s="798"/>
      <c r="AL118" s="360"/>
    </row>
    <row r="119" spans="1:38" ht="22.5" customHeight="1">
      <c r="A119" s="359"/>
      <c r="B119" s="725" t="s">
        <v>767</v>
      </c>
      <c r="C119" s="725"/>
      <c r="D119" s="725"/>
      <c r="E119" s="725"/>
      <c r="F119" s="725"/>
      <c r="G119" s="725"/>
      <c r="H119" s="725"/>
      <c r="I119" s="725"/>
      <c r="J119" s="725"/>
      <c r="K119" s="725"/>
      <c r="L119" s="725"/>
      <c r="M119" s="725"/>
      <c r="N119" s="725"/>
      <c r="O119" s="725"/>
      <c r="P119" s="725"/>
      <c r="Q119" s="725"/>
      <c r="R119" s="725"/>
      <c r="S119" s="725"/>
      <c r="T119" s="725"/>
      <c r="U119" s="725"/>
      <c r="V119" s="725"/>
      <c r="W119" s="725"/>
      <c r="X119" s="725"/>
      <c r="Y119" s="725"/>
      <c r="Z119" s="725"/>
      <c r="AA119" s="725"/>
      <c r="AB119" s="725"/>
      <c r="AC119" s="725"/>
      <c r="AD119" s="725"/>
      <c r="AE119" s="725"/>
      <c r="AF119" s="725"/>
      <c r="AG119" s="725"/>
      <c r="AH119" s="725"/>
      <c r="AI119" s="725"/>
      <c r="AJ119" s="725"/>
      <c r="AK119" s="725"/>
      <c r="AL119" s="360"/>
    </row>
    <row r="120" spans="1:38" ht="22.5" customHeight="1">
      <c r="A120" s="359"/>
      <c r="B120" s="725" t="s">
        <v>768</v>
      </c>
      <c r="C120" s="725"/>
      <c r="D120" s="725"/>
      <c r="E120" s="725"/>
      <c r="F120" s="725"/>
      <c r="G120" s="725"/>
      <c r="H120" s="725"/>
      <c r="I120" s="725"/>
      <c r="J120" s="725"/>
      <c r="K120" s="725"/>
      <c r="L120" s="725"/>
      <c r="M120" s="725"/>
      <c r="N120" s="725"/>
      <c r="O120" s="725"/>
      <c r="P120" s="725"/>
      <c r="Q120" s="725"/>
      <c r="R120" s="725"/>
      <c r="S120" s="725"/>
      <c r="T120" s="725"/>
      <c r="U120" s="725"/>
      <c r="V120" s="725"/>
      <c r="W120" s="725"/>
      <c r="X120" s="725"/>
      <c r="Y120" s="725"/>
      <c r="Z120" s="725"/>
      <c r="AA120" s="725"/>
      <c r="AB120" s="725"/>
      <c r="AC120" s="725"/>
      <c r="AD120" s="725"/>
      <c r="AE120" s="725"/>
      <c r="AF120" s="725"/>
      <c r="AG120" s="725"/>
      <c r="AH120" s="725"/>
      <c r="AI120" s="725"/>
      <c r="AJ120" s="725"/>
      <c r="AK120" s="725"/>
      <c r="AL120" s="360"/>
    </row>
    <row r="121" spans="1:38" ht="33.75" customHeight="1">
      <c r="A121" s="359"/>
      <c r="B121" s="725" t="s">
        <v>769</v>
      </c>
      <c r="C121" s="725"/>
      <c r="D121" s="725"/>
      <c r="E121" s="725"/>
      <c r="F121" s="725"/>
      <c r="G121" s="725"/>
      <c r="H121" s="725"/>
      <c r="I121" s="725"/>
      <c r="J121" s="725"/>
      <c r="K121" s="725"/>
      <c r="L121" s="725"/>
      <c r="M121" s="725"/>
      <c r="N121" s="725"/>
      <c r="O121" s="725"/>
      <c r="P121" s="725"/>
      <c r="Q121" s="725"/>
      <c r="R121" s="725"/>
      <c r="S121" s="725"/>
      <c r="T121" s="725"/>
      <c r="U121" s="725"/>
      <c r="V121" s="725"/>
      <c r="W121" s="725"/>
      <c r="X121" s="725"/>
      <c r="Y121" s="725"/>
      <c r="Z121" s="725"/>
      <c r="AA121" s="725"/>
      <c r="AB121" s="725"/>
      <c r="AC121" s="725"/>
      <c r="AD121" s="725"/>
      <c r="AE121" s="725"/>
      <c r="AF121" s="725"/>
      <c r="AG121" s="725"/>
      <c r="AH121" s="725"/>
      <c r="AI121" s="725"/>
      <c r="AJ121" s="725"/>
      <c r="AK121" s="725"/>
      <c r="AL121" s="360"/>
    </row>
    <row r="122" spans="1:38" ht="56.25" customHeight="1">
      <c r="A122" s="359"/>
      <c r="B122" s="620" t="s">
        <v>765</v>
      </c>
      <c r="C122" s="620"/>
      <c r="D122" s="620"/>
      <c r="E122" s="620"/>
      <c r="F122" s="620"/>
      <c r="G122" s="620"/>
      <c r="H122" s="620"/>
      <c r="I122" s="620"/>
      <c r="J122" s="620"/>
      <c r="K122" s="620"/>
      <c r="L122" s="620"/>
      <c r="M122" s="620"/>
      <c r="N122" s="620"/>
      <c r="O122" s="620"/>
      <c r="P122" s="620"/>
      <c r="Q122" s="620"/>
      <c r="R122" s="620"/>
      <c r="S122" s="620"/>
      <c r="T122" s="620"/>
      <c r="U122" s="620"/>
      <c r="V122" s="620"/>
      <c r="W122" s="620"/>
      <c r="X122" s="620"/>
      <c r="Y122" s="620"/>
      <c r="Z122" s="620"/>
      <c r="AA122" s="620"/>
      <c r="AB122" s="620"/>
      <c r="AC122" s="620"/>
      <c r="AD122" s="620"/>
      <c r="AE122" s="620"/>
      <c r="AF122" s="620"/>
      <c r="AG122" s="620"/>
      <c r="AH122" s="620"/>
      <c r="AI122" s="620"/>
      <c r="AJ122" s="620"/>
      <c r="AK122" s="620"/>
      <c r="AL122" s="360"/>
    </row>
    <row r="123" spans="1:38" ht="12.75" customHeight="1">
      <c r="A123" s="359"/>
      <c r="B123" s="359"/>
      <c r="C123" s="359"/>
      <c r="D123" s="359"/>
      <c r="E123" s="359"/>
      <c r="F123" s="359"/>
      <c r="G123" s="359"/>
      <c r="H123" s="359"/>
      <c r="I123" s="359"/>
      <c r="J123" s="359"/>
      <c r="K123" s="359"/>
      <c r="L123" s="359"/>
      <c r="M123" s="359"/>
      <c r="N123" s="359"/>
      <c r="O123" s="359"/>
      <c r="P123" s="359"/>
      <c r="Q123" s="359"/>
      <c r="R123" s="359"/>
      <c r="S123" s="359"/>
      <c r="T123" s="359"/>
      <c r="U123" s="359"/>
      <c r="V123" s="359"/>
      <c r="W123" s="359"/>
      <c r="X123" s="359"/>
      <c r="Y123" s="359"/>
      <c r="Z123" s="359"/>
      <c r="AA123" s="359"/>
      <c r="AB123" s="359"/>
      <c r="AC123" s="359"/>
      <c r="AD123" s="359"/>
      <c r="AE123" s="359"/>
      <c r="AF123" s="359"/>
      <c r="AG123" s="359"/>
      <c r="AH123" s="359"/>
      <c r="AI123" s="359"/>
      <c r="AJ123" s="359"/>
      <c r="AK123" s="359"/>
      <c r="AL123" s="360"/>
    </row>
    <row r="124" spans="1:38" ht="12.75" customHeight="1">
      <c r="A124" s="359"/>
      <c r="B124" s="359"/>
      <c r="C124" s="359"/>
      <c r="D124" s="359"/>
      <c r="E124" s="359"/>
      <c r="F124" s="359"/>
      <c r="G124" s="359"/>
      <c r="H124" s="359"/>
      <c r="I124" s="359"/>
      <c r="J124" s="359"/>
      <c r="K124" s="359"/>
      <c r="L124" s="359"/>
      <c r="M124" s="359"/>
      <c r="N124" s="359"/>
      <c r="O124" s="359"/>
      <c r="P124" s="359"/>
      <c r="Q124" s="359"/>
      <c r="R124" s="359"/>
      <c r="S124" s="359"/>
      <c r="T124" s="359"/>
      <c r="U124" s="359"/>
      <c r="V124" s="359"/>
      <c r="W124" s="359"/>
      <c r="X124" s="359"/>
      <c r="Y124" s="359"/>
      <c r="Z124" s="359"/>
      <c r="AA124" s="359"/>
      <c r="AB124" s="359"/>
      <c r="AC124" s="359"/>
      <c r="AD124" s="359"/>
      <c r="AE124" s="359"/>
      <c r="AF124" s="359"/>
      <c r="AG124" s="359"/>
      <c r="AH124" s="359"/>
      <c r="AI124" s="359"/>
      <c r="AJ124" s="359"/>
      <c r="AK124" s="359"/>
      <c r="AL124" s="360"/>
    </row>
    <row r="125" spans="1:38" ht="12.75" customHeight="1">
      <c r="A125" s="359"/>
      <c r="B125" s="359"/>
      <c r="C125" s="359"/>
      <c r="D125" s="359"/>
      <c r="E125" s="359"/>
      <c r="F125" s="359"/>
      <c r="G125" s="359"/>
      <c r="H125" s="359"/>
      <c r="I125" s="359"/>
      <c r="J125" s="359"/>
      <c r="K125" s="359"/>
      <c r="L125" s="359"/>
      <c r="M125" s="359"/>
      <c r="N125" s="359"/>
      <c r="O125" s="359"/>
      <c r="P125" s="359"/>
      <c r="Q125" s="359"/>
      <c r="R125" s="359"/>
      <c r="S125" s="359"/>
      <c r="T125" s="359"/>
      <c r="U125" s="359"/>
      <c r="V125" s="359"/>
      <c r="W125" s="359"/>
      <c r="X125" s="359"/>
      <c r="Y125" s="359"/>
      <c r="Z125" s="359"/>
      <c r="AA125" s="359"/>
      <c r="AB125" s="359"/>
      <c r="AC125" s="359"/>
      <c r="AD125" s="359"/>
      <c r="AE125" s="359"/>
      <c r="AF125" s="359"/>
      <c r="AG125" s="359"/>
      <c r="AH125" s="359"/>
      <c r="AI125" s="359"/>
      <c r="AJ125" s="359"/>
      <c r="AK125" s="359"/>
      <c r="AL125" s="360"/>
    </row>
    <row r="126" spans="1:38" ht="12.75" customHeight="1">
      <c r="A126" s="359"/>
      <c r="B126" s="359"/>
      <c r="C126" s="359"/>
      <c r="D126" s="359"/>
      <c r="E126" s="359"/>
      <c r="F126" s="359"/>
      <c r="G126" s="359"/>
      <c r="H126" s="359"/>
      <c r="I126" s="359"/>
      <c r="J126" s="359"/>
      <c r="K126" s="359"/>
      <c r="L126" s="359"/>
      <c r="M126" s="359"/>
      <c r="N126" s="359"/>
      <c r="O126" s="359"/>
      <c r="P126" s="359"/>
      <c r="Q126" s="359"/>
      <c r="R126" s="359"/>
      <c r="S126" s="359"/>
      <c r="T126" s="359"/>
      <c r="U126" s="359"/>
      <c r="V126" s="359"/>
      <c r="W126" s="359"/>
      <c r="X126" s="359"/>
      <c r="Y126" s="359"/>
      <c r="Z126" s="359"/>
      <c r="AA126" s="359"/>
      <c r="AB126" s="359"/>
      <c r="AC126" s="359"/>
      <c r="AD126" s="359"/>
      <c r="AE126" s="359"/>
      <c r="AF126" s="359"/>
      <c r="AG126" s="359"/>
      <c r="AH126" s="359"/>
      <c r="AI126" s="359"/>
      <c r="AJ126" s="359"/>
      <c r="AK126" s="359"/>
      <c r="AL126" s="360"/>
    </row>
    <row r="127" spans="1:38" ht="12.75" customHeight="1">
      <c r="A127" s="359"/>
      <c r="B127" s="359"/>
      <c r="C127" s="359"/>
      <c r="D127" s="359"/>
      <c r="E127" s="359"/>
      <c r="F127" s="359"/>
      <c r="G127" s="359"/>
      <c r="H127" s="359"/>
      <c r="I127" s="359"/>
      <c r="J127" s="359"/>
      <c r="K127" s="359"/>
      <c r="L127" s="359"/>
      <c r="M127" s="359"/>
      <c r="N127" s="359"/>
      <c r="O127" s="359"/>
      <c r="P127" s="359"/>
      <c r="Q127" s="359"/>
      <c r="R127" s="359"/>
      <c r="S127" s="359"/>
      <c r="T127" s="359"/>
      <c r="U127" s="359"/>
      <c r="V127" s="359"/>
      <c r="W127" s="359"/>
      <c r="X127" s="359"/>
      <c r="Y127" s="359"/>
      <c r="Z127" s="359"/>
      <c r="AA127" s="359"/>
      <c r="AB127" s="359"/>
      <c r="AC127" s="359"/>
      <c r="AD127" s="359"/>
      <c r="AE127" s="359"/>
      <c r="AF127" s="359"/>
      <c r="AG127" s="359"/>
      <c r="AH127" s="359"/>
      <c r="AI127" s="359"/>
      <c r="AJ127" s="359"/>
      <c r="AK127" s="359"/>
      <c r="AL127" s="360"/>
    </row>
    <row r="128" spans="1:38" ht="78.75" customHeight="1">
      <c r="A128" s="359"/>
      <c r="B128" s="798" t="s">
        <v>770</v>
      </c>
      <c r="C128" s="798"/>
      <c r="D128" s="798"/>
      <c r="E128" s="798"/>
      <c r="F128" s="798"/>
      <c r="G128" s="798"/>
      <c r="H128" s="798"/>
      <c r="I128" s="798"/>
      <c r="J128" s="798"/>
      <c r="K128" s="798"/>
      <c r="L128" s="798"/>
      <c r="M128" s="798"/>
      <c r="N128" s="798"/>
      <c r="O128" s="798"/>
      <c r="P128" s="798"/>
      <c r="Q128" s="798"/>
      <c r="R128" s="798"/>
      <c r="S128" s="798"/>
      <c r="T128" s="798"/>
      <c r="U128" s="798"/>
      <c r="V128" s="798"/>
      <c r="W128" s="798"/>
      <c r="X128" s="798"/>
      <c r="Y128" s="798"/>
      <c r="Z128" s="798"/>
      <c r="AA128" s="798"/>
      <c r="AB128" s="798"/>
      <c r="AC128" s="798"/>
      <c r="AD128" s="798"/>
      <c r="AE128" s="798"/>
      <c r="AF128" s="798"/>
      <c r="AG128" s="798"/>
      <c r="AH128" s="798"/>
      <c r="AI128" s="798"/>
      <c r="AJ128" s="798"/>
      <c r="AK128" s="798"/>
      <c r="AL128" s="360"/>
    </row>
    <row r="129" spans="1:38" ht="52.5" customHeight="1">
      <c r="A129" s="359"/>
      <c r="B129" s="725" t="s">
        <v>771</v>
      </c>
      <c r="C129" s="725"/>
      <c r="D129" s="725"/>
      <c r="E129" s="725"/>
      <c r="F129" s="725"/>
      <c r="G129" s="725"/>
      <c r="H129" s="725"/>
      <c r="I129" s="725"/>
      <c r="J129" s="725"/>
      <c r="K129" s="725"/>
      <c r="L129" s="725"/>
      <c r="M129" s="725"/>
      <c r="N129" s="725"/>
      <c r="O129" s="725"/>
      <c r="P129" s="725"/>
      <c r="Q129" s="725"/>
      <c r="R129" s="725"/>
      <c r="S129" s="725"/>
      <c r="T129" s="725"/>
      <c r="U129" s="725"/>
      <c r="V129" s="725"/>
      <c r="W129" s="725"/>
      <c r="X129" s="725"/>
      <c r="Y129" s="725"/>
      <c r="Z129" s="725"/>
      <c r="AA129" s="725"/>
      <c r="AB129" s="725"/>
      <c r="AC129" s="725"/>
      <c r="AD129" s="725"/>
      <c r="AE129" s="725"/>
      <c r="AF129" s="725"/>
      <c r="AG129" s="725"/>
      <c r="AH129" s="725"/>
      <c r="AI129" s="725"/>
      <c r="AJ129" s="725"/>
      <c r="AK129" s="725"/>
      <c r="AL129" s="360"/>
    </row>
    <row r="130" spans="1:38" ht="45" customHeight="1">
      <c r="A130" s="359"/>
      <c r="B130" s="725" t="s">
        <v>772</v>
      </c>
      <c r="C130" s="725"/>
      <c r="D130" s="725"/>
      <c r="E130" s="725"/>
      <c r="F130" s="725"/>
      <c r="G130" s="725"/>
      <c r="H130" s="725"/>
      <c r="I130" s="725"/>
      <c r="J130" s="725"/>
      <c r="K130" s="725"/>
      <c r="L130" s="725"/>
      <c r="M130" s="725"/>
      <c r="N130" s="725"/>
      <c r="O130" s="725"/>
      <c r="P130" s="725"/>
      <c r="Q130" s="725"/>
      <c r="R130" s="725"/>
      <c r="S130" s="725"/>
      <c r="T130" s="725"/>
      <c r="U130" s="725"/>
      <c r="V130" s="725"/>
      <c r="W130" s="725"/>
      <c r="X130" s="725"/>
      <c r="Y130" s="725"/>
      <c r="Z130" s="725"/>
      <c r="AA130" s="725"/>
      <c r="AB130" s="725"/>
      <c r="AC130" s="725"/>
      <c r="AD130" s="725"/>
      <c r="AE130" s="725"/>
      <c r="AF130" s="725"/>
      <c r="AG130" s="725"/>
      <c r="AH130" s="725"/>
      <c r="AI130" s="725"/>
      <c r="AJ130" s="725"/>
      <c r="AK130" s="725"/>
      <c r="AL130" s="360"/>
    </row>
    <row r="131" spans="1:38" ht="45" customHeight="1">
      <c r="A131" s="359"/>
      <c r="B131" s="1054" t="s">
        <v>773</v>
      </c>
      <c r="C131" s="1054"/>
      <c r="D131" s="1054"/>
      <c r="E131" s="1054"/>
      <c r="F131" s="1054"/>
      <c r="G131" s="1054"/>
      <c r="H131" s="1054"/>
      <c r="I131" s="1054"/>
      <c r="J131" s="1054"/>
      <c r="K131" s="1054"/>
      <c r="L131" s="1054"/>
      <c r="M131" s="1054"/>
      <c r="N131" s="1054"/>
      <c r="O131" s="1054"/>
      <c r="P131" s="1054"/>
      <c r="Q131" s="1054"/>
      <c r="R131" s="1054"/>
      <c r="S131" s="1054"/>
      <c r="T131" s="1054"/>
      <c r="U131" s="1054"/>
      <c r="V131" s="1054"/>
      <c r="W131" s="1054"/>
      <c r="X131" s="1054"/>
      <c r="Y131" s="1054"/>
      <c r="Z131" s="1054"/>
      <c r="AA131" s="1054"/>
      <c r="AB131" s="1054"/>
      <c r="AC131" s="1054"/>
      <c r="AD131" s="1054"/>
      <c r="AE131" s="1054"/>
      <c r="AF131" s="1054"/>
      <c r="AG131" s="1054"/>
      <c r="AH131" s="1054"/>
      <c r="AI131" s="1054"/>
      <c r="AJ131" s="1054"/>
      <c r="AK131" s="1054"/>
      <c r="AL131" s="360"/>
    </row>
    <row r="132" spans="1:38" ht="22.5" customHeight="1">
      <c r="A132" s="359"/>
      <c r="B132" s="725" t="s">
        <v>774</v>
      </c>
      <c r="C132" s="725"/>
      <c r="D132" s="725"/>
      <c r="E132" s="725"/>
      <c r="F132" s="725"/>
      <c r="G132" s="725"/>
      <c r="H132" s="725"/>
      <c r="I132" s="725"/>
      <c r="J132" s="725"/>
      <c r="K132" s="725"/>
      <c r="L132" s="725"/>
      <c r="M132" s="725"/>
      <c r="N132" s="725"/>
      <c r="O132" s="725"/>
      <c r="P132" s="725"/>
      <c r="Q132" s="725"/>
      <c r="R132" s="725"/>
      <c r="S132" s="725"/>
      <c r="T132" s="725"/>
      <c r="U132" s="725"/>
      <c r="V132" s="725"/>
      <c r="W132" s="725"/>
      <c r="X132" s="725"/>
      <c r="Y132" s="725"/>
      <c r="Z132" s="725"/>
      <c r="AA132" s="725"/>
      <c r="AB132" s="725"/>
      <c r="AC132" s="725"/>
      <c r="AD132" s="725"/>
      <c r="AE132" s="725"/>
      <c r="AF132" s="725"/>
      <c r="AG132" s="725"/>
      <c r="AH132" s="725"/>
      <c r="AI132" s="725"/>
      <c r="AJ132" s="725"/>
      <c r="AK132" s="725"/>
      <c r="AL132" s="360"/>
    </row>
    <row r="133" spans="1:38" ht="45" customHeight="1">
      <c r="A133" s="359"/>
      <c r="B133" s="725" t="s">
        <v>721</v>
      </c>
      <c r="C133" s="725"/>
      <c r="D133" s="725"/>
      <c r="E133" s="725"/>
      <c r="F133" s="725"/>
      <c r="G133" s="725"/>
      <c r="H133" s="725"/>
      <c r="I133" s="725"/>
      <c r="J133" s="725"/>
      <c r="K133" s="725"/>
      <c r="L133" s="725"/>
      <c r="M133" s="725"/>
      <c r="N133" s="725"/>
      <c r="O133" s="725"/>
      <c r="P133" s="725"/>
      <c r="Q133" s="725"/>
      <c r="R133" s="725"/>
      <c r="S133" s="725"/>
      <c r="T133" s="725"/>
      <c r="U133" s="725"/>
      <c r="V133" s="725"/>
      <c r="W133" s="725"/>
      <c r="X133" s="725"/>
      <c r="Y133" s="725"/>
      <c r="Z133" s="725"/>
      <c r="AA133" s="725"/>
      <c r="AB133" s="725"/>
      <c r="AC133" s="725"/>
      <c r="AD133" s="725"/>
      <c r="AE133" s="725"/>
      <c r="AF133" s="725"/>
      <c r="AG133" s="725"/>
      <c r="AH133" s="725"/>
      <c r="AI133" s="725"/>
      <c r="AJ133" s="725"/>
      <c r="AK133" s="725"/>
      <c r="AL133" s="360"/>
    </row>
    <row r="134" spans="1:38" ht="33.75" customHeight="1">
      <c r="A134" s="359"/>
      <c r="B134" s="725" t="s">
        <v>717</v>
      </c>
      <c r="C134" s="725"/>
      <c r="D134" s="725"/>
      <c r="E134" s="725"/>
      <c r="F134" s="725"/>
      <c r="G134" s="725"/>
      <c r="H134" s="725"/>
      <c r="I134" s="725"/>
      <c r="J134" s="725"/>
      <c r="K134" s="725"/>
      <c r="L134" s="725"/>
      <c r="M134" s="725"/>
      <c r="N134" s="725"/>
      <c r="O134" s="725"/>
      <c r="P134" s="725"/>
      <c r="Q134" s="725"/>
      <c r="R134" s="725"/>
      <c r="S134" s="725"/>
      <c r="T134" s="725"/>
      <c r="U134" s="725"/>
      <c r="V134" s="725"/>
      <c r="W134" s="725"/>
      <c r="X134" s="725"/>
      <c r="Y134" s="725"/>
      <c r="Z134" s="725"/>
      <c r="AA134" s="725"/>
      <c r="AB134" s="725"/>
      <c r="AC134" s="725"/>
      <c r="AD134" s="725"/>
      <c r="AE134" s="725"/>
      <c r="AF134" s="725"/>
      <c r="AG134" s="725"/>
      <c r="AH134" s="725"/>
      <c r="AI134" s="725"/>
      <c r="AJ134" s="725"/>
      <c r="AK134" s="725"/>
      <c r="AL134" s="360"/>
    </row>
    <row r="135" spans="1:38" ht="22.5" customHeight="1">
      <c r="A135" s="359"/>
      <c r="B135" s="725" t="s">
        <v>723</v>
      </c>
      <c r="C135" s="725"/>
      <c r="D135" s="725"/>
      <c r="E135" s="725"/>
      <c r="F135" s="725"/>
      <c r="G135" s="725"/>
      <c r="H135" s="725"/>
      <c r="I135" s="725"/>
      <c r="J135" s="725"/>
      <c r="K135" s="725"/>
      <c r="L135" s="725"/>
      <c r="M135" s="725"/>
      <c r="N135" s="725"/>
      <c r="O135" s="725"/>
      <c r="P135" s="725"/>
      <c r="Q135" s="725"/>
      <c r="R135" s="725"/>
      <c r="S135" s="725"/>
      <c r="T135" s="725"/>
      <c r="U135" s="725"/>
      <c r="V135" s="725"/>
      <c r="W135" s="725"/>
      <c r="X135" s="725"/>
      <c r="Y135" s="725"/>
      <c r="Z135" s="725"/>
      <c r="AA135" s="725"/>
      <c r="AB135" s="725"/>
      <c r="AC135" s="725"/>
      <c r="AD135" s="725"/>
      <c r="AE135" s="725"/>
      <c r="AF135" s="725"/>
      <c r="AG135" s="725"/>
      <c r="AH135" s="725"/>
      <c r="AI135" s="725"/>
      <c r="AJ135" s="725"/>
      <c r="AK135" s="725"/>
      <c r="AL135" s="360"/>
    </row>
    <row r="136" spans="1:38" ht="22.5" customHeight="1">
      <c r="A136" s="359"/>
      <c r="B136" s="725" t="s">
        <v>718</v>
      </c>
      <c r="C136" s="725"/>
      <c r="D136" s="725"/>
      <c r="E136" s="725"/>
      <c r="F136" s="725"/>
      <c r="G136" s="725"/>
      <c r="H136" s="725"/>
      <c r="I136" s="725"/>
      <c r="J136" s="725"/>
      <c r="K136" s="725"/>
      <c r="L136" s="725"/>
      <c r="M136" s="725"/>
      <c r="N136" s="725"/>
      <c r="O136" s="725"/>
      <c r="P136" s="725"/>
      <c r="Q136" s="725"/>
      <c r="R136" s="725"/>
      <c r="S136" s="725"/>
      <c r="T136" s="725"/>
      <c r="U136" s="725"/>
      <c r="V136" s="725"/>
      <c r="W136" s="725"/>
      <c r="X136" s="725"/>
      <c r="Y136" s="725"/>
      <c r="Z136" s="725"/>
      <c r="AA136" s="725"/>
      <c r="AB136" s="725"/>
      <c r="AC136" s="725"/>
      <c r="AD136" s="725"/>
      <c r="AE136" s="725"/>
      <c r="AF136" s="725"/>
      <c r="AG136" s="725"/>
      <c r="AH136" s="725"/>
      <c r="AI136" s="725"/>
      <c r="AJ136" s="725"/>
      <c r="AK136" s="725"/>
      <c r="AL136" s="360"/>
    </row>
    <row r="137" spans="1:38" ht="22.5" customHeight="1">
      <c r="A137" s="359"/>
      <c r="B137" s="725" t="s">
        <v>775</v>
      </c>
      <c r="C137" s="725"/>
      <c r="D137" s="725"/>
      <c r="E137" s="725"/>
      <c r="F137" s="725"/>
      <c r="G137" s="725"/>
      <c r="H137" s="725"/>
      <c r="I137" s="725"/>
      <c r="J137" s="725"/>
      <c r="K137" s="725"/>
      <c r="L137" s="725"/>
      <c r="M137" s="725"/>
      <c r="N137" s="725"/>
      <c r="O137" s="725"/>
      <c r="P137" s="725"/>
      <c r="Q137" s="725"/>
      <c r="R137" s="725"/>
      <c r="S137" s="725"/>
      <c r="T137" s="725"/>
      <c r="U137" s="725"/>
      <c r="V137" s="725"/>
      <c r="W137" s="725"/>
      <c r="X137" s="725"/>
      <c r="Y137" s="725"/>
      <c r="Z137" s="725"/>
      <c r="AA137" s="725"/>
      <c r="AB137" s="725"/>
      <c r="AC137" s="725"/>
      <c r="AD137" s="725"/>
      <c r="AE137" s="725"/>
      <c r="AF137" s="725"/>
      <c r="AG137" s="725"/>
      <c r="AH137" s="725"/>
      <c r="AI137" s="725"/>
      <c r="AJ137" s="725"/>
      <c r="AK137" s="725"/>
      <c r="AL137" s="360"/>
    </row>
    <row r="138" spans="1:38" ht="33.75" customHeight="1">
      <c r="A138" s="359"/>
      <c r="B138" s="725" t="s">
        <v>776</v>
      </c>
      <c r="C138" s="725"/>
      <c r="D138" s="725"/>
      <c r="E138" s="725"/>
      <c r="F138" s="725"/>
      <c r="G138" s="725"/>
      <c r="H138" s="725"/>
      <c r="I138" s="725"/>
      <c r="J138" s="725"/>
      <c r="K138" s="725"/>
      <c r="L138" s="725"/>
      <c r="M138" s="725"/>
      <c r="N138" s="725"/>
      <c r="O138" s="725"/>
      <c r="P138" s="725"/>
      <c r="Q138" s="725"/>
      <c r="R138" s="725"/>
      <c r="S138" s="725"/>
      <c r="T138" s="725"/>
      <c r="U138" s="725"/>
      <c r="V138" s="725"/>
      <c r="W138" s="725"/>
      <c r="X138" s="725"/>
      <c r="Y138" s="725"/>
      <c r="Z138" s="725"/>
      <c r="AA138" s="725"/>
      <c r="AB138" s="725"/>
      <c r="AC138" s="725"/>
      <c r="AD138" s="725"/>
      <c r="AE138" s="725"/>
      <c r="AF138" s="725"/>
      <c r="AG138" s="725"/>
      <c r="AH138" s="725"/>
      <c r="AI138" s="725"/>
      <c r="AJ138" s="725"/>
      <c r="AK138" s="725"/>
      <c r="AL138" s="360"/>
    </row>
    <row r="139" spans="1:38" ht="67.5" customHeight="1">
      <c r="A139" s="359"/>
      <c r="B139" s="725" t="s">
        <v>726</v>
      </c>
      <c r="C139" s="725"/>
      <c r="D139" s="725"/>
      <c r="E139" s="725"/>
      <c r="F139" s="725"/>
      <c r="G139" s="725"/>
      <c r="H139" s="725"/>
      <c r="I139" s="725"/>
      <c r="J139" s="725"/>
      <c r="K139" s="725"/>
      <c r="L139" s="725"/>
      <c r="M139" s="725"/>
      <c r="N139" s="725"/>
      <c r="O139" s="725"/>
      <c r="P139" s="725"/>
      <c r="Q139" s="725"/>
      <c r="R139" s="725"/>
      <c r="S139" s="725"/>
      <c r="T139" s="725"/>
      <c r="U139" s="725"/>
      <c r="V139" s="725"/>
      <c r="W139" s="725"/>
      <c r="X139" s="725"/>
      <c r="Y139" s="725"/>
      <c r="Z139" s="725"/>
      <c r="AA139" s="725"/>
      <c r="AB139" s="725"/>
      <c r="AC139" s="725"/>
      <c r="AD139" s="725"/>
      <c r="AE139" s="725"/>
      <c r="AF139" s="725"/>
      <c r="AG139" s="725"/>
      <c r="AH139" s="725"/>
      <c r="AI139" s="725"/>
      <c r="AJ139" s="725"/>
      <c r="AK139" s="725"/>
      <c r="AL139" s="360"/>
    </row>
    <row r="140" spans="1:38" ht="56.25" customHeight="1">
      <c r="A140" s="359"/>
      <c r="B140" s="725" t="s">
        <v>777</v>
      </c>
      <c r="C140" s="725"/>
      <c r="D140" s="725"/>
      <c r="E140" s="725"/>
      <c r="F140" s="725"/>
      <c r="G140" s="725"/>
      <c r="H140" s="725"/>
      <c r="I140" s="725"/>
      <c r="J140" s="725"/>
      <c r="K140" s="725"/>
      <c r="L140" s="725"/>
      <c r="M140" s="725"/>
      <c r="N140" s="725"/>
      <c r="O140" s="725"/>
      <c r="P140" s="725"/>
      <c r="Q140" s="725"/>
      <c r="R140" s="725"/>
      <c r="S140" s="725"/>
      <c r="T140" s="725"/>
      <c r="U140" s="725"/>
      <c r="V140" s="725"/>
      <c r="W140" s="725"/>
      <c r="X140" s="725"/>
      <c r="Y140" s="725"/>
      <c r="Z140" s="725"/>
      <c r="AA140" s="725"/>
      <c r="AB140" s="725"/>
      <c r="AC140" s="725"/>
      <c r="AD140" s="725"/>
      <c r="AE140" s="725"/>
      <c r="AF140" s="725"/>
      <c r="AG140" s="725"/>
      <c r="AH140" s="725"/>
      <c r="AI140" s="725"/>
      <c r="AJ140" s="725"/>
      <c r="AK140" s="725"/>
      <c r="AL140" s="360"/>
    </row>
    <row r="141" spans="1:38" ht="22.5" customHeight="1">
      <c r="A141" s="359"/>
      <c r="B141" s="725" t="s">
        <v>719</v>
      </c>
      <c r="C141" s="725"/>
      <c r="D141" s="725"/>
      <c r="E141" s="725"/>
      <c r="F141" s="725"/>
      <c r="G141" s="725"/>
      <c r="H141" s="725"/>
      <c r="I141" s="725"/>
      <c r="J141" s="725"/>
      <c r="K141" s="725"/>
      <c r="L141" s="725"/>
      <c r="M141" s="725"/>
      <c r="N141" s="725"/>
      <c r="O141" s="725"/>
      <c r="P141" s="725"/>
      <c r="Q141" s="725"/>
      <c r="R141" s="725"/>
      <c r="S141" s="725"/>
      <c r="T141" s="725"/>
      <c r="U141" s="725"/>
      <c r="V141" s="725"/>
      <c r="W141" s="725"/>
      <c r="X141" s="725"/>
      <c r="Y141" s="725"/>
      <c r="Z141" s="725"/>
      <c r="AA141" s="725"/>
      <c r="AB141" s="725"/>
      <c r="AC141" s="725"/>
      <c r="AD141" s="725"/>
      <c r="AE141" s="725"/>
      <c r="AF141" s="725"/>
      <c r="AG141" s="725"/>
      <c r="AH141" s="725"/>
      <c r="AI141" s="725"/>
      <c r="AJ141" s="725"/>
      <c r="AK141" s="725"/>
      <c r="AL141" s="360"/>
    </row>
    <row r="142" spans="1:38" ht="12.75" customHeight="1">
      <c r="A142" s="359"/>
      <c r="B142" s="390"/>
      <c r="C142" s="362"/>
      <c r="D142" s="362"/>
      <c r="E142" s="362"/>
      <c r="F142" s="362"/>
      <c r="G142" s="362"/>
      <c r="H142" s="362"/>
      <c r="I142" s="362"/>
      <c r="J142" s="362"/>
      <c r="K142" s="362"/>
      <c r="L142" s="362"/>
      <c r="M142" s="362"/>
      <c r="N142" s="362"/>
      <c r="O142" s="362"/>
      <c r="P142" s="362"/>
      <c r="Q142" s="362"/>
      <c r="R142" s="362"/>
      <c r="S142" s="362"/>
      <c r="T142" s="362"/>
      <c r="U142" s="362"/>
      <c r="V142" s="362"/>
      <c r="W142" s="362"/>
      <c r="X142" s="362"/>
      <c r="Y142" s="362"/>
      <c r="Z142" s="362"/>
      <c r="AA142" s="362"/>
      <c r="AB142" s="362"/>
      <c r="AC142" s="362"/>
      <c r="AD142" s="362"/>
      <c r="AE142" s="362"/>
      <c r="AF142" s="362"/>
      <c r="AG142" s="362"/>
      <c r="AH142" s="362"/>
      <c r="AI142" s="362"/>
      <c r="AJ142" s="362"/>
      <c r="AK142" s="362"/>
      <c r="AL142" s="360"/>
    </row>
    <row r="143" spans="1:38" ht="11.25" customHeight="1">
      <c r="A143" s="359"/>
      <c r="B143" s="967" t="s">
        <v>778</v>
      </c>
      <c r="C143" s="967"/>
      <c r="D143" s="967"/>
      <c r="E143" s="967"/>
      <c r="F143" s="967"/>
      <c r="G143" s="967"/>
      <c r="H143" s="967"/>
      <c r="I143" s="967"/>
      <c r="J143" s="967"/>
      <c r="K143" s="967"/>
      <c r="L143" s="967"/>
      <c r="M143" s="967"/>
      <c r="N143" s="967"/>
      <c r="O143" s="967"/>
      <c r="P143" s="967"/>
      <c r="Q143" s="967"/>
      <c r="R143" s="967"/>
      <c r="S143" s="967"/>
      <c r="T143" s="967"/>
      <c r="U143" s="967"/>
      <c r="V143" s="967"/>
      <c r="W143" s="967"/>
      <c r="X143" s="967"/>
      <c r="Y143" s="967"/>
      <c r="Z143" s="967"/>
      <c r="AA143" s="967"/>
      <c r="AB143" s="967"/>
      <c r="AC143" s="967"/>
      <c r="AD143" s="967"/>
      <c r="AE143" s="967"/>
      <c r="AF143" s="967"/>
      <c r="AG143" s="967"/>
      <c r="AH143" s="967"/>
      <c r="AI143" s="967"/>
      <c r="AJ143" s="967"/>
      <c r="AK143" s="967"/>
      <c r="AL143" s="360"/>
    </row>
    <row r="144" spans="1:38" ht="12.75" customHeight="1">
      <c r="A144" s="359"/>
      <c r="B144" s="496"/>
      <c r="C144" s="359"/>
      <c r="D144" s="359"/>
      <c r="E144" s="359"/>
      <c r="F144" s="359"/>
      <c r="G144" s="359"/>
      <c r="H144" s="359"/>
      <c r="I144" s="359"/>
      <c r="J144" s="359"/>
      <c r="K144" s="359"/>
      <c r="L144" s="359"/>
      <c r="M144" s="359"/>
      <c r="N144" s="359"/>
      <c r="O144" s="359"/>
      <c r="P144" s="359"/>
      <c r="Q144" s="359"/>
      <c r="R144" s="359"/>
      <c r="S144" s="359"/>
      <c r="T144" s="359"/>
      <c r="U144" s="359"/>
      <c r="V144" s="359"/>
      <c r="W144" s="359"/>
      <c r="X144" s="359"/>
      <c r="Y144" s="359"/>
      <c r="Z144" s="359"/>
      <c r="AA144" s="359"/>
      <c r="AB144" s="359"/>
      <c r="AC144" s="359"/>
      <c r="AD144" s="359"/>
      <c r="AE144" s="359"/>
      <c r="AF144" s="359"/>
      <c r="AG144" s="359"/>
      <c r="AH144" s="359"/>
      <c r="AI144" s="359"/>
      <c r="AJ144" s="359"/>
      <c r="AK144" s="359"/>
      <c r="AL144" s="360"/>
    </row>
    <row r="145" spans="1:38" ht="33.75" customHeight="1">
      <c r="A145" s="359"/>
      <c r="B145" s="1055" t="s">
        <v>729</v>
      </c>
      <c r="C145" s="1055"/>
      <c r="D145" s="1055"/>
      <c r="E145" s="1055"/>
      <c r="F145" s="1055"/>
      <c r="G145" s="1055"/>
      <c r="H145" s="1055"/>
      <c r="I145" s="1055"/>
      <c r="J145" s="1055"/>
      <c r="K145" s="1055"/>
      <c r="L145" s="1055"/>
      <c r="M145" s="1055"/>
      <c r="N145" s="1055"/>
      <c r="O145" s="1055"/>
      <c r="P145" s="1055"/>
      <c r="Q145" s="1055"/>
      <c r="R145" s="1055"/>
      <c r="S145" s="1055"/>
      <c r="T145" s="1055"/>
      <c r="U145" s="1055"/>
      <c r="V145" s="1055"/>
      <c r="W145" s="1055"/>
      <c r="X145" s="1055"/>
      <c r="Y145" s="1055"/>
      <c r="Z145" s="1055"/>
      <c r="AA145" s="1055"/>
      <c r="AB145" s="1055"/>
      <c r="AC145" s="1055"/>
      <c r="AD145" s="1055"/>
      <c r="AE145" s="1055"/>
      <c r="AF145" s="1055"/>
      <c r="AG145" s="1055"/>
      <c r="AH145" s="1055"/>
      <c r="AI145" s="1055"/>
      <c r="AJ145" s="1055"/>
      <c r="AK145" s="1055"/>
      <c r="AL145" s="360"/>
    </row>
    <row r="146" spans="1:38" ht="12.75" customHeight="1">
      <c r="A146" s="359"/>
      <c r="C146" s="359"/>
      <c r="D146" s="359"/>
      <c r="E146" s="359"/>
      <c r="F146" s="359"/>
      <c r="G146" s="359"/>
      <c r="H146" s="359"/>
      <c r="I146" s="359"/>
      <c r="J146" s="359"/>
      <c r="K146" s="359"/>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60"/>
    </row>
    <row r="147" spans="1:38" ht="56.25" customHeight="1">
      <c r="A147" s="359"/>
      <c r="B147" s="967" t="s">
        <v>779</v>
      </c>
      <c r="C147" s="967"/>
      <c r="D147" s="967"/>
      <c r="E147" s="967"/>
      <c r="F147" s="967"/>
      <c r="G147" s="967"/>
      <c r="H147" s="967"/>
      <c r="I147" s="967"/>
      <c r="J147" s="967"/>
      <c r="K147" s="967"/>
      <c r="L147" s="967"/>
      <c r="M147" s="967"/>
      <c r="N147" s="967"/>
      <c r="O147" s="967"/>
      <c r="P147" s="967"/>
      <c r="Q147" s="967"/>
      <c r="R147" s="967"/>
      <c r="S147" s="967"/>
      <c r="T147" s="967"/>
      <c r="U147" s="967"/>
      <c r="V147" s="967"/>
      <c r="W147" s="967"/>
      <c r="X147" s="967"/>
      <c r="Y147" s="967"/>
      <c r="Z147" s="967"/>
      <c r="AA147" s="967"/>
      <c r="AB147" s="967"/>
      <c r="AC147" s="967"/>
      <c r="AD147" s="967"/>
      <c r="AE147" s="967"/>
      <c r="AF147" s="967"/>
      <c r="AG147" s="967"/>
      <c r="AH147" s="967"/>
      <c r="AI147" s="967"/>
      <c r="AJ147" s="967"/>
      <c r="AK147" s="967"/>
      <c r="AL147" s="360"/>
    </row>
    <row r="148" spans="1:38" ht="12.75"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60"/>
    </row>
    <row r="149" spans="1:38" ht="22.5" customHeight="1">
      <c r="A149" s="359"/>
      <c r="B149" s="798" t="s">
        <v>731</v>
      </c>
      <c r="C149" s="798"/>
      <c r="D149" s="798"/>
      <c r="E149" s="798"/>
      <c r="F149" s="798"/>
      <c r="G149" s="798"/>
      <c r="H149" s="798"/>
      <c r="I149" s="798"/>
      <c r="J149" s="798"/>
      <c r="K149" s="798"/>
      <c r="L149" s="798"/>
      <c r="M149" s="798"/>
      <c r="N149" s="798"/>
      <c r="O149" s="798"/>
      <c r="P149" s="798"/>
      <c r="Q149" s="798"/>
      <c r="R149" s="798"/>
      <c r="S149" s="798"/>
      <c r="T149" s="798"/>
      <c r="U149" s="798"/>
      <c r="V149" s="798"/>
      <c r="W149" s="798"/>
      <c r="X149" s="798"/>
      <c r="Y149" s="798"/>
      <c r="Z149" s="798"/>
      <c r="AA149" s="798"/>
      <c r="AB149" s="798"/>
      <c r="AC149" s="798"/>
      <c r="AD149" s="798"/>
      <c r="AE149" s="798"/>
      <c r="AF149" s="798"/>
      <c r="AG149" s="798"/>
      <c r="AH149" s="798"/>
      <c r="AI149" s="798"/>
      <c r="AJ149" s="798"/>
      <c r="AK149" s="798"/>
      <c r="AL149" s="360"/>
    </row>
    <row r="150" spans="1:38" ht="11.25" customHeight="1">
      <c r="A150" s="359"/>
      <c r="B150" s="239"/>
      <c r="C150" s="362"/>
      <c r="D150" s="362"/>
      <c r="E150" s="362"/>
      <c r="F150" s="362"/>
      <c r="G150" s="362"/>
      <c r="H150" s="362"/>
      <c r="I150" s="362"/>
      <c r="J150" s="362"/>
      <c r="K150" s="362"/>
      <c r="L150" s="362"/>
      <c r="M150" s="362"/>
      <c r="N150" s="362"/>
      <c r="O150" s="362"/>
      <c r="P150" s="362"/>
      <c r="Q150" s="362"/>
      <c r="R150" s="362"/>
      <c r="S150" s="362"/>
      <c r="T150" s="362"/>
      <c r="U150" s="362"/>
      <c r="V150" s="362"/>
      <c r="W150" s="362"/>
      <c r="X150" s="362"/>
      <c r="Y150" s="362"/>
      <c r="Z150" s="362"/>
      <c r="AA150" s="362"/>
      <c r="AB150" s="362"/>
      <c r="AC150" s="362"/>
      <c r="AD150" s="362"/>
      <c r="AE150" s="362"/>
      <c r="AF150" s="362"/>
      <c r="AG150" s="362"/>
      <c r="AH150" s="362"/>
      <c r="AI150" s="362"/>
      <c r="AJ150" s="362"/>
      <c r="AK150" s="362"/>
      <c r="AL150" s="360"/>
    </row>
    <row r="151" spans="1:38" ht="22.5" customHeight="1">
      <c r="A151" s="359"/>
      <c r="B151" s="725" t="s">
        <v>732</v>
      </c>
      <c r="C151" s="725"/>
      <c r="D151" s="725"/>
      <c r="E151" s="725"/>
      <c r="F151" s="725"/>
      <c r="G151" s="725"/>
      <c r="H151" s="725"/>
      <c r="I151" s="725"/>
      <c r="J151" s="725"/>
      <c r="K151" s="725"/>
      <c r="L151" s="725"/>
      <c r="M151" s="725"/>
      <c r="N151" s="725"/>
      <c r="O151" s="725"/>
      <c r="P151" s="725"/>
      <c r="Q151" s="725"/>
      <c r="R151" s="725"/>
      <c r="S151" s="725"/>
      <c r="T151" s="725"/>
      <c r="U151" s="725"/>
      <c r="V151" s="725"/>
      <c r="W151" s="725"/>
      <c r="X151" s="725"/>
      <c r="Y151" s="725"/>
      <c r="Z151" s="725"/>
      <c r="AA151" s="725"/>
      <c r="AB151" s="725"/>
      <c r="AC151" s="725"/>
      <c r="AD151" s="725"/>
      <c r="AE151" s="725"/>
      <c r="AF151" s="725"/>
      <c r="AG151" s="725"/>
      <c r="AH151" s="725"/>
      <c r="AI151" s="725"/>
      <c r="AJ151" s="725"/>
      <c r="AK151" s="725"/>
      <c r="AL151" s="360"/>
    </row>
    <row r="152" spans="1:38" ht="22.5" customHeight="1">
      <c r="A152" s="359"/>
      <c r="B152" s="725" t="s">
        <v>733</v>
      </c>
      <c r="C152" s="725"/>
      <c r="D152" s="725"/>
      <c r="E152" s="725"/>
      <c r="F152" s="725"/>
      <c r="G152" s="725"/>
      <c r="H152" s="725"/>
      <c r="I152" s="725"/>
      <c r="J152" s="725"/>
      <c r="K152" s="725"/>
      <c r="L152" s="725"/>
      <c r="M152" s="725"/>
      <c r="N152" s="725"/>
      <c r="O152" s="725"/>
      <c r="P152" s="725"/>
      <c r="Q152" s="725"/>
      <c r="R152" s="725"/>
      <c r="S152" s="725"/>
      <c r="T152" s="725"/>
      <c r="U152" s="725"/>
      <c r="V152" s="725"/>
      <c r="W152" s="725"/>
      <c r="X152" s="725"/>
      <c r="Y152" s="725"/>
      <c r="Z152" s="725"/>
      <c r="AA152" s="725"/>
      <c r="AB152" s="725"/>
      <c r="AC152" s="725"/>
      <c r="AD152" s="725"/>
      <c r="AE152" s="725"/>
      <c r="AF152" s="725"/>
      <c r="AG152" s="725"/>
      <c r="AH152" s="725"/>
      <c r="AI152" s="725"/>
      <c r="AJ152" s="725"/>
      <c r="AK152" s="725"/>
      <c r="AL152" s="360"/>
    </row>
    <row r="153" spans="1:38" ht="22.5" customHeight="1">
      <c r="A153" s="359"/>
      <c r="B153" s="725" t="s">
        <v>734</v>
      </c>
      <c r="C153" s="725"/>
      <c r="D153" s="725"/>
      <c r="E153" s="725"/>
      <c r="F153" s="725"/>
      <c r="G153" s="725"/>
      <c r="H153" s="725"/>
      <c r="I153" s="725"/>
      <c r="J153" s="725"/>
      <c r="K153" s="725"/>
      <c r="L153" s="725"/>
      <c r="M153" s="725"/>
      <c r="N153" s="725"/>
      <c r="O153" s="725"/>
      <c r="P153" s="725"/>
      <c r="Q153" s="725"/>
      <c r="R153" s="725"/>
      <c r="S153" s="725"/>
      <c r="T153" s="725"/>
      <c r="U153" s="725"/>
      <c r="V153" s="725"/>
      <c r="W153" s="725"/>
      <c r="X153" s="725"/>
      <c r="Y153" s="725"/>
      <c r="Z153" s="725"/>
      <c r="AA153" s="725"/>
      <c r="AB153" s="725"/>
      <c r="AC153" s="725"/>
      <c r="AD153" s="725"/>
      <c r="AE153" s="725"/>
      <c r="AF153" s="725"/>
      <c r="AG153" s="725"/>
      <c r="AH153" s="725"/>
      <c r="AI153" s="725"/>
      <c r="AJ153" s="725"/>
      <c r="AK153" s="725"/>
      <c r="AL153" s="360"/>
    </row>
    <row r="154" spans="1:38" ht="12.75"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60"/>
    </row>
    <row r="156" spans="1:38" ht="4.5" customHeight="1"/>
    <row r="157" spans="1:38" ht="12.75" customHeight="1">
      <c r="B157" s="361"/>
    </row>
    <row r="158" spans="1:38" ht="67.5" customHeight="1">
      <c r="B158" s="798" t="s">
        <v>736</v>
      </c>
      <c r="C158" s="798"/>
      <c r="D158" s="798"/>
      <c r="E158" s="798"/>
      <c r="F158" s="798"/>
      <c r="G158" s="798"/>
      <c r="H158" s="798"/>
      <c r="I158" s="798"/>
      <c r="J158" s="798"/>
      <c r="K158" s="798"/>
      <c r="L158" s="798"/>
      <c r="M158" s="798"/>
      <c r="N158" s="798"/>
      <c r="O158" s="798"/>
      <c r="P158" s="798"/>
      <c r="Q158" s="798"/>
      <c r="R158" s="798"/>
      <c r="S158" s="798"/>
      <c r="T158" s="798"/>
      <c r="U158" s="798"/>
      <c r="V158" s="798"/>
      <c r="W158" s="798"/>
      <c r="X158" s="798"/>
      <c r="Y158" s="798"/>
      <c r="Z158" s="798"/>
      <c r="AA158" s="798"/>
      <c r="AB158" s="798"/>
      <c r="AC158" s="798"/>
      <c r="AD158" s="798"/>
      <c r="AE158" s="798"/>
      <c r="AF158" s="798"/>
      <c r="AG158" s="798"/>
      <c r="AH158" s="798"/>
      <c r="AI158" s="798"/>
      <c r="AJ158" s="798"/>
      <c r="AK158" s="798"/>
    </row>
    <row r="159" spans="1:38" ht="22.5" customHeight="1">
      <c r="A159" s="311"/>
      <c r="B159" s="725" t="s">
        <v>209</v>
      </c>
      <c r="C159" s="725"/>
      <c r="D159" s="725"/>
      <c r="E159" s="725"/>
      <c r="F159" s="725"/>
      <c r="G159" s="725"/>
      <c r="H159" s="725"/>
      <c r="I159" s="725"/>
      <c r="J159" s="725"/>
      <c r="K159" s="725"/>
      <c r="L159" s="725"/>
      <c r="M159" s="725"/>
      <c r="N159" s="725"/>
      <c r="O159" s="725"/>
      <c r="P159" s="725"/>
      <c r="Q159" s="725"/>
      <c r="R159" s="725"/>
      <c r="S159" s="725"/>
      <c r="T159" s="725"/>
      <c r="U159" s="725"/>
      <c r="V159" s="725"/>
      <c r="W159" s="725"/>
      <c r="X159" s="725"/>
      <c r="Y159" s="725"/>
      <c r="Z159" s="725"/>
      <c r="AA159" s="725"/>
      <c r="AB159" s="725"/>
      <c r="AC159" s="725"/>
      <c r="AD159" s="725"/>
      <c r="AE159" s="725"/>
      <c r="AF159" s="725"/>
      <c r="AG159" s="725"/>
      <c r="AH159" s="725"/>
      <c r="AI159" s="725"/>
      <c r="AJ159" s="725"/>
      <c r="AK159" s="725"/>
    </row>
    <row r="160" spans="1:38" ht="22.5" customHeight="1">
      <c r="B160" s="725" t="s">
        <v>780</v>
      </c>
      <c r="C160" s="725"/>
      <c r="D160" s="725"/>
      <c r="E160" s="725"/>
      <c r="F160" s="725"/>
      <c r="G160" s="725"/>
      <c r="H160" s="725"/>
      <c r="I160" s="725"/>
      <c r="J160" s="725"/>
      <c r="K160" s="725"/>
      <c r="L160" s="725"/>
      <c r="M160" s="725"/>
      <c r="N160" s="725"/>
      <c r="O160" s="725"/>
      <c r="P160" s="725"/>
      <c r="Q160" s="725"/>
      <c r="R160" s="725"/>
      <c r="S160" s="725"/>
      <c r="T160" s="725"/>
      <c r="U160" s="725"/>
      <c r="V160" s="725"/>
      <c r="W160" s="725"/>
      <c r="X160" s="725"/>
      <c r="Y160" s="725"/>
      <c r="Z160" s="725"/>
      <c r="AA160" s="725"/>
      <c r="AB160" s="725"/>
      <c r="AC160" s="725"/>
      <c r="AD160" s="725"/>
      <c r="AE160" s="725"/>
      <c r="AF160" s="725"/>
      <c r="AG160" s="725"/>
      <c r="AH160" s="725"/>
      <c r="AI160" s="725"/>
      <c r="AJ160" s="725"/>
      <c r="AK160" s="725"/>
      <c r="AL160" s="360"/>
    </row>
    <row r="161" spans="1:38" ht="33.75" customHeight="1">
      <c r="A161" s="359"/>
      <c r="B161" s="725" t="s">
        <v>211</v>
      </c>
      <c r="C161" s="725"/>
      <c r="D161" s="725"/>
      <c r="E161" s="725"/>
      <c r="F161" s="725"/>
      <c r="G161" s="725"/>
      <c r="H161" s="725"/>
      <c r="I161" s="725"/>
      <c r="J161" s="725"/>
      <c r="K161" s="725"/>
      <c r="L161" s="725"/>
      <c r="M161" s="725"/>
      <c r="N161" s="725"/>
      <c r="O161" s="725"/>
      <c r="P161" s="725"/>
      <c r="Q161" s="725"/>
      <c r="R161" s="725"/>
      <c r="S161" s="725"/>
      <c r="T161" s="725"/>
      <c r="U161" s="725"/>
      <c r="V161" s="725"/>
      <c r="W161" s="725"/>
      <c r="X161" s="725"/>
      <c r="Y161" s="725"/>
      <c r="Z161" s="725"/>
      <c r="AA161" s="725"/>
      <c r="AB161" s="725"/>
      <c r="AC161" s="725"/>
      <c r="AD161" s="725"/>
      <c r="AE161" s="725"/>
      <c r="AF161" s="725"/>
      <c r="AG161" s="725"/>
      <c r="AH161" s="725"/>
      <c r="AI161" s="725"/>
      <c r="AJ161" s="725"/>
      <c r="AK161" s="725"/>
      <c r="AL161" s="360"/>
    </row>
    <row r="162" spans="1:38" ht="78.75" customHeight="1">
      <c r="A162" s="359"/>
      <c r="B162" s="725" t="s">
        <v>309</v>
      </c>
      <c r="C162" s="725"/>
      <c r="D162" s="725"/>
      <c r="E162" s="725"/>
      <c r="F162" s="725"/>
      <c r="G162" s="725"/>
      <c r="H162" s="725"/>
      <c r="I162" s="725"/>
      <c r="J162" s="725"/>
      <c r="K162" s="725"/>
      <c r="L162" s="725"/>
      <c r="M162" s="725"/>
      <c r="N162" s="725"/>
      <c r="O162" s="725"/>
      <c r="P162" s="725"/>
      <c r="Q162" s="725"/>
      <c r="R162" s="725"/>
      <c r="S162" s="725"/>
      <c r="T162" s="725"/>
      <c r="U162" s="725"/>
      <c r="V162" s="725"/>
      <c r="W162" s="725"/>
      <c r="X162" s="725"/>
      <c r="Y162" s="725"/>
      <c r="Z162" s="725"/>
      <c r="AA162" s="725"/>
      <c r="AB162" s="725"/>
      <c r="AC162" s="725"/>
      <c r="AD162" s="725"/>
      <c r="AE162" s="725"/>
      <c r="AF162" s="725"/>
      <c r="AG162" s="725"/>
      <c r="AH162" s="725"/>
      <c r="AI162" s="725"/>
      <c r="AJ162" s="725"/>
      <c r="AK162" s="725"/>
      <c r="AL162" s="360"/>
    </row>
    <row r="163" spans="1:38" ht="12.75" customHeight="1">
      <c r="A163" s="359"/>
      <c r="B163" s="240"/>
      <c r="C163" s="362"/>
      <c r="D163" s="362"/>
      <c r="E163" s="362"/>
      <c r="F163" s="362"/>
      <c r="G163" s="362"/>
      <c r="H163" s="362"/>
      <c r="I163" s="362"/>
      <c r="J163" s="362"/>
      <c r="K163" s="362"/>
      <c r="L163" s="362"/>
      <c r="M163" s="362"/>
      <c r="N163" s="362"/>
      <c r="O163" s="362"/>
      <c r="P163" s="362"/>
      <c r="Q163" s="362"/>
      <c r="R163" s="362"/>
      <c r="S163" s="362"/>
      <c r="T163" s="362"/>
      <c r="U163" s="362"/>
      <c r="V163" s="362"/>
      <c r="W163" s="362"/>
      <c r="X163" s="362"/>
      <c r="Y163" s="362"/>
      <c r="Z163" s="362"/>
      <c r="AA163" s="362"/>
      <c r="AB163" s="362"/>
      <c r="AC163" s="362"/>
      <c r="AD163" s="362"/>
      <c r="AE163" s="362"/>
      <c r="AF163" s="362"/>
      <c r="AG163" s="362"/>
      <c r="AH163" s="362"/>
      <c r="AI163" s="362"/>
      <c r="AJ163" s="362"/>
      <c r="AK163" s="362"/>
      <c r="AL163" s="360"/>
    </row>
    <row r="164" spans="1:38" ht="45" customHeight="1">
      <c r="A164" s="359"/>
      <c r="B164" s="798" t="s">
        <v>737</v>
      </c>
      <c r="C164" s="798"/>
      <c r="D164" s="798"/>
      <c r="E164" s="798"/>
      <c r="F164" s="798"/>
      <c r="G164" s="798"/>
      <c r="H164" s="798"/>
      <c r="I164" s="798"/>
      <c r="J164" s="798"/>
      <c r="K164" s="798"/>
      <c r="L164" s="798"/>
      <c r="M164" s="798"/>
      <c r="N164" s="798"/>
      <c r="O164" s="798"/>
      <c r="P164" s="798"/>
      <c r="Q164" s="798"/>
      <c r="R164" s="798"/>
      <c r="S164" s="798"/>
      <c r="T164" s="798"/>
      <c r="U164" s="798"/>
      <c r="V164" s="798"/>
      <c r="W164" s="798"/>
      <c r="X164" s="798"/>
      <c r="Y164" s="798"/>
      <c r="Z164" s="798"/>
      <c r="AA164" s="798"/>
      <c r="AB164" s="798"/>
      <c r="AC164" s="798"/>
      <c r="AD164" s="798"/>
      <c r="AE164" s="798"/>
      <c r="AF164" s="798"/>
      <c r="AG164" s="798"/>
      <c r="AH164" s="798"/>
      <c r="AI164" s="798"/>
      <c r="AJ164" s="798"/>
      <c r="AK164" s="798"/>
      <c r="AL164" s="360"/>
    </row>
    <row r="165" spans="1:38" ht="12.75" customHeight="1">
      <c r="A165" s="359"/>
      <c r="B165" s="390"/>
      <c r="C165" s="362"/>
      <c r="D165" s="362"/>
      <c r="E165" s="362"/>
      <c r="F165" s="362"/>
      <c r="G165" s="362"/>
      <c r="H165" s="362"/>
      <c r="I165" s="362"/>
      <c r="J165" s="362"/>
      <c r="K165" s="362"/>
      <c r="L165" s="362"/>
      <c r="M165" s="362"/>
      <c r="N165" s="362"/>
      <c r="O165" s="362"/>
      <c r="P165" s="362"/>
      <c r="Q165" s="362"/>
      <c r="R165" s="362"/>
      <c r="S165" s="362"/>
      <c r="T165" s="362"/>
      <c r="U165" s="362"/>
      <c r="V165" s="362"/>
      <c r="W165" s="362"/>
      <c r="X165" s="362"/>
      <c r="Y165" s="362"/>
      <c r="Z165" s="362"/>
      <c r="AA165" s="362"/>
      <c r="AB165" s="362"/>
      <c r="AC165" s="362"/>
      <c r="AD165" s="362"/>
      <c r="AE165" s="362"/>
      <c r="AF165" s="362"/>
      <c r="AG165" s="362"/>
      <c r="AH165" s="362"/>
      <c r="AI165" s="362"/>
      <c r="AJ165" s="362"/>
      <c r="AK165" s="362"/>
      <c r="AL165" s="360"/>
    </row>
    <row r="166" spans="1:38" ht="90" customHeight="1">
      <c r="A166" s="359"/>
      <c r="B166" s="798" t="s">
        <v>738</v>
      </c>
      <c r="C166" s="798"/>
      <c r="D166" s="798"/>
      <c r="E166" s="798"/>
      <c r="F166" s="798"/>
      <c r="G166" s="798"/>
      <c r="H166" s="798"/>
      <c r="I166" s="798"/>
      <c r="J166" s="798"/>
      <c r="K166" s="798"/>
      <c r="L166" s="798"/>
      <c r="M166" s="798"/>
      <c r="N166" s="798"/>
      <c r="O166" s="798"/>
      <c r="P166" s="798"/>
      <c r="Q166" s="798"/>
      <c r="R166" s="798"/>
      <c r="S166" s="798"/>
      <c r="T166" s="798"/>
      <c r="U166" s="798"/>
      <c r="V166" s="798"/>
      <c r="W166" s="798"/>
      <c r="X166" s="798"/>
      <c r="Y166" s="798"/>
      <c r="Z166" s="798"/>
      <c r="AA166" s="798"/>
      <c r="AB166" s="798"/>
      <c r="AC166" s="798"/>
      <c r="AD166" s="798"/>
      <c r="AE166" s="798"/>
      <c r="AF166" s="798"/>
      <c r="AG166" s="798"/>
      <c r="AH166" s="798"/>
      <c r="AI166" s="798"/>
      <c r="AJ166" s="798"/>
      <c r="AK166" s="798"/>
      <c r="AL166" s="360"/>
    </row>
    <row r="167" spans="1:38" ht="90" customHeight="1">
      <c r="A167" s="359"/>
      <c r="B167" s="725" t="s">
        <v>215</v>
      </c>
      <c r="C167" s="725"/>
      <c r="D167" s="725"/>
      <c r="E167" s="725"/>
      <c r="F167" s="725"/>
      <c r="G167" s="725"/>
      <c r="H167" s="725"/>
      <c r="I167" s="725"/>
      <c r="J167" s="725"/>
      <c r="K167" s="725"/>
      <c r="L167" s="725"/>
      <c r="M167" s="725"/>
      <c r="N167" s="725"/>
      <c r="O167" s="725"/>
      <c r="P167" s="725"/>
      <c r="Q167" s="725"/>
      <c r="R167" s="725"/>
      <c r="S167" s="725"/>
      <c r="T167" s="725"/>
      <c r="U167" s="725"/>
      <c r="V167" s="725"/>
      <c r="W167" s="725"/>
      <c r="X167" s="725"/>
      <c r="Y167" s="725"/>
      <c r="Z167" s="725"/>
      <c r="AA167" s="725"/>
      <c r="AB167" s="725"/>
      <c r="AC167" s="725"/>
      <c r="AD167" s="725"/>
      <c r="AE167" s="725"/>
      <c r="AF167" s="725"/>
      <c r="AG167" s="725"/>
      <c r="AH167" s="725"/>
      <c r="AI167" s="725"/>
      <c r="AJ167" s="725"/>
      <c r="AK167" s="725"/>
      <c r="AL167" s="360"/>
    </row>
    <row r="168" spans="1:38" ht="12.75" customHeight="1">
      <c r="A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60"/>
    </row>
    <row r="169" spans="1:38" ht="22.5" customHeight="1">
      <c r="A169" s="359"/>
      <c r="B169" s="798" t="s">
        <v>739</v>
      </c>
      <c r="C169" s="798"/>
      <c r="D169" s="798"/>
      <c r="E169" s="798"/>
      <c r="F169" s="798"/>
      <c r="G169" s="798"/>
      <c r="H169" s="798"/>
      <c r="I169" s="798"/>
      <c r="J169" s="798"/>
      <c r="K169" s="798"/>
      <c r="L169" s="798"/>
      <c r="M169" s="798"/>
      <c r="N169" s="798"/>
      <c r="O169" s="798"/>
      <c r="P169" s="798"/>
      <c r="Q169" s="798"/>
      <c r="R169" s="798"/>
      <c r="S169" s="798"/>
      <c r="T169" s="798"/>
      <c r="U169" s="798"/>
      <c r="V169" s="798"/>
      <c r="W169" s="798"/>
      <c r="X169" s="798"/>
      <c r="Y169" s="798"/>
      <c r="Z169" s="798"/>
      <c r="AA169" s="798"/>
      <c r="AB169" s="798"/>
      <c r="AC169" s="798"/>
      <c r="AD169" s="798"/>
      <c r="AE169" s="798"/>
      <c r="AF169" s="798"/>
      <c r="AG169" s="798"/>
      <c r="AH169" s="798"/>
      <c r="AI169" s="798"/>
      <c r="AJ169" s="798"/>
      <c r="AK169" s="798"/>
      <c r="AL169" s="360"/>
    </row>
    <row r="170" spans="1:38" ht="22.5" customHeight="1">
      <c r="A170" s="359"/>
      <c r="B170" s="725" t="s">
        <v>740</v>
      </c>
      <c r="C170" s="725"/>
      <c r="D170" s="725"/>
      <c r="E170" s="725"/>
      <c r="F170" s="725"/>
      <c r="G170" s="725"/>
      <c r="H170" s="725"/>
      <c r="I170" s="725"/>
      <c r="J170" s="725"/>
      <c r="K170" s="725"/>
      <c r="L170" s="725"/>
      <c r="M170" s="725"/>
      <c r="N170" s="725"/>
      <c r="O170" s="725"/>
      <c r="P170" s="725"/>
      <c r="Q170" s="725"/>
      <c r="R170" s="725"/>
      <c r="S170" s="725"/>
      <c r="T170" s="725"/>
      <c r="U170" s="725"/>
      <c r="V170" s="725"/>
      <c r="W170" s="725"/>
      <c r="X170" s="725"/>
      <c r="Y170" s="725"/>
      <c r="Z170" s="725"/>
      <c r="AA170" s="725"/>
      <c r="AB170" s="725"/>
      <c r="AC170" s="725"/>
      <c r="AD170" s="725"/>
      <c r="AE170" s="725"/>
      <c r="AF170" s="725"/>
      <c r="AG170" s="725"/>
      <c r="AH170" s="725"/>
      <c r="AI170" s="725"/>
      <c r="AJ170" s="725"/>
      <c r="AK170" s="725"/>
      <c r="AL170" s="360"/>
    </row>
    <row r="171" spans="1:38" ht="33.75" customHeight="1">
      <c r="A171" s="359"/>
      <c r="B171" s="725" t="s">
        <v>741</v>
      </c>
      <c r="C171" s="725"/>
      <c r="D171" s="725"/>
      <c r="E171" s="725"/>
      <c r="F171" s="725"/>
      <c r="G171" s="725"/>
      <c r="H171" s="725"/>
      <c r="I171" s="725"/>
      <c r="J171" s="725"/>
      <c r="K171" s="725"/>
      <c r="L171" s="725"/>
      <c r="M171" s="725"/>
      <c r="N171" s="725"/>
      <c r="O171" s="725"/>
      <c r="P171" s="725"/>
      <c r="Q171" s="725"/>
      <c r="R171" s="725"/>
      <c r="S171" s="725"/>
      <c r="T171" s="725"/>
      <c r="U171" s="725"/>
      <c r="V171" s="725"/>
      <c r="W171" s="725"/>
      <c r="X171" s="725"/>
      <c r="Y171" s="725"/>
      <c r="Z171" s="725"/>
      <c r="AA171" s="725"/>
      <c r="AB171" s="725"/>
      <c r="AC171" s="725"/>
      <c r="AD171" s="725"/>
      <c r="AE171" s="725"/>
      <c r="AF171" s="725"/>
      <c r="AG171" s="725"/>
      <c r="AH171" s="725"/>
      <c r="AI171" s="725"/>
      <c r="AJ171" s="725"/>
      <c r="AK171" s="725"/>
      <c r="AL171" s="360"/>
    </row>
    <row r="172" spans="1:38" ht="11.25" customHeight="1">
      <c r="A172" s="359"/>
      <c r="B172" s="237"/>
      <c r="C172" s="237"/>
      <c r="D172" s="237"/>
      <c r="E172" s="237"/>
      <c r="F172" s="237"/>
      <c r="G172" s="237"/>
      <c r="H172" s="237"/>
      <c r="I172" s="237"/>
      <c r="J172" s="237"/>
      <c r="K172" s="237"/>
      <c r="L172" s="237"/>
      <c r="M172" s="237"/>
      <c r="N172" s="237"/>
      <c r="O172" s="237"/>
      <c r="P172" s="237"/>
      <c r="Q172" s="237"/>
      <c r="R172" s="237"/>
      <c r="S172" s="237"/>
      <c r="T172" s="237"/>
      <c r="U172" s="237"/>
      <c r="V172" s="237"/>
      <c r="W172" s="237"/>
      <c r="X172" s="237"/>
      <c r="Y172" s="237"/>
      <c r="Z172" s="237"/>
      <c r="AA172" s="237"/>
      <c r="AB172" s="237"/>
      <c r="AC172" s="237"/>
      <c r="AD172" s="237"/>
      <c r="AE172" s="237"/>
      <c r="AF172" s="237"/>
      <c r="AG172" s="237"/>
      <c r="AH172" s="237"/>
      <c r="AI172" s="237"/>
      <c r="AJ172" s="237"/>
      <c r="AK172" s="237"/>
      <c r="AL172" s="360"/>
    </row>
    <row r="173" spans="1:38" ht="67.5" customHeight="1">
      <c r="A173" s="359"/>
      <c r="B173" s="798" t="s">
        <v>781</v>
      </c>
      <c r="C173" s="798"/>
      <c r="D173" s="798"/>
      <c r="E173" s="798"/>
      <c r="F173" s="798"/>
      <c r="G173" s="798"/>
      <c r="H173" s="798"/>
      <c r="I173" s="798"/>
      <c r="J173" s="798"/>
      <c r="K173" s="798"/>
      <c r="L173" s="798"/>
      <c r="M173" s="798"/>
      <c r="N173" s="798"/>
      <c r="O173" s="798"/>
      <c r="P173" s="798"/>
      <c r="Q173" s="798"/>
      <c r="R173" s="798"/>
      <c r="S173" s="798"/>
      <c r="T173" s="798"/>
      <c r="U173" s="798"/>
      <c r="V173" s="798"/>
      <c r="W173" s="798"/>
      <c r="X173" s="798"/>
      <c r="Y173" s="798"/>
      <c r="Z173" s="798"/>
      <c r="AA173" s="798"/>
      <c r="AB173" s="798"/>
      <c r="AC173" s="798"/>
      <c r="AD173" s="798"/>
      <c r="AE173" s="798"/>
      <c r="AF173" s="798"/>
      <c r="AG173" s="798"/>
      <c r="AH173" s="798"/>
      <c r="AI173" s="798"/>
      <c r="AJ173" s="798"/>
      <c r="AK173" s="798"/>
      <c r="AL173" s="360"/>
    </row>
    <row r="174" spans="1:38" ht="11.25" customHeight="1">
      <c r="A174" s="359"/>
      <c r="B174" s="237"/>
      <c r="C174" s="237"/>
      <c r="D174" s="237"/>
      <c r="E174" s="237"/>
      <c r="F174" s="237"/>
      <c r="G174" s="237"/>
      <c r="H174" s="237"/>
      <c r="I174" s="237"/>
      <c r="J174" s="237"/>
      <c r="K174" s="237"/>
      <c r="L174" s="237"/>
      <c r="M174" s="237"/>
      <c r="N174" s="237"/>
      <c r="O174" s="237"/>
      <c r="P174" s="237"/>
      <c r="Q174" s="237"/>
      <c r="R174" s="237"/>
      <c r="S174" s="237"/>
      <c r="T174" s="237"/>
      <c r="U174" s="237"/>
      <c r="V174" s="237"/>
      <c r="W174" s="237"/>
      <c r="X174" s="237"/>
      <c r="Y174" s="237"/>
      <c r="Z174" s="237"/>
      <c r="AA174" s="237"/>
      <c r="AB174" s="237"/>
      <c r="AC174" s="237"/>
      <c r="AD174" s="237"/>
      <c r="AE174" s="237"/>
      <c r="AF174" s="237"/>
      <c r="AG174" s="237"/>
      <c r="AH174" s="237"/>
      <c r="AI174" s="237"/>
      <c r="AJ174" s="237"/>
      <c r="AK174" s="237"/>
      <c r="AL174" s="360"/>
    </row>
    <row r="175" spans="1:38" ht="33.75" customHeight="1">
      <c r="A175" s="359"/>
      <c r="B175" s="798" t="s">
        <v>743</v>
      </c>
      <c r="C175" s="798"/>
      <c r="D175" s="798"/>
      <c r="E175" s="798"/>
      <c r="F175" s="798"/>
      <c r="G175" s="798"/>
      <c r="H175" s="798"/>
      <c r="I175" s="798"/>
      <c r="J175" s="798"/>
      <c r="K175" s="798"/>
      <c r="L175" s="798"/>
      <c r="M175" s="798"/>
      <c r="N175" s="798"/>
      <c r="O175" s="798"/>
      <c r="P175" s="798"/>
      <c r="Q175" s="798"/>
      <c r="R175" s="798"/>
      <c r="S175" s="798"/>
      <c r="T175" s="798"/>
      <c r="U175" s="798"/>
      <c r="V175" s="798"/>
      <c r="W175" s="798"/>
      <c r="X175" s="798"/>
      <c r="Y175" s="798"/>
      <c r="Z175" s="798"/>
      <c r="AA175" s="798"/>
      <c r="AB175" s="798"/>
      <c r="AC175" s="798"/>
      <c r="AD175" s="798"/>
      <c r="AE175" s="798"/>
      <c r="AF175" s="798"/>
      <c r="AG175" s="798"/>
      <c r="AH175" s="798"/>
      <c r="AI175" s="798"/>
      <c r="AJ175" s="798"/>
      <c r="AK175" s="798"/>
      <c r="AL175" s="360"/>
    </row>
    <row r="176" spans="1:38" ht="11.25" customHeight="1">
      <c r="A176" s="359"/>
      <c r="B176" s="239"/>
      <c r="C176" s="362"/>
      <c r="D176" s="362"/>
      <c r="E176" s="362"/>
      <c r="F176" s="362"/>
      <c r="G176" s="362"/>
      <c r="H176" s="362"/>
      <c r="I176" s="362"/>
      <c r="J176" s="362"/>
      <c r="K176" s="362"/>
      <c r="L176" s="362"/>
      <c r="M176" s="362"/>
      <c r="N176" s="362"/>
      <c r="O176" s="362"/>
      <c r="P176" s="362"/>
      <c r="Q176" s="362"/>
      <c r="R176" s="362"/>
      <c r="S176" s="362"/>
      <c r="T176" s="362"/>
      <c r="U176" s="362"/>
      <c r="V176" s="362"/>
      <c r="W176" s="362"/>
      <c r="X176" s="362"/>
      <c r="Y176" s="362"/>
      <c r="Z176" s="362"/>
      <c r="AA176" s="362"/>
      <c r="AB176" s="362"/>
      <c r="AC176" s="362"/>
      <c r="AD176" s="362"/>
      <c r="AE176" s="362"/>
      <c r="AF176" s="362"/>
      <c r="AG176" s="362"/>
      <c r="AH176" s="362"/>
      <c r="AI176" s="362"/>
      <c r="AJ176" s="362"/>
      <c r="AK176" s="362"/>
      <c r="AL176" s="360"/>
    </row>
    <row r="177" spans="1:38" ht="45" customHeight="1">
      <c r="A177" s="359"/>
      <c r="B177" s="798" t="s">
        <v>744</v>
      </c>
      <c r="C177" s="798"/>
      <c r="D177" s="798"/>
      <c r="E177" s="798"/>
      <c r="F177" s="798"/>
      <c r="G177" s="798"/>
      <c r="H177" s="798"/>
      <c r="I177" s="798"/>
      <c r="J177" s="798"/>
      <c r="K177" s="798"/>
      <c r="L177" s="798"/>
      <c r="M177" s="798"/>
      <c r="N177" s="798"/>
      <c r="O177" s="798"/>
      <c r="P177" s="798"/>
      <c r="Q177" s="798"/>
      <c r="R177" s="798"/>
      <c r="S177" s="798"/>
      <c r="T177" s="798"/>
      <c r="U177" s="798"/>
      <c r="V177" s="798"/>
      <c r="W177" s="798"/>
      <c r="X177" s="798"/>
      <c r="Y177" s="798"/>
      <c r="Z177" s="798"/>
      <c r="AA177" s="798"/>
      <c r="AB177" s="798"/>
      <c r="AC177" s="798"/>
      <c r="AD177" s="798"/>
      <c r="AE177" s="798"/>
      <c r="AF177" s="798"/>
      <c r="AG177" s="798"/>
      <c r="AH177" s="798"/>
      <c r="AI177" s="798"/>
      <c r="AJ177" s="798"/>
      <c r="AK177" s="798"/>
      <c r="AL177" s="360"/>
    </row>
    <row r="178" spans="1:38" ht="12.75" customHeight="1">
      <c r="A178" s="359"/>
      <c r="B178" s="237"/>
      <c r="C178" s="237"/>
      <c r="D178" s="237"/>
      <c r="E178" s="237"/>
      <c r="F178" s="237"/>
      <c r="G178" s="237"/>
      <c r="H178" s="237"/>
      <c r="I178" s="237"/>
      <c r="J178" s="237"/>
      <c r="K178" s="237"/>
      <c r="L178" s="237"/>
      <c r="M178" s="237"/>
      <c r="N178" s="237"/>
      <c r="O178" s="237"/>
      <c r="P178" s="237"/>
      <c r="Q178" s="237"/>
      <c r="R178" s="237"/>
      <c r="S178" s="237"/>
      <c r="T178" s="237"/>
      <c r="U178" s="237"/>
      <c r="V178" s="237"/>
      <c r="W178" s="237"/>
      <c r="X178" s="237"/>
      <c r="Y178" s="237"/>
      <c r="Z178" s="237"/>
      <c r="AA178" s="237"/>
      <c r="AB178" s="237"/>
      <c r="AC178" s="237"/>
      <c r="AD178" s="237"/>
      <c r="AE178" s="237"/>
      <c r="AF178" s="237"/>
      <c r="AG178" s="237"/>
      <c r="AH178" s="237"/>
      <c r="AI178" s="237"/>
      <c r="AJ178" s="237"/>
      <c r="AK178" s="237"/>
      <c r="AL178" s="360"/>
    </row>
    <row r="179" spans="1:38" ht="56.25" customHeight="1">
      <c r="A179" s="359"/>
      <c r="B179" s="798" t="s">
        <v>745</v>
      </c>
      <c r="C179" s="798"/>
      <c r="D179" s="798"/>
      <c r="E179" s="798"/>
      <c r="F179" s="798"/>
      <c r="G179" s="798"/>
      <c r="H179" s="798"/>
      <c r="I179" s="798"/>
      <c r="J179" s="798"/>
      <c r="K179" s="798"/>
      <c r="L179" s="798"/>
      <c r="M179" s="798"/>
      <c r="N179" s="798"/>
      <c r="O179" s="798"/>
      <c r="P179" s="798"/>
      <c r="Q179" s="798"/>
      <c r="R179" s="798"/>
      <c r="S179" s="798"/>
      <c r="T179" s="798"/>
      <c r="U179" s="798"/>
      <c r="V179" s="798"/>
      <c r="W179" s="798"/>
      <c r="X179" s="798"/>
      <c r="Y179" s="798"/>
      <c r="Z179" s="798"/>
      <c r="AA179" s="798"/>
      <c r="AB179" s="798"/>
      <c r="AC179" s="798"/>
      <c r="AD179" s="798"/>
      <c r="AE179" s="798"/>
      <c r="AF179" s="798"/>
      <c r="AG179" s="798"/>
      <c r="AH179" s="798"/>
      <c r="AI179" s="798"/>
      <c r="AJ179" s="798"/>
      <c r="AK179" s="798"/>
      <c r="AL179" s="360"/>
    </row>
    <row r="180" spans="1:38" ht="22.5" customHeight="1">
      <c r="A180" s="359"/>
      <c r="B180" s="725" t="s">
        <v>231</v>
      </c>
      <c r="C180" s="725"/>
      <c r="D180" s="725"/>
      <c r="E180" s="725"/>
      <c r="F180" s="725"/>
      <c r="G180" s="725"/>
      <c r="H180" s="725"/>
      <c r="I180" s="725"/>
      <c r="J180" s="725"/>
      <c r="K180" s="725"/>
      <c r="L180" s="725"/>
      <c r="M180" s="725"/>
      <c r="N180" s="725"/>
      <c r="O180" s="725"/>
      <c r="P180" s="725"/>
      <c r="Q180" s="725"/>
      <c r="R180" s="725"/>
      <c r="S180" s="725"/>
      <c r="T180" s="725"/>
      <c r="U180" s="725"/>
      <c r="V180" s="725"/>
      <c r="W180" s="725"/>
      <c r="X180" s="725"/>
      <c r="Y180" s="725"/>
      <c r="Z180" s="725"/>
      <c r="AA180" s="725"/>
      <c r="AB180" s="725"/>
      <c r="AC180" s="725"/>
      <c r="AD180" s="725"/>
      <c r="AE180" s="725"/>
      <c r="AF180" s="725"/>
      <c r="AG180" s="725"/>
      <c r="AH180" s="725"/>
      <c r="AI180" s="725"/>
      <c r="AJ180" s="725"/>
      <c r="AK180" s="725"/>
      <c r="AL180" s="360"/>
    </row>
    <row r="181" spans="1:38" ht="12.75" customHeight="1">
      <c r="A181" s="359"/>
      <c r="B181" s="502"/>
      <c r="C181" s="362"/>
      <c r="D181" s="362"/>
      <c r="E181" s="362"/>
      <c r="F181" s="362"/>
      <c r="G181" s="362"/>
      <c r="H181" s="362"/>
      <c r="I181" s="362"/>
      <c r="J181" s="362"/>
      <c r="K181" s="362"/>
      <c r="L181" s="362"/>
      <c r="M181" s="362"/>
      <c r="N181" s="362"/>
      <c r="O181" s="362"/>
      <c r="P181" s="362"/>
      <c r="Q181" s="362"/>
      <c r="R181" s="362"/>
      <c r="S181" s="362"/>
      <c r="T181" s="362"/>
      <c r="U181" s="362"/>
      <c r="V181" s="362"/>
      <c r="W181" s="362"/>
      <c r="X181" s="362"/>
      <c r="Y181" s="362"/>
      <c r="Z181" s="362"/>
      <c r="AA181" s="362"/>
      <c r="AB181" s="362"/>
      <c r="AC181" s="362"/>
      <c r="AD181" s="362"/>
      <c r="AE181" s="362"/>
      <c r="AF181" s="362"/>
      <c r="AG181" s="362"/>
      <c r="AH181" s="362"/>
      <c r="AI181" s="362"/>
      <c r="AJ181" s="362"/>
      <c r="AK181" s="362"/>
      <c r="AL181" s="360"/>
    </row>
    <row r="182" spans="1:38" ht="12.75" customHeight="1">
      <c r="A182" s="359"/>
      <c r="B182" s="237"/>
      <c r="C182" s="362"/>
      <c r="D182" s="362"/>
      <c r="E182" s="362"/>
      <c r="F182" s="362"/>
      <c r="G182" s="362"/>
      <c r="H182" s="362"/>
      <c r="I182" s="362"/>
      <c r="J182" s="362"/>
      <c r="K182" s="362"/>
      <c r="L182" s="362"/>
      <c r="M182" s="362"/>
      <c r="N182" s="362"/>
      <c r="O182" s="362"/>
      <c r="P182" s="362"/>
      <c r="Q182" s="362"/>
      <c r="R182" s="362"/>
      <c r="S182" s="362"/>
      <c r="T182" s="362"/>
      <c r="U182" s="362"/>
      <c r="V182" s="362"/>
      <c r="W182" s="362"/>
      <c r="X182" s="362"/>
      <c r="Y182" s="362"/>
      <c r="Z182" s="362"/>
      <c r="AA182" s="362"/>
      <c r="AB182" s="362"/>
      <c r="AC182" s="362"/>
      <c r="AD182" s="362"/>
      <c r="AE182" s="362"/>
      <c r="AF182" s="362"/>
      <c r="AG182" s="362"/>
      <c r="AH182" s="362"/>
      <c r="AI182" s="362"/>
      <c r="AJ182" s="362"/>
      <c r="AK182" s="362"/>
      <c r="AL182" s="360"/>
    </row>
    <row r="183" spans="1:38" ht="56.25" customHeight="1">
      <c r="A183" s="359"/>
      <c r="B183" s="798" t="s">
        <v>746</v>
      </c>
      <c r="C183" s="798"/>
      <c r="D183" s="798"/>
      <c r="E183" s="798"/>
      <c r="F183" s="798"/>
      <c r="G183" s="798"/>
      <c r="H183" s="798"/>
      <c r="I183" s="798"/>
      <c r="J183" s="798"/>
      <c r="K183" s="798"/>
      <c r="L183" s="798"/>
      <c r="M183" s="798"/>
      <c r="N183" s="798"/>
      <c r="O183" s="798"/>
      <c r="P183" s="798"/>
      <c r="Q183" s="798"/>
      <c r="R183" s="798"/>
      <c r="S183" s="798"/>
      <c r="T183" s="798"/>
      <c r="U183" s="798"/>
      <c r="V183" s="798"/>
      <c r="W183" s="798"/>
      <c r="X183" s="798"/>
      <c r="Y183" s="798"/>
      <c r="Z183" s="798"/>
      <c r="AA183" s="798"/>
      <c r="AB183" s="798"/>
      <c r="AC183" s="798"/>
      <c r="AD183" s="798"/>
      <c r="AE183" s="798"/>
      <c r="AF183" s="798"/>
      <c r="AG183" s="798"/>
      <c r="AH183" s="798"/>
      <c r="AI183" s="798"/>
      <c r="AJ183" s="798"/>
      <c r="AK183" s="798"/>
      <c r="AL183" s="360"/>
    </row>
    <row r="184" spans="1:38" ht="11.25" customHeight="1">
      <c r="A184" s="359"/>
      <c r="B184" s="359"/>
      <c r="C184" s="359"/>
      <c r="D184" s="359"/>
      <c r="E184" s="359"/>
      <c r="F184" s="359"/>
      <c r="G184" s="359"/>
      <c r="H184" s="359"/>
      <c r="I184" s="359"/>
      <c r="J184" s="359"/>
      <c r="K184" s="359"/>
      <c r="L184" s="359"/>
      <c r="M184" s="359"/>
      <c r="N184" s="359"/>
      <c r="O184" s="359"/>
      <c r="P184" s="359"/>
      <c r="Q184" s="359"/>
      <c r="R184" s="359"/>
      <c r="S184" s="359"/>
      <c r="T184" s="359"/>
      <c r="U184" s="359"/>
      <c r="V184" s="359"/>
      <c r="W184" s="359"/>
      <c r="X184" s="359"/>
      <c r="Y184" s="359"/>
      <c r="Z184" s="359"/>
      <c r="AA184" s="359"/>
      <c r="AB184" s="359"/>
      <c r="AC184" s="359"/>
      <c r="AD184" s="359"/>
      <c r="AE184" s="359"/>
      <c r="AF184" s="359"/>
      <c r="AG184" s="359"/>
      <c r="AH184" s="359"/>
      <c r="AI184" s="359"/>
      <c r="AJ184" s="359"/>
      <c r="AK184" s="359"/>
      <c r="AL184" s="360"/>
    </row>
    <row r="185" spans="1:38" ht="78.75" customHeight="1">
      <c r="A185" s="359"/>
      <c r="B185" s="798" t="s">
        <v>747</v>
      </c>
      <c r="C185" s="798"/>
      <c r="D185" s="798"/>
      <c r="E185" s="798"/>
      <c r="F185" s="798"/>
      <c r="G185" s="798"/>
      <c r="H185" s="798"/>
      <c r="I185" s="798"/>
      <c r="J185" s="798"/>
      <c r="K185" s="798"/>
      <c r="L185" s="798"/>
      <c r="M185" s="798"/>
      <c r="N185" s="798"/>
      <c r="O185" s="798"/>
      <c r="P185" s="798"/>
      <c r="Q185" s="798"/>
      <c r="R185" s="798"/>
      <c r="S185" s="798"/>
      <c r="T185" s="798"/>
      <c r="U185" s="798"/>
      <c r="V185" s="798"/>
      <c r="W185" s="798"/>
      <c r="X185" s="798"/>
      <c r="Y185" s="798"/>
      <c r="Z185" s="798"/>
      <c r="AA185" s="798"/>
      <c r="AB185" s="798"/>
      <c r="AC185" s="798"/>
      <c r="AD185" s="798"/>
      <c r="AE185" s="798"/>
      <c r="AF185" s="798"/>
      <c r="AG185" s="798"/>
      <c r="AH185" s="798"/>
      <c r="AI185" s="798"/>
      <c r="AJ185" s="798"/>
      <c r="AK185" s="798"/>
      <c r="AL185" s="360"/>
    </row>
    <row r="186" spans="1:38" ht="56.25" customHeight="1">
      <c r="A186" s="359"/>
      <c r="B186" s="725" t="s">
        <v>234</v>
      </c>
      <c r="C186" s="725"/>
      <c r="D186" s="725"/>
      <c r="E186" s="725"/>
      <c r="F186" s="725"/>
      <c r="G186" s="725"/>
      <c r="H186" s="725"/>
      <c r="I186" s="725"/>
      <c r="J186" s="725"/>
      <c r="K186" s="725"/>
      <c r="L186" s="725"/>
      <c r="M186" s="725"/>
      <c r="N186" s="725"/>
      <c r="O186" s="725"/>
      <c r="P186" s="725"/>
      <c r="Q186" s="725"/>
      <c r="R186" s="725"/>
      <c r="S186" s="725"/>
      <c r="T186" s="725"/>
      <c r="U186" s="725"/>
      <c r="V186" s="725"/>
      <c r="W186" s="725"/>
      <c r="X186" s="725"/>
      <c r="Y186" s="725"/>
      <c r="Z186" s="725"/>
      <c r="AA186" s="725"/>
      <c r="AB186" s="725"/>
      <c r="AC186" s="725"/>
      <c r="AD186" s="725"/>
      <c r="AE186" s="725"/>
      <c r="AF186" s="725"/>
      <c r="AG186" s="725"/>
      <c r="AH186" s="725"/>
      <c r="AI186" s="725"/>
      <c r="AJ186" s="725"/>
      <c r="AK186" s="725"/>
      <c r="AL186" s="360"/>
    </row>
    <row r="187" spans="1:38" ht="22.5" customHeight="1">
      <c r="A187" s="359"/>
      <c r="B187" s="725" t="s">
        <v>235</v>
      </c>
      <c r="C187" s="725"/>
      <c r="D187" s="725"/>
      <c r="E187" s="725"/>
      <c r="F187" s="725"/>
      <c r="G187" s="725"/>
      <c r="H187" s="725"/>
      <c r="I187" s="725"/>
      <c r="J187" s="725"/>
      <c r="K187" s="725"/>
      <c r="L187" s="725"/>
      <c r="M187" s="725"/>
      <c r="N187" s="725"/>
      <c r="O187" s="725"/>
      <c r="P187" s="725"/>
      <c r="Q187" s="725"/>
      <c r="R187" s="725"/>
      <c r="S187" s="725"/>
      <c r="T187" s="725"/>
      <c r="U187" s="725"/>
      <c r="V187" s="725"/>
      <c r="W187" s="725"/>
      <c r="X187" s="725"/>
      <c r="Y187" s="725"/>
      <c r="Z187" s="725"/>
      <c r="AA187" s="725"/>
      <c r="AB187" s="725"/>
      <c r="AC187" s="725"/>
      <c r="AD187" s="725"/>
      <c r="AE187" s="725"/>
      <c r="AF187" s="725"/>
      <c r="AG187" s="725"/>
      <c r="AH187" s="725"/>
      <c r="AI187" s="725"/>
      <c r="AJ187" s="725"/>
      <c r="AK187" s="725"/>
      <c r="AL187" s="360"/>
    </row>
    <row r="188" spans="1:38" ht="12.75" customHeight="1">
      <c r="A188" s="359"/>
      <c r="B188" s="239"/>
      <c r="C188" s="362"/>
      <c r="D188" s="362"/>
      <c r="E188" s="362"/>
      <c r="F188" s="362"/>
      <c r="G188" s="362"/>
      <c r="H188" s="362"/>
      <c r="I188" s="362"/>
      <c r="J188" s="362"/>
      <c r="K188" s="362"/>
      <c r="L188" s="362"/>
      <c r="M188" s="362"/>
      <c r="N188" s="362"/>
      <c r="O188" s="362"/>
      <c r="P188" s="362"/>
      <c r="Q188" s="362"/>
      <c r="R188" s="362"/>
      <c r="S188" s="362"/>
      <c r="T188" s="362"/>
      <c r="U188" s="362"/>
      <c r="V188" s="362"/>
      <c r="W188" s="362"/>
      <c r="X188" s="362"/>
      <c r="Y188" s="362"/>
      <c r="Z188" s="362"/>
      <c r="AA188" s="362"/>
      <c r="AB188" s="362"/>
      <c r="AC188" s="362"/>
      <c r="AD188" s="362"/>
      <c r="AE188" s="362"/>
      <c r="AF188" s="362"/>
      <c r="AG188" s="362"/>
      <c r="AH188" s="362"/>
      <c r="AI188" s="362"/>
      <c r="AJ188" s="362"/>
      <c r="AK188" s="362"/>
      <c r="AL188" s="360"/>
    </row>
    <row r="189" spans="1:38" ht="363" customHeight="1">
      <c r="A189" s="359"/>
      <c r="B189" s="967" t="s">
        <v>782</v>
      </c>
      <c r="C189" s="967"/>
      <c r="D189" s="967"/>
      <c r="E189" s="967"/>
      <c r="F189" s="967"/>
      <c r="G189" s="967"/>
      <c r="H189" s="967"/>
      <c r="I189" s="967"/>
      <c r="J189" s="967"/>
      <c r="K189" s="967"/>
      <c r="L189" s="967"/>
      <c r="M189" s="967"/>
      <c r="N189" s="967"/>
      <c r="O189" s="967"/>
      <c r="P189" s="967"/>
      <c r="Q189" s="967"/>
      <c r="R189" s="967"/>
      <c r="S189" s="967"/>
      <c r="T189" s="967"/>
      <c r="U189" s="967"/>
      <c r="V189" s="967"/>
      <c r="W189" s="967"/>
      <c r="X189" s="967"/>
      <c r="Y189" s="967"/>
      <c r="Z189" s="967"/>
      <c r="AA189" s="967"/>
      <c r="AB189" s="967"/>
      <c r="AC189" s="967"/>
      <c r="AD189" s="967"/>
      <c r="AE189" s="967"/>
      <c r="AF189" s="967"/>
      <c r="AG189" s="967"/>
      <c r="AH189" s="967"/>
      <c r="AI189" s="967"/>
      <c r="AJ189" s="967"/>
      <c r="AK189" s="967"/>
      <c r="AL189" s="360"/>
    </row>
    <row r="190" spans="1:38" ht="11.25" customHeight="1">
      <c r="A190" s="359"/>
      <c r="B190" s="272"/>
      <c r="C190" s="272"/>
      <c r="D190" s="272"/>
      <c r="E190" s="272"/>
      <c r="F190" s="272"/>
      <c r="G190" s="272"/>
      <c r="H190" s="272"/>
      <c r="I190" s="272"/>
      <c r="J190" s="272"/>
      <c r="K190" s="272"/>
      <c r="L190" s="272"/>
      <c r="M190" s="272"/>
      <c r="N190" s="272"/>
      <c r="O190" s="272"/>
      <c r="P190" s="272"/>
      <c r="Q190" s="272"/>
      <c r="R190" s="272"/>
      <c r="S190" s="272"/>
      <c r="T190" s="272"/>
      <c r="U190" s="272"/>
      <c r="V190" s="272"/>
      <c r="W190" s="272"/>
      <c r="X190" s="272"/>
      <c r="Y190" s="272"/>
      <c r="Z190" s="272"/>
      <c r="AA190" s="272"/>
      <c r="AB190" s="272"/>
      <c r="AC190" s="272"/>
      <c r="AD190" s="272"/>
      <c r="AE190" s="272"/>
      <c r="AF190" s="272"/>
      <c r="AG190" s="272"/>
      <c r="AH190" s="272"/>
      <c r="AI190" s="272"/>
      <c r="AJ190" s="272"/>
      <c r="AK190" s="272"/>
      <c r="AL190" s="360"/>
    </row>
    <row r="191" spans="1:38" ht="56.25" customHeight="1">
      <c r="A191" s="359"/>
      <c r="B191" s="798" t="s">
        <v>749</v>
      </c>
      <c r="C191" s="798"/>
      <c r="D191" s="798"/>
      <c r="E191" s="798"/>
      <c r="F191" s="798"/>
      <c r="G191" s="798"/>
      <c r="H191" s="798"/>
      <c r="I191" s="798"/>
      <c r="J191" s="798"/>
      <c r="K191" s="798"/>
      <c r="L191" s="798"/>
      <c r="M191" s="798"/>
      <c r="N191" s="798"/>
      <c r="O191" s="798"/>
      <c r="P191" s="798"/>
      <c r="Q191" s="798"/>
      <c r="R191" s="798"/>
      <c r="S191" s="798"/>
      <c r="T191" s="798"/>
      <c r="U191" s="798"/>
      <c r="V191" s="798"/>
      <c r="W191" s="798"/>
      <c r="X191" s="798"/>
      <c r="Y191" s="798"/>
      <c r="Z191" s="798"/>
      <c r="AA191" s="798"/>
      <c r="AB191" s="798"/>
      <c r="AC191" s="798"/>
      <c r="AD191" s="798"/>
      <c r="AE191" s="798"/>
      <c r="AF191" s="798"/>
      <c r="AG191" s="798"/>
      <c r="AH191" s="798"/>
      <c r="AI191" s="798"/>
      <c r="AJ191" s="798"/>
      <c r="AK191" s="798"/>
      <c r="AL191" s="360"/>
    </row>
    <row r="192" spans="1:38" ht="11.25" customHeight="1">
      <c r="A192" s="359"/>
      <c r="B192" s="390"/>
      <c r="C192" s="362"/>
      <c r="D192" s="362"/>
      <c r="E192" s="362"/>
      <c r="F192" s="362"/>
      <c r="G192" s="362"/>
      <c r="H192" s="362"/>
      <c r="I192" s="362"/>
      <c r="J192" s="362"/>
      <c r="K192" s="362"/>
      <c r="L192" s="362"/>
      <c r="M192" s="362"/>
      <c r="N192" s="362"/>
      <c r="O192" s="362"/>
      <c r="P192" s="362"/>
      <c r="Q192" s="362"/>
      <c r="R192" s="362"/>
      <c r="S192" s="362"/>
      <c r="T192" s="362"/>
      <c r="U192" s="362"/>
      <c r="V192" s="362"/>
      <c r="W192" s="362"/>
      <c r="X192" s="362"/>
      <c r="Y192" s="362"/>
      <c r="Z192" s="362"/>
      <c r="AA192" s="362"/>
      <c r="AB192" s="362"/>
      <c r="AC192" s="362"/>
      <c r="AD192" s="362"/>
      <c r="AE192" s="362"/>
      <c r="AF192" s="362"/>
      <c r="AG192" s="362"/>
      <c r="AH192" s="362"/>
      <c r="AI192" s="362"/>
      <c r="AJ192" s="362"/>
      <c r="AK192" s="362"/>
      <c r="AL192" s="360"/>
    </row>
    <row r="193" spans="1:38" ht="11.25" customHeight="1">
      <c r="A193" s="359"/>
      <c r="AL193" s="360"/>
    </row>
    <row r="194" spans="1:38" ht="328.5" customHeight="1">
      <c r="A194" s="359"/>
      <c r="B194" s="967" t="s">
        <v>783</v>
      </c>
      <c r="C194" s="967"/>
      <c r="D194" s="967"/>
      <c r="E194" s="967"/>
      <c r="F194" s="967"/>
      <c r="G194" s="967"/>
      <c r="H194" s="967"/>
      <c r="I194" s="967"/>
      <c r="J194" s="967"/>
      <c r="K194" s="967"/>
      <c r="L194" s="967"/>
      <c r="M194" s="967"/>
      <c r="N194" s="967"/>
      <c r="O194" s="967"/>
      <c r="P194" s="967"/>
      <c r="Q194" s="967"/>
      <c r="R194" s="967"/>
      <c r="S194" s="967"/>
      <c r="T194" s="967"/>
      <c r="U194" s="967"/>
      <c r="V194" s="967"/>
      <c r="W194" s="967"/>
      <c r="X194" s="967"/>
      <c r="Y194" s="967"/>
      <c r="Z194" s="967"/>
      <c r="AA194" s="967"/>
      <c r="AB194" s="967"/>
      <c r="AC194" s="967"/>
      <c r="AD194" s="967"/>
      <c r="AE194" s="967"/>
      <c r="AF194" s="967"/>
      <c r="AG194" s="967"/>
      <c r="AH194" s="967"/>
      <c r="AI194" s="967"/>
      <c r="AJ194" s="967"/>
      <c r="AK194" s="967"/>
      <c r="AL194" s="360"/>
    </row>
    <row r="195" spans="1:38" ht="11.25" customHeight="1">
      <c r="A195" s="359"/>
      <c r="B195" s="359"/>
      <c r="C195" s="359"/>
      <c r="D195" s="359"/>
      <c r="E195" s="359"/>
      <c r="F195" s="359"/>
      <c r="G195" s="359"/>
      <c r="H195" s="359"/>
      <c r="I195" s="359"/>
      <c r="J195" s="359"/>
      <c r="K195" s="359"/>
      <c r="L195" s="359"/>
      <c r="M195" s="359"/>
      <c r="N195" s="359"/>
      <c r="O195" s="359"/>
      <c r="P195" s="359"/>
      <c r="Q195" s="359"/>
      <c r="R195" s="359"/>
      <c r="S195" s="359"/>
      <c r="T195" s="359"/>
      <c r="U195" s="359"/>
      <c r="V195" s="359"/>
      <c r="W195" s="359"/>
      <c r="X195" s="359"/>
      <c r="Y195" s="359"/>
      <c r="Z195" s="359"/>
      <c r="AA195" s="359"/>
      <c r="AB195" s="359"/>
      <c r="AC195" s="359"/>
      <c r="AD195" s="359"/>
      <c r="AE195" s="359"/>
      <c r="AF195" s="359"/>
      <c r="AG195" s="359"/>
      <c r="AH195" s="359"/>
      <c r="AI195" s="359"/>
      <c r="AJ195" s="359"/>
      <c r="AK195" s="359"/>
      <c r="AL195" s="360"/>
    </row>
    <row r="196" spans="1:38" ht="22.5" customHeight="1">
      <c r="A196" s="359"/>
      <c r="B196" s="798" t="s">
        <v>751</v>
      </c>
      <c r="C196" s="798"/>
      <c r="D196" s="798"/>
      <c r="E196" s="798"/>
      <c r="F196" s="798"/>
      <c r="G196" s="798"/>
      <c r="H196" s="798"/>
      <c r="I196" s="798"/>
      <c r="J196" s="798"/>
      <c r="K196" s="798"/>
      <c r="L196" s="798"/>
      <c r="M196" s="798"/>
      <c r="N196" s="798"/>
      <c r="O196" s="798"/>
      <c r="P196" s="798"/>
      <c r="Q196" s="798"/>
      <c r="R196" s="798"/>
      <c r="S196" s="798"/>
      <c r="T196" s="798"/>
      <c r="U196" s="798"/>
      <c r="V196" s="798"/>
      <c r="W196" s="798"/>
      <c r="X196" s="798"/>
      <c r="Y196" s="798"/>
      <c r="Z196" s="798"/>
      <c r="AA196" s="798"/>
      <c r="AB196" s="798"/>
      <c r="AC196" s="798"/>
      <c r="AD196" s="798"/>
      <c r="AE196" s="798"/>
      <c r="AF196" s="798"/>
      <c r="AG196" s="798"/>
      <c r="AH196" s="798"/>
      <c r="AI196" s="798"/>
      <c r="AJ196" s="798"/>
      <c r="AK196" s="798"/>
      <c r="AL196" s="360"/>
    </row>
    <row r="197" spans="1:38" ht="12.75" customHeight="1">
      <c r="A197" s="359"/>
      <c r="B197" s="390"/>
      <c r="C197" s="362"/>
      <c r="D197" s="362"/>
      <c r="E197" s="362"/>
      <c r="F197" s="362"/>
      <c r="G197" s="362"/>
      <c r="H197" s="362"/>
      <c r="I197" s="362"/>
      <c r="J197" s="362"/>
      <c r="K197" s="362"/>
      <c r="L197" s="362"/>
      <c r="M197" s="362"/>
      <c r="N197" s="362"/>
      <c r="O197" s="362"/>
      <c r="P197" s="362"/>
      <c r="Q197" s="362"/>
      <c r="R197" s="362"/>
      <c r="S197" s="362"/>
      <c r="T197" s="362"/>
      <c r="U197" s="362"/>
      <c r="V197" s="362"/>
      <c r="W197" s="362"/>
      <c r="X197" s="362"/>
      <c r="Y197" s="362"/>
      <c r="Z197" s="362"/>
      <c r="AA197" s="362"/>
      <c r="AB197" s="362"/>
      <c r="AC197" s="362"/>
      <c r="AD197" s="362"/>
      <c r="AE197" s="362"/>
      <c r="AF197" s="362"/>
      <c r="AG197" s="362"/>
      <c r="AH197" s="362"/>
      <c r="AI197" s="362"/>
      <c r="AJ197" s="362"/>
      <c r="AK197" s="362"/>
      <c r="AL197" s="360"/>
    </row>
    <row r="198" spans="1:38" ht="33.75" customHeight="1">
      <c r="A198" s="359"/>
      <c r="B198" s="798" t="s">
        <v>752</v>
      </c>
      <c r="C198" s="798"/>
      <c r="D198" s="798"/>
      <c r="E198" s="798"/>
      <c r="F198" s="798"/>
      <c r="G198" s="798"/>
      <c r="H198" s="798"/>
      <c r="I198" s="798"/>
      <c r="J198" s="798"/>
      <c r="K198" s="798"/>
      <c r="L198" s="798"/>
      <c r="M198" s="798"/>
      <c r="N198" s="798"/>
      <c r="O198" s="798"/>
      <c r="P198" s="798"/>
      <c r="Q198" s="798"/>
      <c r="R198" s="798"/>
      <c r="S198" s="798"/>
      <c r="T198" s="798"/>
      <c r="U198" s="798"/>
      <c r="V198" s="798"/>
      <c r="W198" s="798"/>
      <c r="X198" s="798"/>
      <c r="Y198" s="798"/>
      <c r="Z198" s="798"/>
      <c r="AA198" s="798"/>
      <c r="AB198" s="798"/>
      <c r="AC198" s="798"/>
      <c r="AD198" s="798"/>
      <c r="AE198" s="798"/>
      <c r="AF198" s="798"/>
      <c r="AG198" s="798"/>
      <c r="AH198" s="798"/>
      <c r="AI198" s="798"/>
      <c r="AJ198" s="798"/>
      <c r="AK198" s="798"/>
      <c r="AL198" s="360"/>
    </row>
    <row r="199" spans="1:38" ht="12.75" customHeight="1">
      <c r="A199" s="359"/>
      <c r="B199" s="730"/>
      <c r="C199" s="730"/>
      <c r="D199" s="730"/>
      <c r="E199" s="730"/>
      <c r="F199" s="730"/>
      <c r="G199" s="730"/>
      <c r="H199" s="730"/>
      <c r="I199" s="730"/>
      <c r="J199" s="730"/>
      <c r="K199" s="730"/>
      <c r="L199" s="730"/>
      <c r="M199" s="730"/>
      <c r="N199" s="730"/>
      <c r="O199" s="730"/>
      <c r="P199" s="730"/>
      <c r="Q199" s="730"/>
      <c r="R199" s="730"/>
      <c r="S199" s="730"/>
      <c r="T199" s="730"/>
      <c r="U199" s="730"/>
      <c r="V199" s="730"/>
      <c r="W199" s="730"/>
      <c r="X199" s="730"/>
      <c r="Y199" s="730"/>
      <c r="Z199" s="730"/>
      <c r="AA199" s="730"/>
      <c r="AB199" s="730"/>
      <c r="AC199" s="730"/>
      <c r="AD199" s="730"/>
      <c r="AE199" s="730"/>
      <c r="AF199" s="730"/>
      <c r="AG199" s="730"/>
      <c r="AH199" s="730"/>
      <c r="AI199" s="730"/>
      <c r="AJ199" s="730"/>
      <c r="AK199" s="730"/>
      <c r="AL199" s="360"/>
    </row>
    <row r="200" spans="1:38" ht="45" customHeight="1">
      <c r="A200" s="359"/>
      <c r="B200" s="798" t="s">
        <v>753</v>
      </c>
      <c r="C200" s="798"/>
      <c r="D200" s="798"/>
      <c r="E200" s="798"/>
      <c r="F200" s="798"/>
      <c r="G200" s="798"/>
      <c r="H200" s="798"/>
      <c r="I200" s="798"/>
      <c r="J200" s="798"/>
      <c r="K200" s="798"/>
      <c r="L200" s="798"/>
      <c r="M200" s="798"/>
      <c r="N200" s="798"/>
      <c r="O200" s="798"/>
      <c r="P200" s="798"/>
      <c r="Q200" s="798"/>
      <c r="R200" s="798"/>
      <c r="S200" s="798"/>
      <c r="T200" s="798"/>
      <c r="U200" s="798"/>
      <c r="V200" s="798"/>
      <c r="W200" s="798"/>
      <c r="X200" s="798"/>
      <c r="Y200" s="798"/>
      <c r="Z200" s="798"/>
      <c r="AA200" s="798"/>
      <c r="AB200" s="798"/>
      <c r="AC200" s="798"/>
      <c r="AD200" s="798"/>
      <c r="AE200" s="798"/>
      <c r="AF200" s="798"/>
      <c r="AG200" s="798"/>
      <c r="AH200" s="798"/>
      <c r="AI200" s="798"/>
      <c r="AJ200" s="798"/>
      <c r="AK200" s="798"/>
      <c r="AL200" s="360"/>
    </row>
    <row r="201" spans="1:38" ht="12.75" customHeight="1">
      <c r="A201" s="359"/>
      <c r="B201" s="239"/>
      <c r="C201" s="362"/>
      <c r="D201" s="362"/>
      <c r="E201" s="362"/>
      <c r="F201" s="362"/>
      <c r="G201" s="362"/>
      <c r="H201" s="362"/>
      <c r="I201" s="362"/>
      <c r="J201" s="362"/>
      <c r="K201" s="362"/>
      <c r="L201" s="362"/>
      <c r="M201" s="362"/>
      <c r="N201" s="362"/>
      <c r="O201" s="362"/>
      <c r="P201" s="362"/>
      <c r="Q201" s="362"/>
      <c r="R201" s="362"/>
      <c r="S201" s="362"/>
      <c r="T201" s="362"/>
      <c r="U201" s="362"/>
      <c r="V201" s="362"/>
      <c r="W201" s="362"/>
      <c r="X201" s="362"/>
      <c r="Y201" s="362"/>
      <c r="Z201" s="362"/>
      <c r="AA201" s="362"/>
      <c r="AB201" s="362"/>
      <c r="AC201" s="362"/>
      <c r="AD201" s="362"/>
      <c r="AE201" s="362"/>
      <c r="AF201" s="362"/>
      <c r="AG201" s="362"/>
      <c r="AH201" s="362"/>
      <c r="AI201" s="362"/>
      <c r="AJ201" s="362"/>
      <c r="AK201" s="362"/>
      <c r="AL201" s="360"/>
    </row>
    <row r="202" spans="1:38" ht="22.5" customHeight="1">
      <c r="A202" s="359"/>
      <c r="B202" s="798" t="s">
        <v>754</v>
      </c>
      <c r="C202" s="798"/>
      <c r="D202" s="798"/>
      <c r="E202" s="798"/>
      <c r="F202" s="798"/>
      <c r="G202" s="798"/>
      <c r="H202" s="798"/>
      <c r="I202" s="798"/>
      <c r="J202" s="798"/>
      <c r="K202" s="798"/>
      <c r="L202" s="798"/>
      <c r="M202" s="798"/>
      <c r="N202" s="798"/>
      <c r="O202" s="798"/>
      <c r="P202" s="798"/>
      <c r="Q202" s="798"/>
      <c r="R202" s="798"/>
      <c r="S202" s="798"/>
      <c r="T202" s="798"/>
      <c r="U202" s="798"/>
      <c r="V202" s="798"/>
      <c r="W202" s="798"/>
      <c r="X202" s="798"/>
      <c r="Y202" s="798"/>
      <c r="Z202" s="798"/>
      <c r="AA202" s="798"/>
      <c r="AB202" s="798"/>
      <c r="AC202" s="798"/>
      <c r="AD202" s="798"/>
      <c r="AE202" s="798"/>
      <c r="AF202" s="798"/>
      <c r="AG202" s="798"/>
      <c r="AH202" s="798"/>
      <c r="AI202" s="798"/>
      <c r="AJ202" s="798"/>
      <c r="AK202" s="798"/>
      <c r="AL202" s="360"/>
    </row>
    <row r="203" spans="1:38" ht="12.75" customHeight="1">
      <c r="A203" s="359"/>
      <c r="B203" s="239"/>
      <c r="C203" s="362"/>
      <c r="D203" s="362"/>
      <c r="E203" s="362"/>
      <c r="F203" s="362"/>
      <c r="G203" s="362"/>
      <c r="H203" s="362"/>
      <c r="I203" s="362"/>
      <c r="J203" s="362"/>
      <c r="K203" s="362"/>
      <c r="L203" s="362"/>
      <c r="M203" s="362"/>
      <c r="N203" s="362"/>
      <c r="O203" s="362"/>
      <c r="P203" s="362"/>
      <c r="Q203" s="362"/>
      <c r="R203" s="362"/>
      <c r="S203" s="362"/>
      <c r="T203" s="362"/>
      <c r="U203" s="362"/>
      <c r="V203" s="362"/>
      <c r="W203" s="362"/>
      <c r="X203" s="362"/>
      <c r="Y203" s="362"/>
      <c r="Z203" s="362"/>
      <c r="AA203" s="362"/>
      <c r="AB203" s="362"/>
      <c r="AC203" s="362"/>
      <c r="AD203" s="362"/>
      <c r="AE203" s="362"/>
      <c r="AF203" s="362"/>
      <c r="AG203" s="362"/>
      <c r="AH203" s="362"/>
      <c r="AI203" s="362"/>
      <c r="AJ203" s="362"/>
      <c r="AK203" s="362"/>
      <c r="AL203" s="360"/>
    </row>
    <row r="204" spans="1:38" ht="33.75" customHeight="1">
      <c r="A204" s="359"/>
      <c r="B204" s="798" t="s">
        <v>755</v>
      </c>
      <c r="C204" s="798"/>
      <c r="D204" s="798"/>
      <c r="E204" s="798"/>
      <c r="F204" s="798"/>
      <c r="G204" s="798"/>
      <c r="H204" s="798"/>
      <c r="I204" s="798"/>
      <c r="J204" s="798"/>
      <c r="K204" s="798"/>
      <c r="L204" s="798"/>
      <c r="M204" s="798"/>
      <c r="N204" s="798"/>
      <c r="O204" s="798"/>
      <c r="P204" s="798"/>
      <c r="Q204" s="798"/>
      <c r="R204" s="798"/>
      <c r="S204" s="798"/>
      <c r="T204" s="798"/>
      <c r="U204" s="798"/>
      <c r="V204" s="798"/>
      <c r="W204" s="798"/>
      <c r="X204" s="798"/>
      <c r="Y204" s="798"/>
      <c r="Z204" s="798"/>
      <c r="AA204" s="798"/>
      <c r="AB204" s="798"/>
      <c r="AC204" s="798"/>
      <c r="AD204" s="798"/>
      <c r="AE204" s="798"/>
      <c r="AF204" s="798"/>
      <c r="AG204" s="798"/>
      <c r="AH204" s="798"/>
      <c r="AI204" s="798"/>
      <c r="AJ204" s="798"/>
      <c r="AK204" s="798"/>
      <c r="AL204" s="360"/>
    </row>
    <row r="205" spans="1:38" ht="12.75" customHeight="1">
      <c r="A205" s="359"/>
      <c r="B205" s="239"/>
      <c r="C205" s="362"/>
      <c r="D205" s="362"/>
      <c r="E205" s="362"/>
      <c r="F205" s="362"/>
      <c r="G205" s="362"/>
      <c r="H205" s="362"/>
      <c r="I205" s="362"/>
      <c r="J205" s="362"/>
      <c r="K205" s="362"/>
      <c r="L205" s="362"/>
      <c r="M205" s="362"/>
      <c r="N205" s="362"/>
      <c r="O205" s="362"/>
      <c r="P205" s="362"/>
      <c r="Q205" s="362"/>
      <c r="R205" s="362"/>
      <c r="S205" s="362"/>
      <c r="T205" s="362"/>
      <c r="U205" s="362"/>
      <c r="V205" s="362"/>
      <c r="W205" s="362"/>
      <c r="X205" s="362"/>
      <c r="Y205" s="362"/>
      <c r="Z205" s="362"/>
      <c r="AA205" s="362"/>
      <c r="AB205" s="362"/>
      <c r="AC205" s="362"/>
      <c r="AD205" s="362"/>
      <c r="AE205" s="362"/>
      <c r="AF205" s="362"/>
      <c r="AG205" s="362"/>
      <c r="AH205" s="362"/>
      <c r="AI205" s="362"/>
      <c r="AJ205" s="362"/>
      <c r="AK205" s="362"/>
      <c r="AL205" s="360"/>
    </row>
    <row r="206" spans="1:38" ht="33.75" customHeight="1">
      <c r="A206" s="359"/>
      <c r="B206" s="798" t="s">
        <v>756</v>
      </c>
      <c r="C206" s="798"/>
      <c r="D206" s="798"/>
      <c r="E206" s="798"/>
      <c r="F206" s="798"/>
      <c r="G206" s="798"/>
      <c r="H206" s="798"/>
      <c r="I206" s="798"/>
      <c r="J206" s="798"/>
      <c r="K206" s="798"/>
      <c r="L206" s="798"/>
      <c r="M206" s="798"/>
      <c r="N206" s="798"/>
      <c r="O206" s="798"/>
      <c r="P206" s="798"/>
      <c r="Q206" s="798"/>
      <c r="R206" s="798"/>
      <c r="S206" s="798"/>
      <c r="T206" s="798"/>
      <c r="U206" s="798"/>
      <c r="V206" s="798"/>
      <c r="W206" s="798"/>
      <c r="X206" s="798"/>
      <c r="Y206" s="798"/>
      <c r="Z206" s="798"/>
      <c r="AA206" s="798"/>
      <c r="AB206" s="798"/>
      <c r="AC206" s="798"/>
      <c r="AD206" s="798"/>
      <c r="AE206" s="798"/>
      <c r="AF206" s="798"/>
      <c r="AG206" s="798"/>
      <c r="AH206" s="798"/>
      <c r="AI206" s="798"/>
      <c r="AJ206" s="798"/>
      <c r="AK206" s="798"/>
      <c r="AL206" s="360"/>
    </row>
    <row r="207" spans="1:38" ht="12.75" customHeight="1">
      <c r="A207" s="359"/>
      <c r="B207" s="237"/>
      <c r="C207" s="362"/>
      <c r="D207" s="362"/>
      <c r="E207" s="362"/>
      <c r="F207" s="362"/>
      <c r="G207" s="362"/>
      <c r="H207" s="362"/>
      <c r="I207" s="362"/>
      <c r="J207" s="362"/>
      <c r="K207" s="362"/>
      <c r="L207" s="362"/>
      <c r="M207" s="362"/>
      <c r="N207" s="362"/>
      <c r="O207" s="362"/>
      <c r="P207" s="362"/>
      <c r="Q207" s="362"/>
      <c r="R207" s="362"/>
      <c r="S207" s="362"/>
      <c r="T207" s="362"/>
      <c r="U207" s="362"/>
      <c r="V207" s="362"/>
      <c r="W207" s="362"/>
      <c r="X207" s="362"/>
      <c r="Y207" s="362"/>
      <c r="Z207" s="362"/>
      <c r="AA207" s="362"/>
      <c r="AB207" s="362"/>
      <c r="AC207" s="362"/>
      <c r="AD207" s="362"/>
      <c r="AE207" s="362"/>
      <c r="AF207" s="362"/>
      <c r="AG207" s="362"/>
      <c r="AH207" s="362"/>
      <c r="AI207" s="362"/>
      <c r="AJ207" s="362"/>
      <c r="AK207" s="362"/>
      <c r="AL207" s="360"/>
    </row>
    <row r="208" spans="1:38" ht="56.25" customHeight="1">
      <c r="A208" s="359"/>
      <c r="B208" s="798" t="s">
        <v>784</v>
      </c>
      <c r="C208" s="798"/>
      <c r="D208" s="798"/>
      <c r="E208" s="798"/>
      <c r="F208" s="798"/>
      <c r="G208" s="798"/>
      <c r="H208" s="798"/>
      <c r="I208" s="798"/>
      <c r="J208" s="798"/>
      <c r="K208" s="798"/>
      <c r="L208" s="798"/>
      <c r="M208" s="798"/>
      <c r="N208" s="798"/>
      <c r="O208" s="798"/>
      <c r="P208" s="798"/>
      <c r="Q208" s="798"/>
      <c r="R208" s="798"/>
      <c r="S208" s="798"/>
      <c r="T208" s="798"/>
      <c r="U208" s="798"/>
      <c r="V208" s="798"/>
      <c r="W208" s="798"/>
      <c r="X208" s="798"/>
      <c r="Y208" s="798"/>
      <c r="Z208" s="798"/>
      <c r="AA208" s="798"/>
      <c r="AB208" s="798"/>
      <c r="AC208" s="798"/>
      <c r="AD208" s="798"/>
      <c r="AE208" s="798"/>
      <c r="AF208" s="798"/>
      <c r="AG208" s="798"/>
      <c r="AH208" s="798"/>
      <c r="AI208" s="798"/>
      <c r="AJ208" s="798"/>
      <c r="AK208" s="798"/>
      <c r="AL208" s="360"/>
    </row>
    <row r="209" spans="1:38" ht="12.75" customHeight="1">
      <c r="A209" s="359"/>
      <c r="B209" s="730"/>
      <c r="C209" s="730"/>
      <c r="D209" s="730"/>
      <c r="E209" s="730"/>
      <c r="F209" s="730"/>
      <c r="G209" s="730"/>
      <c r="H209" s="730"/>
      <c r="I209" s="730"/>
      <c r="J209" s="730"/>
      <c r="K209" s="730"/>
      <c r="L209" s="730"/>
      <c r="M209" s="730"/>
      <c r="N209" s="730"/>
      <c r="O209" s="730"/>
      <c r="P209" s="730"/>
      <c r="Q209" s="730"/>
      <c r="R209" s="730"/>
      <c r="S209" s="730"/>
      <c r="T209" s="730"/>
      <c r="U209" s="730"/>
      <c r="V209" s="730"/>
      <c r="W209" s="730"/>
      <c r="X209" s="730"/>
      <c r="Y209" s="730"/>
      <c r="Z209" s="730"/>
      <c r="AA209" s="730"/>
      <c r="AB209" s="730"/>
      <c r="AC209" s="730"/>
      <c r="AD209" s="730"/>
      <c r="AE209" s="730"/>
      <c r="AF209" s="730"/>
      <c r="AG209" s="730"/>
      <c r="AH209" s="730"/>
      <c r="AI209" s="730"/>
      <c r="AJ209" s="730"/>
      <c r="AK209" s="730"/>
      <c r="AL209" s="360"/>
    </row>
    <row r="210" spans="1:38" ht="33.75" customHeight="1">
      <c r="A210" s="359"/>
      <c r="B210" s="798" t="s">
        <v>758</v>
      </c>
      <c r="C210" s="798"/>
      <c r="D210" s="798"/>
      <c r="E210" s="798"/>
      <c r="F210" s="798"/>
      <c r="G210" s="798"/>
      <c r="H210" s="798"/>
      <c r="I210" s="798"/>
      <c r="J210" s="798"/>
      <c r="K210" s="798"/>
      <c r="L210" s="798"/>
      <c r="M210" s="798"/>
      <c r="N210" s="798"/>
      <c r="O210" s="798"/>
      <c r="P210" s="798"/>
      <c r="Q210" s="798"/>
      <c r="R210" s="798"/>
      <c r="S210" s="798"/>
      <c r="T210" s="798"/>
      <c r="U210" s="798"/>
      <c r="V210" s="798"/>
      <c r="W210" s="798"/>
      <c r="X210" s="798"/>
      <c r="Y210" s="798"/>
      <c r="Z210" s="798"/>
      <c r="AA210" s="798"/>
      <c r="AB210" s="798"/>
      <c r="AC210" s="798"/>
      <c r="AD210" s="798"/>
      <c r="AE210" s="798"/>
      <c r="AF210" s="798"/>
      <c r="AG210" s="798"/>
      <c r="AH210" s="798"/>
      <c r="AI210" s="798"/>
      <c r="AJ210" s="798"/>
      <c r="AK210" s="798"/>
      <c r="AL210" s="360"/>
    </row>
    <row r="211" spans="1:38" ht="56.25" customHeight="1">
      <c r="A211" s="359"/>
      <c r="B211" s="725" t="s">
        <v>247</v>
      </c>
      <c r="C211" s="725"/>
      <c r="D211" s="725"/>
      <c r="E211" s="725"/>
      <c r="F211" s="725"/>
      <c r="G211" s="725"/>
      <c r="H211" s="725"/>
      <c r="I211" s="725"/>
      <c r="J211" s="725"/>
      <c r="K211" s="725"/>
      <c r="L211" s="725"/>
      <c r="M211" s="725"/>
      <c r="N211" s="725"/>
      <c r="O211" s="725"/>
      <c r="P211" s="725"/>
      <c r="Q211" s="725"/>
      <c r="R211" s="725"/>
      <c r="S211" s="725"/>
      <c r="T211" s="725"/>
      <c r="U211" s="725"/>
      <c r="V211" s="725"/>
      <c r="W211" s="725"/>
      <c r="X211" s="725"/>
      <c r="Y211" s="725"/>
      <c r="Z211" s="725"/>
      <c r="AA211" s="725"/>
      <c r="AB211" s="725"/>
      <c r="AC211" s="725"/>
      <c r="AD211" s="725"/>
      <c r="AE211" s="725"/>
      <c r="AF211" s="725"/>
      <c r="AG211" s="725"/>
      <c r="AH211" s="725"/>
      <c r="AI211" s="725"/>
      <c r="AJ211" s="725"/>
      <c r="AK211" s="725"/>
      <c r="AL211" s="360"/>
    </row>
    <row r="212" spans="1:38" ht="45" customHeight="1">
      <c r="A212" s="359"/>
      <c r="B212" s="725" t="s">
        <v>248</v>
      </c>
      <c r="C212" s="725"/>
      <c r="D212" s="725"/>
      <c r="E212" s="725"/>
      <c r="F212" s="725"/>
      <c r="G212" s="725"/>
      <c r="H212" s="725"/>
      <c r="I212" s="725"/>
      <c r="J212" s="725"/>
      <c r="K212" s="725"/>
      <c r="L212" s="725"/>
      <c r="M212" s="725"/>
      <c r="N212" s="725"/>
      <c r="O212" s="725"/>
      <c r="P212" s="725"/>
      <c r="Q212" s="725"/>
      <c r="R212" s="725"/>
      <c r="S212" s="725"/>
      <c r="T212" s="725"/>
      <c r="U212" s="725"/>
      <c r="V212" s="725"/>
      <c r="W212" s="725"/>
      <c r="X212" s="725"/>
      <c r="Y212" s="725"/>
      <c r="Z212" s="725"/>
      <c r="AA212" s="725"/>
      <c r="AB212" s="725"/>
      <c r="AC212" s="725"/>
      <c r="AD212" s="725"/>
      <c r="AE212" s="725"/>
      <c r="AF212" s="725"/>
      <c r="AG212" s="725"/>
      <c r="AH212" s="725"/>
      <c r="AI212" s="725"/>
      <c r="AJ212" s="725"/>
      <c r="AK212" s="725"/>
      <c r="AL212" s="360"/>
    </row>
    <row r="213" spans="1:38" ht="22.5" customHeight="1">
      <c r="A213" s="359"/>
      <c r="B213" s="725" t="s">
        <v>249</v>
      </c>
      <c r="C213" s="725"/>
      <c r="D213" s="725"/>
      <c r="E213" s="725"/>
      <c r="F213" s="725"/>
      <c r="G213" s="725"/>
      <c r="H213" s="725"/>
      <c r="I213" s="725"/>
      <c r="J213" s="725"/>
      <c r="K213" s="725"/>
      <c r="L213" s="725"/>
      <c r="M213" s="725"/>
      <c r="N213" s="725"/>
      <c r="O213" s="725"/>
      <c r="P213" s="725"/>
      <c r="Q213" s="725"/>
      <c r="R213" s="725"/>
      <c r="S213" s="725"/>
      <c r="T213" s="725"/>
      <c r="U213" s="725"/>
      <c r="V213" s="725"/>
      <c r="W213" s="725"/>
      <c r="X213" s="725"/>
      <c r="Y213" s="725"/>
      <c r="Z213" s="725"/>
      <c r="AA213" s="725"/>
      <c r="AB213" s="725"/>
      <c r="AC213" s="725"/>
      <c r="AD213" s="725"/>
      <c r="AE213" s="725"/>
      <c r="AF213" s="725"/>
      <c r="AG213" s="725"/>
      <c r="AH213" s="725"/>
      <c r="AI213" s="725"/>
      <c r="AJ213" s="725"/>
      <c r="AK213" s="725"/>
      <c r="AL213" s="360"/>
    </row>
    <row r="214" spans="1:38" ht="12.75" customHeight="1">
      <c r="A214" s="359"/>
      <c r="B214" s="237"/>
      <c r="C214" s="362"/>
      <c r="D214" s="362"/>
      <c r="E214" s="362"/>
      <c r="F214" s="362"/>
      <c r="G214" s="362"/>
      <c r="H214" s="362"/>
      <c r="I214" s="362"/>
      <c r="J214" s="362"/>
      <c r="K214" s="362"/>
      <c r="L214" s="362"/>
      <c r="M214" s="362"/>
      <c r="N214" s="362"/>
      <c r="O214" s="362"/>
      <c r="P214" s="362"/>
      <c r="Q214" s="362"/>
      <c r="R214" s="362"/>
      <c r="S214" s="362"/>
      <c r="T214" s="362"/>
      <c r="U214" s="362"/>
      <c r="V214" s="362"/>
      <c r="W214" s="362"/>
      <c r="X214" s="362"/>
      <c r="Y214" s="362"/>
      <c r="Z214" s="362"/>
      <c r="AA214" s="362"/>
      <c r="AB214" s="362"/>
      <c r="AC214" s="362"/>
      <c r="AD214" s="362"/>
      <c r="AE214" s="362"/>
      <c r="AF214" s="362"/>
      <c r="AG214" s="362"/>
      <c r="AH214" s="362"/>
      <c r="AI214" s="362"/>
      <c r="AJ214" s="362"/>
      <c r="AK214" s="362"/>
      <c r="AL214" s="360"/>
    </row>
    <row r="215" spans="1:38" ht="12.75" customHeight="1">
      <c r="A215" s="359"/>
      <c r="B215" s="496"/>
      <c r="C215" s="359"/>
      <c r="D215" s="359"/>
      <c r="E215" s="359"/>
      <c r="F215" s="359"/>
      <c r="G215" s="359"/>
      <c r="H215" s="359"/>
      <c r="I215" s="359"/>
      <c r="J215" s="359"/>
      <c r="K215" s="359"/>
      <c r="L215" s="359"/>
      <c r="M215" s="359"/>
      <c r="N215" s="359"/>
      <c r="O215" s="359"/>
      <c r="P215" s="359"/>
      <c r="Q215" s="359"/>
      <c r="R215" s="359"/>
      <c r="S215" s="359"/>
      <c r="T215" s="359"/>
      <c r="U215" s="359"/>
      <c r="V215" s="359"/>
      <c r="W215" s="359"/>
      <c r="X215" s="359"/>
      <c r="Y215" s="359"/>
      <c r="Z215" s="359"/>
      <c r="AA215" s="359"/>
      <c r="AB215" s="359"/>
      <c r="AC215" s="359"/>
      <c r="AD215" s="359"/>
      <c r="AE215" s="359"/>
      <c r="AF215" s="359"/>
      <c r="AG215" s="359"/>
      <c r="AH215" s="359"/>
      <c r="AI215" s="359"/>
      <c r="AJ215" s="359"/>
      <c r="AK215" s="359"/>
      <c r="AL215" s="360"/>
    </row>
    <row r="216" spans="1:38" ht="12.75" customHeight="1">
      <c r="A216" s="359"/>
      <c r="C216" s="359"/>
      <c r="D216" s="359"/>
      <c r="E216" s="359"/>
      <c r="F216" s="359"/>
      <c r="G216" s="359"/>
      <c r="H216" s="359"/>
      <c r="I216" s="359"/>
      <c r="J216" s="359"/>
      <c r="K216" s="359"/>
      <c r="L216" s="359"/>
      <c r="M216" s="359"/>
      <c r="N216" s="359"/>
      <c r="O216" s="359"/>
      <c r="P216" s="359"/>
      <c r="Q216" s="359"/>
      <c r="R216" s="359"/>
      <c r="S216" s="359"/>
      <c r="T216" s="359"/>
      <c r="U216" s="359"/>
      <c r="V216" s="359"/>
      <c r="W216" s="359"/>
      <c r="X216" s="359"/>
      <c r="Y216" s="359"/>
      <c r="Z216" s="359"/>
      <c r="AA216" s="359"/>
      <c r="AB216" s="359"/>
      <c r="AC216" s="359"/>
      <c r="AD216" s="359"/>
      <c r="AE216" s="359"/>
      <c r="AF216" s="359"/>
      <c r="AG216" s="359"/>
      <c r="AH216" s="359"/>
      <c r="AI216" s="359"/>
      <c r="AJ216" s="359"/>
      <c r="AK216" s="359"/>
      <c r="AL216" s="360"/>
    </row>
    <row r="217" spans="1:38" ht="67.5" customHeight="1">
      <c r="A217" s="359"/>
      <c r="B217" s="967" t="s">
        <v>759</v>
      </c>
      <c r="C217" s="967"/>
      <c r="D217" s="967"/>
      <c r="E217" s="967"/>
      <c r="F217" s="967"/>
      <c r="G217" s="967"/>
      <c r="H217" s="967"/>
      <c r="I217" s="967"/>
      <c r="J217" s="967"/>
      <c r="K217" s="967"/>
      <c r="L217" s="967"/>
      <c r="M217" s="967"/>
      <c r="N217" s="967"/>
      <c r="O217" s="967"/>
      <c r="P217" s="967"/>
      <c r="Q217" s="967"/>
      <c r="R217" s="967"/>
      <c r="S217" s="967"/>
      <c r="T217" s="967"/>
      <c r="U217" s="967"/>
      <c r="V217" s="967"/>
      <c r="W217" s="967"/>
      <c r="X217" s="967"/>
      <c r="Y217" s="967"/>
      <c r="Z217" s="967"/>
      <c r="AA217" s="967"/>
      <c r="AB217" s="967"/>
      <c r="AC217" s="967"/>
      <c r="AD217" s="967"/>
      <c r="AE217" s="967"/>
      <c r="AF217" s="967"/>
      <c r="AG217" s="967"/>
      <c r="AH217" s="967"/>
      <c r="AI217" s="967"/>
      <c r="AJ217" s="967"/>
      <c r="AK217" s="967"/>
      <c r="AL217" s="360"/>
    </row>
    <row r="218" spans="1:38" ht="11.4" customHeight="1">
      <c r="A218" s="359"/>
      <c r="C218" s="359"/>
      <c r="D218" s="359"/>
      <c r="E218" s="359"/>
      <c r="F218" s="359"/>
      <c r="G218" s="359"/>
      <c r="H218" s="359"/>
      <c r="I218" s="359"/>
      <c r="J218" s="359"/>
      <c r="K218" s="359"/>
      <c r="L218" s="359"/>
      <c r="M218" s="359"/>
      <c r="N218" s="359"/>
      <c r="O218" s="359"/>
      <c r="P218" s="359"/>
      <c r="Q218" s="359"/>
      <c r="R218" s="359"/>
      <c r="S218" s="359"/>
      <c r="T218" s="359"/>
      <c r="U218" s="359"/>
      <c r="V218" s="359"/>
      <c r="W218" s="359"/>
      <c r="X218" s="359"/>
      <c r="Y218" s="359"/>
      <c r="Z218" s="359"/>
      <c r="AA218" s="359"/>
      <c r="AB218" s="359"/>
      <c r="AC218" s="359"/>
      <c r="AD218" s="359"/>
      <c r="AE218" s="359"/>
      <c r="AF218" s="359"/>
      <c r="AG218" s="359"/>
      <c r="AH218" s="359"/>
      <c r="AI218" s="359"/>
      <c r="AJ218" s="359"/>
      <c r="AK218" s="359"/>
      <c r="AL218" s="360"/>
    </row>
    <row r="219" spans="1:38" ht="22.5" customHeight="1">
      <c r="A219" s="359"/>
      <c r="B219" s="967" t="s">
        <v>760</v>
      </c>
      <c r="C219" s="967"/>
      <c r="D219" s="967"/>
      <c r="E219" s="967"/>
      <c r="F219" s="967"/>
      <c r="G219" s="967"/>
      <c r="H219" s="967"/>
      <c r="I219" s="967"/>
      <c r="J219" s="967"/>
      <c r="K219" s="967"/>
      <c r="L219" s="967"/>
      <c r="M219" s="967"/>
      <c r="N219" s="967"/>
      <c r="O219" s="967"/>
      <c r="P219" s="967"/>
      <c r="Q219" s="967"/>
      <c r="R219" s="967"/>
      <c r="S219" s="967"/>
      <c r="T219" s="967"/>
      <c r="U219" s="967"/>
      <c r="V219" s="967"/>
      <c r="W219" s="967"/>
      <c r="X219" s="967"/>
      <c r="Y219" s="967"/>
      <c r="Z219" s="967"/>
      <c r="AA219" s="967"/>
      <c r="AB219" s="967"/>
      <c r="AC219" s="967"/>
      <c r="AD219" s="967"/>
      <c r="AE219" s="967"/>
      <c r="AF219" s="967"/>
      <c r="AG219" s="967"/>
      <c r="AH219" s="967"/>
      <c r="AI219" s="967"/>
      <c r="AJ219" s="967"/>
      <c r="AK219" s="967"/>
      <c r="AL219" s="360"/>
    </row>
    <row r="220" spans="1:38" ht="12.75" customHeight="1">
      <c r="A220" s="359"/>
      <c r="B220" s="359"/>
      <c r="C220" s="359"/>
      <c r="D220" s="359"/>
      <c r="E220" s="359"/>
      <c r="F220" s="359"/>
      <c r="G220" s="359"/>
      <c r="H220" s="359"/>
      <c r="I220" s="359"/>
      <c r="J220" s="359"/>
      <c r="K220" s="359"/>
      <c r="L220" s="359"/>
      <c r="M220" s="359"/>
      <c r="N220" s="359"/>
      <c r="O220" s="359"/>
      <c r="P220" s="359"/>
      <c r="Q220" s="359"/>
      <c r="R220" s="359"/>
      <c r="S220" s="359"/>
      <c r="T220" s="359"/>
      <c r="U220" s="359"/>
      <c r="V220" s="359"/>
      <c r="W220" s="359"/>
      <c r="X220" s="359"/>
      <c r="Y220" s="359"/>
      <c r="Z220" s="359"/>
      <c r="AA220" s="359"/>
      <c r="AB220" s="359"/>
      <c r="AC220" s="359"/>
      <c r="AD220" s="359"/>
      <c r="AE220" s="359"/>
      <c r="AF220" s="359"/>
      <c r="AG220" s="359"/>
      <c r="AH220" s="359"/>
      <c r="AI220" s="359"/>
      <c r="AJ220" s="359"/>
      <c r="AK220" s="359"/>
      <c r="AL220" s="360"/>
    </row>
    <row r="221" spans="1:38" ht="12.75" customHeight="1">
      <c r="A221" s="359"/>
      <c r="B221" s="359"/>
      <c r="C221" s="359"/>
      <c r="D221" s="359"/>
      <c r="E221" s="359"/>
      <c r="F221" s="359"/>
      <c r="G221" s="600" t="s">
        <v>252</v>
      </c>
      <c r="H221" s="601"/>
      <c r="I221" s="601"/>
      <c r="J221" s="601"/>
      <c r="K221" s="601"/>
      <c r="L221" s="601"/>
      <c r="M221" s="601"/>
      <c r="N221" s="601"/>
      <c r="O221" s="601"/>
      <c r="P221" s="602"/>
      <c r="Q221" s="603" t="s">
        <v>253</v>
      </c>
      <c r="R221" s="604"/>
      <c r="S221" s="604"/>
      <c r="T221" s="604"/>
      <c r="U221" s="604"/>
      <c r="V221" s="604"/>
      <c r="W221" s="604"/>
      <c r="X221" s="604"/>
      <c r="Y221" s="604"/>
      <c r="Z221" s="604"/>
      <c r="AA221" s="604"/>
      <c r="AB221" s="604"/>
      <c r="AC221" s="604"/>
      <c r="AD221" s="604"/>
      <c r="AE221" s="604"/>
      <c r="AF221" s="604"/>
      <c r="AG221" s="605"/>
      <c r="AH221" s="359"/>
      <c r="AI221" s="359"/>
      <c r="AJ221" s="359"/>
      <c r="AK221" s="359"/>
      <c r="AL221" s="360"/>
    </row>
    <row r="222" spans="1:38" ht="12.75" customHeight="1">
      <c r="A222" s="359"/>
      <c r="B222" s="359"/>
      <c r="C222" s="359"/>
      <c r="D222" s="359"/>
      <c r="E222" s="359"/>
      <c r="F222" s="359"/>
      <c r="G222" s="600" t="s">
        <v>254</v>
      </c>
      <c r="H222" s="601"/>
      <c r="I222" s="601"/>
      <c r="J222" s="601"/>
      <c r="K222" s="601"/>
      <c r="L222" s="601"/>
      <c r="M222" s="601"/>
      <c r="N222" s="601"/>
      <c r="O222" s="601"/>
      <c r="P222" s="602"/>
      <c r="Q222" s="606" t="s">
        <v>255</v>
      </c>
      <c r="R222" s="607"/>
      <c r="S222" s="607"/>
      <c r="T222" s="607"/>
      <c r="U222" s="607"/>
      <c r="V222" s="607"/>
      <c r="W222" s="607"/>
      <c r="X222" s="607"/>
      <c r="Y222" s="607"/>
      <c r="Z222" s="607"/>
      <c r="AA222" s="607"/>
      <c r="AB222" s="607"/>
      <c r="AC222" s="607"/>
      <c r="AD222" s="607"/>
      <c r="AE222" s="607"/>
      <c r="AF222" s="607"/>
      <c r="AG222" s="608"/>
      <c r="AH222" s="359"/>
      <c r="AI222" s="359"/>
      <c r="AJ222" s="359"/>
      <c r="AK222" s="359"/>
      <c r="AL222" s="360"/>
    </row>
    <row r="223" spans="1:38" ht="12.75" customHeight="1">
      <c r="A223" s="359"/>
      <c r="B223" s="359"/>
      <c r="C223" s="359"/>
      <c r="D223" s="359"/>
      <c r="E223" s="359"/>
      <c r="F223" s="359"/>
      <c r="G223" s="582" t="s">
        <v>256</v>
      </c>
      <c r="H223" s="583"/>
      <c r="I223" s="583"/>
      <c r="J223" s="583"/>
      <c r="K223" s="583"/>
      <c r="L223" s="583"/>
      <c r="M223" s="583"/>
      <c r="N223" s="583"/>
      <c r="O223" s="583"/>
      <c r="P223" s="584"/>
      <c r="Q223" s="588" t="s">
        <v>257</v>
      </c>
      <c r="R223" s="589"/>
      <c r="S223" s="589"/>
      <c r="T223" s="589"/>
      <c r="U223" s="589"/>
      <c r="V223" s="589"/>
      <c r="W223" s="589"/>
      <c r="X223" s="589"/>
      <c r="Y223" s="589"/>
      <c r="Z223" s="589"/>
      <c r="AA223" s="589"/>
      <c r="AB223" s="589"/>
      <c r="AC223" s="589"/>
      <c r="AD223" s="589"/>
      <c r="AE223" s="589"/>
      <c r="AF223" s="589"/>
      <c r="AG223" s="590"/>
      <c r="AH223" s="359"/>
      <c r="AI223" s="359"/>
      <c r="AJ223" s="359"/>
      <c r="AK223" s="359"/>
      <c r="AL223" s="360"/>
    </row>
    <row r="224" spans="1:38" ht="12.75" customHeight="1">
      <c r="G224" s="585"/>
      <c r="H224" s="586"/>
      <c r="I224" s="586"/>
      <c r="J224" s="586"/>
      <c r="K224" s="586"/>
      <c r="L224" s="586"/>
      <c r="M224" s="586"/>
      <c r="N224" s="586"/>
      <c r="O224" s="586"/>
      <c r="P224" s="587"/>
      <c r="Q224" s="588" t="s">
        <v>258</v>
      </c>
      <c r="R224" s="589"/>
      <c r="S224" s="589"/>
      <c r="T224" s="589"/>
      <c r="U224" s="589"/>
      <c r="V224" s="589"/>
      <c r="W224" s="589"/>
      <c r="X224" s="589"/>
      <c r="Y224" s="589"/>
      <c r="Z224" s="589"/>
      <c r="AA224" s="589"/>
      <c r="AB224" s="589"/>
      <c r="AC224" s="589"/>
      <c r="AD224" s="589"/>
      <c r="AE224" s="589"/>
      <c r="AF224" s="589"/>
      <c r="AG224" s="590"/>
    </row>
    <row r="225" spans="1:38" ht="4.5" customHeight="1">
      <c r="G225" s="585"/>
      <c r="H225" s="586"/>
      <c r="I225" s="586"/>
      <c r="J225" s="586"/>
      <c r="K225" s="586"/>
      <c r="L225" s="586"/>
      <c r="M225" s="586"/>
      <c r="N225" s="586"/>
      <c r="O225" s="586"/>
      <c r="P225" s="587"/>
      <c r="Q225" s="588"/>
      <c r="R225" s="589"/>
      <c r="S225" s="589"/>
      <c r="T225" s="589"/>
      <c r="U225" s="589"/>
      <c r="V225" s="589"/>
      <c r="W225" s="589"/>
      <c r="X225" s="589"/>
      <c r="Y225" s="589"/>
      <c r="Z225" s="589"/>
      <c r="AA225" s="589"/>
      <c r="AB225" s="589"/>
      <c r="AC225" s="589"/>
      <c r="AD225" s="589"/>
      <c r="AE225" s="589"/>
      <c r="AF225" s="589"/>
      <c r="AG225" s="590"/>
    </row>
    <row r="226" spans="1:38" ht="19.5" customHeight="1">
      <c r="B226" s="361"/>
      <c r="G226" s="585"/>
      <c r="H226" s="586"/>
      <c r="I226" s="586"/>
      <c r="J226" s="586"/>
      <c r="K226" s="586"/>
      <c r="L226" s="586"/>
      <c r="M226" s="586"/>
      <c r="N226" s="586"/>
      <c r="O226" s="586"/>
      <c r="P226" s="587"/>
      <c r="Q226" s="588"/>
      <c r="R226" s="589"/>
      <c r="S226" s="589"/>
      <c r="T226" s="589"/>
      <c r="U226" s="589"/>
      <c r="V226" s="589"/>
      <c r="W226" s="589"/>
      <c r="X226" s="589"/>
      <c r="Y226" s="589"/>
      <c r="Z226" s="589"/>
      <c r="AA226" s="589"/>
      <c r="AB226" s="589"/>
      <c r="AC226" s="589"/>
      <c r="AD226" s="589"/>
      <c r="AE226" s="589"/>
      <c r="AF226" s="589"/>
      <c r="AG226" s="590"/>
    </row>
    <row r="227" spans="1:38" ht="12.75" customHeight="1">
      <c r="G227" s="582" t="s">
        <v>259</v>
      </c>
      <c r="H227" s="583"/>
      <c r="I227" s="583"/>
      <c r="J227" s="583"/>
      <c r="K227" s="583"/>
      <c r="L227" s="583"/>
      <c r="M227" s="583"/>
      <c r="N227" s="583"/>
      <c r="O227" s="583"/>
      <c r="P227" s="584"/>
      <c r="Q227" s="594" t="s">
        <v>260</v>
      </c>
      <c r="R227" s="595"/>
      <c r="S227" s="595"/>
      <c r="T227" s="595"/>
      <c r="U227" s="595"/>
      <c r="V227" s="595"/>
      <c r="W227" s="595"/>
      <c r="X227" s="595"/>
      <c r="Y227" s="595"/>
      <c r="Z227" s="595"/>
      <c r="AA227" s="595"/>
      <c r="AB227" s="595"/>
      <c r="AC227" s="595"/>
      <c r="AD227" s="595"/>
      <c r="AE227" s="595"/>
      <c r="AF227" s="595"/>
      <c r="AG227" s="596"/>
    </row>
    <row r="228" spans="1:38" ht="12.75" customHeight="1">
      <c r="A228" s="311"/>
      <c r="B228" s="311"/>
      <c r="C228" s="311"/>
      <c r="D228" s="311"/>
      <c r="E228" s="311"/>
      <c r="F228" s="311"/>
      <c r="G228" s="585"/>
      <c r="H228" s="586"/>
      <c r="I228" s="586"/>
      <c r="J228" s="586"/>
      <c r="K228" s="586"/>
      <c r="L228" s="586"/>
      <c r="M228" s="586"/>
      <c r="N228" s="586"/>
      <c r="O228" s="586"/>
      <c r="P228" s="587"/>
      <c r="Q228" s="588" t="s">
        <v>261</v>
      </c>
      <c r="R228" s="589"/>
      <c r="S228" s="589"/>
      <c r="T228" s="589"/>
      <c r="U228" s="589"/>
      <c r="V228" s="589"/>
      <c r="W228" s="589"/>
      <c r="X228" s="589"/>
      <c r="Y228" s="589"/>
      <c r="Z228" s="589"/>
      <c r="AA228" s="589"/>
      <c r="AB228" s="589"/>
      <c r="AC228" s="589"/>
      <c r="AD228" s="589"/>
      <c r="AE228" s="589"/>
      <c r="AF228" s="589"/>
      <c r="AG228" s="590"/>
      <c r="AH228" s="311"/>
      <c r="AI228" s="311"/>
    </row>
    <row r="229" spans="1:38" ht="12.75" customHeight="1">
      <c r="B229" s="359"/>
      <c r="C229" s="359"/>
      <c r="D229" s="359"/>
      <c r="E229" s="359"/>
      <c r="F229" s="359"/>
      <c r="G229" s="591"/>
      <c r="H229" s="592"/>
      <c r="I229" s="592"/>
      <c r="J229" s="592"/>
      <c r="K229" s="592"/>
      <c r="L229" s="592"/>
      <c r="M229" s="592"/>
      <c r="N229" s="592"/>
      <c r="O229" s="592"/>
      <c r="P229" s="593"/>
      <c r="Q229" s="597" t="s">
        <v>262</v>
      </c>
      <c r="R229" s="598"/>
      <c r="S229" s="598"/>
      <c r="T229" s="598"/>
      <c r="U229" s="598"/>
      <c r="V229" s="598"/>
      <c r="W229" s="598"/>
      <c r="X229" s="598"/>
      <c r="Y229" s="598"/>
      <c r="Z229" s="598"/>
      <c r="AA229" s="598"/>
      <c r="AB229" s="598"/>
      <c r="AC229" s="598"/>
      <c r="AD229" s="598"/>
      <c r="AE229" s="598"/>
      <c r="AF229" s="598"/>
      <c r="AG229" s="599"/>
      <c r="AH229" s="359"/>
      <c r="AI229" s="359"/>
      <c r="AJ229" s="359"/>
      <c r="AK229" s="283"/>
      <c r="AL229" s="360"/>
    </row>
    <row r="230" spans="1:38" ht="22.5" customHeight="1">
      <c r="A230" s="283"/>
      <c r="B230" s="359"/>
      <c r="C230" s="359"/>
      <c r="D230" s="359"/>
      <c r="E230" s="359"/>
      <c r="F230" s="359"/>
      <c r="G230" s="582" t="s">
        <v>263</v>
      </c>
      <c r="H230" s="583"/>
      <c r="I230" s="583"/>
      <c r="J230" s="583"/>
      <c r="K230" s="583"/>
      <c r="L230" s="583"/>
      <c r="M230" s="583"/>
      <c r="N230" s="583"/>
      <c r="O230" s="583"/>
      <c r="P230" s="584"/>
      <c r="Q230" s="588" t="s">
        <v>264</v>
      </c>
      <c r="R230" s="589"/>
      <c r="S230" s="589"/>
      <c r="T230" s="589"/>
      <c r="U230" s="589"/>
      <c r="V230" s="589"/>
      <c r="W230" s="589"/>
      <c r="X230" s="589"/>
      <c r="Y230" s="589"/>
      <c r="Z230" s="589"/>
      <c r="AA230" s="589"/>
      <c r="AB230" s="589"/>
      <c r="AC230" s="589"/>
      <c r="AD230" s="589"/>
      <c r="AE230" s="589"/>
      <c r="AF230" s="589"/>
      <c r="AG230" s="590"/>
      <c r="AH230" s="359"/>
      <c r="AI230" s="359"/>
      <c r="AJ230" s="359"/>
      <c r="AK230" s="283"/>
      <c r="AL230" s="360"/>
    </row>
    <row r="231" spans="1:38" ht="12.75" customHeight="1">
      <c r="A231" s="283"/>
      <c r="B231" s="359"/>
      <c r="C231" s="359"/>
      <c r="D231" s="359"/>
      <c r="E231" s="359"/>
      <c r="F231" s="359"/>
      <c r="G231" s="585"/>
      <c r="H231" s="586"/>
      <c r="I231" s="586"/>
      <c r="J231" s="586"/>
      <c r="K231" s="586"/>
      <c r="L231" s="586"/>
      <c r="M231" s="586"/>
      <c r="N231" s="586"/>
      <c r="O231" s="586"/>
      <c r="P231" s="587"/>
      <c r="Q231" s="588" t="s">
        <v>265</v>
      </c>
      <c r="R231" s="589"/>
      <c r="S231" s="589"/>
      <c r="T231" s="589"/>
      <c r="U231" s="589"/>
      <c r="V231" s="589"/>
      <c r="W231" s="589"/>
      <c r="X231" s="589"/>
      <c r="Y231" s="589"/>
      <c r="Z231" s="589"/>
      <c r="AA231" s="589"/>
      <c r="AB231" s="589"/>
      <c r="AC231" s="589"/>
      <c r="AD231" s="589"/>
      <c r="AE231" s="589"/>
      <c r="AF231" s="589"/>
      <c r="AG231" s="590"/>
      <c r="AH231" s="359"/>
      <c r="AI231" s="359"/>
      <c r="AJ231" s="359"/>
      <c r="AK231" s="283"/>
      <c r="AL231" s="360"/>
    </row>
    <row r="232" spans="1:38" ht="12.75" customHeight="1">
      <c r="A232" s="283"/>
      <c r="B232" s="359"/>
      <c r="C232" s="359"/>
      <c r="D232" s="359"/>
      <c r="E232" s="359"/>
      <c r="F232" s="359"/>
      <c r="G232" s="585"/>
      <c r="H232" s="586"/>
      <c r="I232" s="586"/>
      <c r="J232" s="586"/>
      <c r="K232" s="586"/>
      <c r="L232" s="586"/>
      <c r="M232" s="586"/>
      <c r="N232" s="586"/>
      <c r="O232" s="586"/>
      <c r="P232" s="587"/>
      <c r="Q232" s="588" t="s">
        <v>266</v>
      </c>
      <c r="R232" s="589"/>
      <c r="S232" s="589"/>
      <c r="T232" s="589"/>
      <c r="U232" s="589"/>
      <c r="V232" s="589"/>
      <c r="W232" s="589"/>
      <c r="X232" s="589"/>
      <c r="Y232" s="589"/>
      <c r="Z232" s="589"/>
      <c r="AA232" s="589"/>
      <c r="AB232" s="589"/>
      <c r="AC232" s="589"/>
      <c r="AD232" s="589"/>
      <c r="AE232" s="589"/>
      <c r="AF232" s="589"/>
      <c r="AG232" s="590"/>
      <c r="AH232" s="359"/>
      <c r="AI232" s="359"/>
      <c r="AJ232" s="359"/>
      <c r="AK232" s="283"/>
      <c r="AL232" s="360"/>
    </row>
    <row r="233" spans="1:38" ht="12.75" customHeight="1">
      <c r="A233" s="283"/>
      <c r="B233" s="359"/>
      <c r="C233" s="359"/>
      <c r="D233" s="359"/>
      <c r="E233" s="359"/>
      <c r="F233" s="359"/>
      <c r="G233" s="591"/>
      <c r="H233" s="592"/>
      <c r="I233" s="592"/>
      <c r="J233" s="592"/>
      <c r="K233" s="592"/>
      <c r="L233" s="592"/>
      <c r="M233" s="592"/>
      <c r="N233" s="592"/>
      <c r="O233" s="592"/>
      <c r="P233" s="593"/>
      <c r="Q233" s="597"/>
      <c r="R233" s="598"/>
      <c r="S233" s="598"/>
      <c r="T233" s="598"/>
      <c r="U233" s="598"/>
      <c r="V233" s="598"/>
      <c r="W233" s="598"/>
      <c r="X233" s="598"/>
      <c r="Y233" s="598"/>
      <c r="Z233" s="598"/>
      <c r="AA233" s="598"/>
      <c r="AB233" s="598"/>
      <c r="AC233" s="598"/>
      <c r="AD233" s="598"/>
      <c r="AE233" s="598"/>
      <c r="AF233" s="598"/>
      <c r="AG233" s="599"/>
      <c r="AH233" s="359"/>
      <c r="AI233" s="359"/>
      <c r="AJ233" s="359"/>
      <c r="AK233" s="283"/>
      <c r="AL233" s="360"/>
    </row>
    <row r="234" spans="1:38" ht="12.75" customHeight="1">
      <c r="A234" s="283"/>
      <c r="B234" s="359"/>
      <c r="C234" s="359"/>
      <c r="D234" s="359"/>
      <c r="E234" s="359"/>
      <c r="F234" s="359"/>
      <c r="G234" s="359"/>
      <c r="H234" s="359"/>
      <c r="I234" s="359"/>
      <c r="J234" s="359"/>
      <c r="K234" s="359"/>
      <c r="L234" s="359"/>
      <c r="M234" s="359"/>
      <c r="N234" s="359"/>
      <c r="O234" s="359"/>
      <c r="P234" s="359"/>
      <c r="Q234" s="359"/>
      <c r="R234" s="359"/>
      <c r="S234" s="359"/>
      <c r="T234" s="359"/>
      <c r="U234" s="359"/>
      <c r="V234" s="359"/>
      <c r="W234" s="359"/>
      <c r="X234" s="359"/>
      <c r="Y234" s="359"/>
      <c r="Z234" s="359"/>
      <c r="AA234" s="359"/>
      <c r="AB234" s="359"/>
      <c r="AC234" s="359"/>
      <c r="AD234" s="359"/>
      <c r="AE234" s="359"/>
      <c r="AF234" s="359"/>
      <c r="AG234" s="359"/>
      <c r="AH234" s="359"/>
      <c r="AI234" s="359"/>
      <c r="AJ234" s="359"/>
      <c r="AK234" s="283"/>
      <c r="AL234" s="360"/>
    </row>
    <row r="235" spans="1:38" ht="12.75" customHeight="1">
      <c r="A235" s="283"/>
      <c r="B235" s="359"/>
      <c r="C235" s="359"/>
      <c r="D235" s="359"/>
      <c r="E235" s="359"/>
      <c r="F235" s="359"/>
      <c r="G235" s="359"/>
      <c r="H235" s="359"/>
      <c r="I235" s="359"/>
      <c r="J235" s="359"/>
      <c r="K235" s="359"/>
      <c r="L235" s="359"/>
      <c r="M235" s="359"/>
      <c r="N235" s="359"/>
      <c r="O235" s="359"/>
      <c r="P235" s="359"/>
      <c r="Q235" s="359"/>
      <c r="R235" s="359"/>
      <c r="S235" s="359"/>
      <c r="T235" s="359"/>
      <c r="U235" s="359"/>
      <c r="V235" s="359"/>
      <c r="W235" s="359"/>
      <c r="X235" s="359"/>
      <c r="Y235" s="359"/>
      <c r="Z235" s="359"/>
      <c r="AA235" s="359"/>
      <c r="AB235" s="359"/>
      <c r="AC235" s="359"/>
      <c r="AD235" s="359"/>
      <c r="AE235" s="359"/>
      <c r="AF235" s="359"/>
      <c r="AG235" s="359"/>
      <c r="AH235" s="359"/>
      <c r="AI235" s="359"/>
      <c r="AJ235" s="359"/>
      <c r="AK235" s="283"/>
      <c r="AL235" s="360"/>
    </row>
    <row r="236" spans="1:38" ht="22.5" customHeight="1">
      <c r="A236" s="283"/>
      <c r="B236" s="798" t="s">
        <v>761</v>
      </c>
      <c r="C236" s="798"/>
      <c r="D236" s="798"/>
      <c r="E236" s="798"/>
      <c r="F236" s="798"/>
      <c r="G236" s="798"/>
      <c r="H236" s="798"/>
      <c r="I236" s="798"/>
      <c r="J236" s="798"/>
      <c r="K236" s="798"/>
      <c r="L236" s="798"/>
      <c r="M236" s="798"/>
      <c r="N236" s="798"/>
      <c r="O236" s="798"/>
      <c r="P236" s="798"/>
      <c r="Q236" s="798"/>
      <c r="R236" s="798"/>
      <c r="S236" s="798"/>
      <c r="T236" s="798"/>
      <c r="U236" s="798"/>
      <c r="V236" s="798"/>
      <c r="W236" s="798"/>
      <c r="X236" s="798"/>
      <c r="Y236" s="798"/>
      <c r="Z236" s="798"/>
      <c r="AA236" s="798"/>
      <c r="AB236" s="798"/>
      <c r="AC236" s="798"/>
      <c r="AD236" s="798"/>
      <c r="AE236" s="798"/>
      <c r="AF236" s="798"/>
      <c r="AG236" s="798"/>
      <c r="AH236" s="798"/>
      <c r="AI236" s="798"/>
      <c r="AJ236" s="798"/>
      <c r="AK236" s="798"/>
      <c r="AL236" s="360"/>
    </row>
    <row r="237" spans="1:38" ht="12.75" customHeight="1">
      <c r="A237" s="283"/>
      <c r="B237" s="390"/>
      <c r="C237" s="362"/>
      <c r="D237" s="362"/>
      <c r="E237" s="362"/>
      <c r="F237" s="362"/>
      <c r="G237" s="362"/>
      <c r="H237" s="362"/>
      <c r="I237" s="362"/>
      <c r="J237" s="362"/>
      <c r="K237" s="362"/>
      <c r="L237" s="362"/>
      <c r="M237" s="362"/>
      <c r="N237" s="362"/>
      <c r="O237" s="362"/>
      <c r="P237" s="362"/>
      <c r="Q237" s="362"/>
      <c r="R237" s="362"/>
      <c r="S237" s="362"/>
      <c r="T237" s="362"/>
      <c r="U237" s="362"/>
      <c r="V237" s="362"/>
      <c r="W237" s="362"/>
      <c r="X237" s="362"/>
      <c r="Y237" s="362"/>
      <c r="Z237" s="362"/>
      <c r="AA237" s="362"/>
      <c r="AB237" s="362"/>
      <c r="AC237" s="362"/>
      <c r="AD237" s="362"/>
      <c r="AE237" s="362"/>
      <c r="AF237" s="362"/>
      <c r="AG237" s="362"/>
      <c r="AH237" s="362"/>
      <c r="AI237" s="362"/>
      <c r="AJ237" s="362"/>
      <c r="AK237" s="233"/>
      <c r="AL237" s="360"/>
    </row>
    <row r="238" spans="1:38" ht="56.25" customHeight="1">
      <c r="A238" s="283"/>
      <c r="B238" s="798" t="s">
        <v>762</v>
      </c>
      <c r="C238" s="798"/>
      <c r="D238" s="798"/>
      <c r="E238" s="798"/>
      <c r="F238" s="798"/>
      <c r="G238" s="798"/>
      <c r="H238" s="798"/>
      <c r="I238" s="798"/>
      <c r="J238" s="798"/>
      <c r="K238" s="798"/>
      <c r="L238" s="798"/>
      <c r="M238" s="798"/>
      <c r="N238" s="798"/>
      <c r="O238" s="798"/>
      <c r="P238" s="798"/>
      <c r="Q238" s="798"/>
      <c r="R238" s="798"/>
      <c r="S238" s="798"/>
      <c r="T238" s="798"/>
      <c r="U238" s="798"/>
      <c r="V238" s="798"/>
      <c r="W238" s="798"/>
      <c r="X238" s="798"/>
      <c r="Y238" s="798"/>
      <c r="Z238" s="798"/>
      <c r="AA238" s="798"/>
      <c r="AB238" s="798"/>
      <c r="AC238" s="798"/>
      <c r="AD238" s="798"/>
      <c r="AE238" s="798"/>
      <c r="AF238" s="798"/>
      <c r="AG238" s="798"/>
      <c r="AH238" s="798"/>
      <c r="AI238" s="798"/>
      <c r="AJ238" s="798"/>
      <c r="AK238" s="798"/>
      <c r="AL238" s="360"/>
    </row>
    <row r="239" spans="1:38" ht="33.75" customHeight="1">
      <c r="A239" s="283"/>
      <c r="B239" s="725" t="s">
        <v>269</v>
      </c>
      <c r="C239" s="725"/>
      <c r="D239" s="725"/>
      <c r="E239" s="725"/>
      <c r="F239" s="725"/>
      <c r="G239" s="725"/>
      <c r="H239" s="725"/>
      <c r="I239" s="725"/>
      <c r="J239" s="725"/>
      <c r="K239" s="725"/>
      <c r="L239" s="725"/>
      <c r="M239" s="725"/>
      <c r="N239" s="725"/>
      <c r="O239" s="725"/>
      <c r="P239" s="725"/>
      <c r="Q239" s="725"/>
      <c r="R239" s="725"/>
      <c r="S239" s="725"/>
      <c r="T239" s="725"/>
      <c r="U239" s="725"/>
      <c r="V239" s="725"/>
      <c r="W239" s="725"/>
      <c r="X239" s="725"/>
      <c r="Y239" s="725"/>
      <c r="Z239" s="725"/>
      <c r="AA239" s="725"/>
      <c r="AB239" s="725"/>
      <c r="AC239" s="725"/>
      <c r="AD239" s="725"/>
      <c r="AE239" s="725"/>
      <c r="AF239" s="725"/>
      <c r="AG239" s="725"/>
      <c r="AH239" s="725"/>
      <c r="AI239" s="725"/>
      <c r="AJ239" s="725"/>
      <c r="AK239" s="725"/>
      <c r="AL239" s="360"/>
    </row>
    <row r="240" spans="1:38" ht="12.75" customHeight="1">
      <c r="A240" s="283"/>
      <c r="B240" s="390"/>
      <c r="C240" s="362"/>
      <c r="D240" s="362"/>
      <c r="E240" s="362"/>
      <c r="F240" s="362"/>
      <c r="G240" s="362"/>
      <c r="H240" s="362"/>
      <c r="I240" s="362"/>
      <c r="J240" s="362"/>
      <c r="K240" s="362"/>
      <c r="L240" s="362"/>
      <c r="M240" s="362"/>
      <c r="N240" s="362"/>
      <c r="O240" s="362"/>
      <c r="P240" s="362"/>
      <c r="Q240" s="362"/>
      <c r="R240" s="362"/>
      <c r="S240" s="362"/>
      <c r="T240" s="362"/>
      <c r="U240" s="362"/>
      <c r="V240" s="362"/>
      <c r="W240" s="362"/>
      <c r="X240" s="362"/>
      <c r="Y240" s="362"/>
      <c r="Z240" s="362"/>
      <c r="AA240" s="362"/>
      <c r="AB240" s="362"/>
      <c r="AC240" s="362"/>
      <c r="AD240" s="362"/>
      <c r="AE240" s="362"/>
      <c r="AF240" s="362"/>
      <c r="AG240" s="362"/>
      <c r="AH240" s="362"/>
      <c r="AI240" s="362"/>
      <c r="AJ240" s="362"/>
      <c r="AK240" s="233"/>
      <c r="AL240" s="360"/>
    </row>
    <row r="241" spans="1:38" ht="33.75" customHeight="1">
      <c r="A241" s="283"/>
      <c r="B241" s="798" t="s">
        <v>763</v>
      </c>
      <c r="C241" s="798"/>
      <c r="D241" s="798"/>
      <c r="E241" s="798"/>
      <c r="F241" s="798"/>
      <c r="G241" s="798"/>
      <c r="H241" s="798"/>
      <c r="I241" s="798"/>
      <c r="J241" s="798"/>
      <c r="K241" s="798"/>
      <c r="L241" s="798"/>
      <c r="M241" s="798"/>
      <c r="N241" s="798"/>
      <c r="O241" s="798"/>
      <c r="P241" s="798"/>
      <c r="Q241" s="798"/>
      <c r="R241" s="798"/>
      <c r="S241" s="798"/>
      <c r="T241" s="798"/>
      <c r="U241" s="798"/>
      <c r="V241" s="798"/>
      <c r="W241" s="798"/>
      <c r="X241" s="798"/>
      <c r="Y241" s="798"/>
      <c r="Z241" s="798"/>
      <c r="AA241" s="798"/>
      <c r="AB241" s="798"/>
      <c r="AC241" s="798"/>
      <c r="AD241" s="798"/>
      <c r="AE241" s="798"/>
      <c r="AF241" s="798"/>
      <c r="AG241" s="798"/>
      <c r="AH241" s="798"/>
      <c r="AI241" s="798"/>
      <c r="AJ241" s="798"/>
      <c r="AK241" s="798"/>
      <c r="AL241" s="360"/>
    </row>
    <row r="242" spans="1:38" ht="12.75" customHeight="1">
      <c r="A242" s="283"/>
      <c r="B242" s="390"/>
      <c r="C242" s="362"/>
      <c r="D242" s="362"/>
      <c r="E242" s="362"/>
      <c r="F242" s="362"/>
      <c r="G242" s="362"/>
      <c r="H242" s="362"/>
      <c r="I242" s="362"/>
      <c r="J242" s="362"/>
      <c r="K242" s="362"/>
      <c r="L242" s="362"/>
      <c r="M242" s="362"/>
      <c r="N242" s="362"/>
      <c r="O242" s="362"/>
      <c r="P242" s="362"/>
      <c r="Q242" s="362"/>
      <c r="R242" s="362"/>
      <c r="S242" s="362"/>
      <c r="T242" s="362"/>
      <c r="U242" s="362"/>
      <c r="V242" s="362"/>
      <c r="W242" s="362"/>
      <c r="X242" s="362"/>
      <c r="Y242" s="362"/>
      <c r="Z242" s="362"/>
      <c r="AA242" s="362"/>
      <c r="AB242" s="362"/>
      <c r="AC242" s="362"/>
      <c r="AD242" s="362"/>
      <c r="AE242" s="362"/>
      <c r="AF242" s="362"/>
      <c r="AG242" s="362"/>
      <c r="AH242" s="362"/>
      <c r="AI242" s="362"/>
      <c r="AJ242" s="362"/>
      <c r="AK242" s="233"/>
      <c r="AL242" s="360"/>
    </row>
    <row r="243" spans="1:38" ht="33.75" customHeight="1">
      <c r="A243" s="283"/>
      <c r="B243" s="798" t="s">
        <v>764</v>
      </c>
      <c r="C243" s="798"/>
      <c r="D243" s="798"/>
      <c r="E243" s="798"/>
      <c r="F243" s="798"/>
      <c r="G243" s="798"/>
      <c r="H243" s="798"/>
      <c r="I243" s="798"/>
      <c r="J243" s="798"/>
      <c r="K243" s="798"/>
      <c r="L243" s="798"/>
      <c r="M243" s="798"/>
      <c r="N243" s="798"/>
      <c r="O243" s="798"/>
      <c r="P243" s="798"/>
      <c r="Q243" s="798"/>
      <c r="R243" s="798"/>
      <c r="S243" s="798"/>
      <c r="T243" s="798"/>
      <c r="U243" s="798"/>
      <c r="V243" s="798"/>
      <c r="W243" s="798"/>
      <c r="X243" s="798"/>
      <c r="Y243" s="798"/>
      <c r="Z243" s="798"/>
      <c r="AA243" s="798"/>
      <c r="AB243" s="798"/>
      <c r="AC243" s="798"/>
      <c r="AD243" s="798"/>
      <c r="AE243" s="798"/>
      <c r="AF243" s="798"/>
      <c r="AG243" s="798"/>
      <c r="AH243" s="798"/>
      <c r="AI243" s="798"/>
      <c r="AJ243" s="798"/>
      <c r="AK243" s="798"/>
      <c r="AL243" s="360"/>
    </row>
    <row r="244" spans="1:38" ht="12.75" customHeight="1">
      <c r="A244" s="283"/>
      <c r="B244" s="237"/>
      <c r="C244" s="362"/>
      <c r="D244" s="362"/>
      <c r="E244" s="362"/>
      <c r="F244" s="362"/>
      <c r="G244" s="362"/>
      <c r="H244" s="362"/>
      <c r="I244" s="362"/>
      <c r="J244" s="362"/>
      <c r="K244" s="362"/>
      <c r="L244" s="362"/>
      <c r="M244" s="362"/>
      <c r="N244" s="362"/>
      <c r="O244" s="362"/>
      <c r="P244" s="362"/>
      <c r="Q244" s="362"/>
      <c r="R244" s="362"/>
      <c r="S244" s="362"/>
      <c r="T244" s="362"/>
      <c r="U244" s="362"/>
      <c r="V244" s="362"/>
      <c r="W244" s="362"/>
      <c r="X244" s="362"/>
      <c r="Y244" s="362"/>
      <c r="Z244" s="362"/>
      <c r="AA244" s="362"/>
      <c r="AB244" s="362"/>
      <c r="AC244" s="362"/>
      <c r="AD244" s="362"/>
      <c r="AE244" s="362"/>
      <c r="AF244" s="362"/>
      <c r="AG244" s="362"/>
      <c r="AH244" s="362"/>
      <c r="AI244" s="362"/>
      <c r="AJ244" s="362"/>
      <c r="AK244" s="233"/>
      <c r="AL244" s="360"/>
    </row>
    <row r="245" spans="1:38" ht="11.25" customHeight="1">
      <c r="A245" s="283"/>
      <c r="AL245" s="360"/>
    </row>
    <row r="246" spans="1:38" ht="12.75" customHeight="1">
      <c r="A246" s="283"/>
      <c r="B246" s="797" t="s">
        <v>272</v>
      </c>
      <c r="C246" s="797"/>
      <c r="D246" s="797"/>
      <c r="E246" s="797"/>
      <c r="F246" s="797"/>
      <c r="G246" s="797"/>
      <c r="H246" s="797"/>
      <c r="I246" s="797"/>
      <c r="J246" s="797"/>
      <c r="K246" s="797"/>
      <c r="L246" s="797"/>
      <c r="M246" s="797"/>
      <c r="N246" s="797"/>
      <c r="O246" s="797"/>
      <c r="P246" s="797"/>
      <c r="Q246" s="797"/>
      <c r="R246" s="797"/>
      <c r="S246" s="797"/>
      <c r="T246" s="797"/>
      <c r="U246" s="797"/>
      <c r="V246" s="797"/>
      <c r="W246" s="797"/>
      <c r="X246" s="797"/>
      <c r="Y246" s="797"/>
      <c r="Z246" s="797"/>
      <c r="AA246" s="797"/>
      <c r="AB246" s="797"/>
      <c r="AC246" s="797"/>
      <c r="AD246" s="797"/>
      <c r="AE246" s="797"/>
      <c r="AF246" s="797"/>
      <c r="AG246" s="797"/>
      <c r="AH246" s="797"/>
      <c r="AI246" s="797"/>
      <c r="AJ246" s="797"/>
      <c r="AK246" s="797"/>
      <c r="AL246" s="360"/>
    </row>
    <row r="247" spans="1:38" ht="12.75" customHeight="1">
      <c r="A247" s="283"/>
      <c r="C247" s="359"/>
      <c r="D247" s="359"/>
      <c r="E247" s="359"/>
      <c r="F247" s="359"/>
      <c r="G247" s="359"/>
      <c r="H247" s="359"/>
      <c r="I247" s="359"/>
      <c r="J247" s="359"/>
      <c r="K247" s="359"/>
      <c r="L247" s="359"/>
      <c r="M247" s="359"/>
      <c r="N247" s="359"/>
      <c r="O247" s="359"/>
      <c r="P247" s="359"/>
      <c r="Q247" s="359"/>
      <c r="R247" s="359"/>
      <c r="S247" s="359"/>
      <c r="T247" s="359"/>
      <c r="U247" s="359"/>
      <c r="V247" s="359"/>
      <c r="W247" s="359"/>
      <c r="X247" s="359"/>
      <c r="Y247" s="359"/>
      <c r="Z247" s="359"/>
      <c r="AA247" s="359"/>
      <c r="AB247" s="359"/>
      <c r="AC247" s="359"/>
      <c r="AD247" s="359"/>
      <c r="AE247" s="359"/>
      <c r="AF247" s="359"/>
      <c r="AG247" s="359"/>
      <c r="AH247" s="359"/>
      <c r="AI247" s="359"/>
      <c r="AJ247" s="359"/>
      <c r="AK247" s="283"/>
      <c r="AL247" s="360"/>
    </row>
    <row r="248" spans="1:38" ht="45" customHeight="1">
      <c r="A248" s="283"/>
      <c r="B248" s="803" t="s">
        <v>337</v>
      </c>
      <c r="C248" s="803"/>
      <c r="D248" s="803"/>
      <c r="E248" s="803"/>
      <c r="F248" s="803"/>
      <c r="G248" s="803"/>
      <c r="H248" s="803"/>
      <c r="I248" s="803"/>
      <c r="J248" s="803"/>
      <c r="K248" s="803"/>
      <c r="L248" s="803"/>
      <c r="M248" s="803"/>
      <c r="N248" s="803"/>
      <c r="O248" s="803"/>
      <c r="P248" s="803"/>
      <c r="Q248" s="803"/>
      <c r="R248" s="803"/>
      <c r="S248" s="803"/>
      <c r="T248" s="803"/>
      <c r="U248" s="803"/>
      <c r="V248" s="803"/>
      <c r="W248" s="803"/>
      <c r="X248" s="803"/>
      <c r="Y248" s="803"/>
      <c r="Z248" s="803"/>
      <c r="AA248" s="803"/>
      <c r="AB248" s="803"/>
      <c r="AC248" s="803"/>
      <c r="AD248" s="803"/>
      <c r="AE248" s="803"/>
      <c r="AF248" s="803"/>
      <c r="AG248" s="803"/>
      <c r="AH248" s="803"/>
      <c r="AI248" s="803"/>
      <c r="AJ248" s="803"/>
      <c r="AK248" s="803"/>
      <c r="AL248" s="360"/>
    </row>
    <row r="249" spans="1:38" ht="12.75" customHeight="1">
      <c r="A249" s="283"/>
      <c r="B249" s="359"/>
      <c r="C249" s="359"/>
      <c r="D249" s="359"/>
      <c r="E249" s="359"/>
      <c r="F249" s="359"/>
      <c r="G249" s="359"/>
      <c r="H249" s="359"/>
      <c r="I249" s="359"/>
      <c r="J249" s="359"/>
      <c r="K249" s="359"/>
      <c r="L249" s="359"/>
      <c r="M249" s="359"/>
      <c r="N249" s="359"/>
      <c r="O249" s="359"/>
      <c r="P249" s="359"/>
      <c r="Q249" s="359"/>
      <c r="R249" s="359"/>
      <c r="S249" s="359"/>
      <c r="T249" s="359"/>
      <c r="U249" s="359"/>
      <c r="V249" s="359"/>
      <c r="W249" s="359"/>
      <c r="X249" s="359"/>
      <c r="Y249" s="359"/>
      <c r="Z249" s="359"/>
      <c r="AA249" s="359"/>
      <c r="AB249" s="359"/>
      <c r="AC249" s="359"/>
      <c r="AD249" s="359"/>
      <c r="AE249" s="359"/>
      <c r="AF249" s="359"/>
      <c r="AG249" s="359"/>
      <c r="AH249" s="359"/>
      <c r="AI249" s="359"/>
      <c r="AJ249" s="359"/>
      <c r="AK249" s="283"/>
      <c r="AL249" s="360"/>
    </row>
    <row r="250" spans="1:38" ht="12.75" customHeight="1">
      <c r="A250" s="283"/>
      <c r="B250" s="359"/>
      <c r="C250" s="359"/>
      <c r="D250" s="359"/>
      <c r="E250" s="359"/>
      <c r="F250" s="359"/>
      <c r="G250" s="359"/>
      <c r="H250" s="359"/>
      <c r="I250" s="359"/>
      <c r="J250" s="359"/>
      <c r="K250" s="359"/>
      <c r="L250" s="359"/>
      <c r="M250" s="359"/>
      <c r="N250" s="359"/>
      <c r="O250" s="359"/>
      <c r="P250" s="359"/>
      <c r="Q250" s="359"/>
      <c r="R250" s="359"/>
      <c r="S250" s="359"/>
      <c r="T250" s="359"/>
      <c r="U250" s="359"/>
      <c r="V250" s="359"/>
      <c r="W250" s="359"/>
      <c r="X250" s="359"/>
      <c r="Y250" s="359"/>
      <c r="Z250" s="359"/>
      <c r="AA250" s="359"/>
      <c r="AB250" s="359"/>
      <c r="AC250" s="359"/>
      <c r="AD250" s="359"/>
      <c r="AE250" s="359"/>
      <c r="AF250" s="359"/>
      <c r="AG250" s="359"/>
      <c r="AH250" s="359"/>
      <c r="AI250" s="359"/>
      <c r="AJ250" s="359"/>
      <c r="AK250" s="283"/>
      <c r="AL250" s="360"/>
    </row>
    <row r="251" spans="1:38" ht="12.75" customHeight="1">
      <c r="A251" s="283"/>
      <c r="B251" s="359"/>
      <c r="C251" s="359"/>
      <c r="D251" s="359"/>
      <c r="E251" s="359"/>
      <c r="F251" s="359"/>
      <c r="G251" s="359"/>
      <c r="H251" s="359"/>
      <c r="I251" s="359"/>
      <c r="J251" s="359"/>
      <c r="K251" s="359"/>
      <c r="L251" s="359"/>
      <c r="M251" s="359"/>
      <c r="N251" s="359"/>
      <c r="O251" s="359"/>
      <c r="P251" s="359"/>
      <c r="Q251" s="359"/>
      <c r="R251" s="359"/>
      <c r="S251" s="359"/>
      <c r="T251" s="359"/>
      <c r="U251" s="359"/>
      <c r="V251" s="359"/>
      <c r="W251" s="359"/>
      <c r="X251" s="359"/>
      <c r="Y251" s="359"/>
      <c r="Z251" s="359"/>
      <c r="AA251" s="359"/>
      <c r="AB251" s="359"/>
      <c r="AC251" s="359"/>
      <c r="AD251" s="359"/>
      <c r="AE251" s="359"/>
      <c r="AF251" s="359"/>
      <c r="AG251" s="359"/>
      <c r="AH251" s="359"/>
      <c r="AI251" s="359"/>
      <c r="AJ251" s="359"/>
      <c r="AK251" s="283"/>
      <c r="AL251" s="360"/>
    </row>
    <row r="252" spans="1:38" ht="12.75" customHeight="1">
      <c r="A252" s="283"/>
      <c r="B252" s="359"/>
      <c r="C252" s="359"/>
      <c r="D252" s="359"/>
      <c r="E252" s="359"/>
      <c r="F252" s="359"/>
      <c r="G252" s="359"/>
      <c r="H252" s="359"/>
      <c r="I252" s="359"/>
      <c r="J252" s="359"/>
      <c r="K252" s="359"/>
      <c r="L252" s="359"/>
      <c r="M252" s="359"/>
      <c r="N252" s="359"/>
      <c r="O252" s="359"/>
      <c r="P252" s="359"/>
      <c r="Q252" s="359"/>
      <c r="R252" s="359"/>
      <c r="S252" s="359"/>
      <c r="T252" s="359"/>
      <c r="U252" s="359"/>
      <c r="V252" s="359"/>
      <c r="W252" s="359"/>
      <c r="X252" s="359"/>
      <c r="Y252" s="359"/>
      <c r="Z252" s="359"/>
      <c r="AA252" s="359"/>
      <c r="AB252" s="359"/>
      <c r="AC252" s="359"/>
      <c r="AD252" s="359"/>
      <c r="AE252" s="359"/>
      <c r="AF252" s="359"/>
      <c r="AG252" s="359"/>
      <c r="AH252" s="359"/>
      <c r="AI252" s="359"/>
      <c r="AJ252" s="359"/>
      <c r="AK252" s="283"/>
      <c r="AL252" s="360"/>
    </row>
    <row r="253" spans="1:38" ht="12.75" customHeight="1">
      <c r="A253" s="283"/>
      <c r="B253" s="359"/>
      <c r="C253" s="359"/>
      <c r="D253" s="359"/>
      <c r="E253" s="359"/>
      <c r="F253" s="359"/>
      <c r="G253" s="359"/>
      <c r="H253" s="359"/>
      <c r="I253" s="359"/>
      <c r="J253" s="359"/>
      <c r="K253" s="359"/>
      <c r="L253" s="359"/>
      <c r="M253" s="359"/>
      <c r="N253" s="359"/>
      <c r="O253" s="359"/>
      <c r="P253" s="359"/>
      <c r="Q253" s="359"/>
      <c r="R253" s="359"/>
      <c r="S253" s="359"/>
      <c r="T253" s="359"/>
      <c r="U253" s="359"/>
      <c r="V253" s="359"/>
      <c r="W253" s="359"/>
      <c r="X253" s="359"/>
      <c r="Y253" s="359"/>
      <c r="Z253" s="359"/>
      <c r="AA253" s="359"/>
      <c r="AB253" s="359"/>
      <c r="AC253" s="359"/>
      <c r="AD253" s="359"/>
      <c r="AE253" s="359"/>
      <c r="AF253" s="359"/>
      <c r="AG253" s="359"/>
      <c r="AH253" s="359"/>
      <c r="AI253" s="359"/>
      <c r="AJ253" s="359"/>
      <c r="AK253" s="283"/>
      <c r="AL253" s="360"/>
    </row>
    <row r="254" spans="1:38" ht="12.75" customHeight="1">
      <c r="A254" s="283"/>
      <c r="B254" s="969" t="s">
        <v>274</v>
      </c>
      <c r="C254" s="969"/>
      <c r="D254" s="969"/>
      <c r="E254" s="969"/>
      <c r="F254" s="969"/>
      <c r="G254" s="969"/>
      <c r="H254" s="969"/>
      <c r="I254" s="969"/>
      <c r="J254" s="969"/>
      <c r="K254" s="969"/>
      <c r="L254" s="969"/>
      <c r="M254" s="969"/>
      <c r="N254" s="969"/>
      <c r="O254" s="969"/>
      <c r="P254" s="969"/>
      <c r="Q254" s="969"/>
      <c r="R254" s="969"/>
      <c r="S254" s="969"/>
      <c r="T254" s="969"/>
      <c r="U254" s="969"/>
      <c r="V254" s="969"/>
      <c r="W254" s="969"/>
      <c r="X254" s="969"/>
      <c r="Y254" s="969"/>
      <c r="Z254" s="969"/>
      <c r="AA254" s="969"/>
      <c r="AB254" s="969"/>
      <c r="AC254" s="969"/>
      <c r="AD254" s="969"/>
      <c r="AE254" s="969"/>
      <c r="AF254" s="969"/>
      <c r="AG254" s="969"/>
      <c r="AH254" s="969"/>
      <c r="AI254" s="969"/>
      <c r="AJ254" s="969"/>
      <c r="AK254" s="969"/>
      <c r="AL254" s="360"/>
    </row>
    <row r="255" spans="1:38" ht="12.75" customHeight="1">
      <c r="A255" s="283"/>
      <c r="B255" s="359"/>
      <c r="C255" s="359"/>
      <c r="D255" s="359"/>
      <c r="E255" s="359"/>
      <c r="F255" s="359"/>
      <c r="G255" s="359"/>
      <c r="H255" s="359"/>
      <c r="I255" s="359"/>
      <c r="J255" s="359"/>
      <c r="K255" s="359"/>
      <c r="L255" s="359"/>
      <c r="M255" s="359"/>
      <c r="N255" s="359"/>
      <c r="O255" s="359"/>
      <c r="P255" s="359"/>
      <c r="Q255" s="359"/>
      <c r="R255" s="359"/>
      <c r="S255" s="359"/>
      <c r="T255" s="359"/>
      <c r="U255" s="359"/>
      <c r="V255" s="359"/>
      <c r="W255" s="359"/>
      <c r="X255" s="359"/>
      <c r="Y255" s="359"/>
      <c r="Z255" s="359"/>
      <c r="AA255" s="359"/>
      <c r="AB255" s="359"/>
      <c r="AC255" s="359"/>
      <c r="AD255" s="359"/>
      <c r="AE255" s="359"/>
      <c r="AF255" s="359"/>
      <c r="AG255" s="359"/>
      <c r="AH255" s="359"/>
      <c r="AI255" s="359"/>
      <c r="AJ255" s="359"/>
      <c r="AK255" s="283"/>
      <c r="AL255" s="360"/>
    </row>
    <row r="256" spans="1:38" ht="12.75" customHeight="1">
      <c r="A256" s="283"/>
      <c r="B256" s="359"/>
      <c r="C256" s="359"/>
      <c r="D256" s="359"/>
      <c r="E256" s="359"/>
      <c r="F256" s="359"/>
      <c r="G256" s="359"/>
      <c r="H256" s="359"/>
      <c r="I256" s="359"/>
      <c r="J256" s="359"/>
      <c r="K256" s="359"/>
      <c r="L256" s="359"/>
      <c r="M256" s="359"/>
      <c r="N256" s="359"/>
      <c r="O256" s="359"/>
      <c r="P256" s="359"/>
      <c r="Q256" s="359"/>
      <c r="R256" s="359"/>
      <c r="S256" s="359"/>
      <c r="T256" s="359"/>
      <c r="U256" s="359"/>
      <c r="V256" s="359"/>
      <c r="W256" s="359"/>
      <c r="X256" s="359"/>
      <c r="Y256" s="359"/>
      <c r="Z256" s="359"/>
      <c r="AA256" s="359"/>
      <c r="AB256" s="359"/>
      <c r="AC256" s="359"/>
      <c r="AD256" s="359"/>
      <c r="AE256" s="359"/>
      <c r="AF256" s="359"/>
      <c r="AG256" s="359"/>
      <c r="AH256" s="359"/>
      <c r="AI256" s="359"/>
      <c r="AJ256" s="359"/>
      <c r="AK256" s="283"/>
      <c r="AL256" s="360"/>
    </row>
    <row r="257" spans="1:38" ht="12.75" customHeight="1">
      <c r="A257" s="283"/>
      <c r="B257" s="359"/>
      <c r="C257" s="359"/>
      <c r="D257" s="359"/>
      <c r="E257" s="359"/>
      <c r="F257" s="359"/>
      <c r="G257" s="359"/>
      <c r="H257" s="359"/>
      <c r="I257" s="359"/>
      <c r="J257" s="359"/>
      <c r="K257" s="359"/>
      <c r="L257" s="968"/>
      <c r="M257" s="968"/>
      <c r="N257" s="968"/>
      <c r="O257" s="968"/>
      <c r="P257" s="968"/>
      <c r="Q257" s="968"/>
      <c r="R257" s="968"/>
      <c r="S257" s="968"/>
      <c r="T257" s="968"/>
      <c r="U257" s="968"/>
      <c r="V257" s="968"/>
      <c r="W257" s="968"/>
      <c r="X257" s="968"/>
      <c r="Y257" s="968"/>
      <c r="Z257" s="968"/>
      <c r="AA257" s="968"/>
      <c r="AB257" s="359"/>
      <c r="AC257" s="359"/>
      <c r="AD257" s="359"/>
      <c r="AE257" s="359"/>
      <c r="AF257" s="359"/>
      <c r="AG257" s="359"/>
      <c r="AH257" s="359"/>
      <c r="AI257" s="359"/>
      <c r="AJ257" s="359"/>
      <c r="AK257" s="283"/>
      <c r="AL257" s="360"/>
    </row>
    <row r="258" spans="1:38" ht="12.75" customHeight="1">
      <c r="A258" s="283"/>
      <c r="B258" s="359"/>
      <c r="C258" s="359"/>
      <c r="D258" s="359"/>
      <c r="E258" s="359"/>
      <c r="F258" s="359"/>
      <c r="G258" s="359"/>
      <c r="H258" s="359"/>
      <c r="I258" s="359"/>
      <c r="J258" s="359"/>
      <c r="K258" s="359"/>
      <c r="L258" s="359"/>
      <c r="M258" s="359"/>
      <c r="N258" s="359"/>
      <c r="O258" s="359"/>
      <c r="P258" s="359"/>
      <c r="Q258" s="359"/>
      <c r="R258" s="500"/>
      <c r="S258" s="359"/>
      <c r="T258" s="359"/>
      <c r="U258" s="359"/>
      <c r="V258" s="359"/>
      <c r="W258" s="359"/>
      <c r="X258" s="359"/>
      <c r="Y258" s="359"/>
      <c r="Z258" s="359"/>
      <c r="AA258" s="359"/>
      <c r="AB258" s="359"/>
      <c r="AC258" s="359"/>
      <c r="AD258" s="359"/>
      <c r="AE258" s="359"/>
      <c r="AF258" s="359"/>
      <c r="AG258" s="359"/>
      <c r="AH258" s="359"/>
      <c r="AI258" s="359"/>
      <c r="AJ258" s="359"/>
      <c r="AK258" s="283"/>
      <c r="AL258" s="360"/>
    </row>
    <row r="259" spans="1:38" ht="12.75" customHeight="1">
      <c r="A259" s="283"/>
      <c r="B259" s="359"/>
      <c r="C259" s="359"/>
      <c r="D259" s="359"/>
      <c r="E259" s="359"/>
      <c r="F259" s="359"/>
      <c r="G259" s="359"/>
      <c r="H259" s="359"/>
      <c r="I259" s="359"/>
      <c r="J259" s="359"/>
      <c r="K259" s="359"/>
      <c r="L259" s="359"/>
      <c r="M259" s="359"/>
      <c r="N259" s="359"/>
      <c r="O259" s="359"/>
      <c r="P259" s="359"/>
      <c r="Q259" s="359"/>
      <c r="R259" s="359"/>
      <c r="S259" s="359"/>
      <c r="T259" s="359"/>
      <c r="U259" s="359"/>
      <c r="V259" s="359"/>
      <c r="W259" s="359"/>
      <c r="X259" s="359"/>
      <c r="Y259" s="359"/>
      <c r="Z259" s="359"/>
      <c r="AA259" s="359"/>
      <c r="AB259" s="359"/>
      <c r="AC259" s="359"/>
      <c r="AD259" s="359"/>
      <c r="AE259" s="359"/>
      <c r="AF259" s="359"/>
      <c r="AG259" s="359"/>
      <c r="AH259" s="359"/>
      <c r="AI259" s="359"/>
      <c r="AJ259" s="359"/>
      <c r="AK259" s="283"/>
      <c r="AL259" s="360"/>
    </row>
    <row r="260" spans="1:38" ht="12.75" customHeight="1">
      <c r="A260" s="283"/>
      <c r="B260" s="359"/>
      <c r="C260" s="359"/>
      <c r="D260" s="359"/>
      <c r="E260" s="359"/>
      <c r="F260" s="359"/>
      <c r="G260" s="359"/>
      <c r="H260" s="359"/>
      <c r="I260" s="359"/>
      <c r="J260" s="359"/>
      <c r="K260" s="359"/>
      <c r="L260" s="968"/>
      <c r="M260" s="968"/>
      <c r="N260" s="968"/>
      <c r="O260" s="968"/>
      <c r="P260" s="968"/>
      <c r="Q260" s="968"/>
      <c r="R260" s="968"/>
      <c r="S260" s="968"/>
      <c r="T260" s="968"/>
      <c r="U260" s="968"/>
      <c r="V260" s="968"/>
      <c r="W260" s="968"/>
      <c r="X260" s="968"/>
      <c r="Y260" s="968"/>
      <c r="Z260" s="968"/>
      <c r="AA260" s="968"/>
      <c r="AB260" s="359"/>
      <c r="AC260" s="359"/>
      <c r="AD260" s="359"/>
      <c r="AE260" s="359"/>
      <c r="AF260" s="359"/>
      <c r="AG260" s="359"/>
      <c r="AH260" s="359"/>
      <c r="AI260" s="359"/>
      <c r="AJ260" s="359"/>
      <c r="AK260" s="283"/>
      <c r="AL260" s="360"/>
    </row>
    <row r="261" spans="1:38" ht="12.75" customHeight="1">
      <c r="A261" s="283"/>
      <c r="B261" s="359"/>
      <c r="C261" s="359"/>
      <c r="D261" s="359"/>
      <c r="E261" s="359"/>
      <c r="F261" s="359"/>
      <c r="G261" s="359"/>
      <c r="H261" s="359"/>
      <c r="I261" s="359"/>
      <c r="J261" s="359"/>
      <c r="K261" s="359"/>
      <c r="L261" s="359"/>
      <c r="M261" s="359"/>
      <c r="N261" s="359"/>
      <c r="O261" s="359"/>
      <c r="P261" s="359"/>
      <c r="Q261" s="359"/>
      <c r="R261" s="359"/>
      <c r="S261" s="359"/>
      <c r="T261" s="359"/>
      <c r="U261" s="359"/>
      <c r="V261" s="359"/>
      <c r="W261" s="359"/>
      <c r="X261" s="359"/>
      <c r="Y261" s="359"/>
      <c r="Z261" s="359"/>
      <c r="AA261" s="359"/>
      <c r="AB261" s="359"/>
      <c r="AC261" s="359"/>
      <c r="AD261" s="359"/>
      <c r="AE261" s="359"/>
      <c r="AF261" s="359"/>
      <c r="AG261" s="359"/>
      <c r="AH261" s="359"/>
      <c r="AI261" s="359"/>
      <c r="AJ261" s="359"/>
      <c r="AK261" s="283"/>
      <c r="AL261" s="360"/>
    </row>
    <row r="262" spans="1:38" ht="12.75" customHeight="1">
      <c r="A262" s="283"/>
      <c r="B262" s="359"/>
      <c r="C262" s="359"/>
      <c r="D262" s="359"/>
      <c r="E262" s="359"/>
      <c r="F262" s="359"/>
      <c r="G262" s="359"/>
      <c r="H262" s="359"/>
      <c r="I262" s="359"/>
      <c r="J262" s="359"/>
      <c r="K262" s="359"/>
      <c r="L262" s="359"/>
      <c r="M262" s="359"/>
      <c r="N262" s="359"/>
      <c r="O262" s="359"/>
      <c r="P262" s="359"/>
      <c r="Q262" s="359"/>
      <c r="R262" s="359"/>
      <c r="S262" s="359"/>
      <c r="T262" s="359"/>
      <c r="U262" s="359"/>
      <c r="V262" s="359"/>
      <c r="W262" s="359"/>
      <c r="X262" s="359"/>
      <c r="Y262" s="359"/>
      <c r="Z262" s="359"/>
      <c r="AA262" s="359"/>
      <c r="AB262" s="359"/>
      <c r="AC262" s="359"/>
      <c r="AD262" s="359"/>
      <c r="AE262" s="359"/>
      <c r="AF262" s="359"/>
      <c r="AG262" s="359"/>
      <c r="AH262" s="359"/>
      <c r="AI262" s="359"/>
      <c r="AJ262" s="359"/>
      <c r="AK262" s="283"/>
      <c r="AL262" s="360"/>
    </row>
    <row r="263" spans="1:38" ht="12.75" customHeight="1">
      <c r="A263" s="283"/>
      <c r="B263" s="359"/>
      <c r="C263" s="359"/>
      <c r="D263" s="359"/>
      <c r="E263" s="359"/>
      <c r="F263" s="359"/>
      <c r="G263" s="359"/>
      <c r="H263" s="359"/>
      <c r="I263" s="359"/>
      <c r="J263" s="359"/>
      <c r="K263" s="359"/>
      <c r="L263" s="359"/>
      <c r="M263" s="359"/>
      <c r="N263" s="359"/>
      <c r="O263" s="359"/>
      <c r="P263" s="359"/>
      <c r="Q263" s="359"/>
      <c r="R263" s="359"/>
      <c r="S263" s="359"/>
      <c r="T263" s="359"/>
      <c r="U263" s="359"/>
      <c r="V263" s="359"/>
      <c r="W263" s="359"/>
      <c r="X263" s="359"/>
      <c r="Y263" s="359"/>
      <c r="Z263" s="359"/>
      <c r="AA263" s="359"/>
      <c r="AB263" s="359"/>
      <c r="AC263" s="359"/>
      <c r="AD263" s="359"/>
      <c r="AE263" s="359"/>
      <c r="AF263" s="359"/>
      <c r="AG263" s="359"/>
      <c r="AH263" s="359"/>
      <c r="AI263" s="359"/>
      <c r="AJ263" s="359"/>
      <c r="AK263" s="283"/>
      <c r="AL263" s="360"/>
    </row>
    <row r="264" spans="1:38" ht="12.75" customHeight="1">
      <c r="A264" s="283"/>
      <c r="B264" s="359"/>
      <c r="C264" s="359"/>
      <c r="D264" s="359"/>
      <c r="E264" s="359"/>
      <c r="F264" s="359"/>
      <c r="G264" s="359"/>
      <c r="H264" s="359"/>
      <c r="I264" s="359"/>
      <c r="J264" s="359"/>
      <c r="K264" s="359"/>
      <c r="L264" s="359"/>
      <c r="M264" s="359"/>
      <c r="N264" s="359"/>
      <c r="O264" s="359"/>
      <c r="P264" s="359"/>
      <c r="Q264" s="359"/>
      <c r="R264" s="359"/>
      <c r="S264" s="359"/>
      <c r="T264" s="359"/>
      <c r="U264" s="359"/>
      <c r="V264" s="359"/>
      <c r="W264" s="359"/>
      <c r="X264" s="359"/>
      <c r="Y264" s="359"/>
      <c r="Z264" s="359"/>
      <c r="AA264" s="359"/>
      <c r="AB264" s="359"/>
      <c r="AC264" s="359"/>
      <c r="AD264" s="359"/>
      <c r="AE264" s="359"/>
      <c r="AF264" s="359"/>
      <c r="AG264" s="359"/>
      <c r="AH264" s="359"/>
      <c r="AI264" s="359"/>
      <c r="AJ264" s="359"/>
      <c r="AK264" s="283"/>
      <c r="AL264" s="360"/>
    </row>
    <row r="265" spans="1:38" ht="12.75" customHeight="1">
      <c r="A265" s="283"/>
      <c r="B265" s="969"/>
      <c r="C265" s="969"/>
      <c r="D265" s="969"/>
      <c r="E265" s="969"/>
      <c r="F265" s="969"/>
      <c r="G265" s="969"/>
      <c r="H265" s="969"/>
      <c r="I265" s="969"/>
      <c r="J265" s="969"/>
      <c r="K265" s="969"/>
      <c r="L265" s="969"/>
      <c r="M265" s="969"/>
      <c r="N265" s="969"/>
      <c r="O265" s="969"/>
      <c r="P265" s="969"/>
      <c r="Q265" s="969"/>
      <c r="R265" s="969"/>
      <c r="S265" s="969"/>
      <c r="T265" s="969"/>
      <c r="U265" s="969"/>
      <c r="V265" s="969"/>
      <c r="W265" s="969"/>
      <c r="X265" s="969"/>
      <c r="Y265" s="969"/>
      <c r="Z265" s="969"/>
      <c r="AA265" s="969"/>
      <c r="AB265" s="969"/>
      <c r="AC265" s="969"/>
      <c r="AD265" s="969"/>
      <c r="AE265" s="969"/>
      <c r="AF265" s="969"/>
      <c r="AG265" s="969"/>
      <c r="AH265" s="969"/>
      <c r="AI265" s="969"/>
      <c r="AJ265" s="969"/>
      <c r="AK265" s="969"/>
      <c r="AL265" s="360"/>
    </row>
    <row r="266" spans="1:38" ht="12.75" customHeight="1">
      <c r="A266" s="283"/>
      <c r="B266" s="359"/>
      <c r="C266" s="359"/>
      <c r="D266" s="359"/>
      <c r="E266" s="359"/>
      <c r="F266" s="359"/>
      <c r="G266" s="359"/>
      <c r="H266" s="359"/>
      <c r="I266" s="359"/>
      <c r="J266" s="359"/>
      <c r="K266" s="359"/>
      <c r="L266" s="359"/>
      <c r="M266" s="359"/>
      <c r="N266" s="359"/>
      <c r="O266" s="359"/>
      <c r="P266" s="359"/>
      <c r="Q266" s="359"/>
      <c r="R266" s="359"/>
      <c r="S266" s="359"/>
      <c r="T266" s="359"/>
      <c r="U266" s="359"/>
      <c r="V266" s="359"/>
      <c r="W266" s="359"/>
      <c r="X266" s="359"/>
      <c r="Y266" s="359"/>
      <c r="Z266" s="359"/>
      <c r="AA266" s="359"/>
      <c r="AB266" s="359"/>
      <c r="AC266" s="359"/>
      <c r="AD266" s="359"/>
      <c r="AE266" s="359"/>
      <c r="AF266" s="359"/>
      <c r="AG266" s="359"/>
      <c r="AH266" s="359"/>
      <c r="AI266" s="359"/>
      <c r="AJ266" s="359"/>
      <c r="AK266" s="283"/>
      <c r="AL266" s="360"/>
    </row>
    <row r="267" spans="1:38" ht="12.75" customHeight="1">
      <c r="A267" s="283"/>
      <c r="B267" s="359"/>
      <c r="C267" s="359"/>
      <c r="D267" s="359"/>
      <c r="E267" s="359"/>
      <c r="F267" s="359"/>
      <c r="G267" s="359"/>
      <c r="H267" s="359"/>
      <c r="I267" s="359"/>
      <c r="J267" s="359"/>
      <c r="K267" s="359"/>
      <c r="L267" s="359"/>
      <c r="M267" s="359"/>
      <c r="N267" s="359"/>
      <c r="O267" s="359"/>
      <c r="P267" s="359"/>
      <c r="Q267" s="359"/>
      <c r="R267" s="359"/>
      <c r="S267" s="359"/>
      <c r="T267" s="359"/>
      <c r="U267" s="359"/>
      <c r="V267" s="359"/>
      <c r="W267" s="359"/>
      <c r="X267" s="359"/>
      <c r="Y267" s="359"/>
      <c r="Z267" s="359"/>
      <c r="AA267" s="359"/>
      <c r="AB267" s="359"/>
      <c r="AC267" s="359"/>
      <c r="AD267" s="359"/>
      <c r="AE267" s="359"/>
      <c r="AF267" s="359"/>
      <c r="AG267" s="359"/>
      <c r="AH267" s="359"/>
      <c r="AI267" s="359"/>
      <c r="AJ267" s="359"/>
      <c r="AK267" s="283"/>
      <c r="AL267" s="360"/>
    </row>
    <row r="268" spans="1:38" ht="12.75" customHeight="1">
      <c r="A268" s="283"/>
      <c r="B268" s="359"/>
      <c r="C268" s="359"/>
      <c r="D268" s="359"/>
      <c r="E268" s="359"/>
      <c r="F268" s="359"/>
      <c r="G268" s="359"/>
      <c r="H268" s="359"/>
      <c r="I268" s="359"/>
      <c r="J268" s="359"/>
      <c r="K268" s="359"/>
      <c r="L268" s="1056"/>
      <c r="M268" s="1056"/>
      <c r="N268" s="1056"/>
      <c r="O268" s="1056"/>
      <c r="P268" s="1056"/>
      <c r="Q268" s="1056"/>
      <c r="R268" s="1056"/>
      <c r="S268" s="1056"/>
      <c r="T268" s="1056"/>
      <c r="U268" s="1056"/>
      <c r="V268" s="1056"/>
      <c r="W268" s="1056"/>
      <c r="X268" s="1056"/>
      <c r="Y268" s="1056"/>
      <c r="Z268" s="1056"/>
      <c r="AA268" s="1056"/>
      <c r="AB268" s="359"/>
      <c r="AC268" s="359"/>
      <c r="AD268" s="359"/>
      <c r="AE268" s="359"/>
      <c r="AF268" s="359"/>
      <c r="AG268" s="359"/>
      <c r="AH268" s="359"/>
      <c r="AI268" s="359"/>
      <c r="AJ268" s="359"/>
      <c r="AK268" s="283"/>
      <c r="AL268" s="360"/>
    </row>
    <row r="269" spans="1:38" ht="12.75" customHeight="1">
      <c r="A269" s="283"/>
      <c r="B269" s="359"/>
      <c r="C269" s="359"/>
      <c r="D269" s="359"/>
      <c r="E269" s="359"/>
      <c r="F269" s="359"/>
      <c r="G269" s="359"/>
      <c r="H269" s="359"/>
      <c r="I269" s="359"/>
      <c r="J269" s="359"/>
      <c r="K269" s="359"/>
      <c r="L269" s="359"/>
      <c r="M269" s="359"/>
      <c r="N269" s="359"/>
      <c r="O269" s="359"/>
      <c r="P269" s="359"/>
      <c r="Q269" s="359"/>
      <c r="R269" s="359"/>
      <c r="S269" s="359"/>
      <c r="T269" s="359"/>
      <c r="U269" s="359"/>
      <c r="V269" s="359"/>
      <c r="W269" s="359"/>
      <c r="X269" s="359"/>
      <c r="Y269" s="359"/>
      <c r="Z269" s="359"/>
      <c r="AA269" s="359"/>
      <c r="AB269" s="359"/>
      <c r="AC269" s="359"/>
      <c r="AD269" s="359"/>
      <c r="AE269" s="359"/>
      <c r="AF269" s="359"/>
      <c r="AG269" s="359"/>
      <c r="AH269" s="359"/>
      <c r="AI269" s="359"/>
      <c r="AJ269" s="359"/>
      <c r="AK269" s="283"/>
      <c r="AL269" s="360"/>
    </row>
    <row r="270" spans="1:38" ht="12.75" customHeight="1">
      <c r="A270" s="283"/>
      <c r="B270" s="359"/>
      <c r="C270" s="359"/>
      <c r="D270" s="359"/>
      <c r="E270" s="359"/>
      <c r="F270" s="359"/>
      <c r="G270" s="359"/>
      <c r="H270" s="359"/>
      <c r="I270" s="359"/>
      <c r="J270" s="359"/>
      <c r="K270" s="359"/>
      <c r="L270" s="359"/>
      <c r="M270" s="359"/>
      <c r="N270" s="359"/>
      <c r="O270" s="359"/>
      <c r="P270" s="359"/>
      <c r="Q270" s="359"/>
      <c r="R270" s="359"/>
      <c r="S270" s="359"/>
      <c r="T270" s="359"/>
      <c r="U270" s="359"/>
      <c r="V270" s="359"/>
      <c r="W270" s="359"/>
      <c r="X270" s="359"/>
      <c r="Y270" s="359"/>
      <c r="Z270" s="359"/>
      <c r="AA270" s="359"/>
      <c r="AB270" s="359"/>
      <c r="AC270" s="359"/>
      <c r="AD270" s="359"/>
      <c r="AE270" s="359"/>
      <c r="AF270" s="359"/>
      <c r="AG270" s="359"/>
      <c r="AH270" s="359"/>
      <c r="AI270" s="359"/>
      <c r="AJ270" s="359"/>
      <c r="AK270" s="283"/>
      <c r="AL270" s="360"/>
    </row>
    <row r="271" spans="1:38" ht="12.75" customHeight="1">
      <c r="A271" s="283"/>
      <c r="B271" s="969" t="s">
        <v>275</v>
      </c>
      <c r="C271" s="969"/>
      <c r="D271" s="969"/>
      <c r="E271" s="969"/>
      <c r="F271" s="969"/>
      <c r="G271" s="969"/>
      <c r="H271" s="969"/>
      <c r="I271" s="969"/>
      <c r="J271" s="969"/>
      <c r="K271" s="969"/>
      <c r="L271" s="969"/>
      <c r="M271" s="969"/>
      <c r="N271" s="969"/>
      <c r="O271" s="969"/>
      <c r="P271" s="969"/>
      <c r="Q271" s="969"/>
      <c r="R271" s="969"/>
      <c r="S271" s="969"/>
      <c r="T271" s="969"/>
      <c r="U271" s="969"/>
      <c r="V271" s="969"/>
      <c r="W271" s="969"/>
      <c r="X271" s="969"/>
      <c r="Y271" s="969"/>
      <c r="Z271" s="969"/>
      <c r="AA271" s="969"/>
      <c r="AB271" s="969"/>
      <c r="AC271" s="969"/>
      <c r="AD271" s="969"/>
      <c r="AE271" s="969"/>
      <c r="AF271" s="969"/>
      <c r="AG271" s="969"/>
      <c r="AH271" s="969"/>
      <c r="AI271" s="969"/>
      <c r="AJ271" s="969"/>
      <c r="AK271" s="969"/>
      <c r="AL271" s="360"/>
    </row>
    <row r="272" spans="1:38" ht="12.75" customHeight="1">
      <c r="A272" s="283"/>
      <c r="B272" s="359"/>
      <c r="C272" s="359"/>
      <c r="D272" s="359"/>
      <c r="E272" s="359"/>
      <c r="F272" s="359"/>
      <c r="G272" s="359"/>
      <c r="H272" s="359"/>
      <c r="I272" s="359"/>
      <c r="J272" s="359"/>
      <c r="K272" s="359"/>
      <c r="L272" s="359"/>
      <c r="M272" s="359"/>
      <c r="N272" s="359"/>
      <c r="O272" s="359"/>
      <c r="P272" s="359"/>
      <c r="Q272" s="359"/>
      <c r="R272" s="359"/>
      <c r="S272" s="359"/>
      <c r="T272" s="359"/>
      <c r="U272" s="359"/>
      <c r="V272" s="359"/>
      <c r="W272" s="359"/>
      <c r="X272" s="359"/>
      <c r="Y272" s="359"/>
      <c r="Z272" s="359"/>
      <c r="AA272" s="359"/>
      <c r="AB272" s="359"/>
      <c r="AC272" s="359"/>
      <c r="AD272" s="359"/>
      <c r="AE272" s="359"/>
      <c r="AF272" s="359"/>
      <c r="AG272" s="359"/>
      <c r="AH272" s="359"/>
      <c r="AI272" s="359"/>
      <c r="AJ272" s="359"/>
      <c r="AK272" s="283"/>
      <c r="AL272" s="360"/>
    </row>
    <row r="273" spans="1:38" ht="12.75" customHeight="1">
      <c r="A273" s="283"/>
      <c r="B273" s="359"/>
      <c r="C273" s="359"/>
      <c r="D273" s="359"/>
      <c r="E273" s="359"/>
      <c r="F273" s="359"/>
      <c r="G273" s="359"/>
      <c r="H273" s="359"/>
      <c r="I273" s="359"/>
      <c r="J273" s="359"/>
      <c r="K273" s="359"/>
      <c r="L273" s="359"/>
      <c r="M273" s="359"/>
      <c r="N273" s="359"/>
      <c r="O273" s="359"/>
      <c r="P273" s="359"/>
      <c r="Q273" s="359"/>
      <c r="R273" s="359"/>
      <c r="S273" s="359"/>
      <c r="T273" s="359"/>
      <c r="U273" s="359"/>
      <c r="V273" s="359"/>
      <c r="W273" s="359"/>
      <c r="X273" s="359"/>
      <c r="Y273" s="359"/>
      <c r="Z273" s="359"/>
      <c r="AA273" s="359"/>
      <c r="AB273" s="359"/>
      <c r="AC273" s="359"/>
      <c r="AD273" s="359"/>
      <c r="AE273" s="359"/>
      <c r="AF273" s="359"/>
      <c r="AG273" s="359"/>
      <c r="AH273" s="359"/>
      <c r="AI273" s="359"/>
      <c r="AJ273" s="359"/>
      <c r="AK273" s="283"/>
      <c r="AL273" s="360"/>
    </row>
    <row r="274" spans="1:38" ht="12.75" customHeight="1">
      <c r="A274" s="283"/>
      <c r="B274" s="359"/>
      <c r="C274" s="359"/>
      <c r="D274" s="359"/>
      <c r="E274" s="359"/>
      <c r="F274" s="359"/>
      <c r="G274" s="359"/>
      <c r="H274" s="359"/>
      <c r="I274" s="359"/>
      <c r="J274" s="359"/>
      <c r="K274" s="359"/>
      <c r="L274" s="968"/>
      <c r="M274" s="968"/>
      <c r="N274" s="968"/>
      <c r="O274" s="968"/>
      <c r="P274" s="968"/>
      <c r="Q274" s="968"/>
      <c r="R274" s="968"/>
      <c r="S274" s="968"/>
      <c r="T274" s="968"/>
      <c r="U274" s="968"/>
      <c r="V274" s="968"/>
      <c r="W274" s="968"/>
      <c r="X274" s="968"/>
      <c r="Y274" s="968"/>
      <c r="Z274" s="968"/>
      <c r="AA274" s="968"/>
      <c r="AB274" s="359"/>
      <c r="AC274" s="359"/>
      <c r="AD274" s="359"/>
      <c r="AE274" s="359"/>
      <c r="AF274" s="359"/>
      <c r="AG274" s="359"/>
      <c r="AH274" s="359"/>
      <c r="AI274" s="359"/>
      <c r="AJ274" s="359"/>
      <c r="AK274" s="283"/>
      <c r="AL274" s="360"/>
    </row>
    <row r="275" spans="1:38" ht="12.75" customHeight="1">
      <c r="A275" s="283"/>
      <c r="B275" s="359"/>
      <c r="C275" s="359"/>
      <c r="D275" s="359"/>
      <c r="E275" s="359"/>
      <c r="F275" s="359"/>
      <c r="G275" s="359"/>
      <c r="H275" s="359"/>
      <c r="I275" s="359"/>
      <c r="J275" s="359"/>
      <c r="K275" s="359"/>
      <c r="L275" s="359"/>
      <c r="M275" s="359"/>
      <c r="N275" s="359"/>
      <c r="O275" s="359"/>
      <c r="P275" s="359"/>
      <c r="Q275" s="359"/>
      <c r="R275" s="359"/>
      <c r="S275" s="359"/>
      <c r="T275" s="359"/>
      <c r="U275" s="359"/>
      <c r="V275" s="359"/>
      <c r="W275" s="359"/>
      <c r="X275" s="359"/>
      <c r="Y275" s="359"/>
      <c r="Z275" s="359"/>
      <c r="AA275" s="359"/>
      <c r="AB275" s="359"/>
      <c r="AC275" s="359"/>
      <c r="AD275" s="359"/>
      <c r="AE275" s="359"/>
      <c r="AF275" s="359"/>
      <c r="AG275" s="359"/>
      <c r="AH275" s="359"/>
      <c r="AI275" s="359"/>
      <c r="AJ275" s="359"/>
      <c r="AK275" s="283"/>
      <c r="AL275" s="360"/>
    </row>
    <row r="276" spans="1:38" ht="12.75" customHeight="1">
      <c r="A276" s="283"/>
      <c r="B276" s="359"/>
      <c r="C276" s="359"/>
      <c r="D276" s="359"/>
      <c r="E276" s="359"/>
      <c r="F276" s="359"/>
      <c r="G276" s="359"/>
      <c r="H276" s="359"/>
      <c r="I276" s="359"/>
      <c r="J276" s="359"/>
      <c r="K276" s="359"/>
      <c r="L276" s="359"/>
      <c r="M276" s="359"/>
      <c r="N276" s="359"/>
      <c r="O276" s="359"/>
      <c r="P276" s="359"/>
      <c r="Q276" s="359"/>
      <c r="R276" s="359"/>
      <c r="S276" s="359"/>
      <c r="T276" s="359"/>
      <c r="U276" s="359"/>
      <c r="V276" s="359"/>
      <c r="W276" s="359"/>
      <c r="X276" s="359"/>
      <c r="Y276" s="359"/>
      <c r="Z276" s="359"/>
      <c r="AA276" s="359"/>
      <c r="AB276" s="359"/>
      <c r="AC276" s="359"/>
      <c r="AD276" s="359"/>
      <c r="AE276" s="359"/>
      <c r="AF276" s="359"/>
      <c r="AG276" s="359"/>
      <c r="AH276" s="359"/>
      <c r="AI276" s="359"/>
      <c r="AJ276" s="359"/>
      <c r="AK276" s="283"/>
      <c r="AL276" s="360"/>
    </row>
    <row r="277" spans="1:38" ht="12.75" customHeight="1">
      <c r="A277" s="283"/>
      <c r="B277" s="359"/>
      <c r="C277" s="359"/>
      <c r="D277" s="359"/>
      <c r="E277" s="359"/>
      <c r="F277" s="359"/>
      <c r="G277" s="359"/>
      <c r="H277" s="359"/>
      <c r="I277" s="359"/>
      <c r="J277" s="359"/>
      <c r="K277" s="359"/>
      <c r="L277" s="968"/>
      <c r="M277" s="968"/>
      <c r="N277" s="968"/>
      <c r="O277" s="968"/>
      <c r="P277" s="968"/>
      <c r="Q277" s="968"/>
      <c r="R277" s="968"/>
      <c r="S277" s="968"/>
      <c r="T277" s="968"/>
      <c r="U277" s="968"/>
      <c r="V277" s="968"/>
      <c r="W277" s="968"/>
      <c r="X277" s="968"/>
      <c r="Y277" s="968"/>
      <c r="Z277" s="968"/>
      <c r="AA277" s="968"/>
      <c r="AB277" s="359"/>
      <c r="AC277" s="359"/>
      <c r="AD277" s="359"/>
      <c r="AE277" s="359"/>
      <c r="AF277" s="359"/>
      <c r="AG277" s="359"/>
      <c r="AH277" s="359"/>
      <c r="AI277" s="359"/>
      <c r="AJ277" s="359"/>
      <c r="AK277" s="283"/>
      <c r="AL277" s="360"/>
    </row>
    <row r="278" spans="1:38" ht="12.75" customHeight="1">
      <c r="A278" s="283"/>
      <c r="B278" s="239"/>
      <c r="C278" s="239"/>
      <c r="D278" s="239"/>
      <c r="E278" s="239"/>
      <c r="F278" s="239"/>
      <c r="G278" s="239"/>
      <c r="H278" s="239"/>
      <c r="I278" s="239"/>
      <c r="J278" s="239"/>
      <c r="K278" s="239"/>
      <c r="L278" s="239"/>
      <c r="M278" s="239"/>
      <c r="N278" s="239"/>
      <c r="O278" s="239"/>
      <c r="P278" s="239"/>
      <c r="Q278" s="239"/>
      <c r="R278" s="239"/>
      <c r="S278" s="239"/>
      <c r="T278" s="239"/>
      <c r="U278" s="239"/>
      <c r="V278" s="239"/>
      <c r="W278" s="239"/>
      <c r="X278" s="239"/>
      <c r="Y278" s="239"/>
      <c r="Z278" s="239"/>
      <c r="AA278" s="239"/>
      <c r="AB278" s="239"/>
      <c r="AC278" s="239"/>
      <c r="AD278" s="239"/>
      <c r="AE278" s="239"/>
      <c r="AF278" s="239"/>
      <c r="AG278" s="239"/>
      <c r="AH278" s="239"/>
      <c r="AI278" s="239"/>
      <c r="AJ278" s="239"/>
      <c r="AK278" s="239"/>
      <c r="AL278" s="360"/>
    </row>
    <row r="279" spans="1:38" ht="12.75" customHeight="1">
      <c r="A279" s="283"/>
      <c r="B279" s="239"/>
      <c r="C279" s="239"/>
      <c r="D279" s="239"/>
      <c r="E279" s="239"/>
      <c r="F279" s="239"/>
      <c r="G279" s="239"/>
      <c r="H279" s="239"/>
      <c r="I279" s="239"/>
      <c r="J279" s="239"/>
      <c r="K279" s="239"/>
      <c r="L279" s="239"/>
      <c r="M279" s="239"/>
      <c r="N279" s="239"/>
      <c r="O279" s="239"/>
      <c r="P279" s="239"/>
      <c r="Q279" s="239"/>
      <c r="R279" s="239"/>
      <c r="S279" s="239"/>
      <c r="T279" s="239"/>
      <c r="U279" s="239"/>
      <c r="V279" s="239"/>
      <c r="W279" s="239"/>
      <c r="X279" s="239"/>
      <c r="Y279" s="239"/>
      <c r="Z279" s="239"/>
      <c r="AA279" s="239"/>
      <c r="AB279" s="239"/>
      <c r="AC279" s="239"/>
      <c r="AD279" s="239"/>
      <c r="AE279" s="239"/>
      <c r="AF279" s="239"/>
      <c r="AG279" s="239"/>
      <c r="AH279" s="239"/>
      <c r="AI279" s="239"/>
      <c r="AJ279" s="239"/>
      <c r="AK279" s="239"/>
      <c r="AL279" s="360"/>
    </row>
    <row r="280" spans="1:38" ht="12.75" customHeight="1">
      <c r="A280" s="283"/>
      <c r="B280" s="359"/>
      <c r="C280" s="359"/>
      <c r="D280" s="359"/>
      <c r="E280" s="359"/>
      <c r="F280" s="359"/>
      <c r="G280" s="359"/>
      <c r="H280" s="359"/>
      <c r="I280" s="359"/>
      <c r="J280" s="359"/>
      <c r="K280" s="359"/>
      <c r="L280" s="968"/>
      <c r="M280" s="968"/>
      <c r="N280" s="968"/>
      <c r="O280" s="968"/>
      <c r="P280" s="968"/>
      <c r="Q280" s="968"/>
      <c r="R280" s="968"/>
      <c r="S280" s="968"/>
      <c r="T280" s="968"/>
      <c r="U280" s="968"/>
      <c r="V280" s="968"/>
      <c r="W280" s="968"/>
      <c r="X280" s="968"/>
      <c r="Y280" s="968"/>
      <c r="Z280" s="968"/>
      <c r="AA280" s="968"/>
      <c r="AB280" s="359"/>
      <c r="AC280" s="359"/>
      <c r="AD280" s="359"/>
      <c r="AE280" s="359"/>
      <c r="AF280" s="359"/>
      <c r="AG280" s="359"/>
      <c r="AH280" s="359"/>
      <c r="AI280" s="359"/>
      <c r="AJ280" s="359"/>
      <c r="AK280" s="283"/>
      <c r="AL280" s="360"/>
    </row>
    <row r="281" spans="1:38" ht="12.75" customHeight="1">
      <c r="A281" s="283"/>
      <c r="B281" s="359"/>
      <c r="C281" s="359"/>
      <c r="D281" s="359"/>
      <c r="E281" s="359"/>
      <c r="F281" s="359"/>
      <c r="G281" s="359"/>
      <c r="H281" s="359"/>
      <c r="I281" s="359"/>
      <c r="J281" s="359"/>
      <c r="K281" s="359"/>
      <c r="L281" s="359"/>
      <c r="M281" s="359"/>
      <c r="N281" s="359"/>
      <c r="O281" s="359"/>
      <c r="P281" s="359"/>
      <c r="Q281" s="359"/>
      <c r="R281" s="359"/>
      <c r="S281" s="359"/>
      <c r="T281" s="359"/>
      <c r="U281" s="359"/>
      <c r="V281" s="359"/>
      <c r="W281" s="359"/>
      <c r="X281" s="359"/>
      <c r="Y281" s="359"/>
      <c r="Z281" s="359"/>
      <c r="AA281" s="359"/>
      <c r="AB281" s="359"/>
      <c r="AC281" s="359"/>
      <c r="AD281" s="359"/>
      <c r="AE281" s="359"/>
      <c r="AF281" s="359"/>
      <c r="AG281" s="359"/>
      <c r="AH281" s="359"/>
      <c r="AI281" s="359"/>
      <c r="AJ281" s="359"/>
      <c r="AK281" s="283"/>
      <c r="AL281" s="360"/>
    </row>
    <row r="282" spans="1:38" ht="12.75" customHeight="1">
      <c r="A282" s="283"/>
      <c r="B282" s="359"/>
      <c r="C282" s="359"/>
      <c r="D282" s="359"/>
      <c r="E282" s="359"/>
      <c r="F282" s="359"/>
      <c r="G282" s="359"/>
      <c r="H282" s="359"/>
      <c r="I282" s="359"/>
      <c r="J282" s="359"/>
      <c r="K282" s="359"/>
      <c r="L282" s="359"/>
      <c r="M282" s="359"/>
      <c r="N282" s="359"/>
      <c r="O282" s="359"/>
      <c r="P282" s="359"/>
      <c r="Q282" s="359"/>
      <c r="R282" s="359"/>
      <c r="S282" s="359"/>
      <c r="T282" s="359"/>
      <c r="U282" s="359"/>
      <c r="V282" s="359"/>
      <c r="W282" s="359"/>
      <c r="X282" s="359"/>
      <c r="Y282" s="359"/>
      <c r="Z282" s="359"/>
      <c r="AA282" s="359"/>
      <c r="AB282" s="359"/>
      <c r="AC282" s="359"/>
      <c r="AD282" s="359"/>
      <c r="AE282" s="359"/>
      <c r="AF282" s="359"/>
      <c r="AG282" s="359"/>
      <c r="AH282" s="359"/>
      <c r="AI282" s="359"/>
      <c r="AJ282" s="359"/>
      <c r="AK282" s="283"/>
      <c r="AL282" s="360"/>
    </row>
    <row r="283" spans="1:38" ht="12.75" customHeight="1">
      <c r="A283" s="283"/>
      <c r="B283" s="359"/>
      <c r="C283" s="359"/>
      <c r="D283" s="359"/>
      <c r="E283" s="359"/>
      <c r="F283" s="359"/>
      <c r="G283" s="359"/>
      <c r="H283" s="359"/>
      <c r="I283" s="359"/>
      <c r="J283" s="359"/>
      <c r="K283" s="359"/>
      <c r="L283" s="1056"/>
      <c r="M283" s="1056"/>
      <c r="N283" s="1056"/>
      <c r="O283" s="1056"/>
      <c r="P283" s="1056"/>
      <c r="Q283" s="1056"/>
      <c r="R283" s="1056"/>
      <c r="S283" s="1056"/>
      <c r="T283" s="1056"/>
      <c r="U283" s="1056"/>
      <c r="V283" s="1056"/>
      <c r="W283" s="1056"/>
      <c r="X283" s="1056"/>
      <c r="Y283" s="1056"/>
      <c r="Z283" s="1056"/>
      <c r="AA283" s="1056"/>
      <c r="AB283" s="359"/>
      <c r="AC283" s="359"/>
      <c r="AD283" s="359"/>
      <c r="AE283" s="359"/>
      <c r="AF283" s="359"/>
      <c r="AG283" s="359"/>
      <c r="AH283" s="359"/>
      <c r="AI283" s="359"/>
      <c r="AJ283" s="359"/>
      <c r="AK283" s="283"/>
      <c r="AL283" s="360"/>
    </row>
    <row r="284" spans="1:38" ht="12.75" customHeight="1">
      <c r="A284" s="283"/>
      <c r="B284" s="359"/>
      <c r="C284" s="359"/>
      <c r="D284" s="359"/>
      <c r="E284" s="359"/>
      <c r="F284" s="359"/>
      <c r="G284" s="359"/>
      <c r="H284" s="359"/>
      <c r="I284" s="359"/>
      <c r="J284" s="359"/>
      <c r="K284" s="359"/>
      <c r="L284" s="359"/>
      <c r="M284" s="359"/>
      <c r="N284" s="359"/>
      <c r="O284" s="359"/>
      <c r="P284" s="359"/>
      <c r="Q284" s="359"/>
      <c r="R284" s="359"/>
      <c r="S284" s="359"/>
      <c r="T284" s="359"/>
      <c r="U284" s="359"/>
      <c r="V284" s="359"/>
      <c r="W284" s="359"/>
      <c r="X284" s="359"/>
      <c r="Y284" s="359"/>
      <c r="Z284" s="359"/>
      <c r="AA284" s="359"/>
      <c r="AB284" s="359"/>
      <c r="AC284" s="359"/>
      <c r="AD284" s="359"/>
      <c r="AE284" s="359"/>
      <c r="AF284" s="359"/>
      <c r="AG284" s="359"/>
      <c r="AH284" s="359"/>
      <c r="AI284" s="359"/>
      <c r="AJ284" s="359"/>
      <c r="AK284" s="283"/>
      <c r="AL284" s="360"/>
    </row>
    <row r="285" spans="1:38" ht="12.75" customHeight="1">
      <c r="A285" s="283"/>
      <c r="B285" s="730" t="s">
        <v>338</v>
      </c>
      <c r="C285" s="730"/>
      <c r="D285" s="730"/>
      <c r="E285" s="730"/>
      <c r="F285" s="730"/>
      <c r="G285" s="730"/>
      <c r="H285" s="730"/>
      <c r="I285" s="730"/>
      <c r="J285" s="730"/>
      <c r="K285" s="730"/>
      <c r="L285" s="730"/>
      <c r="M285" s="730"/>
      <c r="N285" s="730"/>
      <c r="O285" s="730"/>
      <c r="P285" s="730"/>
      <c r="Q285" s="730"/>
      <c r="R285" s="730"/>
      <c r="S285" s="730"/>
      <c r="T285" s="730"/>
      <c r="U285" s="730"/>
      <c r="V285" s="730"/>
      <c r="W285" s="730"/>
      <c r="X285" s="730"/>
      <c r="Y285" s="730"/>
      <c r="Z285" s="730"/>
      <c r="AA285" s="730"/>
      <c r="AB285" s="730"/>
      <c r="AC285" s="730"/>
      <c r="AD285" s="730"/>
      <c r="AE285" s="730"/>
      <c r="AF285" s="730"/>
      <c r="AG285" s="730"/>
      <c r="AH285" s="730"/>
      <c r="AI285" s="730"/>
      <c r="AJ285" s="730"/>
      <c r="AK285" s="730"/>
      <c r="AL285" s="360"/>
    </row>
    <row r="286" spans="1:38" ht="12.75" customHeight="1">
      <c r="A286" s="283"/>
      <c r="B286" s="730" t="s">
        <v>339</v>
      </c>
      <c r="C286" s="730"/>
      <c r="D286" s="730"/>
      <c r="E286" s="730"/>
      <c r="F286" s="730"/>
      <c r="G286" s="730"/>
      <c r="H286" s="730"/>
      <c r="I286" s="730"/>
      <c r="J286" s="730"/>
      <c r="K286" s="730"/>
      <c r="L286" s="730"/>
      <c r="M286" s="730"/>
      <c r="N286" s="730"/>
      <c r="O286" s="730"/>
      <c r="P286" s="730"/>
      <c r="Q286" s="730"/>
      <c r="R286" s="730"/>
      <c r="S286" s="730"/>
      <c r="T286" s="730"/>
      <c r="U286" s="730"/>
      <c r="V286" s="730"/>
      <c r="W286" s="730"/>
      <c r="X286" s="730"/>
      <c r="Y286" s="730"/>
      <c r="Z286" s="730"/>
      <c r="AA286" s="730"/>
      <c r="AB286" s="730"/>
      <c r="AC286" s="730"/>
      <c r="AD286" s="730"/>
      <c r="AE286" s="730"/>
      <c r="AF286" s="730"/>
      <c r="AG286" s="730"/>
      <c r="AH286" s="730"/>
      <c r="AI286" s="730"/>
      <c r="AJ286" s="730"/>
      <c r="AK286" s="730"/>
      <c r="AL286" s="360"/>
    </row>
    <row r="287" spans="1:38" ht="12.75" customHeight="1">
      <c r="A287" s="283"/>
      <c r="B287" s="359"/>
      <c r="C287" s="359"/>
      <c r="D287" s="359"/>
      <c r="E287" s="359"/>
      <c r="F287" s="359"/>
      <c r="G287" s="359"/>
      <c r="H287" s="359"/>
      <c r="I287" s="359"/>
      <c r="J287" s="359"/>
      <c r="K287" s="359"/>
      <c r="L287" s="359"/>
      <c r="M287" s="359"/>
      <c r="N287" s="359"/>
      <c r="O287" s="359"/>
      <c r="P287" s="359"/>
      <c r="Q287" s="359"/>
      <c r="R287" s="359"/>
      <c r="S287" s="359"/>
      <c r="T287" s="359"/>
      <c r="U287" s="359"/>
      <c r="V287" s="359"/>
      <c r="W287" s="359"/>
      <c r="X287" s="359"/>
      <c r="Y287" s="359"/>
      <c r="Z287" s="359"/>
      <c r="AA287" s="359"/>
      <c r="AB287" s="359"/>
      <c r="AC287" s="359"/>
      <c r="AD287" s="359"/>
      <c r="AE287" s="359"/>
      <c r="AF287" s="359"/>
      <c r="AG287" s="359"/>
      <c r="AH287" s="359"/>
      <c r="AI287" s="359"/>
      <c r="AJ287" s="359"/>
      <c r="AK287" s="283"/>
      <c r="AL287" s="360"/>
    </row>
    <row r="288" spans="1:38" ht="12.75" customHeight="1">
      <c r="A288" s="283"/>
      <c r="B288" s="359"/>
      <c r="C288" s="359"/>
      <c r="D288" s="359"/>
      <c r="E288" s="359"/>
      <c r="F288" s="359"/>
      <c r="G288" s="359"/>
      <c r="H288" s="359"/>
      <c r="I288" s="359"/>
      <c r="J288" s="359"/>
      <c r="K288" s="359"/>
      <c r="L288" s="359"/>
      <c r="M288" s="359"/>
      <c r="N288" s="359"/>
      <c r="O288" s="359"/>
      <c r="P288" s="359"/>
      <c r="Q288" s="359"/>
      <c r="R288" s="359"/>
      <c r="S288" s="359"/>
      <c r="T288" s="359"/>
      <c r="U288" s="359"/>
      <c r="V288" s="359"/>
      <c r="W288" s="359"/>
      <c r="X288" s="359"/>
      <c r="Y288" s="359"/>
      <c r="Z288" s="359"/>
      <c r="AA288" s="359"/>
      <c r="AB288" s="359"/>
      <c r="AC288" s="359"/>
      <c r="AD288" s="359"/>
      <c r="AE288" s="359"/>
      <c r="AF288" s="359"/>
      <c r="AG288" s="359"/>
      <c r="AH288" s="359"/>
      <c r="AI288" s="359"/>
      <c r="AJ288" s="359"/>
      <c r="AK288" s="283"/>
      <c r="AL288" s="360"/>
    </row>
    <row r="289" spans="1:38" ht="12.75" customHeight="1">
      <c r="A289" s="283"/>
      <c r="B289" s="359"/>
      <c r="C289" s="359"/>
      <c r="D289" s="359"/>
      <c r="E289" s="359"/>
      <c r="F289" s="359"/>
      <c r="G289" s="359"/>
      <c r="H289" s="359"/>
      <c r="I289" s="359"/>
      <c r="J289" s="359"/>
      <c r="K289" s="359"/>
      <c r="L289" s="359"/>
      <c r="M289" s="359"/>
      <c r="N289" s="359"/>
      <c r="O289" s="359"/>
      <c r="P289" s="359"/>
      <c r="Q289" s="359"/>
      <c r="R289" s="359"/>
      <c r="S289" s="359"/>
      <c r="T289" s="359"/>
      <c r="U289" s="359"/>
      <c r="V289" s="359"/>
      <c r="W289" s="359"/>
      <c r="X289" s="359"/>
      <c r="Y289" s="359"/>
      <c r="Z289" s="359"/>
      <c r="AA289" s="359"/>
      <c r="AB289" s="359"/>
      <c r="AC289" s="359"/>
      <c r="AD289" s="359"/>
      <c r="AE289" s="359"/>
      <c r="AF289" s="359"/>
      <c r="AG289" s="359"/>
      <c r="AH289" s="359"/>
      <c r="AI289" s="359"/>
      <c r="AJ289" s="359"/>
      <c r="AK289" s="283"/>
      <c r="AL289" s="360"/>
    </row>
    <row r="290" spans="1:38" ht="12.75" customHeight="1">
      <c r="A290" s="283"/>
      <c r="B290" s="359"/>
      <c r="C290" s="359"/>
      <c r="D290" s="359"/>
      <c r="E290" s="359"/>
      <c r="F290" s="359"/>
      <c r="G290" s="359"/>
      <c r="H290" s="359"/>
      <c r="I290" s="359"/>
      <c r="J290" s="359"/>
      <c r="K290" s="359"/>
      <c r="L290" s="968"/>
      <c r="M290" s="968"/>
      <c r="N290" s="968"/>
      <c r="O290" s="968"/>
      <c r="P290" s="968"/>
      <c r="Q290" s="968"/>
      <c r="R290" s="968"/>
      <c r="S290" s="968"/>
      <c r="T290" s="968"/>
      <c r="U290" s="968"/>
      <c r="V290" s="968"/>
      <c r="W290" s="968"/>
      <c r="X290" s="968"/>
      <c r="Y290" s="968"/>
      <c r="Z290" s="968"/>
      <c r="AA290" s="968"/>
      <c r="AB290" s="359"/>
      <c r="AC290" s="359"/>
      <c r="AD290" s="359"/>
      <c r="AE290" s="359"/>
      <c r="AF290" s="359"/>
      <c r="AG290" s="359"/>
      <c r="AH290" s="359"/>
      <c r="AI290" s="359"/>
      <c r="AJ290" s="359"/>
      <c r="AK290" s="283"/>
      <c r="AL290" s="360"/>
    </row>
    <row r="291" spans="1:38" ht="12.75" customHeight="1">
      <c r="A291" s="283"/>
      <c r="B291" s="359"/>
      <c r="C291" s="359"/>
      <c r="D291" s="359"/>
      <c r="E291" s="359"/>
      <c r="F291" s="359"/>
      <c r="G291" s="359"/>
      <c r="H291" s="359"/>
      <c r="I291" s="359"/>
      <c r="J291" s="359"/>
      <c r="K291" s="359"/>
      <c r="L291" s="359"/>
      <c r="M291" s="359"/>
      <c r="N291" s="359"/>
      <c r="O291" s="359"/>
      <c r="P291" s="359"/>
      <c r="Q291" s="359"/>
      <c r="R291" s="359"/>
      <c r="S291" s="359"/>
      <c r="T291" s="359"/>
      <c r="U291" s="359"/>
      <c r="V291" s="359"/>
      <c r="W291" s="359"/>
      <c r="X291" s="359"/>
      <c r="Y291" s="359"/>
      <c r="Z291" s="359"/>
      <c r="AA291" s="359"/>
      <c r="AB291" s="359"/>
      <c r="AC291" s="359"/>
      <c r="AD291" s="359"/>
      <c r="AE291" s="359"/>
      <c r="AF291" s="359"/>
      <c r="AG291" s="359"/>
      <c r="AH291" s="359"/>
      <c r="AI291" s="359"/>
      <c r="AJ291" s="359"/>
      <c r="AK291" s="283"/>
      <c r="AL291" s="360"/>
    </row>
    <row r="292" spans="1:38" ht="12.75" customHeight="1">
      <c r="A292" s="283"/>
      <c r="B292" s="359"/>
      <c r="C292" s="359"/>
      <c r="D292" s="359"/>
      <c r="E292" s="359"/>
      <c r="F292" s="359"/>
      <c r="G292" s="359"/>
      <c r="H292" s="359"/>
      <c r="I292" s="359"/>
      <c r="J292" s="359"/>
      <c r="K292" s="359"/>
      <c r="L292" s="359"/>
      <c r="M292" s="359"/>
      <c r="N292" s="359"/>
      <c r="O292" s="359"/>
      <c r="P292" s="359"/>
      <c r="Q292" s="359"/>
      <c r="R292" s="359"/>
      <c r="S292" s="359"/>
      <c r="T292" s="359"/>
      <c r="U292" s="359"/>
      <c r="V292" s="359"/>
      <c r="W292" s="359"/>
      <c r="X292" s="359"/>
      <c r="Y292" s="359"/>
      <c r="Z292" s="359"/>
      <c r="AA292" s="359"/>
      <c r="AB292" s="359"/>
      <c r="AC292" s="359"/>
      <c r="AD292" s="359"/>
      <c r="AE292" s="359"/>
      <c r="AF292" s="359"/>
      <c r="AG292" s="359"/>
      <c r="AH292" s="359"/>
      <c r="AI292" s="359"/>
      <c r="AJ292" s="359"/>
      <c r="AK292" s="283"/>
      <c r="AL292" s="360"/>
    </row>
    <row r="293" spans="1:38" ht="12.75" customHeight="1">
      <c r="L293" s="1049"/>
      <c r="M293" s="1049"/>
      <c r="N293" s="1049"/>
      <c r="O293" s="1049"/>
      <c r="P293" s="1049"/>
      <c r="Q293" s="1049"/>
      <c r="R293" s="1049"/>
      <c r="S293" s="1049"/>
      <c r="T293" s="1049"/>
      <c r="U293" s="1049"/>
      <c r="V293" s="1049"/>
      <c r="W293" s="1049"/>
      <c r="X293" s="1049"/>
      <c r="Y293" s="1049"/>
      <c r="Z293" s="1049"/>
      <c r="AA293" s="1049"/>
    </row>
    <row r="294" spans="1:38" ht="4.5" customHeight="1"/>
    <row r="295" spans="1:38" ht="12.75" customHeight="1">
      <c r="B295" s="361"/>
    </row>
    <row r="297" spans="1:38" ht="12.75" customHeight="1">
      <c r="A297" s="283"/>
      <c r="B297" s="359"/>
      <c r="C297" s="359"/>
      <c r="D297" s="359"/>
      <c r="E297" s="359"/>
      <c r="F297" s="359"/>
      <c r="G297" s="359"/>
      <c r="H297" s="359"/>
      <c r="I297" s="359"/>
      <c r="J297" s="359"/>
      <c r="K297" s="359"/>
      <c r="L297" s="359"/>
      <c r="M297" s="359"/>
      <c r="N297" s="359"/>
      <c r="O297" s="359"/>
      <c r="P297" s="359"/>
      <c r="Q297" s="359"/>
      <c r="R297" s="359"/>
      <c r="S297" s="359"/>
      <c r="T297" s="359"/>
      <c r="U297" s="359"/>
      <c r="V297" s="359"/>
      <c r="W297" s="359"/>
      <c r="X297" s="359"/>
      <c r="Y297" s="359"/>
      <c r="Z297" s="359"/>
      <c r="AA297" s="359"/>
      <c r="AB297" s="359"/>
      <c r="AC297" s="359"/>
      <c r="AD297" s="359"/>
      <c r="AE297" s="359"/>
      <c r="AF297" s="359"/>
      <c r="AG297" s="359"/>
      <c r="AH297" s="359"/>
      <c r="AI297" s="359"/>
      <c r="AJ297" s="359"/>
      <c r="AK297" s="359"/>
      <c r="AL297" s="360"/>
    </row>
    <row r="298" spans="1:38" ht="12.75" customHeight="1">
      <c r="B298" s="361"/>
    </row>
  </sheetData>
  <mergeCells count="229">
    <mergeCell ref="L290:AA290"/>
    <mergeCell ref="L293:AA293"/>
    <mergeCell ref="L283:AA283"/>
    <mergeCell ref="L274:AA274"/>
    <mergeCell ref="B271:AK271"/>
    <mergeCell ref="L277:AA277"/>
    <mergeCell ref="L280:AA280"/>
    <mergeCell ref="B285:AK285"/>
    <mergeCell ref="B286:AK286"/>
    <mergeCell ref="B246:AK246"/>
    <mergeCell ref="B248:AK248"/>
    <mergeCell ref="B254:AK254"/>
    <mergeCell ref="L257:AA257"/>
    <mergeCell ref="L260:AA260"/>
    <mergeCell ref="B265:AK265"/>
    <mergeCell ref="L268:AA268"/>
    <mergeCell ref="G230:P233"/>
    <mergeCell ref="Q230:AG230"/>
    <mergeCell ref="Q231:AG231"/>
    <mergeCell ref="Q232:AG233"/>
    <mergeCell ref="B236:AK236"/>
    <mergeCell ref="B238:AK238"/>
    <mergeCell ref="B239:AK239"/>
    <mergeCell ref="B241:AK241"/>
    <mergeCell ref="B243:AK243"/>
    <mergeCell ref="G222:P222"/>
    <mergeCell ref="Q222:AG222"/>
    <mergeCell ref="G223:P226"/>
    <mergeCell ref="Q223:AG223"/>
    <mergeCell ref="Q224:AG226"/>
    <mergeCell ref="G227:P229"/>
    <mergeCell ref="Q227:AG227"/>
    <mergeCell ref="Q228:AG228"/>
    <mergeCell ref="Q229:AG229"/>
    <mergeCell ref="B210:AK210"/>
    <mergeCell ref="B211:AK211"/>
    <mergeCell ref="B212:AK212"/>
    <mergeCell ref="B213:AK213"/>
    <mergeCell ref="B217:AK217"/>
    <mergeCell ref="B219:AK219"/>
    <mergeCell ref="G221:P221"/>
    <mergeCell ref="Q221:AG221"/>
    <mergeCell ref="B196:AK196"/>
    <mergeCell ref="B198:AK198"/>
    <mergeCell ref="B199:AK199"/>
    <mergeCell ref="B200:AK200"/>
    <mergeCell ref="B202:AK202"/>
    <mergeCell ref="B204:AK204"/>
    <mergeCell ref="B206:AK206"/>
    <mergeCell ref="B208:AK208"/>
    <mergeCell ref="B209:AK209"/>
    <mergeCell ref="B180:AK180"/>
    <mergeCell ref="B183:AK183"/>
    <mergeCell ref="B185:AK185"/>
    <mergeCell ref="B186:AK186"/>
    <mergeCell ref="B187:AK187"/>
    <mergeCell ref="B189:AK189"/>
    <mergeCell ref="B191:AK191"/>
    <mergeCell ref="B194:AK194"/>
    <mergeCell ref="B167:AK167"/>
    <mergeCell ref="B169:AK169"/>
    <mergeCell ref="B170:AK170"/>
    <mergeCell ref="B171:AK171"/>
    <mergeCell ref="B173:AK173"/>
    <mergeCell ref="B175:AK175"/>
    <mergeCell ref="B177:AK177"/>
    <mergeCell ref="B179:AK179"/>
    <mergeCell ref="B152:AK152"/>
    <mergeCell ref="B153:AK153"/>
    <mergeCell ref="B158:AK158"/>
    <mergeCell ref="B159:AK159"/>
    <mergeCell ref="B160:AK160"/>
    <mergeCell ref="B161:AK161"/>
    <mergeCell ref="B162:AK162"/>
    <mergeCell ref="B164:AK164"/>
    <mergeCell ref="B166:AK166"/>
    <mergeCell ref="B138:AK138"/>
    <mergeCell ref="B139:AK139"/>
    <mergeCell ref="B140:AK140"/>
    <mergeCell ref="B141:AK141"/>
    <mergeCell ref="B143:AK143"/>
    <mergeCell ref="B145:AK145"/>
    <mergeCell ref="B147:AK147"/>
    <mergeCell ref="B149:AK149"/>
    <mergeCell ref="B151:AK151"/>
    <mergeCell ref="B129:AK129"/>
    <mergeCell ref="B130:AK130"/>
    <mergeCell ref="B131:AK131"/>
    <mergeCell ref="B132:AK132"/>
    <mergeCell ref="B133:AK133"/>
    <mergeCell ref="B134:AK134"/>
    <mergeCell ref="B135:AK135"/>
    <mergeCell ref="B136:AK136"/>
    <mergeCell ref="B137:AK137"/>
    <mergeCell ref="B90:AK90"/>
    <mergeCell ref="B92:AK92"/>
    <mergeCell ref="B94:AK94"/>
    <mergeCell ref="B96:AK96"/>
    <mergeCell ref="B97:AK97"/>
    <mergeCell ref="B98:AK98"/>
    <mergeCell ref="B99:AK99"/>
    <mergeCell ref="B100:AK100"/>
    <mergeCell ref="B101:AK101"/>
    <mergeCell ref="B60:AK60"/>
    <mergeCell ref="B62:AK62"/>
    <mergeCell ref="B64:AK64"/>
    <mergeCell ref="X69:AC71"/>
    <mergeCell ref="B80:N81"/>
    <mergeCell ref="B82:N83"/>
    <mergeCell ref="AD71:AG71"/>
    <mergeCell ref="B77:AK78"/>
    <mergeCell ref="B79:N79"/>
    <mergeCell ref="O79:S79"/>
    <mergeCell ref="T79:X79"/>
    <mergeCell ref="Y79:AB79"/>
    <mergeCell ref="AC79:AF79"/>
    <mergeCell ref="AG79:AJ79"/>
    <mergeCell ref="B72:AK72"/>
    <mergeCell ref="B73:F73"/>
    <mergeCell ref="G73:L73"/>
    <mergeCell ref="M73:R73"/>
    <mergeCell ref="S73:X73"/>
    <mergeCell ref="Y73:AD73"/>
    <mergeCell ref="AE73:AJ73"/>
    <mergeCell ref="P69:S69"/>
    <mergeCell ref="P70:S70"/>
    <mergeCell ref="P71:S71"/>
    <mergeCell ref="B52:AF52"/>
    <mergeCell ref="AG52:AK52"/>
    <mergeCell ref="B54:T54"/>
    <mergeCell ref="U54:AK54"/>
    <mergeCell ref="B56:I56"/>
    <mergeCell ref="J56:P56"/>
    <mergeCell ref="Q56:U56"/>
    <mergeCell ref="V56:Z56"/>
    <mergeCell ref="AD56:AG56"/>
    <mergeCell ref="AA56:AC56"/>
    <mergeCell ref="B46:AF46"/>
    <mergeCell ref="AG46:AK46"/>
    <mergeCell ref="B48:T48"/>
    <mergeCell ref="U48:AK48"/>
    <mergeCell ref="B50:I50"/>
    <mergeCell ref="J50:P50"/>
    <mergeCell ref="Q50:U50"/>
    <mergeCell ref="V50:Z50"/>
    <mergeCell ref="AD50:AG50"/>
    <mergeCell ref="AA50:AC50"/>
    <mergeCell ref="B34:AK34"/>
    <mergeCell ref="B40:AF40"/>
    <mergeCell ref="AG40:AK40"/>
    <mergeCell ref="B42:T42"/>
    <mergeCell ref="U42:AK42"/>
    <mergeCell ref="B44:I44"/>
    <mergeCell ref="J44:P44"/>
    <mergeCell ref="Q44:U44"/>
    <mergeCell ref="V44:Z44"/>
    <mergeCell ref="AD44:AG44"/>
    <mergeCell ref="AA44:AC44"/>
    <mergeCell ref="B36:AK36"/>
    <mergeCell ref="AA28:AC28"/>
    <mergeCell ref="B26:W26"/>
    <mergeCell ref="X26:AK26"/>
    <mergeCell ref="B28:I28"/>
    <mergeCell ref="J28:P28"/>
    <mergeCell ref="Q28:U28"/>
    <mergeCell ref="V28:Z28"/>
    <mergeCell ref="AD28:AG28"/>
    <mergeCell ref="B32:AK32"/>
    <mergeCell ref="B119:AK119"/>
    <mergeCell ref="B120:AK120"/>
    <mergeCell ref="B121:AK121"/>
    <mergeCell ref="B122:AK122"/>
    <mergeCell ref="B128:AK128"/>
    <mergeCell ref="F69:K69"/>
    <mergeCell ref="L69:O70"/>
    <mergeCell ref="AH69:AK69"/>
    <mergeCell ref="F70:K70"/>
    <mergeCell ref="T69:W69"/>
    <mergeCell ref="T70:W70"/>
    <mergeCell ref="AD69:AG69"/>
    <mergeCell ref="AD70:AG70"/>
    <mergeCell ref="AH70:AI71"/>
    <mergeCell ref="AJ71:AK71"/>
    <mergeCell ref="B102:AK102"/>
    <mergeCell ref="B104:AK104"/>
    <mergeCell ref="B106:AK106"/>
    <mergeCell ref="B108:AK108"/>
    <mergeCell ref="B110:AK110"/>
    <mergeCell ref="B112:AK112"/>
    <mergeCell ref="B114:AK114"/>
    <mergeCell ref="B116:AK116"/>
    <mergeCell ref="B118:AK118"/>
    <mergeCell ref="AD22:AG22"/>
    <mergeCell ref="B24:AF24"/>
    <mergeCell ref="AG24:AK24"/>
    <mergeCell ref="G10:U10"/>
    <mergeCell ref="V10:AK10"/>
    <mergeCell ref="B14:L14"/>
    <mergeCell ref="M14:S14"/>
    <mergeCell ref="T14:Z14"/>
    <mergeCell ref="AA14:AG14"/>
    <mergeCell ref="AH14:AK14"/>
    <mergeCell ref="B18:AF18"/>
    <mergeCell ref="AG18:AK18"/>
    <mergeCell ref="AA22:AC22"/>
    <mergeCell ref="B68:L68"/>
    <mergeCell ref="M68:AK68"/>
    <mergeCell ref="AB4:AK4"/>
    <mergeCell ref="AA5:AK5"/>
    <mergeCell ref="AA6:AK6"/>
    <mergeCell ref="B8:F8"/>
    <mergeCell ref="B9:F9"/>
    <mergeCell ref="B10:F10"/>
    <mergeCell ref="B71:C71"/>
    <mergeCell ref="F71:K71"/>
    <mergeCell ref="L71:O71"/>
    <mergeCell ref="T71:W71"/>
    <mergeCell ref="AH22:AK22"/>
    <mergeCell ref="AH28:AK28"/>
    <mergeCell ref="AH44:AK44"/>
    <mergeCell ref="AH50:AK50"/>
    <mergeCell ref="AH56:AK56"/>
    <mergeCell ref="B69:E70"/>
    <mergeCell ref="B20:W20"/>
    <mergeCell ref="X20:AK20"/>
    <mergeCell ref="B22:I22"/>
    <mergeCell ref="J22:P22"/>
    <mergeCell ref="Q22:U22"/>
    <mergeCell ref="V22:Z22"/>
  </mergeCells>
  <printOptions horizontalCentered="1"/>
  <pageMargins left="0" right="0" top="0" bottom="0" header="0" footer="0"/>
  <pageSetup scale="90" orientation="portrait" r:id="rId1"/>
  <headerFooter alignWithMargins="0"/>
  <rowBreaks count="1" manualBreakCount="1">
    <brk id="88" max="38"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AM795"/>
  <sheetViews>
    <sheetView showZeros="0" zoomScale="115" zoomScaleNormal="115" workbookViewId="0">
      <selection activeCell="AB4" sqref="AB4:AK4"/>
    </sheetView>
  </sheetViews>
  <sheetFormatPr defaultColWidth="0" defaultRowHeight="12.75" customHeight="1" zeroHeight="1"/>
  <cols>
    <col min="1" max="1" width="1.109375" style="179" customWidth="1"/>
    <col min="2" max="35" width="3" style="179" customWidth="1"/>
    <col min="36" max="36" width="3.88671875" style="179" customWidth="1"/>
    <col min="37" max="37" width="3.33203125" style="179" customWidth="1"/>
    <col min="38" max="39" width="0.5546875" style="179" customWidth="1"/>
    <col min="40" max="40" width="2.88671875" style="179" hidden="1" customWidth="1"/>
    <col min="41" max="16384" width="2.88671875" style="179" hidden="1"/>
  </cols>
  <sheetData>
    <row r="1" spans="1:37" ht="12.75" customHeight="1"/>
    <row r="2" spans="1:37" ht="12.75" customHeight="1"/>
    <row r="3" spans="1:37" ht="7.5" customHeight="1">
      <c r="A3" s="178"/>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row>
    <row r="4" spans="1:37" ht="13.8">
      <c r="A4" s="178"/>
      <c r="B4" s="178"/>
      <c r="C4" s="178"/>
      <c r="D4" s="178"/>
      <c r="E4" s="178"/>
      <c r="F4" s="178"/>
      <c r="G4" s="178"/>
      <c r="H4" s="178"/>
      <c r="I4" s="178"/>
      <c r="J4" s="178"/>
      <c r="K4" s="178"/>
      <c r="L4" s="178"/>
      <c r="M4" s="178"/>
      <c r="N4" s="178"/>
      <c r="O4" s="178"/>
      <c r="P4" s="178"/>
      <c r="Q4" s="178"/>
      <c r="R4" s="178"/>
      <c r="S4" s="178"/>
      <c r="T4" s="178"/>
      <c r="V4" s="180"/>
      <c r="W4" s="180"/>
      <c r="Y4" s="180"/>
      <c r="Z4" s="180"/>
      <c r="AA4" s="180"/>
      <c r="AB4" s="548" t="s">
        <v>135</v>
      </c>
      <c r="AC4" s="548"/>
      <c r="AD4" s="548"/>
      <c r="AE4" s="548"/>
      <c r="AF4" s="548"/>
      <c r="AG4" s="548"/>
      <c r="AH4" s="548"/>
      <c r="AI4" s="548"/>
      <c r="AJ4" s="548"/>
      <c r="AK4" s="548"/>
    </row>
    <row r="5" spans="1:37" ht="13.8">
      <c r="A5" s="178"/>
      <c r="B5" s="178"/>
      <c r="C5" s="178"/>
      <c r="D5" s="178"/>
      <c r="E5" s="178"/>
      <c r="F5" s="178"/>
      <c r="G5" s="178"/>
      <c r="H5" s="178"/>
      <c r="I5" s="178"/>
      <c r="J5" s="178"/>
      <c r="K5" s="178"/>
      <c r="L5" s="178"/>
      <c r="M5" s="178"/>
      <c r="N5" s="178"/>
      <c r="O5" s="178"/>
      <c r="P5" s="178"/>
      <c r="Q5" s="178"/>
      <c r="R5" s="178"/>
      <c r="S5" s="178"/>
      <c r="T5" s="178"/>
      <c r="U5" s="181"/>
      <c r="V5" s="181"/>
      <c r="X5" s="180"/>
      <c r="Y5" s="180"/>
      <c r="Z5" s="180"/>
      <c r="AA5" s="180"/>
      <c r="AB5" s="180"/>
      <c r="AC5" s="180"/>
      <c r="AD5" s="180"/>
      <c r="AE5" s="180"/>
      <c r="AF5" s="549" t="s">
        <v>136</v>
      </c>
      <c r="AG5" s="549"/>
      <c r="AH5" s="549"/>
      <c r="AI5" s="549"/>
      <c r="AJ5" s="549"/>
      <c r="AK5" s="549"/>
    </row>
    <row r="6" spans="1:37" ht="17.25" customHeight="1">
      <c r="A6" s="178"/>
      <c r="B6" s="182" t="s">
        <v>137</v>
      </c>
      <c r="C6" s="178"/>
      <c r="D6" s="178"/>
      <c r="E6" s="178"/>
      <c r="F6" s="178"/>
      <c r="G6" s="178"/>
      <c r="H6" s="178"/>
      <c r="I6" s="178"/>
      <c r="J6" s="178"/>
      <c r="K6" s="178"/>
      <c r="L6" s="178"/>
      <c r="M6" s="178"/>
      <c r="N6" s="178"/>
      <c r="O6" s="178"/>
      <c r="P6" s="178"/>
      <c r="Q6" s="178"/>
      <c r="R6" s="178"/>
      <c r="S6" s="178"/>
      <c r="T6" s="178"/>
      <c r="U6" s="181"/>
      <c r="V6" s="181"/>
      <c r="W6" s="183"/>
      <c r="X6" s="184"/>
      <c r="Y6" s="184"/>
      <c r="Z6" s="184"/>
      <c r="AA6" s="550" t="s">
        <v>439</v>
      </c>
      <c r="AB6" s="550"/>
      <c r="AC6" s="550"/>
      <c r="AD6" s="550"/>
      <c r="AE6" s="550"/>
      <c r="AF6" s="550"/>
      <c r="AG6" s="550"/>
      <c r="AH6" s="550"/>
      <c r="AI6" s="550"/>
      <c r="AJ6" s="550"/>
      <c r="AK6" s="550"/>
    </row>
    <row r="7" spans="1:37" s="187" customFormat="1" ht="2.25" customHeight="1">
      <c r="A7" s="186"/>
      <c r="B7" s="186"/>
      <c r="C7" s="186"/>
      <c r="D7" s="186"/>
      <c r="E7" s="186"/>
      <c r="F7" s="186"/>
      <c r="G7" s="186"/>
      <c r="H7" s="186"/>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row>
    <row r="8" spans="1:37" s="193" customFormat="1" ht="10.5" customHeight="1">
      <c r="A8" s="188"/>
      <c r="B8" s="551" t="s">
        <v>138</v>
      </c>
      <c r="C8" s="552"/>
      <c r="D8" s="552"/>
      <c r="E8" s="552"/>
      <c r="F8" s="552"/>
      <c r="G8" s="189" t="s">
        <v>139</v>
      </c>
      <c r="H8" s="190"/>
      <c r="I8" s="190"/>
      <c r="J8" s="190"/>
      <c r="K8" s="190"/>
      <c r="L8" s="190"/>
      <c r="M8" s="190"/>
      <c r="N8" s="190"/>
      <c r="O8" s="190"/>
      <c r="P8" s="190"/>
      <c r="Q8" s="190"/>
      <c r="R8" s="190"/>
      <c r="S8" s="190"/>
      <c r="T8" s="190"/>
      <c r="U8" s="191"/>
      <c r="V8" s="190" t="s">
        <v>140</v>
      </c>
      <c r="W8" s="190"/>
      <c r="X8" s="190"/>
      <c r="Y8" s="190"/>
      <c r="Z8" s="190"/>
      <c r="AA8" s="190"/>
      <c r="AB8" s="190"/>
      <c r="AC8" s="190"/>
      <c r="AD8" s="190"/>
      <c r="AE8" s="190"/>
      <c r="AF8" s="190"/>
      <c r="AG8" s="190"/>
      <c r="AH8" s="190"/>
      <c r="AI8" s="190"/>
      <c r="AJ8" s="190"/>
      <c r="AK8" s="192"/>
    </row>
    <row r="9" spans="1:37" s="193" customFormat="1" ht="10.5" customHeight="1">
      <c r="A9" s="188"/>
      <c r="B9" s="553" t="s">
        <v>141</v>
      </c>
      <c r="C9" s="554"/>
      <c r="D9" s="554"/>
      <c r="E9" s="554"/>
      <c r="F9" s="554"/>
      <c r="G9" s="194"/>
      <c r="H9" s="195"/>
      <c r="I9" s="195"/>
      <c r="J9" s="195"/>
      <c r="K9" s="195"/>
      <c r="L9" s="195"/>
      <c r="M9" s="195"/>
      <c r="N9" s="195"/>
      <c r="O9" s="195"/>
      <c r="P9" s="195"/>
      <c r="Q9" s="195"/>
      <c r="R9" s="195"/>
      <c r="S9" s="195"/>
      <c r="T9" s="195"/>
      <c r="U9" s="196"/>
      <c r="V9" s="195"/>
      <c r="W9" s="195"/>
      <c r="X9" s="195"/>
      <c r="Y9" s="195"/>
      <c r="Z9" s="195"/>
      <c r="AA9" s="195"/>
      <c r="AB9" s="195"/>
      <c r="AC9" s="195"/>
      <c r="AD9" s="195"/>
      <c r="AE9" s="195"/>
      <c r="AF9" s="195"/>
      <c r="AG9" s="195"/>
      <c r="AH9" s="195"/>
      <c r="AI9" s="195"/>
      <c r="AJ9" s="195"/>
      <c r="AK9" s="197"/>
    </row>
    <row r="10" spans="1:37" s="193" customFormat="1" ht="10.5" customHeight="1">
      <c r="A10" s="188"/>
      <c r="B10" s="555">
        <f ca="1">AA_002_GENERALES_FECHA</f>
        <v>42625</v>
      </c>
      <c r="C10" s="556"/>
      <c r="D10" s="556"/>
      <c r="E10" s="556"/>
      <c r="F10" s="557"/>
      <c r="G10" s="1057" t="str">
        <f>AA_003_GENERALES_DIA</f>
        <v>Monterrey, Nuevo León</v>
      </c>
      <c r="H10" s="559"/>
      <c r="I10" s="559"/>
      <c r="J10" s="559"/>
      <c r="K10" s="559"/>
      <c r="L10" s="559"/>
      <c r="M10" s="559"/>
      <c r="N10" s="559"/>
      <c r="O10" s="559"/>
      <c r="P10" s="559"/>
      <c r="Q10" s="559"/>
      <c r="R10" s="559"/>
      <c r="S10" s="559"/>
      <c r="T10" s="559"/>
      <c r="U10" s="560"/>
      <c r="V10" s="558" t="str">
        <f>AA_007_GENERALES_NOMBRE_Y_NÚMERO_DE_SUCURSAL</f>
        <v>161 Morones Prieto</v>
      </c>
      <c r="W10" s="813"/>
      <c r="X10" s="813"/>
      <c r="Y10" s="813"/>
      <c r="Z10" s="813"/>
      <c r="AA10" s="813"/>
      <c r="AB10" s="813"/>
      <c r="AC10" s="813"/>
      <c r="AD10" s="813"/>
      <c r="AE10" s="813"/>
      <c r="AF10" s="813"/>
      <c r="AG10" s="813"/>
      <c r="AH10" s="813"/>
      <c r="AI10" s="813"/>
      <c r="AJ10" s="813"/>
      <c r="AK10" s="814"/>
    </row>
    <row r="11" spans="1:37" s="199" customFormat="1" ht="2.25" customHeight="1">
      <c r="A11" s="198"/>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row>
    <row r="12" spans="1:37" s="199" customFormat="1" ht="9.6">
      <c r="A12" s="198"/>
      <c r="B12" s="200" t="s">
        <v>142</v>
      </c>
      <c r="C12" s="18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row>
    <row r="13" spans="1:37" s="193" customFormat="1" ht="10.5" customHeight="1">
      <c r="A13" s="188"/>
      <c r="B13" s="201" t="s">
        <v>143</v>
      </c>
      <c r="C13" s="202"/>
      <c r="D13" s="202"/>
      <c r="E13" s="202" t="s">
        <v>144</v>
      </c>
      <c r="F13" s="202"/>
      <c r="G13" s="202"/>
      <c r="H13" s="202"/>
      <c r="I13" s="202"/>
      <c r="J13" s="202"/>
      <c r="K13" s="202"/>
      <c r="L13" s="203"/>
      <c r="M13" s="201" t="s">
        <v>145</v>
      </c>
      <c r="N13" s="202"/>
      <c r="O13" s="202"/>
      <c r="P13" s="202"/>
      <c r="Q13" s="202"/>
      <c r="R13" s="202"/>
      <c r="S13" s="203"/>
      <c r="T13" s="202" t="s">
        <v>146</v>
      </c>
      <c r="U13" s="202"/>
      <c r="V13" s="202"/>
      <c r="W13" s="202"/>
      <c r="X13" s="202"/>
      <c r="Y13" s="202"/>
      <c r="Z13" s="202"/>
      <c r="AA13" s="201" t="s">
        <v>147</v>
      </c>
      <c r="AB13" s="202"/>
      <c r="AC13" s="202"/>
      <c r="AD13" s="202"/>
      <c r="AE13" s="202"/>
      <c r="AF13" s="202"/>
      <c r="AG13" s="203"/>
      <c r="AH13" s="202" t="s">
        <v>148</v>
      </c>
      <c r="AI13" s="202"/>
      <c r="AJ13" s="202"/>
      <c r="AK13" s="203"/>
    </row>
    <row r="14" spans="1:37" s="193" customFormat="1" ht="10.5" customHeight="1">
      <c r="A14" s="188"/>
      <c r="B14" s="539">
        <f>AA_008_DATOS_DE_BANCO_DOMICILIO_CALLE_NÚMERO</f>
        <v>0</v>
      </c>
      <c r="C14" s="723"/>
      <c r="D14" s="723"/>
      <c r="E14" s="723"/>
      <c r="F14" s="723"/>
      <c r="G14" s="723"/>
      <c r="H14" s="723"/>
      <c r="I14" s="723"/>
      <c r="J14" s="723"/>
      <c r="K14" s="723"/>
      <c r="L14" s="724"/>
      <c r="M14" s="539">
        <f>AA_009_DATOS_DE_BANCO_COLONIA</f>
        <v>0</v>
      </c>
      <c r="N14" s="723"/>
      <c r="O14" s="723"/>
      <c r="P14" s="723"/>
      <c r="Q14" s="723"/>
      <c r="R14" s="723"/>
      <c r="S14" s="724"/>
      <c r="T14" s="539">
        <f>AA_010_DATOS_DE_BANCO_POBLACIÓN</f>
        <v>0</v>
      </c>
      <c r="U14" s="723"/>
      <c r="V14" s="723"/>
      <c r="W14" s="723"/>
      <c r="X14" s="723"/>
      <c r="Y14" s="723"/>
      <c r="Z14" s="724"/>
      <c r="AA14" s="539">
        <f>AA_011_DATOS_DE_BANCO_ESTADO</f>
        <v>0</v>
      </c>
      <c r="AB14" s="723"/>
      <c r="AC14" s="723"/>
      <c r="AD14" s="723"/>
      <c r="AE14" s="723"/>
      <c r="AF14" s="723"/>
      <c r="AG14" s="724"/>
      <c r="AH14" s="539">
        <f>AA_012_DATOS_DE_BANCO_CODIGO_POSTAL</f>
        <v>0</v>
      </c>
      <c r="AI14" s="723"/>
      <c r="AJ14" s="723"/>
      <c r="AK14" s="724"/>
    </row>
    <row r="15" spans="1:37" s="193" customFormat="1" ht="10.5" customHeight="1">
      <c r="A15" s="188"/>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row>
    <row r="16" spans="1:37" s="193" customFormat="1" ht="10.5" customHeight="1">
      <c r="A16" s="188"/>
      <c r="B16" s="204" t="s">
        <v>149</v>
      </c>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row>
    <row r="17" spans="1:37" s="193" customFormat="1" ht="10.5" customHeight="1">
      <c r="A17" s="188"/>
      <c r="B17" s="201" t="s">
        <v>150</v>
      </c>
      <c r="C17" s="202"/>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202"/>
      <c r="AF17" s="202"/>
      <c r="AG17" s="201" t="s">
        <v>151</v>
      </c>
      <c r="AH17" s="202"/>
      <c r="AI17" s="202"/>
      <c r="AJ17" s="202"/>
      <c r="AK17" s="203"/>
    </row>
    <row r="18" spans="1:37" s="193" customFormat="1" ht="10.5" customHeight="1">
      <c r="A18" s="188"/>
      <c r="B18" s="539">
        <f>AA_013_DATOS_DE_LA_PARTE_ACREDITADA_NOMBRE_DEL_ACREDITADO</f>
        <v>0</v>
      </c>
      <c r="C18" s="540"/>
      <c r="D18" s="540"/>
      <c r="E18" s="540"/>
      <c r="F18" s="540"/>
      <c r="G18" s="540"/>
      <c r="H18" s="540"/>
      <c r="I18" s="540"/>
      <c r="J18" s="540"/>
      <c r="K18" s="540"/>
      <c r="L18" s="540"/>
      <c r="M18" s="540"/>
      <c r="N18" s="540"/>
      <c r="O18" s="540"/>
      <c r="P18" s="540"/>
      <c r="Q18" s="540"/>
      <c r="R18" s="540"/>
      <c r="S18" s="540"/>
      <c r="T18" s="540"/>
      <c r="U18" s="540"/>
      <c r="V18" s="540"/>
      <c r="W18" s="540"/>
      <c r="X18" s="540"/>
      <c r="Y18" s="540"/>
      <c r="Z18" s="540"/>
      <c r="AA18" s="540"/>
      <c r="AB18" s="540"/>
      <c r="AC18" s="540"/>
      <c r="AD18" s="540"/>
      <c r="AE18" s="540"/>
      <c r="AF18" s="541"/>
      <c r="AG18" s="539">
        <f>AA_014_DATOS_DE_LA_PARTE_ACREDITADA_R_F_C_</f>
        <v>0</v>
      </c>
      <c r="AH18" s="723"/>
      <c r="AI18" s="723"/>
      <c r="AJ18" s="723"/>
      <c r="AK18" s="724"/>
    </row>
    <row r="19" spans="1:37" s="193" customFormat="1" ht="10.5" customHeight="1">
      <c r="A19" s="188"/>
      <c r="B19" s="201" t="s">
        <v>143</v>
      </c>
      <c r="C19" s="202"/>
      <c r="D19" s="202"/>
      <c r="E19" s="202" t="s">
        <v>144</v>
      </c>
      <c r="F19" s="202"/>
      <c r="G19" s="202"/>
      <c r="H19" s="202"/>
      <c r="I19" s="202"/>
      <c r="J19" s="202"/>
      <c r="K19" s="202"/>
      <c r="L19" s="202"/>
      <c r="M19" s="202"/>
      <c r="N19" s="202"/>
      <c r="O19" s="202"/>
      <c r="P19" s="202"/>
      <c r="Q19" s="202"/>
      <c r="R19" s="202"/>
      <c r="S19" s="202"/>
      <c r="T19" s="202"/>
      <c r="U19" s="202"/>
      <c r="V19" s="202"/>
      <c r="W19" s="202"/>
      <c r="X19" s="201" t="s">
        <v>145</v>
      </c>
      <c r="Y19" s="202"/>
      <c r="Z19" s="202"/>
      <c r="AA19" s="202"/>
      <c r="AB19" s="202"/>
      <c r="AC19" s="202"/>
      <c r="AD19" s="202"/>
      <c r="AE19" s="202"/>
      <c r="AF19" s="202"/>
      <c r="AG19" s="202"/>
      <c r="AH19" s="202"/>
      <c r="AI19" s="202"/>
      <c r="AJ19" s="202"/>
      <c r="AK19" s="203"/>
    </row>
    <row r="20" spans="1:37" s="193" customFormat="1" ht="10.5" customHeight="1">
      <c r="A20" s="188"/>
      <c r="B20" s="539">
        <f>AA_015_DATOS_DE_LA_PARTE_ACREDITADA_DOMICILIO_CALLE_NÚMERO</f>
        <v>0</v>
      </c>
      <c r="C20" s="723"/>
      <c r="D20" s="723"/>
      <c r="E20" s="723"/>
      <c r="F20" s="723"/>
      <c r="G20" s="723"/>
      <c r="H20" s="723"/>
      <c r="I20" s="723"/>
      <c r="J20" s="723"/>
      <c r="K20" s="723"/>
      <c r="L20" s="723"/>
      <c r="M20" s="723"/>
      <c r="N20" s="723"/>
      <c r="O20" s="723"/>
      <c r="P20" s="723"/>
      <c r="Q20" s="723"/>
      <c r="R20" s="723"/>
      <c r="S20" s="723"/>
      <c r="T20" s="723"/>
      <c r="U20" s="723"/>
      <c r="V20" s="723"/>
      <c r="W20" s="724"/>
      <c r="X20" s="539">
        <f>AA_016_DATOS_DE_LA_PARTE_ACREDITADA_COLONIA</f>
        <v>0</v>
      </c>
      <c r="Y20" s="723"/>
      <c r="Z20" s="723"/>
      <c r="AA20" s="723"/>
      <c r="AB20" s="723"/>
      <c r="AC20" s="723"/>
      <c r="AD20" s="723"/>
      <c r="AE20" s="723"/>
      <c r="AF20" s="723"/>
      <c r="AG20" s="723"/>
      <c r="AH20" s="723"/>
      <c r="AI20" s="723"/>
      <c r="AJ20" s="723"/>
      <c r="AK20" s="724"/>
    </row>
    <row r="21" spans="1:37" s="193" customFormat="1" ht="10.5" customHeight="1">
      <c r="A21" s="188"/>
      <c r="B21" s="201" t="s">
        <v>146</v>
      </c>
      <c r="C21" s="202"/>
      <c r="D21" s="202"/>
      <c r="E21" s="202"/>
      <c r="F21" s="202"/>
      <c r="G21" s="202"/>
      <c r="H21" s="202"/>
      <c r="I21" s="195"/>
      <c r="J21" s="201" t="s">
        <v>147</v>
      </c>
      <c r="K21" s="195"/>
      <c r="L21" s="195"/>
      <c r="P21" s="202"/>
      <c r="Q21" s="194" t="s">
        <v>152</v>
      </c>
      <c r="S21" s="202"/>
      <c r="T21" s="202"/>
      <c r="V21" s="201" t="s">
        <v>153</v>
      </c>
      <c r="W21" s="202"/>
      <c r="X21" s="202"/>
      <c r="Y21" s="202"/>
      <c r="AA21" s="201" t="s">
        <v>154</v>
      </c>
      <c r="AB21" s="202"/>
      <c r="AC21" s="203"/>
      <c r="AD21" s="194" t="s">
        <v>155</v>
      </c>
      <c r="AE21" s="195"/>
      <c r="AF21" s="195"/>
      <c r="AG21" s="203"/>
      <c r="AH21" s="202" t="s">
        <v>156</v>
      </c>
      <c r="AI21" s="202"/>
      <c r="AJ21" s="202"/>
      <c r="AK21" s="203"/>
    </row>
    <row r="22" spans="1:37" s="193" customFormat="1" ht="10.5" customHeight="1">
      <c r="A22" s="188"/>
      <c r="B22" s="539">
        <f>AA_017_DATOS_DE_LA_PARTE_ACREDITADA_POBLACION</f>
        <v>0</v>
      </c>
      <c r="C22" s="723"/>
      <c r="D22" s="723"/>
      <c r="E22" s="723"/>
      <c r="F22" s="723"/>
      <c r="G22" s="723"/>
      <c r="H22" s="723"/>
      <c r="I22" s="724"/>
      <c r="J22" s="539">
        <f>AA_018_DATOS_DE_LA_PARTE_ACREDITADA_ESTADO</f>
        <v>0</v>
      </c>
      <c r="K22" s="723"/>
      <c r="L22" s="723"/>
      <c r="M22" s="723"/>
      <c r="N22" s="723"/>
      <c r="O22" s="723"/>
      <c r="P22" s="724"/>
      <c r="Q22" s="539">
        <f>AA_019_DATOS_DE_LA_PARTE_ACREDITADA_NACIONALIDAD</f>
        <v>0</v>
      </c>
      <c r="R22" s="723"/>
      <c r="S22" s="723"/>
      <c r="T22" s="723"/>
      <c r="U22" s="724"/>
      <c r="V22" s="539">
        <f>AA_020_DATOS_DE_LA_PARTE_ACREDITADA_ORIGINARIO</f>
        <v>0</v>
      </c>
      <c r="W22" s="723"/>
      <c r="X22" s="723"/>
      <c r="Y22" s="723"/>
      <c r="Z22" s="724"/>
      <c r="AA22" s="542">
        <f>AA_021_DATOS_DE_LA_PARTE_ACREDITADA_EDAD</f>
        <v>0</v>
      </c>
      <c r="AB22" s="543"/>
      <c r="AC22" s="544"/>
      <c r="AD22" s="539">
        <f>AA_022_DATOS_DE_LA_PARTE_ACREDITADA_ESTADO_CIVIL</f>
        <v>0</v>
      </c>
      <c r="AE22" s="723"/>
      <c r="AF22" s="723"/>
      <c r="AG22" s="724"/>
      <c r="AH22" s="539">
        <f>AA_023_DATOS_DE_LA_PARTE_ACREDITADA_TELEFONO</f>
        <v>0</v>
      </c>
      <c r="AI22" s="540"/>
      <c r="AJ22" s="540"/>
      <c r="AK22" s="541"/>
    </row>
    <row r="23" spans="1:37" s="193" customFormat="1" ht="10.5" customHeight="1">
      <c r="A23" s="188"/>
      <c r="B23" s="201" t="s">
        <v>157</v>
      </c>
      <c r="C23" s="202"/>
      <c r="D23" s="202"/>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202"/>
      <c r="AF23" s="202"/>
      <c r="AG23" s="201" t="s">
        <v>151</v>
      </c>
      <c r="AH23" s="202"/>
      <c r="AI23" s="202"/>
      <c r="AJ23" s="202"/>
      <c r="AK23" s="203"/>
    </row>
    <row r="24" spans="1:37" s="193" customFormat="1" ht="10.5" customHeight="1">
      <c r="A24" s="188"/>
      <c r="B24" s="761">
        <f>AA_024_DATOS_DE_LA_PARTE_ACREDITADA_NOMBRE_DEL_ACREDITADO_2</f>
        <v>0</v>
      </c>
      <c r="C24" s="996"/>
      <c r="D24" s="996"/>
      <c r="E24" s="996"/>
      <c r="F24" s="996"/>
      <c r="G24" s="996"/>
      <c r="H24" s="996"/>
      <c r="I24" s="996"/>
      <c r="J24" s="996"/>
      <c r="K24" s="996"/>
      <c r="L24" s="996"/>
      <c r="M24" s="996"/>
      <c r="N24" s="996"/>
      <c r="O24" s="996"/>
      <c r="P24" s="996"/>
      <c r="Q24" s="996"/>
      <c r="R24" s="996"/>
      <c r="S24" s="996"/>
      <c r="T24" s="996"/>
      <c r="U24" s="996"/>
      <c r="V24" s="996"/>
      <c r="W24" s="996"/>
      <c r="X24" s="996"/>
      <c r="Y24" s="996"/>
      <c r="Z24" s="996"/>
      <c r="AA24" s="996"/>
      <c r="AB24" s="996"/>
      <c r="AC24" s="996"/>
      <c r="AD24" s="996"/>
      <c r="AE24" s="996"/>
      <c r="AF24" s="997"/>
      <c r="AG24" s="539">
        <f>AA_025_DATOS_DE_LA_PARTE_ACREDITADA_R_F_C_</f>
        <v>0</v>
      </c>
      <c r="AH24" s="723"/>
      <c r="AI24" s="723"/>
      <c r="AJ24" s="723"/>
      <c r="AK24" s="724"/>
    </row>
    <row r="25" spans="1:37" s="193" customFormat="1" ht="10.5" customHeight="1">
      <c r="A25" s="188"/>
      <c r="B25" s="201" t="s">
        <v>143</v>
      </c>
      <c r="C25" s="202"/>
      <c r="D25" s="202"/>
      <c r="E25" s="202" t="s">
        <v>144</v>
      </c>
      <c r="F25" s="202"/>
      <c r="G25" s="202"/>
      <c r="H25" s="202"/>
      <c r="I25" s="202"/>
      <c r="J25" s="202"/>
      <c r="K25" s="202"/>
      <c r="L25" s="202"/>
      <c r="M25" s="202"/>
      <c r="N25" s="202"/>
      <c r="O25" s="202"/>
      <c r="P25" s="202"/>
      <c r="Q25" s="202"/>
      <c r="R25" s="202"/>
      <c r="S25" s="202"/>
      <c r="T25" s="202"/>
      <c r="U25" s="505"/>
      <c r="V25" s="505"/>
      <c r="W25" s="203"/>
      <c r="X25" s="202" t="s">
        <v>145</v>
      </c>
      <c r="Y25" s="202"/>
      <c r="Z25" s="202"/>
      <c r="AA25" s="202"/>
      <c r="AB25" s="202"/>
      <c r="AC25" s="202"/>
      <c r="AD25" s="202"/>
      <c r="AE25" s="202"/>
      <c r="AF25" s="202"/>
      <c r="AG25" s="202"/>
      <c r="AH25" s="202"/>
      <c r="AI25" s="202"/>
      <c r="AJ25" s="202"/>
      <c r="AK25" s="203"/>
    </row>
    <row r="26" spans="1:37" s="193" customFormat="1" ht="10.5" customHeight="1">
      <c r="A26" s="188"/>
      <c r="B26" s="545">
        <f>AA_026_DATOS_DE_LA_PARTE_ACREDITADA_DOMICILIO_CALLE_NÚMERO</f>
        <v>0</v>
      </c>
      <c r="C26" s="817"/>
      <c r="D26" s="817"/>
      <c r="E26" s="817"/>
      <c r="F26" s="817"/>
      <c r="G26" s="817"/>
      <c r="H26" s="817"/>
      <c r="I26" s="817"/>
      <c r="J26" s="817"/>
      <c r="K26" s="817"/>
      <c r="L26" s="817"/>
      <c r="M26" s="817"/>
      <c r="N26" s="817"/>
      <c r="O26" s="817"/>
      <c r="P26" s="817"/>
      <c r="Q26" s="817"/>
      <c r="R26" s="817"/>
      <c r="S26" s="817"/>
      <c r="T26" s="817"/>
      <c r="U26" s="817"/>
      <c r="V26" s="817"/>
      <c r="W26" s="818"/>
      <c r="X26" s="540">
        <f>AA_027_DATOS_DE_LA_PARTE_ACREDITADA_COLONIA</f>
        <v>0</v>
      </c>
      <c r="Y26" s="723"/>
      <c r="Z26" s="723"/>
      <c r="AA26" s="723"/>
      <c r="AB26" s="723"/>
      <c r="AC26" s="723"/>
      <c r="AD26" s="723"/>
      <c r="AE26" s="723"/>
      <c r="AF26" s="723"/>
      <c r="AG26" s="723"/>
      <c r="AH26" s="723"/>
      <c r="AI26" s="723"/>
      <c r="AJ26" s="723"/>
      <c r="AK26" s="724"/>
    </row>
    <row r="27" spans="1:37" s="193" customFormat="1" ht="10.5" customHeight="1">
      <c r="A27" s="188"/>
      <c r="B27" s="194" t="s">
        <v>146</v>
      </c>
      <c r="C27" s="195"/>
      <c r="D27" s="195"/>
      <c r="E27" s="195"/>
      <c r="F27" s="195"/>
      <c r="G27" s="195"/>
      <c r="H27" s="195"/>
      <c r="I27" s="195"/>
      <c r="J27" s="194" t="s">
        <v>147</v>
      </c>
      <c r="K27" s="195"/>
      <c r="L27" s="195"/>
      <c r="M27" s="188"/>
      <c r="N27" s="188"/>
      <c r="O27" s="188"/>
      <c r="P27" s="195"/>
      <c r="Q27" s="194" t="s">
        <v>152</v>
      </c>
      <c r="R27" s="188"/>
      <c r="S27" s="195"/>
      <c r="T27" s="195"/>
      <c r="U27" s="188"/>
      <c r="V27" s="194" t="s">
        <v>153</v>
      </c>
      <c r="W27" s="195"/>
      <c r="X27" s="202"/>
      <c r="Y27" s="202"/>
      <c r="Z27" s="188"/>
      <c r="AA27" s="201" t="s">
        <v>154</v>
      </c>
      <c r="AB27" s="202"/>
      <c r="AC27" s="203"/>
      <c r="AD27" s="194" t="s">
        <v>155</v>
      </c>
      <c r="AE27" s="195"/>
      <c r="AF27" s="195"/>
      <c r="AG27" s="203"/>
      <c r="AH27" s="202" t="s">
        <v>156</v>
      </c>
      <c r="AI27" s="202"/>
      <c r="AJ27" s="202"/>
      <c r="AK27" s="203"/>
    </row>
    <row r="28" spans="1:37" s="193" customFormat="1" ht="10.5" customHeight="1">
      <c r="A28" s="188"/>
      <c r="B28" s="539">
        <f>AA_028_DATOS_DE_LA_PARTE_ACREDITADA_POBLACION</f>
        <v>0</v>
      </c>
      <c r="C28" s="723"/>
      <c r="D28" s="723"/>
      <c r="E28" s="723"/>
      <c r="F28" s="723"/>
      <c r="G28" s="723"/>
      <c r="H28" s="723"/>
      <c r="I28" s="724"/>
      <c r="J28" s="539">
        <f>AA_029_DATOS_DE_LA_PARTE_ACREDITADA_ESTADO</f>
        <v>0</v>
      </c>
      <c r="K28" s="723"/>
      <c r="L28" s="723"/>
      <c r="M28" s="723"/>
      <c r="N28" s="723"/>
      <c r="O28" s="723"/>
      <c r="P28" s="724"/>
      <c r="Q28" s="539">
        <f>AA_030_DATOS_DE_LA_PARTE_ACREDITADA_NACIONALIDAD</f>
        <v>0</v>
      </c>
      <c r="R28" s="723"/>
      <c r="S28" s="723"/>
      <c r="T28" s="723"/>
      <c r="U28" s="724"/>
      <c r="V28" s="539">
        <f>AA_031_DATOS_DE_LA_PARTE_ACREDITADA_ORIGINARIO</f>
        <v>0</v>
      </c>
      <c r="W28" s="723"/>
      <c r="X28" s="723"/>
      <c r="Y28" s="723"/>
      <c r="Z28" s="724"/>
      <c r="AA28" s="542">
        <f>AA_032_DATOS_DE_LA_PARTE_ACREDITADA_EDAD</f>
        <v>0</v>
      </c>
      <c r="AB28" s="543"/>
      <c r="AC28" s="544"/>
      <c r="AD28" s="539">
        <f>AA_033_DATOS_DE_LA_PARTE_ACREDITADA_ESTADO_CIVIL</f>
        <v>0</v>
      </c>
      <c r="AE28" s="723"/>
      <c r="AF28" s="723"/>
      <c r="AG28" s="724"/>
      <c r="AH28" s="539">
        <f>AA_034_DATOS_DE_LA_PARTE_ACREDITADA_TELEFONO</f>
        <v>0</v>
      </c>
      <c r="AI28" s="540"/>
      <c r="AJ28" s="540"/>
      <c r="AK28" s="541"/>
    </row>
    <row r="29" spans="1:37" s="199" customFormat="1" ht="2.25" customHeight="1">
      <c r="A29" s="198"/>
      <c r="B29" s="182"/>
      <c r="C29" s="18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row>
    <row r="30" spans="1:37" s="199" customFormat="1" ht="9.6">
      <c r="A30" s="198"/>
      <c r="B30" s="200" t="s">
        <v>158</v>
      </c>
      <c r="C30" s="18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row>
    <row r="31" spans="1:37" s="193" customFormat="1" ht="10.5" customHeight="1">
      <c r="A31" s="188"/>
      <c r="B31" s="201" t="s">
        <v>159</v>
      </c>
      <c r="C31" s="202"/>
      <c r="D31" s="202"/>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202"/>
      <c r="AF31" s="202"/>
      <c r="AG31" s="202"/>
      <c r="AH31" s="202"/>
      <c r="AI31" s="202"/>
      <c r="AJ31" s="202"/>
      <c r="AK31" s="203"/>
    </row>
    <row r="32" spans="1:37" s="193" customFormat="1" ht="10.5" customHeight="1">
      <c r="A32" s="188"/>
      <c r="B32" s="539">
        <f>AA_035_DATOS_APODERADOS_ACREDITADO_NOMBRE_APODERADO_DEL_ACREDITADO_UNO</f>
        <v>0</v>
      </c>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c r="AE32" s="540"/>
      <c r="AF32" s="540"/>
      <c r="AG32" s="540"/>
      <c r="AH32" s="540"/>
      <c r="AI32" s="540"/>
      <c r="AJ32" s="540"/>
      <c r="AK32" s="541"/>
    </row>
    <row r="33" spans="1:37" s="193" customFormat="1" ht="10.5" customHeight="1">
      <c r="A33" s="188"/>
      <c r="B33" s="201" t="str">
        <f>B31</f>
        <v>NOMBRE  (Nombre(s) Apellidos Paterno y Materno)</v>
      </c>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202"/>
      <c r="AG33" s="202"/>
      <c r="AH33" s="202"/>
      <c r="AI33" s="202"/>
      <c r="AJ33" s="202"/>
      <c r="AK33" s="203"/>
    </row>
    <row r="34" spans="1:37" s="193" customFormat="1" ht="10.5" customHeight="1">
      <c r="A34" s="188"/>
      <c r="B34" s="539">
        <f>AA_036_DATOS_APODERADOS_ACREDITADO_NOMBRE_APODERADO_DEL_ACREDITADO_DOS</f>
        <v>0</v>
      </c>
      <c r="C34" s="723"/>
      <c r="D34" s="723"/>
      <c r="E34" s="723"/>
      <c r="F34" s="723"/>
      <c r="G34" s="723"/>
      <c r="H34" s="723"/>
      <c r="I34" s="723"/>
      <c r="J34" s="723"/>
      <c r="K34" s="723"/>
      <c r="L34" s="723"/>
      <c r="M34" s="723"/>
      <c r="N34" s="723"/>
      <c r="O34" s="723"/>
      <c r="P34" s="723"/>
      <c r="Q34" s="723"/>
      <c r="R34" s="723"/>
      <c r="S34" s="723"/>
      <c r="T34" s="723"/>
      <c r="U34" s="723"/>
      <c r="V34" s="723"/>
      <c r="W34" s="723"/>
      <c r="X34" s="723"/>
      <c r="Y34" s="723"/>
      <c r="Z34" s="723"/>
      <c r="AA34" s="723"/>
      <c r="AB34" s="723"/>
      <c r="AC34" s="723"/>
      <c r="AD34" s="723"/>
      <c r="AE34" s="723"/>
      <c r="AF34" s="723"/>
      <c r="AG34" s="723"/>
      <c r="AH34" s="723"/>
      <c r="AI34" s="723"/>
      <c r="AJ34" s="723"/>
      <c r="AK34" s="724"/>
    </row>
    <row r="35" spans="1:37" s="193" customFormat="1" ht="10.5" customHeight="1">
      <c r="A35" s="188"/>
      <c r="B35" s="201" t="str">
        <f>B33</f>
        <v>NOMBRE  (Nombre(s) Apellidos Paterno y Materno)</v>
      </c>
      <c r="C35" s="202"/>
      <c r="D35" s="202"/>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202"/>
      <c r="AF35" s="202"/>
      <c r="AG35" s="202"/>
      <c r="AH35" s="202"/>
      <c r="AI35" s="202"/>
      <c r="AJ35" s="202"/>
      <c r="AK35" s="203"/>
    </row>
    <row r="36" spans="1:37" s="193" customFormat="1" ht="10.5" customHeight="1">
      <c r="A36" s="188"/>
      <c r="B36" s="539">
        <f>AA_036a_DATOS_APODERADOS_ACREDITADO_NOMBRE_APODERADO_DEL_ACREDITADO_TRES</f>
        <v>0</v>
      </c>
      <c r="C36" s="723"/>
      <c r="D36" s="723"/>
      <c r="E36" s="723"/>
      <c r="F36" s="723"/>
      <c r="G36" s="723"/>
      <c r="H36" s="723"/>
      <c r="I36" s="723"/>
      <c r="J36" s="723"/>
      <c r="K36" s="723"/>
      <c r="L36" s="723"/>
      <c r="M36" s="723"/>
      <c r="N36" s="723"/>
      <c r="O36" s="723"/>
      <c r="P36" s="723"/>
      <c r="Q36" s="723"/>
      <c r="R36" s="723"/>
      <c r="S36" s="723"/>
      <c r="T36" s="723"/>
      <c r="U36" s="723"/>
      <c r="V36" s="723"/>
      <c r="W36" s="723"/>
      <c r="X36" s="723"/>
      <c r="Y36" s="723"/>
      <c r="Z36" s="723"/>
      <c r="AA36" s="723"/>
      <c r="AB36" s="723"/>
      <c r="AC36" s="723"/>
      <c r="AD36" s="723"/>
      <c r="AE36" s="723"/>
      <c r="AF36" s="723"/>
      <c r="AG36" s="723"/>
      <c r="AH36" s="723"/>
      <c r="AI36" s="723"/>
      <c r="AJ36" s="723"/>
      <c r="AK36" s="724"/>
    </row>
    <row r="37" spans="1:37" s="199" customFormat="1" ht="2.25" customHeight="1">
      <c r="A37" s="198"/>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row>
    <row r="38" spans="1:37" s="199" customFormat="1" ht="2.25" customHeight="1">
      <c r="A38" s="198"/>
      <c r="B38" s="182"/>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row>
    <row r="39" spans="1:37" s="199" customFormat="1" ht="2.25" customHeight="1">
      <c r="A39" s="198"/>
      <c r="B39" s="182"/>
      <c r="C39" s="182"/>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c r="AI39" s="182"/>
      <c r="AJ39" s="182"/>
      <c r="AK39" s="182"/>
    </row>
    <row r="40" spans="1:37" s="199" customFormat="1" ht="9.6">
      <c r="A40" s="198"/>
      <c r="B40" s="200" t="s">
        <v>160</v>
      </c>
      <c r="C40" s="18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82"/>
      <c r="AI40" s="182"/>
      <c r="AJ40" s="182"/>
      <c r="AK40" s="182"/>
    </row>
    <row r="41" spans="1:37" s="193" customFormat="1" ht="10.5" customHeight="1">
      <c r="A41" s="188"/>
      <c r="B41" s="201" t="s">
        <v>157</v>
      </c>
      <c r="C41" s="202"/>
      <c r="D41" s="202"/>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202"/>
      <c r="AF41" s="202"/>
      <c r="AG41" s="201" t="s">
        <v>151</v>
      </c>
      <c r="AH41" s="202"/>
      <c r="AI41" s="202"/>
      <c r="AJ41" s="202"/>
      <c r="AK41" s="203"/>
    </row>
    <row r="42" spans="1:37" s="193" customFormat="1" ht="10.5" customHeight="1">
      <c r="A42" s="188"/>
      <c r="B42" s="539">
        <f>AA_037_DATOS_FIADORES_NOMBRE_DEL_FIADOR_SOLIDARIO_UNO</f>
        <v>0</v>
      </c>
      <c r="C42" s="723"/>
      <c r="D42" s="723"/>
      <c r="E42" s="723"/>
      <c r="F42" s="723"/>
      <c r="G42" s="723"/>
      <c r="H42" s="723"/>
      <c r="I42" s="723"/>
      <c r="J42" s="723"/>
      <c r="K42" s="723"/>
      <c r="L42" s="723"/>
      <c r="M42" s="723"/>
      <c r="N42" s="723"/>
      <c r="O42" s="723"/>
      <c r="P42" s="723"/>
      <c r="Q42" s="723"/>
      <c r="R42" s="723"/>
      <c r="S42" s="723"/>
      <c r="T42" s="723"/>
      <c r="U42" s="723"/>
      <c r="V42" s="723"/>
      <c r="W42" s="723"/>
      <c r="X42" s="723"/>
      <c r="Y42" s="723"/>
      <c r="Z42" s="723"/>
      <c r="AA42" s="723"/>
      <c r="AB42" s="723"/>
      <c r="AC42" s="723"/>
      <c r="AD42" s="723"/>
      <c r="AE42" s="723"/>
      <c r="AF42" s="724"/>
      <c r="AG42" s="539">
        <f>AA_038_DATOS_FIADORES_RFC</f>
        <v>0</v>
      </c>
      <c r="AH42" s="723"/>
      <c r="AI42" s="723"/>
      <c r="AJ42" s="723"/>
      <c r="AK42" s="724"/>
    </row>
    <row r="43" spans="1:37" s="193" customFormat="1" ht="10.5" customHeight="1">
      <c r="A43" s="188"/>
      <c r="B43" s="201" t="s">
        <v>143</v>
      </c>
      <c r="C43" s="202"/>
      <c r="D43" s="202"/>
      <c r="E43" s="202" t="s">
        <v>144</v>
      </c>
      <c r="F43" s="202"/>
      <c r="G43" s="202"/>
      <c r="H43" s="202"/>
      <c r="I43" s="202"/>
      <c r="J43" s="202"/>
      <c r="K43" s="202"/>
      <c r="L43" s="202"/>
      <c r="M43" s="202"/>
      <c r="N43" s="202"/>
      <c r="O43" s="202"/>
      <c r="P43" s="202"/>
      <c r="Q43" s="202"/>
      <c r="R43" s="202"/>
      <c r="S43" s="202"/>
      <c r="T43" s="202"/>
      <c r="U43" s="201" t="s">
        <v>145</v>
      </c>
      <c r="V43" s="202"/>
      <c r="W43" s="202"/>
      <c r="X43" s="202"/>
      <c r="Y43" s="202"/>
      <c r="Z43" s="202"/>
      <c r="AA43" s="202"/>
      <c r="AB43" s="202"/>
      <c r="AC43" s="202"/>
      <c r="AD43" s="202"/>
      <c r="AE43" s="202"/>
      <c r="AF43" s="202"/>
      <c r="AG43" s="202"/>
      <c r="AH43" s="202"/>
      <c r="AI43" s="202"/>
      <c r="AJ43" s="202"/>
      <c r="AK43" s="203"/>
    </row>
    <row r="44" spans="1:37" s="193" customFormat="1" ht="10.5" customHeight="1">
      <c r="A44" s="188"/>
      <c r="B44" s="539">
        <f>AA_039_DATOS_FIADORES_DOMICILIO_CALLE_NÚMERO</f>
        <v>0</v>
      </c>
      <c r="C44" s="723"/>
      <c r="D44" s="723"/>
      <c r="E44" s="723"/>
      <c r="F44" s="723"/>
      <c r="G44" s="723"/>
      <c r="H44" s="723"/>
      <c r="I44" s="723"/>
      <c r="J44" s="723"/>
      <c r="K44" s="723"/>
      <c r="L44" s="723"/>
      <c r="M44" s="723"/>
      <c r="N44" s="723"/>
      <c r="O44" s="723"/>
      <c r="P44" s="723"/>
      <c r="Q44" s="723"/>
      <c r="R44" s="723"/>
      <c r="S44" s="723"/>
      <c r="T44" s="724"/>
      <c r="U44" s="539">
        <f>AA_040_DATOS_FIADORES_COLONIA</f>
        <v>0</v>
      </c>
      <c r="V44" s="723"/>
      <c r="W44" s="723"/>
      <c r="X44" s="723"/>
      <c r="Y44" s="723"/>
      <c r="Z44" s="723"/>
      <c r="AA44" s="723"/>
      <c r="AB44" s="723"/>
      <c r="AC44" s="723"/>
      <c r="AD44" s="723"/>
      <c r="AE44" s="723"/>
      <c r="AF44" s="723"/>
      <c r="AG44" s="723"/>
      <c r="AH44" s="723"/>
      <c r="AI44" s="723"/>
      <c r="AJ44" s="723"/>
      <c r="AK44" s="724"/>
    </row>
    <row r="45" spans="1:37" s="193" customFormat="1" ht="10.5" customHeight="1">
      <c r="A45" s="188"/>
      <c r="B45" s="201" t="s">
        <v>146</v>
      </c>
      <c r="C45" s="202"/>
      <c r="D45" s="202"/>
      <c r="E45" s="202"/>
      <c r="F45" s="202"/>
      <c r="G45" s="202"/>
      <c r="H45" s="202"/>
      <c r="I45" s="195"/>
      <c r="J45" s="201" t="s">
        <v>147</v>
      </c>
      <c r="K45" s="195"/>
      <c r="L45" s="195"/>
      <c r="P45" s="202"/>
      <c r="Q45" s="194" t="s">
        <v>152</v>
      </c>
      <c r="S45" s="202"/>
      <c r="T45" s="202"/>
      <c r="V45" s="201" t="s">
        <v>153</v>
      </c>
      <c r="W45" s="202"/>
      <c r="X45" s="202"/>
      <c r="Y45" s="202"/>
      <c r="AA45" s="201" t="s">
        <v>154</v>
      </c>
      <c r="AB45" s="202"/>
      <c r="AC45" s="203"/>
      <c r="AD45" s="194" t="s">
        <v>155</v>
      </c>
      <c r="AE45" s="195"/>
      <c r="AF45" s="195"/>
      <c r="AG45" s="203"/>
      <c r="AH45" s="202" t="s">
        <v>156</v>
      </c>
      <c r="AI45" s="202"/>
      <c r="AJ45" s="202"/>
      <c r="AK45" s="203"/>
    </row>
    <row r="46" spans="1:37" s="193" customFormat="1" ht="10.5" customHeight="1">
      <c r="A46" s="188"/>
      <c r="B46" s="539">
        <f>AA_041_DATOS_FIADORES_POBLACIÓN</f>
        <v>0</v>
      </c>
      <c r="C46" s="723"/>
      <c r="D46" s="723"/>
      <c r="E46" s="723"/>
      <c r="F46" s="723"/>
      <c r="G46" s="723"/>
      <c r="H46" s="723"/>
      <c r="I46" s="724"/>
      <c r="J46" s="539">
        <f>AA_042_DATOS_FIADORES_ESTADO</f>
        <v>0</v>
      </c>
      <c r="K46" s="723"/>
      <c r="L46" s="723"/>
      <c r="M46" s="723"/>
      <c r="N46" s="723"/>
      <c r="O46" s="723"/>
      <c r="P46" s="724"/>
      <c r="Q46" s="539">
        <f>AA_043_DATOS_FIADORES_NACIONALIDAD</f>
        <v>0</v>
      </c>
      <c r="R46" s="723"/>
      <c r="S46" s="723"/>
      <c r="T46" s="723"/>
      <c r="U46" s="724"/>
      <c r="V46" s="539">
        <f>AA_044_DATOS_FIADORES_ORIGINARIO</f>
        <v>0</v>
      </c>
      <c r="W46" s="723"/>
      <c r="X46" s="723"/>
      <c r="Y46" s="723"/>
      <c r="Z46" s="724"/>
      <c r="AA46" s="542">
        <f>AA_045_DATOS_FIADORES_EDAD</f>
        <v>0</v>
      </c>
      <c r="AB46" s="543"/>
      <c r="AC46" s="544"/>
      <c r="AD46" s="539">
        <f>AA_046_DATOS_FIADORES_ESTADO_CIVIL</f>
        <v>0</v>
      </c>
      <c r="AE46" s="723"/>
      <c r="AF46" s="723"/>
      <c r="AG46" s="724"/>
      <c r="AH46" s="539">
        <f>AA_047_DATOS_FIADORES_TELEFONO</f>
        <v>0</v>
      </c>
      <c r="AI46" s="540"/>
      <c r="AJ46" s="540"/>
      <c r="AK46" s="541"/>
    </row>
    <row r="47" spans="1:37" s="193" customFormat="1" ht="10.5" customHeight="1">
      <c r="A47" s="188"/>
      <c r="B47" s="201" t="s">
        <v>157</v>
      </c>
      <c r="C47" s="202"/>
      <c r="D47" s="202"/>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202"/>
      <c r="AF47" s="202"/>
      <c r="AG47" s="201" t="s">
        <v>151</v>
      </c>
      <c r="AH47" s="202"/>
      <c r="AI47" s="202"/>
      <c r="AJ47" s="202"/>
      <c r="AK47" s="203"/>
    </row>
    <row r="48" spans="1:37" s="193" customFormat="1" ht="10.5" customHeight="1">
      <c r="A48" s="188"/>
      <c r="B48" s="539">
        <f>AA_048_DATOS_FIADORES_NOMBRE_DEL_FIADOR_SOLIDARIO_DOS</f>
        <v>0</v>
      </c>
      <c r="C48" s="723"/>
      <c r="D48" s="723"/>
      <c r="E48" s="723"/>
      <c r="F48" s="723"/>
      <c r="G48" s="723"/>
      <c r="H48" s="723"/>
      <c r="I48" s="723"/>
      <c r="J48" s="723"/>
      <c r="K48" s="723"/>
      <c r="L48" s="723"/>
      <c r="M48" s="723"/>
      <c r="N48" s="723"/>
      <c r="O48" s="723"/>
      <c r="P48" s="723"/>
      <c r="Q48" s="723"/>
      <c r="R48" s="723"/>
      <c r="S48" s="723"/>
      <c r="T48" s="723"/>
      <c r="U48" s="723"/>
      <c r="V48" s="723"/>
      <c r="W48" s="723"/>
      <c r="X48" s="723"/>
      <c r="Y48" s="723"/>
      <c r="Z48" s="723"/>
      <c r="AA48" s="723"/>
      <c r="AB48" s="723"/>
      <c r="AC48" s="723"/>
      <c r="AD48" s="723"/>
      <c r="AE48" s="723"/>
      <c r="AF48" s="724"/>
      <c r="AG48" s="539">
        <f>AA_049_DATOS_FIADORES_RFC</f>
        <v>0</v>
      </c>
      <c r="AH48" s="723"/>
      <c r="AI48" s="723"/>
      <c r="AJ48" s="723"/>
      <c r="AK48" s="724"/>
    </row>
    <row r="49" spans="1:37" s="193" customFormat="1" ht="10.5" customHeight="1">
      <c r="A49" s="188"/>
      <c r="B49" s="201" t="s">
        <v>143</v>
      </c>
      <c r="C49" s="202"/>
      <c r="D49" s="202"/>
      <c r="E49" s="202" t="s">
        <v>144</v>
      </c>
      <c r="F49" s="202"/>
      <c r="G49" s="202"/>
      <c r="H49" s="202"/>
      <c r="I49" s="202"/>
      <c r="J49" s="202"/>
      <c r="K49" s="202"/>
      <c r="L49" s="202"/>
      <c r="M49" s="202"/>
      <c r="N49" s="202"/>
      <c r="O49" s="202"/>
      <c r="P49" s="202"/>
      <c r="Q49" s="202"/>
      <c r="R49" s="202"/>
      <c r="S49" s="202"/>
      <c r="T49" s="202"/>
      <c r="U49" s="201" t="s">
        <v>145</v>
      </c>
      <c r="V49" s="202"/>
      <c r="W49" s="202"/>
      <c r="X49" s="202"/>
      <c r="Y49" s="202"/>
      <c r="Z49" s="202"/>
      <c r="AA49" s="202"/>
      <c r="AB49" s="202"/>
      <c r="AC49" s="202"/>
      <c r="AD49" s="202"/>
      <c r="AE49" s="202"/>
      <c r="AF49" s="202"/>
      <c r="AG49" s="202"/>
      <c r="AH49" s="202"/>
      <c r="AI49" s="202"/>
      <c r="AJ49" s="202"/>
      <c r="AK49" s="203"/>
    </row>
    <row r="50" spans="1:37" s="193" customFormat="1" ht="10.5" customHeight="1">
      <c r="A50" s="188"/>
      <c r="B50" s="539">
        <f>AA_050_DATOS_FIADORES_DOMICILIO_CALLE_NÚMERO</f>
        <v>0</v>
      </c>
      <c r="C50" s="723"/>
      <c r="D50" s="723"/>
      <c r="E50" s="723"/>
      <c r="F50" s="723"/>
      <c r="G50" s="723"/>
      <c r="H50" s="723"/>
      <c r="I50" s="723"/>
      <c r="J50" s="723"/>
      <c r="K50" s="723"/>
      <c r="L50" s="723"/>
      <c r="M50" s="723"/>
      <c r="N50" s="723"/>
      <c r="O50" s="723"/>
      <c r="P50" s="723"/>
      <c r="Q50" s="723"/>
      <c r="R50" s="723"/>
      <c r="S50" s="723"/>
      <c r="T50" s="724"/>
      <c r="U50" s="539">
        <f>AA_051_DATOS_FIADORES_COLONIA</f>
        <v>0</v>
      </c>
      <c r="V50" s="723"/>
      <c r="W50" s="723"/>
      <c r="X50" s="723"/>
      <c r="Y50" s="723"/>
      <c r="Z50" s="723"/>
      <c r="AA50" s="723"/>
      <c r="AB50" s="723"/>
      <c r="AC50" s="723"/>
      <c r="AD50" s="723"/>
      <c r="AE50" s="723"/>
      <c r="AF50" s="723"/>
      <c r="AG50" s="723"/>
      <c r="AH50" s="723"/>
      <c r="AI50" s="723"/>
      <c r="AJ50" s="723"/>
      <c r="AK50" s="724"/>
    </row>
    <row r="51" spans="1:37" s="193" customFormat="1" ht="10.5" customHeight="1">
      <c r="A51" s="188"/>
      <c r="B51" s="201" t="s">
        <v>146</v>
      </c>
      <c r="C51" s="202"/>
      <c r="D51" s="202"/>
      <c r="E51" s="202"/>
      <c r="F51" s="202"/>
      <c r="G51" s="202"/>
      <c r="H51" s="202"/>
      <c r="I51" s="195"/>
      <c r="J51" s="201" t="s">
        <v>147</v>
      </c>
      <c r="K51" s="195"/>
      <c r="L51" s="195"/>
      <c r="P51" s="202"/>
      <c r="Q51" s="194" t="s">
        <v>152</v>
      </c>
      <c r="S51" s="202"/>
      <c r="T51" s="202"/>
      <c r="V51" s="201" t="s">
        <v>153</v>
      </c>
      <c r="W51" s="202"/>
      <c r="X51" s="202"/>
      <c r="Y51" s="202"/>
      <c r="AA51" s="201" t="s">
        <v>154</v>
      </c>
      <c r="AB51" s="202"/>
      <c r="AC51" s="203"/>
      <c r="AD51" s="194" t="s">
        <v>155</v>
      </c>
      <c r="AE51" s="195"/>
      <c r="AF51" s="195"/>
      <c r="AG51" s="203"/>
      <c r="AH51" s="202" t="s">
        <v>156</v>
      </c>
      <c r="AI51" s="202"/>
      <c r="AJ51" s="202"/>
      <c r="AK51" s="203"/>
    </row>
    <row r="52" spans="1:37" s="193" customFormat="1" ht="10.5" customHeight="1">
      <c r="A52" s="188"/>
      <c r="B52" s="539">
        <f>AA_052_DATOS_FIADORES_POBLACIÓN</f>
        <v>0</v>
      </c>
      <c r="C52" s="723"/>
      <c r="D52" s="723"/>
      <c r="E52" s="723"/>
      <c r="F52" s="723"/>
      <c r="G52" s="723"/>
      <c r="H52" s="723"/>
      <c r="I52" s="724"/>
      <c r="J52" s="539">
        <f>AA_053_DATOS_FIADORES_ESTADO</f>
        <v>0</v>
      </c>
      <c r="K52" s="723"/>
      <c r="L52" s="723"/>
      <c r="M52" s="723"/>
      <c r="N52" s="723"/>
      <c r="O52" s="723"/>
      <c r="P52" s="724"/>
      <c r="Q52" s="539">
        <f>AA_054_DATOS_FIADORES_NACIONALIDAD</f>
        <v>0</v>
      </c>
      <c r="R52" s="723"/>
      <c r="S52" s="723"/>
      <c r="T52" s="723"/>
      <c r="U52" s="724"/>
      <c r="V52" s="539">
        <f>AA_055_DATOS_FIADORES_ORIGINARIO</f>
        <v>0</v>
      </c>
      <c r="W52" s="723"/>
      <c r="X52" s="723"/>
      <c r="Y52" s="723"/>
      <c r="Z52" s="724"/>
      <c r="AA52" s="542">
        <f>AA_056_DATOS_FIADORES_EDAD</f>
        <v>0</v>
      </c>
      <c r="AB52" s="543"/>
      <c r="AC52" s="544"/>
      <c r="AD52" s="539">
        <f>AA_057_DATOS_FIADORES_ESTADO_CIVIL</f>
        <v>0</v>
      </c>
      <c r="AE52" s="723"/>
      <c r="AF52" s="723"/>
      <c r="AG52" s="724"/>
      <c r="AH52" s="539">
        <f>AA_058_DATOS_FIADORES_TELEFONO</f>
        <v>0</v>
      </c>
      <c r="AI52" s="540"/>
      <c r="AJ52" s="540"/>
      <c r="AK52" s="541"/>
    </row>
    <row r="53" spans="1:37" s="193" customFormat="1" ht="10.5" customHeight="1">
      <c r="A53" s="188"/>
      <c r="B53" s="201" t="s">
        <v>157</v>
      </c>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1" t="s">
        <v>151</v>
      </c>
      <c r="AH53" s="202"/>
      <c r="AI53" s="202"/>
      <c r="AJ53" s="202"/>
      <c r="AK53" s="203"/>
    </row>
    <row r="54" spans="1:37" s="193" customFormat="1" ht="10.5" customHeight="1">
      <c r="A54" s="188"/>
      <c r="B54" s="539">
        <f>AA_059_DATOS_FIADORES_NOMBRE_DEL_FIADOR_SOLIDARIO_TRES</f>
        <v>0</v>
      </c>
      <c r="C54" s="723"/>
      <c r="D54" s="723"/>
      <c r="E54" s="723"/>
      <c r="F54" s="723"/>
      <c r="G54" s="723"/>
      <c r="H54" s="723"/>
      <c r="I54" s="723"/>
      <c r="J54" s="723"/>
      <c r="K54" s="723"/>
      <c r="L54" s="723"/>
      <c r="M54" s="723"/>
      <c r="N54" s="723"/>
      <c r="O54" s="723"/>
      <c r="P54" s="723"/>
      <c r="Q54" s="723"/>
      <c r="R54" s="723"/>
      <c r="S54" s="723"/>
      <c r="T54" s="723"/>
      <c r="U54" s="723"/>
      <c r="V54" s="723"/>
      <c r="W54" s="723"/>
      <c r="X54" s="723"/>
      <c r="Y54" s="723"/>
      <c r="Z54" s="723"/>
      <c r="AA54" s="723"/>
      <c r="AB54" s="723"/>
      <c r="AC54" s="723"/>
      <c r="AD54" s="723"/>
      <c r="AE54" s="723"/>
      <c r="AF54" s="724"/>
      <c r="AG54" s="539">
        <f>AA_060_DATOS_FIADORES_RFC</f>
        <v>0</v>
      </c>
      <c r="AH54" s="723"/>
      <c r="AI54" s="723"/>
      <c r="AJ54" s="723"/>
      <c r="AK54" s="724"/>
    </row>
    <row r="55" spans="1:37" s="193" customFormat="1" ht="10.5" customHeight="1">
      <c r="A55" s="188"/>
      <c r="B55" s="201" t="s">
        <v>143</v>
      </c>
      <c r="C55" s="202"/>
      <c r="D55" s="202"/>
      <c r="E55" s="202" t="s">
        <v>144</v>
      </c>
      <c r="F55" s="202"/>
      <c r="G55" s="202"/>
      <c r="H55" s="202"/>
      <c r="I55" s="202"/>
      <c r="J55" s="202"/>
      <c r="K55" s="202"/>
      <c r="L55" s="202"/>
      <c r="M55" s="202"/>
      <c r="N55" s="202"/>
      <c r="O55" s="202"/>
      <c r="P55" s="202"/>
      <c r="Q55" s="202"/>
      <c r="R55" s="202"/>
      <c r="S55" s="202"/>
      <c r="T55" s="202"/>
      <c r="U55" s="201" t="s">
        <v>145</v>
      </c>
      <c r="V55" s="202"/>
      <c r="W55" s="202"/>
      <c r="X55" s="202"/>
      <c r="Y55" s="202"/>
      <c r="Z55" s="202"/>
      <c r="AA55" s="202"/>
      <c r="AB55" s="202"/>
      <c r="AC55" s="202"/>
      <c r="AD55" s="202"/>
      <c r="AE55" s="202"/>
      <c r="AF55" s="202"/>
      <c r="AG55" s="202"/>
      <c r="AH55" s="202"/>
      <c r="AI55" s="202"/>
      <c r="AJ55" s="202"/>
      <c r="AK55" s="203"/>
    </row>
    <row r="56" spans="1:37" s="193" customFormat="1" ht="10.5" customHeight="1">
      <c r="A56" s="188"/>
      <c r="B56" s="622">
        <f>AA_061_DATOS_FIADORES_DOMICILIO_CALLE_NÚMERO</f>
        <v>0</v>
      </c>
      <c r="C56" s="845"/>
      <c r="D56" s="845"/>
      <c r="E56" s="845"/>
      <c r="F56" s="845"/>
      <c r="G56" s="845"/>
      <c r="H56" s="845"/>
      <c r="I56" s="845"/>
      <c r="J56" s="845"/>
      <c r="K56" s="845"/>
      <c r="L56" s="845"/>
      <c r="M56" s="845"/>
      <c r="N56" s="845"/>
      <c r="O56" s="845"/>
      <c r="P56" s="845"/>
      <c r="Q56" s="845"/>
      <c r="R56" s="845"/>
      <c r="S56" s="845"/>
      <c r="T56" s="846"/>
      <c r="U56" s="622">
        <f>AA_062_DATOS_FIADORES_COLONIA</f>
        <v>0</v>
      </c>
      <c r="V56" s="845"/>
      <c r="W56" s="845"/>
      <c r="X56" s="845"/>
      <c r="Y56" s="845"/>
      <c r="Z56" s="845"/>
      <c r="AA56" s="845"/>
      <c r="AB56" s="845"/>
      <c r="AC56" s="845"/>
      <c r="AD56" s="845"/>
      <c r="AE56" s="845"/>
      <c r="AF56" s="845"/>
      <c r="AG56" s="845"/>
      <c r="AH56" s="845"/>
      <c r="AI56" s="845"/>
      <c r="AJ56" s="845"/>
      <c r="AK56" s="846"/>
    </row>
    <row r="57" spans="1:37" s="193" customFormat="1" ht="10.5" customHeight="1">
      <c r="A57" s="188"/>
      <c r="B57" s="206" t="s">
        <v>146</v>
      </c>
      <c r="C57" s="207"/>
      <c r="D57" s="207"/>
      <c r="E57" s="207"/>
      <c r="F57" s="207"/>
      <c r="G57" s="207"/>
      <c r="H57" s="207"/>
      <c r="I57" s="207"/>
      <c r="J57" s="208" t="s">
        <v>147</v>
      </c>
      <c r="K57" s="207"/>
      <c r="L57" s="207"/>
      <c r="M57" s="209"/>
      <c r="N57" s="209"/>
      <c r="O57" s="209"/>
      <c r="P57" s="207"/>
      <c r="Q57" s="208" t="s">
        <v>152</v>
      </c>
      <c r="R57" s="209"/>
      <c r="S57" s="207"/>
      <c r="T57" s="207"/>
      <c r="U57" s="209"/>
      <c r="V57" s="208" t="s">
        <v>153</v>
      </c>
      <c r="W57" s="207"/>
      <c r="X57" s="207"/>
      <c r="Y57" s="207"/>
      <c r="Z57" s="209"/>
      <c r="AA57" s="208" t="s">
        <v>154</v>
      </c>
      <c r="AB57" s="207"/>
      <c r="AC57" s="210"/>
      <c r="AD57" s="208" t="s">
        <v>155</v>
      </c>
      <c r="AE57" s="207"/>
      <c r="AF57" s="207"/>
      <c r="AG57" s="210"/>
      <c r="AH57" s="207" t="s">
        <v>156</v>
      </c>
      <c r="AI57" s="207"/>
      <c r="AJ57" s="207"/>
      <c r="AK57" s="211"/>
    </row>
    <row r="58" spans="1:37" s="193" customFormat="1" ht="10.5" customHeight="1">
      <c r="A58" s="188"/>
      <c r="B58" s="625">
        <f>AA_063_DATOS_FIADORES_POBLACIÓN</f>
        <v>0</v>
      </c>
      <c r="C58" s="845"/>
      <c r="D58" s="845"/>
      <c r="E58" s="845"/>
      <c r="F58" s="845"/>
      <c r="G58" s="845"/>
      <c r="H58" s="845"/>
      <c r="I58" s="846"/>
      <c r="J58" s="622">
        <f>AA_064_DATOS_FIADORES_ESTADO</f>
        <v>0</v>
      </c>
      <c r="K58" s="845"/>
      <c r="L58" s="845"/>
      <c r="M58" s="845"/>
      <c r="N58" s="845"/>
      <c r="O58" s="845"/>
      <c r="P58" s="846"/>
      <c r="Q58" s="622">
        <f>AA_065_DATOS_FIADORES_NACIONALIDAD</f>
        <v>0</v>
      </c>
      <c r="R58" s="845"/>
      <c r="S58" s="845"/>
      <c r="T58" s="845"/>
      <c r="U58" s="846"/>
      <c r="V58" s="622">
        <f>AA_066_DATOS_FIADORES_ORIGINARIO</f>
        <v>0</v>
      </c>
      <c r="W58" s="845"/>
      <c r="X58" s="845"/>
      <c r="Y58" s="845"/>
      <c r="Z58" s="846"/>
      <c r="AA58" s="626">
        <f>AA_067_DATOS_FIADORES_EDAD</f>
        <v>0</v>
      </c>
      <c r="AB58" s="627"/>
      <c r="AC58" s="628"/>
      <c r="AD58" s="622">
        <f>AA_068_DATOS_FIADORES_ESTADO_CIVIL</f>
        <v>0</v>
      </c>
      <c r="AE58" s="845"/>
      <c r="AF58" s="845"/>
      <c r="AG58" s="846"/>
      <c r="AH58" s="622">
        <f>AA_069_DATOS_FIADORES_TELEFONO</f>
        <v>0</v>
      </c>
      <c r="AI58" s="623"/>
      <c r="AJ58" s="623"/>
      <c r="AK58" s="629"/>
    </row>
    <row r="59" spans="1:37" s="199" customFormat="1" ht="2.25" customHeight="1">
      <c r="B59" s="182"/>
      <c r="C59" s="182"/>
      <c r="D59" s="182"/>
      <c r="E59" s="182"/>
      <c r="F59" s="182"/>
      <c r="G59" s="182"/>
      <c r="H59" s="182"/>
      <c r="I59" s="182"/>
      <c r="J59" s="182"/>
      <c r="K59" s="182"/>
      <c r="L59" s="182"/>
      <c r="M59" s="182"/>
      <c r="N59" s="182"/>
      <c r="O59" s="182"/>
      <c r="P59" s="182"/>
      <c r="Q59" s="182"/>
      <c r="R59" s="182"/>
      <c r="S59" s="182"/>
      <c r="T59" s="182"/>
      <c r="U59" s="182"/>
      <c r="V59" s="182"/>
      <c r="W59" s="182"/>
      <c r="X59" s="182"/>
      <c r="Y59" s="182"/>
      <c r="Z59" s="182"/>
      <c r="AA59" s="182"/>
      <c r="AB59" s="182"/>
      <c r="AC59" s="182"/>
      <c r="AD59" s="182"/>
      <c r="AE59" s="182"/>
      <c r="AF59" s="182"/>
      <c r="AG59" s="182"/>
      <c r="AH59" s="182"/>
      <c r="AI59" s="182"/>
      <c r="AJ59" s="182"/>
      <c r="AK59" s="182"/>
    </row>
    <row r="60" spans="1:37" s="199" customFormat="1" ht="9.6">
      <c r="B60" s="200" t="s">
        <v>161</v>
      </c>
      <c r="C60" s="182"/>
      <c r="D60" s="182"/>
      <c r="E60" s="182"/>
      <c r="F60" s="182"/>
      <c r="G60" s="182"/>
      <c r="H60" s="182"/>
      <c r="I60" s="182"/>
      <c r="J60" s="182"/>
      <c r="K60" s="182"/>
      <c r="L60" s="182"/>
      <c r="M60" s="182"/>
      <c r="N60" s="182"/>
      <c r="O60" s="182"/>
      <c r="P60" s="182"/>
      <c r="Q60" s="182"/>
      <c r="R60" s="182"/>
      <c r="S60" s="182"/>
      <c r="T60" s="182"/>
      <c r="U60" s="182"/>
      <c r="V60" s="182"/>
      <c r="W60" s="182"/>
      <c r="X60" s="182"/>
      <c r="Y60" s="182"/>
      <c r="Z60" s="182"/>
      <c r="AA60" s="182"/>
      <c r="AB60" s="182"/>
      <c r="AC60" s="182"/>
      <c r="AD60" s="182"/>
      <c r="AE60" s="182"/>
      <c r="AF60" s="182"/>
      <c r="AG60" s="182"/>
      <c r="AH60" s="182"/>
      <c r="AI60" s="182"/>
      <c r="AJ60" s="182"/>
      <c r="AK60" s="182"/>
    </row>
    <row r="61" spans="1:37" s="193" customFormat="1" ht="10.5" customHeight="1">
      <c r="A61" s="188"/>
      <c r="B61" s="201" t="str">
        <f>B31</f>
        <v>NOMBRE  (Nombre(s) Apellidos Paterno y Materno)</v>
      </c>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3"/>
    </row>
    <row r="62" spans="1:37" s="193" customFormat="1" ht="10.5" customHeight="1">
      <c r="A62" s="188"/>
      <c r="B62" s="539">
        <f>AA_070_DATOS_APODERADOS_FIADOR_NOMBRE_APODERADO_DEL_FIADOR_SOLIDARIO_UNO</f>
        <v>0</v>
      </c>
      <c r="C62" s="540"/>
      <c r="D62" s="540"/>
      <c r="E62" s="540"/>
      <c r="F62" s="540"/>
      <c r="G62" s="540"/>
      <c r="H62" s="540"/>
      <c r="I62" s="540"/>
      <c r="J62" s="540"/>
      <c r="K62" s="540"/>
      <c r="L62" s="540"/>
      <c r="M62" s="540"/>
      <c r="N62" s="540"/>
      <c r="O62" s="540"/>
      <c r="P62" s="540"/>
      <c r="Q62" s="540"/>
      <c r="R62" s="540"/>
      <c r="S62" s="540"/>
      <c r="T62" s="540"/>
      <c r="U62" s="540"/>
      <c r="V62" s="540"/>
      <c r="W62" s="540"/>
      <c r="X62" s="540"/>
      <c r="Y62" s="540"/>
      <c r="Z62" s="540"/>
      <c r="AA62" s="540"/>
      <c r="AB62" s="540"/>
      <c r="AC62" s="540"/>
      <c r="AD62" s="540"/>
      <c r="AE62" s="540"/>
      <c r="AF62" s="540"/>
      <c r="AG62" s="540"/>
      <c r="AH62" s="540"/>
      <c r="AI62" s="540"/>
      <c r="AJ62" s="540"/>
      <c r="AK62" s="541"/>
    </row>
    <row r="63" spans="1:37" s="193" customFormat="1" ht="10.5" customHeight="1">
      <c r="A63" s="188"/>
      <c r="B63" s="201" t="str">
        <f>B61</f>
        <v>NOMBRE  (Nombre(s) Apellidos Paterno y Materno)</v>
      </c>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3"/>
    </row>
    <row r="64" spans="1:37" s="193" customFormat="1" ht="10.5" customHeight="1">
      <c r="A64" s="188"/>
      <c r="B64" s="539">
        <f>AA_071_DATOS_APODERADOS_FIADOR_NOMBRE_APODERADO_DEL_FIADOR_SOLIDARIO_DOS</f>
        <v>0</v>
      </c>
      <c r="C64" s="723"/>
      <c r="D64" s="723"/>
      <c r="E64" s="723"/>
      <c r="F64" s="723"/>
      <c r="G64" s="723"/>
      <c r="H64" s="723"/>
      <c r="I64" s="723"/>
      <c r="J64" s="723"/>
      <c r="K64" s="723"/>
      <c r="L64" s="723"/>
      <c r="M64" s="723"/>
      <c r="N64" s="723"/>
      <c r="O64" s="723"/>
      <c r="P64" s="723"/>
      <c r="Q64" s="723"/>
      <c r="R64" s="723"/>
      <c r="S64" s="723"/>
      <c r="T64" s="723"/>
      <c r="U64" s="723"/>
      <c r="V64" s="723"/>
      <c r="W64" s="723"/>
      <c r="X64" s="723"/>
      <c r="Y64" s="723"/>
      <c r="Z64" s="723"/>
      <c r="AA64" s="723"/>
      <c r="AB64" s="723"/>
      <c r="AC64" s="723"/>
      <c r="AD64" s="723"/>
      <c r="AE64" s="723"/>
      <c r="AF64" s="723"/>
      <c r="AG64" s="723"/>
      <c r="AH64" s="723"/>
      <c r="AI64" s="723"/>
      <c r="AJ64" s="723"/>
      <c r="AK64" s="724"/>
    </row>
    <row r="65" spans="1:37" s="193" customFormat="1" ht="10.5" customHeight="1">
      <c r="A65" s="188"/>
      <c r="B65" s="201" t="str">
        <f>B63</f>
        <v>NOMBRE  (Nombre(s) Apellidos Paterno y Materno)</v>
      </c>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3"/>
    </row>
    <row r="66" spans="1:37" s="193" customFormat="1" ht="10.5" customHeight="1">
      <c r="A66" s="188"/>
      <c r="B66" s="539">
        <f>AA_072_DATOS_APODERADOS_FIADOR_NOMBRE_APODERADO_DEL_FIADOR_SOLIDARIO_TRES</f>
        <v>0</v>
      </c>
      <c r="C66" s="723"/>
      <c r="D66" s="723"/>
      <c r="E66" s="723"/>
      <c r="F66" s="723"/>
      <c r="G66" s="723"/>
      <c r="H66" s="723"/>
      <c r="I66" s="723"/>
      <c r="J66" s="723"/>
      <c r="K66" s="723"/>
      <c r="L66" s="723"/>
      <c r="M66" s="723"/>
      <c r="N66" s="723"/>
      <c r="O66" s="723"/>
      <c r="P66" s="723"/>
      <c r="Q66" s="723"/>
      <c r="R66" s="723"/>
      <c r="S66" s="723"/>
      <c r="T66" s="723"/>
      <c r="U66" s="723"/>
      <c r="V66" s="723"/>
      <c r="W66" s="723"/>
      <c r="X66" s="723"/>
      <c r="Y66" s="723"/>
      <c r="Z66" s="723"/>
      <c r="AA66" s="723"/>
      <c r="AB66" s="723"/>
      <c r="AC66" s="723"/>
      <c r="AD66" s="723"/>
      <c r="AE66" s="723"/>
      <c r="AF66" s="723"/>
      <c r="AG66" s="723"/>
      <c r="AH66" s="723"/>
      <c r="AI66" s="723"/>
      <c r="AJ66" s="723"/>
      <c r="AK66" s="724"/>
    </row>
    <row r="67" spans="1:37" s="199" customFormat="1" ht="2.25" customHeight="1">
      <c r="B67" s="182"/>
      <c r="C67" s="182"/>
      <c r="D67" s="182"/>
      <c r="E67" s="182"/>
      <c r="F67" s="182"/>
      <c r="G67" s="182"/>
      <c r="H67" s="182"/>
      <c r="I67" s="182"/>
      <c r="J67" s="182"/>
      <c r="K67" s="182"/>
      <c r="L67" s="182"/>
      <c r="M67" s="182"/>
      <c r="N67" s="182"/>
      <c r="O67" s="182"/>
      <c r="P67" s="182"/>
      <c r="Q67" s="182"/>
      <c r="R67" s="182"/>
      <c r="S67" s="182"/>
      <c r="T67" s="182"/>
      <c r="U67" s="182"/>
      <c r="V67" s="182"/>
      <c r="W67" s="182"/>
      <c r="X67" s="182"/>
      <c r="Y67" s="182"/>
      <c r="Z67" s="182"/>
      <c r="AA67" s="182"/>
      <c r="AB67" s="182"/>
      <c r="AC67" s="182"/>
      <c r="AD67" s="182"/>
      <c r="AE67" s="182"/>
      <c r="AF67" s="182"/>
      <c r="AG67" s="182"/>
      <c r="AH67" s="182"/>
      <c r="AI67" s="182"/>
      <c r="AJ67" s="182"/>
      <c r="AK67" s="182"/>
    </row>
    <row r="68" spans="1:37" s="199" customFormat="1" ht="9.6">
      <c r="B68" s="200" t="s">
        <v>162</v>
      </c>
      <c r="C68" s="182"/>
      <c r="D68" s="182"/>
      <c r="E68" s="182"/>
      <c r="F68" s="182"/>
      <c r="G68" s="182"/>
      <c r="H68" s="182"/>
      <c r="I68" s="182"/>
      <c r="J68" s="182"/>
      <c r="K68" s="182"/>
      <c r="L68" s="182"/>
      <c r="M68" s="182"/>
      <c r="N68" s="182"/>
      <c r="O68" s="182"/>
      <c r="P68" s="182"/>
      <c r="Q68" s="182"/>
      <c r="R68" s="182"/>
      <c r="S68" s="182"/>
      <c r="T68" s="182"/>
      <c r="U68" s="182"/>
      <c r="V68" s="182"/>
      <c r="W68" s="182"/>
      <c r="X68" s="182"/>
      <c r="Y68" s="182"/>
      <c r="Z68" s="182"/>
      <c r="AA68" s="182"/>
      <c r="AB68" s="182"/>
      <c r="AC68" s="182"/>
      <c r="AD68" s="182"/>
      <c r="AE68" s="182"/>
      <c r="AF68" s="182"/>
      <c r="AG68" s="182"/>
      <c r="AH68" s="182"/>
      <c r="AI68" s="182"/>
      <c r="AJ68" s="182"/>
      <c r="AK68" s="182"/>
    </row>
    <row r="69" spans="1:37" s="193" customFormat="1" ht="10.5" customHeight="1">
      <c r="B69" s="201" t="s">
        <v>163</v>
      </c>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202"/>
      <c r="AF69" s="202"/>
      <c r="AG69" s="202"/>
      <c r="AH69" s="202"/>
      <c r="AI69" s="202"/>
      <c r="AJ69" s="202"/>
      <c r="AK69" s="214"/>
    </row>
    <row r="70" spans="1:37" s="216" customFormat="1" ht="10.5" customHeight="1">
      <c r="B70" s="679">
        <f>AA_073_CARACTERISTICAS_CREDITO_IMPORTE_NÚMERO_LETRA</f>
        <v>1000000</v>
      </c>
      <c r="C70" s="680"/>
      <c r="D70" s="680"/>
      <c r="E70" s="680"/>
      <c r="F70" s="680"/>
      <c r="G70" s="680"/>
      <c r="H70" s="680"/>
      <c r="I70" s="680"/>
      <c r="J70" s="680"/>
      <c r="K70" s="680"/>
      <c r="L70" s="680"/>
      <c r="M70" s="681" t="str">
        <f>AA_106_CARACTERISTICAS_CREDITO_IMPORTE_NÚMERO_LETRA</f>
        <v>(UN MILLON DE PESOS 00/100 M.N.)</v>
      </c>
      <c r="N70" s="681"/>
      <c r="O70" s="681"/>
      <c r="P70" s="681"/>
      <c r="Q70" s="681"/>
      <c r="R70" s="681"/>
      <c r="S70" s="681"/>
      <c r="T70" s="681"/>
      <c r="U70" s="681"/>
      <c r="V70" s="681"/>
      <c r="W70" s="681"/>
      <c r="X70" s="681"/>
      <c r="Y70" s="681"/>
      <c r="Z70" s="681"/>
      <c r="AA70" s="681"/>
      <c r="AB70" s="681"/>
      <c r="AC70" s="681"/>
      <c r="AD70" s="681"/>
      <c r="AE70" s="681"/>
      <c r="AF70" s="681"/>
      <c r="AG70" s="681"/>
      <c r="AH70" s="681"/>
      <c r="AI70" s="681"/>
      <c r="AJ70" s="681"/>
      <c r="AK70" s="682"/>
    </row>
    <row r="71" spans="1:37" s="193" customFormat="1" ht="10.5" customHeight="1">
      <c r="B71" s="649" t="s">
        <v>164</v>
      </c>
      <c r="C71" s="650"/>
      <c r="D71" s="650"/>
      <c r="E71" s="650"/>
      <c r="F71" s="650"/>
      <c r="G71" s="650"/>
      <c r="H71" s="662"/>
      <c r="I71" s="649" t="s">
        <v>165</v>
      </c>
      <c r="J71" s="650"/>
      <c r="K71" s="650"/>
      <c r="L71" s="650"/>
      <c r="M71" s="650"/>
      <c r="N71" s="650"/>
      <c r="O71" s="650"/>
      <c r="P71" s="662"/>
      <c r="Q71" s="649" t="s">
        <v>166</v>
      </c>
      <c r="R71" s="650"/>
      <c r="S71" s="650"/>
      <c r="T71" s="650"/>
      <c r="U71" s="650"/>
      <c r="V71" s="650"/>
      <c r="W71" s="650"/>
      <c r="X71" s="662"/>
      <c r="Y71" s="649" t="s">
        <v>167</v>
      </c>
      <c r="Z71" s="650"/>
      <c r="AA71" s="650"/>
      <c r="AB71" s="650"/>
      <c r="AC71" s="650"/>
      <c r="AD71" s="650"/>
      <c r="AE71" s="650"/>
      <c r="AF71" s="662"/>
      <c r="AG71" s="819" t="s">
        <v>168</v>
      </c>
      <c r="AH71" s="820"/>
      <c r="AI71" s="820"/>
      <c r="AJ71" s="820"/>
      <c r="AK71" s="821"/>
    </row>
    <row r="72" spans="1:37" s="193" customFormat="1" ht="10.5" customHeight="1">
      <c r="B72" s="217"/>
      <c r="C72" s="195"/>
      <c r="D72" s="195"/>
      <c r="E72" s="195"/>
      <c r="F72" s="195"/>
      <c r="G72" s="188"/>
      <c r="H72" s="218"/>
      <c r="I72" s="663" t="s">
        <v>169</v>
      </c>
      <c r="J72" s="664"/>
      <c r="K72" s="664"/>
      <c r="L72" s="664"/>
      <c r="M72" s="664"/>
      <c r="N72" s="664"/>
      <c r="O72" s="664"/>
      <c r="P72" s="665"/>
      <c r="Q72" s="217"/>
      <c r="R72" s="195"/>
      <c r="S72" s="188"/>
      <c r="T72" s="188"/>
      <c r="U72" s="188"/>
      <c r="V72" s="188"/>
      <c r="W72" s="188"/>
      <c r="X72" s="218"/>
      <c r="Y72" s="387"/>
      <c r="Z72" s="269"/>
      <c r="AA72" s="269"/>
      <c r="AB72" s="269"/>
      <c r="AC72" s="269"/>
      <c r="AD72" s="269"/>
      <c r="AE72" s="388"/>
      <c r="AF72" s="389"/>
      <c r="AG72" s="387"/>
      <c r="AH72" s="269"/>
      <c r="AI72" s="269"/>
      <c r="AJ72" s="269"/>
      <c r="AK72" s="446"/>
    </row>
    <row r="73" spans="1:37" s="193" customFormat="1" ht="10.5" customHeight="1">
      <c r="B73" s="630">
        <f>AA_074_CARACTERISTICAS_CREDITO_PLAZO_DEL_CRÉDITO_MESES</f>
        <v>60</v>
      </c>
      <c r="C73" s="773"/>
      <c r="D73" s="773"/>
      <c r="E73" s="773"/>
      <c r="F73" s="773"/>
      <c r="G73" s="195" t="s">
        <v>170</v>
      </c>
      <c r="H73" s="219"/>
      <c r="I73" s="632">
        <f>AA_075_CARACTERISTICAS_CREDITO_FECHA_DE_VENCIMIENTO</f>
        <v>42614</v>
      </c>
      <c r="J73" s="574"/>
      <c r="K73" s="574"/>
      <c r="L73" s="574"/>
      <c r="M73" s="574"/>
      <c r="N73" s="574"/>
      <c r="O73" s="574"/>
      <c r="P73" s="633"/>
      <c r="Q73" s="634" t="str">
        <f>AA_076_CARACTERISTICAS_CREDITO_CUENTA_DE_CHEQUES</f>
        <v>161-25351-5</v>
      </c>
      <c r="R73" s="574"/>
      <c r="S73" s="574"/>
      <c r="T73" s="574"/>
      <c r="U73" s="574"/>
      <c r="V73" s="574"/>
      <c r="W73" s="574"/>
      <c r="X73" s="633"/>
      <c r="Y73" s="658">
        <f>IF(AA_077_CARACTERISTICAS_CREDITO_COMISIÓN_POR_APERTURA=0,"0",AA_077_CARACTERISTICAS_CREDITO_COMISIÓN_POR_APERTURA)</f>
        <v>0.02</v>
      </c>
      <c r="Z73" s="659"/>
      <c r="AA73" s="659"/>
      <c r="AB73" s="659"/>
      <c r="AC73" s="659"/>
      <c r="AD73" s="659"/>
      <c r="AE73" s="659"/>
      <c r="AF73" s="1061"/>
      <c r="AG73" s="1062">
        <f>AA_078_CARACTERISTICAS_CREDITO_CAT_SIN_IVA</f>
        <v>0.17247098775006298</v>
      </c>
      <c r="AH73" s="1063"/>
      <c r="AI73" s="1063"/>
      <c r="AJ73" s="546" t="s">
        <v>96</v>
      </c>
      <c r="AK73" s="1064"/>
    </row>
    <row r="74" spans="1:37" s="193" customFormat="1" ht="10.5" customHeight="1">
      <c r="B74" s="571" t="s">
        <v>171</v>
      </c>
      <c r="C74" s="572"/>
      <c r="D74" s="572"/>
      <c r="E74" s="572"/>
      <c r="F74" s="572"/>
      <c r="G74" s="572"/>
      <c r="H74" s="572"/>
      <c r="I74" s="676"/>
      <c r="J74" s="571" t="s">
        <v>172</v>
      </c>
      <c r="K74" s="572"/>
      <c r="L74" s="572"/>
      <c r="M74" s="572"/>
      <c r="N74" s="572"/>
      <c r="O74" s="572"/>
      <c r="P74" s="677"/>
      <c r="Q74" s="678" t="s">
        <v>173</v>
      </c>
      <c r="R74" s="572"/>
      <c r="S74" s="572"/>
      <c r="T74" s="572"/>
      <c r="U74" s="572"/>
      <c r="V74" s="572"/>
      <c r="W74" s="572"/>
      <c r="X74" s="572"/>
      <c r="Y74" s="678" t="s">
        <v>174</v>
      </c>
      <c r="Z74" s="572"/>
      <c r="AA74" s="572"/>
      <c r="AB74" s="572"/>
      <c r="AC74" s="572"/>
      <c r="AD74" s="572"/>
      <c r="AE74" s="572"/>
      <c r="AF74" s="572"/>
      <c r="AG74" s="572"/>
      <c r="AH74" s="572"/>
      <c r="AI74" s="572"/>
      <c r="AJ74" s="572"/>
      <c r="AK74" s="676"/>
    </row>
    <row r="75" spans="1:37" s="193" customFormat="1" ht="13.5" customHeight="1">
      <c r="B75" s="779">
        <f>IF(Combos!$C$22=2,"",AA_079_CARACTERISTICAS_CREDITO_PORCENTAJE_DE_INTERÉS_TASA_FIJA)</f>
        <v>0.15</v>
      </c>
      <c r="C75" s="659"/>
      <c r="D75" s="659"/>
      <c r="E75" s="659"/>
      <c r="F75" s="659"/>
      <c r="G75" s="659"/>
      <c r="H75" s="659"/>
      <c r="I75" s="660"/>
      <c r="J75" s="709" t="str">
        <f>IF(Combos!$C$22=1,"",IF(AA_080_CARACTERISTICAS_CREDITO_DIFERENCIAL_TASA_VARIABLE_TIIE=0,"0",AA_080_CARACTERISTICAS_CREDITO_DIFERENCIAL_TASA_VARIABLE_TIIE))</f>
        <v/>
      </c>
      <c r="K75" s="710"/>
      <c r="L75" s="710"/>
      <c r="M75" s="710"/>
      <c r="N75" s="710"/>
      <c r="O75" s="710"/>
      <c r="P75" s="823"/>
      <c r="Q75" s="1058" t="str">
        <f>IF(AA_081_CARACTERISTICAS_CREDITO_MESES_DE_GRACIA_DE_CAPITAL=0,"0",AA_081_CARACTERISTICAS_CREDITO_MESES_DE_GRACIA_DE_CAPITAL)</f>
        <v>0</v>
      </c>
      <c r="R75" s="574"/>
      <c r="S75" s="574"/>
      <c r="T75" s="574"/>
      <c r="U75" s="574"/>
      <c r="V75" s="574"/>
      <c r="W75" s="574"/>
      <c r="X75" s="633"/>
      <c r="Y75" s="661">
        <f>AA_082_CARACTERISTICAS_CREDITO_DÍA_DE_PAGO_DE_CAPITAL_E_INTERESES_ORDINARIOS</f>
        <v>3</v>
      </c>
      <c r="Z75" s="631"/>
      <c r="AA75" s="631"/>
      <c r="AB75" s="631"/>
      <c r="AC75" s="631"/>
      <c r="AD75" s="631"/>
      <c r="AE75" s="631"/>
      <c r="AF75" s="631"/>
      <c r="AG75" s="546" t="s">
        <v>175</v>
      </c>
      <c r="AH75" s="546"/>
      <c r="AI75" s="546"/>
      <c r="AJ75" s="546"/>
      <c r="AK75" s="642"/>
    </row>
    <row r="76" spans="1:37" s="199" customFormat="1" ht="11.25" customHeight="1">
      <c r="B76" s="182"/>
      <c r="C76" s="182"/>
      <c r="D76" s="182"/>
      <c r="E76" s="182"/>
      <c r="F76" s="182"/>
      <c r="G76" s="182"/>
      <c r="H76" s="182"/>
      <c r="I76" s="182"/>
      <c r="J76" s="182"/>
      <c r="K76" s="182"/>
      <c r="L76" s="182"/>
      <c r="M76" s="182"/>
      <c r="N76" s="182"/>
      <c r="O76" s="182"/>
      <c r="P76" s="182"/>
      <c r="Q76" s="182"/>
      <c r="R76" s="182"/>
      <c r="S76" s="182"/>
      <c r="T76" s="182"/>
      <c r="U76" s="182"/>
      <c r="V76" s="182"/>
      <c r="W76" s="182"/>
      <c r="X76" s="182"/>
      <c r="Y76" s="182"/>
      <c r="Z76" s="182"/>
      <c r="AA76" s="182"/>
      <c r="AB76" s="182"/>
      <c r="AI76" s="182"/>
      <c r="AJ76" s="182"/>
      <c r="AK76" s="182"/>
    </row>
    <row r="77" spans="1:37" s="199" customFormat="1" ht="9.6">
      <c r="B77" s="200" t="s">
        <v>177</v>
      </c>
      <c r="C77" s="182"/>
      <c r="D77" s="182"/>
      <c r="E77" s="182"/>
      <c r="F77" s="182"/>
      <c r="G77" s="182"/>
      <c r="H77" s="182"/>
      <c r="I77" s="182"/>
      <c r="J77" s="182"/>
      <c r="K77" s="182"/>
      <c r="L77" s="182"/>
      <c r="M77" s="182"/>
      <c r="N77" s="182"/>
      <c r="O77" s="182"/>
      <c r="P77" s="182"/>
      <c r="Q77" s="182"/>
      <c r="R77" s="182"/>
      <c r="S77" s="182"/>
      <c r="T77" s="182"/>
      <c r="U77" s="182"/>
      <c r="V77" s="182"/>
      <c r="W77" s="182"/>
      <c r="X77" s="182"/>
      <c r="Y77" s="182"/>
      <c r="Z77" s="182"/>
      <c r="AA77" s="182"/>
      <c r="AB77" s="182"/>
      <c r="AC77" s="182"/>
      <c r="AD77" s="182"/>
      <c r="AE77" s="182"/>
      <c r="AF77" s="182"/>
      <c r="AG77" s="182"/>
      <c r="AH77" s="182"/>
      <c r="AI77" s="182"/>
      <c r="AJ77" s="182"/>
      <c r="AK77" s="182"/>
    </row>
    <row r="78" spans="1:37" s="199" customFormat="1" ht="15.75" customHeight="1">
      <c r="B78" s="674" t="s">
        <v>178</v>
      </c>
      <c r="C78" s="675"/>
      <c r="D78" s="675"/>
      <c r="E78" s="675"/>
      <c r="F78" s="675"/>
      <c r="G78" s="675"/>
      <c r="H78" s="675"/>
      <c r="I78" s="675"/>
      <c r="J78" s="675"/>
      <c r="K78" s="675"/>
      <c r="L78" s="675"/>
      <c r="M78" s="675"/>
      <c r="N78" s="675"/>
      <c r="O78" s="675"/>
      <c r="P78" s="675"/>
      <c r="Q78" s="675"/>
      <c r="R78" s="675"/>
      <c r="S78" s="675"/>
      <c r="T78" s="675"/>
      <c r="U78" s="675"/>
      <c r="V78" s="675"/>
      <c r="W78" s="675"/>
      <c r="X78" s="675"/>
      <c r="Y78" s="675"/>
      <c r="Z78" s="675"/>
      <c r="AA78" s="675"/>
      <c r="AB78" s="675"/>
      <c r="AC78" s="675"/>
      <c r="AD78" s="675"/>
      <c r="AE78" s="675"/>
      <c r="AF78" s="675"/>
      <c r="AG78" s="675"/>
      <c r="AH78" s="675"/>
      <c r="AI78" s="675"/>
      <c r="AJ78" s="675"/>
      <c r="AK78" s="675"/>
    </row>
    <row r="79" spans="1:37" s="199" customFormat="1" ht="9.6">
      <c r="B79" s="675"/>
      <c r="C79" s="675"/>
      <c r="D79" s="675"/>
      <c r="E79" s="675"/>
      <c r="F79" s="675"/>
      <c r="G79" s="675"/>
      <c r="H79" s="675"/>
      <c r="I79" s="675"/>
      <c r="J79" s="675"/>
      <c r="K79" s="675"/>
      <c r="L79" s="675"/>
      <c r="M79" s="675"/>
      <c r="N79" s="675"/>
      <c r="O79" s="675"/>
      <c r="P79" s="675"/>
      <c r="Q79" s="675"/>
      <c r="R79" s="675"/>
      <c r="S79" s="675"/>
      <c r="T79" s="675"/>
      <c r="U79" s="675"/>
      <c r="V79" s="675"/>
      <c r="W79" s="675"/>
      <c r="X79" s="675"/>
      <c r="Y79" s="675"/>
      <c r="Z79" s="675"/>
      <c r="AA79" s="675"/>
      <c r="AB79" s="675"/>
      <c r="AC79" s="675"/>
      <c r="AD79" s="675"/>
      <c r="AE79" s="675"/>
      <c r="AF79" s="675"/>
      <c r="AG79" s="675"/>
      <c r="AH79" s="675"/>
      <c r="AI79" s="675"/>
      <c r="AJ79" s="675"/>
      <c r="AK79" s="675"/>
    </row>
    <row r="80" spans="1:37" s="193" customFormat="1" ht="10.5" customHeight="1">
      <c r="B80" s="649" t="s">
        <v>179</v>
      </c>
      <c r="C80" s="650"/>
      <c r="D80" s="650"/>
      <c r="E80" s="650"/>
      <c r="F80" s="650"/>
      <c r="G80" s="650"/>
      <c r="H80" s="650"/>
      <c r="I80" s="650"/>
      <c r="J80" s="650"/>
      <c r="K80" s="650"/>
      <c r="L80" s="650"/>
      <c r="M80" s="650"/>
      <c r="N80" s="650"/>
      <c r="O80" s="662"/>
      <c r="P80" s="570" t="s">
        <v>180</v>
      </c>
      <c r="Q80" s="563"/>
      <c r="R80" s="563"/>
      <c r="S80" s="563"/>
      <c r="T80" s="564"/>
      <c r="U80" s="570" t="s">
        <v>180</v>
      </c>
      <c r="V80" s="563"/>
      <c r="W80" s="563"/>
      <c r="X80" s="563"/>
      <c r="Y80" s="564"/>
      <c r="Z80" s="570" t="s">
        <v>181</v>
      </c>
      <c r="AA80" s="563"/>
      <c r="AB80" s="563"/>
      <c r="AC80" s="564"/>
      <c r="AD80" s="563" t="s">
        <v>181</v>
      </c>
      <c r="AE80" s="563"/>
      <c r="AF80" s="563"/>
      <c r="AG80" s="564"/>
      <c r="AH80" s="563" t="s">
        <v>181</v>
      </c>
      <c r="AI80" s="563"/>
      <c r="AJ80" s="563"/>
      <c r="AK80" s="564"/>
    </row>
    <row r="81" spans="2:37" s="193" customFormat="1" ht="12.75" customHeight="1">
      <c r="B81" s="649">
        <f>AA_089_DATOS_APODERADOS_BANCO_NOMBRE_APODERADO_DEL_BANCO_UNO</f>
        <v>0</v>
      </c>
      <c r="C81" s="650"/>
      <c r="D81" s="650"/>
      <c r="E81" s="650"/>
      <c r="F81" s="650"/>
      <c r="G81" s="650"/>
      <c r="H81" s="650"/>
      <c r="I81" s="650"/>
      <c r="J81" s="650"/>
      <c r="K81" s="650"/>
      <c r="L81" s="650"/>
      <c r="M81" s="650"/>
      <c r="N81" s="650"/>
      <c r="O81" s="662"/>
      <c r="P81" s="225"/>
      <c r="Q81" s="209"/>
      <c r="R81" s="209"/>
      <c r="S81" s="209"/>
      <c r="T81" s="222"/>
      <c r="U81" s="225"/>
      <c r="V81" s="209"/>
      <c r="W81" s="209"/>
      <c r="X81" s="209"/>
      <c r="Y81" s="222"/>
      <c r="Z81" s="226"/>
      <c r="AA81" s="188"/>
      <c r="AB81" s="188"/>
      <c r="AC81" s="218"/>
      <c r="AD81" s="188"/>
      <c r="AE81" s="188"/>
      <c r="AF81" s="188"/>
      <c r="AG81" s="218"/>
      <c r="AH81" s="188"/>
      <c r="AI81" s="188"/>
      <c r="AJ81" s="188"/>
      <c r="AK81" s="218"/>
    </row>
    <row r="82" spans="2:37" s="193" customFormat="1" ht="12.75" customHeight="1">
      <c r="B82" s="1058"/>
      <c r="C82" s="574"/>
      <c r="D82" s="574"/>
      <c r="E82" s="574"/>
      <c r="F82" s="574"/>
      <c r="G82" s="574"/>
      <c r="H82" s="574"/>
      <c r="I82" s="574"/>
      <c r="J82" s="574"/>
      <c r="K82" s="574"/>
      <c r="L82" s="574"/>
      <c r="M82" s="574"/>
      <c r="N82" s="574"/>
      <c r="O82" s="633"/>
      <c r="P82" s="226"/>
      <c r="Q82" s="188"/>
      <c r="R82" s="188"/>
      <c r="S82" s="188"/>
      <c r="T82" s="218"/>
      <c r="U82" s="226"/>
      <c r="V82" s="188"/>
      <c r="W82" s="188"/>
      <c r="X82" s="188"/>
      <c r="Y82" s="218"/>
      <c r="Z82" s="226"/>
      <c r="AA82" s="188"/>
      <c r="AB82" s="188"/>
      <c r="AC82" s="218"/>
      <c r="AD82" s="188"/>
      <c r="AE82" s="188"/>
      <c r="AF82" s="188"/>
      <c r="AG82" s="218"/>
      <c r="AH82" s="188"/>
      <c r="AI82" s="188"/>
      <c r="AJ82" s="188"/>
      <c r="AK82" s="218"/>
    </row>
    <row r="83" spans="2:37" s="193" customFormat="1" ht="12.75" customHeight="1">
      <c r="B83" s="663">
        <f>AA_090_DATOS_APODERADOS_BANCO_NOMBRE_APODERADO_DEL_BANCO_DOS</f>
        <v>0</v>
      </c>
      <c r="C83" s="664"/>
      <c r="D83" s="664"/>
      <c r="E83" s="664"/>
      <c r="F83" s="664"/>
      <c r="G83" s="664"/>
      <c r="H83" s="664"/>
      <c r="I83" s="664"/>
      <c r="J83" s="664"/>
      <c r="K83" s="664"/>
      <c r="L83" s="664"/>
      <c r="M83" s="664"/>
      <c r="N83" s="664"/>
      <c r="O83" s="665"/>
      <c r="P83" s="226"/>
      <c r="Q83" s="188"/>
      <c r="R83" s="188"/>
      <c r="S83" s="188"/>
      <c r="T83" s="218"/>
      <c r="U83" s="226"/>
      <c r="V83" s="188"/>
      <c r="W83" s="188"/>
      <c r="X83" s="188"/>
      <c r="Y83" s="218"/>
      <c r="Z83" s="226"/>
      <c r="AA83" s="188"/>
      <c r="AB83" s="188"/>
      <c r="AC83" s="218"/>
      <c r="AD83" s="188"/>
      <c r="AE83" s="188"/>
      <c r="AF83" s="188"/>
      <c r="AG83" s="218"/>
      <c r="AH83" s="188"/>
      <c r="AI83" s="188"/>
      <c r="AJ83" s="188"/>
      <c r="AK83" s="218"/>
    </row>
    <row r="84" spans="2:37" s="193" customFormat="1" ht="12.75" customHeight="1">
      <c r="B84" s="640"/>
      <c r="C84" s="627"/>
      <c r="D84" s="627"/>
      <c r="E84" s="627"/>
      <c r="F84" s="627"/>
      <c r="G84" s="627"/>
      <c r="H84" s="627"/>
      <c r="I84" s="627"/>
      <c r="J84" s="627"/>
      <c r="K84" s="627"/>
      <c r="L84" s="627"/>
      <c r="M84" s="627"/>
      <c r="N84" s="627"/>
      <c r="O84" s="641"/>
      <c r="P84" s="227"/>
      <c r="Q84" s="213"/>
      <c r="R84" s="213"/>
      <c r="S84" s="213"/>
      <c r="T84" s="224"/>
      <c r="U84" s="227"/>
      <c r="V84" s="213"/>
      <c r="W84" s="213"/>
      <c r="X84" s="213"/>
      <c r="Y84" s="224"/>
      <c r="Z84" s="227"/>
      <c r="AA84" s="213"/>
      <c r="AB84" s="213"/>
      <c r="AC84" s="224"/>
      <c r="AD84" s="213"/>
      <c r="AE84" s="213"/>
      <c r="AF84" s="213"/>
      <c r="AG84" s="224"/>
      <c r="AH84" s="213"/>
      <c r="AI84" s="213"/>
      <c r="AJ84" s="213"/>
      <c r="AK84" s="224"/>
    </row>
    <row r="85" spans="2:37" s="187" customFormat="1" ht="7.8">
      <c r="B85" s="256"/>
      <c r="C85" s="256"/>
      <c r="D85" s="256"/>
      <c r="E85" s="256"/>
      <c r="F85" s="256"/>
      <c r="G85" s="256"/>
      <c r="H85" s="256"/>
      <c r="I85" s="256"/>
      <c r="J85" s="256"/>
      <c r="K85" s="256"/>
      <c r="L85" s="256"/>
      <c r="M85" s="256"/>
      <c r="N85" s="256"/>
      <c r="O85" s="256"/>
      <c r="P85" s="256"/>
      <c r="Q85" s="256"/>
      <c r="R85" s="256"/>
      <c r="S85" s="256"/>
      <c r="T85" s="256"/>
      <c r="U85" s="256"/>
      <c r="V85" s="256"/>
      <c r="W85" s="256"/>
      <c r="X85" s="256"/>
      <c r="Y85" s="256"/>
      <c r="Z85" s="256"/>
      <c r="AA85" s="256"/>
      <c r="AB85" s="256"/>
      <c r="AC85" s="256"/>
      <c r="AD85" s="256"/>
      <c r="AE85" s="256"/>
      <c r="AF85" s="256"/>
      <c r="AG85" s="256"/>
      <c r="AH85" s="256"/>
      <c r="AI85" s="256"/>
      <c r="AJ85" s="256"/>
      <c r="AK85" s="256"/>
    </row>
    <row r="86" spans="2:37" s="187" customFormat="1" ht="7.8">
      <c r="B86" s="228"/>
      <c r="C86" s="228"/>
      <c r="D86" s="228"/>
      <c r="E86" s="228"/>
      <c r="F86" s="228"/>
      <c r="G86" s="228"/>
      <c r="H86" s="228"/>
      <c r="I86" s="228"/>
      <c r="J86" s="228"/>
      <c r="K86" s="228"/>
      <c r="L86" s="228"/>
      <c r="M86" s="228"/>
      <c r="N86" s="228"/>
      <c r="O86" s="228"/>
      <c r="P86" s="228"/>
      <c r="Q86" s="228"/>
      <c r="R86" s="228"/>
      <c r="S86" s="228"/>
      <c r="T86" s="228"/>
      <c r="U86" s="228"/>
      <c r="V86" s="228"/>
      <c r="W86" s="228"/>
      <c r="X86" s="228"/>
      <c r="Y86" s="228"/>
      <c r="Z86" s="228"/>
      <c r="AA86" s="228"/>
      <c r="AB86" s="228"/>
      <c r="AC86" s="228"/>
      <c r="AD86" s="228"/>
      <c r="AE86" s="228"/>
      <c r="AF86" s="228"/>
      <c r="AG86" s="228"/>
      <c r="AH86" s="228"/>
      <c r="AI86" s="228"/>
      <c r="AJ86" s="228"/>
      <c r="AK86" s="228"/>
    </row>
    <row r="87" spans="2:37" s="187" customFormat="1" ht="2.25" customHeight="1">
      <c r="B87" s="228"/>
      <c r="C87" s="228"/>
      <c r="D87" s="228"/>
      <c r="E87" s="228"/>
      <c r="F87" s="228"/>
      <c r="G87" s="228"/>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228"/>
    </row>
    <row r="88" spans="2:37" s="187" customFormat="1" ht="10.199999999999999">
      <c r="B88" s="229" t="s">
        <v>182</v>
      </c>
      <c r="C88" s="228"/>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28"/>
      <c r="AC88" s="228"/>
      <c r="AD88" s="228"/>
      <c r="AE88" s="228"/>
      <c r="AF88" s="228"/>
      <c r="AG88" s="228" t="s">
        <v>183</v>
      </c>
      <c r="AI88" s="228"/>
      <c r="AJ88" s="228"/>
      <c r="AK88" s="228"/>
    </row>
    <row r="89" spans="2:37" s="187" customFormat="1" ht="2.25" customHeight="1"/>
    <row r="90" spans="2:37" s="187" customFormat="1" ht="7.8"/>
    <row r="91" spans="2:37" s="187" customFormat="1" ht="7.8"/>
    <row r="92" spans="2:37" ht="60" customHeight="1">
      <c r="B92" s="566" t="s">
        <v>184</v>
      </c>
      <c r="C92" s="566"/>
      <c r="D92" s="566"/>
      <c r="E92" s="566"/>
      <c r="F92" s="566"/>
      <c r="G92" s="566"/>
      <c r="H92" s="566"/>
      <c r="I92" s="566"/>
      <c r="J92" s="566"/>
      <c r="K92" s="566"/>
      <c r="L92" s="566"/>
      <c r="M92" s="566"/>
      <c r="N92" s="566"/>
      <c r="O92" s="566"/>
      <c r="P92" s="566"/>
      <c r="Q92" s="566"/>
      <c r="R92" s="566"/>
      <c r="S92" s="566"/>
      <c r="T92" s="566"/>
      <c r="U92" s="566"/>
      <c r="V92" s="566"/>
      <c r="W92" s="566"/>
      <c r="X92" s="566"/>
      <c r="Y92" s="566"/>
      <c r="Z92" s="566"/>
      <c r="AA92" s="566"/>
      <c r="AB92" s="566"/>
      <c r="AC92" s="566"/>
      <c r="AD92" s="566"/>
      <c r="AE92" s="566"/>
      <c r="AF92" s="566"/>
      <c r="AG92" s="566"/>
      <c r="AH92" s="566"/>
      <c r="AI92" s="566"/>
      <c r="AJ92" s="566"/>
      <c r="AK92" s="566"/>
    </row>
    <row r="93" spans="2:37" ht="13.2">
      <c r="B93" s="281"/>
      <c r="C93" s="240"/>
      <c r="D93" s="238"/>
      <c r="E93" s="238"/>
      <c r="F93" s="238"/>
      <c r="G93" s="238"/>
      <c r="H93" s="238"/>
      <c r="I93" s="238"/>
      <c r="J93" s="238"/>
      <c r="K93" s="238"/>
      <c r="L93" s="238"/>
      <c r="M93" s="238"/>
      <c r="N93" s="238"/>
      <c r="O93" s="238"/>
      <c r="P93" s="238"/>
      <c r="Q93" s="238"/>
      <c r="R93" s="238"/>
      <c r="S93" s="238"/>
      <c r="T93" s="238"/>
      <c r="U93" s="238"/>
      <c r="V93" s="238"/>
      <c r="W93" s="238"/>
      <c r="X93" s="238"/>
      <c r="Y93" s="238"/>
      <c r="Z93" s="238"/>
      <c r="AA93" s="238"/>
      <c r="AB93" s="238"/>
      <c r="AC93" s="238"/>
      <c r="AD93" s="238"/>
      <c r="AE93" s="238"/>
      <c r="AF93" s="238"/>
      <c r="AG93" s="238"/>
      <c r="AH93" s="238"/>
      <c r="AI93" s="238"/>
      <c r="AJ93" s="238"/>
      <c r="AK93" s="238"/>
    </row>
    <row r="94" spans="2:37" ht="13.2">
      <c r="B94" s="802" t="s">
        <v>185</v>
      </c>
      <c r="C94" s="802"/>
      <c r="D94" s="802"/>
      <c r="E94" s="802"/>
      <c r="F94" s="802"/>
      <c r="G94" s="802"/>
      <c r="H94" s="802"/>
      <c r="I94" s="802"/>
      <c r="J94" s="802"/>
      <c r="K94" s="802"/>
      <c r="L94" s="802"/>
      <c r="M94" s="802"/>
      <c r="N94" s="802"/>
      <c r="O94" s="802"/>
      <c r="P94" s="802"/>
      <c r="Q94" s="802"/>
      <c r="R94" s="802"/>
      <c r="S94" s="802"/>
      <c r="T94" s="802"/>
      <c r="U94" s="802"/>
      <c r="V94" s="802"/>
      <c r="W94" s="802"/>
      <c r="X94" s="802"/>
      <c r="Y94" s="802"/>
      <c r="Z94" s="802"/>
      <c r="AA94" s="802"/>
      <c r="AB94" s="802"/>
      <c r="AC94" s="802"/>
      <c r="AD94" s="802"/>
      <c r="AE94" s="802"/>
      <c r="AF94" s="802"/>
      <c r="AG94" s="802"/>
      <c r="AH94" s="802"/>
      <c r="AI94" s="802"/>
      <c r="AJ94" s="802"/>
      <c r="AK94" s="802"/>
    </row>
    <row r="95" spans="2:37" ht="13.2">
      <c r="B95" s="281"/>
      <c r="C95" s="240"/>
      <c r="D95" s="238"/>
      <c r="E95" s="238"/>
      <c r="F95" s="238"/>
      <c r="G95" s="238"/>
      <c r="H95" s="238"/>
      <c r="I95" s="238"/>
      <c r="J95" s="238"/>
      <c r="K95" s="238"/>
      <c r="L95" s="238"/>
      <c r="M95" s="238"/>
      <c r="N95" s="238"/>
      <c r="O95" s="238"/>
      <c r="P95" s="238"/>
      <c r="Q95" s="238"/>
      <c r="R95" s="238"/>
      <c r="S95" s="238"/>
      <c r="T95" s="238"/>
      <c r="U95" s="238"/>
      <c r="V95" s="238"/>
      <c r="W95" s="238"/>
      <c r="X95" s="238"/>
      <c r="Y95" s="238"/>
      <c r="Z95" s="238"/>
      <c r="AA95" s="238"/>
      <c r="AB95" s="238"/>
      <c r="AC95" s="238"/>
      <c r="AD95" s="238"/>
      <c r="AE95" s="238"/>
      <c r="AF95" s="238"/>
      <c r="AG95" s="238"/>
      <c r="AH95" s="238"/>
      <c r="AI95" s="238"/>
      <c r="AJ95" s="238"/>
      <c r="AK95" s="238"/>
    </row>
    <row r="96" spans="2:37" ht="11.25" customHeight="1">
      <c r="B96" s="562" t="s">
        <v>357</v>
      </c>
      <c r="C96" s="562"/>
      <c r="D96" s="562"/>
      <c r="E96" s="562"/>
      <c r="F96" s="562"/>
      <c r="G96" s="562"/>
      <c r="H96" s="562"/>
      <c r="I96" s="562"/>
      <c r="J96" s="562"/>
      <c r="K96" s="562"/>
      <c r="L96" s="562"/>
      <c r="M96" s="562"/>
      <c r="N96" s="562"/>
      <c r="O96" s="562"/>
      <c r="P96" s="562"/>
      <c r="Q96" s="562"/>
      <c r="R96" s="562"/>
      <c r="S96" s="562"/>
      <c r="T96" s="562"/>
      <c r="U96" s="562"/>
      <c r="V96" s="562"/>
      <c r="W96" s="562"/>
      <c r="X96" s="562"/>
      <c r="Y96" s="562"/>
      <c r="Z96" s="562"/>
      <c r="AA96" s="562"/>
      <c r="AB96" s="562"/>
      <c r="AC96" s="562"/>
      <c r="AD96" s="562"/>
      <c r="AE96" s="562"/>
      <c r="AF96" s="562"/>
      <c r="AG96" s="562"/>
      <c r="AH96" s="562"/>
      <c r="AI96" s="562"/>
      <c r="AJ96" s="562"/>
      <c r="AK96" s="562"/>
    </row>
    <row r="97" spans="2:37" ht="13.2">
      <c r="B97" s="390"/>
      <c r="C97" s="240"/>
      <c r="D97" s="238"/>
      <c r="E97" s="238"/>
      <c r="F97" s="238"/>
      <c r="G97" s="238"/>
      <c r="H97" s="238"/>
      <c r="I97" s="238"/>
      <c r="J97" s="238"/>
      <c r="K97" s="238"/>
      <c r="L97" s="238"/>
      <c r="M97" s="238"/>
      <c r="N97" s="238"/>
      <c r="O97" s="238"/>
      <c r="P97" s="238"/>
      <c r="Q97" s="238"/>
      <c r="R97" s="238"/>
      <c r="S97" s="238"/>
      <c r="T97" s="238"/>
      <c r="U97" s="238"/>
      <c r="V97" s="238"/>
      <c r="W97" s="238"/>
      <c r="X97" s="238"/>
      <c r="Y97" s="238"/>
      <c r="Z97" s="238"/>
      <c r="AA97" s="238"/>
      <c r="AB97" s="238"/>
      <c r="AC97" s="238"/>
      <c r="AD97" s="238"/>
      <c r="AE97" s="238"/>
      <c r="AF97" s="238"/>
      <c r="AG97" s="238"/>
      <c r="AH97" s="238"/>
      <c r="AI97" s="238"/>
      <c r="AJ97" s="238"/>
      <c r="AK97" s="238"/>
    </row>
    <row r="98" spans="2:37" ht="78.75" customHeight="1">
      <c r="B98" s="562" t="s">
        <v>299</v>
      </c>
      <c r="C98" s="562"/>
      <c r="D98" s="562"/>
      <c r="E98" s="562"/>
      <c r="F98" s="562"/>
      <c r="G98" s="562"/>
      <c r="H98" s="562"/>
      <c r="I98" s="562"/>
      <c r="J98" s="562"/>
      <c r="K98" s="562"/>
      <c r="L98" s="562"/>
      <c r="M98" s="562"/>
      <c r="N98" s="562"/>
      <c r="O98" s="562"/>
      <c r="P98" s="562"/>
      <c r="Q98" s="562"/>
      <c r="R98" s="562"/>
      <c r="S98" s="562"/>
      <c r="T98" s="562"/>
      <c r="U98" s="562"/>
      <c r="V98" s="562"/>
      <c r="W98" s="562"/>
      <c r="X98" s="562"/>
      <c r="Y98" s="562"/>
      <c r="Z98" s="562"/>
      <c r="AA98" s="562"/>
      <c r="AB98" s="562"/>
      <c r="AC98" s="562"/>
      <c r="AD98" s="562"/>
      <c r="AE98" s="562"/>
      <c r="AF98" s="562"/>
      <c r="AG98" s="562"/>
      <c r="AH98" s="562"/>
      <c r="AI98" s="562"/>
      <c r="AJ98" s="562"/>
      <c r="AK98" s="562"/>
    </row>
    <row r="99" spans="2:37" ht="33.75" customHeight="1">
      <c r="B99" s="562" t="s">
        <v>188</v>
      </c>
      <c r="C99" s="562"/>
      <c r="D99" s="562"/>
      <c r="E99" s="562"/>
      <c r="F99" s="562"/>
      <c r="G99" s="562"/>
      <c r="H99" s="562"/>
      <c r="I99" s="562"/>
      <c r="J99" s="562"/>
      <c r="K99" s="562"/>
      <c r="L99" s="562"/>
      <c r="M99" s="562"/>
      <c r="N99" s="562"/>
      <c r="O99" s="562"/>
      <c r="P99" s="562"/>
      <c r="Q99" s="562"/>
      <c r="R99" s="562"/>
      <c r="S99" s="562"/>
      <c r="T99" s="562"/>
      <c r="U99" s="562"/>
      <c r="V99" s="562"/>
      <c r="W99" s="562"/>
      <c r="X99" s="562"/>
      <c r="Y99" s="562"/>
      <c r="Z99" s="562"/>
      <c r="AA99" s="562"/>
      <c r="AB99" s="562"/>
      <c r="AC99" s="562"/>
      <c r="AD99" s="562"/>
      <c r="AE99" s="562"/>
      <c r="AF99" s="562"/>
      <c r="AG99" s="562"/>
      <c r="AH99" s="562"/>
      <c r="AI99" s="562"/>
      <c r="AJ99" s="562"/>
      <c r="AK99" s="562"/>
    </row>
    <row r="100" spans="2:37" ht="33.75" customHeight="1">
      <c r="B100" s="562" t="s">
        <v>189</v>
      </c>
      <c r="C100" s="562"/>
      <c r="D100" s="562"/>
      <c r="E100" s="562"/>
      <c r="F100" s="562"/>
      <c r="G100" s="562"/>
      <c r="H100" s="562"/>
      <c r="I100" s="562"/>
      <c r="J100" s="562"/>
      <c r="K100" s="562"/>
      <c r="L100" s="562"/>
      <c r="M100" s="562"/>
      <c r="N100" s="562"/>
      <c r="O100" s="562"/>
      <c r="P100" s="562"/>
      <c r="Q100" s="562"/>
      <c r="R100" s="562"/>
      <c r="S100" s="562"/>
      <c r="T100" s="562"/>
      <c r="U100" s="562"/>
      <c r="V100" s="562"/>
      <c r="W100" s="562"/>
      <c r="X100" s="562"/>
      <c r="Y100" s="562"/>
      <c r="Z100" s="562"/>
      <c r="AA100" s="562"/>
      <c r="AB100" s="562"/>
      <c r="AC100" s="562"/>
      <c r="AD100" s="562"/>
      <c r="AE100" s="562"/>
      <c r="AF100" s="562"/>
      <c r="AG100" s="562"/>
      <c r="AH100" s="562"/>
      <c r="AI100" s="562"/>
      <c r="AJ100" s="562"/>
      <c r="AK100" s="562"/>
    </row>
    <row r="101" spans="2:37" ht="22.5" customHeight="1">
      <c r="B101" s="562" t="s">
        <v>190</v>
      </c>
      <c r="C101" s="562"/>
      <c r="D101" s="562"/>
      <c r="E101" s="562"/>
      <c r="F101" s="562"/>
      <c r="G101" s="562"/>
      <c r="H101" s="562"/>
      <c r="I101" s="562"/>
      <c r="J101" s="562"/>
      <c r="K101" s="562"/>
      <c r="L101" s="562"/>
      <c r="M101" s="562"/>
      <c r="N101" s="562"/>
      <c r="O101" s="562"/>
      <c r="P101" s="562"/>
      <c r="Q101" s="562"/>
      <c r="R101" s="562"/>
      <c r="S101" s="562"/>
      <c r="T101" s="562"/>
      <c r="U101" s="562"/>
      <c r="V101" s="562"/>
      <c r="W101" s="562"/>
      <c r="X101" s="562"/>
      <c r="Y101" s="562"/>
      <c r="Z101" s="562"/>
      <c r="AA101" s="562"/>
      <c r="AB101" s="562"/>
      <c r="AC101" s="562"/>
      <c r="AD101" s="562"/>
      <c r="AE101" s="562"/>
      <c r="AF101" s="562"/>
      <c r="AG101" s="562"/>
      <c r="AH101" s="562"/>
      <c r="AI101" s="562"/>
      <c r="AJ101" s="562"/>
      <c r="AK101" s="562"/>
    </row>
    <row r="102" spans="2:37" ht="33.75" customHeight="1">
      <c r="B102" s="562" t="s">
        <v>191</v>
      </c>
      <c r="C102" s="562"/>
      <c r="D102" s="562"/>
      <c r="E102" s="562"/>
      <c r="F102" s="562"/>
      <c r="G102" s="562"/>
      <c r="H102" s="562"/>
      <c r="I102" s="562"/>
      <c r="J102" s="562"/>
      <c r="K102" s="562"/>
      <c r="L102" s="562"/>
      <c r="M102" s="562"/>
      <c r="N102" s="562"/>
      <c r="O102" s="562"/>
      <c r="P102" s="562"/>
      <c r="Q102" s="562"/>
      <c r="R102" s="562"/>
      <c r="S102" s="562"/>
      <c r="T102" s="562"/>
      <c r="U102" s="562"/>
      <c r="V102" s="562"/>
      <c r="W102" s="562"/>
      <c r="X102" s="562"/>
      <c r="Y102" s="562"/>
      <c r="Z102" s="562"/>
      <c r="AA102" s="562"/>
      <c r="AB102" s="562"/>
      <c r="AC102" s="562"/>
      <c r="AD102" s="562"/>
      <c r="AE102" s="562"/>
      <c r="AF102" s="562"/>
      <c r="AG102" s="562"/>
      <c r="AH102" s="562"/>
      <c r="AI102" s="562"/>
      <c r="AJ102" s="562"/>
      <c r="AK102" s="562"/>
    </row>
    <row r="103" spans="2:37" ht="56.25" customHeight="1">
      <c r="B103" s="562" t="s">
        <v>440</v>
      </c>
      <c r="C103" s="562"/>
      <c r="D103" s="562"/>
      <c r="E103" s="562"/>
      <c r="F103" s="562"/>
      <c r="G103" s="562"/>
      <c r="H103" s="562"/>
      <c r="I103" s="562"/>
      <c r="J103" s="562"/>
      <c r="K103" s="562"/>
      <c r="L103" s="562"/>
      <c r="M103" s="562"/>
      <c r="N103" s="562"/>
      <c r="O103" s="562"/>
      <c r="P103" s="562"/>
      <c r="Q103" s="562"/>
      <c r="R103" s="562"/>
      <c r="S103" s="562"/>
      <c r="T103" s="562"/>
      <c r="U103" s="562"/>
      <c r="V103" s="562"/>
      <c r="W103" s="562"/>
      <c r="X103" s="562"/>
      <c r="Y103" s="562"/>
      <c r="Z103" s="562"/>
      <c r="AA103" s="562"/>
      <c r="AB103" s="562"/>
      <c r="AC103" s="562"/>
      <c r="AD103" s="562"/>
      <c r="AE103" s="562"/>
      <c r="AF103" s="562"/>
      <c r="AG103" s="562"/>
      <c r="AH103" s="562"/>
      <c r="AI103" s="562"/>
      <c r="AJ103" s="562"/>
      <c r="AK103" s="562"/>
    </row>
    <row r="104" spans="2:37" ht="22.5" customHeight="1">
      <c r="B104" s="562" t="s">
        <v>441</v>
      </c>
      <c r="C104" s="562"/>
      <c r="D104" s="562"/>
      <c r="E104" s="562"/>
      <c r="F104" s="562"/>
      <c r="G104" s="562"/>
      <c r="H104" s="562"/>
      <c r="I104" s="562"/>
      <c r="J104" s="562"/>
      <c r="K104" s="562"/>
      <c r="L104" s="562"/>
      <c r="M104" s="562"/>
      <c r="N104" s="562"/>
      <c r="O104" s="562"/>
      <c r="P104" s="562"/>
      <c r="Q104" s="562"/>
      <c r="R104" s="562"/>
      <c r="S104" s="562"/>
      <c r="T104" s="562"/>
      <c r="U104" s="562"/>
      <c r="V104" s="562"/>
      <c r="W104" s="562"/>
      <c r="X104" s="562"/>
      <c r="Y104" s="562"/>
      <c r="Z104" s="562"/>
      <c r="AA104" s="562"/>
      <c r="AB104" s="562"/>
      <c r="AC104" s="562"/>
      <c r="AD104" s="562"/>
      <c r="AE104" s="562"/>
      <c r="AF104" s="562"/>
      <c r="AG104" s="562"/>
      <c r="AH104" s="562"/>
      <c r="AI104" s="562"/>
      <c r="AJ104" s="562"/>
      <c r="AK104" s="562"/>
    </row>
    <row r="105" spans="2:37" ht="45" customHeight="1">
      <c r="B105" s="562" t="s">
        <v>442</v>
      </c>
      <c r="C105" s="562"/>
      <c r="D105" s="562"/>
      <c r="E105" s="562"/>
      <c r="F105" s="562"/>
      <c r="G105" s="562"/>
      <c r="H105" s="562"/>
      <c r="I105" s="562"/>
      <c r="J105" s="562"/>
      <c r="K105" s="562"/>
      <c r="L105" s="562"/>
      <c r="M105" s="562"/>
      <c r="N105" s="562"/>
      <c r="O105" s="562"/>
      <c r="P105" s="562"/>
      <c r="Q105" s="562"/>
      <c r="R105" s="562"/>
      <c r="S105" s="562"/>
      <c r="T105" s="562"/>
      <c r="U105" s="562"/>
      <c r="V105" s="562"/>
      <c r="W105" s="562"/>
      <c r="X105" s="562"/>
      <c r="Y105" s="562"/>
      <c r="Z105" s="562"/>
      <c r="AA105" s="562"/>
      <c r="AB105" s="562"/>
      <c r="AC105" s="562"/>
      <c r="AD105" s="562"/>
      <c r="AE105" s="562"/>
      <c r="AF105" s="562"/>
      <c r="AG105" s="562"/>
      <c r="AH105" s="562"/>
      <c r="AI105" s="562"/>
      <c r="AJ105" s="562"/>
      <c r="AK105" s="562"/>
    </row>
    <row r="106" spans="2:37" ht="33.75" customHeight="1">
      <c r="B106" s="562" t="s">
        <v>443</v>
      </c>
      <c r="C106" s="562"/>
      <c r="D106" s="562"/>
      <c r="E106" s="562"/>
      <c r="F106" s="562"/>
      <c r="G106" s="562"/>
      <c r="H106" s="562"/>
      <c r="I106" s="562"/>
      <c r="J106" s="562"/>
      <c r="K106" s="562"/>
      <c r="L106" s="562"/>
      <c r="M106" s="562"/>
      <c r="N106" s="562"/>
      <c r="O106" s="562"/>
      <c r="P106" s="562"/>
      <c r="Q106" s="562"/>
      <c r="R106" s="562"/>
      <c r="S106" s="562"/>
      <c r="T106" s="562"/>
      <c r="U106" s="562"/>
      <c r="V106" s="562"/>
      <c r="W106" s="562"/>
      <c r="X106" s="562"/>
      <c r="Y106" s="562"/>
      <c r="Z106" s="562"/>
      <c r="AA106" s="562"/>
      <c r="AB106" s="562"/>
      <c r="AC106" s="562"/>
      <c r="AD106" s="562"/>
      <c r="AE106" s="562"/>
      <c r="AF106" s="562"/>
      <c r="AG106" s="562"/>
      <c r="AH106" s="562"/>
      <c r="AI106" s="562"/>
      <c r="AJ106" s="562"/>
      <c r="AK106" s="562"/>
    </row>
    <row r="107" spans="2:37" ht="13.2">
      <c r="B107" s="232"/>
      <c r="C107" s="232"/>
      <c r="D107" s="232"/>
      <c r="E107" s="232"/>
      <c r="F107" s="232"/>
      <c r="G107" s="232"/>
      <c r="H107" s="232"/>
      <c r="I107" s="232"/>
      <c r="J107" s="232"/>
      <c r="K107" s="232"/>
      <c r="L107" s="232"/>
      <c r="M107" s="232"/>
      <c r="N107" s="232"/>
      <c r="O107" s="232"/>
      <c r="P107" s="232"/>
      <c r="Q107" s="232"/>
      <c r="R107" s="232"/>
      <c r="S107" s="232"/>
      <c r="T107" s="232"/>
      <c r="U107" s="232"/>
      <c r="V107" s="232"/>
      <c r="W107" s="232"/>
      <c r="X107" s="232"/>
      <c r="Y107" s="232"/>
      <c r="Z107" s="232"/>
      <c r="AA107" s="232"/>
      <c r="AB107" s="232"/>
      <c r="AC107" s="232"/>
      <c r="AD107" s="232"/>
      <c r="AE107" s="232"/>
      <c r="AF107" s="232"/>
      <c r="AG107" s="232"/>
      <c r="AH107" s="232"/>
      <c r="AI107" s="232"/>
      <c r="AJ107" s="232"/>
      <c r="AK107" s="232"/>
    </row>
    <row r="108" spans="2:37" ht="11.25" customHeight="1">
      <c r="B108" s="562" t="s">
        <v>384</v>
      </c>
      <c r="C108" s="562"/>
      <c r="D108" s="562"/>
      <c r="E108" s="562"/>
      <c r="F108" s="562"/>
      <c r="G108" s="562"/>
      <c r="H108" s="562"/>
      <c r="I108" s="562"/>
      <c r="J108" s="562"/>
      <c r="K108" s="562"/>
      <c r="L108" s="562"/>
      <c r="M108" s="562"/>
      <c r="N108" s="562"/>
      <c r="O108" s="562"/>
      <c r="P108" s="562"/>
      <c r="Q108" s="562"/>
      <c r="R108" s="562"/>
      <c r="S108" s="562"/>
      <c r="T108" s="562"/>
      <c r="U108" s="562"/>
      <c r="V108" s="562"/>
      <c r="W108" s="562"/>
      <c r="X108" s="562"/>
      <c r="Y108" s="562"/>
      <c r="Z108" s="562"/>
      <c r="AA108" s="562"/>
      <c r="AB108" s="562"/>
      <c r="AC108" s="562"/>
      <c r="AD108" s="562"/>
      <c r="AE108" s="562"/>
      <c r="AF108" s="562"/>
      <c r="AG108" s="562"/>
      <c r="AH108" s="562"/>
      <c r="AI108" s="562"/>
      <c r="AJ108" s="562"/>
      <c r="AK108" s="562"/>
    </row>
    <row r="109" spans="2:37" ht="13.2">
      <c r="B109" s="232"/>
      <c r="C109" s="232"/>
      <c r="D109" s="232"/>
      <c r="E109" s="232"/>
      <c r="F109" s="232"/>
      <c r="G109" s="232"/>
      <c r="H109" s="232"/>
      <c r="I109" s="232"/>
      <c r="J109" s="232"/>
      <c r="K109" s="232"/>
      <c r="L109" s="232"/>
      <c r="M109" s="232"/>
      <c r="N109" s="232"/>
      <c r="O109" s="232"/>
      <c r="P109" s="232"/>
      <c r="Q109" s="232"/>
      <c r="R109" s="232"/>
      <c r="S109" s="232"/>
      <c r="T109" s="232"/>
      <c r="U109" s="232"/>
      <c r="V109" s="232"/>
      <c r="W109" s="232"/>
      <c r="X109" s="232"/>
      <c r="Y109" s="232"/>
      <c r="Z109" s="232"/>
      <c r="AA109" s="232"/>
      <c r="AB109" s="232"/>
      <c r="AC109" s="232"/>
      <c r="AD109" s="232"/>
      <c r="AE109" s="232"/>
      <c r="AF109" s="232"/>
      <c r="AG109" s="232"/>
      <c r="AH109" s="232"/>
      <c r="AI109" s="232"/>
      <c r="AJ109" s="232"/>
      <c r="AK109" s="232"/>
    </row>
    <row r="110" spans="2:37" ht="33.75" customHeight="1">
      <c r="B110" s="562" t="s">
        <v>196</v>
      </c>
      <c r="C110" s="562"/>
      <c r="D110" s="562"/>
      <c r="E110" s="562"/>
      <c r="F110" s="562"/>
      <c r="G110" s="562"/>
      <c r="H110" s="562"/>
      <c r="I110" s="562"/>
      <c r="J110" s="562"/>
      <c r="K110" s="562"/>
      <c r="L110" s="562"/>
      <c r="M110" s="562"/>
      <c r="N110" s="562"/>
      <c r="O110" s="562"/>
      <c r="P110" s="562"/>
      <c r="Q110" s="562"/>
      <c r="R110" s="562"/>
      <c r="S110" s="562"/>
      <c r="T110" s="562"/>
      <c r="U110" s="562"/>
      <c r="V110" s="562"/>
      <c r="W110" s="562"/>
      <c r="X110" s="562"/>
      <c r="Y110" s="562"/>
      <c r="Z110" s="562"/>
      <c r="AA110" s="562"/>
      <c r="AB110" s="562"/>
      <c r="AC110" s="562"/>
      <c r="AD110" s="562"/>
      <c r="AE110" s="562"/>
      <c r="AF110" s="562"/>
      <c r="AG110" s="562"/>
      <c r="AH110" s="562"/>
      <c r="AI110" s="562"/>
      <c r="AJ110" s="562"/>
      <c r="AK110" s="562"/>
    </row>
    <row r="111" spans="2:37" ht="13.2">
      <c r="B111" s="231"/>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row>
    <row r="112" spans="2:37" ht="11.25" customHeight="1">
      <c r="B112" s="566" t="s">
        <v>360</v>
      </c>
      <c r="C112" s="566"/>
      <c r="D112" s="566"/>
      <c r="E112" s="566"/>
      <c r="F112" s="566"/>
      <c r="G112" s="566"/>
      <c r="H112" s="566"/>
      <c r="I112" s="566"/>
      <c r="J112" s="566"/>
      <c r="K112" s="566"/>
      <c r="L112" s="566"/>
      <c r="M112" s="566"/>
      <c r="N112" s="566"/>
      <c r="O112" s="566"/>
      <c r="P112" s="566"/>
      <c r="Q112" s="566"/>
      <c r="R112" s="566"/>
      <c r="S112" s="566"/>
      <c r="T112" s="566"/>
      <c r="U112" s="566"/>
      <c r="V112" s="566"/>
      <c r="W112" s="566"/>
      <c r="X112" s="566"/>
      <c r="Y112" s="566"/>
      <c r="Z112" s="566"/>
      <c r="AA112" s="566"/>
      <c r="AB112" s="566"/>
      <c r="AC112" s="566"/>
      <c r="AD112" s="566"/>
      <c r="AE112" s="566"/>
      <c r="AF112" s="566"/>
      <c r="AG112" s="566"/>
      <c r="AH112" s="566"/>
      <c r="AI112" s="566"/>
      <c r="AJ112" s="566"/>
      <c r="AK112" s="566"/>
    </row>
    <row r="113" spans="2:37" ht="13.2">
      <c r="B113" s="232"/>
      <c r="C113" s="232"/>
      <c r="D113" s="232"/>
      <c r="E113" s="232"/>
      <c r="F113" s="232"/>
      <c r="G113" s="232"/>
      <c r="H113" s="232"/>
      <c r="I113" s="232"/>
      <c r="J113" s="232"/>
      <c r="K113" s="232"/>
      <c r="L113" s="232"/>
      <c r="M113" s="232"/>
      <c r="N113" s="232"/>
      <c r="O113" s="232"/>
      <c r="P113" s="232"/>
      <c r="Q113" s="232"/>
      <c r="R113" s="232"/>
      <c r="S113" s="232"/>
      <c r="T113" s="232"/>
      <c r="U113" s="232"/>
      <c r="V113" s="232"/>
      <c r="W113" s="232"/>
      <c r="X113" s="232"/>
      <c r="Y113" s="232"/>
      <c r="Z113" s="232"/>
      <c r="AA113" s="232"/>
      <c r="AB113" s="232"/>
      <c r="AC113" s="232"/>
      <c r="AD113" s="232"/>
      <c r="AE113" s="232"/>
      <c r="AF113" s="232"/>
      <c r="AG113" s="232"/>
      <c r="AH113" s="232"/>
      <c r="AI113" s="232"/>
      <c r="AJ113" s="232"/>
      <c r="AK113" s="232"/>
    </row>
    <row r="114" spans="2:37" ht="22.5" customHeight="1">
      <c r="B114" s="562" t="s">
        <v>444</v>
      </c>
      <c r="C114" s="562"/>
      <c r="D114" s="562"/>
      <c r="E114" s="562"/>
      <c r="F114" s="562"/>
      <c r="G114" s="562"/>
      <c r="H114" s="562"/>
      <c r="I114" s="562"/>
      <c r="J114" s="562"/>
      <c r="K114" s="562"/>
      <c r="L114" s="562"/>
      <c r="M114" s="562"/>
      <c r="N114" s="562"/>
      <c r="O114" s="562"/>
      <c r="P114" s="562"/>
      <c r="Q114" s="562"/>
      <c r="R114" s="562"/>
      <c r="S114" s="562"/>
      <c r="T114" s="562"/>
      <c r="U114" s="562"/>
      <c r="V114" s="562"/>
      <c r="W114" s="562"/>
      <c r="X114" s="562"/>
      <c r="Y114" s="562"/>
      <c r="Z114" s="562"/>
      <c r="AA114" s="562"/>
      <c r="AB114" s="562"/>
      <c r="AC114" s="562"/>
      <c r="AD114" s="562"/>
      <c r="AE114" s="562"/>
      <c r="AF114" s="562"/>
      <c r="AG114" s="562"/>
      <c r="AH114" s="562"/>
      <c r="AI114" s="562"/>
      <c r="AJ114" s="562"/>
      <c r="AK114" s="562"/>
    </row>
    <row r="115" spans="2:37" ht="13.2">
      <c r="B115" s="232"/>
      <c r="C115" s="232"/>
      <c r="D115" s="232"/>
      <c r="E115" s="232"/>
      <c r="F115" s="232"/>
      <c r="G115" s="232"/>
      <c r="H115" s="232"/>
      <c r="I115" s="232"/>
      <c r="J115" s="232"/>
      <c r="K115" s="232"/>
      <c r="L115" s="232"/>
      <c r="M115" s="232"/>
      <c r="N115" s="232"/>
      <c r="O115" s="232"/>
      <c r="P115" s="232"/>
      <c r="Q115" s="232"/>
      <c r="R115" s="232"/>
      <c r="S115" s="232"/>
      <c r="T115" s="232"/>
      <c r="U115" s="232"/>
      <c r="V115" s="232"/>
      <c r="W115" s="232"/>
      <c r="X115" s="232"/>
      <c r="Y115" s="232"/>
      <c r="Z115" s="232"/>
      <c r="AA115" s="232"/>
      <c r="AB115" s="232"/>
      <c r="AC115" s="232"/>
      <c r="AD115" s="232"/>
      <c r="AE115" s="232"/>
      <c r="AF115" s="232"/>
      <c r="AG115" s="232"/>
      <c r="AH115" s="232"/>
      <c r="AI115" s="232"/>
      <c r="AJ115" s="232"/>
      <c r="AK115" s="232"/>
    </row>
    <row r="116" spans="2:37" ht="11.25" customHeight="1">
      <c r="B116" s="562" t="s">
        <v>199</v>
      </c>
      <c r="C116" s="562"/>
      <c r="D116" s="562"/>
      <c r="E116" s="562"/>
      <c r="F116" s="562"/>
      <c r="G116" s="562"/>
      <c r="H116" s="562"/>
      <c r="I116" s="562"/>
      <c r="J116" s="562"/>
      <c r="K116" s="562"/>
      <c r="L116" s="562"/>
      <c r="M116" s="562"/>
      <c r="N116" s="562"/>
      <c r="O116" s="562"/>
      <c r="P116" s="562"/>
      <c r="Q116" s="562"/>
      <c r="R116" s="562"/>
      <c r="S116" s="562"/>
      <c r="T116" s="562"/>
      <c r="U116" s="562"/>
      <c r="V116" s="562"/>
      <c r="W116" s="562"/>
      <c r="X116" s="562"/>
      <c r="Y116" s="562"/>
      <c r="Z116" s="562"/>
      <c r="AA116" s="562"/>
      <c r="AB116" s="562"/>
      <c r="AC116" s="562"/>
      <c r="AD116" s="562"/>
      <c r="AE116" s="562"/>
      <c r="AF116" s="562"/>
      <c r="AG116" s="562"/>
      <c r="AH116" s="562"/>
      <c r="AI116" s="562"/>
      <c r="AJ116" s="562"/>
      <c r="AK116" s="562"/>
    </row>
    <row r="117" spans="2:37" ht="11.25" customHeight="1">
      <c r="B117" s="232"/>
      <c r="C117" s="232"/>
      <c r="D117" s="232"/>
      <c r="E117" s="232"/>
      <c r="F117" s="232"/>
      <c r="G117" s="232"/>
      <c r="H117" s="232"/>
      <c r="I117" s="232"/>
      <c r="J117" s="232"/>
      <c r="K117" s="232"/>
      <c r="L117" s="232"/>
      <c r="M117" s="232"/>
      <c r="N117" s="232"/>
      <c r="O117" s="232"/>
      <c r="P117" s="232"/>
      <c r="Q117" s="232"/>
      <c r="R117" s="232"/>
      <c r="S117" s="232"/>
      <c r="T117" s="232"/>
      <c r="U117" s="232"/>
      <c r="V117" s="232"/>
      <c r="W117" s="232"/>
      <c r="X117" s="232"/>
      <c r="Y117" s="232"/>
      <c r="Z117" s="232"/>
      <c r="AA117" s="232"/>
      <c r="AB117" s="232"/>
      <c r="AC117" s="232"/>
      <c r="AD117" s="232"/>
      <c r="AE117" s="232"/>
      <c r="AF117" s="232"/>
      <c r="AG117" s="232"/>
      <c r="AH117" s="232"/>
      <c r="AI117" s="232"/>
      <c r="AJ117" s="232"/>
      <c r="AK117" s="232"/>
    </row>
    <row r="118" spans="2:37" ht="11.25" customHeight="1">
      <c r="B118" s="565" t="s">
        <v>200</v>
      </c>
      <c r="C118" s="565"/>
      <c r="D118" s="565"/>
      <c r="E118" s="565"/>
      <c r="F118" s="565"/>
      <c r="G118" s="565"/>
      <c r="H118" s="565"/>
      <c r="I118" s="565"/>
      <c r="J118" s="565"/>
      <c r="K118" s="565"/>
      <c r="L118" s="565"/>
      <c r="M118" s="565"/>
      <c r="N118" s="565"/>
      <c r="O118" s="565"/>
      <c r="P118" s="565"/>
      <c r="Q118" s="565"/>
      <c r="R118" s="565"/>
      <c r="S118" s="565"/>
      <c r="T118" s="565"/>
      <c r="U118" s="565"/>
      <c r="V118" s="565"/>
      <c r="W118" s="565"/>
      <c r="X118" s="565"/>
      <c r="Y118" s="565"/>
      <c r="Z118" s="565"/>
      <c r="AA118" s="565"/>
      <c r="AB118" s="565"/>
      <c r="AC118" s="565"/>
      <c r="AD118" s="565"/>
      <c r="AE118" s="565"/>
      <c r="AF118" s="565"/>
      <c r="AG118" s="565"/>
      <c r="AH118" s="565"/>
      <c r="AI118" s="565"/>
      <c r="AJ118" s="565"/>
      <c r="AK118" s="565"/>
    </row>
    <row r="119" spans="2:37" ht="13.2">
      <c r="B119" s="231"/>
      <c r="C119" s="232"/>
      <c r="D119" s="232"/>
      <c r="E119" s="232"/>
      <c r="F119" s="232"/>
      <c r="G119" s="232"/>
      <c r="H119" s="232"/>
      <c r="I119" s="232"/>
      <c r="J119" s="232"/>
      <c r="K119" s="232"/>
      <c r="L119" s="232"/>
      <c r="M119" s="232"/>
      <c r="N119" s="232"/>
      <c r="O119" s="232"/>
      <c r="P119" s="232"/>
      <c r="Q119" s="232"/>
      <c r="R119" s="232"/>
      <c r="S119" s="232"/>
      <c r="T119" s="232"/>
      <c r="U119" s="232"/>
      <c r="V119" s="232"/>
      <c r="W119" s="232"/>
      <c r="X119" s="232"/>
      <c r="Y119" s="232"/>
      <c r="Z119" s="232"/>
      <c r="AA119" s="232"/>
      <c r="AB119" s="232"/>
      <c r="AC119" s="232"/>
      <c r="AD119" s="232"/>
      <c r="AE119" s="232"/>
      <c r="AF119" s="232"/>
      <c r="AG119" s="232"/>
      <c r="AH119" s="232"/>
      <c r="AI119" s="232"/>
      <c r="AJ119" s="232"/>
      <c r="AK119" s="232"/>
    </row>
    <row r="120" spans="2:37" ht="33.75" customHeight="1">
      <c r="B120" s="566" t="s">
        <v>445</v>
      </c>
      <c r="C120" s="566"/>
      <c r="D120" s="566"/>
      <c r="E120" s="566"/>
      <c r="F120" s="566"/>
      <c r="G120" s="566"/>
      <c r="H120" s="566"/>
      <c r="I120" s="566"/>
      <c r="J120" s="566"/>
      <c r="K120" s="566"/>
      <c r="L120" s="566"/>
      <c r="M120" s="566"/>
      <c r="N120" s="566"/>
      <c r="O120" s="566"/>
      <c r="P120" s="566"/>
      <c r="Q120" s="566"/>
      <c r="R120" s="566"/>
      <c r="S120" s="566"/>
      <c r="T120" s="566"/>
      <c r="U120" s="566"/>
      <c r="V120" s="566"/>
      <c r="W120" s="566"/>
      <c r="X120" s="566"/>
      <c r="Y120" s="566"/>
      <c r="Z120" s="566"/>
      <c r="AA120" s="566"/>
      <c r="AB120" s="566"/>
      <c r="AC120" s="566"/>
      <c r="AD120" s="566"/>
      <c r="AE120" s="566"/>
      <c r="AF120" s="566"/>
      <c r="AG120" s="566"/>
      <c r="AH120" s="566"/>
      <c r="AI120" s="566"/>
      <c r="AJ120" s="566"/>
      <c r="AK120" s="566"/>
    </row>
    <row r="121" spans="2:37" ht="11.25" customHeight="1">
      <c r="B121" s="231"/>
      <c r="C121" s="232"/>
      <c r="D121" s="232"/>
      <c r="E121" s="232"/>
      <c r="F121" s="232"/>
      <c r="G121" s="232"/>
      <c r="H121" s="232"/>
      <c r="I121" s="232"/>
      <c r="J121" s="232"/>
      <c r="K121" s="232"/>
      <c r="L121" s="232"/>
      <c r="M121" s="232"/>
      <c r="N121" s="232"/>
      <c r="O121" s="232"/>
      <c r="P121" s="232"/>
      <c r="Q121" s="232"/>
      <c r="R121" s="232"/>
      <c r="S121" s="232"/>
      <c r="T121" s="232"/>
      <c r="U121" s="232"/>
      <c r="V121" s="232"/>
      <c r="W121" s="232"/>
      <c r="X121" s="232"/>
      <c r="Y121" s="232"/>
      <c r="Z121" s="232"/>
      <c r="AA121" s="232"/>
      <c r="AB121" s="232"/>
      <c r="AC121" s="232"/>
      <c r="AD121" s="232"/>
      <c r="AE121" s="232"/>
      <c r="AF121" s="232"/>
      <c r="AG121" s="232"/>
      <c r="AH121" s="232"/>
      <c r="AI121" s="232"/>
      <c r="AJ121" s="232"/>
      <c r="AK121" s="232"/>
    </row>
    <row r="122" spans="2:37" ht="45" customHeight="1">
      <c r="B122" s="566" t="s">
        <v>446</v>
      </c>
      <c r="C122" s="566"/>
      <c r="D122" s="566"/>
      <c r="E122" s="566"/>
      <c r="F122" s="566"/>
      <c r="G122" s="566"/>
      <c r="H122" s="566"/>
      <c r="I122" s="566"/>
      <c r="J122" s="566"/>
      <c r="K122" s="566"/>
      <c r="L122" s="566"/>
      <c r="M122" s="566"/>
      <c r="N122" s="566"/>
      <c r="O122" s="566"/>
      <c r="P122" s="566"/>
      <c r="Q122" s="566"/>
      <c r="R122" s="566"/>
      <c r="S122" s="566"/>
      <c r="T122" s="566"/>
      <c r="U122" s="566"/>
      <c r="V122" s="566"/>
      <c r="W122" s="566"/>
      <c r="X122" s="566"/>
      <c r="Y122" s="566"/>
      <c r="Z122" s="566"/>
      <c r="AA122" s="566"/>
      <c r="AB122" s="566"/>
      <c r="AC122" s="566"/>
      <c r="AD122" s="566"/>
      <c r="AE122" s="566"/>
      <c r="AF122" s="566"/>
      <c r="AG122" s="566"/>
      <c r="AH122" s="566"/>
      <c r="AI122" s="566"/>
      <c r="AJ122" s="566"/>
      <c r="AK122" s="566"/>
    </row>
    <row r="123" spans="2:37" ht="33.75" customHeight="1">
      <c r="B123" s="562" t="s">
        <v>447</v>
      </c>
      <c r="C123" s="562"/>
      <c r="D123" s="562"/>
      <c r="E123" s="562"/>
      <c r="F123" s="562"/>
      <c r="G123" s="562"/>
      <c r="H123" s="562"/>
      <c r="I123" s="562"/>
      <c r="J123" s="562"/>
      <c r="K123" s="562"/>
      <c r="L123" s="562"/>
      <c r="M123" s="562"/>
      <c r="N123" s="562"/>
      <c r="O123" s="562"/>
      <c r="P123" s="562"/>
      <c r="Q123" s="562"/>
      <c r="R123" s="562"/>
      <c r="S123" s="562"/>
      <c r="T123" s="562"/>
      <c r="U123" s="562"/>
      <c r="V123" s="562"/>
      <c r="W123" s="562"/>
      <c r="X123" s="562"/>
      <c r="Y123" s="562"/>
      <c r="Z123" s="562"/>
      <c r="AA123" s="562"/>
      <c r="AB123" s="562"/>
      <c r="AC123" s="562"/>
      <c r="AD123" s="562"/>
      <c r="AE123" s="562"/>
      <c r="AF123" s="562"/>
      <c r="AG123" s="562"/>
      <c r="AH123" s="562"/>
      <c r="AI123" s="562"/>
      <c r="AJ123" s="562"/>
      <c r="AK123" s="562"/>
    </row>
    <row r="124" spans="2:37" ht="22.5" customHeight="1">
      <c r="B124" s="562" t="s">
        <v>448</v>
      </c>
      <c r="C124" s="562"/>
      <c r="D124" s="562"/>
      <c r="E124" s="562"/>
      <c r="F124" s="562"/>
      <c r="G124" s="562"/>
      <c r="H124" s="562"/>
      <c r="I124" s="562"/>
      <c r="J124" s="562"/>
      <c r="K124" s="562"/>
      <c r="L124" s="562"/>
      <c r="M124" s="562"/>
      <c r="N124" s="562"/>
      <c r="O124" s="562"/>
      <c r="P124" s="562"/>
      <c r="Q124" s="562"/>
      <c r="R124" s="562"/>
      <c r="S124" s="562"/>
      <c r="T124" s="562"/>
      <c r="U124" s="562"/>
      <c r="V124" s="562"/>
      <c r="W124" s="562"/>
      <c r="X124" s="562"/>
      <c r="Y124" s="562"/>
      <c r="Z124" s="562"/>
      <c r="AA124" s="562"/>
      <c r="AB124" s="562"/>
      <c r="AC124" s="562"/>
      <c r="AD124" s="562"/>
      <c r="AE124" s="562"/>
      <c r="AF124" s="562"/>
      <c r="AG124" s="562"/>
      <c r="AH124" s="562"/>
      <c r="AI124" s="562"/>
      <c r="AJ124" s="562"/>
      <c r="AK124" s="562"/>
    </row>
    <row r="125" spans="2:37" ht="11.25" customHeight="1">
      <c r="B125" s="232"/>
      <c r="C125" s="232"/>
      <c r="D125" s="232"/>
      <c r="E125" s="232"/>
      <c r="F125" s="232"/>
      <c r="G125" s="232"/>
      <c r="H125" s="232"/>
      <c r="I125" s="232"/>
      <c r="J125" s="232"/>
      <c r="K125" s="232"/>
      <c r="L125" s="232"/>
      <c r="M125" s="232"/>
      <c r="N125" s="232"/>
      <c r="O125" s="232"/>
      <c r="P125" s="232"/>
      <c r="Q125" s="232"/>
      <c r="R125" s="232"/>
      <c r="S125" s="232"/>
      <c r="T125" s="232"/>
      <c r="U125" s="232"/>
      <c r="V125" s="232"/>
      <c r="W125" s="232"/>
      <c r="X125" s="232"/>
      <c r="Y125" s="232"/>
      <c r="Z125" s="232"/>
      <c r="AA125" s="232"/>
      <c r="AB125" s="232"/>
      <c r="AC125" s="232"/>
      <c r="AD125" s="232"/>
      <c r="AE125" s="232"/>
      <c r="AF125" s="232"/>
      <c r="AG125" s="232"/>
      <c r="AH125" s="232"/>
      <c r="AI125" s="232"/>
      <c r="AJ125" s="232"/>
      <c r="AK125" s="232"/>
    </row>
    <row r="126" spans="2:37" ht="45" customHeight="1">
      <c r="B126" s="566" t="s">
        <v>449</v>
      </c>
      <c r="C126" s="566"/>
      <c r="D126" s="566"/>
      <c r="E126" s="566"/>
      <c r="F126" s="566"/>
      <c r="G126" s="566"/>
      <c r="H126" s="566"/>
      <c r="I126" s="566"/>
      <c r="J126" s="566"/>
      <c r="K126" s="566"/>
      <c r="L126" s="566"/>
      <c r="M126" s="566"/>
      <c r="N126" s="566"/>
      <c r="O126" s="566"/>
      <c r="P126" s="566"/>
      <c r="Q126" s="566"/>
      <c r="R126" s="566"/>
      <c r="S126" s="566"/>
      <c r="T126" s="566"/>
      <c r="U126" s="566"/>
      <c r="V126" s="566"/>
      <c r="W126" s="566"/>
      <c r="X126" s="566"/>
      <c r="Y126" s="566"/>
      <c r="Z126" s="566"/>
      <c r="AA126" s="566"/>
      <c r="AB126" s="566"/>
      <c r="AC126" s="566"/>
      <c r="AD126" s="566"/>
      <c r="AE126" s="566"/>
      <c r="AF126" s="566"/>
      <c r="AG126" s="566"/>
      <c r="AH126" s="566"/>
      <c r="AI126" s="566"/>
      <c r="AJ126" s="566"/>
      <c r="AK126" s="566"/>
    </row>
    <row r="127" spans="2:37" ht="11.25" customHeight="1">
      <c r="B127" s="232"/>
      <c r="C127" s="232"/>
      <c r="D127" s="232"/>
      <c r="E127" s="232"/>
      <c r="F127" s="232"/>
      <c r="G127" s="232"/>
      <c r="H127" s="232"/>
      <c r="I127" s="232"/>
      <c r="J127" s="232"/>
      <c r="K127" s="232"/>
      <c r="L127" s="232"/>
      <c r="M127" s="232"/>
      <c r="N127" s="232"/>
      <c r="O127" s="232"/>
      <c r="P127" s="232"/>
      <c r="Q127" s="232"/>
      <c r="R127" s="232"/>
      <c r="S127" s="232"/>
      <c r="T127" s="232"/>
      <c r="U127" s="232"/>
      <c r="V127" s="232"/>
      <c r="W127" s="232"/>
      <c r="X127" s="232"/>
      <c r="Y127" s="232"/>
      <c r="Z127" s="232"/>
      <c r="AA127" s="232"/>
      <c r="AB127" s="232"/>
      <c r="AC127" s="232"/>
      <c r="AD127" s="232"/>
      <c r="AE127" s="232"/>
      <c r="AF127" s="232"/>
      <c r="AG127" s="232"/>
      <c r="AH127" s="232"/>
      <c r="AI127" s="232"/>
      <c r="AJ127" s="232"/>
      <c r="AK127" s="232"/>
    </row>
    <row r="128" spans="2:37" ht="33.75" customHeight="1">
      <c r="B128" s="566" t="s">
        <v>204</v>
      </c>
      <c r="C128" s="566"/>
      <c r="D128" s="566"/>
      <c r="E128" s="566"/>
      <c r="F128" s="566"/>
      <c r="G128" s="566"/>
      <c r="H128" s="566"/>
      <c r="I128" s="566"/>
      <c r="J128" s="566"/>
      <c r="K128" s="566"/>
      <c r="L128" s="566"/>
      <c r="M128" s="566"/>
      <c r="N128" s="566"/>
      <c r="O128" s="566"/>
      <c r="P128" s="566"/>
      <c r="Q128" s="566"/>
      <c r="R128" s="566"/>
      <c r="S128" s="566"/>
      <c r="T128" s="566"/>
      <c r="U128" s="566"/>
      <c r="V128" s="566"/>
      <c r="W128" s="566"/>
      <c r="X128" s="566"/>
      <c r="Y128" s="566"/>
      <c r="Z128" s="566"/>
      <c r="AA128" s="566"/>
      <c r="AB128" s="566"/>
      <c r="AC128" s="566"/>
      <c r="AD128" s="566"/>
      <c r="AE128" s="566"/>
      <c r="AF128" s="566"/>
      <c r="AG128" s="566"/>
      <c r="AH128" s="566"/>
      <c r="AI128" s="566"/>
      <c r="AJ128" s="566"/>
      <c r="AK128" s="566"/>
    </row>
    <row r="129" spans="2:37" ht="11.25" customHeight="1">
      <c r="B129" s="391"/>
      <c r="C129" s="232"/>
      <c r="D129" s="232"/>
      <c r="E129" s="232"/>
      <c r="F129" s="232"/>
      <c r="G129" s="232"/>
      <c r="H129" s="232"/>
      <c r="I129" s="232"/>
      <c r="J129" s="232"/>
      <c r="K129" s="232"/>
      <c r="L129" s="232"/>
      <c r="M129" s="232"/>
      <c r="N129" s="232"/>
      <c r="O129" s="232"/>
      <c r="P129" s="232"/>
      <c r="Q129" s="232"/>
      <c r="R129" s="232"/>
      <c r="S129" s="232"/>
      <c r="T129" s="232"/>
      <c r="U129" s="232"/>
      <c r="V129" s="232"/>
      <c r="W129" s="232"/>
      <c r="X129" s="232"/>
      <c r="Y129" s="232"/>
      <c r="Z129" s="232"/>
      <c r="AA129" s="232"/>
      <c r="AB129" s="232"/>
      <c r="AC129" s="232"/>
      <c r="AD129" s="232"/>
      <c r="AE129" s="232"/>
      <c r="AF129" s="232"/>
      <c r="AG129" s="232"/>
      <c r="AH129" s="232"/>
      <c r="AI129" s="232"/>
      <c r="AJ129" s="232"/>
      <c r="AK129" s="232"/>
    </row>
    <row r="130" spans="2:37" ht="45" customHeight="1">
      <c r="B130" s="1059" t="s">
        <v>450</v>
      </c>
      <c r="C130" s="1059"/>
      <c r="D130" s="1059"/>
      <c r="E130" s="1059"/>
      <c r="F130" s="1059"/>
      <c r="G130" s="1059"/>
      <c r="H130" s="1059"/>
      <c r="I130" s="1059"/>
      <c r="J130" s="1059"/>
      <c r="K130" s="1059"/>
      <c r="L130" s="1059"/>
      <c r="M130" s="1059"/>
      <c r="N130" s="1059"/>
      <c r="O130" s="1059"/>
      <c r="P130" s="1059"/>
      <c r="Q130" s="1059"/>
      <c r="R130" s="1059"/>
      <c r="S130" s="1059"/>
      <c r="T130" s="1059"/>
      <c r="U130" s="1059"/>
      <c r="V130" s="1059"/>
      <c r="W130" s="1059"/>
      <c r="X130" s="1059"/>
      <c r="Y130" s="1059"/>
      <c r="Z130" s="1059"/>
      <c r="AA130" s="1059"/>
      <c r="AB130" s="1059"/>
      <c r="AC130" s="1059"/>
      <c r="AD130" s="1059"/>
      <c r="AE130" s="1059"/>
      <c r="AF130" s="1059"/>
      <c r="AG130" s="1059"/>
      <c r="AH130" s="1059"/>
      <c r="AI130" s="1059"/>
      <c r="AJ130" s="1059"/>
      <c r="AK130" s="1059"/>
    </row>
    <row r="131" spans="2:37" ht="11.25" customHeight="1">
      <c r="B131" s="232"/>
      <c r="C131" s="232"/>
      <c r="D131" s="232"/>
      <c r="E131" s="232"/>
      <c r="F131" s="232"/>
      <c r="G131" s="232"/>
      <c r="H131" s="232"/>
      <c r="I131" s="232"/>
      <c r="J131" s="232"/>
      <c r="K131" s="232"/>
      <c r="L131" s="232"/>
      <c r="M131" s="232"/>
      <c r="N131" s="232"/>
      <c r="O131" s="232"/>
      <c r="P131" s="232"/>
      <c r="Q131" s="232"/>
      <c r="R131" s="232"/>
      <c r="S131" s="232"/>
      <c r="T131" s="232"/>
      <c r="U131" s="232"/>
      <c r="V131" s="232"/>
      <c r="W131" s="232"/>
      <c r="X131" s="232"/>
      <c r="Y131" s="232"/>
      <c r="Z131" s="232"/>
      <c r="AA131" s="232"/>
      <c r="AB131" s="232"/>
      <c r="AC131" s="232"/>
      <c r="AD131" s="232"/>
      <c r="AE131" s="232"/>
      <c r="AF131" s="232"/>
      <c r="AG131" s="232"/>
      <c r="AH131" s="232"/>
      <c r="AI131" s="232"/>
      <c r="AJ131" s="232"/>
      <c r="AK131" s="232"/>
    </row>
    <row r="132" spans="2:37" ht="22.5" customHeight="1">
      <c r="B132" s="566" t="s">
        <v>206</v>
      </c>
      <c r="C132" s="566"/>
      <c r="D132" s="566"/>
      <c r="E132" s="566"/>
      <c r="F132" s="566"/>
      <c r="G132" s="566"/>
      <c r="H132" s="566"/>
      <c r="I132" s="566"/>
      <c r="J132" s="566"/>
      <c r="K132" s="566"/>
      <c r="L132" s="566"/>
      <c r="M132" s="566"/>
      <c r="N132" s="566"/>
      <c r="O132" s="566"/>
      <c r="P132" s="566"/>
      <c r="Q132" s="566"/>
      <c r="R132" s="566"/>
      <c r="S132" s="566"/>
      <c r="T132" s="566"/>
      <c r="U132" s="566"/>
      <c r="V132" s="566"/>
      <c r="W132" s="566"/>
      <c r="X132" s="566"/>
      <c r="Y132" s="566"/>
      <c r="Z132" s="566"/>
      <c r="AA132" s="566"/>
      <c r="AB132" s="566"/>
      <c r="AC132" s="566"/>
      <c r="AD132" s="566"/>
      <c r="AE132" s="566"/>
      <c r="AF132" s="566"/>
      <c r="AG132" s="566"/>
      <c r="AH132" s="566"/>
      <c r="AI132" s="566"/>
      <c r="AJ132" s="566"/>
      <c r="AK132" s="566"/>
    </row>
    <row r="133" spans="2:37" ht="11.25" customHeight="1">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row>
    <row r="134" spans="2:37" ht="11.25" customHeight="1">
      <c r="B134" s="562" t="s">
        <v>451</v>
      </c>
      <c r="C134" s="562"/>
      <c r="D134" s="562"/>
      <c r="E134" s="562"/>
      <c r="F134" s="562"/>
      <c r="G134" s="562"/>
      <c r="H134" s="562"/>
      <c r="I134" s="562"/>
      <c r="J134" s="562"/>
      <c r="K134" s="562"/>
      <c r="L134" s="562"/>
      <c r="M134" s="562"/>
      <c r="N134" s="562"/>
      <c r="O134" s="562"/>
      <c r="P134" s="562"/>
      <c r="Q134" s="562"/>
      <c r="R134" s="562"/>
      <c r="S134" s="562"/>
      <c r="T134" s="562"/>
      <c r="U134" s="562"/>
      <c r="V134" s="562"/>
      <c r="W134" s="562"/>
      <c r="X134" s="562"/>
      <c r="Y134" s="562"/>
      <c r="Z134" s="562"/>
      <c r="AA134" s="562"/>
      <c r="AB134" s="562"/>
      <c r="AC134" s="562"/>
      <c r="AD134" s="562"/>
      <c r="AE134" s="562"/>
      <c r="AF134" s="562"/>
      <c r="AG134" s="562"/>
      <c r="AH134" s="562"/>
      <c r="AI134" s="562"/>
      <c r="AJ134" s="562"/>
      <c r="AK134" s="562"/>
    </row>
    <row r="135" spans="2:37" ht="11.25" customHeight="1">
      <c r="B135" s="232"/>
      <c r="C135" s="232"/>
      <c r="D135" s="232"/>
      <c r="E135" s="232"/>
      <c r="F135" s="232"/>
      <c r="G135" s="232"/>
      <c r="H135" s="232"/>
      <c r="I135" s="232"/>
      <c r="J135" s="232"/>
      <c r="K135" s="232"/>
      <c r="L135" s="232"/>
      <c r="M135" s="232"/>
      <c r="N135" s="232"/>
      <c r="O135" s="232"/>
      <c r="P135" s="232"/>
      <c r="Q135" s="232"/>
      <c r="R135" s="232"/>
      <c r="S135" s="232"/>
      <c r="T135" s="232"/>
      <c r="U135" s="232"/>
      <c r="V135" s="232"/>
      <c r="W135" s="232"/>
      <c r="X135" s="232"/>
      <c r="Y135" s="232"/>
      <c r="Z135" s="232"/>
      <c r="AA135" s="232"/>
      <c r="AB135" s="232"/>
      <c r="AC135" s="232"/>
      <c r="AD135" s="232"/>
      <c r="AE135" s="232"/>
      <c r="AF135" s="232"/>
      <c r="AG135" s="232"/>
      <c r="AH135" s="232"/>
      <c r="AI135" s="232"/>
      <c r="AJ135" s="232"/>
      <c r="AK135" s="232"/>
    </row>
    <row r="136" spans="2:37" ht="56.25" customHeight="1">
      <c r="B136" s="562" t="s">
        <v>452</v>
      </c>
      <c r="C136" s="562"/>
      <c r="D136" s="562"/>
      <c r="E136" s="562"/>
      <c r="F136" s="562"/>
      <c r="G136" s="562"/>
      <c r="H136" s="562"/>
      <c r="I136" s="562"/>
      <c r="J136" s="562"/>
      <c r="K136" s="562"/>
      <c r="L136" s="562"/>
      <c r="M136" s="562"/>
      <c r="N136" s="562"/>
      <c r="O136" s="562"/>
      <c r="P136" s="562"/>
      <c r="Q136" s="562"/>
      <c r="R136" s="562"/>
      <c r="S136" s="562"/>
      <c r="T136" s="562"/>
      <c r="U136" s="562"/>
      <c r="V136" s="562"/>
      <c r="W136" s="562"/>
      <c r="X136" s="562"/>
      <c r="Y136" s="562"/>
      <c r="Z136" s="562"/>
      <c r="AA136" s="562"/>
      <c r="AB136" s="562"/>
      <c r="AC136" s="562"/>
      <c r="AD136" s="562"/>
      <c r="AE136" s="562"/>
      <c r="AF136" s="562"/>
      <c r="AG136" s="562"/>
      <c r="AH136" s="562"/>
      <c r="AI136" s="562"/>
      <c r="AJ136" s="562"/>
      <c r="AK136" s="562"/>
    </row>
    <row r="137" spans="2:37" ht="22.5" customHeight="1">
      <c r="B137" s="562" t="s">
        <v>453</v>
      </c>
      <c r="C137" s="562"/>
      <c r="D137" s="562"/>
      <c r="E137" s="562"/>
      <c r="F137" s="562"/>
      <c r="G137" s="562"/>
      <c r="H137" s="562"/>
      <c r="I137" s="562"/>
      <c r="J137" s="562"/>
      <c r="K137" s="562"/>
      <c r="L137" s="562"/>
      <c r="M137" s="562"/>
      <c r="N137" s="562"/>
      <c r="O137" s="562"/>
      <c r="P137" s="562"/>
      <c r="Q137" s="562"/>
      <c r="R137" s="562"/>
      <c r="S137" s="562"/>
      <c r="T137" s="562"/>
      <c r="U137" s="562"/>
      <c r="V137" s="562"/>
      <c r="W137" s="562"/>
      <c r="X137" s="562"/>
      <c r="Y137" s="562"/>
      <c r="Z137" s="562"/>
      <c r="AA137" s="562"/>
      <c r="AB137" s="562"/>
      <c r="AC137" s="562"/>
      <c r="AD137" s="562"/>
      <c r="AE137" s="562"/>
      <c r="AF137" s="562"/>
      <c r="AG137" s="562"/>
      <c r="AH137" s="562"/>
      <c r="AI137" s="562"/>
      <c r="AJ137" s="562"/>
      <c r="AK137" s="562"/>
    </row>
    <row r="138" spans="2:37" ht="11.25" customHeight="1">
      <c r="B138" s="232"/>
      <c r="C138" s="232"/>
      <c r="D138" s="232"/>
      <c r="E138" s="232"/>
      <c r="F138" s="232"/>
      <c r="G138" s="232"/>
      <c r="H138" s="232"/>
      <c r="I138" s="232"/>
      <c r="J138" s="232"/>
      <c r="K138" s="232"/>
      <c r="L138" s="232"/>
      <c r="M138" s="232"/>
      <c r="N138" s="232"/>
      <c r="O138" s="232"/>
      <c r="P138" s="232"/>
      <c r="Q138" s="232"/>
      <c r="R138" s="232"/>
      <c r="S138" s="232"/>
      <c r="T138" s="232"/>
      <c r="U138" s="232"/>
      <c r="V138" s="232"/>
      <c r="W138" s="232"/>
      <c r="X138" s="232"/>
      <c r="Y138" s="232"/>
      <c r="Z138" s="232"/>
      <c r="AA138" s="232"/>
      <c r="AB138" s="232"/>
      <c r="AC138" s="232"/>
      <c r="AD138" s="232"/>
      <c r="AE138" s="232"/>
      <c r="AF138" s="232"/>
      <c r="AG138" s="232"/>
      <c r="AH138" s="232"/>
      <c r="AI138" s="232"/>
      <c r="AJ138" s="232"/>
      <c r="AK138" s="232"/>
    </row>
    <row r="139" spans="2:37" ht="22.5" customHeight="1">
      <c r="B139" s="562" t="s">
        <v>454</v>
      </c>
      <c r="C139" s="562"/>
      <c r="D139" s="562"/>
      <c r="E139" s="562"/>
      <c r="F139" s="562"/>
      <c r="G139" s="562"/>
      <c r="H139" s="562"/>
      <c r="I139" s="562"/>
      <c r="J139" s="562"/>
      <c r="K139" s="562"/>
      <c r="L139" s="562"/>
      <c r="M139" s="562"/>
      <c r="N139" s="562"/>
      <c r="O139" s="562"/>
      <c r="P139" s="562"/>
      <c r="Q139" s="562"/>
      <c r="R139" s="562"/>
      <c r="S139" s="562"/>
      <c r="T139" s="562"/>
      <c r="U139" s="562"/>
      <c r="V139" s="562"/>
      <c r="W139" s="562"/>
      <c r="X139" s="562"/>
      <c r="Y139" s="562"/>
      <c r="Z139" s="562"/>
      <c r="AA139" s="562"/>
      <c r="AB139" s="562"/>
      <c r="AC139" s="562"/>
      <c r="AD139" s="562"/>
      <c r="AE139" s="562"/>
      <c r="AF139" s="562"/>
      <c r="AG139" s="562"/>
      <c r="AH139" s="562"/>
      <c r="AI139" s="562"/>
      <c r="AJ139" s="562"/>
      <c r="AK139" s="562"/>
    </row>
    <row r="140" spans="2:37" ht="33.75" customHeight="1">
      <c r="B140" s="562" t="s">
        <v>211</v>
      </c>
      <c r="C140" s="562"/>
      <c r="D140" s="562"/>
      <c r="E140" s="562"/>
      <c r="F140" s="562"/>
      <c r="G140" s="562"/>
      <c r="H140" s="562"/>
      <c r="I140" s="562"/>
      <c r="J140" s="562"/>
      <c r="K140" s="562"/>
      <c r="L140" s="562"/>
      <c r="M140" s="562"/>
      <c r="N140" s="562"/>
      <c r="O140" s="562"/>
      <c r="P140" s="562"/>
      <c r="Q140" s="562"/>
      <c r="R140" s="562"/>
      <c r="S140" s="562"/>
      <c r="T140" s="562"/>
      <c r="U140" s="562"/>
      <c r="V140" s="562"/>
      <c r="W140" s="562"/>
      <c r="X140" s="562"/>
      <c r="Y140" s="562"/>
      <c r="Z140" s="562"/>
      <c r="AA140" s="562"/>
      <c r="AB140" s="562"/>
      <c r="AC140" s="562"/>
      <c r="AD140" s="562"/>
      <c r="AE140" s="562"/>
      <c r="AF140" s="562"/>
      <c r="AG140" s="562"/>
      <c r="AH140" s="562"/>
      <c r="AI140" s="562"/>
      <c r="AJ140" s="562"/>
      <c r="AK140" s="562"/>
    </row>
    <row r="141" spans="2:37" ht="78.75" customHeight="1">
      <c r="B141" s="562" t="s">
        <v>212</v>
      </c>
      <c r="C141" s="562"/>
      <c r="D141" s="562"/>
      <c r="E141" s="562"/>
      <c r="F141" s="562"/>
      <c r="G141" s="562"/>
      <c r="H141" s="562"/>
      <c r="I141" s="562"/>
      <c r="J141" s="562"/>
      <c r="K141" s="562"/>
      <c r="L141" s="562"/>
      <c r="M141" s="562"/>
      <c r="N141" s="562"/>
      <c r="O141" s="562"/>
      <c r="P141" s="562"/>
      <c r="Q141" s="562"/>
      <c r="R141" s="562"/>
      <c r="S141" s="562"/>
      <c r="T141" s="562"/>
      <c r="U141" s="562"/>
      <c r="V141" s="562"/>
      <c r="W141" s="562"/>
      <c r="X141" s="562"/>
      <c r="Y141" s="562"/>
      <c r="Z141" s="562"/>
      <c r="AA141" s="562"/>
      <c r="AB141" s="562"/>
      <c r="AC141" s="562"/>
      <c r="AD141" s="562"/>
      <c r="AE141" s="562"/>
      <c r="AF141" s="562"/>
      <c r="AG141" s="562"/>
      <c r="AH141" s="562"/>
      <c r="AI141" s="562"/>
      <c r="AJ141" s="562"/>
      <c r="AK141" s="562"/>
    </row>
    <row r="142" spans="2:37" ht="11.25" customHeight="1">
      <c r="B142" s="231"/>
      <c r="C142" s="232"/>
      <c r="D142" s="232"/>
      <c r="E142" s="232"/>
      <c r="F142" s="232"/>
      <c r="G142" s="232"/>
      <c r="H142" s="232"/>
      <c r="I142" s="232"/>
      <c r="J142" s="232"/>
      <c r="K142" s="232"/>
      <c r="L142" s="232"/>
      <c r="M142" s="232"/>
      <c r="N142" s="232"/>
      <c r="O142" s="232"/>
      <c r="P142" s="232"/>
      <c r="Q142" s="232"/>
      <c r="R142" s="232"/>
      <c r="S142" s="232"/>
      <c r="T142" s="232"/>
      <c r="U142" s="232"/>
      <c r="V142" s="232"/>
      <c r="W142" s="232"/>
      <c r="X142" s="232"/>
      <c r="Y142" s="232"/>
      <c r="Z142" s="232"/>
      <c r="AA142" s="232"/>
      <c r="AB142" s="232"/>
      <c r="AC142" s="232"/>
      <c r="AD142" s="232"/>
      <c r="AE142" s="232"/>
      <c r="AF142" s="232"/>
      <c r="AG142" s="232"/>
      <c r="AH142" s="232"/>
      <c r="AI142" s="232"/>
      <c r="AJ142" s="232"/>
      <c r="AK142" s="232"/>
    </row>
    <row r="143" spans="2:37" ht="45" customHeight="1">
      <c r="B143" s="566" t="s">
        <v>455</v>
      </c>
      <c r="C143" s="566"/>
      <c r="D143" s="566"/>
      <c r="E143" s="566"/>
      <c r="F143" s="566"/>
      <c r="G143" s="566"/>
      <c r="H143" s="566"/>
      <c r="I143" s="566"/>
      <c r="J143" s="566"/>
      <c r="K143" s="566"/>
      <c r="L143" s="566"/>
      <c r="M143" s="566"/>
      <c r="N143" s="566"/>
      <c r="O143" s="566"/>
      <c r="P143" s="566"/>
      <c r="Q143" s="566"/>
      <c r="R143" s="566"/>
      <c r="S143" s="566"/>
      <c r="T143" s="566"/>
      <c r="U143" s="566"/>
      <c r="V143" s="566"/>
      <c r="W143" s="566"/>
      <c r="X143" s="566"/>
      <c r="Y143" s="566"/>
      <c r="Z143" s="566"/>
      <c r="AA143" s="566"/>
      <c r="AB143" s="566"/>
      <c r="AC143" s="566"/>
      <c r="AD143" s="566"/>
      <c r="AE143" s="566"/>
      <c r="AF143" s="566"/>
      <c r="AG143" s="566"/>
      <c r="AH143" s="566"/>
      <c r="AI143" s="566"/>
      <c r="AJ143" s="566"/>
      <c r="AK143" s="566"/>
    </row>
    <row r="144" spans="2:37" ht="11.25" customHeight="1">
      <c r="B144" s="232"/>
      <c r="C144" s="232"/>
      <c r="D144" s="232"/>
      <c r="E144" s="232"/>
      <c r="F144" s="232"/>
      <c r="G144" s="232"/>
      <c r="H144" s="232"/>
      <c r="I144" s="232"/>
      <c r="J144" s="232"/>
      <c r="K144" s="232"/>
      <c r="L144" s="232"/>
      <c r="M144" s="232"/>
      <c r="N144" s="232"/>
      <c r="O144" s="232"/>
      <c r="P144" s="232"/>
      <c r="Q144" s="232"/>
      <c r="R144" s="232"/>
      <c r="S144" s="232"/>
      <c r="T144" s="232"/>
      <c r="U144" s="232"/>
      <c r="V144" s="232"/>
      <c r="W144" s="232"/>
      <c r="X144" s="232"/>
      <c r="Y144" s="232"/>
      <c r="Z144" s="232"/>
      <c r="AA144" s="232"/>
      <c r="AB144" s="232"/>
      <c r="AC144" s="232"/>
      <c r="AD144" s="232"/>
      <c r="AE144" s="232"/>
      <c r="AF144" s="232"/>
      <c r="AG144" s="232"/>
      <c r="AH144" s="232"/>
      <c r="AI144" s="232"/>
      <c r="AJ144" s="232"/>
      <c r="AK144" s="232"/>
    </row>
    <row r="145" spans="2:37" ht="90" customHeight="1">
      <c r="B145" s="566" t="s">
        <v>456</v>
      </c>
      <c r="C145" s="566"/>
      <c r="D145" s="566"/>
      <c r="E145" s="566"/>
      <c r="F145" s="566"/>
      <c r="G145" s="566"/>
      <c r="H145" s="566"/>
      <c r="I145" s="566"/>
      <c r="J145" s="566"/>
      <c r="K145" s="566"/>
      <c r="L145" s="566"/>
      <c r="M145" s="566"/>
      <c r="N145" s="566"/>
      <c r="O145" s="566"/>
      <c r="P145" s="566"/>
      <c r="Q145" s="566"/>
      <c r="R145" s="566"/>
      <c r="S145" s="566"/>
      <c r="T145" s="566"/>
      <c r="U145" s="566"/>
      <c r="V145" s="566"/>
      <c r="W145" s="566"/>
      <c r="X145" s="566"/>
      <c r="Y145" s="566"/>
      <c r="Z145" s="566"/>
      <c r="AA145" s="566"/>
      <c r="AB145" s="566"/>
      <c r="AC145" s="566"/>
      <c r="AD145" s="566"/>
      <c r="AE145" s="566"/>
      <c r="AF145" s="566"/>
      <c r="AG145" s="566"/>
      <c r="AH145" s="566"/>
      <c r="AI145" s="566"/>
      <c r="AJ145" s="566"/>
      <c r="AK145" s="566"/>
    </row>
    <row r="146" spans="2:37" ht="90" customHeight="1">
      <c r="B146" s="1060" t="s">
        <v>215</v>
      </c>
      <c r="C146" s="1060"/>
      <c r="D146" s="1060"/>
      <c r="E146" s="1060"/>
      <c r="F146" s="1060"/>
      <c r="G146" s="1060"/>
      <c r="H146" s="1060"/>
      <c r="I146" s="1060"/>
      <c r="J146" s="1060"/>
      <c r="K146" s="1060"/>
      <c r="L146" s="1060"/>
      <c r="M146" s="1060"/>
      <c r="N146" s="1060"/>
      <c r="O146" s="1060"/>
      <c r="P146" s="1060"/>
      <c r="Q146" s="1060"/>
      <c r="R146" s="1060"/>
      <c r="S146" s="1060"/>
      <c r="T146" s="1060"/>
      <c r="U146" s="1060"/>
      <c r="V146" s="1060"/>
      <c r="W146" s="1060"/>
      <c r="X146" s="1060"/>
      <c r="Y146" s="1060"/>
      <c r="Z146" s="1060"/>
      <c r="AA146" s="1060"/>
      <c r="AB146" s="1060"/>
      <c r="AC146" s="1060"/>
      <c r="AD146" s="1060"/>
      <c r="AE146" s="1060"/>
      <c r="AF146" s="1060"/>
      <c r="AG146" s="1060"/>
      <c r="AH146" s="1060"/>
      <c r="AI146" s="1060"/>
      <c r="AJ146" s="1060"/>
      <c r="AK146" s="1060"/>
    </row>
    <row r="147" spans="2:37" ht="11.25" customHeight="1">
      <c r="B147" s="231"/>
      <c r="C147" s="232"/>
      <c r="D147" s="232"/>
      <c r="E147" s="232"/>
      <c r="F147" s="232"/>
      <c r="G147" s="232"/>
      <c r="H147" s="232"/>
      <c r="I147" s="232"/>
      <c r="J147" s="232"/>
      <c r="K147" s="232"/>
      <c r="L147" s="232"/>
      <c r="M147" s="232"/>
      <c r="N147" s="232"/>
      <c r="O147" s="232"/>
      <c r="P147" s="232"/>
      <c r="Q147" s="232"/>
      <c r="R147" s="232"/>
      <c r="S147" s="232"/>
      <c r="T147" s="232"/>
      <c r="U147" s="232"/>
      <c r="V147" s="232"/>
      <c r="W147" s="232"/>
      <c r="X147" s="232"/>
      <c r="Y147" s="232"/>
      <c r="Z147" s="232"/>
      <c r="AA147" s="232"/>
      <c r="AB147" s="232"/>
      <c r="AC147" s="232"/>
      <c r="AD147" s="232"/>
      <c r="AE147" s="232"/>
      <c r="AF147" s="232"/>
      <c r="AG147" s="232"/>
      <c r="AH147" s="232"/>
      <c r="AI147" s="232"/>
      <c r="AJ147" s="232"/>
      <c r="AK147" s="232"/>
    </row>
    <row r="148" spans="2:37" ht="33.75" customHeight="1">
      <c r="B148" s="566" t="s">
        <v>457</v>
      </c>
      <c r="C148" s="566"/>
      <c r="D148" s="566"/>
      <c r="E148" s="566"/>
      <c r="F148" s="566"/>
      <c r="G148" s="566"/>
      <c r="H148" s="566"/>
      <c r="I148" s="566"/>
      <c r="J148" s="566"/>
      <c r="K148" s="566"/>
      <c r="L148" s="566"/>
      <c r="M148" s="566"/>
      <c r="N148" s="566"/>
      <c r="O148" s="566"/>
      <c r="P148" s="566"/>
      <c r="Q148" s="566"/>
      <c r="R148" s="566"/>
      <c r="S148" s="566"/>
      <c r="T148" s="566"/>
      <c r="U148" s="566"/>
      <c r="V148" s="566"/>
      <c r="W148" s="566"/>
      <c r="X148" s="566"/>
      <c r="Y148" s="566"/>
      <c r="Z148" s="566"/>
      <c r="AA148" s="566"/>
      <c r="AB148" s="566"/>
      <c r="AC148" s="566"/>
      <c r="AD148" s="566"/>
      <c r="AE148" s="566"/>
      <c r="AF148" s="566"/>
      <c r="AG148" s="566"/>
      <c r="AH148" s="566"/>
      <c r="AI148" s="566"/>
      <c r="AJ148" s="566"/>
      <c r="AK148" s="566"/>
    </row>
    <row r="149" spans="2:37" ht="11.25" customHeight="1">
      <c r="B149" s="231"/>
      <c r="C149" s="232"/>
      <c r="D149" s="232"/>
      <c r="E149" s="232"/>
      <c r="F149" s="232"/>
      <c r="G149" s="232"/>
      <c r="H149" s="232"/>
      <c r="I149" s="232"/>
      <c r="J149" s="232"/>
      <c r="K149" s="232"/>
      <c r="L149" s="232"/>
      <c r="M149" s="232"/>
      <c r="N149" s="232"/>
      <c r="O149" s="232"/>
      <c r="P149" s="232"/>
      <c r="Q149" s="232"/>
      <c r="R149" s="232"/>
      <c r="S149" s="232"/>
      <c r="T149" s="232"/>
      <c r="U149" s="232"/>
      <c r="V149" s="232"/>
      <c r="W149" s="232"/>
      <c r="X149" s="232"/>
      <c r="Y149" s="232"/>
      <c r="Z149" s="232"/>
      <c r="AA149" s="232"/>
      <c r="AB149" s="232"/>
      <c r="AC149" s="232"/>
      <c r="AD149" s="232"/>
      <c r="AE149" s="232"/>
      <c r="AF149" s="232"/>
      <c r="AG149" s="232"/>
      <c r="AH149" s="232"/>
      <c r="AI149" s="232"/>
      <c r="AJ149" s="232"/>
      <c r="AK149" s="232"/>
    </row>
    <row r="150" spans="2:37" ht="45" customHeight="1">
      <c r="B150" s="1059" t="s">
        <v>458</v>
      </c>
      <c r="C150" s="1059"/>
      <c r="D150" s="1059"/>
      <c r="E150" s="1059"/>
      <c r="F150" s="1059"/>
      <c r="G150" s="1059"/>
      <c r="H150" s="1059"/>
      <c r="I150" s="1059"/>
      <c r="J150" s="1059"/>
      <c r="K150" s="1059"/>
      <c r="L150" s="1059"/>
      <c r="M150" s="1059"/>
      <c r="N150" s="1059"/>
      <c r="O150" s="1059"/>
      <c r="P150" s="1059"/>
      <c r="Q150" s="1059"/>
      <c r="R150" s="1059"/>
      <c r="S150" s="1059"/>
      <c r="T150" s="1059"/>
      <c r="U150" s="1059"/>
      <c r="V150" s="1059"/>
      <c r="W150" s="1059"/>
      <c r="X150" s="1059"/>
      <c r="Y150" s="1059"/>
      <c r="Z150" s="1059"/>
      <c r="AA150" s="1059"/>
      <c r="AB150" s="1059"/>
      <c r="AC150" s="1059"/>
      <c r="AD150" s="1059"/>
      <c r="AE150" s="1059"/>
      <c r="AF150" s="1059"/>
      <c r="AG150" s="1059"/>
      <c r="AH150" s="1059"/>
      <c r="AI150" s="1059"/>
      <c r="AJ150" s="1059"/>
      <c r="AK150" s="1059"/>
    </row>
    <row r="151" spans="2:37" ht="33.75" customHeight="1">
      <c r="B151" s="1060" t="s">
        <v>218</v>
      </c>
      <c r="C151" s="1060"/>
      <c r="D151" s="1060"/>
      <c r="E151" s="1060"/>
      <c r="F151" s="1060"/>
      <c r="G151" s="1060"/>
      <c r="H151" s="1060"/>
      <c r="I151" s="1060"/>
      <c r="J151" s="1060"/>
      <c r="K151" s="1060"/>
      <c r="L151" s="1060"/>
      <c r="M151" s="1060"/>
      <c r="N151" s="1060"/>
      <c r="O151" s="1060"/>
      <c r="P151" s="1060"/>
      <c r="Q151" s="1060"/>
      <c r="R151" s="1060"/>
      <c r="S151" s="1060"/>
      <c r="T151" s="1060"/>
      <c r="U151" s="1060"/>
      <c r="V151" s="1060"/>
      <c r="W151" s="1060"/>
      <c r="X151" s="1060"/>
      <c r="Y151" s="1060"/>
      <c r="Z151" s="1060"/>
      <c r="AA151" s="1060"/>
      <c r="AB151" s="1060"/>
      <c r="AC151" s="1060"/>
      <c r="AD151" s="1060"/>
      <c r="AE151" s="1060"/>
      <c r="AF151" s="1060"/>
      <c r="AG151" s="1060"/>
      <c r="AH151" s="1060"/>
      <c r="AI151" s="1060"/>
      <c r="AJ151" s="1060"/>
      <c r="AK151" s="1060"/>
    </row>
    <row r="152" spans="2:37" ht="11.25" customHeight="1">
      <c r="B152" s="238"/>
      <c r="C152" s="238"/>
      <c r="D152" s="238"/>
      <c r="E152" s="238"/>
      <c r="F152" s="238"/>
      <c r="G152" s="238"/>
      <c r="H152" s="238"/>
      <c r="I152" s="238"/>
      <c r="J152" s="238"/>
      <c r="K152" s="238"/>
      <c r="L152" s="238"/>
      <c r="M152" s="238"/>
      <c r="N152" s="238"/>
      <c r="O152" s="238"/>
      <c r="P152" s="238"/>
      <c r="Q152" s="238"/>
      <c r="R152" s="238"/>
      <c r="S152" s="238"/>
      <c r="T152" s="238"/>
      <c r="U152" s="238"/>
      <c r="V152" s="238"/>
      <c r="W152" s="238"/>
      <c r="X152" s="238"/>
      <c r="Y152" s="238"/>
      <c r="Z152" s="238"/>
      <c r="AA152" s="238"/>
      <c r="AB152" s="238"/>
      <c r="AC152" s="238"/>
      <c r="AD152" s="238"/>
      <c r="AE152" s="238"/>
      <c r="AF152" s="238"/>
      <c r="AG152" s="238"/>
      <c r="AH152" s="238"/>
      <c r="AI152" s="238"/>
      <c r="AJ152" s="238"/>
      <c r="AK152" s="238"/>
    </row>
    <row r="153" spans="2:37" ht="13.2">
      <c r="B153" s="238"/>
      <c r="C153" s="238"/>
      <c r="D153" s="238"/>
      <c r="E153" s="238"/>
      <c r="F153" s="238"/>
      <c r="G153" s="238"/>
      <c r="H153" s="238"/>
      <c r="I153" s="238"/>
      <c r="J153" s="238"/>
      <c r="K153" s="238"/>
      <c r="L153" s="238"/>
      <c r="M153" s="238"/>
      <c r="N153" s="238"/>
      <c r="O153" s="238"/>
      <c r="P153" s="238"/>
      <c r="Q153" s="238"/>
      <c r="R153" s="238"/>
      <c r="S153" s="238"/>
      <c r="T153" s="238"/>
      <c r="U153" s="238"/>
      <c r="V153" s="238"/>
      <c r="W153" s="238"/>
      <c r="X153" s="238"/>
      <c r="Y153" s="238"/>
      <c r="Z153" s="238"/>
      <c r="AA153" s="238"/>
      <c r="AB153" s="238"/>
      <c r="AC153" s="238"/>
      <c r="AD153" s="238"/>
      <c r="AE153" s="238"/>
      <c r="AF153" s="238"/>
      <c r="AG153" s="238"/>
      <c r="AH153" s="238"/>
      <c r="AI153" s="238"/>
      <c r="AJ153" s="238"/>
      <c r="AK153" s="238"/>
    </row>
    <row r="154" spans="2:37" ht="13.2">
      <c r="B154" s="238"/>
      <c r="C154" s="238"/>
      <c r="D154" s="238"/>
      <c r="E154" s="238"/>
      <c r="F154" s="238"/>
      <c r="G154" s="238"/>
      <c r="H154" s="238"/>
      <c r="I154" s="238"/>
      <c r="J154" s="238"/>
      <c r="K154" s="238"/>
      <c r="L154" s="238"/>
      <c r="M154" s="238"/>
      <c r="N154" s="238"/>
      <c r="O154" s="238"/>
      <c r="P154" s="238"/>
      <c r="Q154" s="238"/>
      <c r="R154" s="238"/>
      <c r="S154" s="238"/>
      <c r="T154" s="238"/>
      <c r="U154" s="238"/>
      <c r="V154" s="238"/>
      <c r="W154" s="238"/>
      <c r="X154" s="238"/>
      <c r="Y154" s="238"/>
      <c r="Z154" s="238"/>
      <c r="AA154" s="238"/>
      <c r="AB154" s="238"/>
      <c r="AC154" s="238"/>
      <c r="AD154" s="238"/>
      <c r="AE154" s="238"/>
      <c r="AF154" s="238"/>
      <c r="AG154" s="238"/>
      <c r="AH154" s="238"/>
      <c r="AI154" s="238"/>
      <c r="AJ154" s="238"/>
      <c r="AK154" s="238"/>
    </row>
    <row r="155" spans="2:37" ht="13.2">
      <c r="B155" s="238"/>
      <c r="C155" s="238"/>
      <c r="D155" s="238"/>
      <c r="E155" s="238"/>
      <c r="F155" s="238"/>
      <c r="G155" s="238"/>
      <c r="H155" s="238"/>
      <c r="I155" s="238"/>
      <c r="J155" s="238"/>
      <c r="K155" s="238"/>
      <c r="L155" s="238"/>
      <c r="M155" s="238"/>
      <c r="N155" s="238"/>
      <c r="O155" s="238"/>
      <c r="P155" s="238"/>
      <c r="Q155" s="238"/>
      <c r="R155" s="238"/>
      <c r="S155" s="238"/>
      <c r="T155" s="238"/>
      <c r="U155" s="238"/>
      <c r="V155" s="238"/>
      <c r="W155" s="238"/>
      <c r="X155" s="238"/>
      <c r="Y155" s="238"/>
      <c r="Z155" s="238"/>
      <c r="AA155" s="238"/>
      <c r="AB155" s="238"/>
      <c r="AC155" s="238"/>
      <c r="AD155" s="238"/>
      <c r="AE155" s="238"/>
      <c r="AF155" s="238"/>
      <c r="AG155" s="238"/>
      <c r="AH155" s="238"/>
      <c r="AI155" s="238"/>
      <c r="AJ155" s="238"/>
      <c r="AK155" s="238"/>
    </row>
    <row r="156" spans="2:37" ht="13.2">
      <c r="B156" s="238"/>
      <c r="C156" s="238"/>
      <c r="D156" s="238"/>
      <c r="E156" s="238"/>
      <c r="F156" s="238"/>
      <c r="G156" s="238"/>
      <c r="H156" s="238"/>
      <c r="I156" s="238"/>
      <c r="J156" s="238"/>
      <c r="K156" s="238"/>
      <c r="L156" s="238"/>
      <c r="M156" s="238"/>
      <c r="N156" s="238"/>
      <c r="O156" s="238"/>
      <c r="P156" s="238"/>
      <c r="Q156" s="238"/>
      <c r="R156" s="238"/>
      <c r="S156" s="238"/>
      <c r="T156" s="238"/>
      <c r="U156" s="238"/>
      <c r="V156" s="238"/>
      <c r="W156" s="238"/>
      <c r="X156" s="238"/>
      <c r="Y156" s="238"/>
      <c r="Z156" s="238"/>
      <c r="AA156" s="238"/>
      <c r="AB156" s="238"/>
      <c r="AC156" s="238"/>
      <c r="AD156" s="238"/>
      <c r="AE156" s="238"/>
      <c r="AF156" s="238"/>
      <c r="AG156" s="238"/>
      <c r="AH156" s="238"/>
      <c r="AI156" s="238"/>
      <c r="AJ156" s="238"/>
      <c r="AK156" s="238"/>
    </row>
    <row r="157" spans="2:37" ht="13.2">
      <c r="B157" s="238"/>
      <c r="C157" s="238"/>
      <c r="D157" s="238"/>
      <c r="E157" s="238"/>
      <c r="F157" s="238"/>
      <c r="G157" s="238"/>
      <c r="H157" s="238"/>
      <c r="I157" s="238"/>
      <c r="J157" s="238"/>
      <c r="K157" s="238"/>
      <c r="L157" s="238"/>
      <c r="M157" s="238"/>
      <c r="N157" s="238"/>
      <c r="O157" s="238"/>
      <c r="P157" s="238"/>
      <c r="Q157" s="238"/>
      <c r="R157" s="238"/>
      <c r="S157" s="238"/>
      <c r="T157" s="238"/>
      <c r="U157" s="238"/>
      <c r="V157" s="238"/>
      <c r="W157" s="238"/>
      <c r="X157" s="238"/>
      <c r="Y157" s="238"/>
      <c r="Z157" s="238"/>
      <c r="AA157" s="238"/>
      <c r="AB157" s="238"/>
      <c r="AC157" s="238"/>
      <c r="AD157" s="238"/>
      <c r="AE157" s="238"/>
      <c r="AF157" s="238"/>
      <c r="AG157" s="238"/>
      <c r="AH157" s="238"/>
      <c r="AI157" s="238"/>
      <c r="AJ157" s="238"/>
      <c r="AK157" s="238"/>
    </row>
    <row r="158" spans="2:37" ht="13.2">
      <c r="B158" s="238"/>
      <c r="C158" s="238"/>
      <c r="D158" s="238"/>
      <c r="E158" s="238"/>
      <c r="F158" s="238"/>
      <c r="G158" s="238"/>
      <c r="H158" s="238"/>
      <c r="I158" s="238"/>
      <c r="J158" s="238"/>
      <c r="K158" s="238"/>
      <c r="L158" s="238"/>
      <c r="M158" s="238"/>
      <c r="N158" s="238"/>
      <c r="O158" s="238"/>
      <c r="P158" s="238"/>
      <c r="Q158" s="238"/>
      <c r="R158" s="238"/>
      <c r="S158" s="238"/>
      <c r="T158" s="238"/>
      <c r="U158" s="238"/>
      <c r="V158" s="238"/>
      <c r="W158" s="238"/>
      <c r="X158" s="238"/>
      <c r="Y158" s="238"/>
      <c r="Z158" s="238"/>
      <c r="AA158" s="238"/>
      <c r="AB158" s="238"/>
      <c r="AC158" s="238"/>
      <c r="AD158" s="238"/>
      <c r="AE158" s="238"/>
      <c r="AF158" s="238"/>
      <c r="AG158" s="238"/>
      <c r="AH158" s="238"/>
      <c r="AI158" s="238"/>
      <c r="AJ158" s="238"/>
      <c r="AK158" s="238"/>
    </row>
    <row r="159" spans="2:37" ht="13.2">
      <c r="B159" s="238"/>
      <c r="C159" s="238"/>
      <c r="D159" s="238"/>
      <c r="E159" s="238"/>
      <c r="F159" s="238"/>
      <c r="G159" s="238"/>
      <c r="H159" s="238"/>
      <c r="I159" s="238"/>
      <c r="J159" s="238"/>
      <c r="K159" s="238"/>
      <c r="L159" s="238"/>
      <c r="M159" s="238"/>
      <c r="N159" s="238"/>
      <c r="O159" s="238"/>
      <c r="P159" s="238"/>
      <c r="Q159" s="238"/>
      <c r="R159" s="238"/>
      <c r="S159" s="238"/>
      <c r="T159" s="238"/>
      <c r="U159" s="238"/>
      <c r="V159" s="238"/>
      <c r="W159" s="238"/>
      <c r="X159" s="238"/>
      <c r="Y159" s="238"/>
      <c r="Z159" s="238"/>
      <c r="AA159" s="238"/>
      <c r="AB159" s="238"/>
      <c r="AC159" s="238"/>
      <c r="AD159" s="238"/>
      <c r="AE159" s="238"/>
      <c r="AF159" s="238"/>
      <c r="AG159" s="238"/>
      <c r="AH159" s="238"/>
      <c r="AI159" s="238"/>
      <c r="AJ159" s="238"/>
      <c r="AK159" s="238"/>
    </row>
    <row r="160" spans="2:37" ht="13.2">
      <c r="B160" s="238"/>
      <c r="C160" s="238"/>
      <c r="D160" s="238"/>
      <c r="E160" s="238"/>
      <c r="F160" s="238"/>
      <c r="G160" s="238"/>
      <c r="H160" s="238"/>
      <c r="I160" s="238"/>
      <c r="J160" s="238"/>
      <c r="K160" s="238"/>
      <c r="L160" s="238"/>
      <c r="M160" s="238"/>
      <c r="N160" s="238"/>
      <c r="O160" s="238"/>
      <c r="P160" s="238"/>
      <c r="Q160" s="238"/>
      <c r="R160" s="238"/>
      <c r="S160" s="238"/>
      <c r="T160" s="238"/>
      <c r="U160" s="238"/>
      <c r="V160" s="238"/>
      <c r="W160" s="238"/>
      <c r="X160" s="238"/>
      <c r="Y160" s="238"/>
      <c r="Z160" s="238"/>
      <c r="AA160" s="238"/>
      <c r="AB160" s="238"/>
      <c r="AC160" s="238"/>
      <c r="AD160" s="238"/>
      <c r="AE160" s="238"/>
      <c r="AF160" s="238"/>
      <c r="AG160" s="238"/>
      <c r="AH160" s="238"/>
      <c r="AI160" s="238"/>
      <c r="AJ160" s="238"/>
      <c r="AK160" s="238"/>
    </row>
    <row r="161" spans="2:37" ht="11.25" customHeight="1">
      <c r="B161" s="238"/>
      <c r="C161" s="238"/>
      <c r="D161" s="238"/>
      <c r="E161" s="238"/>
      <c r="F161" s="238"/>
      <c r="G161" s="238"/>
      <c r="H161" s="238"/>
      <c r="I161" s="238"/>
      <c r="J161" s="238"/>
      <c r="K161" s="238"/>
      <c r="L161" s="238"/>
      <c r="M161" s="238"/>
      <c r="N161" s="238"/>
      <c r="O161" s="238"/>
      <c r="P161" s="238"/>
      <c r="Q161" s="238"/>
      <c r="R161" s="238"/>
      <c r="S161" s="238"/>
      <c r="T161" s="238"/>
      <c r="U161" s="238"/>
      <c r="V161" s="238"/>
      <c r="W161" s="238"/>
      <c r="X161" s="238"/>
      <c r="Y161" s="238"/>
      <c r="Z161" s="238"/>
      <c r="AA161" s="238"/>
      <c r="AB161" s="238"/>
      <c r="AC161" s="238"/>
      <c r="AD161" s="238"/>
      <c r="AE161" s="238"/>
      <c r="AF161" s="238"/>
      <c r="AG161" s="238"/>
      <c r="AH161" s="238"/>
      <c r="AI161" s="238"/>
      <c r="AJ161" s="238"/>
      <c r="AK161" s="238"/>
    </row>
    <row r="162" spans="2:37" ht="11.25" customHeight="1">
      <c r="B162" s="1060" t="s">
        <v>219</v>
      </c>
      <c r="C162" s="1060"/>
      <c r="D162" s="1060"/>
      <c r="E162" s="1060"/>
      <c r="F162" s="1060"/>
      <c r="G162" s="1060"/>
      <c r="H162" s="1060"/>
      <c r="I162" s="1060"/>
      <c r="J162" s="1060"/>
      <c r="K162" s="1060"/>
      <c r="L162" s="1060"/>
      <c r="M162" s="1060"/>
      <c r="N162" s="1060"/>
      <c r="O162" s="1060"/>
      <c r="P162" s="1060"/>
      <c r="Q162" s="1060"/>
      <c r="R162" s="1060"/>
      <c r="S162" s="1060"/>
      <c r="T162" s="1060"/>
      <c r="U162" s="1060"/>
      <c r="V162" s="1060"/>
      <c r="W162" s="1060"/>
      <c r="X162" s="1060"/>
      <c r="Y162" s="1060"/>
      <c r="Z162" s="1060"/>
      <c r="AA162" s="1060"/>
      <c r="AB162" s="1060"/>
      <c r="AC162" s="1060"/>
      <c r="AD162" s="1060"/>
      <c r="AE162" s="1060"/>
      <c r="AF162" s="1060"/>
      <c r="AG162" s="1060"/>
      <c r="AH162" s="1060"/>
      <c r="AI162" s="1060"/>
      <c r="AJ162" s="1060"/>
      <c r="AK162" s="1060"/>
    </row>
    <row r="163" spans="2:37" ht="11.25" customHeight="1">
      <c r="B163" s="1060" t="s">
        <v>220</v>
      </c>
      <c r="C163" s="1060"/>
      <c r="D163" s="1060"/>
      <c r="E163" s="1060"/>
      <c r="F163" s="1060"/>
      <c r="G163" s="1060"/>
      <c r="H163" s="1060"/>
      <c r="I163" s="1060"/>
      <c r="J163" s="1060"/>
      <c r="K163" s="1060"/>
      <c r="L163" s="1060"/>
      <c r="M163" s="1060"/>
      <c r="N163" s="1060"/>
      <c r="O163" s="1060"/>
      <c r="P163" s="1060"/>
      <c r="Q163" s="1060"/>
      <c r="R163" s="1060"/>
      <c r="S163" s="1060"/>
      <c r="T163" s="1060"/>
      <c r="U163" s="1060"/>
      <c r="V163" s="1060"/>
      <c r="W163" s="1060"/>
      <c r="X163" s="1060"/>
      <c r="Y163" s="1060"/>
      <c r="Z163" s="1060"/>
      <c r="AA163" s="1060"/>
      <c r="AB163" s="1060"/>
      <c r="AC163" s="1060"/>
      <c r="AD163" s="1060"/>
      <c r="AE163" s="1060"/>
      <c r="AF163" s="1060"/>
      <c r="AG163" s="1060"/>
      <c r="AH163" s="1060"/>
      <c r="AI163" s="1060"/>
      <c r="AJ163" s="1060"/>
      <c r="AK163" s="1060"/>
    </row>
    <row r="164" spans="2:37" ht="22.5" customHeight="1">
      <c r="B164" s="1060" t="s">
        <v>221</v>
      </c>
      <c r="C164" s="1060"/>
      <c r="D164" s="1060"/>
      <c r="E164" s="1060"/>
      <c r="F164" s="1060"/>
      <c r="G164" s="1060"/>
      <c r="H164" s="1060"/>
      <c r="I164" s="1060"/>
      <c r="J164" s="1060"/>
      <c r="K164" s="1060"/>
      <c r="L164" s="1060"/>
      <c r="M164" s="1060"/>
      <c r="N164" s="1060"/>
      <c r="O164" s="1060"/>
      <c r="P164" s="1060"/>
      <c r="Q164" s="1060"/>
      <c r="R164" s="1060"/>
      <c r="S164" s="1060"/>
      <c r="T164" s="1060"/>
      <c r="U164" s="1060"/>
      <c r="V164" s="1060"/>
      <c r="W164" s="1060"/>
      <c r="X164" s="1060"/>
      <c r="Y164" s="1060"/>
      <c r="Z164" s="1060"/>
      <c r="AA164" s="1060"/>
      <c r="AB164" s="1060"/>
      <c r="AC164" s="1060"/>
      <c r="AD164" s="1060"/>
      <c r="AE164" s="1060"/>
      <c r="AF164" s="1060"/>
      <c r="AG164" s="1060"/>
      <c r="AH164" s="1060"/>
      <c r="AI164" s="1060"/>
      <c r="AJ164" s="1060"/>
      <c r="AK164" s="1060"/>
    </row>
    <row r="165" spans="2:37" ht="22.5" customHeight="1">
      <c r="B165" s="1060" t="s">
        <v>222</v>
      </c>
      <c r="C165" s="1060"/>
      <c r="D165" s="1060"/>
      <c r="E165" s="1060"/>
      <c r="F165" s="1060"/>
      <c r="G165" s="1060"/>
      <c r="H165" s="1060"/>
      <c r="I165" s="1060"/>
      <c r="J165" s="1060"/>
      <c r="K165" s="1060"/>
      <c r="L165" s="1060"/>
      <c r="M165" s="1060"/>
      <c r="N165" s="1060"/>
      <c r="O165" s="1060"/>
      <c r="P165" s="1060"/>
      <c r="Q165" s="1060"/>
      <c r="R165" s="1060"/>
      <c r="S165" s="1060"/>
      <c r="T165" s="1060"/>
      <c r="U165" s="1060"/>
      <c r="V165" s="1060"/>
      <c r="W165" s="1060"/>
      <c r="X165" s="1060"/>
      <c r="Y165" s="1060"/>
      <c r="Z165" s="1060"/>
      <c r="AA165" s="1060"/>
      <c r="AB165" s="1060"/>
      <c r="AC165" s="1060"/>
      <c r="AD165" s="1060"/>
      <c r="AE165" s="1060"/>
      <c r="AF165" s="1060"/>
      <c r="AG165" s="1060"/>
      <c r="AH165" s="1060"/>
      <c r="AI165" s="1060"/>
      <c r="AJ165" s="1060"/>
      <c r="AK165" s="1060"/>
    </row>
    <row r="166" spans="2:37" ht="11.25" customHeight="1">
      <c r="B166" s="1060" t="s">
        <v>223</v>
      </c>
      <c r="C166" s="1060"/>
      <c r="D166" s="1060"/>
      <c r="E166" s="1060"/>
      <c r="F166" s="1060"/>
      <c r="G166" s="1060"/>
      <c r="H166" s="1060"/>
      <c r="I166" s="1060"/>
      <c r="J166" s="1060"/>
      <c r="K166" s="1060"/>
      <c r="L166" s="1060"/>
      <c r="M166" s="1060"/>
      <c r="N166" s="1060"/>
      <c r="O166" s="1060"/>
      <c r="P166" s="1060"/>
      <c r="Q166" s="1060"/>
      <c r="R166" s="1060"/>
      <c r="S166" s="1060"/>
      <c r="T166" s="1060"/>
      <c r="U166" s="1060"/>
      <c r="V166" s="1060"/>
      <c r="W166" s="1060"/>
      <c r="X166" s="1060"/>
      <c r="Y166" s="1060"/>
      <c r="Z166" s="1060"/>
      <c r="AA166" s="1060"/>
      <c r="AB166" s="1060"/>
      <c r="AC166" s="1060"/>
      <c r="AD166" s="1060"/>
      <c r="AE166" s="1060"/>
      <c r="AF166" s="1060"/>
      <c r="AG166" s="1060"/>
      <c r="AH166" s="1060"/>
      <c r="AI166" s="1060"/>
      <c r="AJ166" s="1060"/>
      <c r="AK166" s="1060"/>
    </row>
    <row r="167" spans="2:37" ht="33.75" customHeight="1">
      <c r="B167" s="1060" t="s">
        <v>224</v>
      </c>
      <c r="C167" s="1060"/>
      <c r="D167" s="1060"/>
      <c r="E167" s="1060"/>
      <c r="F167" s="1060"/>
      <c r="G167" s="1060"/>
      <c r="H167" s="1060"/>
      <c r="I167" s="1060"/>
      <c r="J167" s="1060"/>
      <c r="K167" s="1060"/>
      <c r="L167" s="1060"/>
      <c r="M167" s="1060"/>
      <c r="N167" s="1060"/>
      <c r="O167" s="1060"/>
      <c r="P167" s="1060"/>
      <c r="Q167" s="1060"/>
      <c r="R167" s="1060"/>
      <c r="S167" s="1060"/>
      <c r="T167" s="1060"/>
      <c r="U167" s="1060"/>
      <c r="V167" s="1060"/>
      <c r="W167" s="1060"/>
      <c r="X167" s="1060"/>
      <c r="Y167" s="1060"/>
      <c r="Z167" s="1060"/>
      <c r="AA167" s="1060"/>
      <c r="AB167" s="1060"/>
      <c r="AC167" s="1060"/>
      <c r="AD167" s="1060"/>
      <c r="AE167" s="1060"/>
      <c r="AF167" s="1060"/>
      <c r="AG167" s="1060"/>
      <c r="AH167" s="1060"/>
      <c r="AI167" s="1060"/>
      <c r="AJ167" s="1060"/>
      <c r="AK167" s="1060"/>
    </row>
    <row r="168" spans="2:37" ht="11.25" customHeight="1">
      <c r="B168" s="1060" t="s">
        <v>225</v>
      </c>
      <c r="C168" s="1060"/>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row>
    <row r="169" spans="2:37" ht="45" customHeight="1">
      <c r="B169" s="1060" t="s">
        <v>226</v>
      </c>
      <c r="C169" s="1060"/>
      <c r="D169" s="1060"/>
      <c r="E169" s="1060"/>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row>
    <row r="170" spans="2:37" ht="22.5" customHeight="1">
      <c r="B170" s="562" t="s">
        <v>459</v>
      </c>
      <c r="C170" s="562"/>
      <c r="D170" s="562"/>
      <c r="E170" s="562"/>
      <c r="F170" s="562"/>
      <c r="G170" s="562"/>
      <c r="H170" s="562"/>
      <c r="I170" s="562"/>
      <c r="J170" s="562"/>
      <c r="K170" s="562"/>
      <c r="L170" s="562"/>
      <c r="M170" s="562"/>
      <c r="N170" s="562"/>
      <c r="O170" s="562"/>
      <c r="P170" s="562"/>
      <c r="Q170" s="562"/>
      <c r="R170" s="562"/>
      <c r="S170" s="562"/>
      <c r="T170" s="562"/>
      <c r="U170" s="562"/>
      <c r="V170" s="562"/>
      <c r="W170" s="562"/>
      <c r="X170" s="562"/>
      <c r="Y170" s="562"/>
      <c r="Z170" s="562"/>
      <c r="AA170" s="562"/>
      <c r="AB170" s="562"/>
      <c r="AC170" s="562"/>
      <c r="AD170" s="562"/>
      <c r="AE170" s="562"/>
      <c r="AF170" s="562"/>
      <c r="AG170" s="562"/>
      <c r="AH170" s="562"/>
      <c r="AI170" s="562"/>
      <c r="AJ170" s="562"/>
      <c r="AK170" s="562"/>
    </row>
    <row r="171" spans="2:37" ht="11.25" customHeight="1">
      <c r="B171" s="231"/>
      <c r="C171" s="232"/>
      <c r="D171" s="232"/>
      <c r="E171" s="232"/>
      <c r="F171" s="232"/>
      <c r="G171" s="232"/>
      <c r="H171" s="232"/>
      <c r="I171" s="232"/>
      <c r="J171" s="232"/>
      <c r="K171" s="232"/>
      <c r="L171" s="232"/>
      <c r="M171" s="232"/>
      <c r="N171" s="232"/>
      <c r="O171" s="232"/>
      <c r="P171" s="232"/>
      <c r="Q171" s="232"/>
      <c r="R171" s="232"/>
      <c r="S171" s="232"/>
      <c r="T171" s="232"/>
      <c r="U171" s="232"/>
      <c r="V171" s="232"/>
      <c r="W171" s="232"/>
      <c r="X171" s="232"/>
      <c r="Y171" s="232"/>
      <c r="Z171" s="232"/>
      <c r="AA171" s="232"/>
      <c r="AB171" s="232"/>
      <c r="AC171" s="232"/>
      <c r="AD171" s="232"/>
      <c r="AE171" s="232"/>
      <c r="AF171" s="232"/>
      <c r="AG171" s="232"/>
      <c r="AH171" s="232"/>
      <c r="AI171" s="232"/>
      <c r="AJ171" s="232"/>
      <c r="AK171" s="232"/>
    </row>
    <row r="172" spans="2:37" ht="33.75" customHeight="1">
      <c r="B172" s="566" t="s">
        <v>369</v>
      </c>
      <c r="C172" s="566"/>
      <c r="D172" s="566"/>
      <c r="E172" s="566"/>
      <c r="F172" s="566"/>
      <c r="G172" s="566"/>
      <c r="H172" s="566"/>
      <c r="I172" s="566"/>
      <c r="J172" s="566"/>
      <c r="K172" s="566"/>
      <c r="L172" s="566"/>
      <c r="M172" s="566"/>
      <c r="N172" s="566"/>
      <c r="O172" s="566"/>
      <c r="P172" s="566"/>
      <c r="Q172" s="566"/>
      <c r="R172" s="566"/>
      <c r="S172" s="566"/>
      <c r="T172" s="566"/>
      <c r="U172" s="566"/>
      <c r="V172" s="566"/>
      <c r="W172" s="566"/>
      <c r="X172" s="566"/>
      <c r="Y172" s="566"/>
      <c r="Z172" s="566"/>
      <c r="AA172" s="566"/>
      <c r="AB172" s="566"/>
      <c r="AC172" s="566"/>
      <c r="AD172" s="566"/>
      <c r="AE172" s="566"/>
      <c r="AF172" s="566"/>
      <c r="AG172" s="566"/>
      <c r="AH172" s="566"/>
      <c r="AI172" s="566"/>
      <c r="AJ172" s="566"/>
      <c r="AK172" s="566"/>
    </row>
    <row r="173" spans="2:37" ht="11.25" customHeight="1">
      <c r="B173" s="232"/>
      <c r="C173" s="232"/>
      <c r="D173" s="232"/>
      <c r="E173" s="232"/>
      <c r="F173" s="232"/>
      <c r="G173" s="232"/>
      <c r="H173" s="232"/>
      <c r="I173" s="232"/>
      <c r="J173" s="232"/>
      <c r="K173" s="232"/>
      <c r="L173" s="232"/>
      <c r="M173" s="232"/>
      <c r="N173" s="232"/>
      <c r="O173" s="232"/>
      <c r="P173" s="232"/>
      <c r="Q173" s="232"/>
      <c r="R173" s="232"/>
      <c r="S173" s="232"/>
      <c r="T173" s="232"/>
      <c r="U173" s="232"/>
      <c r="V173" s="232"/>
      <c r="W173" s="232"/>
      <c r="X173" s="232"/>
      <c r="Y173" s="232"/>
      <c r="Z173" s="232"/>
      <c r="AA173" s="232"/>
      <c r="AB173" s="232"/>
      <c r="AC173" s="232"/>
      <c r="AD173" s="232"/>
      <c r="AE173" s="232"/>
      <c r="AF173" s="232"/>
      <c r="AG173" s="232"/>
      <c r="AH173" s="232"/>
      <c r="AI173" s="232"/>
      <c r="AJ173" s="232"/>
      <c r="AK173" s="232"/>
    </row>
    <row r="174" spans="2:37" ht="45" customHeight="1">
      <c r="B174" s="566" t="s">
        <v>460</v>
      </c>
      <c r="C174" s="566"/>
      <c r="D174" s="566"/>
      <c r="E174" s="566"/>
      <c r="F174" s="566"/>
      <c r="G174" s="566"/>
      <c r="H174" s="566"/>
      <c r="I174" s="566"/>
      <c r="J174" s="566"/>
      <c r="K174" s="566"/>
      <c r="L174" s="566"/>
      <c r="M174" s="566"/>
      <c r="N174" s="566"/>
      <c r="O174" s="566"/>
      <c r="P174" s="566"/>
      <c r="Q174" s="566"/>
      <c r="R174" s="566"/>
      <c r="S174" s="566"/>
      <c r="T174" s="566"/>
      <c r="U174" s="566"/>
      <c r="V174" s="566"/>
      <c r="W174" s="566"/>
      <c r="X174" s="566"/>
      <c r="Y174" s="566"/>
      <c r="Z174" s="566"/>
      <c r="AA174" s="566"/>
      <c r="AB174" s="566"/>
      <c r="AC174" s="566"/>
      <c r="AD174" s="566"/>
      <c r="AE174" s="566"/>
      <c r="AF174" s="566"/>
      <c r="AG174" s="566"/>
      <c r="AH174" s="566"/>
      <c r="AI174" s="566"/>
      <c r="AJ174" s="566"/>
      <c r="AK174" s="566"/>
    </row>
    <row r="175" spans="2:37" ht="11.25" customHeight="1">
      <c r="B175" s="231"/>
      <c r="C175" s="231"/>
      <c r="D175" s="231"/>
      <c r="E175" s="231"/>
      <c r="F175" s="231"/>
      <c r="G175" s="231"/>
      <c r="H175" s="231"/>
      <c r="I175" s="231"/>
      <c r="J175" s="231"/>
      <c r="K175" s="231"/>
      <c r="L175" s="231"/>
      <c r="M175" s="231"/>
      <c r="N175" s="231"/>
      <c r="O175" s="231"/>
      <c r="P175" s="231"/>
      <c r="Q175" s="231"/>
      <c r="R175" s="231"/>
      <c r="S175" s="231"/>
      <c r="T175" s="231"/>
      <c r="U175" s="231"/>
      <c r="V175" s="231"/>
      <c r="W175" s="231"/>
      <c r="X175" s="231"/>
      <c r="Y175" s="231"/>
      <c r="Z175" s="231"/>
      <c r="AA175" s="231"/>
      <c r="AB175" s="231"/>
      <c r="AC175" s="231"/>
      <c r="AD175" s="231"/>
      <c r="AE175" s="231"/>
      <c r="AF175" s="231"/>
      <c r="AG175" s="231"/>
      <c r="AH175" s="231"/>
      <c r="AI175" s="231"/>
      <c r="AJ175" s="231"/>
      <c r="AK175" s="231"/>
    </row>
    <row r="176" spans="2:37" ht="56.25" customHeight="1">
      <c r="B176" s="566" t="s">
        <v>371</v>
      </c>
      <c r="C176" s="566"/>
      <c r="D176" s="566"/>
      <c r="E176" s="566"/>
      <c r="F176" s="566"/>
      <c r="G176" s="566"/>
      <c r="H176" s="566"/>
      <c r="I176" s="566"/>
      <c r="J176" s="566"/>
      <c r="K176" s="566"/>
      <c r="L176" s="566"/>
      <c r="M176" s="566"/>
      <c r="N176" s="566"/>
      <c r="O176" s="566"/>
      <c r="P176" s="566"/>
      <c r="Q176" s="566"/>
      <c r="R176" s="566"/>
      <c r="S176" s="566"/>
      <c r="T176" s="566"/>
      <c r="U176" s="566"/>
      <c r="V176" s="566"/>
      <c r="W176" s="566"/>
      <c r="X176" s="566"/>
      <c r="Y176" s="566"/>
      <c r="Z176" s="566"/>
      <c r="AA176" s="566"/>
      <c r="AB176" s="566"/>
      <c r="AC176" s="566"/>
      <c r="AD176" s="566"/>
      <c r="AE176" s="566"/>
      <c r="AF176" s="566"/>
      <c r="AG176" s="566"/>
      <c r="AH176" s="566"/>
      <c r="AI176" s="566"/>
      <c r="AJ176" s="566"/>
      <c r="AK176" s="566"/>
    </row>
    <row r="177" spans="2:37" ht="22.5" customHeight="1">
      <c r="B177" s="562" t="s">
        <v>231</v>
      </c>
      <c r="C177" s="562"/>
      <c r="D177" s="562"/>
      <c r="E177" s="562"/>
      <c r="F177" s="562"/>
      <c r="G177" s="562"/>
      <c r="H177" s="562"/>
      <c r="I177" s="562"/>
      <c r="J177" s="562"/>
      <c r="K177" s="562"/>
      <c r="L177" s="562"/>
      <c r="M177" s="562"/>
      <c r="N177" s="562"/>
      <c r="O177" s="562"/>
      <c r="P177" s="562"/>
      <c r="Q177" s="562"/>
      <c r="R177" s="562"/>
      <c r="S177" s="562"/>
      <c r="T177" s="562"/>
      <c r="U177" s="562"/>
      <c r="V177" s="562"/>
      <c r="W177" s="562"/>
      <c r="X177" s="562"/>
      <c r="Y177" s="562"/>
      <c r="Z177" s="562"/>
      <c r="AA177" s="562"/>
      <c r="AB177" s="562"/>
      <c r="AC177" s="562"/>
      <c r="AD177" s="562"/>
      <c r="AE177" s="562"/>
      <c r="AF177" s="562"/>
      <c r="AG177" s="562"/>
      <c r="AH177" s="562"/>
      <c r="AI177" s="562"/>
      <c r="AJ177" s="562"/>
      <c r="AK177" s="562"/>
    </row>
    <row r="178" spans="2:37" ht="11.25" customHeight="1">
      <c r="B178" s="232"/>
      <c r="C178" s="232"/>
      <c r="D178" s="232"/>
      <c r="E178" s="232"/>
      <c r="F178" s="232"/>
      <c r="G178" s="232"/>
      <c r="H178" s="232"/>
      <c r="I178" s="232"/>
      <c r="J178" s="232"/>
      <c r="K178" s="232"/>
      <c r="L178" s="232"/>
      <c r="M178" s="232"/>
      <c r="N178" s="232"/>
      <c r="O178" s="232"/>
      <c r="P178" s="232"/>
      <c r="Q178" s="232"/>
      <c r="R178" s="232"/>
      <c r="S178" s="232"/>
      <c r="T178" s="232"/>
      <c r="U178" s="232"/>
      <c r="V178" s="232"/>
      <c r="W178" s="232"/>
      <c r="X178" s="232"/>
      <c r="Y178" s="232"/>
      <c r="Z178" s="232"/>
      <c r="AA178" s="232"/>
      <c r="AB178" s="232"/>
      <c r="AC178" s="232"/>
      <c r="AD178" s="232"/>
      <c r="AE178" s="232"/>
      <c r="AF178" s="232"/>
      <c r="AG178" s="232"/>
      <c r="AH178" s="232"/>
      <c r="AI178" s="232"/>
      <c r="AJ178" s="232"/>
      <c r="AK178" s="232"/>
    </row>
    <row r="179" spans="2:37" ht="67.5" customHeight="1">
      <c r="B179" s="566" t="s">
        <v>232</v>
      </c>
      <c r="C179" s="566"/>
      <c r="D179" s="566"/>
      <c r="E179" s="566"/>
      <c r="F179" s="566"/>
      <c r="G179" s="566"/>
      <c r="H179" s="566"/>
      <c r="I179" s="566"/>
      <c r="J179" s="566"/>
      <c r="K179" s="566"/>
      <c r="L179" s="566"/>
      <c r="M179" s="566"/>
      <c r="N179" s="566"/>
      <c r="O179" s="566"/>
      <c r="P179" s="566"/>
      <c r="Q179" s="566"/>
      <c r="R179" s="566"/>
      <c r="S179" s="566"/>
      <c r="T179" s="566"/>
      <c r="U179" s="566"/>
      <c r="V179" s="566"/>
      <c r="W179" s="566"/>
      <c r="X179" s="566"/>
      <c r="Y179" s="566"/>
      <c r="Z179" s="566"/>
      <c r="AA179" s="566"/>
      <c r="AB179" s="566"/>
      <c r="AC179" s="566"/>
      <c r="AD179" s="566"/>
      <c r="AE179" s="566"/>
      <c r="AF179" s="566"/>
      <c r="AG179" s="566"/>
      <c r="AH179" s="566"/>
      <c r="AI179" s="566"/>
      <c r="AJ179" s="566"/>
      <c r="AK179" s="566"/>
    </row>
    <row r="180" spans="2:37" ht="11.25" customHeight="1">
      <c r="B180" s="232"/>
      <c r="C180" s="232"/>
      <c r="D180" s="232"/>
      <c r="E180" s="232"/>
      <c r="F180" s="232"/>
      <c r="G180" s="232"/>
      <c r="H180" s="232"/>
      <c r="I180" s="232"/>
      <c r="J180" s="232"/>
      <c r="K180" s="232"/>
      <c r="L180" s="232"/>
      <c r="M180" s="232"/>
      <c r="N180" s="232"/>
      <c r="O180" s="232"/>
      <c r="P180" s="232"/>
      <c r="Q180" s="232"/>
      <c r="R180" s="232"/>
      <c r="S180" s="232"/>
      <c r="T180" s="232"/>
      <c r="U180" s="232"/>
      <c r="V180" s="232"/>
      <c r="W180" s="232"/>
      <c r="X180" s="232"/>
      <c r="Y180" s="232"/>
      <c r="Z180" s="232"/>
      <c r="AA180" s="232"/>
      <c r="AB180" s="232"/>
      <c r="AC180" s="232"/>
      <c r="AD180" s="232"/>
      <c r="AE180" s="232"/>
      <c r="AF180" s="232"/>
      <c r="AG180" s="232"/>
      <c r="AH180" s="232"/>
      <c r="AI180" s="232"/>
      <c r="AJ180" s="232"/>
      <c r="AK180" s="232"/>
    </row>
    <row r="181" spans="2:37" ht="78.75" customHeight="1">
      <c r="B181" s="566" t="s">
        <v>372</v>
      </c>
      <c r="C181" s="566"/>
      <c r="D181" s="566"/>
      <c r="E181" s="566"/>
      <c r="F181" s="566"/>
      <c r="G181" s="566"/>
      <c r="H181" s="566"/>
      <c r="I181" s="566"/>
      <c r="J181" s="566"/>
      <c r="K181" s="566"/>
      <c r="L181" s="566"/>
      <c r="M181" s="566"/>
      <c r="N181" s="566"/>
      <c r="O181" s="566"/>
      <c r="P181" s="566"/>
      <c r="Q181" s="566"/>
      <c r="R181" s="566"/>
      <c r="S181" s="566"/>
      <c r="T181" s="566"/>
      <c r="U181" s="566"/>
      <c r="V181" s="566"/>
      <c r="W181" s="566"/>
      <c r="X181" s="566"/>
      <c r="Y181" s="566"/>
      <c r="Z181" s="566"/>
      <c r="AA181" s="566"/>
      <c r="AB181" s="566"/>
      <c r="AC181" s="566"/>
      <c r="AD181" s="566"/>
      <c r="AE181" s="566"/>
      <c r="AF181" s="566"/>
      <c r="AG181" s="566"/>
      <c r="AH181" s="566"/>
      <c r="AI181" s="566"/>
      <c r="AJ181" s="566"/>
      <c r="AK181" s="566"/>
    </row>
    <row r="182" spans="2:37" ht="56.25" customHeight="1">
      <c r="B182" s="562" t="s">
        <v>373</v>
      </c>
      <c r="C182" s="562"/>
      <c r="D182" s="562"/>
      <c r="E182" s="562"/>
      <c r="F182" s="562"/>
      <c r="G182" s="562"/>
      <c r="H182" s="562"/>
      <c r="I182" s="562"/>
      <c r="J182" s="562"/>
      <c r="K182" s="562"/>
      <c r="L182" s="562"/>
      <c r="M182" s="562"/>
      <c r="N182" s="562"/>
      <c r="O182" s="562"/>
      <c r="P182" s="562"/>
      <c r="Q182" s="562"/>
      <c r="R182" s="562"/>
      <c r="S182" s="562"/>
      <c r="T182" s="562"/>
      <c r="U182" s="562"/>
      <c r="V182" s="562"/>
      <c r="W182" s="562"/>
      <c r="X182" s="562"/>
      <c r="Y182" s="562"/>
      <c r="Z182" s="562"/>
      <c r="AA182" s="562"/>
      <c r="AB182" s="562"/>
      <c r="AC182" s="562"/>
      <c r="AD182" s="562"/>
      <c r="AE182" s="562"/>
      <c r="AF182" s="562"/>
      <c r="AG182" s="562"/>
      <c r="AH182" s="562"/>
      <c r="AI182" s="562"/>
      <c r="AJ182" s="562"/>
      <c r="AK182" s="562"/>
    </row>
    <row r="183" spans="2:37" ht="22.5" customHeight="1">
      <c r="B183" s="562" t="s">
        <v>374</v>
      </c>
      <c r="C183" s="562"/>
      <c r="D183" s="562"/>
      <c r="E183" s="562"/>
      <c r="F183" s="562"/>
      <c r="G183" s="562"/>
      <c r="H183" s="562"/>
      <c r="I183" s="562"/>
      <c r="J183" s="562"/>
      <c r="K183" s="562"/>
      <c r="L183" s="562"/>
      <c r="M183" s="562"/>
      <c r="N183" s="562"/>
      <c r="O183" s="562"/>
      <c r="P183" s="562"/>
      <c r="Q183" s="562"/>
      <c r="R183" s="562"/>
      <c r="S183" s="562"/>
      <c r="T183" s="562"/>
      <c r="U183" s="562"/>
      <c r="V183" s="562"/>
      <c r="W183" s="562"/>
      <c r="X183" s="562"/>
      <c r="Y183" s="562"/>
      <c r="Z183" s="562"/>
      <c r="AA183" s="562"/>
      <c r="AB183" s="562"/>
      <c r="AC183" s="562"/>
      <c r="AD183" s="562"/>
      <c r="AE183" s="562"/>
      <c r="AF183" s="562"/>
      <c r="AG183" s="562"/>
      <c r="AH183" s="562"/>
      <c r="AI183" s="562"/>
      <c r="AJ183" s="562"/>
      <c r="AK183" s="562"/>
    </row>
    <row r="184" spans="2:37" ht="11.25" customHeight="1">
      <c r="B184" s="231" t="s">
        <v>119</v>
      </c>
      <c r="C184" s="232"/>
      <c r="D184" s="232"/>
      <c r="E184" s="232"/>
      <c r="F184" s="232"/>
      <c r="G184" s="232"/>
      <c r="H184" s="232"/>
      <c r="I184" s="232"/>
      <c r="J184" s="232"/>
      <c r="K184" s="232"/>
      <c r="L184" s="232"/>
      <c r="M184" s="232"/>
      <c r="N184" s="232"/>
      <c r="O184" s="232"/>
      <c r="P184" s="232"/>
      <c r="Q184" s="232"/>
      <c r="R184" s="232"/>
      <c r="S184" s="232"/>
      <c r="T184" s="232"/>
      <c r="U184" s="232"/>
      <c r="V184" s="232"/>
      <c r="W184" s="232"/>
      <c r="X184" s="232"/>
      <c r="Y184" s="232"/>
      <c r="Z184" s="232"/>
      <c r="AA184" s="232"/>
      <c r="AB184" s="232"/>
      <c r="AC184" s="232"/>
      <c r="AD184" s="232"/>
      <c r="AE184" s="232"/>
      <c r="AF184" s="232"/>
      <c r="AG184" s="232"/>
      <c r="AH184" s="232"/>
      <c r="AI184" s="232"/>
      <c r="AJ184" s="232"/>
      <c r="AK184" s="232"/>
    </row>
    <row r="185" spans="2:37" ht="283.5" customHeight="1">
      <c r="B185" s="566" t="s">
        <v>461</v>
      </c>
      <c r="C185" s="566"/>
      <c r="D185" s="566"/>
      <c r="E185" s="566"/>
      <c r="F185" s="566"/>
      <c r="G185" s="566"/>
      <c r="H185" s="566"/>
      <c r="I185" s="566"/>
      <c r="J185" s="566"/>
      <c r="K185" s="566"/>
      <c r="L185" s="566"/>
      <c r="M185" s="566"/>
      <c r="N185" s="566"/>
      <c r="O185" s="566"/>
      <c r="P185" s="566"/>
      <c r="Q185" s="566"/>
      <c r="R185" s="566"/>
      <c r="S185" s="566"/>
      <c r="T185" s="566"/>
      <c r="U185" s="566"/>
      <c r="V185" s="566"/>
      <c r="W185" s="566"/>
      <c r="X185" s="566"/>
      <c r="Y185" s="566"/>
      <c r="Z185" s="566"/>
      <c r="AA185" s="566"/>
      <c r="AB185" s="566"/>
      <c r="AC185" s="566"/>
      <c r="AD185" s="566"/>
      <c r="AE185" s="566"/>
      <c r="AF185" s="566"/>
      <c r="AG185" s="566"/>
      <c r="AH185" s="566"/>
      <c r="AI185" s="566"/>
      <c r="AJ185" s="566"/>
      <c r="AK185" s="566"/>
    </row>
    <row r="186" spans="2:37" ht="11.25" customHeight="1">
      <c r="B186" s="232"/>
      <c r="C186" s="232"/>
      <c r="D186" s="232"/>
      <c r="E186" s="232"/>
      <c r="F186" s="232"/>
      <c r="G186" s="232"/>
      <c r="H186" s="232"/>
      <c r="I186" s="232"/>
      <c r="J186" s="232"/>
      <c r="K186" s="232"/>
      <c r="L186" s="232"/>
      <c r="M186" s="232"/>
      <c r="N186" s="232"/>
      <c r="O186" s="232"/>
      <c r="P186" s="232"/>
      <c r="Q186" s="232"/>
      <c r="R186" s="232"/>
      <c r="S186" s="232"/>
      <c r="T186" s="232"/>
      <c r="U186" s="232"/>
      <c r="V186" s="232"/>
      <c r="W186" s="232"/>
      <c r="X186" s="232"/>
      <c r="Y186" s="232"/>
      <c r="Z186" s="232"/>
      <c r="AA186" s="232"/>
      <c r="AB186" s="232"/>
      <c r="AC186" s="232"/>
      <c r="AD186" s="232"/>
      <c r="AE186" s="232"/>
      <c r="AF186" s="232"/>
      <c r="AG186" s="232"/>
      <c r="AH186" s="232"/>
      <c r="AI186" s="232"/>
      <c r="AJ186" s="232"/>
      <c r="AK186" s="232"/>
    </row>
    <row r="187" spans="2:37" ht="56.25" customHeight="1">
      <c r="B187" s="566" t="s">
        <v>462</v>
      </c>
      <c r="C187" s="566"/>
      <c r="D187" s="566"/>
      <c r="E187" s="566"/>
      <c r="F187" s="566"/>
      <c r="G187" s="566"/>
      <c r="H187" s="566"/>
      <c r="I187" s="566"/>
      <c r="J187" s="566"/>
      <c r="K187" s="566"/>
      <c r="L187" s="566"/>
      <c r="M187" s="566"/>
      <c r="N187" s="566"/>
      <c r="O187" s="566"/>
      <c r="P187" s="566"/>
      <c r="Q187" s="566"/>
      <c r="R187" s="566"/>
      <c r="S187" s="566"/>
      <c r="T187" s="566"/>
      <c r="U187" s="566"/>
      <c r="V187" s="566"/>
      <c r="W187" s="566"/>
      <c r="X187" s="566"/>
      <c r="Y187" s="566"/>
      <c r="Z187" s="566"/>
      <c r="AA187" s="566"/>
      <c r="AB187" s="566"/>
      <c r="AC187" s="566"/>
      <c r="AD187" s="566"/>
      <c r="AE187" s="566"/>
      <c r="AF187" s="566"/>
      <c r="AG187" s="566"/>
      <c r="AH187" s="566"/>
      <c r="AI187" s="566"/>
      <c r="AJ187" s="566"/>
      <c r="AK187" s="566"/>
    </row>
    <row r="188" spans="2:37" ht="11.25" customHeight="1">
      <c r="B188" s="231"/>
      <c r="C188" s="232"/>
      <c r="D188" s="232"/>
      <c r="E188" s="232"/>
      <c r="F188" s="232"/>
      <c r="G188" s="232"/>
      <c r="H188" s="232"/>
      <c r="I188" s="232"/>
      <c r="J188" s="232"/>
      <c r="K188" s="232"/>
      <c r="L188" s="232"/>
      <c r="M188" s="232"/>
      <c r="N188" s="232"/>
      <c r="O188" s="232"/>
      <c r="P188" s="232"/>
      <c r="Q188" s="232"/>
      <c r="R188" s="232"/>
      <c r="S188" s="232"/>
      <c r="T188" s="232"/>
      <c r="U188" s="232"/>
      <c r="V188" s="232"/>
      <c r="W188" s="232"/>
      <c r="X188" s="232"/>
      <c r="Y188" s="232"/>
      <c r="Z188" s="232"/>
      <c r="AA188" s="232"/>
      <c r="AB188" s="232"/>
      <c r="AC188" s="232"/>
      <c r="AD188" s="232"/>
      <c r="AE188" s="232"/>
      <c r="AF188" s="232"/>
      <c r="AG188" s="232"/>
      <c r="AH188" s="232"/>
      <c r="AI188" s="232"/>
      <c r="AJ188" s="232"/>
      <c r="AK188" s="232"/>
    </row>
    <row r="189" spans="2:37" ht="366.75" customHeight="1">
      <c r="B189" s="566" t="s">
        <v>377</v>
      </c>
      <c r="C189" s="566"/>
      <c r="D189" s="566"/>
      <c r="E189" s="566"/>
      <c r="F189" s="566"/>
      <c r="G189" s="566"/>
      <c r="H189" s="566"/>
      <c r="I189" s="566"/>
      <c r="J189" s="566"/>
      <c r="K189" s="566"/>
      <c r="L189" s="566"/>
      <c r="M189" s="566"/>
      <c r="N189" s="566"/>
      <c r="O189" s="566"/>
      <c r="P189" s="566"/>
      <c r="Q189" s="566"/>
      <c r="R189" s="566"/>
      <c r="S189" s="566"/>
      <c r="T189" s="566"/>
      <c r="U189" s="566"/>
      <c r="V189" s="566"/>
      <c r="W189" s="566"/>
      <c r="X189" s="566"/>
      <c r="Y189" s="566"/>
      <c r="Z189" s="566"/>
      <c r="AA189" s="566"/>
      <c r="AB189" s="566"/>
      <c r="AC189" s="566"/>
      <c r="AD189" s="566"/>
      <c r="AE189" s="566"/>
      <c r="AF189" s="566"/>
      <c r="AG189" s="566"/>
      <c r="AH189" s="566"/>
      <c r="AI189" s="566"/>
      <c r="AJ189" s="566"/>
      <c r="AK189" s="566"/>
    </row>
    <row r="190" spans="2:37" ht="13.2">
      <c r="B190" s="392"/>
      <c r="C190" s="232"/>
      <c r="D190" s="232"/>
      <c r="E190" s="232"/>
      <c r="F190" s="232"/>
      <c r="G190" s="232"/>
      <c r="H190" s="232"/>
      <c r="I190" s="232"/>
      <c r="J190" s="232"/>
      <c r="K190" s="232"/>
      <c r="L190" s="232"/>
      <c r="M190" s="232"/>
      <c r="N190" s="232"/>
      <c r="O190" s="232"/>
      <c r="P190" s="232"/>
      <c r="Q190" s="232"/>
      <c r="R190" s="232"/>
      <c r="S190" s="232"/>
      <c r="T190" s="232"/>
      <c r="U190" s="232"/>
      <c r="V190" s="232"/>
      <c r="W190" s="232"/>
      <c r="X190" s="232"/>
      <c r="Y190" s="232"/>
      <c r="Z190" s="232"/>
      <c r="AA190" s="232"/>
      <c r="AB190" s="232"/>
      <c r="AC190" s="232"/>
      <c r="AD190" s="232"/>
      <c r="AE190" s="232"/>
      <c r="AF190" s="232"/>
      <c r="AG190" s="232"/>
      <c r="AH190" s="232"/>
      <c r="AI190" s="232"/>
      <c r="AJ190" s="232"/>
      <c r="AK190" s="232"/>
    </row>
    <row r="191" spans="2:37" ht="22.5" customHeight="1">
      <c r="B191" s="566" t="s">
        <v>239</v>
      </c>
      <c r="C191" s="566"/>
      <c r="D191" s="566"/>
      <c r="E191" s="566"/>
      <c r="F191" s="566"/>
      <c r="G191" s="566"/>
      <c r="H191" s="566"/>
      <c r="I191" s="566"/>
      <c r="J191" s="566"/>
      <c r="K191" s="566"/>
      <c r="L191" s="566"/>
      <c r="M191" s="566"/>
      <c r="N191" s="566"/>
      <c r="O191" s="566"/>
      <c r="P191" s="566"/>
      <c r="Q191" s="566"/>
      <c r="R191" s="566"/>
      <c r="S191" s="566"/>
      <c r="T191" s="566"/>
      <c r="U191" s="566"/>
      <c r="V191" s="566"/>
      <c r="W191" s="566"/>
      <c r="X191" s="566"/>
      <c r="Y191" s="566"/>
      <c r="Z191" s="566"/>
      <c r="AA191" s="566"/>
      <c r="AB191" s="566"/>
      <c r="AC191" s="566"/>
      <c r="AD191" s="566"/>
      <c r="AE191" s="566"/>
      <c r="AF191" s="566"/>
      <c r="AG191" s="566"/>
      <c r="AH191" s="566"/>
      <c r="AI191" s="566"/>
      <c r="AJ191" s="566"/>
      <c r="AK191" s="566"/>
    </row>
    <row r="192" spans="2:37" ht="13.2">
      <c r="B192" s="231"/>
      <c r="C192" s="232"/>
      <c r="D192" s="232"/>
      <c r="E192" s="232"/>
      <c r="F192" s="232"/>
      <c r="G192" s="232"/>
      <c r="H192" s="232"/>
      <c r="I192" s="232"/>
      <c r="J192" s="232"/>
      <c r="K192" s="232"/>
      <c r="L192" s="232"/>
      <c r="M192" s="232"/>
      <c r="N192" s="232"/>
      <c r="O192" s="232"/>
      <c r="P192" s="232"/>
      <c r="Q192" s="232"/>
      <c r="R192" s="232"/>
      <c r="S192" s="232"/>
      <c r="T192" s="232"/>
      <c r="U192" s="232"/>
      <c r="V192" s="232"/>
      <c r="W192" s="232"/>
      <c r="X192" s="232"/>
      <c r="Y192" s="232"/>
      <c r="Z192" s="232"/>
      <c r="AA192" s="232"/>
      <c r="AB192" s="232"/>
      <c r="AC192" s="232"/>
      <c r="AD192" s="232"/>
      <c r="AE192" s="232"/>
      <c r="AF192" s="232"/>
      <c r="AG192" s="232"/>
      <c r="AH192" s="232"/>
      <c r="AI192" s="232"/>
      <c r="AJ192" s="232"/>
      <c r="AK192" s="232"/>
    </row>
    <row r="193" spans="2:37" ht="33.75" customHeight="1">
      <c r="B193" s="566" t="s">
        <v>240</v>
      </c>
      <c r="C193" s="566"/>
      <c r="D193" s="566"/>
      <c r="E193" s="566"/>
      <c r="F193" s="566"/>
      <c r="G193" s="566"/>
      <c r="H193" s="566"/>
      <c r="I193" s="566"/>
      <c r="J193" s="566"/>
      <c r="K193" s="566"/>
      <c r="L193" s="566"/>
      <c r="M193" s="566"/>
      <c r="N193" s="566"/>
      <c r="O193" s="566"/>
      <c r="P193" s="566"/>
      <c r="Q193" s="566"/>
      <c r="R193" s="566"/>
      <c r="S193" s="566"/>
      <c r="T193" s="566"/>
      <c r="U193" s="566"/>
      <c r="V193" s="566"/>
      <c r="W193" s="566"/>
      <c r="X193" s="566"/>
      <c r="Y193" s="566"/>
      <c r="Z193" s="566"/>
      <c r="AA193" s="566"/>
      <c r="AB193" s="566"/>
      <c r="AC193" s="566"/>
      <c r="AD193" s="566"/>
      <c r="AE193" s="566"/>
      <c r="AF193" s="566"/>
      <c r="AG193" s="566"/>
      <c r="AH193" s="566"/>
      <c r="AI193" s="566"/>
      <c r="AJ193" s="566"/>
      <c r="AK193" s="566"/>
    </row>
    <row r="194" spans="2:37" ht="13.2">
      <c r="B194" s="231"/>
      <c r="C194" s="232"/>
      <c r="D194" s="232"/>
      <c r="E194" s="232"/>
      <c r="F194" s="232"/>
      <c r="G194" s="232"/>
      <c r="H194" s="232"/>
      <c r="I194" s="232"/>
      <c r="J194" s="232"/>
      <c r="K194" s="232"/>
      <c r="L194" s="232"/>
      <c r="M194" s="232"/>
      <c r="N194" s="232"/>
      <c r="O194" s="232"/>
      <c r="P194" s="232"/>
      <c r="Q194" s="232"/>
      <c r="R194" s="232"/>
      <c r="S194" s="232"/>
      <c r="T194" s="232"/>
      <c r="U194" s="232"/>
      <c r="V194" s="232"/>
      <c r="W194" s="232"/>
      <c r="X194" s="232"/>
      <c r="Y194" s="232"/>
      <c r="Z194" s="232"/>
      <c r="AA194" s="232"/>
      <c r="AB194" s="232"/>
      <c r="AC194" s="232"/>
      <c r="AD194" s="232"/>
      <c r="AE194" s="232"/>
      <c r="AF194" s="232"/>
      <c r="AG194" s="232"/>
      <c r="AH194" s="232"/>
      <c r="AI194" s="232"/>
      <c r="AJ194" s="232"/>
      <c r="AK194" s="232"/>
    </row>
    <row r="195" spans="2:37" ht="45" customHeight="1">
      <c r="B195" s="566" t="s">
        <v>241</v>
      </c>
      <c r="C195" s="566"/>
      <c r="D195" s="566"/>
      <c r="E195" s="566"/>
      <c r="F195" s="566"/>
      <c r="G195" s="566"/>
      <c r="H195" s="566"/>
      <c r="I195" s="566"/>
      <c r="J195" s="566"/>
      <c r="K195" s="566"/>
      <c r="L195" s="566"/>
      <c r="M195" s="566"/>
      <c r="N195" s="566"/>
      <c r="O195" s="566"/>
      <c r="P195" s="566"/>
      <c r="Q195" s="566"/>
      <c r="R195" s="566"/>
      <c r="S195" s="566"/>
      <c r="T195" s="566"/>
      <c r="U195" s="566"/>
      <c r="V195" s="566"/>
      <c r="W195" s="566"/>
      <c r="X195" s="566"/>
      <c r="Y195" s="566"/>
      <c r="Z195" s="566"/>
      <c r="AA195" s="566"/>
      <c r="AB195" s="566"/>
      <c r="AC195" s="566"/>
      <c r="AD195" s="566"/>
      <c r="AE195" s="566"/>
      <c r="AF195" s="566"/>
      <c r="AG195" s="566"/>
      <c r="AH195" s="566"/>
      <c r="AI195" s="566"/>
      <c r="AJ195" s="566"/>
      <c r="AK195" s="566"/>
    </row>
    <row r="196" spans="2:37" ht="13.2">
      <c r="B196" s="231"/>
      <c r="C196" s="232"/>
      <c r="D196" s="232"/>
      <c r="E196" s="232"/>
      <c r="F196" s="232"/>
      <c r="G196" s="232"/>
      <c r="H196" s="232"/>
      <c r="I196" s="232"/>
      <c r="J196" s="232"/>
      <c r="K196" s="232"/>
      <c r="L196" s="232"/>
      <c r="M196" s="232"/>
      <c r="N196" s="232"/>
      <c r="O196" s="232"/>
      <c r="P196" s="232"/>
      <c r="Q196" s="232"/>
      <c r="R196" s="232"/>
      <c r="S196" s="232"/>
      <c r="T196" s="232"/>
      <c r="U196" s="232"/>
      <c r="V196" s="232"/>
      <c r="W196" s="232"/>
      <c r="X196" s="232"/>
      <c r="Y196" s="232"/>
      <c r="Z196" s="232"/>
      <c r="AA196" s="232"/>
      <c r="AB196" s="232"/>
      <c r="AC196" s="232"/>
      <c r="AD196" s="232"/>
      <c r="AE196" s="232"/>
      <c r="AF196" s="232"/>
      <c r="AG196" s="232"/>
      <c r="AH196" s="232"/>
      <c r="AI196" s="232"/>
      <c r="AJ196" s="232"/>
      <c r="AK196" s="232"/>
    </row>
    <row r="197" spans="2:37" ht="22.5" customHeight="1">
      <c r="B197" s="566" t="s">
        <v>242</v>
      </c>
      <c r="C197" s="566"/>
      <c r="D197" s="566"/>
      <c r="E197" s="566"/>
      <c r="F197" s="566"/>
      <c r="G197" s="566"/>
      <c r="H197" s="566"/>
      <c r="I197" s="566"/>
      <c r="J197" s="566"/>
      <c r="K197" s="566"/>
      <c r="L197" s="566"/>
      <c r="M197" s="566"/>
      <c r="N197" s="566"/>
      <c r="O197" s="566"/>
      <c r="P197" s="566"/>
      <c r="Q197" s="566"/>
      <c r="R197" s="566"/>
      <c r="S197" s="566"/>
      <c r="T197" s="566"/>
      <c r="U197" s="566"/>
      <c r="V197" s="566"/>
      <c r="W197" s="566"/>
      <c r="X197" s="566"/>
      <c r="Y197" s="566"/>
      <c r="Z197" s="566"/>
      <c r="AA197" s="566"/>
      <c r="AB197" s="566"/>
      <c r="AC197" s="566"/>
      <c r="AD197" s="566"/>
      <c r="AE197" s="566"/>
      <c r="AF197" s="566"/>
      <c r="AG197" s="566"/>
      <c r="AH197" s="566"/>
      <c r="AI197" s="566"/>
      <c r="AJ197" s="566"/>
      <c r="AK197" s="566"/>
    </row>
    <row r="198" spans="2:37" ht="13.2">
      <c r="B198" s="231"/>
      <c r="C198" s="232"/>
      <c r="D198" s="232"/>
      <c r="E198" s="232"/>
      <c r="F198" s="232"/>
      <c r="G198" s="232"/>
      <c r="H198" s="232"/>
      <c r="I198" s="232"/>
      <c r="J198" s="232"/>
      <c r="K198" s="232"/>
      <c r="L198" s="232"/>
      <c r="M198" s="232"/>
      <c r="N198" s="232"/>
      <c r="O198" s="232"/>
      <c r="P198" s="232"/>
      <c r="Q198" s="232"/>
      <c r="R198" s="232"/>
      <c r="S198" s="232"/>
      <c r="T198" s="232"/>
      <c r="U198" s="232"/>
      <c r="V198" s="232"/>
      <c r="W198" s="232"/>
      <c r="X198" s="232"/>
      <c r="Y198" s="232"/>
      <c r="Z198" s="232"/>
      <c r="AA198" s="232"/>
      <c r="AB198" s="232"/>
      <c r="AC198" s="232"/>
      <c r="AD198" s="232"/>
      <c r="AE198" s="232"/>
      <c r="AF198" s="232"/>
      <c r="AG198" s="232"/>
      <c r="AH198" s="232"/>
      <c r="AI198" s="232"/>
      <c r="AJ198" s="232"/>
      <c r="AK198" s="232"/>
    </row>
    <row r="199" spans="2:37" ht="33.75" customHeight="1">
      <c r="B199" s="566" t="s">
        <v>243</v>
      </c>
      <c r="C199" s="566"/>
      <c r="D199" s="566"/>
      <c r="E199" s="566"/>
      <c r="F199" s="566"/>
      <c r="G199" s="566"/>
      <c r="H199" s="566"/>
      <c r="I199" s="566"/>
      <c r="J199" s="566"/>
      <c r="K199" s="566"/>
      <c r="L199" s="566"/>
      <c r="M199" s="566"/>
      <c r="N199" s="566"/>
      <c r="O199" s="566"/>
      <c r="P199" s="566"/>
      <c r="Q199" s="566"/>
      <c r="R199" s="566"/>
      <c r="S199" s="566"/>
      <c r="T199" s="566"/>
      <c r="U199" s="566"/>
      <c r="V199" s="566"/>
      <c r="W199" s="566"/>
      <c r="X199" s="566"/>
      <c r="Y199" s="566"/>
      <c r="Z199" s="566"/>
      <c r="AA199" s="566"/>
      <c r="AB199" s="566"/>
      <c r="AC199" s="566"/>
      <c r="AD199" s="566"/>
      <c r="AE199" s="566"/>
      <c r="AF199" s="566"/>
      <c r="AG199" s="566"/>
      <c r="AH199" s="566"/>
      <c r="AI199" s="566"/>
      <c r="AJ199" s="566"/>
      <c r="AK199" s="566"/>
    </row>
    <row r="200" spans="2:37" ht="13.2">
      <c r="B200" s="231"/>
      <c r="C200" s="232"/>
      <c r="D200" s="232"/>
      <c r="E200" s="232"/>
      <c r="F200" s="232"/>
      <c r="G200" s="232"/>
      <c r="H200" s="232"/>
      <c r="I200" s="232"/>
      <c r="J200" s="232"/>
      <c r="K200" s="232"/>
      <c r="L200" s="232"/>
      <c r="M200" s="232"/>
      <c r="N200" s="232"/>
      <c r="O200" s="232"/>
      <c r="P200" s="232"/>
      <c r="Q200" s="232"/>
      <c r="R200" s="232"/>
      <c r="S200" s="232"/>
      <c r="T200" s="232"/>
      <c r="U200" s="232"/>
      <c r="V200" s="232"/>
      <c r="W200" s="232"/>
      <c r="X200" s="232"/>
      <c r="Y200" s="232"/>
      <c r="Z200" s="232"/>
      <c r="AA200" s="232"/>
      <c r="AB200" s="232"/>
      <c r="AC200" s="232"/>
      <c r="AD200" s="232"/>
      <c r="AE200" s="232"/>
      <c r="AF200" s="232"/>
      <c r="AG200" s="232"/>
      <c r="AH200" s="232"/>
      <c r="AI200" s="232"/>
      <c r="AJ200" s="232"/>
      <c r="AK200" s="232"/>
    </row>
    <row r="201" spans="2:37" ht="33.75" customHeight="1">
      <c r="B201" s="566" t="s">
        <v>244</v>
      </c>
      <c r="C201" s="566"/>
      <c r="D201" s="566"/>
      <c r="E201" s="566"/>
      <c r="F201" s="566"/>
      <c r="G201" s="566"/>
      <c r="H201" s="566"/>
      <c r="I201" s="566"/>
      <c r="J201" s="566"/>
      <c r="K201" s="566"/>
      <c r="L201" s="566"/>
      <c r="M201" s="566"/>
      <c r="N201" s="566"/>
      <c r="O201" s="566"/>
      <c r="P201" s="566"/>
      <c r="Q201" s="566"/>
      <c r="R201" s="566"/>
      <c r="S201" s="566"/>
      <c r="T201" s="566"/>
      <c r="U201" s="566"/>
      <c r="V201" s="566"/>
      <c r="W201" s="566"/>
      <c r="X201" s="566"/>
      <c r="Y201" s="566"/>
      <c r="Z201" s="566"/>
      <c r="AA201" s="566"/>
      <c r="AB201" s="566"/>
      <c r="AC201" s="566"/>
      <c r="AD201" s="566"/>
      <c r="AE201" s="566"/>
      <c r="AF201" s="566"/>
      <c r="AG201" s="566"/>
      <c r="AH201" s="566"/>
      <c r="AI201" s="566"/>
      <c r="AJ201" s="566"/>
      <c r="AK201" s="566"/>
    </row>
    <row r="202" spans="2:37" ht="13.2">
      <c r="B202" s="231"/>
      <c r="C202" s="232"/>
      <c r="D202" s="232"/>
      <c r="E202" s="232"/>
      <c r="F202" s="232"/>
      <c r="G202" s="232"/>
      <c r="H202" s="232"/>
      <c r="I202" s="232"/>
      <c r="J202" s="232"/>
      <c r="K202" s="232"/>
      <c r="L202" s="232"/>
      <c r="M202" s="232"/>
      <c r="N202" s="232"/>
      <c r="O202" s="232"/>
      <c r="P202" s="232"/>
      <c r="Q202" s="232"/>
      <c r="R202" s="232"/>
      <c r="S202" s="232"/>
      <c r="T202" s="232"/>
      <c r="U202" s="232"/>
      <c r="V202" s="232"/>
      <c r="W202" s="232"/>
      <c r="X202" s="232"/>
      <c r="Y202" s="232"/>
      <c r="Z202" s="232"/>
      <c r="AA202" s="232"/>
      <c r="AB202" s="232"/>
      <c r="AC202" s="232"/>
      <c r="AD202" s="232"/>
      <c r="AE202" s="232"/>
      <c r="AF202" s="232"/>
      <c r="AG202" s="232"/>
      <c r="AH202" s="232"/>
      <c r="AI202" s="232"/>
      <c r="AJ202" s="232"/>
      <c r="AK202" s="232"/>
    </row>
    <row r="203" spans="2:37" ht="56.25" customHeight="1">
      <c r="B203" s="566" t="s">
        <v>378</v>
      </c>
      <c r="C203" s="566"/>
      <c r="D203" s="566"/>
      <c r="E203" s="566"/>
      <c r="F203" s="566"/>
      <c r="G203" s="566"/>
      <c r="H203" s="566"/>
      <c r="I203" s="566"/>
      <c r="J203" s="566"/>
      <c r="K203" s="566"/>
      <c r="L203" s="566"/>
      <c r="M203" s="566"/>
      <c r="N203" s="566"/>
      <c r="O203" s="566"/>
      <c r="P203" s="566"/>
      <c r="Q203" s="566"/>
      <c r="R203" s="566"/>
      <c r="S203" s="566"/>
      <c r="T203" s="566"/>
      <c r="U203" s="566"/>
      <c r="V203" s="566"/>
      <c r="W203" s="566"/>
      <c r="X203" s="566"/>
      <c r="Y203" s="566"/>
      <c r="Z203" s="566"/>
      <c r="AA203" s="566"/>
      <c r="AB203" s="566"/>
      <c r="AC203" s="566"/>
      <c r="AD203" s="566"/>
      <c r="AE203" s="566"/>
      <c r="AF203" s="566"/>
      <c r="AG203" s="566"/>
      <c r="AH203" s="566"/>
      <c r="AI203" s="566"/>
      <c r="AJ203" s="566"/>
      <c r="AK203" s="566"/>
    </row>
    <row r="204" spans="2:37" ht="33.75" customHeight="1">
      <c r="B204" s="562" t="s">
        <v>463</v>
      </c>
      <c r="C204" s="562"/>
      <c r="D204" s="562"/>
      <c r="E204" s="562"/>
      <c r="F204" s="562"/>
      <c r="G204" s="562"/>
      <c r="H204" s="562"/>
      <c r="I204" s="562"/>
      <c r="J204" s="562"/>
      <c r="K204" s="562"/>
      <c r="L204" s="562"/>
      <c r="M204" s="562"/>
      <c r="N204" s="562"/>
      <c r="O204" s="562"/>
      <c r="P204" s="562"/>
      <c r="Q204" s="562"/>
      <c r="R204" s="562"/>
      <c r="S204" s="562"/>
      <c r="T204" s="562"/>
      <c r="U204" s="562"/>
      <c r="V204" s="562"/>
      <c r="W204" s="562"/>
      <c r="X204" s="562"/>
      <c r="Y204" s="562"/>
      <c r="Z204" s="562"/>
      <c r="AA204" s="562"/>
      <c r="AB204" s="562"/>
      <c r="AC204" s="562"/>
      <c r="AD204" s="562"/>
      <c r="AE204" s="562"/>
      <c r="AF204" s="562"/>
      <c r="AG204" s="562"/>
      <c r="AH204" s="562"/>
      <c r="AI204" s="562"/>
      <c r="AJ204" s="562"/>
      <c r="AK204" s="562"/>
    </row>
    <row r="205" spans="2:37" ht="13.2">
      <c r="B205" s="231"/>
      <c r="C205" s="232"/>
      <c r="D205" s="232"/>
      <c r="E205" s="232"/>
      <c r="F205" s="232"/>
      <c r="G205" s="232"/>
      <c r="H205" s="232"/>
      <c r="I205" s="232"/>
      <c r="J205" s="232"/>
      <c r="K205" s="232"/>
      <c r="L205" s="232"/>
      <c r="M205" s="232"/>
      <c r="N205" s="232"/>
      <c r="O205" s="232"/>
      <c r="P205" s="232"/>
      <c r="Q205" s="232"/>
      <c r="R205" s="232"/>
      <c r="S205" s="232"/>
      <c r="T205" s="232"/>
      <c r="U205" s="232"/>
      <c r="V205" s="232"/>
      <c r="W205" s="232"/>
      <c r="X205" s="232"/>
      <c r="Y205" s="232"/>
      <c r="Z205" s="232"/>
      <c r="AA205" s="232"/>
      <c r="AB205" s="232"/>
      <c r="AC205" s="232"/>
      <c r="AD205" s="232"/>
      <c r="AE205" s="232"/>
      <c r="AF205" s="232"/>
      <c r="AG205" s="232"/>
      <c r="AH205" s="232"/>
      <c r="AI205" s="232"/>
      <c r="AJ205" s="232"/>
      <c r="AK205" s="232"/>
    </row>
    <row r="206" spans="2:37" ht="33.75" customHeight="1">
      <c r="B206" s="566" t="s">
        <v>379</v>
      </c>
      <c r="C206" s="566"/>
      <c r="D206" s="566"/>
      <c r="E206" s="566"/>
      <c r="F206" s="566"/>
      <c r="G206" s="566"/>
      <c r="H206" s="566"/>
      <c r="I206" s="566"/>
      <c r="J206" s="566"/>
      <c r="K206" s="566"/>
      <c r="L206" s="566"/>
      <c r="M206" s="566"/>
      <c r="N206" s="566"/>
      <c r="O206" s="566"/>
      <c r="P206" s="566"/>
      <c r="Q206" s="566"/>
      <c r="R206" s="566"/>
      <c r="S206" s="566"/>
      <c r="T206" s="566"/>
      <c r="U206" s="566"/>
      <c r="V206" s="566"/>
      <c r="W206" s="566"/>
      <c r="X206" s="566"/>
      <c r="Y206" s="566"/>
      <c r="Z206" s="566"/>
      <c r="AA206" s="566"/>
      <c r="AB206" s="566"/>
      <c r="AC206" s="566"/>
      <c r="AD206" s="566"/>
      <c r="AE206" s="566"/>
      <c r="AF206" s="566"/>
      <c r="AG206" s="566"/>
      <c r="AH206" s="566"/>
      <c r="AI206" s="566"/>
      <c r="AJ206" s="566"/>
      <c r="AK206" s="566"/>
    </row>
    <row r="207" spans="2:37" ht="56.25" customHeight="1">
      <c r="B207" s="562" t="s">
        <v>247</v>
      </c>
      <c r="C207" s="562"/>
      <c r="D207" s="562"/>
      <c r="E207" s="562"/>
      <c r="F207" s="562"/>
      <c r="G207" s="562"/>
      <c r="H207" s="562"/>
      <c r="I207" s="562"/>
      <c r="J207" s="562"/>
      <c r="K207" s="562"/>
      <c r="L207" s="562"/>
      <c r="M207" s="562"/>
      <c r="N207" s="562"/>
      <c r="O207" s="562"/>
      <c r="P207" s="562"/>
      <c r="Q207" s="562"/>
      <c r="R207" s="562"/>
      <c r="S207" s="562"/>
      <c r="T207" s="562"/>
      <c r="U207" s="562"/>
      <c r="V207" s="562"/>
      <c r="W207" s="562"/>
      <c r="X207" s="562"/>
      <c r="Y207" s="562"/>
      <c r="Z207" s="562"/>
      <c r="AA207" s="562"/>
      <c r="AB207" s="562"/>
      <c r="AC207" s="562"/>
      <c r="AD207" s="562"/>
      <c r="AE207" s="562"/>
      <c r="AF207" s="562"/>
      <c r="AG207" s="562"/>
      <c r="AH207" s="562"/>
      <c r="AI207" s="562"/>
      <c r="AJ207" s="562"/>
      <c r="AK207" s="562"/>
    </row>
    <row r="208" spans="2:37" ht="45" customHeight="1">
      <c r="B208" s="562" t="s">
        <v>248</v>
      </c>
      <c r="C208" s="562"/>
      <c r="D208" s="562"/>
      <c r="E208" s="562"/>
      <c r="F208" s="562"/>
      <c r="G208" s="562"/>
      <c r="H208" s="562"/>
      <c r="I208" s="562"/>
      <c r="J208" s="562"/>
      <c r="K208" s="562"/>
      <c r="L208" s="562"/>
      <c r="M208" s="562"/>
      <c r="N208" s="562"/>
      <c r="O208" s="562"/>
      <c r="P208" s="562"/>
      <c r="Q208" s="562"/>
      <c r="R208" s="562"/>
      <c r="S208" s="562"/>
      <c r="T208" s="562"/>
      <c r="U208" s="562"/>
      <c r="V208" s="562"/>
      <c r="W208" s="562"/>
      <c r="X208" s="562"/>
      <c r="Y208" s="562"/>
      <c r="Z208" s="562"/>
      <c r="AA208" s="562"/>
      <c r="AB208" s="562"/>
      <c r="AC208" s="562"/>
      <c r="AD208" s="562"/>
      <c r="AE208" s="562"/>
      <c r="AF208" s="562"/>
      <c r="AG208" s="562"/>
      <c r="AH208" s="562"/>
      <c r="AI208" s="562"/>
      <c r="AJ208" s="562"/>
      <c r="AK208" s="562"/>
    </row>
    <row r="209" spans="2:37" ht="22.5" customHeight="1">
      <c r="B209" s="562" t="s">
        <v>249</v>
      </c>
      <c r="C209" s="562"/>
      <c r="D209" s="562"/>
      <c r="E209" s="562"/>
      <c r="F209" s="562"/>
      <c r="G209" s="562"/>
      <c r="H209" s="562"/>
      <c r="I209" s="562"/>
      <c r="J209" s="562"/>
      <c r="K209" s="562"/>
      <c r="L209" s="562"/>
      <c r="M209" s="562"/>
      <c r="N209" s="562"/>
      <c r="O209" s="562"/>
      <c r="P209" s="562"/>
      <c r="Q209" s="562"/>
      <c r="R209" s="562"/>
      <c r="S209" s="562"/>
      <c r="T209" s="562"/>
      <c r="U209" s="562"/>
      <c r="V209" s="562"/>
      <c r="W209" s="562"/>
      <c r="X209" s="562"/>
      <c r="Y209" s="562"/>
      <c r="Z209" s="562"/>
      <c r="AA209" s="562"/>
      <c r="AB209" s="562"/>
      <c r="AC209" s="562"/>
      <c r="AD209" s="562"/>
      <c r="AE209" s="562"/>
      <c r="AF209" s="562"/>
      <c r="AG209" s="562"/>
      <c r="AH209" s="562"/>
      <c r="AI209" s="562"/>
      <c r="AJ209" s="562"/>
      <c r="AK209" s="562"/>
    </row>
    <row r="210" spans="2:37" ht="13.2">
      <c r="B210" s="231"/>
      <c r="C210" s="232"/>
      <c r="D210" s="232"/>
      <c r="E210" s="232"/>
      <c r="F210" s="232"/>
      <c r="G210" s="232"/>
      <c r="H210" s="232"/>
      <c r="I210" s="232"/>
      <c r="J210" s="232"/>
      <c r="K210" s="232"/>
      <c r="L210" s="232"/>
      <c r="M210" s="232"/>
      <c r="N210" s="232"/>
      <c r="O210" s="232"/>
      <c r="P210" s="232"/>
      <c r="Q210" s="232"/>
      <c r="R210" s="232"/>
      <c r="S210" s="232"/>
      <c r="T210" s="232"/>
      <c r="U210" s="232"/>
      <c r="V210" s="232"/>
      <c r="W210" s="232"/>
      <c r="X210" s="232"/>
      <c r="Y210" s="232"/>
      <c r="Z210" s="232"/>
      <c r="AA210" s="232"/>
      <c r="AB210" s="232"/>
      <c r="AC210" s="232"/>
      <c r="AD210" s="232"/>
      <c r="AE210" s="232"/>
      <c r="AF210" s="232"/>
      <c r="AG210" s="232"/>
      <c r="AH210" s="232"/>
      <c r="AI210" s="232"/>
      <c r="AJ210" s="232"/>
      <c r="AK210" s="232"/>
    </row>
    <row r="211" spans="2:37" ht="67.5" customHeight="1">
      <c r="B211" s="566" t="s">
        <v>380</v>
      </c>
      <c r="C211" s="566"/>
      <c r="D211" s="566"/>
      <c r="E211" s="566"/>
      <c r="F211" s="566"/>
      <c r="G211" s="566"/>
      <c r="H211" s="566"/>
      <c r="I211" s="566"/>
      <c r="J211" s="566"/>
      <c r="K211" s="566"/>
      <c r="L211" s="566"/>
      <c r="M211" s="566"/>
      <c r="N211" s="566"/>
      <c r="O211" s="566"/>
      <c r="P211" s="566"/>
      <c r="Q211" s="566"/>
      <c r="R211" s="566"/>
      <c r="S211" s="566"/>
      <c r="T211" s="566"/>
      <c r="U211" s="566"/>
      <c r="V211" s="566"/>
      <c r="W211" s="566"/>
      <c r="X211" s="566"/>
      <c r="Y211" s="566"/>
      <c r="Z211" s="566"/>
      <c r="AA211" s="566"/>
      <c r="AB211" s="566"/>
      <c r="AC211" s="566"/>
      <c r="AD211" s="566"/>
      <c r="AE211" s="566"/>
      <c r="AF211" s="566"/>
      <c r="AG211" s="566"/>
      <c r="AH211" s="566"/>
      <c r="AI211" s="566"/>
      <c r="AJ211" s="566"/>
      <c r="AK211" s="566"/>
    </row>
    <row r="212" spans="2:37" ht="13.2">
      <c r="B212" s="231"/>
      <c r="C212" s="232"/>
      <c r="D212" s="232"/>
      <c r="E212" s="232"/>
      <c r="F212" s="232"/>
      <c r="G212" s="232"/>
      <c r="H212" s="232"/>
      <c r="I212" s="232"/>
      <c r="J212" s="232"/>
      <c r="K212" s="232"/>
      <c r="L212" s="232"/>
      <c r="M212" s="232"/>
      <c r="N212" s="232"/>
      <c r="O212" s="232"/>
      <c r="P212" s="232"/>
      <c r="Q212" s="232"/>
      <c r="R212" s="232"/>
      <c r="S212" s="232"/>
      <c r="T212" s="232"/>
      <c r="U212" s="232"/>
      <c r="V212" s="232"/>
      <c r="W212" s="232"/>
      <c r="X212" s="232"/>
      <c r="Y212" s="232"/>
      <c r="Z212" s="232"/>
      <c r="AA212" s="232"/>
      <c r="AB212" s="232"/>
      <c r="AC212" s="232"/>
      <c r="AD212" s="232"/>
      <c r="AE212" s="232"/>
      <c r="AF212" s="232"/>
      <c r="AG212" s="232"/>
      <c r="AH212" s="232"/>
      <c r="AI212" s="232"/>
      <c r="AJ212" s="232"/>
      <c r="AK212" s="232"/>
    </row>
    <row r="213" spans="2:37" ht="22.5" customHeight="1">
      <c r="B213" s="566" t="s">
        <v>251</v>
      </c>
      <c r="C213" s="566"/>
      <c r="D213" s="566"/>
      <c r="E213" s="566"/>
      <c r="F213" s="566"/>
      <c r="G213" s="566"/>
      <c r="H213" s="566"/>
      <c r="I213" s="566"/>
      <c r="J213" s="566"/>
      <c r="K213" s="566"/>
      <c r="L213" s="566"/>
      <c r="M213" s="566"/>
      <c r="N213" s="566"/>
      <c r="O213" s="566"/>
      <c r="P213" s="566"/>
      <c r="Q213" s="566"/>
      <c r="R213" s="566"/>
      <c r="S213" s="566"/>
      <c r="T213" s="566"/>
      <c r="U213" s="566"/>
      <c r="V213" s="566"/>
      <c r="W213" s="566"/>
      <c r="X213" s="566"/>
      <c r="Y213" s="566"/>
      <c r="Z213" s="566"/>
      <c r="AA213" s="566"/>
      <c r="AB213" s="566"/>
      <c r="AC213" s="566"/>
      <c r="AD213" s="566"/>
      <c r="AE213" s="566"/>
      <c r="AF213" s="566"/>
      <c r="AG213" s="566"/>
      <c r="AH213" s="566"/>
      <c r="AI213" s="566"/>
      <c r="AJ213" s="566"/>
      <c r="AK213" s="566"/>
    </row>
    <row r="214" spans="2:37" ht="13.2">
      <c r="B214" s="238"/>
      <c r="C214" s="238"/>
      <c r="D214" s="238"/>
      <c r="E214" s="238"/>
      <c r="F214" s="238"/>
      <c r="G214" s="238"/>
      <c r="H214" s="238"/>
      <c r="I214" s="238"/>
      <c r="J214" s="238"/>
      <c r="K214" s="238"/>
      <c r="L214" s="238"/>
      <c r="M214" s="238"/>
      <c r="N214" s="238"/>
      <c r="O214" s="238"/>
      <c r="P214" s="238"/>
      <c r="Q214" s="238"/>
      <c r="R214" s="238"/>
      <c r="S214" s="238"/>
      <c r="T214" s="238"/>
      <c r="U214" s="238"/>
      <c r="V214" s="238"/>
      <c r="W214" s="238"/>
      <c r="X214" s="238"/>
      <c r="Y214" s="238"/>
      <c r="Z214" s="238"/>
      <c r="AA214" s="238"/>
      <c r="AB214" s="238"/>
      <c r="AC214" s="238"/>
      <c r="AD214" s="238"/>
      <c r="AE214" s="238"/>
      <c r="AF214" s="238"/>
      <c r="AG214" s="238"/>
      <c r="AH214" s="238"/>
      <c r="AI214" s="238"/>
      <c r="AJ214" s="238"/>
      <c r="AK214" s="238"/>
    </row>
    <row r="215" spans="2:37" ht="13.2">
      <c r="B215" s="238"/>
      <c r="C215" s="238"/>
      <c r="D215" s="238"/>
      <c r="E215" s="238"/>
      <c r="F215" s="238"/>
      <c r="G215" s="600" t="s">
        <v>252</v>
      </c>
      <c r="H215" s="601"/>
      <c r="I215" s="601"/>
      <c r="J215" s="601"/>
      <c r="K215" s="601"/>
      <c r="L215" s="601"/>
      <c r="M215" s="601"/>
      <c r="N215" s="601"/>
      <c r="O215" s="601"/>
      <c r="P215" s="602"/>
      <c r="Q215" s="603" t="s">
        <v>253</v>
      </c>
      <c r="R215" s="604"/>
      <c r="S215" s="604"/>
      <c r="T215" s="604"/>
      <c r="U215" s="604"/>
      <c r="V215" s="604"/>
      <c r="W215" s="604"/>
      <c r="X215" s="604"/>
      <c r="Y215" s="604"/>
      <c r="Z215" s="604"/>
      <c r="AA215" s="604"/>
      <c r="AB215" s="604"/>
      <c r="AC215" s="604"/>
      <c r="AD215" s="604"/>
      <c r="AE215" s="604"/>
      <c r="AF215" s="604"/>
      <c r="AG215" s="605"/>
      <c r="AH215" s="238"/>
      <c r="AI215" s="238"/>
      <c r="AJ215" s="238"/>
      <c r="AK215" s="238"/>
    </row>
    <row r="216" spans="2:37" ht="13.2">
      <c r="B216" s="238"/>
      <c r="C216" s="238"/>
      <c r="D216" s="238"/>
      <c r="E216" s="238"/>
      <c r="F216" s="238"/>
      <c r="G216" s="600" t="s">
        <v>254</v>
      </c>
      <c r="H216" s="601"/>
      <c r="I216" s="601"/>
      <c r="J216" s="601"/>
      <c r="K216" s="601"/>
      <c r="L216" s="601"/>
      <c r="M216" s="601"/>
      <c r="N216" s="601"/>
      <c r="O216" s="601"/>
      <c r="P216" s="602"/>
      <c r="Q216" s="606" t="s">
        <v>255</v>
      </c>
      <c r="R216" s="607"/>
      <c r="S216" s="607"/>
      <c r="T216" s="607"/>
      <c r="U216" s="607"/>
      <c r="V216" s="607"/>
      <c r="W216" s="607"/>
      <c r="X216" s="607"/>
      <c r="Y216" s="607"/>
      <c r="Z216" s="607"/>
      <c r="AA216" s="607"/>
      <c r="AB216" s="607"/>
      <c r="AC216" s="607"/>
      <c r="AD216" s="607"/>
      <c r="AE216" s="607"/>
      <c r="AF216" s="607"/>
      <c r="AG216" s="608"/>
      <c r="AH216" s="238"/>
      <c r="AI216" s="238"/>
      <c r="AJ216" s="238"/>
      <c r="AK216" s="238"/>
    </row>
    <row r="217" spans="2:37" ht="13.2">
      <c r="B217" s="238"/>
      <c r="C217" s="238"/>
      <c r="D217" s="238"/>
      <c r="E217" s="238"/>
      <c r="F217" s="238"/>
      <c r="G217" s="582" t="s">
        <v>256</v>
      </c>
      <c r="H217" s="583"/>
      <c r="I217" s="583"/>
      <c r="J217" s="583"/>
      <c r="K217" s="583"/>
      <c r="L217" s="583"/>
      <c r="M217" s="583"/>
      <c r="N217" s="583"/>
      <c r="O217" s="583"/>
      <c r="P217" s="584"/>
      <c r="Q217" s="588" t="s">
        <v>257</v>
      </c>
      <c r="R217" s="589"/>
      <c r="S217" s="589"/>
      <c r="T217" s="589"/>
      <c r="U217" s="589"/>
      <c r="V217" s="589"/>
      <c r="W217" s="589"/>
      <c r="X217" s="589"/>
      <c r="Y217" s="589"/>
      <c r="Z217" s="589"/>
      <c r="AA217" s="589"/>
      <c r="AB217" s="589"/>
      <c r="AC217" s="589"/>
      <c r="AD217" s="589"/>
      <c r="AE217" s="589"/>
      <c r="AF217" s="589"/>
      <c r="AG217" s="590"/>
      <c r="AH217" s="238"/>
      <c r="AI217" s="238"/>
      <c r="AJ217" s="238"/>
      <c r="AK217" s="238"/>
    </row>
    <row r="218" spans="2:37" ht="13.2">
      <c r="B218" s="238"/>
      <c r="C218" s="238"/>
      <c r="D218" s="238"/>
      <c r="E218" s="238"/>
      <c r="F218" s="238"/>
      <c r="G218" s="585"/>
      <c r="H218" s="586"/>
      <c r="I218" s="586"/>
      <c r="J218" s="586"/>
      <c r="K218" s="586"/>
      <c r="L218" s="586"/>
      <c r="M218" s="586"/>
      <c r="N218" s="586"/>
      <c r="O218" s="586"/>
      <c r="P218" s="587"/>
      <c r="Q218" s="588" t="s">
        <v>258</v>
      </c>
      <c r="R218" s="589"/>
      <c r="S218" s="589"/>
      <c r="T218" s="589"/>
      <c r="U218" s="589"/>
      <c r="V218" s="589"/>
      <c r="W218" s="589"/>
      <c r="X218" s="589"/>
      <c r="Y218" s="589"/>
      <c r="Z218" s="589"/>
      <c r="AA218" s="589"/>
      <c r="AB218" s="589"/>
      <c r="AC218" s="589"/>
      <c r="AD218" s="589"/>
      <c r="AE218" s="589"/>
      <c r="AF218" s="589"/>
      <c r="AG218" s="590"/>
      <c r="AH218" s="238"/>
      <c r="AI218" s="238"/>
      <c r="AJ218" s="238"/>
      <c r="AK218" s="238"/>
    </row>
    <row r="219" spans="2:37" ht="13.2">
      <c r="B219" s="238"/>
      <c r="C219" s="238"/>
      <c r="D219" s="238"/>
      <c r="E219" s="238"/>
      <c r="F219" s="238"/>
      <c r="G219" s="585"/>
      <c r="H219" s="586"/>
      <c r="I219" s="586"/>
      <c r="J219" s="586"/>
      <c r="K219" s="586"/>
      <c r="L219" s="586"/>
      <c r="M219" s="586"/>
      <c r="N219" s="586"/>
      <c r="O219" s="586"/>
      <c r="P219" s="587"/>
      <c r="Q219" s="588"/>
      <c r="R219" s="589"/>
      <c r="S219" s="589"/>
      <c r="T219" s="589"/>
      <c r="U219" s="589"/>
      <c r="V219" s="589"/>
      <c r="W219" s="589"/>
      <c r="X219" s="589"/>
      <c r="Y219" s="589"/>
      <c r="Z219" s="589"/>
      <c r="AA219" s="589"/>
      <c r="AB219" s="589"/>
      <c r="AC219" s="589"/>
      <c r="AD219" s="589"/>
      <c r="AE219" s="589"/>
      <c r="AF219" s="589"/>
      <c r="AG219" s="590"/>
      <c r="AH219" s="238"/>
      <c r="AI219" s="238"/>
      <c r="AJ219" s="238"/>
      <c r="AK219" s="238"/>
    </row>
    <row r="220" spans="2:37" ht="13.2">
      <c r="B220" s="238"/>
      <c r="C220" s="238"/>
      <c r="D220" s="238"/>
      <c r="E220" s="238"/>
      <c r="F220" s="238"/>
      <c r="G220" s="585"/>
      <c r="H220" s="586"/>
      <c r="I220" s="586"/>
      <c r="J220" s="586"/>
      <c r="K220" s="586"/>
      <c r="L220" s="586"/>
      <c r="M220" s="586"/>
      <c r="N220" s="586"/>
      <c r="O220" s="586"/>
      <c r="P220" s="587"/>
      <c r="Q220" s="588"/>
      <c r="R220" s="589"/>
      <c r="S220" s="589"/>
      <c r="T220" s="589"/>
      <c r="U220" s="589"/>
      <c r="V220" s="589"/>
      <c r="W220" s="589"/>
      <c r="X220" s="589"/>
      <c r="Y220" s="589"/>
      <c r="Z220" s="589"/>
      <c r="AA220" s="589"/>
      <c r="AB220" s="589"/>
      <c r="AC220" s="589"/>
      <c r="AD220" s="589"/>
      <c r="AE220" s="589"/>
      <c r="AF220" s="589"/>
      <c r="AG220" s="590"/>
      <c r="AH220" s="238"/>
      <c r="AI220" s="238"/>
      <c r="AJ220" s="238"/>
      <c r="AK220" s="238"/>
    </row>
    <row r="221" spans="2:37" ht="13.2">
      <c r="B221" s="238"/>
      <c r="C221" s="238"/>
      <c r="D221" s="238"/>
      <c r="E221" s="238"/>
      <c r="F221" s="238"/>
      <c r="G221" s="582" t="s">
        <v>259</v>
      </c>
      <c r="H221" s="583"/>
      <c r="I221" s="583"/>
      <c r="J221" s="583"/>
      <c r="K221" s="583"/>
      <c r="L221" s="583"/>
      <c r="M221" s="583"/>
      <c r="N221" s="583"/>
      <c r="O221" s="583"/>
      <c r="P221" s="584"/>
      <c r="Q221" s="594" t="s">
        <v>260</v>
      </c>
      <c r="R221" s="595"/>
      <c r="S221" s="595"/>
      <c r="T221" s="595"/>
      <c r="U221" s="595"/>
      <c r="V221" s="595"/>
      <c r="W221" s="595"/>
      <c r="X221" s="595"/>
      <c r="Y221" s="595"/>
      <c r="Z221" s="595"/>
      <c r="AA221" s="595"/>
      <c r="AB221" s="595"/>
      <c r="AC221" s="595"/>
      <c r="AD221" s="595"/>
      <c r="AE221" s="595"/>
      <c r="AF221" s="595"/>
      <c r="AG221" s="596"/>
      <c r="AH221" s="238"/>
      <c r="AI221" s="238"/>
      <c r="AJ221" s="238"/>
      <c r="AK221" s="238"/>
    </row>
    <row r="222" spans="2:37" ht="13.2">
      <c r="B222" s="238"/>
      <c r="C222" s="238"/>
      <c r="D222" s="238"/>
      <c r="E222" s="238"/>
      <c r="F222" s="238"/>
      <c r="G222" s="585"/>
      <c r="H222" s="586"/>
      <c r="I222" s="586"/>
      <c r="J222" s="586"/>
      <c r="K222" s="586"/>
      <c r="L222" s="586"/>
      <c r="M222" s="586"/>
      <c r="N222" s="586"/>
      <c r="O222" s="586"/>
      <c r="P222" s="587"/>
      <c r="Q222" s="588" t="s">
        <v>261</v>
      </c>
      <c r="R222" s="589"/>
      <c r="S222" s="589"/>
      <c r="T222" s="589"/>
      <c r="U222" s="589"/>
      <c r="V222" s="589"/>
      <c r="W222" s="589"/>
      <c r="X222" s="589"/>
      <c r="Y222" s="589"/>
      <c r="Z222" s="589"/>
      <c r="AA222" s="589"/>
      <c r="AB222" s="589"/>
      <c r="AC222" s="589"/>
      <c r="AD222" s="589"/>
      <c r="AE222" s="589"/>
      <c r="AF222" s="589"/>
      <c r="AG222" s="590"/>
      <c r="AH222" s="238"/>
      <c r="AI222" s="238"/>
      <c r="AJ222" s="238"/>
      <c r="AK222" s="238"/>
    </row>
    <row r="223" spans="2:37" ht="13.2">
      <c r="B223" s="238"/>
      <c r="C223" s="238"/>
      <c r="D223" s="238"/>
      <c r="E223" s="238"/>
      <c r="F223" s="238"/>
      <c r="G223" s="591"/>
      <c r="H223" s="592"/>
      <c r="I223" s="592"/>
      <c r="J223" s="592"/>
      <c r="K223" s="592"/>
      <c r="L223" s="592"/>
      <c r="M223" s="592"/>
      <c r="N223" s="592"/>
      <c r="O223" s="592"/>
      <c r="P223" s="593"/>
      <c r="Q223" s="597" t="s">
        <v>262</v>
      </c>
      <c r="R223" s="598"/>
      <c r="S223" s="598"/>
      <c r="T223" s="598"/>
      <c r="U223" s="598"/>
      <c r="V223" s="598"/>
      <c r="W223" s="598"/>
      <c r="X223" s="598"/>
      <c r="Y223" s="598"/>
      <c r="Z223" s="598"/>
      <c r="AA223" s="598"/>
      <c r="AB223" s="598"/>
      <c r="AC223" s="598"/>
      <c r="AD223" s="598"/>
      <c r="AE223" s="598"/>
      <c r="AF223" s="598"/>
      <c r="AG223" s="599"/>
      <c r="AH223" s="238"/>
      <c r="AI223" s="238"/>
      <c r="AJ223" s="238"/>
      <c r="AK223" s="238"/>
    </row>
    <row r="224" spans="2:37" ht="22.5" customHeight="1">
      <c r="B224" s="238"/>
      <c r="C224" s="238"/>
      <c r="D224" s="238"/>
      <c r="E224" s="238"/>
      <c r="F224" s="238"/>
      <c r="G224" s="582" t="s">
        <v>263</v>
      </c>
      <c r="H224" s="583"/>
      <c r="I224" s="583"/>
      <c r="J224" s="583"/>
      <c r="K224" s="583"/>
      <c r="L224" s="583"/>
      <c r="M224" s="583"/>
      <c r="N224" s="583"/>
      <c r="O224" s="583"/>
      <c r="P224" s="584"/>
      <c r="Q224" s="588" t="s">
        <v>264</v>
      </c>
      <c r="R224" s="589"/>
      <c r="S224" s="589"/>
      <c r="T224" s="589"/>
      <c r="U224" s="589"/>
      <c r="V224" s="589"/>
      <c r="W224" s="589"/>
      <c r="X224" s="589"/>
      <c r="Y224" s="589"/>
      <c r="Z224" s="589"/>
      <c r="AA224" s="589"/>
      <c r="AB224" s="589"/>
      <c r="AC224" s="589"/>
      <c r="AD224" s="589"/>
      <c r="AE224" s="589"/>
      <c r="AF224" s="589"/>
      <c r="AG224" s="590"/>
      <c r="AH224" s="238"/>
      <c r="AI224" s="238"/>
      <c r="AJ224" s="238"/>
      <c r="AK224" s="238"/>
    </row>
    <row r="225" spans="2:37" ht="13.2">
      <c r="B225" s="238"/>
      <c r="C225" s="238"/>
      <c r="D225" s="238"/>
      <c r="E225" s="238"/>
      <c r="F225" s="238"/>
      <c r="G225" s="585"/>
      <c r="H225" s="586"/>
      <c r="I225" s="586"/>
      <c r="J225" s="586"/>
      <c r="K225" s="586"/>
      <c r="L225" s="586"/>
      <c r="M225" s="586"/>
      <c r="N225" s="586"/>
      <c r="O225" s="586"/>
      <c r="P225" s="587"/>
      <c r="Q225" s="588" t="s">
        <v>265</v>
      </c>
      <c r="R225" s="589"/>
      <c r="S225" s="589"/>
      <c r="T225" s="589"/>
      <c r="U225" s="589"/>
      <c r="V225" s="589"/>
      <c r="W225" s="589"/>
      <c r="X225" s="589"/>
      <c r="Y225" s="589"/>
      <c r="Z225" s="589"/>
      <c r="AA225" s="589"/>
      <c r="AB225" s="589"/>
      <c r="AC225" s="589"/>
      <c r="AD225" s="589"/>
      <c r="AE225" s="589"/>
      <c r="AF225" s="589"/>
      <c r="AG225" s="590"/>
      <c r="AH225" s="238"/>
      <c r="AI225" s="238"/>
      <c r="AJ225" s="238"/>
      <c r="AK225" s="238"/>
    </row>
    <row r="226" spans="2:37" ht="13.2">
      <c r="B226" s="238"/>
      <c r="C226" s="238"/>
      <c r="D226" s="238"/>
      <c r="E226" s="238"/>
      <c r="F226" s="238"/>
      <c r="G226" s="585"/>
      <c r="H226" s="586"/>
      <c r="I226" s="586"/>
      <c r="J226" s="586"/>
      <c r="K226" s="586"/>
      <c r="L226" s="586"/>
      <c r="M226" s="586"/>
      <c r="N226" s="586"/>
      <c r="O226" s="586"/>
      <c r="P226" s="587"/>
      <c r="Q226" s="588" t="s">
        <v>266</v>
      </c>
      <c r="R226" s="589"/>
      <c r="S226" s="589"/>
      <c r="T226" s="589"/>
      <c r="U226" s="589"/>
      <c r="V226" s="589"/>
      <c r="W226" s="589"/>
      <c r="X226" s="589"/>
      <c r="Y226" s="589"/>
      <c r="Z226" s="589"/>
      <c r="AA226" s="589"/>
      <c r="AB226" s="589"/>
      <c r="AC226" s="589"/>
      <c r="AD226" s="589"/>
      <c r="AE226" s="589"/>
      <c r="AF226" s="589"/>
      <c r="AG226" s="590"/>
      <c r="AH226" s="238"/>
      <c r="AI226" s="238"/>
      <c r="AJ226" s="238"/>
      <c r="AK226" s="238"/>
    </row>
    <row r="227" spans="2:37" ht="13.2">
      <c r="B227" s="238"/>
      <c r="C227" s="238"/>
      <c r="D227" s="238"/>
      <c r="E227" s="238"/>
      <c r="F227" s="238"/>
      <c r="G227" s="591"/>
      <c r="H227" s="592"/>
      <c r="I227" s="592"/>
      <c r="J227" s="592"/>
      <c r="K227" s="592"/>
      <c r="L227" s="592"/>
      <c r="M227" s="592"/>
      <c r="N227" s="592"/>
      <c r="O227" s="592"/>
      <c r="P227" s="593"/>
      <c r="Q227" s="597"/>
      <c r="R227" s="598"/>
      <c r="S227" s="598"/>
      <c r="T227" s="598"/>
      <c r="U227" s="598"/>
      <c r="V227" s="598"/>
      <c r="W227" s="598"/>
      <c r="X227" s="598"/>
      <c r="Y227" s="598"/>
      <c r="Z227" s="598"/>
      <c r="AA227" s="598"/>
      <c r="AB227" s="598"/>
      <c r="AC227" s="598"/>
      <c r="AD227" s="598"/>
      <c r="AE227" s="598"/>
      <c r="AF227" s="598"/>
      <c r="AG227" s="599"/>
      <c r="AH227" s="238"/>
      <c r="AI227" s="238"/>
      <c r="AJ227" s="238"/>
      <c r="AK227" s="238"/>
    </row>
    <row r="228" spans="2:37" ht="13.2">
      <c r="B228" s="238"/>
      <c r="C228" s="238"/>
      <c r="D228" s="238"/>
      <c r="E228" s="238"/>
      <c r="F228" s="238"/>
      <c r="G228" s="238"/>
      <c r="H228" s="238"/>
      <c r="I228" s="238"/>
      <c r="J228" s="238"/>
      <c r="K228" s="238"/>
      <c r="L228" s="238"/>
      <c r="M228" s="238"/>
      <c r="N228" s="238"/>
      <c r="O228" s="238"/>
      <c r="P228" s="238"/>
      <c r="Q228" s="238"/>
      <c r="R228" s="238"/>
      <c r="S228" s="238"/>
      <c r="T228" s="238"/>
      <c r="U228" s="238"/>
      <c r="V228" s="238"/>
      <c r="W228" s="238"/>
      <c r="X228" s="238"/>
      <c r="Y228" s="238"/>
      <c r="Z228" s="238"/>
      <c r="AA228" s="238"/>
      <c r="AB228" s="238"/>
      <c r="AC228" s="238"/>
      <c r="AD228" s="238"/>
      <c r="AE228" s="238"/>
      <c r="AF228" s="238"/>
      <c r="AG228" s="238"/>
      <c r="AH228" s="238"/>
      <c r="AI228" s="238"/>
      <c r="AJ228" s="238"/>
      <c r="AK228" s="238"/>
    </row>
    <row r="229" spans="2:37" ht="13.2">
      <c r="B229" s="238"/>
      <c r="C229" s="238"/>
      <c r="D229" s="238"/>
      <c r="E229" s="238"/>
      <c r="F229" s="238"/>
      <c r="G229" s="238"/>
      <c r="H229" s="238"/>
      <c r="I229" s="238"/>
      <c r="J229" s="238"/>
      <c r="K229" s="238"/>
      <c r="L229" s="238"/>
      <c r="M229" s="238"/>
      <c r="N229" s="238"/>
      <c r="O229" s="238"/>
      <c r="P229" s="238"/>
      <c r="Q229" s="238"/>
      <c r="R229" s="238"/>
      <c r="S229" s="238"/>
      <c r="T229" s="238"/>
      <c r="U229" s="238"/>
      <c r="V229" s="238"/>
      <c r="W229" s="238"/>
      <c r="X229" s="238"/>
      <c r="Y229" s="238"/>
      <c r="Z229" s="238"/>
      <c r="AA229" s="238"/>
      <c r="AB229" s="238"/>
      <c r="AC229" s="238"/>
      <c r="AD229" s="238"/>
      <c r="AE229" s="238"/>
      <c r="AF229" s="238"/>
      <c r="AG229" s="238"/>
      <c r="AH229" s="238"/>
      <c r="AI229" s="238"/>
      <c r="AJ229" s="238"/>
      <c r="AK229" s="238"/>
    </row>
    <row r="230" spans="2:37" ht="22.5" customHeight="1">
      <c r="B230" s="858" t="s">
        <v>351</v>
      </c>
      <c r="C230" s="858"/>
      <c r="D230" s="858"/>
      <c r="E230" s="858"/>
      <c r="F230" s="858"/>
      <c r="G230" s="858"/>
      <c r="H230" s="858"/>
      <c r="I230" s="858"/>
      <c r="J230" s="858"/>
      <c r="K230" s="858"/>
      <c r="L230" s="858"/>
      <c r="M230" s="858"/>
      <c r="N230" s="858"/>
      <c r="O230" s="858"/>
      <c r="P230" s="858"/>
      <c r="Q230" s="858"/>
      <c r="R230" s="858"/>
      <c r="S230" s="858"/>
      <c r="T230" s="858"/>
      <c r="U230" s="858"/>
      <c r="V230" s="858"/>
      <c r="W230" s="858"/>
      <c r="X230" s="858"/>
      <c r="Y230" s="858"/>
      <c r="Z230" s="858"/>
      <c r="AA230" s="858"/>
      <c r="AB230" s="858"/>
      <c r="AC230" s="858"/>
      <c r="AD230" s="858"/>
      <c r="AE230" s="858"/>
      <c r="AF230" s="858"/>
      <c r="AG230" s="858"/>
      <c r="AH230" s="858"/>
      <c r="AI230" s="858"/>
      <c r="AJ230" s="858"/>
      <c r="AK230" s="858"/>
    </row>
    <row r="231" spans="2:37" ht="13.2">
      <c r="B231" s="297"/>
      <c r="C231" s="298"/>
      <c r="D231" s="298"/>
      <c r="E231" s="298"/>
      <c r="F231" s="298"/>
      <c r="G231" s="298"/>
      <c r="H231" s="298"/>
      <c r="I231" s="298"/>
      <c r="J231" s="298"/>
      <c r="K231" s="298"/>
      <c r="L231" s="298"/>
      <c r="M231" s="298"/>
      <c r="N231" s="298"/>
      <c r="O231" s="298"/>
      <c r="P231" s="298"/>
      <c r="Q231" s="298"/>
      <c r="R231" s="298"/>
      <c r="S231" s="298"/>
      <c r="T231" s="298"/>
      <c r="U231" s="298"/>
      <c r="V231" s="298"/>
      <c r="W231" s="298"/>
      <c r="X231" s="298"/>
      <c r="Y231" s="298"/>
      <c r="Z231" s="298"/>
      <c r="AA231" s="298"/>
      <c r="AB231" s="298"/>
      <c r="AC231" s="298"/>
      <c r="AD231" s="298"/>
      <c r="AE231" s="298"/>
      <c r="AF231" s="298"/>
      <c r="AG231" s="298"/>
      <c r="AH231" s="298"/>
      <c r="AI231" s="298"/>
      <c r="AJ231" s="298"/>
      <c r="AK231" s="298"/>
    </row>
    <row r="232" spans="2:37" ht="56.25" customHeight="1">
      <c r="B232" s="858" t="s">
        <v>381</v>
      </c>
      <c r="C232" s="858"/>
      <c r="D232" s="858"/>
      <c r="E232" s="858"/>
      <c r="F232" s="858"/>
      <c r="G232" s="858"/>
      <c r="H232" s="858"/>
      <c r="I232" s="858"/>
      <c r="J232" s="858"/>
      <c r="K232" s="858"/>
      <c r="L232" s="858"/>
      <c r="M232" s="858"/>
      <c r="N232" s="858"/>
      <c r="O232" s="858"/>
      <c r="P232" s="858"/>
      <c r="Q232" s="858"/>
      <c r="R232" s="858"/>
      <c r="S232" s="858"/>
      <c r="T232" s="858"/>
      <c r="U232" s="858"/>
      <c r="V232" s="858"/>
      <c r="W232" s="858"/>
      <c r="X232" s="858"/>
      <c r="Y232" s="858"/>
      <c r="Z232" s="858"/>
      <c r="AA232" s="858"/>
      <c r="AB232" s="858"/>
      <c r="AC232" s="858"/>
      <c r="AD232" s="858"/>
      <c r="AE232" s="858"/>
      <c r="AF232" s="858"/>
      <c r="AG232" s="858"/>
      <c r="AH232" s="858"/>
      <c r="AI232" s="858"/>
      <c r="AJ232" s="858"/>
      <c r="AK232" s="858"/>
    </row>
    <row r="233" spans="2:37" ht="33.75" customHeight="1">
      <c r="B233" s="729" t="s">
        <v>269</v>
      </c>
      <c r="C233" s="729"/>
      <c r="D233" s="729"/>
      <c r="E233" s="729"/>
      <c r="F233" s="729"/>
      <c r="G233" s="729"/>
      <c r="H233" s="729"/>
      <c r="I233" s="729"/>
      <c r="J233" s="729"/>
      <c r="K233" s="729"/>
      <c r="L233" s="729"/>
      <c r="M233" s="729"/>
      <c r="N233" s="729"/>
      <c r="O233" s="729"/>
      <c r="P233" s="729"/>
      <c r="Q233" s="729"/>
      <c r="R233" s="729"/>
      <c r="S233" s="729"/>
      <c r="T233" s="729"/>
      <c r="U233" s="729"/>
      <c r="V233" s="729"/>
      <c r="W233" s="729"/>
      <c r="X233" s="729"/>
      <c r="Y233" s="729"/>
      <c r="Z233" s="729"/>
      <c r="AA233" s="729"/>
      <c r="AB233" s="729"/>
      <c r="AC233" s="729"/>
      <c r="AD233" s="729"/>
      <c r="AE233" s="729"/>
      <c r="AF233" s="729"/>
      <c r="AG233" s="729"/>
      <c r="AH233" s="729"/>
      <c r="AI233" s="729"/>
      <c r="AJ233" s="729"/>
      <c r="AK233" s="729"/>
    </row>
    <row r="234" spans="2:37" ht="45" customHeight="1">
      <c r="B234" s="858" t="s">
        <v>382</v>
      </c>
      <c r="C234" s="858"/>
      <c r="D234" s="858"/>
      <c r="E234" s="858"/>
      <c r="F234" s="858"/>
      <c r="G234" s="858"/>
      <c r="H234" s="858"/>
      <c r="I234" s="858"/>
      <c r="J234" s="858"/>
      <c r="K234" s="858"/>
      <c r="L234" s="858"/>
      <c r="M234" s="858"/>
      <c r="N234" s="858"/>
      <c r="O234" s="858"/>
      <c r="P234" s="858"/>
      <c r="Q234" s="858"/>
      <c r="R234" s="858"/>
      <c r="S234" s="858"/>
      <c r="T234" s="858"/>
      <c r="U234" s="858"/>
      <c r="V234" s="858"/>
      <c r="W234" s="858"/>
      <c r="X234" s="858"/>
      <c r="Y234" s="858"/>
      <c r="Z234" s="858"/>
      <c r="AA234" s="858"/>
      <c r="AB234" s="858"/>
      <c r="AC234" s="858"/>
      <c r="AD234" s="858"/>
      <c r="AE234" s="858"/>
      <c r="AF234" s="858"/>
      <c r="AG234" s="858"/>
      <c r="AH234" s="858"/>
      <c r="AI234" s="858"/>
      <c r="AJ234" s="858"/>
      <c r="AK234" s="858"/>
    </row>
    <row r="235" spans="2:37" ht="13.2">
      <c r="B235" s="298"/>
      <c r="C235" s="298"/>
      <c r="D235" s="298"/>
      <c r="E235" s="298"/>
      <c r="F235" s="298"/>
      <c r="G235" s="298"/>
      <c r="H235" s="298"/>
      <c r="I235" s="298"/>
      <c r="J235" s="298"/>
      <c r="K235" s="298"/>
      <c r="L235" s="298"/>
      <c r="M235" s="298"/>
      <c r="N235" s="298"/>
      <c r="O235" s="298"/>
      <c r="P235" s="298"/>
      <c r="Q235" s="298"/>
      <c r="R235" s="298"/>
      <c r="S235" s="298"/>
      <c r="T235" s="298"/>
      <c r="U235" s="298"/>
      <c r="V235" s="298"/>
      <c r="W235" s="298"/>
      <c r="X235" s="298"/>
      <c r="Y235" s="298"/>
      <c r="Z235" s="298"/>
      <c r="AA235" s="298"/>
      <c r="AB235" s="298"/>
      <c r="AC235" s="298"/>
      <c r="AD235" s="298"/>
      <c r="AE235" s="298"/>
      <c r="AF235" s="298"/>
      <c r="AG235" s="298"/>
      <c r="AH235" s="298"/>
      <c r="AI235" s="298"/>
      <c r="AJ235" s="298"/>
      <c r="AK235" s="298"/>
    </row>
    <row r="236" spans="2:37" ht="33.75" customHeight="1">
      <c r="B236" s="858" t="s">
        <v>464</v>
      </c>
      <c r="C236" s="858"/>
      <c r="D236" s="858"/>
      <c r="E236" s="858"/>
      <c r="F236" s="858"/>
      <c r="G236" s="858"/>
      <c r="H236" s="858"/>
      <c r="I236" s="858"/>
      <c r="J236" s="858"/>
      <c r="K236" s="858"/>
      <c r="L236" s="858"/>
      <c r="M236" s="858"/>
      <c r="N236" s="858"/>
      <c r="O236" s="858"/>
      <c r="P236" s="858"/>
      <c r="Q236" s="858"/>
      <c r="R236" s="858"/>
      <c r="S236" s="858"/>
      <c r="T236" s="858"/>
      <c r="U236" s="858"/>
      <c r="V236" s="858"/>
      <c r="W236" s="858"/>
      <c r="X236" s="858"/>
      <c r="Y236" s="858"/>
      <c r="Z236" s="858"/>
      <c r="AA236" s="858"/>
      <c r="AB236" s="858"/>
      <c r="AC236" s="858"/>
      <c r="AD236" s="858"/>
      <c r="AE236" s="858"/>
      <c r="AF236" s="858"/>
      <c r="AG236" s="858"/>
      <c r="AH236" s="858"/>
      <c r="AI236" s="858"/>
      <c r="AJ236" s="858"/>
      <c r="AK236" s="858"/>
    </row>
    <row r="237" spans="2:37" ht="13.2">
      <c r="B237" s="298"/>
      <c r="C237" s="298"/>
      <c r="D237" s="298"/>
      <c r="E237" s="298"/>
      <c r="F237" s="298"/>
      <c r="G237" s="298"/>
      <c r="H237" s="298"/>
      <c r="I237" s="298"/>
      <c r="J237" s="298"/>
      <c r="K237" s="298"/>
      <c r="L237" s="298"/>
      <c r="M237" s="298"/>
      <c r="N237" s="298"/>
      <c r="O237" s="298"/>
      <c r="P237" s="298"/>
      <c r="Q237" s="298"/>
      <c r="R237" s="298"/>
      <c r="S237" s="298"/>
      <c r="T237" s="298"/>
      <c r="U237" s="298"/>
      <c r="V237" s="298"/>
      <c r="W237" s="298"/>
      <c r="X237" s="298"/>
      <c r="Y237" s="298"/>
      <c r="Z237" s="298"/>
      <c r="AA237" s="298"/>
      <c r="AB237" s="298"/>
      <c r="AC237" s="298"/>
      <c r="AD237" s="298"/>
      <c r="AE237" s="298"/>
      <c r="AF237" s="298"/>
      <c r="AG237" s="298"/>
      <c r="AH237" s="298"/>
      <c r="AI237" s="298"/>
      <c r="AJ237" s="298"/>
      <c r="AK237" s="298"/>
    </row>
    <row r="238" spans="2:37" ht="11.25" customHeight="1">
      <c r="B238" s="859" t="s">
        <v>272</v>
      </c>
      <c r="C238" s="859"/>
      <c r="D238" s="859"/>
      <c r="E238" s="859"/>
      <c r="F238" s="859"/>
      <c r="G238" s="859"/>
      <c r="H238" s="859"/>
      <c r="I238" s="859"/>
      <c r="J238" s="859"/>
      <c r="K238" s="859"/>
      <c r="L238" s="859"/>
      <c r="M238" s="859"/>
      <c r="N238" s="859"/>
      <c r="O238" s="859"/>
      <c r="P238" s="859"/>
      <c r="Q238" s="859"/>
      <c r="R238" s="859"/>
      <c r="S238" s="859"/>
      <c r="T238" s="859"/>
      <c r="U238" s="859"/>
      <c r="V238" s="859"/>
      <c r="W238" s="859"/>
      <c r="X238" s="859"/>
      <c r="Y238" s="859"/>
      <c r="Z238" s="859"/>
      <c r="AA238" s="859"/>
      <c r="AB238" s="859"/>
      <c r="AC238" s="859"/>
      <c r="AD238" s="859"/>
      <c r="AE238" s="859"/>
      <c r="AF238" s="859"/>
      <c r="AG238" s="859"/>
      <c r="AH238" s="859"/>
      <c r="AI238" s="859"/>
      <c r="AJ238" s="859"/>
      <c r="AK238" s="859"/>
    </row>
    <row r="239" spans="2:37" ht="13.2">
      <c r="B239" s="298"/>
      <c r="C239" s="298"/>
      <c r="D239" s="298"/>
      <c r="E239" s="298"/>
      <c r="F239" s="298"/>
      <c r="G239" s="298"/>
      <c r="H239" s="298"/>
      <c r="I239" s="298"/>
      <c r="J239" s="298"/>
      <c r="K239" s="298"/>
      <c r="L239" s="298"/>
      <c r="M239" s="298"/>
      <c r="N239" s="298"/>
      <c r="O239" s="298"/>
      <c r="P239" s="298"/>
      <c r="Q239" s="298"/>
      <c r="R239" s="298"/>
      <c r="S239" s="298"/>
      <c r="T239" s="298"/>
      <c r="U239" s="298"/>
      <c r="V239" s="298"/>
      <c r="W239" s="298"/>
      <c r="X239" s="298"/>
      <c r="Y239" s="298"/>
      <c r="Z239" s="298"/>
      <c r="AA239" s="298"/>
      <c r="AB239" s="298"/>
      <c r="AC239" s="298"/>
      <c r="AD239" s="298"/>
      <c r="AE239" s="298"/>
      <c r="AF239" s="298"/>
      <c r="AG239" s="298"/>
      <c r="AH239" s="298"/>
      <c r="AI239" s="298"/>
      <c r="AJ239" s="298"/>
      <c r="AK239" s="298"/>
    </row>
    <row r="240" spans="2:37" ht="45" customHeight="1">
      <c r="B240" s="729" t="s">
        <v>383</v>
      </c>
      <c r="C240" s="729"/>
      <c r="D240" s="729"/>
      <c r="E240" s="729"/>
      <c r="F240" s="729"/>
      <c r="G240" s="729"/>
      <c r="H240" s="729"/>
      <c r="I240" s="729"/>
      <c r="J240" s="729"/>
      <c r="K240" s="729"/>
      <c r="L240" s="729"/>
      <c r="M240" s="729"/>
      <c r="N240" s="729"/>
      <c r="O240" s="729"/>
      <c r="P240" s="729"/>
      <c r="Q240" s="729"/>
      <c r="R240" s="729"/>
      <c r="S240" s="729"/>
      <c r="T240" s="729"/>
      <c r="U240" s="729"/>
      <c r="V240" s="729"/>
      <c r="W240" s="729"/>
      <c r="X240" s="729"/>
      <c r="Y240" s="729"/>
      <c r="Z240" s="729"/>
      <c r="AA240" s="729"/>
      <c r="AB240" s="729"/>
      <c r="AC240" s="729"/>
      <c r="AD240" s="729"/>
      <c r="AE240" s="729"/>
      <c r="AF240" s="729"/>
      <c r="AG240" s="729"/>
      <c r="AH240" s="729"/>
      <c r="AI240" s="729"/>
      <c r="AJ240" s="729"/>
      <c r="AK240" s="729"/>
    </row>
    <row r="241" spans="2:37" ht="13.2">
      <c r="B241" s="238"/>
      <c r="C241" s="238"/>
      <c r="D241" s="238"/>
      <c r="E241" s="238"/>
      <c r="F241" s="238"/>
      <c r="G241" s="238"/>
      <c r="H241" s="238"/>
      <c r="I241" s="238"/>
      <c r="J241" s="238"/>
      <c r="K241" s="238"/>
      <c r="L241" s="238"/>
      <c r="M241" s="238"/>
      <c r="N241" s="238"/>
      <c r="O241" s="238"/>
      <c r="P241" s="238"/>
      <c r="Q241" s="238"/>
      <c r="R241" s="238"/>
      <c r="S241" s="238"/>
      <c r="T241" s="238"/>
      <c r="U241" s="238"/>
      <c r="V241" s="238"/>
      <c r="W241" s="238"/>
      <c r="X241" s="238"/>
      <c r="Y241" s="238"/>
      <c r="Z241" s="238"/>
      <c r="AA241" s="238"/>
      <c r="AB241" s="238"/>
      <c r="AC241" s="238"/>
      <c r="AD241" s="238"/>
      <c r="AE241" s="238"/>
      <c r="AF241" s="238"/>
      <c r="AG241" s="238"/>
      <c r="AH241" s="238"/>
      <c r="AI241" s="238"/>
      <c r="AJ241" s="238"/>
      <c r="AK241" s="238"/>
    </row>
    <row r="242" spans="2:37" ht="13.2">
      <c r="B242" s="238"/>
      <c r="C242" s="238"/>
      <c r="D242" s="238"/>
      <c r="E242" s="238"/>
      <c r="F242" s="238"/>
      <c r="G242" s="238"/>
      <c r="H242" s="238"/>
      <c r="I242" s="238"/>
      <c r="J242" s="238"/>
      <c r="K242" s="238"/>
      <c r="L242" s="238"/>
      <c r="M242" s="238"/>
      <c r="N242" s="238"/>
      <c r="O242" s="238"/>
      <c r="P242" s="238"/>
      <c r="Q242" s="238"/>
      <c r="R242" s="238"/>
      <c r="S242" s="238"/>
      <c r="T242" s="238"/>
      <c r="U242" s="238"/>
      <c r="V242" s="238"/>
      <c r="W242" s="238"/>
      <c r="X242" s="238"/>
      <c r="Y242" s="238"/>
      <c r="Z242" s="238"/>
      <c r="AA242" s="238"/>
      <c r="AB242" s="238"/>
      <c r="AC242" s="238"/>
      <c r="AD242" s="238"/>
      <c r="AE242" s="238"/>
      <c r="AF242" s="238"/>
      <c r="AG242" s="238"/>
      <c r="AH242" s="238"/>
      <c r="AI242" s="238"/>
      <c r="AJ242" s="238"/>
      <c r="AK242" s="238"/>
    </row>
    <row r="243" spans="2:37" ht="13.2">
      <c r="B243" s="238"/>
      <c r="C243" s="238"/>
      <c r="D243" s="238"/>
      <c r="E243" s="238"/>
      <c r="F243" s="238"/>
      <c r="G243" s="238"/>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8"/>
      <c r="AE243" s="238"/>
      <c r="AF243" s="238"/>
      <c r="AG243" s="238"/>
      <c r="AH243" s="238"/>
      <c r="AI243" s="238"/>
      <c r="AJ243" s="238"/>
      <c r="AK243" s="238"/>
    </row>
    <row r="244" spans="2:37" ht="13.2">
      <c r="B244" s="238"/>
      <c r="C244" s="238"/>
      <c r="D244" s="238"/>
      <c r="E244" s="238"/>
      <c r="F244" s="238"/>
      <c r="G244" s="238"/>
      <c r="H244" s="233"/>
      <c r="I244" s="233"/>
      <c r="J244" s="233"/>
      <c r="K244" s="233"/>
      <c r="L244" s="233"/>
      <c r="M244" s="233"/>
      <c r="N244" s="233"/>
      <c r="O244" s="609" t="s">
        <v>274</v>
      </c>
      <c r="P244" s="609"/>
      <c r="Q244" s="609"/>
      <c r="R244" s="609"/>
      <c r="S244" s="609"/>
      <c r="T244" s="609"/>
      <c r="U244" s="609"/>
      <c r="V244" s="609"/>
      <c r="W244" s="609"/>
      <c r="X244" s="609"/>
      <c r="Y244" s="234"/>
      <c r="Z244" s="233"/>
      <c r="AA244" s="233"/>
      <c r="AB244" s="233"/>
      <c r="AC244" s="233"/>
      <c r="AD244" s="238"/>
      <c r="AE244" s="238"/>
      <c r="AF244" s="238"/>
      <c r="AG244" s="238"/>
      <c r="AH244" s="238"/>
      <c r="AI244" s="238"/>
      <c r="AJ244" s="238"/>
      <c r="AK244" s="238"/>
    </row>
    <row r="245" spans="2:37" ht="13.2">
      <c r="B245" s="238"/>
      <c r="C245" s="238"/>
      <c r="D245" s="238"/>
      <c r="E245" s="238"/>
      <c r="F245" s="238"/>
      <c r="G245" s="238"/>
      <c r="H245" s="233"/>
      <c r="I245" s="233"/>
      <c r="J245" s="233"/>
      <c r="K245" s="233"/>
      <c r="L245" s="233"/>
      <c r="M245" s="233"/>
      <c r="N245" s="233"/>
      <c r="O245" s="235"/>
      <c r="P245" s="235"/>
      <c r="Q245" s="235"/>
      <c r="R245" s="235"/>
      <c r="S245" s="235"/>
      <c r="T245" s="235"/>
      <c r="U245" s="235"/>
      <c r="V245" s="235"/>
      <c r="W245" s="233"/>
      <c r="X245" s="233"/>
      <c r="Y245" s="233"/>
      <c r="Z245" s="233"/>
      <c r="AA245" s="233"/>
      <c r="AB245" s="233"/>
      <c r="AC245" s="233"/>
      <c r="AD245" s="238"/>
      <c r="AE245" s="238"/>
      <c r="AF245" s="238"/>
      <c r="AG245" s="238"/>
      <c r="AH245" s="238"/>
      <c r="AI245" s="238"/>
      <c r="AJ245" s="238"/>
      <c r="AK245" s="238"/>
    </row>
    <row r="246" spans="2:37" ht="13.2">
      <c r="B246" s="238"/>
      <c r="C246" s="238"/>
      <c r="D246" s="238"/>
      <c r="E246" s="238"/>
      <c r="F246" s="238"/>
      <c r="G246" s="238"/>
      <c r="H246" s="233"/>
      <c r="I246" s="233"/>
      <c r="J246" s="233"/>
      <c r="K246" s="233"/>
      <c r="L246" s="840"/>
      <c r="M246" s="840"/>
      <c r="N246" s="840"/>
      <c r="O246" s="840"/>
      <c r="P246" s="840"/>
      <c r="Q246" s="840"/>
      <c r="R246" s="840"/>
      <c r="S246" s="840"/>
      <c r="T246" s="840"/>
      <c r="U246" s="840"/>
      <c r="V246" s="840"/>
      <c r="W246" s="840"/>
      <c r="X246" s="840"/>
      <c r="Y246" s="840"/>
      <c r="Z246" s="840"/>
      <c r="AA246" s="840"/>
      <c r="AB246" s="233"/>
      <c r="AC246" s="233"/>
      <c r="AD246" s="238"/>
      <c r="AE246" s="238"/>
      <c r="AF246" s="238"/>
      <c r="AG246" s="238"/>
      <c r="AH246" s="238"/>
      <c r="AI246" s="238"/>
      <c r="AJ246" s="238"/>
      <c r="AK246" s="238"/>
    </row>
    <row r="247" spans="2:37" ht="13.2">
      <c r="B247" s="238"/>
      <c r="C247" s="238"/>
      <c r="D247" s="238"/>
      <c r="E247" s="238"/>
      <c r="F247" s="238"/>
      <c r="G247" s="238"/>
      <c r="H247" s="233"/>
      <c r="I247" s="233"/>
      <c r="J247" s="233"/>
      <c r="K247" s="233"/>
      <c r="L247" s="611">
        <f>AA_013_DATOS_DE_LA_PARTE_ACREDITADA_NOMBRE_DEL_ACREDITADO</f>
        <v>0</v>
      </c>
      <c r="M247" s="611"/>
      <c r="N247" s="611"/>
      <c r="O247" s="611"/>
      <c r="P247" s="611"/>
      <c r="Q247" s="611"/>
      <c r="R247" s="611"/>
      <c r="S247" s="611"/>
      <c r="T247" s="611"/>
      <c r="U247" s="611"/>
      <c r="V247" s="611"/>
      <c r="W247" s="611"/>
      <c r="X247" s="611"/>
      <c r="Y247" s="611"/>
      <c r="Z247" s="611"/>
      <c r="AA247" s="611"/>
      <c r="AB247" s="233"/>
      <c r="AC247" s="233"/>
      <c r="AD247" s="238"/>
      <c r="AE247" s="238"/>
      <c r="AF247" s="238"/>
      <c r="AG247" s="238"/>
      <c r="AH247" s="238"/>
      <c r="AI247" s="238"/>
      <c r="AJ247" s="238"/>
      <c r="AK247" s="238"/>
    </row>
    <row r="248" spans="2:37" ht="13.2">
      <c r="B248" s="238"/>
      <c r="C248" s="238"/>
      <c r="D248" s="238"/>
      <c r="E248" s="238"/>
      <c r="F248" s="238"/>
      <c r="G248" s="238"/>
      <c r="H248" s="233"/>
      <c r="I248" s="233"/>
      <c r="J248" s="233"/>
      <c r="K248" s="233"/>
      <c r="L248" s="233"/>
      <c r="M248" s="233"/>
      <c r="N248" s="233"/>
      <c r="O248" s="233"/>
      <c r="P248" s="233"/>
      <c r="Q248" s="233"/>
      <c r="R248" s="233"/>
      <c r="S248" s="233"/>
      <c r="T248" s="233"/>
      <c r="U248" s="233"/>
      <c r="V248" s="233"/>
      <c r="W248" s="233"/>
      <c r="X248" s="233"/>
      <c r="Y248" s="233"/>
      <c r="Z248" s="233"/>
      <c r="AA248" s="233"/>
      <c r="AB248" s="233"/>
      <c r="AC248" s="233"/>
      <c r="AD248" s="238"/>
      <c r="AE248" s="238"/>
      <c r="AF248" s="238"/>
      <c r="AG248" s="238"/>
      <c r="AH248" s="238"/>
      <c r="AI248" s="238"/>
      <c r="AJ248" s="238"/>
      <c r="AK248" s="238"/>
    </row>
    <row r="249" spans="2:37" ht="13.2">
      <c r="B249" s="238"/>
      <c r="C249" s="238"/>
      <c r="D249" s="238"/>
      <c r="E249" s="238"/>
      <c r="F249" s="238"/>
      <c r="G249" s="238"/>
      <c r="H249" s="233"/>
      <c r="I249" s="233"/>
      <c r="J249" s="233"/>
      <c r="K249" s="233"/>
      <c r="L249" s="233"/>
      <c r="M249" s="233"/>
      <c r="N249" s="233"/>
      <c r="O249" s="233"/>
      <c r="P249" s="233"/>
      <c r="Q249" s="233"/>
      <c r="R249" s="233"/>
      <c r="S249" s="233"/>
      <c r="T249" s="233"/>
      <c r="U249" s="233"/>
      <c r="V249" s="233"/>
      <c r="W249" s="233"/>
      <c r="X249" s="233"/>
      <c r="Y249" s="233"/>
      <c r="Z249" s="233"/>
      <c r="AA249" s="233"/>
      <c r="AB249" s="233"/>
      <c r="AC249" s="233"/>
      <c r="AD249" s="238"/>
      <c r="AE249" s="238"/>
      <c r="AF249" s="238"/>
      <c r="AG249" s="238"/>
      <c r="AH249" s="238"/>
      <c r="AI249" s="238"/>
      <c r="AJ249" s="238"/>
      <c r="AK249" s="238"/>
    </row>
    <row r="250" spans="2:37" ht="13.2">
      <c r="B250" s="238"/>
      <c r="C250" s="238"/>
      <c r="D250" s="238"/>
      <c r="E250" s="238"/>
      <c r="F250" s="238"/>
      <c r="G250" s="238"/>
      <c r="H250" s="236"/>
      <c r="I250" s="236"/>
      <c r="J250" s="236"/>
      <c r="K250" s="236"/>
      <c r="L250" s="840"/>
      <c r="M250" s="840"/>
      <c r="N250" s="840"/>
      <c r="O250" s="840"/>
      <c r="P250" s="840"/>
      <c r="Q250" s="840"/>
      <c r="R250" s="840"/>
      <c r="S250" s="840"/>
      <c r="T250" s="840"/>
      <c r="U250" s="840"/>
      <c r="V250" s="840"/>
      <c r="W250" s="840"/>
      <c r="X250" s="840"/>
      <c r="Y250" s="840"/>
      <c r="Z250" s="840"/>
      <c r="AA250" s="840"/>
      <c r="AB250" s="236"/>
      <c r="AC250" s="236"/>
      <c r="AD250" s="238"/>
      <c r="AE250" s="238"/>
      <c r="AF250" s="238"/>
      <c r="AG250" s="238"/>
      <c r="AH250" s="238"/>
      <c r="AI250" s="238"/>
      <c r="AJ250" s="238"/>
      <c r="AK250" s="238"/>
    </row>
    <row r="251" spans="2:37" ht="13.2">
      <c r="B251" s="238"/>
      <c r="C251" s="238"/>
      <c r="D251" s="238"/>
      <c r="E251" s="238"/>
      <c r="F251" s="238"/>
      <c r="G251" s="238"/>
      <c r="H251" s="236"/>
      <c r="I251" s="236"/>
      <c r="J251" s="236"/>
      <c r="K251" s="236"/>
      <c r="L251" s="611">
        <f>AA_024_DATOS_DE_LA_PARTE_ACREDITADA_NOMBRE_DEL_ACREDITADO_2</f>
        <v>0</v>
      </c>
      <c r="M251" s="611"/>
      <c r="N251" s="611"/>
      <c r="O251" s="611"/>
      <c r="P251" s="611"/>
      <c r="Q251" s="611"/>
      <c r="R251" s="611"/>
      <c r="S251" s="611"/>
      <c r="T251" s="611"/>
      <c r="U251" s="611"/>
      <c r="V251" s="611"/>
      <c r="W251" s="611"/>
      <c r="X251" s="611"/>
      <c r="Y251" s="611"/>
      <c r="Z251" s="611"/>
      <c r="AA251" s="611"/>
      <c r="AB251" s="236"/>
      <c r="AC251" s="236"/>
      <c r="AD251" s="238"/>
      <c r="AE251" s="238"/>
      <c r="AF251" s="238"/>
      <c r="AG251" s="238"/>
      <c r="AH251" s="238"/>
      <c r="AI251" s="238"/>
      <c r="AJ251" s="238"/>
      <c r="AK251" s="238"/>
    </row>
    <row r="252" spans="2:37" ht="13.2">
      <c r="B252" s="238"/>
      <c r="C252" s="238"/>
      <c r="D252" s="238"/>
      <c r="E252" s="238"/>
      <c r="F252" s="238"/>
      <c r="G252" s="238"/>
      <c r="H252" s="236"/>
      <c r="I252" s="236"/>
      <c r="J252" s="236"/>
      <c r="K252" s="236"/>
      <c r="L252" s="236"/>
      <c r="M252" s="236"/>
      <c r="N252" s="236"/>
      <c r="O252" s="236"/>
      <c r="P252" s="236"/>
      <c r="Q252" s="236"/>
      <c r="R252" s="236"/>
      <c r="S252" s="236"/>
      <c r="T252" s="236"/>
      <c r="U252" s="236"/>
      <c r="V252" s="236"/>
      <c r="W252" s="236"/>
      <c r="X252" s="236"/>
      <c r="Y252" s="236"/>
      <c r="Z252" s="236"/>
      <c r="AA252" s="236"/>
      <c r="AB252" s="236"/>
      <c r="AC252" s="236"/>
      <c r="AD252" s="238"/>
      <c r="AE252" s="238"/>
      <c r="AF252" s="238"/>
      <c r="AG252" s="238"/>
      <c r="AH252" s="238"/>
      <c r="AI252" s="238"/>
      <c r="AJ252" s="238"/>
      <c r="AK252" s="238"/>
    </row>
    <row r="253" spans="2:37" ht="13.2">
      <c r="B253" s="238"/>
      <c r="C253" s="238"/>
      <c r="D253" s="238"/>
      <c r="E253" s="238"/>
      <c r="F253" s="238"/>
      <c r="G253" s="238"/>
      <c r="H253" s="236"/>
      <c r="I253" s="236"/>
      <c r="J253" s="236"/>
      <c r="K253" s="236"/>
      <c r="L253" s="236"/>
      <c r="M253" s="236"/>
      <c r="N253" s="236"/>
      <c r="O253" s="236"/>
      <c r="P253" s="236"/>
      <c r="Q253" s="236"/>
      <c r="R253" s="236"/>
      <c r="S253" s="236"/>
      <c r="T253" s="236"/>
      <c r="U253" s="236"/>
      <c r="V253" s="236"/>
      <c r="W253" s="236"/>
      <c r="X253" s="236"/>
      <c r="Y253" s="236"/>
      <c r="Z253" s="236"/>
      <c r="AA253" s="236"/>
      <c r="AB253" s="236"/>
      <c r="AC253" s="236"/>
      <c r="AD253" s="238"/>
      <c r="AE253" s="238"/>
      <c r="AF253" s="238"/>
      <c r="AG253" s="238"/>
      <c r="AH253" s="238"/>
      <c r="AI253" s="238"/>
      <c r="AJ253" s="238"/>
      <c r="AK253" s="238"/>
    </row>
    <row r="254" spans="2:37" ht="13.2">
      <c r="B254" s="238"/>
      <c r="C254" s="238"/>
      <c r="D254" s="238"/>
      <c r="E254" s="238"/>
      <c r="F254" s="238"/>
      <c r="G254" s="238"/>
      <c r="H254" s="236"/>
      <c r="I254" s="236"/>
      <c r="J254" s="236"/>
      <c r="K254" s="236"/>
      <c r="L254" s="236"/>
      <c r="M254" s="236"/>
      <c r="N254" s="236"/>
      <c r="O254" s="236"/>
      <c r="P254" s="236"/>
      <c r="Q254" s="236"/>
      <c r="R254" s="236"/>
      <c r="S254" s="236"/>
      <c r="T254" s="236"/>
      <c r="U254" s="236"/>
      <c r="V254" s="236"/>
      <c r="W254" s="236"/>
      <c r="X254" s="236"/>
      <c r="Y254" s="236"/>
      <c r="Z254" s="236"/>
      <c r="AA254" s="236"/>
      <c r="AB254" s="236"/>
      <c r="AC254" s="236"/>
      <c r="AD254" s="238"/>
      <c r="AE254" s="238"/>
      <c r="AF254" s="238"/>
      <c r="AG254" s="238"/>
      <c r="AH254" s="238"/>
      <c r="AI254" s="238"/>
      <c r="AJ254" s="238"/>
      <c r="AK254" s="238"/>
    </row>
    <row r="255" spans="2:37" ht="13.2">
      <c r="B255" s="238"/>
      <c r="C255" s="238"/>
      <c r="D255" s="238"/>
      <c r="E255" s="238"/>
      <c r="F255" s="238"/>
      <c r="G255" s="238"/>
      <c r="H255" s="236"/>
      <c r="I255" s="236"/>
      <c r="J255" s="236"/>
      <c r="K255" s="236"/>
      <c r="L255" s="236"/>
      <c r="M255" s="236"/>
      <c r="N255" s="236"/>
      <c r="O255" s="236"/>
      <c r="P255" s="236"/>
      <c r="Q255" s="236"/>
      <c r="R255" s="236"/>
      <c r="S255" s="236"/>
      <c r="T255" s="236"/>
      <c r="U255" s="236"/>
      <c r="V255" s="236"/>
      <c r="W255" s="236"/>
      <c r="X255" s="236"/>
      <c r="Y255" s="236"/>
      <c r="Z255" s="236"/>
      <c r="AA255" s="236"/>
      <c r="AB255" s="236"/>
      <c r="AC255" s="236"/>
      <c r="AD255" s="238"/>
      <c r="AE255" s="238"/>
      <c r="AF255" s="238"/>
      <c r="AG255" s="238"/>
      <c r="AH255" s="238"/>
      <c r="AI255" s="238"/>
      <c r="AJ255" s="238"/>
      <c r="AK255" s="238"/>
    </row>
    <row r="256" spans="2:37" ht="13.2">
      <c r="B256" s="238"/>
      <c r="C256" s="238"/>
      <c r="D256" s="238"/>
      <c r="E256" s="238"/>
      <c r="F256" s="238"/>
      <c r="G256" s="238"/>
      <c r="H256" s="236"/>
      <c r="I256" s="236"/>
      <c r="J256" s="236"/>
      <c r="K256" s="236"/>
      <c r="L256" s="236"/>
      <c r="M256" s="236"/>
      <c r="N256" s="236"/>
      <c r="O256" s="236"/>
      <c r="P256" s="236"/>
      <c r="Q256" s="236"/>
      <c r="R256" s="236"/>
      <c r="S256" s="236"/>
      <c r="T256" s="236"/>
      <c r="U256" s="236"/>
      <c r="V256" s="236"/>
      <c r="W256" s="236"/>
      <c r="X256" s="236"/>
      <c r="Y256" s="236"/>
      <c r="Z256" s="236"/>
      <c r="AA256" s="236"/>
      <c r="AB256" s="236"/>
      <c r="AC256" s="236"/>
      <c r="AD256" s="238"/>
      <c r="AE256" s="238"/>
      <c r="AF256" s="238"/>
      <c r="AG256" s="238"/>
      <c r="AH256" s="238"/>
      <c r="AI256" s="238"/>
      <c r="AJ256" s="238"/>
      <c r="AK256" s="238"/>
    </row>
    <row r="257" spans="2:37" ht="13.2">
      <c r="B257" s="238"/>
      <c r="C257" s="238"/>
      <c r="D257" s="238"/>
      <c r="E257" s="238"/>
      <c r="F257" s="238"/>
      <c r="G257" s="238"/>
      <c r="H257" s="236"/>
      <c r="I257" s="236"/>
      <c r="J257" s="236"/>
      <c r="K257" s="236"/>
      <c r="L257" s="236"/>
      <c r="M257" s="609" t="s">
        <v>275</v>
      </c>
      <c r="N257" s="609"/>
      <c r="O257" s="609"/>
      <c r="P257" s="609"/>
      <c r="Q257" s="609"/>
      <c r="R257" s="609"/>
      <c r="S257" s="609"/>
      <c r="T257" s="609"/>
      <c r="U257" s="609"/>
      <c r="V257" s="609"/>
      <c r="W257" s="609"/>
      <c r="X257" s="609"/>
      <c r="Y257" s="609"/>
      <c r="Z257" s="236"/>
      <c r="AA257" s="236"/>
      <c r="AB257" s="236"/>
      <c r="AC257" s="236"/>
      <c r="AD257" s="238"/>
      <c r="AE257" s="238"/>
      <c r="AF257" s="238"/>
      <c r="AG257" s="238"/>
      <c r="AH257" s="238"/>
      <c r="AI257" s="238"/>
      <c r="AJ257" s="238"/>
      <c r="AK257" s="238"/>
    </row>
    <row r="258" spans="2:37" ht="13.2">
      <c r="B258" s="238"/>
      <c r="C258" s="238"/>
      <c r="D258" s="238"/>
      <c r="E258" s="238"/>
      <c r="F258" s="238"/>
      <c r="G258" s="238"/>
      <c r="H258" s="236"/>
      <c r="I258" s="236"/>
      <c r="J258" s="236"/>
      <c r="K258" s="236"/>
      <c r="L258" s="236"/>
      <c r="M258" s="236"/>
      <c r="N258" s="236"/>
      <c r="O258" s="236"/>
      <c r="P258" s="236"/>
      <c r="Q258" s="236"/>
      <c r="R258" s="236"/>
      <c r="S258" s="236"/>
      <c r="T258" s="236"/>
      <c r="U258" s="236"/>
      <c r="V258" s="236"/>
      <c r="W258" s="236"/>
      <c r="X258" s="236"/>
      <c r="Y258" s="236"/>
      <c r="Z258" s="236"/>
      <c r="AA258" s="236"/>
      <c r="AB258" s="236"/>
      <c r="AC258" s="236"/>
      <c r="AD258" s="238"/>
      <c r="AE258" s="238"/>
      <c r="AF258" s="238"/>
      <c r="AG258" s="238"/>
      <c r="AH258" s="238"/>
      <c r="AI258" s="238"/>
      <c r="AJ258" s="238"/>
      <c r="AK258" s="238"/>
    </row>
    <row r="259" spans="2:37" ht="13.2">
      <c r="B259" s="238"/>
      <c r="C259" s="238"/>
      <c r="D259" s="238"/>
      <c r="E259" s="238"/>
      <c r="F259" s="238"/>
      <c r="G259" s="238"/>
      <c r="H259" s="236"/>
      <c r="I259" s="236"/>
      <c r="J259" s="236"/>
      <c r="K259" s="236"/>
      <c r="L259" s="840"/>
      <c r="M259" s="840"/>
      <c r="N259" s="840"/>
      <c r="O259" s="840"/>
      <c r="P259" s="840"/>
      <c r="Q259" s="840"/>
      <c r="R259" s="840"/>
      <c r="S259" s="840"/>
      <c r="T259" s="840"/>
      <c r="U259" s="840"/>
      <c r="V259" s="840"/>
      <c r="W259" s="840"/>
      <c r="X259" s="840"/>
      <c r="Y259" s="840"/>
      <c r="Z259" s="840"/>
      <c r="AA259" s="840"/>
      <c r="AB259" s="236"/>
      <c r="AC259" s="236"/>
      <c r="AD259" s="238"/>
      <c r="AE259" s="238"/>
      <c r="AF259" s="238"/>
      <c r="AG259" s="238"/>
      <c r="AH259" s="238"/>
      <c r="AI259" s="238"/>
      <c r="AJ259" s="238"/>
      <c r="AK259" s="238"/>
    </row>
    <row r="260" spans="2:37" ht="13.2">
      <c r="B260" s="238"/>
      <c r="C260" s="238"/>
      <c r="D260" s="238"/>
      <c r="E260" s="238"/>
      <c r="F260" s="238"/>
      <c r="G260" s="238"/>
      <c r="H260" s="236"/>
      <c r="I260" s="236"/>
      <c r="J260" s="236"/>
      <c r="K260" s="236"/>
      <c r="L260" s="611">
        <f>AA_037_DATOS_FIADORES_NOMBRE_DEL_FIADOR_SOLIDARIO_UNO</f>
        <v>0</v>
      </c>
      <c r="M260" s="611"/>
      <c r="N260" s="611"/>
      <c r="O260" s="611"/>
      <c r="P260" s="611"/>
      <c r="Q260" s="611"/>
      <c r="R260" s="611"/>
      <c r="S260" s="611"/>
      <c r="T260" s="611"/>
      <c r="U260" s="611"/>
      <c r="V260" s="611"/>
      <c r="W260" s="611"/>
      <c r="X260" s="611"/>
      <c r="Y260" s="611"/>
      <c r="Z260" s="611"/>
      <c r="AA260" s="611"/>
      <c r="AB260" s="236"/>
      <c r="AC260" s="236"/>
      <c r="AD260" s="238"/>
      <c r="AE260" s="238"/>
      <c r="AF260" s="238"/>
      <c r="AG260" s="238"/>
      <c r="AH260" s="238"/>
      <c r="AI260" s="238"/>
      <c r="AJ260" s="238"/>
      <c r="AK260" s="238"/>
    </row>
    <row r="261" spans="2:37" ht="13.2">
      <c r="B261" s="238"/>
      <c r="C261" s="238"/>
      <c r="D261" s="238"/>
      <c r="E261" s="238"/>
      <c r="F261" s="238"/>
      <c r="G261" s="238"/>
      <c r="H261" s="236"/>
      <c r="I261" s="236"/>
      <c r="J261" s="236"/>
      <c r="K261" s="236"/>
      <c r="L261" s="236"/>
      <c r="M261" s="236"/>
      <c r="N261" s="236"/>
      <c r="O261" s="236"/>
      <c r="P261" s="236"/>
      <c r="Q261" s="236"/>
      <c r="R261" s="236"/>
      <c r="S261" s="236"/>
      <c r="T261" s="236"/>
      <c r="U261" s="236"/>
      <c r="V261" s="236"/>
      <c r="W261" s="236"/>
      <c r="X261" s="236"/>
      <c r="Y261" s="236"/>
      <c r="Z261" s="236"/>
      <c r="AA261" s="236"/>
      <c r="AB261" s="236"/>
      <c r="AC261" s="236"/>
      <c r="AD261" s="238"/>
      <c r="AE261" s="238"/>
      <c r="AF261" s="238"/>
      <c r="AG261" s="238"/>
      <c r="AH261" s="238"/>
      <c r="AI261" s="238"/>
      <c r="AJ261" s="238"/>
      <c r="AK261" s="238"/>
    </row>
    <row r="262" spans="2:37" ht="13.2">
      <c r="B262" s="238"/>
      <c r="C262" s="238"/>
      <c r="D262" s="238"/>
      <c r="E262" s="238"/>
      <c r="F262" s="238"/>
      <c r="G262" s="238"/>
      <c r="H262" s="236"/>
      <c r="I262" s="236"/>
      <c r="J262" s="236"/>
      <c r="K262" s="236"/>
      <c r="L262" s="236"/>
      <c r="M262" s="236"/>
      <c r="N262" s="236"/>
      <c r="O262" s="236"/>
      <c r="P262" s="236"/>
      <c r="Q262" s="236"/>
      <c r="R262" s="236"/>
      <c r="S262" s="236"/>
      <c r="T262" s="236"/>
      <c r="U262" s="236"/>
      <c r="V262" s="236"/>
      <c r="W262" s="236"/>
      <c r="X262" s="236"/>
      <c r="Y262" s="236"/>
      <c r="Z262" s="236"/>
      <c r="AA262" s="236"/>
      <c r="AB262" s="236"/>
      <c r="AC262" s="236"/>
      <c r="AD262" s="238"/>
      <c r="AE262" s="238"/>
      <c r="AF262" s="238"/>
      <c r="AG262" s="238"/>
      <c r="AH262" s="238"/>
      <c r="AI262" s="238"/>
      <c r="AJ262" s="238"/>
      <c r="AK262" s="238"/>
    </row>
    <row r="263" spans="2:37" ht="13.2">
      <c r="B263" s="238"/>
      <c r="C263" s="238"/>
      <c r="D263" s="238"/>
      <c r="E263" s="238"/>
      <c r="F263" s="238"/>
      <c r="G263" s="238"/>
      <c r="H263" s="236"/>
      <c r="I263" s="236"/>
      <c r="J263" s="236"/>
      <c r="K263" s="236"/>
      <c r="L263" s="840"/>
      <c r="M263" s="840"/>
      <c r="N263" s="840"/>
      <c r="O263" s="840"/>
      <c r="P263" s="840"/>
      <c r="Q263" s="840"/>
      <c r="R263" s="840"/>
      <c r="S263" s="840"/>
      <c r="T263" s="840"/>
      <c r="U263" s="840"/>
      <c r="V263" s="840"/>
      <c r="W263" s="840"/>
      <c r="X263" s="840"/>
      <c r="Y263" s="840"/>
      <c r="Z263" s="840"/>
      <c r="AA263" s="840"/>
      <c r="AB263" s="236"/>
      <c r="AC263" s="236"/>
      <c r="AD263" s="238"/>
      <c r="AE263" s="238"/>
      <c r="AF263" s="238"/>
      <c r="AG263" s="238"/>
      <c r="AH263" s="238"/>
      <c r="AI263" s="238"/>
      <c r="AJ263" s="238"/>
      <c r="AK263" s="238"/>
    </row>
    <row r="264" spans="2:37" ht="13.2">
      <c r="B264" s="238"/>
      <c r="C264" s="238"/>
      <c r="D264" s="238"/>
      <c r="E264" s="238"/>
      <c r="F264" s="238"/>
      <c r="G264" s="238"/>
      <c r="H264" s="236"/>
      <c r="I264" s="236"/>
      <c r="J264" s="236"/>
      <c r="K264" s="236"/>
      <c r="L264" s="611">
        <f>AA_048_DATOS_FIADORES_NOMBRE_DEL_FIADOR_SOLIDARIO_DOS</f>
        <v>0</v>
      </c>
      <c r="M264" s="611"/>
      <c r="N264" s="611"/>
      <c r="O264" s="611"/>
      <c r="P264" s="611"/>
      <c r="Q264" s="611"/>
      <c r="R264" s="611"/>
      <c r="S264" s="611"/>
      <c r="T264" s="611"/>
      <c r="U264" s="611"/>
      <c r="V264" s="611"/>
      <c r="W264" s="611"/>
      <c r="X264" s="611"/>
      <c r="Y264" s="611"/>
      <c r="Z264" s="611"/>
      <c r="AA264" s="611"/>
      <c r="AB264" s="236"/>
      <c r="AC264" s="236"/>
      <c r="AD264" s="238"/>
      <c r="AE264" s="238"/>
      <c r="AF264" s="238"/>
      <c r="AG264" s="238"/>
      <c r="AH264" s="238"/>
      <c r="AI264" s="238"/>
      <c r="AJ264" s="238"/>
      <c r="AK264" s="238"/>
    </row>
    <row r="265" spans="2:37" ht="13.2">
      <c r="B265" s="238"/>
      <c r="C265" s="238"/>
      <c r="D265" s="238"/>
      <c r="E265" s="238"/>
      <c r="F265" s="238"/>
      <c r="G265" s="238"/>
      <c r="H265" s="236"/>
      <c r="I265" s="236"/>
      <c r="J265" s="236"/>
      <c r="K265" s="236"/>
      <c r="L265" s="236"/>
      <c r="M265" s="236"/>
      <c r="N265" s="236"/>
      <c r="O265" s="236"/>
      <c r="P265" s="236"/>
      <c r="Q265" s="236"/>
      <c r="R265" s="236"/>
      <c r="S265" s="236"/>
      <c r="T265" s="236"/>
      <c r="U265" s="236"/>
      <c r="V265" s="236"/>
      <c r="W265" s="236"/>
      <c r="X265" s="236"/>
      <c r="Y265" s="236"/>
      <c r="Z265" s="236"/>
      <c r="AA265" s="236"/>
      <c r="AB265" s="236"/>
      <c r="AC265" s="236"/>
      <c r="AD265" s="238"/>
      <c r="AE265" s="238"/>
      <c r="AF265" s="238"/>
      <c r="AG265" s="238"/>
      <c r="AH265" s="238"/>
      <c r="AI265" s="238"/>
      <c r="AJ265" s="238"/>
      <c r="AK265" s="238"/>
    </row>
    <row r="266" spans="2:37" ht="13.2">
      <c r="B266" s="238"/>
      <c r="C266" s="238"/>
      <c r="D266" s="238"/>
      <c r="E266" s="238"/>
      <c r="F266" s="238"/>
      <c r="G266" s="238"/>
      <c r="H266" s="236"/>
      <c r="I266" s="236"/>
      <c r="J266" s="236"/>
      <c r="K266" s="236"/>
      <c r="L266" s="236"/>
      <c r="M266" s="236"/>
      <c r="N266" s="236"/>
      <c r="O266" s="236"/>
      <c r="P266" s="236"/>
      <c r="Q266" s="236"/>
      <c r="R266" s="236"/>
      <c r="S266" s="236"/>
      <c r="T266" s="236"/>
      <c r="U266" s="236"/>
      <c r="V266" s="236"/>
      <c r="W266" s="236"/>
      <c r="X266" s="236"/>
      <c r="Y266" s="236"/>
      <c r="Z266" s="236"/>
      <c r="AA266" s="236"/>
      <c r="AB266" s="236"/>
      <c r="AC266" s="236"/>
      <c r="AD266" s="238"/>
      <c r="AE266" s="238"/>
      <c r="AF266" s="238"/>
      <c r="AG266" s="238"/>
      <c r="AH266" s="238"/>
      <c r="AI266" s="238"/>
      <c r="AJ266" s="238"/>
      <c r="AK266" s="238"/>
    </row>
    <row r="267" spans="2:37" ht="13.2">
      <c r="B267" s="238"/>
      <c r="C267" s="238"/>
      <c r="D267" s="238"/>
      <c r="E267" s="238"/>
      <c r="F267" s="238"/>
      <c r="G267" s="238"/>
      <c r="H267" s="236"/>
      <c r="I267" s="236"/>
      <c r="J267" s="236"/>
      <c r="K267" s="236"/>
      <c r="L267" s="840"/>
      <c r="M267" s="840"/>
      <c r="N267" s="840"/>
      <c r="O267" s="840"/>
      <c r="P267" s="840"/>
      <c r="Q267" s="840"/>
      <c r="R267" s="840"/>
      <c r="S267" s="840"/>
      <c r="T267" s="840"/>
      <c r="U267" s="840"/>
      <c r="V267" s="840"/>
      <c r="W267" s="840"/>
      <c r="X267" s="840"/>
      <c r="Y267" s="840"/>
      <c r="Z267" s="840"/>
      <c r="AA267" s="840"/>
      <c r="AB267" s="236"/>
      <c r="AC267" s="236"/>
      <c r="AD267" s="238"/>
      <c r="AE267" s="238"/>
      <c r="AF267" s="238"/>
      <c r="AG267" s="238"/>
      <c r="AH267" s="238"/>
      <c r="AI267" s="238"/>
      <c r="AJ267" s="238"/>
      <c r="AK267" s="238"/>
    </row>
    <row r="268" spans="2:37" ht="13.2">
      <c r="B268" s="238"/>
      <c r="C268" s="238"/>
      <c r="D268" s="238"/>
      <c r="E268" s="238"/>
      <c r="F268" s="238"/>
      <c r="G268" s="238"/>
      <c r="H268" s="236"/>
      <c r="I268" s="236"/>
      <c r="J268" s="236"/>
      <c r="K268" s="236"/>
      <c r="L268" s="611">
        <f>AA_059_DATOS_FIADORES_NOMBRE_DEL_FIADOR_SOLIDARIO_TRES</f>
        <v>0</v>
      </c>
      <c r="M268" s="611"/>
      <c r="N268" s="611"/>
      <c r="O268" s="611"/>
      <c r="P268" s="611"/>
      <c r="Q268" s="611"/>
      <c r="R268" s="611"/>
      <c r="S268" s="611"/>
      <c r="T268" s="611"/>
      <c r="U268" s="611"/>
      <c r="V268" s="611"/>
      <c r="W268" s="611"/>
      <c r="X268" s="611"/>
      <c r="Y268" s="611"/>
      <c r="Z268" s="611"/>
      <c r="AA268" s="611"/>
      <c r="AB268" s="236"/>
      <c r="AC268" s="236"/>
      <c r="AD268" s="238"/>
      <c r="AE268" s="238"/>
      <c r="AF268" s="238"/>
      <c r="AG268" s="238"/>
      <c r="AH268" s="238"/>
      <c r="AI268" s="238"/>
      <c r="AJ268" s="238"/>
      <c r="AK268" s="238"/>
    </row>
    <row r="269" spans="2:37" ht="13.2">
      <c r="B269" s="238"/>
      <c r="C269" s="238"/>
      <c r="D269" s="238"/>
      <c r="E269" s="238"/>
      <c r="F269" s="238"/>
      <c r="G269" s="238"/>
      <c r="H269" s="236"/>
      <c r="I269" s="236"/>
      <c r="J269" s="236"/>
      <c r="K269" s="236"/>
      <c r="L269" s="236"/>
      <c r="M269" s="236"/>
      <c r="N269" s="236"/>
      <c r="O269" s="236"/>
      <c r="P269" s="236"/>
      <c r="Q269" s="236"/>
      <c r="R269" s="236"/>
      <c r="S269" s="236"/>
      <c r="T269" s="236"/>
      <c r="U269" s="236"/>
      <c r="V269" s="236"/>
      <c r="W269" s="236"/>
      <c r="X269" s="236"/>
      <c r="Y269" s="236"/>
      <c r="Z269" s="236"/>
      <c r="AA269" s="236"/>
      <c r="AB269" s="236"/>
      <c r="AC269" s="236"/>
      <c r="AD269" s="238"/>
      <c r="AE269" s="238"/>
      <c r="AF269" s="238"/>
      <c r="AG269" s="238"/>
      <c r="AH269" s="238"/>
      <c r="AI269" s="238"/>
      <c r="AJ269" s="238"/>
      <c r="AK269" s="238"/>
    </row>
    <row r="270" spans="2:37" ht="13.2">
      <c r="B270" s="238"/>
      <c r="C270" s="238"/>
      <c r="D270" s="238"/>
      <c r="E270" s="238"/>
      <c r="F270" s="238"/>
      <c r="G270" s="238"/>
      <c r="H270" s="236"/>
      <c r="I270" s="236"/>
      <c r="J270" s="236"/>
      <c r="K270" s="236"/>
      <c r="L270" s="236"/>
      <c r="M270" s="236"/>
      <c r="N270" s="236"/>
      <c r="O270" s="236"/>
      <c r="P270" s="236"/>
      <c r="Q270" s="236"/>
      <c r="R270" s="236"/>
      <c r="S270" s="236"/>
      <c r="T270" s="236"/>
      <c r="U270" s="236"/>
      <c r="V270" s="236"/>
      <c r="W270" s="236"/>
      <c r="X270" s="236"/>
      <c r="Y270" s="236"/>
      <c r="Z270" s="236"/>
      <c r="AA270" s="236"/>
      <c r="AB270" s="236"/>
      <c r="AC270" s="236"/>
      <c r="AD270" s="238"/>
      <c r="AE270" s="238"/>
      <c r="AF270" s="238"/>
      <c r="AG270" s="238"/>
      <c r="AH270" s="238"/>
      <c r="AI270" s="238"/>
      <c r="AJ270" s="238"/>
      <c r="AK270" s="238"/>
    </row>
    <row r="271" spans="2:37" ht="13.2">
      <c r="B271" s="238"/>
      <c r="C271" s="238"/>
      <c r="D271" s="238"/>
      <c r="E271" s="238"/>
      <c r="F271" s="238"/>
      <c r="G271" s="238"/>
      <c r="H271" s="236"/>
      <c r="I271" s="236"/>
      <c r="J271" s="236"/>
      <c r="K271" s="236"/>
      <c r="L271" s="234"/>
      <c r="M271" s="234"/>
      <c r="N271" s="234"/>
      <c r="O271" s="609" t="s">
        <v>276</v>
      </c>
      <c r="P271" s="609"/>
      <c r="Q271" s="609"/>
      <c r="R271" s="609"/>
      <c r="S271" s="609"/>
      <c r="T271" s="609"/>
      <c r="U271" s="609"/>
      <c r="V271" s="609"/>
      <c r="W271" s="609"/>
      <c r="X271" s="234"/>
      <c r="Y271" s="234"/>
      <c r="Z271" s="234"/>
      <c r="AA271" s="234"/>
      <c r="AB271" s="235"/>
      <c r="AC271" s="236"/>
      <c r="AD271" s="238"/>
      <c r="AE271" s="238"/>
      <c r="AF271" s="238"/>
      <c r="AG271" s="238"/>
      <c r="AH271" s="238"/>
      <c r="AI271" s="238"/>
      <c r="AJ271" s="238"/>
      <c r="AK271" s="238"/>
    </row>
    <row r="272" spans="2:37" ht="13.2">
      <c r="B272" s="238"/>
      <c r="C272" s="238"/>
      <c r="D272" s="238"/>
      <c r="E272" s="238"/>
      <c r="F272" s="238"/>
      <c r="G272" s="238"/>
      <c r="H272" s="612" t="s">
        <v>277</v>
      </c>
      <c r="I272" s="612"/>
      <c r="J272" s="612"/>
      <c r="K272" s="612"/>
      <c r="L272" s="612"/>
      <c r="M272" s="612"/>
      <c r="N272" s="612"/>
      <c r="O272" s="612"/>
      <c r="P272" s="612"/>
      <c r="Q272" s="612"/>
      <c r="R272" s="612"/>
      <c r="S272" s="612"/>
      <c r="T272" s="612"/>
      <c r="U272" s="612"/>
      <c r="V272" s="612"/>
      <c r="W272" s="612"/>
      <c r="X272" s="612"/>
      <c r="Y272" s="612"/>
      <c r="Z272" s="612"/>
      <c r="AA272" s="612"/>
      <c r="AB272" s="612"/>
      <c r="AC272" s="612"/>
      <c r="AD272" s="238"/>
      <c r="AE272" s="238"/>
      <c r="AF272" s="238"/>
      <c r="AG272" s="238"/>
      <c r="AH272" s="238"/>
      <c r="AI272" s="238"/>
      <c r="AJ272" s="238"/>
      <c r="AK272" s="238"/>
    </row>
    <row r="273" spans="2:37" ht="13.2">
      <c r="B273" s="238"/>
      <c r="C273" s="238"/>
      <c r="D273" s="238"/>
      <c r="E273" s="238"/>
      <c r="F273" s="238"/>
      <c r="G273" s="238"/>
      <c r="H273" s="236"/>
      <c r="I273" s="236"/>
      <c r="J273" s="236"/>
      <c r="K273" s="236"/>
      <c r="L273" s="237"/>
      <c r="M273" s="234"/>
      <c r="N273" s="234"/>
      <c r="O273" s="612" t="s">
        <v>278</v>
      </c>
      <c r="P273" s="612"/>
      <c r="Q273" s="612"/>
      <c r="R273" s="612"/>
      <c r="S273" s="612"/>
      <c r="T273" s="612"/>
      <c r="U273" s="612"/>
      <c r="V273" s="612"/>
      <c r="W273" s="612"/>
      <c r="X273" s="234"/>
      <c r="Y273" s="234"/>
      <c r="Z273" s="234"/>
      <c r="AA273" s="234"/>
      <c r="AB273" s="236"/>
      <c r="AC273" s="236"/>
      <c r="AD273" s="238"/>
      <c r="AE273" s="238"/>
      <c r="AF273" s="238"/>
      <c r="AG273" s="238"/>
      <c r="AH273" s="238"/>
      <c r="AI273" s="238"/>
      <c r="AJ273" s="238"/>
      <c r="AK273" s="238"/>
    </row>
    <row r="274" spans="2:37" ht="13.2">
      <c r="B274" s="238"/>
      <c r="C274" s="238"/>
      <c r="D274" s="238"/>
      <c r="E274" s="238"/>
      <c r="F274" s="238"/>
      <c r="G274" s="238"/>
      <c r="H274" s="236"/>
      <c r="I274" s="236"/>
      <c r="J274" s="236"/>
      <c r="K274" s="236"/>
      <c r="L274" s="236"/>
      <c r="M274" s="236"/>
      <c r="N274" s="236"/>
      <c r="O274" s="236"/>
      <c r="P274" s="236"/>
      <c r="Q274" s="236"/>
      <c r="R274" s="236"/>
      <c r="S274" s="236"/>
      <c r="T274" s="236"/>
      <c r="U274" s="236"/>
      <c r="V274" s="236"/>
      <c r="W274" s="236"/>
      <c r="X274" s="236"/>
      <c r="Y274" s="236"/>
      <c r="Z274" s="236"/>
      <c r="AA274" s="236"/>
      <c r="AB274" s="236"/>
      <c r="AC274" s="236"/>
      <c r="AD274" s="238"/>
      <c r="AE274" s="238"/>
      <c r="AF274" s="238"/>
      <c r="AG274" s="238"/>
      <c r="AH274" s="238"/>
      <c r="AI274" s="238"/>
      <c r="AJ274" s="238"/>
      <c r="AK274" s="238"/>
    </row>
    <row r="275" spans="2:37" ht="13.2">
      <c r="B275" s="238"/>
      <c r="C275" s="238"/>
      <c r="D275" s="238"/>
      <c r="E275" s="238"/>
      <c r="F275" s="238"/>
      <c r="G275" s="238"/>
      <c r="H275" s="236"/>
      <c r="I275" s="236"/>
      <c r="J275" s="236"/>
      <c r="K275" s="236"/>
      <c r="L275" s="236"/>
      <c r="M275" s="236"/>
      <c r="N275" s="236"/>
      <c r="O275" s="236"/>
      <c r="P275" s="236"/>
      <c r="Q275" s="236"/>
      <c r="R275" s="236"/>
      <c r="S275" s="236"/>
      <c r="T275" s="236"/>
      <c r="U275" s="236"/>
      <c r="V275" s="236"/>
      <c r="W275" s="236"/>
      <c r="X275" s="236"/>
      <c r="Y275" s="236"/>
      <c r="Z275" s="236"/>
      <c r="AA275" s="236"/>
      <c r="AB275" s="236"/>
      <c r="AC275" s="236"/>
      <c r="AD275" s="238"/>
      <c r="AE275" s="238"/>
      <c r="AF275" s="238"/>
      <c r="AG275" s="238"/>
      <c r="AH275" s="238"/>
      <c r="AI275" s="238"/>
      <c r="AJ275" s="238"/>
      <c r="AK275" s="238"/>
    </row>
    <row r="276" spans="2:37" ht="13.2">
      <c r="B276" s="238"/>
      <c r="C276" s="238"/>
      <c r="D276" s="238"/>
      <c r="E276" s="238"/>
      <c r="F276" s="238"/>
      <c r="G276" s="238"/>
      <c r="H276" s="236"/>
      <c r="I276" s="236"/>
      <c r="J276" s="236"/>
      <c r="K276" s="236"/>
      <c r="L276" s="840">
        <f>B81</f>
        <v>0</v>
      </c>
      <c r="M276" s="840"/>
      <c r="N276" s="840"/>
      <c r="O276" s="840"/>
      <c r="P276" s="840"/>
      <c r="Q276" s="840"/>
      <c r="R276" s="840"/>
      <c r="S276" s="840"/>
      <c r="T276" s="840"/>
      <c r="U276" s="840"/>
      <c r="V276" s="840"/>
      <c r="W276" s="840"/>
      <c r="X276" s="840"/>
      <c r="Y276" s="840"/>
      <c r="Z276" s="840"/>
      <c r="AA276" s="840"/>
      <c r="AB276" s="236"/>
      <c r="AC276" s="236"/>
      <c r="AD276" s="238"/>
      <c r="AE276" s="238"/>
      <c r="AF276" s="238"/>
      <c r="AG276" s="238"/>
      <c r="AH276" s="238"/>
      <c r="AI276" s="238"/>
      <c r="AJ276" s="238"/>
      <c r="AK276" s="238"/>
    </row>
    <row r="277" spans="2:37" ht="13.2">
      <c r="B277" s="238"/>
      <c r="C277" s="238"/>
      <c r="D277" s="238"/>
      <c r="E277" s="238"/>
      <c r="F277" s="238"/>
      <c r="G277" s="238"/>
      <c r="H277" s="236"/>
      <c r="I277" s="236"/>
      <c r="J277" s="236"/>
      <c r="K277" s="236"/>
      <c r="L277" s="861">
        <f>AA_089_DATOS_APODERADOS_BANCO_NOMBRE_APODERADO_DEL_BANCO_UNO</f>
        <v>0</v>
      </c>
      <c r="M277" s="861"/>
      <c r="N277" s="861"/>
      <c r="O277" s="861"/>
      <c r="P277" s="861"/>
      <c r="Q277" s="861"/>
      <c r="R277" s="861"/>
      <c r="S277" s="861"/>
      <c r="T277" s="861"/>
      <c r="U277" s="861"/>
      <c r="V277" s="861"/>
      <c r="W277" s="861"/>
      <c r="X277" s="861"/>
      <c r="Y277" s="861"/>
      <c r="Z277" s="861"/>
      <c r="AA277" s="861"/>
      <c r="AB277" s="236"/>
      <c r="AC277" s="236"/>
      <c r="AD277" s="238"/>
      <c r="AE277" s="238"/>
      <c r="AF277" s="238"/>
      <c r="AG277" s="238"/>
      <c r="AH277" s="238"/>
      <c r="AI277" s="238"/>
      <c r="AJ277" s="238"/>
      <c r="AK277" s="238"/>
    </row>
    <row r="278" spans="2:37" ht="13.2">
      <c r="B278" s="238"/>
      <c r="C278" s="238"/>
      <c r="D278" s="238"/>
      <c r="E278" s="238"/>
      <c r="F278" s="238"/>
      <c r="G278" s="238"/>
      <c r="H278" s="232"/>
      <c r="I278" s="232"/>
      <c r="J278" s="232"/>
      <c r="K278" s="232"/>
      <c r="L278" s="274"/>
      <c r="M278" s="274"/>
      <c r="N278" s="274"/>
      <c r="O278" s="274"/>
      <c r="P278" s="274"/>
      <c r="Q278" s="274"/>
      <c r="R278" s="274"/>
      <c r="S278" s="274"/>
      <c r="T278" s="274"/>
      <c r="U278" s="274"/>
      <c r="V278" s="274"/>
      <c r="W278" s="274"/>
      <c r="X278" s="274"/>
      <c r="Y278" s="274"/>
      <c r="Z278" s="274"/>
      <c r="AA278" s="274"/>
      <c r="AB278" s="232"/>
      <c r="AC278" s="232"/>
      <c r="AD278" s="238"/>
      <c r="AE278" s="238"/>
      <c r="AF278" s="238"/>
      <c r="AG278" s="238"/>
      <c r="AH278" s="238"/>
      <c r="AI278" s="238"/>
      <c r="AJ278" s="238"/>
      <c r="AK278" s="238"/>
    </row>
    <row r="279" spans="2:37" ht="13.2">
      <c r="B279" s="238"/>
      <c r="C279" s="238"/>
      <c r="D279" s="238"/>
      <c r="E279" s="238"/>
      <c r="F279" s="238"/>
      <c r="G279" s="238"/>
      <c r="H279" s="232"/>
      <c r="I279" s="232"/>
      <c r="J279" s="232"/>
      <c r="K279" s="232"/>
      <c r="L279" s="862"/>
      <c r="M279" s="862"/>
      <c r="N279" s="862"/>
      <c r="O279" s="862"/>
      <c r="P279" s="862"/>
      <c r="Q279" s="862"/>
      <c r="R279" s="862"/>
      <c r="S279" s="862"/>
      <c r="T279" s="862"/>
      <c r="U279" s="862"/>
      <c r="V279" s="862"/>
      <c r="W279" s="862"/>
      <c r="X279" s="862"/>
      <c r="Y279" s="862"/>
      <c r="Z279" s="862"/>
      <c r="AA279" s="862"/>
      <c r="AB279" s="232"/>
      <c r="AC279" s="232"/>
      <c r="AD279" s="238"/>
      <c r="AE279" s="238"/>
      <c r="AF279" s="238"/>
      <c r="AG279" s="238"/>
      <c r="AH279" s="238"/>
      <c r="AI279" s="238"/>
      <c r="AJ279" s="238"/>
      <c r="AK279" s="238"/>
    </row>
    <row r="280" spans="2:37" ht="13.2">
      <c r="B280" s="238"/>
      <c r="C280" s="238"/>
      <c r="D280" s="238"/>
      <c r="E280" s="238"/>
      <c r="F280" s="238"/>
      <c r="G280" s="238"/>
      <c r="H280" s="232"/>
      <c r="I280" s="232"/>
      <c r="J280" s="232"/>
      <c r="K280" s="232"/>
      <c r="L280" s="861">
        <f>AA_090_DATOS_APODERADOS_BANCO_NOMBRE_APODERADO_DEL_BANCO_DOS</f>
        <v>0</v>
      </c>
      <c r="M280" s="861"/>
      <c r="N280" s="861"/>
      <c r="O280" s="861"/>
      <c r="P280" s="861"/>
      <c r="Q280" s="861"/>
      <c r="R280" s="861"/>
      <c r="S280" s="861"/>
      <c r="T280" s="861"/>
      <c r="U280" s="861"/>
      <c r="V280" s="861"/>
      <c r="W280" s="861"/>
      <c r="X280" s="861"/>
      <c r="Y280" s="861"/>
      <c r="Z280" s="861"/>
      <c r="AA280" s="861"/>
      <c r="AB280" s="232"/>
      <c r="AC280" s="232"/>
      <c r="AD280" s="238"/>
      <c r="AE280" s="238"/>
      <c r="AF280" s="238"/>
      <c r="AG280" s="238"/>
      <c r="AH280" s="238"/>
      <c r="AI280" s="238"/>
      <c r="AJ280" s="238"/>
      <c r="AK280" s="238"/>
    </row>
    <row r="281" spans="2:37" ht="13.2">
      <c r="B281" s="238"/>
      <c r="C281" s="238"/>
      <c r="D281" s="238"/>
      <c r="E281" s="238"/>
      <c r="F281" s="238"/>
      <c r="G281" s="238"/>
      <c r="H281" s="274"/>
      <c r="I281" s="274"/>
      <c r="J281" s="274"/>
      <c r="K281" s="274"/>
      <c r="L281" s="274"/>
      <c r="M281" s="274"/>
      <c r="N281" s="274"/>
      <c r="O281" s="274"/>
      <c r="P281" s="274"/>
      <c r="Q281" s="274"/>
      <c r="R281" s="274"/>
      <c r="S281" s="274"/>
      <c r="T281" s="274"/>
      <c r="U281" s="274"/>
      <c r="V281" s="274"/>
      <c r="W281" s="274"/>
      <c r="X281" s="274"/>
      <c r="Y281" s="274"/>
      <c r="Z281" s="274"/>
      <c r="AA281" s="274"/>
      <c r="AB281" s="274"/>
      <c r="AC281" s="274"/>
      <c r="AD281" s="238"/>
      <c r="AE281" s="238"/>
      <c r="AF281" s="238"/>
      <c r="AG281" s="238"/>
      <c r="AH281" s="238"/>
      <c r="AI281" s="238"/>
      <c r="AJ281" s="238"/>
      <c r="AK281" s="238"/>
    </row>
    <row r="282" spans="2:37" ht="13.2">
      <c r="B282" s="238"/>
      <c r="C282" s="238"/>
      <c r="D282" s="238"/>
      <c r="E282" s="238"/>
      <c r="F282" s="238"/>
      <c r="G282" s="238"/>
      <c r="H282" s="274"/>
      <c r="I282" s="274"/>
      <c r="J282" s="274"/>
      <c r="K282" s="274"/>
      <c r="L282" s="274"/>
      <c r="M282" s="274"/>
      <c r="N282" s="274"/>
      <c r="O282" s="274"/>
      <c r="P282" s="274"/>
      <c r="Q282" s="274"/>
      <c r="R282" s="274"/>
      <c r="S282" s="274"/>
      <c r="T282" s="274"/>
      <c r="U282" s="274"/>
      <c r="V282" s="274"/>
      <c r="W282" s="274"/>
      <c r="X282" s="274"/>
      <c r="Y282" s="274"/>
      <c r="Z282" s="274"/>
      <c r="AA282" s="274"/>
      <c r="AB282" s="274"/>
      <c r="AC282" s="274"/>
      <c r="AD282" s="238"/>
      <c r="AE282" s="238"/>
      <c r="AF282" s="238"/>
      <c r="AG282" s="238"/>
      <c r="AH282" s="238"/>
      <c r="AI282" s="238"/>
      <c r="AJ282" s="238"/>
      <c r="AK282" s="238"/>
    </row>
    <row r="283" spans="2:37" ht="13.2">
      <c r="B283" s="238"/>
      <c r="C283" s="238"/>
      <c r="D283" s="238"/>
      <c r="E283" s="238"/>
      <c r="F283" s="238"/>
      <c r="G283" s="238"/>
      <c r="H283" s="274"/>
      <c r="I283" s="274"/>
      <c r="J283" s="274"/>
      <c r="K283" s="274"/>
      <c r="L283" s="274"/>
      <c r="M283" s="274"/>
      <c r="N283" s="274"/>
      <c r="O283" s="274"/>
      <c r="P283" s="274"/>
      <c r="Q283" s="274"/>
      <c r="R283" s="274"/>
      <c r="S283" s="274"/>
      <c r="T283" s="274"/>
      <c r="U283" s="274"/>
      <c r="V283" s="274"/>
      <c r="W283" s="274"/>
      <c r="X283" s="274"/>
      <c r="Y283" s="274"/>
      <c r="Z283" s="274"/>
      <c r="AA283" s="274"/>
      <c r="AB283" s="274"/>
      <c r="AC283" s="274"/>
      <c r="AD283" s="238"/>
      <c r="AE283" s="238"/>
      <c r="AF283" s="238"/>
      <c r="AG283" s="238"/>
      <c r="AH283" s="238"/>
      <c r="AI283" s="238"/>
      <c r="AJ283" s="238"/>
      <c r="AK283" s="238"/>
    </row>
    <row r="284" spans="2:37" ht="13.2">
      <c r="B284" s="238"/>
      <c r="C284" s="238"/>
      <c r="D284" s="238"/>
      <c r="E284" s="238"/>
      <c r="F284" s="238"/>
      <c r="G284" s="238"/>
      <c r="H284" s="238"/>
      <c r="I284" s="238"/>
      <c r="J284" s="238"/>
      <c r="K284" s="238"/>
      <c r="L284" s="238"/>
      <c r="M284" s="238"/>
      <c r="N284" s="238"/>
      <c r="O284" s="238"/>
      <c r="P284" s="238"/>
      <c r="Q284" s="238"/>
      <c r="R284" s="238"/>
      <c r="S284" s="238"/>
      <c r="T284" s="238"/>
      <c r="U284" s="238"/>
      <c r="V284" s="238"/>
      <c r="W284" s="238"/>
      <c r="X284" s="238"/>
      <c r="Y284" s="238"/>
      <c r="Z284" s="238"/>
      <c r="AA284" s="238"/>
      <c r="AB284" s="238"/>
      <c r="AC284" s="238"/>
      <c r="AD284" s="238"/>
      <c r="AE284" s="238"/>
      <c r="AF284" s="238"/>
      <c r="AG284" s="238"/>
      <c r="AH284" s="238"/>
      <c r="AI284" s="238"/>
      <c r="AJ284" s="238"/>
      <c r="AK284" s="238"/>
    </row>
    <row r="285" spans="2:37" ht="13.2">
      <c r="B285" s="238"/>
      <c r="C285" s="238"/>
      <c r="D285" s="238"/>
      <c r="E285" s="238"/>
      <c r="F285" s="238"/>
      <c r="G285" s="238"/>
      <c r="H285" s="238"/>
      <c r="I285" s="238"/>
      <c r="J285" s="238"/>
      <c r="K285" s="238"/>
      <c r="L285" s="238"/>
      <c r="M285" s="238"/>
      <c r="N285" s="238"/>
      <c r="O285" s="238"/>
      <c r="P285" s="238"/>
      <c r="Q285" s="238"/>
      <c r="R285" s="238"/>
      <c r="S285" s="238"/>
      <c r="T285" s="238"/>
      <c r="U285" s="238"/>
      <c r="V285" s="238"/>
      <c r="W285" s="238"/>
      <c r="X285" s="238"/>
      <c r="Y285" s="238"/>
      <c r="Z285" s="238"/>
      <c r="AA285" s="238"/>
      <c r="AB285" s="238"/>
      <c r="AC285" s="238"/>
      <c r="AD285" s="238"/>
      <c r="AE285" s="238"/>
      <c r="AF285" s="238"/>
      <c r="AG285" s="238"/>
      <c r="AH285" s="238"/>
      <c r="AI285" s="238"/>
      <c r="AJ285" s="238"/>
      <c r="AK285" s="238"/>
    </row>
    <row r="286" spans="2:37" ht="13.2">
      <c r="B286" s="238"/>
      <c r="C286" s="238"/>
      <c r="D286" s="238"/>
      <c r="E286" s="238"/>
      <c r="F286" s="238"/>
      <c r="G286" s="238"/>
      <c r="H286" s="238"/>
      <c r="I286" s="238"/>
      <c r="J286" s="238"/>
      <c r="K286" s="238"/>
      <c r="L286" s="238"/>
      <c r="M286" s="238"/>
      <c r="N286" s="238"/>
      <c r="O286" s="238"/>
      <c r="P286" s="238"/>
      <c r="Q286" s="238"/>
      <c r="R286" s="238"/>
      <c r="S286" s="238"/>
      <c r="T286" s="238"/>
      <c r="U286" s="238"/>
      <c r="V286" s="238"/>
      <c r="W286" s="238"/>
      <c r="X286" s="238"/>
      <c r="Y286" s="238"/>
      <c r="Z286" s="238"/>
      <c r="AA286" s="238"/>
      <c r="AB286" s="238"/>
      <c r="AC286" s="238"/>
      <c r="AD286" s="238"/>
      <c r="AE286" s="238"/>
      <c r="AF286" s="238"/>
      <c r="AG286" s="238"/>
      <c r="AH286" s="238"/>
      <c r="AI286" s="238"/>
      <c r="AJ286" s="238"/>
      <c r="AK286" s="238"/>
    </row>
    <row r="287" spans="2:37" ht="13.2">
      <c r="B287" s="238"/>
      <c r="C287" s="238"/>
      <c r="D287" s="238"/>
      <c r="E287" s="238"/>
      <c r="F287" s="238"/>
      <c r="G287" s="238"/>
      <c r="H287" s="238"/>
      <c r="I287" s="238"/>
      <c r="J287" s="238"/>
      <c r="K287" s="238"/>
      <c r="L287" s="238"/>
      <c r="M287" s="238"/>
      <c r="N287" s="238"/>
      <c r="O287" s="238"/>
      <c r="P287" s="238"/>
      <c r="Q287" s="238"/>
      <c r="R287" s="238"/>
      <c r="S287" s="238"/>
      <c r="T287" s="238"/>
      <c r="U287" s="238"/>
      <c r="V287" s="238"/>
      <c r="W287" s="238"/>
      <c r="X287" s="238"/>
      <c r="Y287" s="238"/>
      <c r="Z287" s="238"/>
      <c r="AA287" s="238"/>
      <c r="AB287" s="238"/>
      <c r="AC287" s="238"/>
      <c r="AD287" s="238"/>
      <c r="AE287" s="238"/>
      <c r="AF287" s="238"/>
      <c r="AG287" s="238"/>
      <c r="AH287" s="238"/>
      <c r="AI287" s="238"/>
      <c r="AJ287" s="238"/>
      <c r="AK287" s="238"/>
    </row>
    <row r="288" spans="2:37" ht="13.2">
      <c r="B288" s="238"/>
      <c r="C288" s="238"/>
      <c r="D288" s="238"/>
      <c r="E288" s="238"/>
      <c r="F288" s="238"/>
      <c r="G288" s="238"/>
      <c r="H288" s="238"/>
      <c r="I288" s="238"/>
      <c r="J288" s="238"/>
      <c r="K288" s="238"/>
      <c r="L288" s="238"/>
      <c r="M288" s="238"/>
      <c r="N288" s="238"/>
      <c r="O288" s="238"/>
      <c r="P288" s="238"/>
      <c r="Q288" s="238"/>
      <c r="R288" s="238"/>
      <c r="S288" s="238"/>
      <c r="T288" s="238"/>
      <c r="U288" s="238"/>
      <c r="V288" s="238"/>
      <c r="W288" s="238"/>
      <c r="X288" s="238"/>
      <c r="Y288" s="238"/>
      <c r="Z288" s="238"/>
      <c r="AA288" s="238"/>
      <c r="AB288" s="238"/>
      <c r="AC288" s="238"/>
      <c r="AD288" s="238"/>
      <c r="AE288" s="238"/>
      <c r="AF288" s="238"/>
      <c r="AG288" s="238"/>
      <c r="AH288" s="238"/>
      <c r="AI288" s="238"/>
      <c r="AJ288" s="238"/>
      <c r="AK288" s="238"/>
    </row>
    <row r="289" spans="2:37" ht="13.2">
      <c r="B289" s="238"/>
      <c r="C289" s="238"/>
      <c r="D289" s="238"/>
      <c r="E289" s="238"/>
      <c r="F289" s="238"/>
      <c r="G289" s="238"/>
      <c r="H289" s="238"/>
      <c r="I289" s="238"/>
      <c r="J289" s="238"/>
      <c r="K289" s="238"/>
      <c r="L289" s="238"/>
      <c r="M289" s="238"/>
      <c r="N289" s="238"/>
      <c r="O289" s="238"/>
      <c r="P289" s="238"/>
      <c r="Q289" s="238"/>
      <c r="R289" s="238"/>
      <c r="S289" s="238"/>
      <c r="T289" s="238"/>
      <c r="U289" s="238"/>
      <c r="V289" s="238"/>
      <c r="W289" s="238"/>
      <c r="X289" s="238"/>
      <c r="Y289" s="238"/>
      <c r="Z289" s="238"/>
      <c r="AA289" s="238"/>
      <c r="AB289" s="238"/>
      <c r="AC289" s="238"/>
      <c r="AD289" s="238"/>
      <c r="AE289" s="238"/>
      <c r="AF289" s="238"/>
      <c r="AG289" s="238"/>
      <c r="AH289" s="238"/>
      <c r="AI289" s="238"/>
      <c r="AJ289" s="238"/>
      <c r="AK289" s="238"/>
    </row>
    <row r="290" spans="2:37" ht="13.2">
      <c r="B290" s="238"/>
      <c r="C290" s="238"/>
      <c r="D290" s="238"/>
      <c r="E290" s="238"/>
      <c r="F290" s="238"/>
      <c r="G290" s="238"/>
      <c r="H290" s="238"/>
      <c r="I290" s="238"/>
      <c r="J290" s="238"/>
      <c r="K290" s="238"/>
      <c r="L290" s="238"/>
      <c r="M290" s="238"/>
      <c r="N290" s="238"/>
      <c r="O290" s="238"/>
      <c r="P290" s="238"/>
      <c r="Q290" s="238"/>
      <c r="R290" s="238"/>
      <c r="S290" s="238"/>
      <c r="T290" s="238"/>
      <c r="U290" s="238"/>
      <c r="V290" s="238"/>
      <c r="W290" s="238"/>
      <c r="X290" s="238"/>
      <c r="Y290" s="238"/>
      <c r="Z290" s="238"/>
      <c r="AA290" s="238"/>
      <c r="AB290" s="238"/>
      <c r="AC290" s="238"/>
      <c r="AD290" s="238"/>
      <c r="AE290" s="238"/>
      <c r="AF290" s="238"/>
      <c r="AG290" s="238"/>
      <c r="AH290" s="238"/>
      <c r="AI290" s="238"/>
      <c r="AJ290" s="238"/>
      <c r="AK290" s="238"/>
    </row>
    <row r="291" spans="2:37" ht="13.2">
      <c r="B291" s="238"/>
      <c r="C291" s="238"/>
      <c r="D291" s="238"/>
      <c r="E291" s="238"/>
      <c r="F291" s="238"/>
      <c r="G291" s="238"/>
      <c r="H291" s="238"/>
      <c r="I291" s="238"/>
      <c r="J291" s="238"/>
      <c r="K291" s="238"/>
      <c r="L291" s="238"/>
      <c r="M291" s="238"/>
      <c r="N291" s="238"/>
      <c r="O291" s="238"/>
      <c r="P291" s="238"/>
      <c r="Q291" s="238"/>
      <c r="R291" s="238"/>
      <c r="S291" s="238"/>
      <c r="T291" s="238"/>
      <c r="U291" s="238"/>
      <c r="V291" s="238"/>
      <c r="W291" s="238"/>
      <c r="X291" s="238"/>
      <c r="Y291" s="238"/>
      <c r="Z291" s="238"/>
      <c r="AA291" s="238"/>
      <c r="AB291" s="238"/>
      <c r="AC291" s="238"/>
      <c r="AD291" s="238"/>
      <c r="AE291" s="238"/>
      <c r="AF291" s="238"/>
      <c r="AG291" s="238"/>
      <c r="AH291" s="238"/>
      <c r="AI291" s="238"/>
      <c r="AJ291" s="238"/>
      <c r="AK291" s="238"/>
    </row>
    <row r="292" spans="2:37" ht="13.2">
      <c r="B292" s="238"/>
      <c r="C292" s="238"/>
      <c r="D292" s="238"/>
      <c r="E292" s="238"/>
      <c r="F292" s="238"/>
      <c r="G292" s="238"/>
      <c r="H292" s="238"/>
      <c r="I292" s="238"/>
      <c r="J292" s="238"/>
      <c r="K292" s="238"/>
      <c r="L292" s="238"/>
      <c r="M292" s="238"/>
      <c r="N292" s="238"/>
      <c r="O292" s="238"/>
      <c r="P292" s="238"/>
      <c r="Q292" s="238"/>
      <c r="R292" s="238"/>
      <c r="S292" s="238"/>
      <c r="T292" s="238"/>
      <c r="U292" s="238"/>
      <c r="V292" s="238"/>
      <c r="W292" s="238"/>
      <c r="X292" s="238"/>
      <c r="Y292" s="238"/>
      <c r="Z292" s="238"/>
      <c r="AA292" s="238"/>
      <c r="AB292" s="238"/>
      <c r="AC292" s="238"/>
      <c r="AD292" s="238"/>
      <c r="AE292" s="238"/>
      <c r="AF292" s="238"/>
      <c r="AG292" s="238"/>
      <c r="AH292" s="238"/>
      <c r="AI292" s="238"/>
      <c r="AJ292" s="238"/>
      <c r="AK292" s="238"/>
    </row>
    <row r="293" spans="2:37" ht="13.2">
      <c r="B293" s="238"/>
      <c r="C293" s="238"/>
      <c r="D293" s="238"/>
      <c r="E293" s="238"/>
      <c r="F293" s="238"/>
      <c r="G293" s="238"/>
      <c r="H293" s="238"/>
      <c r="I293" s="238"/>
      <c r="J293" s="238"/>
      <c r="K293" s="238"/>
      <c r="L293" s="238"/>
      <c r="M293" s="238"/>
      <c r="N293" s="238"/>
      <c r="O293" s="238"/>
      <c r="P293" s="238"/>
      <c r="Q293" s="238"/>
      <c r="R293" s="238"/>
      <c r="S293" s="238"/>
      <c r="T293" s="238"/>
      <c r="U293" s="238"/>
      <c r="V293" s="238"/>
      <c r="W293" s="238"/>
      <c r="X293" s="238"/>
      <c r="Y293" s="238"/>
      <c r="Z293" s="238"/>
      <c r="AA293" s="238"/>
      <c r="AB293" s="238"/>
      <c r="AC293" s="238"/>
      <c r="AD293" s="238"/>
      <c r="AE293" s="238"/>
      <c r="AF293" s="238"/>
      <c r="AG293" s="238"/>
      <c r="AH293" s="238"/>
      <c r="AI293" s="238"/>
      <c r="AJ293" s="238"/>
      <c r="AK293" s="238"/>
    </row>
    <row r="294" spans="2:37" ht="13.2">
      <c r="B294" s="238"/>
      <c r="C294" s="238"/>
      <c r="D294" s="238"/>
      <c r="E294" s="238"/>
      <c r="F294" s="238"/>
      <c r="G294" s="238"/>
      <c r="H294" s="238"/>
      <c r="I294" s="238"/>
      <c r="J294" s="238"/>
      <c r="K294" s="238"/>
      <c r="L294" s="238"/>
      <c r="M294" s="238"/>
      <c r="N294" s="238"/>
      <c r="O294" s="238"/>
      <c r="P294" s="238"/>
      <c r="Q294" s="238"/>
      <c r="R294" s="238"/>
      <c r="S294" s="238"/>
      <c r="T294" s="238"/>
      <c r="U294" s="238"/>
      <c r="V294" s="238"/>
      <c r="W294" s="238"/>
      <c r="X294" s="238"/>
      <c r="Y294" s="238"/>
      <c r="Z294" s="238"/>
      <c r="AA294" s="238"/>
      <c r="AB294" s="238"/>
      <c r="AC294" s="238"/>
      <c r="AD294" s="238"/>
      <c r="AE294" s="238"/>
      <c r="AF294" s="238"/>
      <c r="AG294" s="238"/>
      <c r="AH294" s="238"/>
      <c r="AI294" s="238"/>
      <c r="AJ294" s="238"/>
      <c r="AK294" s="238"/>
    </row>
    <row r="295" spans="2:37" ht="13.2">
      <c r="B295" s="238"/>
      <c r="C295" s="238"/>
      <c r="D295" s="238"/>
      <c r="E295" s="238"/>
      <c r="F295" s="238"/>
      <c r="G295" s="238"/>
      <c r="H295" s="238"/>
      <c r="I295" s="238"/>
      <c r="J295" s="238"/>
      <c r="K295" s="238"/>
      <c r="L295" s="238"/>
      <c r="M295" s="238"/>
      <c r="N295" s="238"/>
      <c r="O295" s="238"/>
      <c r="P295" s="238"/>
      <c r="Q295" s="238"/>
      <c r="R295" s="238"/>
      <c r="S295" s="238"/>
      <c r="T295" s="238"/>
      <c r="U295" s="238"/>
      <c r="V295" s="238"/>
      <c r="W295" s="238"/>
      <c r="X295" s="238"/>
      <c r="Y295" s="238"/>
      <c r="Z295" s="238"/>
      <c r="AA295" s="238"/>
      <c r="AB295" s="238"/>
      <c r="AC295" s="238"/>
      <c r="AD295" s="238"/>
      <c r="AE295" s="238"/>
      <c r="AF295" s="238"/>
      <c r="AG295" s="238"/>
      <c r="AH295" s="238"/>
      <c r="AI295" s="238"/>
      <c r="AJ295" s="238"/>
      <c r="AK295" s="238"/>
    </row>
    <row r="296" spans="2:37" ht="13.2">
      <c r="B296" s="238"/>
      <c r="C296" s="238"/>
      <c r="D296" s="238"/>
      <c r="E296" s="238"/>
      <c r="F296" s="238"/>
      <c r="G296" s="238"/>
      <c r="H296" s="238"/>
      <c r="I296" s="238"/>
      <c r="J296" s="238"/>
      <c r="K296" s="238"/>
      <c r="L296" s="238"/>
      <c r="M296" s="238"/>
      <c r="N296" s="238"/>
      <c r="O296" s="238"/>
      <c r="P296" s="238"/>
      <c r="Q296" s="238"/>
      <c r="R296" s="238"/>
      <c r="S296" s="238"/>
      <c r="T296" s="238"/>
      <c r="U296" s="238"/>
      <c r="V296" s="238"/>
      <c r="W296" s="238"/>
      <c r="X296" s="238"/>
      <c r="Y296" s="238"/>
      <c r="Z296" s="238"/>
      <c r="AA296" s="238"/>
      <c r="AB296" s="238"/>
      <c r="AC296" s="238"/>
      <c r="AD296" s="238"/>
      <c r="AE296" s="238"/>
      <c r="AF296" s="238"/>
      <c r="AG296" s="238"/>
      <c r="AH296" s="238"/>
      <c r="AI296" s="238"/>
      <c r="AJ296" s="238"/>
      <c r="AK296" s="238"/>
    </row>
    <row r="297" spans="2:37" ht="13.2">
      <c r="B297" s="238"/>
      <c r="C297" s="238"/>
      <c r="D297" s="238"/>
      <c r="E297" s="238"/>
      <c r="F297" s="238"/>
      <c r="G297" s="238"/>
      <c r="H297" s="238"/>
      <c r="I297" s="238"/>
      <c r="J297" s="238"/>
      <c r="K297" s="238"/>
      <c r="L297" s="238"/>
      <c r="M297" s="238"/>
      <c r="N297" s="238"/>
      <c r="O297" s="238"/>
      <c r="P297" s="238"/>
      <c r="Q297" s="238"/>
      <c r="R297" s="238"/>
      <c r="S297" s="238"/>
      <c r="T297" s="238"/>
      <c r="U297" s="238"/>
      <c r="V297" s="238"/>
      <c r="W297" s="238"/>
      <c r="X297" s="238"/>
      <c r="Y297" s="238"/>
      <c r="Z297" s="238"/>
      <c r="AA297" s="238"/>
      <c r="AB297" s="238"/>
      <c r="AC297" s="238"/>
      <c r="AD297" s="238"/>
      <c r="AE297" s="238"/>
      <c r="AF297" s="238"/>
      <c r="AG297" s="238"/>
      <c r="AH297" s="238"/>
      <c r="AI297" s="238"/>
      <c r="AJ297" s="238"/>
      <c r="AK297" s="238"/>
    </row>
    <row r="298" spans="2:37" ht="13.2">
      <c r="B298" s="238"/>
      <c r="C298" s="238"/>
      <c r="D298" s="238"/>
      <c r="E298" s="238"/>
      <c r="F298" s="238"/>
      <c r="G298" s="238"/>
      <c r="H298" s="238"/>
      <c r="I298" s="238"/>
      <c r="J298" s="238"/>
      <c r="K298" s="238"/>
      <c r="L298" s="238"/>
      <c r="M298" s="238"/>
      <c r="N298" s="238"/>
      <c r="O298" s="238"/>
      <c r="P298" s="238"/>
      <c r="Q298" s="238"/>
      <c r="R298" s="238"/>
      <c r="S298" s="238"/>
      <c r="T298" s="238"/>
      <c r="U298" s="238"/>
      <c r="V298" s="238"/>
      <c r="W298" s="238"/>
      <c r="X298" s="238"/>
      <c r="Y298" s="238"/>
      <c r="Z298" s="238"/>
      <c r="AA298" s="238"/>
      <c r="AB298" s="238"/>
      <c r="AC298" s="238"/>
      <c r="AD298" s="238"/>
      <c r="AE298" s="238"/>
      <c r="AF298" s="238"/>
      <c r="AG298" s="238"/>
      <c r="AH298" s="238"/>
      <c r="AI298" s="238"/>
      <c r="AJ298" s="238"/>
      <c r="AK298" s="238"/>
    </row>
    <row r="299" spans="2:37" ht="13.2">
      <c r="B299" s="238"/>
      <c r="C299" s="238"/>
      <c r="D299" s="238"/>
      <c r="E299" s="238"/>
      <c r="F299" s="238"/>
      <c r="G299" s="238"/>
      <c r="H299" s="238"/>
      <c r="I299" s="238"/>
      <c r="J299" s="238"/>
      <c r="K299" s="238"/>
      <c r="L299" s="238"/>
      <c r="M299" s="238"/>
      <c r="N299" s="238"/>
      <c r="O299" s="238"/>
      <c r="P299" s="238"/>
      <c r="Q299" s="238"/>
      <c r="R299" s="238"/>
      <c r="S299" s="238"/>
      <c r="T299" s="238"/>
      <c r="U299" s="238"/>
      <c r="V299" s="238"/>
      <c r="W299" s="238"/>
      <c r="X299" s="238"/>
      <c r="Y299" s="238"/>
      <c r="Z299" s="238"/>
      <c r="AA299" s="238"/>
      <c r="AB299" s="238"/>
      <c r="AC299" s="238"/>
      <c r="AD299" s="238"/>
      <c r="AE299" s="238"/>
      <c r="AF299" s="238"/>
      <c r="AG299" s="238"/>
      <c r="AH299" s="238"/>
      <c r="AI299" s="238"/>
      <c r="AJ299" s="238"/>
      <c r="AK299" s="238"/>
    </row>
    <row r="300" spans="2:37" ht="13.2">
      <c r="B300" s="238"/>
      <c r="C300" s="238"/>
      <c r="D300" s="238"/>
      <c r="E300" s="238"/>
      <c r="F300" s="238"/>
      <c r="G300" s="238"/>
      <c r="H300" s="238"/>
      <c r="I300" s="238"/>
      <c r="J300" s="238"/>
      <c r="K300" s="238"/>
      <c r="L300" s="238"/>
      <c r="M300" s="238"/>
      <c r="N300" s="238"/>
      <c r="O300" s="238"/>
      <c r="P300" s="238"/>
      <c r="Q300" s="238"/>
      <c r="R300" s="238"/>
      <c r="S300" s="238"/>
      <c r="T300" s="238"/>
      <c r="U300" s="238"/>
      <c r="V300" s="238"/>
      <c r="W300" s="238"/>
      <c r="X300" s="238"/>
      <c r="Y300" s="238"/>
      <c r="Z300" s="238"/>
      <c r="AA300" s="238"/>
      <c r="AB300" s="238"/>
      <c r="AC300" s="238"/>
      <c r="AD300" s="238"/>
      <c r="AE300" s="238"/>
      <c r="AF300" s="238"/>
      <c r="AG300" s="238"/>
      <c r="AH300" s="238"/>
      <c r="AI300" s="238"/>
      <c r="AJ300" s="238"/>
      <c r="AK300" s="238"/>
    </row>
    <row r="301" spans="2:37" ht="13.2">
      <c r="B301" s="238"/>
      <c r="C301" s="238"/>
      <c r="D301" s="238"/>
      <c r="E301" s="238"/>
      <c r="F301" s="238"/>
      <c r="G301" s="238"/>
      <c r="H301" s="238"/>
      <c r="I301" s="238"/>
      <c r="J301" s="238"/>
      <c r="K301" s="238"/>
      <c r="L301" s="238"/>
      <c r="M301" s="238"/>
      <c r="N301" s="238"/>
      <c r="O301" s="238"/>
      <c r="P301" s="238"/>
      <c r="Q301" s="238"/>
      <c r="R301" s="238"/>
      <c r="S301" s="238"/>
      <c r="T301" s="238"/>
      <c r="U301" s="238"/>
      <c r="V301" s="238"/>
      <c r="W301" s="238"/>
      <c r="X301" s="238"/>
      <c r="Y301" s="238"/>
      <c r="Z301" s="238"/>
      <c r="AA301" s="238"/>
      <c r="AB301" s="238"/>
      <c r="AC301" s="238"/>
      <c r="AD301" s="238"/>
      <c r="AE301" s="238"/>
      <c r="AF301" s="238"/>
      <c r="AG301" s="238"/>
      <c r="AH301" s="238"/>
      <c r="AI301" s="238"/>
      <c r="AJ301" s="238"/>
      <c r="AK301" s="238"/>
    </row>
    <row r="302" spans="2:37" ht="13.2">
      <c r="B302" s="238"/>
      <c r="C302" s="238"/>
      <c r="D302" s="238"/>
      <c r="E302" s="238"/>
      <c r="F302" s="238"/>
      <c r="G302" s="238"/>
      <c r="H302" s="238"/>
      <c r="I302" s="238"/>
      <c r="J302" s="238"/>
      <c r="K302" s="238"/>
      <c r="L302" s="238"/>
      <c r="M302" s="238"/>
      <c r="N302" s="238"/>
      <c r="O302" s="238"/>
      <c r="P302" s="238"/>
      <c r="Q302" s="238"/>
      <c r="R302" s="238"/>
      <c r="S302" s="238"/>
      <c r="T302" s="238"/>
      <c r="U302" s="238"/>
      <c r="V302" s="238"/>
      <c r="W302" s="238"/>
      <c r="X302" s="238"/>
      <c r="Y302" s="238"/>
      <c r="Z302" s="238"/>
      <c r="AA302" s="238"/>
      <c r="AB302" s="238"/>
      <c r="AC302" s="238"/>
      <c r="AD302" s="238"/>
      <c r="AE302" s="238"/>
      <c r="AF302" s="238"/>
      <c r="AG302" s="238"/>
      <c r="AH302" s="238"/>
      <c r="AI302" s="238"/>
      <c r="AJ302" s="238"/>
      <c r="AK302" s="238"/>
    </row>
    <row r="303" spans="2:37" ht="13.2">
      <c r="B303" s="238"/>
      <c r="C303" s="238"/>
      <c r="D303" s="238"/>
      <c r="E303" s="238"/>
      <c r="F303" s="238"/>
      <c r="G303" s="238"/>
      <c r="H303" s="238"/>
      <c r="I303" s="238"/>
      <c r="J303" s="238"/>
      <c r="K303" s="238"/>
      <c r="L303" s="238"/>
      <c r="M303" s="238"/>
      <c r="N303" s="238"/>
      <c r="O303" s="238"/>
      <c r="P303" s="238"/>
      <c r="Q303" s="238"/>
      <c r="R303" s="238"/>
      <c r="S303" s="238"/>
      <c r="T303" s="238"/>
      <c r="U303" s="238"/>
      <c r="V303" s="238"/>
      <c r="W303" s="238"/>
      <c r="X303" s="238"/>
      <c r="Y303" s="238"/>
      <c r="Z303" s="238"/>
      <c r="AA303" s="238"/>
      <c r="AB303" s="238"/>
      <c r="AC303" s="238"/>
      <c r="AD303" s="238"/>
      <c r="AE303" s="238"/>
      <c r="AF303" s="238"/>
      <c r="AG303" s="238"/>
      <c r="AH303" s="238"/>
      <c r="AI303" s="238"/>
      <c r="AJ303" s="238"/>
      <c r="AK303" s="238"/>
    </row>
    <row r="304" spans="2:37" ht="13.2">
      <c r="B304" s="238"/>
      <c r="C304" s="238"/>
      <c r="D304" s="238"/>
      <c r="E304" s="238"/>
      <c r="F304" s="238"/>
      <c r="G304" s="238"/>
      <c r="H304" s="238"/>
      <c r="I304" s="238"/>
      <c r="J304" s="238"/>
      <c r="K304" s="238"/>
      <c r="L304" s="238"/>
      <c r="M304" s="238"/>
      <c r="N304" s="238"/>
      <c r="O304" s="238"/>
      <c r="P304" s="238"/>
      <c r="Q304" s="238"/>
      <c r="R304" s="238"/>
      <c r="S304" s="238"/>
      <c r="T304" s="238"/>
      <c r="U304" s="238"/>
      <c r="V304" s="238"/>
      <c r="W304" s="238"/>
      <c r="X304" s="238"/>
      <c r="Y304" s="238"/>
      <c r="Z304" s="238"/>
      <c r="AA304" s="238"/>
      <c r="AB304" s="238"/>
      <c r="AC304" s="238"/>
      <c r="AD304" s="238"/>
      <c r="AE304" s="238"/>
      <c r="AF304" s="238"/>
      <c r="AG304" s="238"/>
      <c r="AH304" s="238"/>
      <c r="AI304" s="238"/>
      <c r="AJ304" s="238"/>
      <c r="AK304" s="238"/>
    </row>
    <row r="305" spans="2:37" ht="13.2">
      <c r="B305" s="238"/>
      <c r="C305" s="238"/>
      <c r="D305" s="238"/>
      <c r="E305" s="238"/>
      <c r="F305" s="238"/>
      <c r="G305" s="238"/>
      <c r="H305" s="238"/>
      <c r="I305" s="238"/>
      <c r="J305" s="238"/>
      <c r="K305" s="238"/>
      <c r="L305" s="238"/>
      <c r="M305" s="238"/>
      <c r="N305" s="238"/>
      <c r="O305" s="238"/>
      <c r="P305" s="238"/>
      <c r="Q305" s="238"/>
      <c r="R305" s="238"/>
      <c r="S305" s="238"/>
      <c r="T305" s="238"/>
      <c r="U305" s="238"/>
      <c r="V305" s="238"/>
      <c r="W305" s="238"/>
      <c r="X305" s="238"/>
      <c r="Y305" s="238"/>
      <c r="Z305" s="238"/>
      <c r="AA305" s="238"/>
      <c r="AB305" s="238"/>
      <c r="AC305" s="238"/>
      <c r="AD305" s="238"/>
      <c r="AE305" s="238"/>
      <c r="AF305" s="238"/>
      <c r="AG305" s="238"/>
      <c r="AH305" s="238"/>
      <c r="AI305" s="238"/>
      <c r="AJ305" s="238"/>
      <c r="AK305" s="238"/>
    </row>
    <row r="306" spans="2:37" ht="13.2">
      <c r="B306" s="238"/>
      <c r="C306" s="238"/>
      <c r="D306" s="238"/>
      <c r="E306" s="238"/>
      <c r="F306" s="238"/>
      <c r="G306" s="238"/>
      <c r="H306" s="238"/>
      <c r="I306" s="238"/>
      <c r="J306" s="238"/>
      <c r="K306" s="238"/>
      <c r="L306" s="238"/>
      <c r="M306" s="238"/>
      <c r="N306" s="238"/>
      <c r="O306" s="238"/>
      <c r="P306" s="238"/>
      <c r="Q306" s="238"/>
      <c r="R306" s="238"/>
      <c r="S306" s="238"/>
      <c r="T306" s="238"/>
      <c r="U306" s="238"/>
      <c r="V306" s="238"/>
      <c r="W306" s="238"/>
      <c r="X306" s="238"/>
      <c r="Y306" s="238"/>
      <c r="Z306" s="238"/>
      <c r="AA306" s="238"/>
      <c r="AB306" s="238"/>
      <c r="AC306" s="238"/>
      <c r="AD306" s="238"/>
      <c r="AE306" s="238"/>
      <c r="AF306" s="238"/>
      <c r="AG306" s="238"/>
      <c r="AH306" s="238"/>
      <c r="AI306" s="238"/>
      <c r="AJ306" s="238"/>
      <c r="AK306" s="238"/>
    </row>
    <row r="307" spans="2:37" ht="13.2">
      <c r="B307" s="238"/>
      <c r="C307" s="238"/>
      <c r="D307" s="238"/>
      <c r="E307" s="238"/>
      <c r="F307" s="238"/>
      <c r="G307" s="238"/>
      <c r="H307" s="238"/>
      <c r="I307" s="238"/>
      <c r="J307" s="238"/>
      <c r="K307" s="238"/>
      <c r="L307" s="238"/>
      <c r="M307" s="238"/>
      <c r="N307" s="238"/>
      <c r="O307" s="238"/>
      <c r="P307" s="238"/>
      <c r="Q307" s="238"/>
      <c r="R307" s="238"/>
      <c r="S307" s="238"/>
      <c r="T307" s="238"/>
      <c r="U307" s="238"/>
      <c r="V307" s="238"/>
      <c r="W307" s="238"/>
      <c r="X307" s="238"/>
      <c r="Y307" s="238"/>
      <c r="Z307" s="238"/>
      <c r="AA307" s="238"/>
      <c r="AB307" s="238"/>
      <c r="AC307" s="238"/>
      <c r="AD307" s="238"/>
      <c r="AE307" s="238"/>
      <c r="AF307" s="238"/>
      <c r="AG307" s="238"/>
      <c r="AH307" s="238"/>
      <c r="AI307" s="238"/>
      <c r="AJ307" s="238"/>
      <c r="AK307" s="238"/>
    </row>
    <row r="308" spans="2:37" ht="13.2">
      <c r="B308" s="238"/>
      <c r="C308" s="238"/>
      <c r="D308" s="238"/>
      <c r="E308" s="238"/>
      <c r="F308" s="238"/>
      <c r="G308" s="238"/>
      <c r="H308" s="238"/>
      <c r="I308" s="238"/>
      <c r="J308" s="238"/>
      <c r="K308" s="238"/>
      <c r="L308" s="238"/>
      <c r="M308" s="238"/>
      <c r="N308" s="238"/>
      <c r="O308" s="238"/>
      <c r="P308" s="238"/>
      <c r="Q308" s="238"/>
      <c r="R308" s="238"/>
      <c r="S308" s="238"/>
      <c r="T308" s="238"/>
      <c r="U308" s="238"/>
      <c r="V308" s="238"/>
      <c r="W308" s="238"/>
      <c r="X308" s="238"/>
      <c r="Y308" s="238"/>
      <c r="Z308" s="238"/>
      <c r="AA308" s="238"/>
      <c r="AB308" s="238"/>
      <c r="AC308" s="238"/>
      <c r="AD308" s="238"/>
      <c r="AE308" s="238"/>
      <c r="AF308" s="238"/>
      <c r="AG308" s="238"/>
      <c r="AH308" s="238"/>
      <c r="AI308" s="238"/>
      <c r="AJ308" s="238"/>
      <c r="AK308" s="238"/>
    </row>
    <row r="309" spans="2:37" ht="13.2">
      <c r="B309" s="238"/>
      <c r="C309" s="238"/>
      <c r="D309" s="238"/>
      <c r="E309" s="238"/>
      <c r="F309" s="238"/>
      <c r="G309" s="238"/>
      <c r="H309" s="238"/>
      <c r="I309" s="238"/>
      <c r="J309" s="238"/>
      <c r="K309" s="238"/>
      <c r="L309" s="238"/>
      <c r="M309" s="238"/>
      <c r="N309" s="238"/>
      <c r="O309" s="238"/>
      <c r="P309" s="238"/>
      <c r="Q309" s="238"/>
      <c r="R309" s="238"/>
      <c r="S309" s="238"/>
      <c r="T309" s="238"/>
      <c r="U309" s="238"/>
      <c r="V309" s="238"/>
      <c r="W309" s="238"/>
      <c r="X309" s="238"/>
      <c r="Y309" s="238"/>
      <c r="Z309" s="238"/>
      <c r="AA309" s="238"/>
      <c r="AB309" s="238"/>
      <c r="AC309" s="238"/>
      <c r="AD309" s="238"/>
      <c r="AE309" s="238"/>
      <c r="AF309" s="238"/>
      <c r="AG309" s="238"/>
      <c r="AH309" s="238"/>
      <c r="AI309" s="238"/>
      <c r="AJ309" s="238"/>
      <c r="AK309" s="238"/>
    </row>
    <row r="310" spans="2:37" ht="13.2">
      <c r="B310" s="238"/>
      <c r="C310" s="238"/>
      <c r="D310" s="238"/>
      <c r="E310" s="238"/>
      <c r="F310" s="238"/>
      <c r="G310" s="238"/>
      <c r="H310" s="238"/>
      <c r="I310" s="238"/>
      <c r="J310" s="238"/>
      <c r="K310" s="238"/>
      <c r="L310" s="238"/>
      <c r="M310" s="238"/>
      <c r="N310" s="238"/>
      <c r="O310" s="238"/>
      <c r="P310" s="238"/>
      <c r="Q310" s="238"/>
      <c r="R310" s="238"/>
      <c r="S310" s="238"/>
      <c r="T310" s="238"/>
      <c r="U310" s="238"/>
      <c r="V310" s="238"/>
      <c r="W310" s="238"/>
      <c r="X310" s="238"/>
      <c r="Y310" s="238"/>
      <c r="Z310" s="238"/>
      <c r="AA310" s="238"/>
      <c r="AB310" s="238"/>
      <c r="AC310" s="238"/>
      <c r="AD310" s="238"/>
      <c r="AE310" s="238"/>
      <c r="AF310" s="238"/>
      <c r="AG310" s="238"/>
      <c r="AH310" s="238"/>
      <c r="AI310" s="238"/>
      <c r="AJ310" s="238"/>
      <c r="AK310" s="238"/>
    </row>
    <row r="311" spans="2:37" ht="13.2">
      <c r="B311" s="238"/>
      <c r="C311" s="238"/>
      <c r="D311" s="238"/>
      <c r="E311" s="238"/>
      <c r="F311" s="238"/>
      <c r="G311" s="238"/>
      <c r="H311" s="238"/>
      <c r="I311" s="238"/>
      <c r="J311" s="238"/>
      <c r="K311" s="238"/>
      <c r="L311" s="238"/>
      <c r="M311" s="238"/>
      <c r="N311" s="238"/>
      <c r="O311" s="238"/>
      <c r="P311" s="238"/>
      <c r="Q311" s="238"/>
      <c r="R311" s="238"/>
      <c r="S311" s="238"/>
      <c r="T311" s="238"/>
      <c r="U311" s="238"/>
      <c r="V311" s="238"/>
      <c r="W311" s="238"/>
      <c r="X311" s="238"/>
      <c r="Y311" s="238"/>
      <c r="Z311" s="238"/>
      <c r="AA311" s="238"/>
      <c r="AB311" s="238"/>
      <c r="AC311" s="238"/>
      <c r="AD311" s="238"/>
      <c r="AE311" s="238"/>
      <c r="AF311" s="238"/>
      <c r="AG311" s="238"/>
      <c r="AH311" s="238"/>
      <c r="AI311" s="238"/>
      <c r="AJ311" s="238"/>
      <c r="AK311" s="238"/>
    </row>
    <row r="312" spans="2:37" ht="13.2">
      <c r="B312" s="238"/>
      <c r="C312" s="238"/>
      <c r="D312" s="238"/>
      <c r="E312" s="238"/>
      <c r="F312" s="238"/>
      <c r="G312" s="238"/>
      <c r="H312" s="238"/>
      <c r="I312" s="238"/>
      <c r="J312" s="238"/>
      <c r="K312" s="238"/>
      <c r="L312" s="238"/>
      <c r="M312" s="238"/>
      <c r="N312" s="238"/>
      <c r="O312" s="238"/>
      <c r="P312" s="238"/>
      <c r="Q312" s="238"/>
      <c r="R312" s="238"/>
      <c r="S312" s="238"/>
      <c r="T312" s="238"/>
      <c r="U312" s="238"/>
      <c r="V312" s="238"/>
      <c r="W312" s="238"/>
      <c r="X312" s="238"/>
      <c r="Y312" s="238"/>
      <c r="Z312" s="238"/>
      <c r="AA312" s="238"/>
      <c r="AB312" s="238"/>
      <c r="AC312" s="238"/>
      <c r="AD312" s="238"/>
      <c r="AE312" s="238"/>
      <c r="AF312" s="238"/>
      <c r="AG312" s="238"/>
      <c r="AH312" s="238"/>
      <c r="AI312" s="238"/>
      <c r="AJ312" s="238"/>
      <c r="AK312" s="238"/>
    </row>
    <row r="313" spans="2:37" ht="13.2">
      <c r="B313" s="238"/>
      <c r="C313" s="238"/>
      <c r="D313" s="238"/>
      <c r="E313" s="238"/>
      <c r="F313" s="238"/>
      <c r="G313" s="238"/>
      <c r="H313" s="238"/>
      <c r="I313" s="238"/>
      <c r="J313" s="238"/>
      <c r="K313" s="238"/>
      <c r="L313" s="238"/>
      <c r="M313" s="238"/>
      <c r="N313" s="238"/>
      <c r="O313" s="238"/>
      <c r="P313" s="238"/>
      <c r="Q313" s="238"/>
      <c r="R313" s="238"/>
      <c r="S313" s="238"/>
      <c r="T313" s="238"/>
      <c r="U313" s="238"/>
      <c r="V313" s="238"/>
      <c r="W313" s="238"/>
      <c r="X313" s="238"/>
      <c r="Y313" s="238"/>
      <c r="Z313" s="238"/>
      <c r="AA313" s="238"/>
      <c r="AB313" s="238"/>
      <c r="AC313" s="238"/>
      <c r="AD313" s="238"/>
      <c r="AE313" s="238"/>
      <c r="AF313" s="238"/>
      <c r="AG313" s="238"/>
      <c r="AH313" s="238"/>
      <c r="AI313" s="238"/>
      <c r="AJ313" s="238"/>
      <c r="AK313" s="238"/>
    </row>
    <row r="314" spans="2:37" ht="13.2">
      <c r="B314" s="238"/>
      <c r="C314" s="238"/>
      <c r="D314" s="238"/>
      <c r="E314" s="238"/>
      <c r="F314" s="238"/>
      <c r="G314" s="238"/>
      <c r="H314" s="238"/>
      <c r="I314" s="238"/>
      <c r="J314" s="238"/>
      <c r="K314" s="238"/>
      <c r="L314" s="238"/>
      <c r="M314" s="238"/>
      <c r="N314" s="238"/>
      <c r="O314" s="238"/>
      <c r="P314" s="238"/>
      <c r="Q314" s="238"/>
      <c r="R314" s="238"/>
      <c r="S314" s="238"/>
      <c r="T314" s="238"/>
      <c r="U314" s="238"/>
      <c r="V314" s="238"/>
      <c r="W314" s="238"/>
      <c r="X314" s="238"/>
      <c r="Y314" s="238"/>
      <c r="Z314" s="238"/>
      <c r="AA314" s="238"/>
      <c r="AB314" s="238"/>
      <c r="AC314" s="238"/>
      <c r="AD314" s="238"/>
      <c r="AE314" s="238"/>
      <c r="AF314" s="238"/>
      <c r="AG314" s="238"/>
      <c r="AH314" s="238"/>
      <c r="AI314" s="238"/>
      <c r="AJ314" s="238"/>
      <c r="AK314" s="238"/>
    </row>
    <row r="315" spans="2:37" ht="13.2">
      <c r="B315" s="238"/>
      <c r="C315" s="238"/>
      <c r="D315" s="238"/>
      <c r="E315" s="238"/>
      <c r="F315" s="238"/>
      <c r="G315" s="238"/>
      <c r="H315" s="238"/>
      <c r="I315" s="238"/>
      <c r="J315" s="238"/>
      <c r="K315" s="238"/>
      <c r="L315" s="238"/>
      <c r="M315" s="238"/>
      <c r="N315" s="238"/>
      <c r="O315" s="238"/>
      <c r="P315" s="238"/>
      <c r="Q315" s="238"/>
      <c r="R315" s="238"/>
      <c r="S315" s="238"/>
      <c r="T315" s="238"/>
      <c r="U315" s="238"/>
      <c r="V315" s="238"/>
      <c r="W315" s="238"/>
      <c r="X315" s="238"/>
      <c r="Y315" s="238"/>
      <c r="Z315" s="238"/>
      <c r="AA315" s="238"/>
      <c r="AB315" s="238"/>
      <c r="AC315" s="238"/>
      <c r="AD315" s="238"/>
      <c r="AE315" s="238"/>
      <c r="AF315" s="238"/>
      <c r="AG315" s="238"/>
      <c r="AH315" s="238"/>
      <c r="AI315" s="238"/>
      <c r="AJ315" s="238"/>
      <c r="AK315" s="238"/>
    </row>
    <row r="316" spans="2:37" ht="13.2">
      <c r="B316" s="238"/>
      <c r="C316" s="238"/>
      <c r="D316" s="238"/>
      <c r="E316" s="238"/>
      <c r="F316" s="238"/>
      <c r="G316" s="238"/>
      <c r="H316" s="238"/>
      <c r="I316" s="238"/>
      <c r="J316" s="238"/>
      <c r="K316" s="238"/>
      <c r="L316" s="238"/>
      <c r="M316" s="238"/>
      <c r="N316" s="238"/>
      <c r="O316" s="238"/>
      <c r="P316" s="238"/>
      <c r="Q316" s="238"/>
      <c r="R316" s="238"/>
      <c r="S316" s="238"/>
      <c r="T316" s="238"/>
      <c r="U316" s="238"/>
      <c r="V316" s="238"/>
      <c r="W316" s="238"/>
      <c r="X316" s="238"/>
      <c r="Y316" s="238"/>
      <c r="Z316" s="238"/>
      <c r="AA316" s="238"/>
      <c r="AB316" s="238"/>
      <c r="AC316" s="238"/>
      <c r="AD316" s="238"/>
      <c r="AE316" s="238"/>
      <c r="AF316" s="238"/>
      <c r="AG316" s="238"/>
      <c r="AH316" s="238"/>
      <c r="AI316" s="238"/>
      <c r="AJ316" s="238"/>
      <c r="AK316" s="238"/>
    </row>
    <row r="317" spans="2:37" ht="13.2">
      <c r="B317" s="238"/>
      <c r="C317" s="238"/>
      <c r="D317" s="238"/>
      <c r="E317" s="238"/>
      <c r="F317" s="238"/>
      <c r="G317" s="238"/>
      <c r="H317" s="238"/>
      <c r="I317" s="238"/>
      <c r="J317" s="238"/>
      <c r="K317" s="238"/>
      <c r="L317" s="238"/>
      <c r="M317" s="238"/>
      <c r="N317" s="238"/>
      <c r="O317" s="238"/>
      <c r="P317" s="238"/>
      <c r="Q317" s="238"/>
      <c r="R317" s="238"/>
      <c r="S317" s="238"/>
      <c r="T317" s="238"/>
      <c r="U317" s="238"/>
      <c r="V317" s="238"/>
      <c r="W317" s="238"/>
      <c r="X317" s="238"/>
      <c r="Y317" s="238"/>
      <c r="Z317" s="238"/>
      <c r="AA317" s="238"/>
      <c r="AB317" s="238"/>
      <c r="AC317" s="238"/>
      <c r="AD317" s="238"/>
      <c r="AE317" s="238"/>
      <c r="AF317" s="238"/>
      <c r="AG317" s="238"/>
      <c r="AH317" s="238"/>
      <c r="AI317" s="238"/>
      <c r="AJ317" s="238"/>
      <c r="AK317" s="238"/>
    </row>
    <row r="318" spans="2:37" ht="13.2">
      <c r="B318" s="238"/>
      <c r="C318" s="238"/>
      <c r="D318" s="238"/>
      <c r="E318" s="238"/>
      <c r="F318" s="238"/>
      <c r="G318" s="238"/>
      <c r="H318" s="238"/>
      <c r="I318" s="238"/>
      <c r="J318" s="238"/>
      <c r="K318" s="238"/>
      <c r="L318" s="238"/>
      <c r="M318" s="238"/>
      <c r="N318" s="238"/>
      <c r="O318" s="238"/>
      <c r="P318" s="238"/>
      <c r="Q318" s="238"/>
      <c r="R318" s="238"/>
      <c r="S318" s="238"/>
      <c r="T318" s="238"/>
      <c r="U318" s="238"/>
      <c r="V318" s="238"/>
      <c r="W318" s="238"/>
      <c r="X318" s="238"/>
      <c r="Y318" s="238"/>
      <c r="Z318" s="238"/>
      <c r="AA318" s="238"/>
      <c r="AB318" s="238"/>
      <c r="AC318" s="238"/>
      <c r="AD318" s="238"/>
      <c r="AE318" s="238"/>
      <c r="AF318" s="238"/>
      <c r="AG318" s="238"/>
      <c r="AH318" s="238"/>
      <c r="AI318" s="238"/>
      <c r="AJ318" s="238"/>
      <c r="AK318" s="238"/>
    </row>
    <row r="319" spans="2:37" ht="13.2">
      <c r="B319" s="238"/>
      <c r="C319" s="238"/>
      <c r="D319" s="238"/>
      <c r="E319" s="238"/>
      <c r="F319" s="238"/>
      <c r="G319" s="238"/>
      <c r="H319" s="238"/>
      <c r="I319" s="238"/>
      <c r="J319" s="238"/>
      <c r="K319" s="238"/>
      <c r="L319" s="238"/>
      <c r="M319" s="238"/>
      <c r="N319" s="238"/>
      <c r="O319" s="238"/>
      <c r="P319" s="238"/>
      <c r="Q319" s="238"/>
      <c r="R319" s="238"/>
      <c r="S319" s="238"/>
      <c r="T319" s="238"/>
      <c r="U319" s="238"/>
      <c r="V319" s="238"/>
      <c r="W319" s="238"/>
      <c r="X319" s="238"/>
      <c r="Y319" s="238"/>
      <c r="Z319" s="238"/>
      <c r="AA319" s="238"/>
      <c r="AB319" s="238"/>
      <c r="AC319" s="238"/>
      <c r="AD319" s="238"/>
      <c r="AE319" s="238"/>
      <c r="AF319" s="238"/>
      <c r="AG319" s="238"/>
      <c r="AH319" s="238"/>
      <c r="AI319" s="238"/>
      <c r="AJ319" s="238"/>
      <c r="AK319" s="238"/>
    </row>
    <row r="320" spans="2:37" ht="13.2">
      <c r="B320" s="238"/>
      <c r="C320" s="238"/>
      <c r="D320" s="238"/>
      <c r="E320" s="238"/>
      <c r="F320" s="238"/>
      <c r="G320" s="238"/>
      <c r="H320" s="238"/>
      <c r="I320" s="238"/>
      <c r="J320" s="238"/>
      <c r="K320" s="238"/>
      <c r="L320" s="238"/>
      <c r="M320" s="238"/>
      <c r="N320" s="238"/>
      <c r="O320" s="238"/>
      <c r="P320" s="238"/>
      <c r="Q320" s="238"/>
      <c r="R320" s="238"/>
      <c r="S320" s="238"/>
      <c r="T320" s="238"/>
      <c r="U320" s="238"/>
      <c r="V320" s="238"/>
      <c r="W320" s="238"/>
      <c r="X320" s="238"/>
      <c r="Y320" s="238"/>
      <c r="Z320" s="238"/>
      <c r="AA320" s="238"/>
      <c r="AB320" s="238"/>
      <c r="AC320" s="238"/>
      <c r="AD320" s="238"/>
      <c r="AE320" s="238"/>
      <c r="AF320" s="238"/>
      <c r="AG320" s="238"/>
      <c r="AH320" s="238"/>
      <c r="AI320" s="238"/>
      <c r="AJ320" s="238"/>
      <c r="AK320" s="238"/>
    </row>
    <row r="321" spans="2:37" ht="13.2">
      <c r="B321" s="238"/>
      <c r="C321" s="238"/>
      <c r="D321" s="238"/>
      <c r="E321" s="238"/>
      <c r="F321" s="238"/>
      <c r="G321" s="238"/>
      <c r="H321" s="238"/>
      <c r="I321" s="238"/>
      <c r="J321" s="238"/>
      <c r="K321" s="238"/>
      <c r="L321" s="238"/>
      <c r="M321" s="238"/>
      <c r="N321" s="238"/>
      <c r="O321" s="238"/>
      <c r="P321" s="238"/>
      <c r="Q321" s="238"/>
      <c r="R321" s="238"/>
      <c r="S321" s="238"/>
      <c r="T321" s="238"/>
      <c r="U321" s="238"/>
      <c r="V321" s="238"/>
      <c r="W321" s="238"/>
      <c r="X321" s="238"/>
      <c r="Y321" s="238"/>
      <c r="Z321" s="238"/>
      <c r="AA321" s="238"/>
      <c r="AB321" s="238"/>
      <c r="AC321" s="238"/>
      <c r="AD321" s="238"/>
      <c r="AE321" s="238"/>
      <c r="AF321" s="238"/>
      <c r="AG321" s="238"/>
      <c r="AH321" s="238"/>
      <c r="AI321" s="238"/>
      <c r="AJ321" s="238"/>
      <c r="AK321" s="238"/>
    </row>
    <row r="322" spans="2:37" ht="13.2">
      <c r="B322" s="238"/>
      <c r="C322" s="238"/>
      <c r="D322" s="238"/>
      <c r="E322" s="238"/>
      <c r="F322" s="238"/>
      <c r="G322" s="238"/>
      <c r="H322" s="238"/>
      <c r="I322" s="238"/>
      <c r="J322" s="238"/>
      <c r="K322" s="238"/>
      <c r="L322" s="238"/>
      <c r="M322" s="238"/>
      <c r="N322" s="238"/>
      <c r="O322" s="238"/>
      <c r="P322" s="238"/>
      <c r="Q322" s="238"/>
      <c r="R322" s="238"/>
      <c r="S322" s="238"/>
      <c r="T322" s="238"/>
      <c r="U322" s="238"/>
      <c r="V322" s="238"/>
      <c r="W322" s="238"/>
      <c r="X322" s="238"/>
      <c r="Y322" s="238"/>
      <c r="Z322" s="238"/>
      <c r="AA322" s="238"/>
      <c r="AB322" s="238"/>
      <c r="AC322" s="238"/>
      <c r="AD322" s="238"/>
      <c r="AE322" s="238"/>
      <c r="AF322" s="238"/>
      <c r="AG322" s="238"/>
      <c r="AH322" s="238"/>
      <c r="AI322" s="238"/>
      <c r="AJ322" s="238"/>
      <c r="AK322" s="238"/>
    </row>
    <row r="323" spans="2:37" ht="13.2">
      <c r="B323" s="238"/>
      <c r="C323" s="238"/>
      <c r="D323" s="238"/>
      <c r="E323" s="238"/>
      <c r="F323" s="238"/>
      <c r="G323" s="238"/>
      <c r="H323" s="238"/>
      <c r="I323" s="238"/>
      <c r="J323" s="238"/>
      <c r="K323" s="238"/>
      <c r="L323" s="238"/>
      <c r="M323" s="238"/>
      <c r="N323" s="238"/>
      <c r="O323" s="238"/>
      <c r="P323" s="238"/>
      <c r="Q323" s="238"/>
      <c r="R323" s="238"/>
      <c r="S323" s="238"/>
      <c r="T323" s="238"/>
      <c r="U323" s="238"/>
      <c r="V323" s="238"/>
      <c r="W323" s="238"/>
      <c r="X323" s="238"/>
      <c r="Y323" s="238"/>
      <c r="Z323" s="238"/>
      <c r="AA323" s="238"/>
      <c r="AB323" s="238"/>
      <c r="AC323" s="238"/>
      <c r="AD323" s="238"/>
      <c r="AE323" s="238"/>
      <c r="AF323" s="238"/>
      <c r="AG323" s="238"/>
      <c r="AH323" s="238"/>
      <c r="AI323" s="238"/>
      <c r="AJ323" s="238"/>
      <c r="AK323" s="238"/>
    </row>
    <row r="324" spans="2:37" ht="13.2">
      <c r="B324" s="238"/>
      <c r="C324" s="238"/>
      <c r="D324" s="238"/>
      <c r="E324" s="238"/>
      <c r="F324" s="238"/>
      <c r="G324" s="238"/>
      <c r="H324" s="238"/>
      <c r="I324" s="238"/>
      <c r="J324" s="238"/>
      <c r="K324" s="238"/>
      <c r="L324" s="238"/>
      <c r="M324" s="238"/>
      <c r="N324" s="238"/>
      <c r="O324" s="238"/>
      <c r="P324" s="238"/>
      <c r="Q324" s="238"/>
      <c r="R324" s="238"/>
      <c r="S324" s="238"/>
      <c r="T324" s="238"/>
      <c r="U324" s="238"/>
      <c r="V324" s="238"/>
      <c r="W324" s="238"/>
      <c r="X324" s="238"/>
      <c r="Y324" s="238"/>
      <c r="Z324" s="238"/>
      <c r="AA324" s="238"/>
      <c r="AB324" s="238"/>
      <c r="AC324" s="238"/>
      <c r="AD324" s="238"/>
      <c r="AE324" s="238"/>
      <c r="AF324" s="238"/>
      <c r="AG324" s="238"/>
      <c r="AH324" s="238"/>
      <c r="AI324" s="238"/>
      <c r="AJ324" s="238"/>
      <c r="AK324" s="238"/>
    </row>
    <row r="325" spans="2:37" ht="13.2">
      <c r="B325" s="238"/>
      <c r="C325" s="238"/>
      <c r="D325" s="238"/>
      <c r="E325" s="238"/>
      <c r="F325" s="238"/>
      <c r="G325" s="238"/>
      <c r="H325" s="238"/>
      <c r="I325" s="238"/>
      <c r="J325" s="238"/>
      <c r="K325" s="238"/>
      <c r="L325" s="238"/>
      <c r="M325" s="238"/>
      <c r="N325" s="238"/>
      <c r="O325" s="238"/>
      <c r="P325" s="238"/>
      <c r="Q325" s="238"/>
      <c r="R325" s="238"/>
      <c r="S325" s="238"/>
      <c r="T325" s="238"/>
      <c r="U325" s="238"/>
      <c r="V325" s="238"/>
      <c r="W325" s="238"/>
      <c r="X325" s="238"/>
      <c r="Y325" s="238"/>
      <c r="Z325" s="238"/>
      <c r="AA325" s="238"/>
      <c r="AB325" s="238"/>
      <c r="AC325" s="238"/>
      <c r="AD325" s="238"/>
      <c r="AE325" s="238"/>
      <c r="AF325" s="238"/>
      <c r="AG325" s="238"/>
      <c r="AH325" s="238"/>
      <c r="AI325" s="238"/>
      <c r="AJ325" s="238"/>
      <c r="AK325" s="238"/>
    </row>
    <row r="326" spans="2:37" ht="13.2">
      <c r="B326" s="238"/>
      <c r="C326" s="238"/>
      <c r="D326" s="238"/>
      <c r="E326" s="238"/>
      <c r="F326" s="238"/>
      <c r="G326" s="238"/>
      <c r="H326" s="238"/>
      <c r="I326" s="238"/>
      <c r="J326" s="238"/>
      <c r="K326" s="238"/>
      <c r="L326" s="238"/>
      <c r="M326" s="238"/>
      <c r="N326" s="238"/>
      <c r="O326" s="238"/>
      <c r="P326" s="238"/>
      <c r="Q326" s="238"/>
      <c r="R326" s="238"/>
      <c r="S326" s="238"/>
      <c r="T326" s="238"/>
      <c r="U326" s="238"/>
      <c r="V326" s="238"/>
      <c r="W326" s="238"/>
      <c r="X326" s="238"/>
      <c r="Y326" s="238"/>
      <c r="Z326" s="238"/>
      <c r="AA326" s="238"/>
      <c r="AB326" s="238"/>
      <c r="AC326" s="238"/>
      <c r="AD326" s="238"/>
      <c r="AE326" s="238"/>
      <c r="AF326" s="238"/>
      <c r="AG326" s="238"/>
      <c r="AH326" s="238"/>
      <c r="AI326" s="238"/>
      <c r="AJ326" s="238"/>
      <c r="AK326" s="238"/>
    </row>
    <row r="327" spans="2:37" ht="13.2">
      <c r="B327" s="238"/>
      <c r="C327" s="238"/>
      <c r="D327" s="238"/>
      <c r="E327" s="238"/>
      <c r="F327" s="238"/>
      <c r="G327" s="238"/>
      <c r="H327" s="238"/>
      <c r="I327" s="238"/>
      <c r="J327" s="238"/>
      <c r="K327" s="238"/>
      <c r="L327" s="238"/>
      <c r="M327" s="238"/>
      <c r="N327" s="238"/>
      <c r="O327" s="238"/>
      <c r="P327" s="238"/>
      <c r="Q327" s="238"/>
      <c r="R327" s="238"/>
      <c r="S327" s="238"/>
      <c r="T327" s="238"/>
      <c r="U327" s="238"/>
      <c r="V327" s="238"/>
      <c r="W327" s="238"/>
      <c r="X327" s="238"/>
      <c r="Y327" s="238"/>
      <c r="Z327" s="238"/>
      <c r="AA327" s="238"/>
      <c r="AB327" s="238"/>
      <c r="AC327" s="238"/>
      <c r="AD327" s="238"/>
      <c r="AE327" s="238"/>
      <c r="AF327" s="238"/>
      <c r="AG327" s="238"/>
      <c r="AH327" s="238"/>
      <c r="AI327" s="238"/>
      <c r="AJ327" s="238"/>
      <c r="AK327" s="238"/>
    </row>
    <row r="328" spans="2:37" ht="13.2">
      <c r="B328" s="238"/>
      <c r="C328" s="238"/>
      <c r="D328" s="238"/>
      <c r="E328" s="238"/>
      <c r="F328" s="238"/>
      <c r="G328" s="238"/>
      <c r="H328" s="238"/>
      <c r="I328" s="238"/>
      <c r="J328" s="238"/>
      <c r="K328" s="238"/>
      <c r="L328" s="238"/>
      <c r="M328" s="238"/>
      <c r="N328" s="238"/>
      <c r="O328" s="238"/>
      <c r="P328" s="238"/>
      <c r="Q328" s="238"/>
      <c r="R328" s="238"/>
      <c r="S328" s="238"/>
      <c r="T328" s="238"/>
      <c r="U328" s="238"/>
      <c r="V328" s="238"/>
      <c r="W328" s="238"/>
      <c r="X328" s="238"/>
      <c r="Y328" s="238"/>
      <c r="Z328" s="238"/>
      <c r="AA328" s="238"/>
      <c r="AB328" s="238"/>
      <c r="AC328" s="238"/>
      <c r="AD328" s="238"/>
      <c r="AE328" s="238"/>
      <c r="AF328" s="238"/>
      <c r="AG328" s="238"/>
      <c r="AH328" s="238"/>
      <c r="AI328" s="238"/>
      <c r="AJ328" s="238"/>
      <c r="AK328" s="238"/>
    </row>
    <row r="329" spans="2:37" ht="13.2">
      <c r="B329" s="238"/>
      <c r="C329" s="238"/>
      <c r="D329" s="238"/>
      <c r="E329" s="238"/>
      <c r="F329" s="238"/>
      <c r="G329" s="238"/>
      <c r="H329" s="238"/>
      <c r="I329" s="238"/>
      <c r="J329" s="238"/>
      <c r="K329" s="238"/>
      <c r="L329" s="238"/>
      <c r="M329" s="238"/>
      <c r="N329" s="238"/>
      <c r="O329" s="238"/>
      <c r="P329" s="238"/>
      <c r="Q329" s="238"/>
      <c r="R329" s="238"/>
      <c r="S329" s="238"/>
      <c r="T329" s="238"/>
      <c r="U329" s="238"/>
      <c r="V329" s="238"/>
      <c r="W329" s="238"/>
      <c r="X329" s="238"/>
      <c r="Y329" s="238"/>
      <c r="Z329" s="238"/>
      <c r="AA329" s="238"/>
      <c r="AB329" s="238"/>
      <c r="AC329" s="238"/>
      <c r="AD329" s="238"/>
      <c r="AE329" s="238"/>
      <c r="AF329" s="238"/>
      <c r="AG329" s="238"/>
      <c r="AH329" s="238"/>
      <c r="AI329" s="238"/>
      <c r="AJ329" s="238"/>
      <c r="AK329" s="238"/>
    </row>
    <row r="330" spans="2:37" ht="13.2">
      <c r="B330" s="238"/>
      <c r="C330" s="238"/>
      <c r="D330" s="238"/>
      <c r="E330" s="238"/>
      <c r="F330" s="238"/>
      <c r="G330" s="238"/>
      <c r="H330" s="238"/>
      <c r="I330" s="238"/>
      <c r="J330" s="238"/>
      <c r="K330" s="238"/>
      <c r="L330" s="238"/>
      <c r="M330" s="238"/>
      <c r="N330" s="238"/>
      <c r="O330" s="238"/>
      <c r="P330" s="238"/>
      <c r="Q330" s="238"/>
      <c r="R330" s="238"/>
      <c r="S330" s="238"/>
      <c r="T330" s="238"/>
      <c r="U330" s="238"/>
      <c r="V330" s="238"/>
      <c r="W330" s="238"/>
      <c r="X330" s="238"/>
      <c r="Y330" s="238"/>
      <c r="Z330" s="238"/>
      <c r="AA330" s="238"/>
      <c r="AB330" s="238"/>
      <c r="AC330" s="238"/>
      <c r="AD330" s="238"/>
      <c r="AE330" s="238"/>
      <c r="AF330" s="238"/>
      <c r="AG330" s="238"/>
      <c r="AH330" s="238"/>
      <c r="AI330" s="238"/>
      <c r="AJ330" s="238"/>
      <c r="AK330" s="238"/>
    </row>
    <row r="331" spans="2:37" ht="13.2">
      <c r="B331" s="238"/>
      <c r="C331" s="238"/>
      <c r="D331" s="238"/>
      <c r="E331" s="238"/>
      <c r="F331" s="238"/>
      <c r="G331" s="238"/>
      <c r="H331" s="238"/>
      <c r="I331" s="238"/>
      <c r="J331" s="238"/>
      <c r="K331" s="238"/>
      <c r="L331" s="238"/>
      <c r="M331" s="238"/>
      <c r="N331" s="238"/>
      <c r="O331" s="238"/>
      <c r="P331" s="238"/>
      <c r="Q331" s="238"/>
      <c r="R331" s="238"/>
      <c r="S331" s="238"/>
      <c r="T331" s="238"/>
      <c r="U331" s="238"/>
      <c r="V331" s="238"/>
      <c r="W331" s="238"/>
      <c r="X331" s="238"/>
      <c r="Y331" s="238"/>
      <c r="Z331" s="238"/>
      <c r="AA331" s="238"/>
      <c r="AB331" s="238"/>
      <c r="AC331" s="238"/>
      <c r="AD331" s="238"/>
      <c r="AE331" s="238"/>
      <c r="AF331" s="238"/>
      <c r="AG331" s="238"/>
      <c r="AH331" s="238"/>
      <c r="AI331" s="238"/>
      <c r="AJ331" s="238"/>
      <c r="AK331" s="238"/>
    </row>
    <row r="332" spans="2:37" ht="13.2">
      <c r="B332" s="238"/>
      <c r="C332" s="238"/>
      <c r="D332" s="238"/>
      <c r="E332" s="238"/>
      <c r="F332" s="238"/>
      <c r="G332" s="238"/>
      <c r="H332" s="238"/>
      <c r="I332" s="238"/>
      <c r="J332" s="238"/>
      <c r="K332" s="238"/>
      <c r="L332" s="238"/>
      <c r="M332" s="238"/>
      <c r="N332" s="238"/>
      <c r="O332" s="238"/>
      <c r="P332" s="238"/>
      <c r="Q332" s="238"/>
      <c r="R332" s="238"/>
      <c r="S332" s="238"/>
      <c r="T332" s="238"/>
      <c r="U332" s="238"/>
      <c r="V332" s="238"/>
      <c r="W332" s="238"/>
      <c r="X332" s="238"/>
      <c r="Y332" s="238"/>
      <c r="Z332" s="238"/>
      <c r="AA332" s="238"/>
      <c r="AB332" s="238"/>
      <c r="AC332" s="238"/>
      <c r="AD332" s="238"/>
      <c r="AE332" s="238"/>
      <c r="AF332" s="238"/>
      <c r="AG332" s="238"/>
      <c r="AH332" s="238"/>
      <c r="AI332" s="238"/>
      <c r="AJ332" s="238"/>
      <c r="AK332" s="238"/>
    </row>
    <row r="333" spans="2:37" ht="13.2">
      <c r="B333" s="238"/>
      <c r="C333" s="238"/>
      <c r="D333" s="238"/>
      <c r="E333" s="238"/>
      <c r="F333" s="238"/>
      <c r="G333" s="238"/>
      <c r="H333" s="238"/>
      <c r="I333" s="238"/>
      <c r="J333" s="238"/>
      <c r="K333" s="238"/>
      <c r="L333" s="238"/>
      <c r="M333" s="238"/>
      <c r="N333" s="238"/>
      <c r="O333" s="238"/>
      <c r="P333" s="238"/>
      <c r="Q333" s="238"/>
      <c r="R333" s="238"/>
      <c r="S333" s="238"/>
      <c r="T333" s="238"/>
      <c r="U333" s="238"/>
      <c r="V333" s="238"/>
      <c r="W333" s="238"/>
      <c r="X333" s="238"/>
      <c r="Y333" s="238"/>
      <c r="Z333" s="238"/>
      <c r="AA333" s="238"/>
      <c r="AB333" s="238"/>
      <c r="AC333" s="238"/>
      <c r="AD333" s="238"/>
      <c r="AE333" s="238"/>
      <c r="AF333" s="238"/>
      <c r="AG333" s="238"/>
      <c r="AH333" s="238"/>
      <c r="AI333" s="238"/>
      <c r="AJ333" s="238"/>
      <c r="AK333" s="238"/>
    </row>
    <row r="334" spans="2:37" ht="13.2">
      <c r="B334" s="238"/>
      <c r="C334" s="238"/>
      <c r="D334" s="238"/>
      <c r="E334" s="238"/>
      <c r="F334" s="238"/>
      <c r="G334" s="238"/>
      <c r="H334" s="238"/>
      <c r="I334" s="238"/>
      <c r="J334" s="238"/>
      <c r="K334" s="238"/>
      <c r="L334" s="238"/>
      <c r="M334" s="238"/>
      <c r="N334" s="238"/>
      <c r="O334" s="238"/>
      <c r="P334" s="238"/>
      <c r="Q334" s="238"/>
      <c r="R334" s="238"/>
      <c r="S334" s="238"/>
      <c r="T334" s="238"/>
      <c r="U334" s="238"/>
      <c r="V334" s="238"/>
      <c r="W334" s="238"/>
      <c r="X334" s="238"/>
      <c r="Y334" s="238"/>
      <c r="Z334" s="238"/>
      <c r="AA334" s="238"/>
      <c r="AB334" s="238"/>
      <c r="AC334" s="238"/>
      <c r="AD334" s="238"/>
      <c r="AE334" s="238"/>
      <c r="AF334" s="238"/>
      <c r="AG334" s="238"/>
      <c r="AH334" s="238"/>
      <c r="AI334" s="238"/>
      <c r="AJ334" s="238"/>
      <c r="AK334" s="238"/>
    </row>
    <row r="335" spans="2:37" ht="13.2">
      <c r="B335" s="238"/>
      <c r="C335" s="238"/>
      <c r="D335" s="238"/>
      <c r="E335" s="238"/>
      <c r="F335" s="238"/>
      <c r="G335" s="238"/>
      <c r="H335" s="238"/>
      <c r="I335" s="238"/>
      <c r="J335" s="238"/>
      <c r="K335" s="238"/>
      <c r="L335" s="238"/>
      <c r="M335" s="238"/>
      <c r="N335" s="238"/>
      <c r="O335" s="238"/>
      <c r="P335" s="238"/>
      <c r="Q335" s="238"/>
      <c r="R335" s="238"/>
      <c r="S335" s="238"/>
      <c r="T335" s="238"/>
      <c r="U335" s="238"/>
      <c r="V335" s="238"/>
      <c r="W335" s="238"/>
      <c r="X335" s="238"/>
      <c r="Y335" s="238"/>
      <c r="Z335" s="238"/>
      <c r="AA335" s="238"/>
      <c r="AB335" s="238"/>
      <c r="AC335" s="238"/>
      <c r="AD335" s="238"/>
      <c r="AE335" s="238"/>
      <c r="AF335" s="238"/>
      <c r="AG335" s="238"/>
      <c r="AH335" s="238"/>
      <c r="AI335" s="238"/>
      <c r="AJ335" s="238"/>
      <c r="AK335" s="238"/>
    </row>
    <row r="336" spans="2:37" ht="13.2">
      <c r="B336" s="238"/>
      <c r="C336" s="238"/>
      <c r="D336" s="238"/>
      <c r="E336" s="238"/>
      <c r="F336" s="238"/>
      <c r="G336" s="238"/>
      <c r="H336" s="238"/>
      <c r="I336" s="238"/>
      <c r="J336" s="238"/>
      <c r="K336" s="238"/>
      <c r="L336" s="238"/>
      <c r="M336" s="238"/>
      <c r="N336" s="238"/>
      <c r="O336" s="238"/>
      <c r="P336" s="238"/>
      <c r="Q336" s="238"/>
      <c r="R336" s="238"/>
      <c r="S336" s="238"/>
      <c r="T336" s="238"/>
      <c r="U336" s="238"/>
      <c r="V336" s="238"/>
      <c r="W336" s="238"/>
      <c r="X336" s="238"/>
      <c r="Y336" s="238"/>
      <c r="Z336" s="238"/>
      <c r="AA336" s="238"/>
      <c r="AB336" s="238"/>
      <c r="AC336" s="238"/>
      <c r="AD336" s="238"/>
      <c r="AE336" s="238"/>
      <c r="AF336" s="238"/>
      <c r="AG336" s="238"/>
      <c r="AH336" s="238"/>
      <c r="AI336" s="238"/>
      <c r="AJ336" s="238"/>
      <c r="AK336" s="238"/>
    </row>
    <row r="337" spans="2:37" ht="13.2">
      <c r="B337" s="238"/>
      <c r="C337" s="238"/>
      <c r="D337" s="238"/>
      <c r="E337" s="238"/>
      <c r="F337" s="238"/>
      <c r="G337" s="238"/>
      <c r="H337" s="238"/>
      <c r="I337" s="238"/>
      <c r="J337" s="238"/>
      <c r="K337" s="238"/>
      <c r="L337" s="238"/>
      <c r="M337" s="238"/>
      <c r="N337" s="238"/>
      <c r="O337" s="238"/>
      <c r="P337" s="238"/>
      <c r="Q337" s="238"/>
      <c r="R337" s="238"/>
      <c r="S337" s="238"/>
      <c r="T337" s="238"/>
      <c r="U337" s="238"/>
      <c r="V337" s="238"/>
      <c r="W337" s="238"/>
      <c r="X337" s="238"/>
      <c r="Y337" s="238"/>
      <c r="Z337" s="238"/>
      <c r="AA337" s="238"/>
      <c r="AB337" s="238"/>
      <c r="AC337" s="238"/>
      <c r="AD337" s="238"/>
      <c r="AE337" s="238"/>
      <c r="AF337" s="238"/>
      <c r="AG337" s="238"/>
      <c r="AH337" s="238"/>
      <c r="AI337" s="238"/>
      <c r="AJ337" s="238"/>
      <c r="AK337" s="238"/>
    </row>
    <row r="338" spans="2:37" ht="13.2">
      <c r="B338" s="238"/>
      <c r="C338" s="238"/>
      <c r="D338" s="238"/>
      <c r="E338" s="238"/>
      <c r="F338" s="238"/>
      <c r="G338" s="238"/>
      <c r="H338" s="238"/>
      <c r="I338" s="238"/>
      <c r="J338" s="238"/>
      <c r="K338" s="238"/>
      <c r="L338" s="238"/>
      <c r="M338" s="238"/>
      <c r="N338" s="238"/>
      <c r="O338" s="238"/>
      <c r="P338" s="238"/>
      <c r="Q338" s="238"/>
      <c r="R338" s="238"/>
      <c r="S338" s="238"/>
      <c r="T338" s="238"/>
      <c r="U338" s="238"/>
      <c r="V338" s="238"/>
      <c r="W338" s="238"/>
      <c r="X338" s="238"/>
      <c r="Y338" s="238"/>
      <c r="Z338" s="238"/>
      <c r="AA338" s="238"/>
      <c r="AB338" s="238"/>
      <c r="AC338" s="238"/>
      <c r="AD338" s="238"/>
      <c r="AE338" s="238"/>
      <c r="AF338" s="238"/>
      <c r="AG338" s="238"/>
      <c r="AH338" s="238"/>
      <c r="AI338" s="238"/>
      <c r="AJ338" s="238"/>
      <c r="AK338" s="238"/>
    </row>
    <row r="339" spans="2:37" ht="13.2">
      <c r="B339" s="238"/>
      <c r="C339" s="238"/>
      <c r="D339" s="238"/>
      <c r="E339" s="238"/>
      <c r="F339" s="238"/>
      <c r="G339" s="238"/>
      <c r="H339" s="238"/>
      <c r="I339" s="238"/>
      <c r="J339" s="238"/>
      <c r="K339" s="238"/>
      <c r="L339" s="238"/>
      <c r="M339" s="238"/>
      <c r="N339" s="238"/>
      <c r="O339" s="238"/>
      <c r="P339" s="238"/>
      <c r="Q339" s="238"/>
      <c r="R339" s="238"/>
      <c r="S339" s="238"/>
      <c r="T339" s="238"/>
      <c r="U339" s="238"/>
      <c r="V339" s="238"/>
      <c r="W339" s="238"/>
      <c r="X339" s="238"/>
      <c r="Y339" s="238"/>
      <c r="Z339" s="238"/>
      <c r="AA339" s="238"/>
      <c r="AB339" s="238"/>
      <c r="AC339" s="238"/>
      <c r="AD339" s="238"/>
      <c r="AE339" s="238"/>
      <c r="AF339" s="238"/>
      <c r="AG339" s="238"/>
      <c r="AH339" s="238"/>
      <c r="AI339" s="238"/>
      <c r="AJ339" s="238"/>
      <c r="AK339" s="238"/>
    </row>
    <row r="340" spans="2:37" ht="13.2">
      <c r="B340" s="238"/>
      <c r="C340" s="238"/>
      <c r="D340" s="238"/>
      <c r="E340" s="238"/>
      <c r="F340" s="238"/>
      <c r="G340" s="238"/>
      <c r="H340" s="238"/>
      <c r="I340" s="238"/>
      <c r="J340" s="238"/>
      <c r="K340" s="238"/>
      <c r="L340" s="238"/>
      <c r="M340" s="238"/>
      <c r="N340" s="238"/>
      <c r="O340" s="238"/>
      <c r="P340" s="238"/>
      <c r="Q340" s="238"/>
      <c r="R340" s="238"/>
      <c r="S340" s="238"/>
      <c r="T340" s="238"/>
      <c r="U340" s="238"/>
      <c r="V340" s="238"/>
      <c r="W340" s="238"/>
      <c r="X340" s="238"/>
      <c r="Y340" s="238"/>
      <c r="Z340" s="238"/>
      <c r="AA340" s="238"/>
      <c r="AB340" s="238"/>
      <c r="AC340" s="238"/>
      <c r="AD340" s="238"/>
      <c r="AE340" s="238"/>
      <c r="AF340" s="238"/>
      <c r="AG340" s="238"/>
      <c r="AH340" s="238"/>
      <c r="AI340" s="238"/>
      <c r="AJ340" s="238"/>
      <c r="AK340" s="238"/>
    </row>
    <row r="341" spans="2:37" ht="13.2">
      <c r="B341" s="238"/>
      <c r="C341" s="238"/>
      <c r="D341" s="238"/>
      <c r="E341" s="238"/>
      <c r="F341" s="238"/>
      <c r="G341" s="238"/>
      <c r="H341" s="238"/>
      <c r="I341" s="238"/>
      <c r="J341" s="238"/>
      <c r="K341" s="238"/>
      <c r="L341" s="238"/>
      <c r="M341" s="238"/>
      <c r="N341" s="238"/>
      <c r="O341" s="238"/>
      <c r="P341" s="238"/>
      <c r="Q341" s="238"/>
      <c r="R341" s="238"/>
      <c r="S341" s="238"/>
      <c r="T341" s="238"/>
      <c r="U341" s="238"/>
      <c r="V341" s="238"/>
      <c r="W341" s="238"/>
      <c r="X341" s="238"/>
      <c r="Y341" s="238"/>
      <c r="Z341" s="238"/>
      <c r="AA341" s="238"/>
      <c r="AB341" s="238"/>
      <c r="AC341" s="238"/>
      <c r="AD341" s="238"/>
      <c r="AE341" s="238"/>
      <c r="AF341" s="238"/>
      <c r="AG341" s="238"/>
      <c r="AH341" s="238"/>
      <c r="AI341" s="238"/>
      <c r="AJ341" s="238"/>
      <c r="AK341" s="238"/>
    </row>
    <row r="342" spans="2:37" ht="13.2">
      <c r="B342" s="238"/>
      <c r="C342" s="238"/>
      <c r="D342" s="238"/>
      <c r="E342" s="238"/>
      <c r="F342" s="238"/>
      <c r="G342" s="238"/>
      <c r="H342" s="238"/>
      <c r="I342" s="238"/>
      <c r="J342" s="238"/>
      <c r="K342" s="238"/>
      <c r="L342" s="238"/>
      <c r="M342" s="238"/>
      <c r="N342" s="238"/>
      <c r="O342" s="238"/>
      <c r="P342" s="238"/>
      <c r="Q342" s="238"/>
      <c r="R342" s="238"/>
      <c r="S342" s="238"/>
      <c r="T342" s="238"/>
      <c r="U342" s="238"/>
      <c r="V342" s="238"/>
      <c r="W342" s="238"/>
      <c r="X342" s="238"/>
      <c r="Y342" s="238"/>
      <c r="Z342" s="238"/>
      <c r="AA342" s="238"/>
      <c r="AB342" s="238"/>
      <c r="AC342" s="238"/>
      <c r="AD342" s="238"/>
      <c r="AE342" s="238"/>
      <c r="AF342" s="238"/>
      <c r="AG342" s="238"/>
      <c r="AH342" s="238"/>
      <c r="AI342" s="238"/>
      <c r="AJ342" s="238"/>
      <c r="AK342" s="238"/>
    </row>
    <row r="343" spans="2:37" ht="13.2">
      <c r="B343" s="238"/>
      <c r="C343" s="238"/>
      <c r="D343" s="238"/>
      <c r="E343" s="238"/>
      <c r="F343" s="238"/>
      <c r="G343" s="238"/>
      <c r="H343" s="238"/>
      <c r="I343" s="238"/>
      <c r="J343" s="238"/>
      <c r="K343" s="238"/>
      <c r="L343" s="238"/>
      <c r="M343" s="238"/>
      <c r="N343" s="238"/>
      <c r="O343" s="238"/>
      <c r="P343" s="238"/>
      <c r="Q343" s="238"/>
      <c r="R343" s="238"/>
      <c r="S343" s="238"/>
      <c r="T343" s="238"/>
      <c r="U343" s="238"/>
      <c r="V343" s="238"/>
      <c r="W343" s="238"/>
      <c r="X343" s="238"/>
      <c r="Y343" s="238"/>
      <c r="Z343" s="238"/>
      <c r="AA343" s="238"/>
      <c r="AB343" s="238"/>
      <c r="AC343" s="238"/>
      <c r="AD343" s="238"/>
      <c r="AE343" s="238"/>
      <c r="AF343" s="238"/>
      <c r="AG343" s="238"/>
      <c r="AH343" s="238"/>
      <c r="AI343" s="238"/>
      <c r="AJ343" s="238"/>
      <c r="AK343" s="238"/>
    </row>
    <row r="344" spans="2:37" ht="13.2">
      <c r="B344" s="238"/>
      <c r="C344" s="238"/>
      <c r="D344" s="238"/>
      <c r="E344" s="238"/>
      <c r="F344" s="238"/>
      <c r="G344" s="238"/>
      <c r="H344" s="238"/>
      <c r="I344" s="238"/>
      <c r="J344" s="238"/>
      <c r="K344" s="238"/>
      <c r="L344" s="238"/>
      <c r="M344" s="238"/>
      <c r="N344" s="238"/>
      <c r="O344" s="238"/>
      <c r="P344" s="238"/>
      <c r="Q344" s="238"/>
      <c r="R344" s="238"/>
      <c r="S344" s="238"/>
      <c r="T344" s="238"/>
      <c r="U344" s="238"/>
      <c r="V344" s="238"/>
      <c r="W344" s="238"/>
      <c r="X344" s="238"/>
      <c r="Y344" s="238"/>
      <c r="Z344" s="238"/>
      <c r="AA344" s="238"/>
      <c r="AB344" s="238"/>
      <c r="AC344" s="238"/>
      <c r="AD344" s="238"/>
      <c r="AE344" s="238"/>
      <c r="AF344" s="238"/>
      <c r="AG344" s="238"/>
      <c r="AH344" s="238"/>
      <c r="AI344" s="238"/>
      <c r="AJ344" s="238"/>
      <c r="AK344" s="238"/>
    </row>
    <row r="345" spans="2:37" ht="13.2">
      <c r="B345" s="238"/>
      <c r="C345" s="238"/>
      <c r="D345" s="238"/>
      <c r="E345" s="238"/>
      <c r="F345" s="238"/>
      <c r="G345" s="238"/>
      <c r="H345" s="238"/>
      <c r="I345" s="238"/>
      <c r="J345" s="238"/>
      <c r="K345" s="238"/>
      <c r="L345" s="238"/>
      <c r="M345" s="238"/>
      <c r="N345" s="238"/>
      <c r="O345" s="238"/>
      <c r="P345" s="238"/>
      <c r="Q345" s="238"/>
      <c r="R345" s="238"/>
      <c r="S345" s="238"/>
      <c r="T345" s="238"/>
      <c r="U345" s="238"/>
      <c r="V345" s="238"/>
      <c r="W345" s="238"/>
      <c r="X345" s="238"/>
      <c r="Y345" s="238"/>
      <c r="Z345" s="238"/>
      <c r="AA345" s="238"/>
      <c r="AB345" s="238"/>
      <c r="AC345" s="238"/>
      <c r="AD345" s="238"/>
      <c r="AE345" s="238"/>
      <c r="AF345" s="238"/>
      <c r="AG345" s="238"/>
      <c r="AH345" s="238"/>
      <c r="AI345" s="238"/>
      <c r="AJ345" s="238"/>
      <c r="AK345" s="238"/>
    </row>
    <row r="346" spans="2:37" ht="13.2">
      <c r="B346" s="238"/>
      <c r="C346" s="238"/>
      <c r="D346" s="238"/>
      <c r="E346" s="238"/>
      <c r="F346" s="238"/>
      <c r="G346" s="238"/>
      <c r="H346" s="238"/>
      <c r="I346" s="238"/>
      <c r="J346" s="238"/>
      <c r="K346" s="238"/>
      <c r="L346" s="238"/>
      <c r="M346" s="238"/>
      <c r="N346" s="238"/>
      <c r="O346" s="238"/>
      <c r="P346" s="238"/>
      <c r="Q346" s="238"/>
      <c r="R346" s="238"/>
      <c r="S346" s="238"/>
      <c r="T346" s="238"/>
      <c r="U346" s="238"/>
      <c r="V346" s="238"/>
      <c r="W346" s="238"/>
      <c r="X346" s="238"/>
      <c r="Y346" s="238"/>
      <c r="Z346" s="238"/>
      <c r="AA346" s="238"/>
      <c r="AB346" s="238"/>
      <c r="AC346" s="238"/>
      <c r="AD346" s="238"/>
      <c r="AE346" s="238"/>
      <c r="AF346" s="238"/>
      <c r="AG346" s="238"/>
      <c r="AH346" s="238"/>
      <c r="AI346" s="238"/>
      <c r="AJ346" s="238"/>
      <c r="AK346" s="238"/>
    </row>
    <row r="347" spans="2:37" ht="13.2">
      <c r="B347" s="238"/>
      <c r="C347" s="238"/>
      <c r="D347" s="238"/>
      <c r="E347" s="238"/>
      <c r="F347" s="238"/>
      <c r="G347" s="238"/>
      <c r="H347" s="238"/>
      <c r="I347" s="238"/>
      <c r="J347" s="238"/>
      <c r="K347" s="238"/>
      <c r="L347" s="238"/>
      <c r="M347" s="238"/>
      <c r="N347" s="238"/>
      <c r="O347" s="238"/>
      <c r="P347" s="238"/>
      <c r="Q347" s="238"/>
      <c r="R347" s="238"/>
      <c r="S347" s="238"/>
      <c r="T347" s="238"/>
      <c r="U347" s="238"/>
      <c r="V347" s="238"/>
      <c r="W347" s="238"/>
      <c r="X347" s="238"/>
      <c r="Y347" s="238"/>
      <c r="Z347" s="238"/>
      <c r="AA347" s="238"/>
      <c r="AB347" s="238"/>
      <c r="AC347" s="238"/>
      <c r="AD347" s="238"/>
      <c r="AE347" s="238"/>
      <c r="AF347" s="238"/>
      <c r="AG347" s="238"/>
      <c r="AH347" s="238"/>
      <c r="AI347" s="238"/>
      <c r="AJ347" s="238"/>
      <c r="AK347" s="238"/>
    </row>
    <row r="348" spans="2:37" ht="13.2">
      <c r="B348" s="238"/>
      <c r="C348" s="238"/>
      <c r="D348" s="238"/>
      <c r="E348" s="238"/>
      <c r="F348" s="238"/>
      <c r="G348" s="238"/>
      <c r="H348" s="238"/>
      <c r="I348" s="238"/>
      <c r="J348" s="238"/>
      <c r="K348" s="238"/>
      <c r="L348" s="238"/>
      <c r="M348" s="238"/>
      <c r="N348" s="238"/>
      <c r="O348" s="238"/>
      <c r="P348" s="238"/>
      <c r="Q348" s="238"/>
      <c r="R348" s="238"/>
      <c r="S348" s="238"/>
      <c r="T348" s="238"/>
      <c r="U348" s="238"/>
      <c r="V348" s="238"/>
      <c r="W348" s="238"/>
      <c r="X348" s="238"/>
      <c r="Y348" s="238"/>
      <c r="Z348" s="238"/>
      <c r="AA348" s="238"/>
      <c r="AB348" s="238"/>
      <c r="AC348" s="238"/>
      <c r="AD348" s="238"/>
      <c r="AE348" s="238"/>
      <c r="AF348" s="238"/>
      <c r="AG348" s="238"/>
      <c r="AH348" s="238"/>
      <c r="AI348" s="238"/>
      <c r="AJ348" s="238"/>
      <c r="AK348" s="238"/>
    </row>
    <row r="349" spans="2:37" ht="13.2">
      <c r="B349" s="238"/>
      <c r="C349" s="238"/>
      <c r="D349" s="238"/>
      <c r="E349" s="238"/>
      <c r="F349" s="238"/>
      <c r="G349" s="238"/>
      <c r="H349" s="238"/>
      <c r="I349" s="238"/>
      <c r="J349" s="238"/>
      <c r="K349" s="238"/>
      <c r="L349" s="238"/>
      <c r="M349" s="238"/>
      <c r="N349" s="238"/>
      <c r="O349" s="238"/>
      <c r="P349" s="238"/>
      <c r="Q349" s="238"/>
      <c r="R349" s="238"/>
      <c r="S349" s="238"/>
      <c r="T349" s="238"/>
      <c r="U349" s="238"/>
      <c r="V349" s="238"/>
      <c r="W349" s="238"/>
      <c r="X349" s="238"/>
      <c r="Y349" s="238"/>
      <c r="Z349" s="238"/>
      <c r="AA349" s="238"/>
      <c r="AB349" s="238"/>
      <c r="AC349" s="238"/>
      <c r="AD349" s="238"/>
      <c r="AE349" s="238"/>
      <c r="AF349" s="238"/>
      <c r="AG349" s="238"/>
      <c r="AH349" s="238"/>
      <c r="AI349" s="238"/>
      <c r="AJ349" s="238"/>
      <c r="AK349" s="238"/>
    </row>
    <row r="350" spans="2:37" ht="13.2">
      <c r="B350" s="238"/>
      <c r="C350" s="238"/>
      <c r="D350" s="238"/>
      <c r="E350" s="238"/>
      <c r="F350" s="238"/>
      <c r="G350" s="238"/>
      <c r="H350" s="238"/>
      <c r="I350" s="238"/>
      <c r="J350" s="238"/>
      <c r="K350" s="238"/>
      <c r="L350" s="238"/>
      <c r="M350" s="238"/>
      <c r="N350" s="238"/>
      <c r="O350" s="238"/>
      <c r="P350" s="238"/>
      <c r="Q350" s="238"/>
      <c r="R350" s="238"/>
      <c r="S350" s="238"/>
      <c r="T350" s="238"/>
      <c r="U350" s="238"/>
      <c r="V350" s="238"/>
      <c r="W350" s="238"/>
      <c r="X350" s="238"/>
      <c r="Y350" s="238"/>
      <c r="Z350" s="238"/>
      <c r="AA350" s="238"/>
      <c r="AB350" s="238"/>
      <c r="AC350" s="238"/>
      <c r="AD350" s="238"/>
      <c r="AE350" s="238"/>
      <c r="AF350" s="238"/>
      <c r="AG350" s="238"/>
      <c r="AH350" s="238"/>
      <c r="AI350" s="238"/>
      <c r="AJ350" s="238"/>
      <c r="AK350" s="238"/>
    </row>
    <row r="351" spans="2:37" ht="13.2">
      <c r="B351" s="238"/>
      <c r="C351" s="238"/>
      <c r="D351" s="238"/>
      <c r="E351" s="238"/>
      <c r="F351" s="238"/>
      <c r="G351" s="238"/>
      <c r="H351" s="238"/>
      <c r="I351" s="238"/>
      <c r="J351" s="238"/>
      <c r="K351" s="238"/>
      <c r="L351" s="238"/>
      <c r="M351" s="238"/>
      <c r="N351" s="238"/>
      <c r="O351" s="238"/>
      <c r="P351" s="238"/>
      <c r="Q351" s="238"/>
      <c r="R351" s="238"/>
      <c r="S351" s="238"/>
      <c r="T351" s="238"/>
      <c r="U351" s="238"/>
      <c r="V351" s="238"/>
      <c r="W351" s="238"/>
      <c r="X351" s="238"/>
      <c r="Y351" s="238"/>
      <c r="Z351" s="238"/>
      <c r="AA351" s="238"/>
      <c r="AB351" s="238"/>
      <c r="AC351" s="238"/>
      <c r="AD351" s="238"/>
      <c r="AE351" s="238"/>
      <c r="AF351" s="238"/>
      <c r="AG351" s="238"/>
      <c r="AH351" s="238"/>
      <c r="AI351" s="238"/>
      <c r="AJ351" s="238"/>
      <c r="AK351" s="238"/>
    </row>
    <row r="352" spans="2:37" ht="13.2">
      <c r="B352" s="238"/>
      <c r="C352" s="238"/>
      <c r="D352" s="238"/>
      <c r="E352" s="238"/>
      <c r="F352" s="238"/>
      <c r="G352" s="238"/>
      <c r="H352" s="238"/>
      <c r="I352" s="238"/>
      <c r="J352" s="238"/>
      <c r="K352" s="238"/>
      <c r="L352" s="238"/>
      <c r="M352" s="238"/>
      <c r="N352" s="238"/>
      <c r="O352" s="238"/>
      <c r="P352" s="238"/>
      <c r="Q352" s="238"/>
      <c r="R352" s="238"/>
      <c r="S352" s="238"/>
      <c r="T352" s="238"/>
      <c r="U352" s="238"/>
      <c r="V352" s="238"/>
      <c r="W352" s="238"/>
      <c r="X352" s="238"/>
      <c r="Y352" s="238"/>
      <c r="Z352" s="238"/>
      <c r="AA352" s="238"/>
      <c r="AB352" s="238"/>
      <c r="AC352" s="238"/>
      <c r="AD352" s="238"/>
      <c r="AE352" s="238"/>
      <c r="AF352" s="238"/>
      <c r="AG352" s="238"/>
      <c r="AH352" s="238"/>
      <c r="AI352" s="238"/>
      <c r="AJ352" s="238"/>
      <c r="AK352" s="238"/>
    </row>
    <row r="353" spans="2:37" ht="13.2">
      <c r="B353" s="238"/>
      <c r="C353" s="238"/>
      <c r="D353" s="238"/>
      <c r="E353" s="238"/>
      <c r="F353" s="238"/>
      <c r="G353" s="238"/>
      <c r="H353" s="238"/>
      <c r="I353" s="238"/>
      <c r="J353" s="238"/>
      <c r="K353" s="238"/>
      <c r="L353" s="238"/>
      <c r="M353" s="238"/>
      <c r="N353" s="238"/>
      <c r="O353" s="238"/>
      <c r="P353" s="238"/>
      <c r="Q353" s="238"/>
      <c r="R353" s="238"/>
      <c r="S353" s="238"/>
      <c r="T353" s="238"/>
      <c r="U353" s="238"/>
      <c r="V353" s="238"/>
      <c r="W353" s="238"/>
      <c r="X353" s="238"/>
      <c r="Y353" s="238"/>
      <c r="Z353" s="238"/>
      <c r="AA353" s="238"/>
      <c r="AB353" s="238"/>
      <c r="AC353" s="238"/>
      <c r="AD353" s="238"/>
      <c r="AE353" s="238"/>
      <c r="AF353" s="238"/>
      <c r="AG353" s="238"/>
      <c r="AH353" s="238"/>
      <c r="AI353" s="238"/>
      <c r="AJ353" s="238"/>
      <c r="AK353" s="238"/>
    </row>
    <row r="354" spans="2:37" ht="13.2">
      <c r="B354" s="238"/>
      <c r="C354" s="238"/>
      <c r="D354" s="238"/>
      <c r="E354" s="238"/>
      <c r="F354" s="238"/>
      <c r="G354" s="238"/>
      <c r="H354" s="238"/>
      <c r="I354" s="238"/>
      <c r="J354" s="238"/>
      <c r="K354" s="238"/>
      <c r="L354" s="238"/>
      <c r="M354" s="238"/>
      <c r="N354" s="238"/>
      <c r="O354" s="238"/>
      <c r="P354" s="238"/>
      <c r="Q354" s="238"/>
      <c r="R354" s="238"/>
      <c r="S354" s="238"/>
      <c r="T354" s="238"/>
      <c r="U354" s="238"/>
      <c r="V354" s="238"/>
      <c r="W354" s="238"/>
      <c r="X354" s="238"/>
      <c r="Y354" s="238"/>
      <c r="Z354" s="238"/>
      <c r="AA354" s="238"/>
      <c r="AB354" s="238"/>
      <c r="AC354" s="238"/>
      <c r="AD354" s="238"/>
      <c r="AE354" s="238"/>
      <c r="AF354" s="238"/>
      <c r="AG354" s="238"/>
      <c r="AH354" s="238"/>
      <c r="AI354" s="238"/>
      <c r="AJ354" s="238"/>
      <c r="AK354" s="238"/>
    </row>
    <row r="355" spans="2:37" ht="13.2">
      <c r="B355" s="238"/>
      <c r="C355" s="238"/>
      <c r="D355" s="238"/>
      <c r="E355" s="238"/>
      <c r="F355" s="238"/>
      <c r="G355" s="238"/>
      <c r="H355" s="238"/>
      <c r="I355" s="238"/>
      <c r="J355" s="238"/>
      <c r="K355" s="238"/>
      <c r="L355" s="238"/>
      <c r="M355" s="238"/>
      <c r="N355" s="238"/>
      <c r="O355" s="238"/>
      <c r="P355" s="238"/>
      <c r="Q355" s="238"/>
      <c r="R355" s="238"/>
      <c r="S355" s="238"/>
      <c r="T355" s="238"/>
      <c r="U355" s="238"/>
      <c r="V355" s="238"/>
      <c r="W355" s="238"/>
      <c r="X355" s="238"/>
      <c r="Y355" s="238"/>
      <c r="Z355" s="238"/>
      <c r="AA355" s="238"/>
      <c r="AB355" s="238"/>
      <c r="AC355" s="238"/>
      <c r="AD355" s="238"/>
      <c r="AE355" s="238"/>
      <c r="AF355" s="238"/>
      <c r="AG355" s="238"/>
      <c r="AH355" s="238"/>
      <c r="AI355" s="238"/>
      <c r="AJ355" s="238"/>
      <c r="AK355" s="238"/>
    </row>
    <row r="356" spans="2:37" ht="13.2">
      <c r="B356" s="238"/>
      <c r="C356" s="238"/>
      <c r="D356" s="238"/>
      <c r="E356" s="238"/>
      <c r="F356" s="238"/>
      <c r="G356" s="238"/>
      <c r="H356" s="238"/>
      <c r="I356" s="238"/>
      <c r="J356" s="238"/>
      <c r="K356" s="238"/>
      <c r="L356" s="238"/>
      <c r="M356" s="238"/>
      <c r="N356" s="238"/>
      <c r="O356" s="238"/>
      <c r="P356" s="238"/>
      <c r="Q356" s="238"/>
      <c r="R356" s="238"/>
      <c r="S356" s="238"/>
      <c r="T356" s="238"/>
      <c r="U356" s="238"/>
      <c r="V356" s="238"/>
      <c r="W356" s="238"/>
      <c r="X356" s="238"/>
      <c r="Y356" s="238"/>
      <c r="Z356" s="238"/>
      <c r="AA356" s="238"/>
      <c r="AB356" s="238"/>
      <c r="AC356" s="238"/>
      <c r="AD356" s="238"/>
      <c r="AE356" s="238"/>
      <c r="AF356" s="238"/>
      <c r="AG356" s="238"/>
      <c r="AH356" s="238"/>
      <c r="AI356" s="238"/>
      <c r="AJ356" s="238"/>
      <c r="AK356" s="238"/>
    </row>
    <row r="357" spans="2:37" ht="13.2">
      <c r="B357" s="238"/>
      <c r="C357" s="238"/>
      <c r="D357" s="238"/>
      <c r="E357" s="238"/>
      <c r="F357" s="238"/>
      <c r="G357" s="238"/>
      <c r="H357" s="238"/>
      <c r="I357" s="238"/>
      <c r="J357" s="238"/>
      <c r="K357" s="238"/>
      <c r="L357" s="238"/>
      <c r="M357" s="238"/>
      <c r="N357" s="238"/>
      <c r="O357" s="238"/>
      <c r="P357" s="238"/>
      <c r="Q357" s="238"/>
      <c r="R357" s="238"/>
      <c r="S357" s="238"/>
      <c r="T357" s="238"/>
      <c r="U357" s="238"/>
      <c r="V357" s="238"/>
      <c r="W357" s="238"/>
      <c r="X357" s="238"/>
      <c r="Y357" s="238"/>
      <c r="Z357" s="238"/>
      <c r="AA357" s="238"/>
      <c r="AB357" s="238"/>
      <c r="AC357" s="238"/>
      <c r="AD357" s="238"/>
      <c r="AE357" s="238"/>
      <c r="AF357" s="238"/>
      <c r="AG357" s="238"/>
      <c r="AH357" s="238"/>
      <c r="AI357" s="238"/>
      <c r="AJ357" s="238"/>
      <c r="AK357" s="238"/>
    </row>
    <row r="358" spans="2:37" ht="13.2">
      <c r="B358" s="238"/>
      <c r="C358" s="238"/>
      <c r="D358" s="238"/>
      <c r="E358" s="238"/>
      <c r="F358" s="238"/>
      <c r="G358" s="238"/>
      <c r="H358" s="238"/>
      <c r="I358" s="238"/>
      <c r="J358" s="238"/>
      <c r="K358" s="238"/>
      <c r="L358" s="238"/>
      <c r="M358" s="238"/>
      <c r="N358" s="238"/>
      <c r="O358" s="238"/>
      <c r="P358" s="238"/>
      <c r="Q358" s="238"/>
      <c r="R358" s="238"/>
      <c r="S358" s="238"/>
      <c r="T358" s="238"/>
      <c r="U358" s="238"/>
      <c r="V358" s="238"/>
      <c r="W358" s="238"/>
      <c r="X358" s="238"/>
      <c r="Y358" s="238"/>
      <c r="Z358" s="238"/>
      <c r="AA358" s="238"/>
      <c r="AB358" s="238"/>
      <c r="AC358" s="238"/>
      <c r="AD358" s="238"/>
      <c r="AE358" s="238"/>
      <c r="AF358" s="238"/>
      <c r="AG358" s="238"/>
      <c r="AH358" s="238"/>
      <c r="AI358" s="238"/>
      <c r="AJ358" s="238"/>
      <c r="AK358" s="238"/>
    </row>
    <row r="359" spans="2:37" ht="13.2">
      <c r="B359" s="238"/>
      <c r="C359" s="238"/>
      <c r="D359" s="238"/>
      <c r="E359" s="238"/>
      <c r="F359" s="238"/>
      <c r="G359" s="238"/>
      <c r="H359" s="238"/>
      <c r="I359" s="238"/>
      <c r="J359" s="238"/>
      <c r="K359" s="238"/>
      <c r="L359" s="238"/>
      <c r="M359" s="238"/>
      <c r="N359" s="238"/>
      <c r="O359" s="238"/>
      <c r="P359" s="238"/>
      <c r="Q359" s="238"/>
      <c r="R359" s="238"/>
      <c r="S359" s="238"/>
      <c r="T359" s="238"/>
      <c r="U359" s="238"/>
      <c r="V359" s="238"/>
      <c r="W359" s="238"/>
      <c r="X359" s="238"/>
      <c r="Y359" s="238"/>
      <c r="Z359" s="238"/>
      <c r="AA359" s="238"/>
      <c r="AB359" s="238"/>
      <c r="AC359" s="238"/>
      <c r="AD359" s="238"/>
      <c r="AE359" s="238"/>
      <c r="AF359" s="238"/>
      <c r="AG359" s="238"/>
      <c r="AH359" s="238"/>
      <c r="AI359" s="238"/>
      <c r="AJ359" s="238"/>
      <c r="AK359" s="238"/>
    </row>
    <row r="360" spans="2:37" ht="13.2">
      <c r="B360" s="238"/>
      <c r="C360" s="238"/>
      <c r="D360" s="238"/>
      <c r="E360" s="238"/>
      <c r="F360" s="238"/>
      <c r="G360" s="238"/>
      <c r="H360" s="238"/>
      <c r="I360" s="238"/>
      <c r="J360" s="238"/>
      <c r="K360" s="238"/>
      <c r="L360" s="238"/>
      <c r="M360" s="238"/>
      <c r="N360" s="238"/>
      <c r="O360" s="238"/>
      <c r="P360" s="238"/>
      <c r="Q360" s="238"/>
      <c r="R360" s="238"/>
      <c r="S360" s="238"/>
      <c r="T360" s="238"/>
      <c r="U360" s="238"/>
      <c r="V360" s="238"/>
      <c r="W360" s="238"/>
      <c r="X360" s="238"/>
      <c r="Y360" s="238"/>
      <c r="Z360" s="238"/>
      <c r="AA360" s="238"/>
      <c r="AB360" s="238"/>
      <c r="AC360" s="238"/>
      <c r="AD360" s="238"/>
      <c r="AE360" s="238"/>
      <c r="AF360" s="238"/>
      <c r="AG360" s="238"/>
      <c r="AH360" s="238"/>
      <c r="AI360" s="238"/>
      <c r="AJ360" s="238"/>
      <c r="AK360" s="238"/>
    </row>
    <row r="361" spans="2:37" ht="13.2">
      <c r="B361" s="238"/>
      <c r="C361" s="238"/>
      <c r="D361" s="238"/>
      <c r="E361" s="238"/>
      <c r="F361" s="238"/>
      <c r="G361" s="238"/>
      <c r="H361" s="238"/>
      <c r="I361" s="238"/>
      <c r="J361" s="238"/>
      <c r="K361" s="238"/>
      <c r="L361" s="238"/>
      <c r="M361" s="238"/>
      <c r="N361" s="238"/>
      <c r="O361" s="238"/>
      <c r="P361" s="238"/>
      <c r="Q361" s="238"/>
      <c r="R361" s="238"/>
      <c r="S361" s="238"/>
      <c r="T361" s="238"/>
      <c r="U361" s="238"/>
      <c r="V361" s="238"/>
      <c r="W361" s="238"/>
      <c r="X361" s="238"/>
      <c r="Y361" s="238"/>
      <c r="Z361" s="238"/>
      <c r="AA361" s="238"/>
      <c r="AB361" s="238"/>
      <c r="AC361" s="238"/>
      <c r="AD361" s="238"/>
      <c r="AE361" s="238"/>
      <c r="AF361" s="238"/>
      <c r="AG361" s="238"/>
      <c r="AH361" s="238"/>
      <c r="AI361" s="238"/>
      <c r="AJ361" s="238"/>
      <c r="AK361" s="238"/>
    </row>
    <row r="362" spans="2:37" ht="13.2">
      <c r="B362" s="238"/>
      <c r="C362" s="238"/>
      <c r="D362" s="238"/>
      <c r="E362" s="238"/>
      <c r="F362" s="238"/>
      <c r="G362" s="238"/>
      <c r="H362" s="238"/>
      <c r="I362" s="238"/>
      <c r="J362" s="238"/>
      <c r="K362" s="238"/>
      <c r="L362" s="238"/>
      <c r="M362" s="238"/>
      <c r="N362" s="238"/>
      <c r="O362" s="238"/>
      <c r="P362" s="238"/>
      <c r="Q362" s="238"/>
      <c r="R362" s="238"/>
      <c r="S362" s="238"/>
      <c r="T362" s="238"/>
      <c r="U362" s="238"/>
      <c r="V362" s="238"/>
      <c r="W362" s="238"/>
      <c r="X362" s="238"/>
      <c r="Y362" s="238"/>
      <c r="Z362" s="238"/>
      <c r="AA362" s="238"/>
      <c r="AB362" s="238"/>
      <c r="AC362" s="238"/>
      <c r="AD362" s="238"/>
      <c r="AE362" s="238"/>
      <c r="AF362" s="238"/>
      <c r="AG362" s="238"/>
      <c r="AH362" s="238"/>
      <c r="AI362" s="238"/>
      <c r="AJ362" s="238"/>
      <c r="AK362" s="238"/>
    </row>
    <row r="363" spans="2:37" ht="13.2">
      <c r="B363" s="238"/>
      <c r="C363" s="238"/>
      <c r="D363" s="238"/>
      <c r="E363" s="238"/>
      <c r="F363" s="238"/>
      <c r="G363" s="238"/>
      <c r="H363" s="238"/>
      <c r="I363" s="238"/>
      <c r="J363" s="238"/>
      <c r="K363" s="238"/>
      <c r="L363" s="238"/>
      <c r="M363" s="238"/>
      <c r="N363" s="238"/>
      <c r="O363" s="238"/>
      <c r="P363" s="238"/>
      <c r="Q363" s="238"/>
      <c r="R363" s="238"/>
      <c r="S363" s="238"/>
      <c r="T363" s="238"/>
      <c r="U363" s="238"/>
      <c r="V363" s="238"/>
      <c r="W363" s="238"/>
      <c r="X363" s="238"/>
      <c r="Y363" s="238"/>
      <c r="Z363" s="238"/>
      <c r="AA363" s="238"/>
      <c r="AB363" s="238"/>
      <c r="AC363" s="238"/>
      <c r="AD363" s="238"/>
      <c r="AE363" s="238"/>
      <c r="AF363" s="238"/>
      <c r="AG363" s="238"/>
      <c r="AH363" s="238"/>
      <c r="AI363" s="238"/>
      <c r="AJ363" s="238"/>
      <c r="AK363" s="238"/>
    </row>
    <row r="364" spans="2:37" ht="13.2">
      <c r="B364" s="238"/>
      <c r="C364" s="238"/>
      <c r="D364" s="238"/>
      <c r="E364" s="238"/>
      <c r="F364" s="238"/>
      <c r="G364" s="238"/>
      <c r="H364" s="238"/>
      <c r="I364" s="238"/>
      <c r="J364" s="238"/>
      <c r="K364" s="238"/>
      <c r="L364" s="238"/>
      <c r="M364" s="238"/>
      <c r="N364" s="238"/>
      <c r="O364" s="238"/>
      <c r="P364" s="238"/>
      <c r="Q364" s="238"/>
      <c r="R364" s="238"/>
      <c r="S364" s="238"/>
      <c r="T364" s="238"/>
      <c r="U364" s="238"/>
      <c r="V364" s="238"/>
      <c r="W364" s="238"/>
      <c r="X364" s="238"/>
      <c r="Y364" s="238"/>
      <c r="Z364" s="238"/>
      <c r="AA364" s="238"/>
      <c r="AB364" s="238"/>
      <c r="AC364" s="238"/>
      <c r="AD364" s="238"/>
      <c r="AE364" s="238"/>
      <c r="AF364" s="238"/>
      <c r="AG364" s="238"/>
      <c r="AH364" s="238"/>
      <c r="AI364" s="238"/>
      <c r="AJ364" s="238"/>
      <c r="AK364" s="238"/>
    </row>
    <row r="365" spans="2:37" ht="13.2">
      <c r="B365" s="238"/>
      <c r="C365" s="238"/>
      <c r="D365" s="238"/>
      <c r="E365" s="238"/>
      <c r="F365" s="238"/>
      <c r="G365" s="238"/>
      <c r="H365" s="238"/>
      <c r="I365" s="238"/>
      <c r="J365" s="238"/>
      <c r="K365" s="238"/>
      <c r="L365" s="238"/>
      <c r="M365" s="238"/>
      <c r="N365" s="238"/>
      <c r="O365" s="238"/>
      <c r="P365" s="238"/>
      <c r="Q365" s="238"/>
      <c r="R365" s="238"/>
      <c r="S365" s="238"/>
      <c r="T365" s="238"/>
      <c r="U365" s="238"/>
      <c r="V365" s="238"/>
      <c r="W365" s="238"/>
      <c r="X365" s="238"/>
      <c r="Y365" s="238"/>
      <c r="Z365" s="238"/>
      <c r="AA365" s="238"/>
      <c r="AB365" s="238"/>
      <c r="AC365" s="238"/>
      <c r="AD365" s="238"/>
      <c r="AE365" s="238"/>
      <c r="AF365" s="238"/>
      <c r="AG365" s="238"/>
      <c r="AH365" s="238"/>
      <c r="AI365" s="238"/>
      <c r="AJ365" s="238"/>
      <c r="AK365" s="238"/>
    </row>
    <row r="366" spans="2:37" ht="13.2">
      <c r="B366" s="238"/>
      <c r="C366" s="238"/>
      <c r="D366" s="238"/>
      <c r="E366" s="238"/>
      <c r="F366" s="238"/>
      <c r="G366" s="238"/>
      <c r="H366" s="238"/>
      <c r="I366" s="238"/>
      <c r="J366" s="238"/>
      <c r="K366" s="238"/>
      <c r="L366" s="238"/>
      <c r="M366" s="238"/>
      <c r="N366" s="238"/>
      <c r="O366" s="238"/>
      <c r="P366" s="238"/>
      <c r="Q366" s="238"/>
      <c r="R366" s="238"/>
      <c r="S366" s="238"/>
      <c r="T366" s="238"/>
      <c r="U366" s="238"/>
      <c r="V366" s="238"/>
      <c r="W366" s="238"/>
      <c r="X366" s="238"/>
      <c r="Y366" s="238"/>
      <c r="Z366" s="238"/>
      <c r="AA366" s="238"/>
      <c r="AB366" s="238"/>
      <c r="AC366" s="238"/>
      <c r="AD366" s="238"/>
      <c r="AE366" s="238"/>
      <c r="AF366" s="238"/>
      <c r="AG366" s="238"/>
      <c r="AH366" s="238"/>
      <c r="AI366" s="238"/>
      <c r="AJ366" s="238"/>
      <c r="AK366" s="238"/>
    </row>
    <row r="367" spans="2:37" ht="13.2">
      <c r="B367" s="238"/>
      <c r="C367" s="238"/>
      <c r="D367" s="238"/>
      <c r="E367" s="238"/>
      <c r="F367" s="238"/>
      <c r="G367" s="238"/>
      <c r="H367" s="238"/>
      <c r="I367" s="238"/>
      <c r="J367" s="238"/>
      <c r="K367" s="238"/>
      <c r="L367" s="238"/>
      <c r="M367" s="238"/>
      <c r="N367" s="238"/>
      <c r="O367" s="238"/>
      <c r="P367" s="238"/>
      <c r="Q367" s="238"/>
      <c r="R367" s="238"/>
      <c r="S367" s="238"/>
      <c r="T367" s="238"/>
      <c r="U367" s="238"/>
      <c r="V367" s="238"/>
      <c r="W367" s="238"/>
      <c r="X367" s="238"/>
      <c r="Y367" s="238"/>
      <c r="Z367" s="238"/>
      <c r="AA367" s="238"/>
      <c r="AB367" s="238"/>
      <c r="AC367" s="238"/>
      <c r="AD367" s="238"/>
      <c r="AE367" s="238"/>
      <c r="AF367" s="238"/>
      <c r="AG367" s="238"/>
      <c r="AH367" s="238"/>
      <c r="AI367" s="238"/>
      <c r="AJ367" s="238"/>
      <c r="AK367" s="238"/>
    </row>
    <row r="368" spans="2:37" ht="13.2">
      <c r="B368" s="238"/>
      <c r="C368" s="238"/>
      <c r="D368" s="238"/>
      <c r="E368" s="238"/>
      <c r="F368" s="238"/>
      <c r="G368" s="238"/>
      <c r="H368" s="238"/>
      <c r="I368" s="238"/>
      <c r="J368" s="238"/>
      <c r="K368" s="238"/>
      <c r="L368" s="238"/>
      <c r="M368" s="238"/>
      <c r="N368" s="238"/>
      <c r="O368" s="238"/>
      <c r="P368" s="238"/>
      <c r="Q368" s="238"/>
      <c r="R368" s="238"/>
      <c r="S368" s="238"/>
      <c r="T368" s="238"/>
      <c r="U368" s="238"/>
      <c r="V368" s="238"/>
      <c r="W368" s="238"/>
      <c r="X368" s="238"/>
      <c r="Y368" s="238"/>
      <c r="Z368" s="238"/>
      <c r="AA368" s="238"/>
      <c r="AB368" s="238"/>
      <c r="AC368" s="238"/>
      <c r="AD368" s="238"/>
      <c r="AE368" s="238"/>
      <c r="AF368" s="238"/>
      <c r="AG368" s="238"/>
      <c r="AH368" s="238"/>
      <c r="AI368" s="238"/>
      <c r="AJ368" s="238"/>
      <c r="AK368" s="238"/>
    </row>
    <row r="369" spans="2:37" ht="13.2">
      <c r="B369" s="238"/>
      <c r="C369" s="238"/>
      <c r="D369" s="238"/>
      <c r="E369" s="238"/>
      <c r="F369" s="238"/>
      <c r="G369" s="238"/>
      <c r="H369" s="238"/>
      <c r="I369" s="238"/>
      <c r="J369" s="238"/>
      <c r="K369" s="238"/>
      <c r="L369" s="238"/>
      <c r="M369" s="238"/>
      <c r="N369" s="238"/>
      <c r="O369" s="238"/>
      <c r="P369" s="238"/>
      <c r="Q369" s="238"/>
      <c r="R369" s="238"/>
      <c r="S369" s="238"/>
      <c r="T369" s="238"/>
      <c r="U369" s="238"/>
      <c r="V369" s="238"/>
      <c r="W369" s="238"/>
      <c r="X369" s="238"/>
      <c r="Y369" s="238"/>
      <c r="Z369" s="238"/>
      <c r="AA369" s="238"/>
      <c r="AB369" s="238"/>
      <c r="AC369" s="238"/>
      <c r="AD369" s="238"/>
      <c r="AE369" s="238"/>
      <c r="AF369" s="238"/>
      <c r="AG369" s="238"/>
      <c r="AH369" s="238"/>
      <c r="AI369" s="238"/>
      <c r="AJ369" s="238"/>
      <c r="AK369" s="238"/>
    </row>
    <row r="370" spans="2:37" ht="13.2">
      <c r="B370" s="238"/>
      <c r="C370" s="238"/>
      <c r="D370" s="238"/>
      <c r="E370" s="238"/>
      <c r="F370" s="238"/>
      <c r="G370" s="238"/>
      <c r="H370" s="238"/>
      <c r="I370" s="238"/>
      <c r="J370" s="238"/>
      <c r="K370" s="238"/>
      <c r="L370" s="238"/>
      <c r="M370" s="238"/>
      <c r="N370" s="238"/>
      <c r="O370" s="238"/>
      <c r="P370" s="238"/>
      <c r="Q370" s="238"/>
      <c r="R370" s="238"/>
      <c r="S370" s="238"/>
      <c r="T370" s="238"/>
      <c r="U370" s="238"/>
      <c r="V370" s="238"/>
      <c r="W370" s="238"/>
      <c r="X370" s="238"/>
      <c r="Y370" s="238"/>
      <c r="Z370" s="238"/>
      <c r="AA370" s="238"/>
      <c r="AB370" s="238"/>
      <c r="AC370" s="238"/>
      <c r="AD370" s="238"/>
      <c r="AE370" s="238"/>
      <c r="AF370" s="238"/>
      <c r="AG370" s="238"/>
      <c r="AH370" s="238"/>
      <c r="AI370" s="238"/>
      <c r="AJ370" s="238"/>
      <c r="AK370" s="238"/>
    </row>
    <row r="371" spans="2:37" ht="13.2">
      <c r="B371" s="238"/>
      <c r="C371" s="238"/>
      <c r="D371" s="238"/>
      <c r="E371" s="238"/>
      <c r="F371" s="238"/>
      <c r="G371" s="238"/>
      <c r="H371" s="238"/>
      <c r="I371" s="238"/>
      <c r="J371" s="238"/>
      <c r="K371" s="238"/>
      <c r="L371" s="238"/>
      <c r="M371" s="238"/>
      <c r="N371" s="238"/>
      <c r="O371" s="238"/>
      <c r="P371" s="238"/>
      <c r="Q371" s="238"/>
      <c r="R371" s="238"/>
      <c r="S371" s="238"/>
      <c r="T371" s="238"/>
      <c r="U371" s="238"/>
      <c r="V371" s="238"/>
      <c r="W371" s="238"/>
      <c r="X371" s="238"/>
      <c r="Y371" s="238"/>
      <c r="Z371" s="238"/>
      <c r="AA371" s="238"/>
      <c r="AB371" s="238"/>
      <c r="AC371" s="238"/>
      <c r="AD371" s="238"/>
      <c r="AE371" s="238"/>
      <c r="AF371" s="238"/>
      <c r="AG371" s="238"/>
      <c r="AH371" s="238"/>
      <c r="AI371" s="238"/>
      <c r="AJ371" s="238"/>
      <c r="AK371" s="238"/>
    </row>
    <row r="372" spans="2:37" ht="13.2">
      <c r="B372" s="238"/>
      <c r="C372" s="238"/>
      <c r="D372" s="238"/>
      <c r="E372" s="238"/>
      <c r="F372" s="238"/>
      <c r="G372" s="238"/>
      <c r="H372" s="238"/>
      <c r="I372" s="238"/>
      <c r="J372" s="238"/>
      <c r="K372" s="238"/>
      <c r="L372" s="238"/>
      <c r="M372" s="238"/>
      <c r="N372" s="238"/>
      <c r="O372" s="238"/>
      <c r="P372" s="238"/>
      <c r="Q372" s="238"/>
      <c r="R372" s="238"/>
      <c r="S372" s="238"/>
      <c r="T372" s="238"/>
      <c r="U372" s="238"/>
      <c r="V372" s="238"/>
      <c r="W372" s="238"/>
      <c r="X372" s="238"/>
      <c r="Y372" s="238"/>
      <c r="Z372" s="238"/>
      <c r="AA372" s="238"/>
      <c r="AB372" s="238"/>
      <c r="AC372" s="238"/>
      <c r="AD372" s="238"/>
      <c r="AE372" s="238"/>
      <c r="AF372" s="238"/>
      <c r="AG372" s="238"/>
      <c r="AH372" s="238"/>
      <c r="AI372" s="238"/>
      <c r="AJ372" s="238"/>
      <c r="AK372" s="238"/>
    </row>
    <row r="373" spans="2:37" ht="13.2">
      <c r="B373" s="238"/>
      <c r="C373" s="238"/>
      <c r="D373" s="238"/>
      <c r="E373" s="238"/>
      <c r="F373" s="238"/>
      <c r="G373" s="238"/>
      <c r="H373" s="238"/>
      <c r="I373" s="238"/>
      <c r="J373" s="238"/>
      <c r="K373" s="238"/>
      <c r="L373" s="238"/>
      <c r="M373" s="238"/>
      <c r="N373" s="238"/>
      <c r="O373" s="238"/>
      <c r="P373" s="238"/>
      <c r="Q373" s="238"/>
      <c r="R373" s="238"/>
      <c r="S373" s="238"/>
      <c r="T373" s="238"/>
      <c r="U373" s="238"/>
      <c r="V373" s="238"/>
      <c r="W373" s="238"/>
      <c r="X373" s="238"/>
      <c r="Y373" s="238"/>
      <c r="Z373" s="238"/>
      <c r="AA373" s="238"/>
      <c r="AB373" s="238"/>
      <c r="AC373" s="238"/>
      <c r="AD373" s="238"/>
      <c r="AE373" s="238"/>
      <c r="AF373" s="238"/>
      <c r="AG373" s="238"/>
      <c r="AH373" s="238"/>
      <c r="AI373" s="238"/>
      <c r="AJ373" s="238"/>
      <c r="AK373" s="238"/>
    </row>
    <row r="374" spans="2:37" ht="13.2">
      <c r="B374" s="238"/>
      <c r="C374" s="238"/>
      <c r="D374" s="238"/>
      <c r="E374" s="238"/>
      <c r="F374" s="238"/>
      <c r="G374" s="238"/>
      <c r="H374" s="238"/>
      <c r="I374" s="238"/>
      <c r="J374" s="238"/>
      <c r="K374" s="238"/>
      <c r="L374" s="238"/>
      <c r="M374" s="238"/>
      <c r="N374" s="238"/>
      <c r="O374" s="238"/>
      <c r="P374" s="238"/>
      <c r="Q374" s="238"/>
      <c r="R374" s="238"/>
      <c r="S374" s="238"/>
      <c r="T374" s="238"/>
      <c r="U374" s="238"/>
      <c r="V374" s="238"/>
      <c r="W374" s="238"/>
      <c r="X374" s="238"/>
      <c r="Y374" s="238"/>
      <c r="Z374" s="238"/>
      <c r="AA374" s="238"/>
      <c r="AB374" s="238"/>
      <c r="AC374" s="238"/>
      <c r="AD374" s="238"/>
      <c r="AE374" s="238"/>
      <c r="AF374" s="238"/>
      <c r="AG374" s="238"/>
      <c r="AH374" s="238"/>
      <c r="AI374" s="238"/>
      <c r="AJ374" s="238"/>
      <c r="AK374" s="238"/>
    </row>
    <row r="375" spans="2:37" ht="13.2">
      <c r="B375" s="238"/>
      <c r="C375" s="238"/>
      <c r="D375" s="238"/>
      <c r="E375" s="238"/>
      <c r="F375" s="238"/>
      <c r="G375" s="238"/>
      <c r="H375" s="238"/>
      <c r="I375" s="238"/>
      <c r="J375" s="238"/>
      <c r="K375" s="238"/>
      <c r="L375" s="238"/>
      <c r="M375" s="238"/>
      <c r="N375" s="238"/>
      <c r="O375" s="238"/>
      <c r="P375" s="238"/>
      <c r="Q375" s="238"/>
      <c r="R375" s="238"/>
      <c r="S375" s="238"/>
      <c r="T375" s="238"/>
      <c r="U375" s="238"/>
      <c r="V375" s="238"/>
      <c r="W375" s="238"/>
      <c r="X375" s="238"/>
      <c r="Y375" s="238"/>
      <c r="Z375" s="238"/>
      <c r="AA375" s="238"/>
      <c r="AB375" s="238"/>
      <c r="AC375" s="238"/>
      <c r="AD375" s="238"/>
      <c r="AE375" s="238"/>
      <c r="AF375" s="238"/>
      <c r="AG375" s="238"/>
      <c r="AH375" s="238"/>
      <c r="AI375" s="238"/>
      <c r="AJ375" s="238"/>
      <c r="AK375" s="238"/>
    </row>
    <row r="376" spans="2:37" ht="13.2">
      <c r="B376" s="238"/>
      <c r="C376" s="238"/>
      <c r="D376" s="238"/>
      <c r="E376" s="238"/>
      <c r="F376" s="238"/>
      <c r="G376" s="238"/>
      <c r="H376" s="238"/>
      <c r="I376" s="238"/>
      <c r="J376" s="238"/>
      <c r="K376" s="238"/>
      <c r="L376" s="238"/>
      <c r="M376" s="238"/>
      <c r="N376" s="238"/>
      <c r="O376" s="238"/>
      <c r="P376" s="238"/>
      <c r="Q376" s="238"/>
      <c r="R376" s="238"/>
      <c r="S376" s="238"/>
      <c r="T376" s="238"/>
      <c r="U376" s="238"/>
      <c r="V376" s="238"/>
      <c r="W376" s="238"/>
      <c r="X376" s="238"/>
      <c r="Y376" s="238"/>
      <c r="Z376" s="238"/>
      <c r="AA376" s="238"/>
      <c r="AB376" s="238"/>
      <c r="AC376" s="238"/>
      <c r="AD376" s="238"/>
      <c r="AE376" s="238"/>
      <c r="AF376" s="238"/>
      <c r="AG376" s="238"/>
      <c r="AH376" s="238"/>
      <c r="AI376" s="238"/>
      <c r="AJ376" s="238"/>
      <c r="AK376" s="238"/>
    </row>
    <row r="377" spans="2:37" ht="13.2">
      <c r="B377" s="238"/>
      <c r="C377" s="238"/>
      <c r="D377" s="238"/>
      <c r="E377" s="238"/>
      <c r="F377" s="238"/>
      <c r="G377" s="238"/>
      <c r="H377" s="238"/>
      <c r="I377" s="238"/>
      <c r="J377" s="238"/>
      <c r="K377" s="238"/>
      <c r="L377" s="238"/>
      <c r="M377" s="238"/>
      <c r="N377" s="238"/>
      <c r="O377" s="238"/>
      <c r="P377" s="238"/>
      <c r="Q377" s="238"/>
      <c r="R377" s="238"/>
      <c r="S377" s="238"/>
      <c r="T377" s="238"/>
      <c r="U377" s="238"/>
      <c r="V377" s="238"/>
      <c r="W377" s="238"/>
      <c r="X377" s="238"/>
      <c r="Y377" s="238"/>
      <c r="Z377" s="238"/>
      <c r="AA377" s="238"/>
      <c r="AB377" s="238"/>
      <c r="AC377" s="238"/>
      <c r="AD377" s="238"/>
      <c r="AE377" s="238"/>
      <c r="AF377" s="238"/>
      <c r="AG377" s="238"/>
      <c r="AH377" s="238"/>
      <c r="AI377" s="238"/>
      <c r="AJ377" s="238"/>
      <c r="AK377" s="238"/>
    </row>
    <row r="378" spans="2:37" ht="13.2">
      <c r="B378" s="238"/>
      <c r="C378" s="238"/>
      <c r="D378" s="238"/>
      <c r="E378" s="238"/>
      <c r="F378" s="238"/>
      <c r="G378" s="238"/>
      <c r="H378" s="238"/>
      <c r="I378" s="238"/>
      <c r="J378" s="238"/>
      <c r="K378" s="238"/>
      <c r="L378" s="238"/>
      <c r="M378" s="238"/>
      <c r="N378" s="238"/>
      <c r="O378" s="238"/>
      <c r="P378" s="238"/>
      <c r="Q378" s="238"/>
      <c r="R378" s="238"/>
      <c r="S378" s="238"/>
      <c r="T378" s="238"/>
      <c r="U378" s="238"/>
      <c r="V378" s="238"/>
      <c r="W378" s="238"/>
      <c r="X378" s="238"/>
      <c r="Y378" s="238"/>
      <c r="Z378" s="238"/>
      <c r="AA378" s="238"/>
      <c r="AB378" s="238"/>
      <c r="AC378" s="238"/>
      <c r="AD378" s="238"/>
      <c r="AE378" s="238"/>
      <c r="AF378" s="238"/>
      <c r="AG378" s="238"/>
      <c r="AH378" s="238"/>
      <c r="AI378" s="238"/>
      <c r="AJ378" s="238"/>
      <c r="AK378" s="238"/>
    </row>
    <row r="379" spans="2:37" ht="13.2">
      <c r="B379" s="238"/>
      <c r="C379" s="238"/>
      <c r="D379" s="238"/>
      <c r="E379" s="238"/>
      <c r="F379" s="238"/>
      <c r="G379" s="238"/>
      <c r="H379" s="238"/>
      <c r="I379" s="238"/>
      <c r="J379" s="238"/>
      <c r="K379" s="238"/>
      <c r="L379" s="238"/>
      <c r="M379" s="238"/>
      <c r="N379" s="238"/>
      <c r="O379" s="238"/>
      <c r="P379" s="238"/>
      <c r="Q379" s="238"/>
      <c r="R379" s="238"/>
      <c r="S379" s="238"/>
      <c r="T379" s="238"/>
      <c r="U379" s="238"/>
      <c r="V379" s="238"/>
      <c r="W379" s="238"/>
      <c r="X379" s="238"/>
      <c r="Y379" s="238"/>
      <c r="Z379" s="238"/>
      <c r="AA379" s="238"/>
      <c r="AB379" s="238"/>
      <c r="AC379" s="238"/>
      <c r="AD379" s="238"/>
      <c r="AE379" s="238"/>
      <c r="AF379" s="238"/>
      <c r="AG379" s="238"/>
      <c r="AH379" s="238"/>
      <c r="AI379" s="238"/>
      <c r="AJ379" s="238"/>
      <c r="AK379" s="238"/>
    </row>
    <row r="380" spans="2:37" ht="13.2">
      <c r="B380" s="238"/>
      <c r="C380" s="238"/>
      <c r="D380" s="238"/>
      <c r="E380" s="238"/>
      <c r="F380" s="238"/>
      <c r="G380" s="238"/>
      <c r="H380" s="238"/>
      <c r="I380" s="238"/>
      <c r="J380" s="238"/>
      <c r="K380" s="238"/>
      <c r="L380" s="238"/>
      <c r="M380" s="238"/>
      <c r="N380" s="238"/>
      <c r="O380" s="238"/>
      <c r="P380" s="238"/>
      <c r="Q380" s="238"/>
      <c r="R380" s="238"/>
      <c r="S380" s="238"/>
      <c r="T380" s="238"/>
      <c r="U380" s="238"/>
      <c r="V380" s="238"/>
      <c r="W380" s="238"/>
      <c r="X380" s="238"/>
      <c r="Y380" s="238"/>
      <c r="Z380" s="238"/>
      <c r="AA380" s="238"/>
      <c r="AB380" s="238"/>
      <c r="AC380" s="238"/>
      <c r="AD380" s="238"/>
      <c r="AE380" s="238"/>
      <c r="AF380" s="238"/>
      <c r="AG380" s="238"/>
      <c r="AH380" s="238"/>
      <c r="AI380" s="238"/>
      <c r="AJ380" s="238"/>
      <c r="AK380" s="238"/>
    </row>
    <row r="381" spans="2:37" ht="13.2">
      <c r="B381" s="238"/>
      <c r="C381" s="238"/>
      <c r="D381" s="238"/>
      <c r="E381" s="238"/>
      <c r="F381" s="238"/>
      <c r="G381" s="238"/>
      <c r="H381" s="238"/>
      <c r="I381" s="238"/>
      <c r="J381" s="238"/>
      <c r="K381" s="238"/>
      <c r="L381" s="238"/>
      <c r="M381" s="238"/>
      <c r="N381" s="238"/>
      <c r="O381" s="238"/>
      <c r="P381" s="238"/>
      <c r="Q381" s="238"/>
      <c r="R381" s="238"/>
      <c r="S381" s="238"/>
      <c r="T381" s="238"/>
      <c r="U381" s="238"/>
      <c r="V381" s="238"/>
      <c r="W381" s="238"/>
      <c r="X381" s="238"/>
      <c r="Y381" s="238"/>
      <c r="Z381" s="238"/>
      <c r="AA381" s="238"/>
      <c r="AB381" s="238"/>
      <c r="AC381" s="238"/>
      <c r="AD381" s="238"/>
      <c r="AE381" s="238"/>
      <c r="AF381" s="238"/>
      <c r="AG381" s="238"/>
      <c r="AH381" s="238"/>
      <c r="AI381" s="238"/>
      <c r="AJ381" s="238"/>
      <c r="AK381" s="238"/>
    </row>
    <row r="382" spans="2:37" ht="13.2">
      <c r="B382" s="238"/>
      <c r="C382" s="238"/>
      <c r="D382" s="238"/>
      <c r="E382" s="238"/>
      <c r="F382" s="238"/>
      <c r="G382" s="238"/>
      <c r="H382" s="238"/>
      <c r="I382" s="238"/>
      <c r="J382" s="238"/>
      <c r="K382" s="238"/>
      <c r="L382" s="238"/>
      <c r="M382" s="238"/>
      <c r="N382" s="238"/>
      <c r="O382" s="238"/>
      <c r="P382" s="238"/>
      <c r="Q382" s="238"/>
      <c r="R382" s="238"/>
      <c r="S382" s="238"/>
      <c r="T382" s="238"/>
      <c r="U382" s="238"/>
      <c r="V382" s="238"/>
      <c r="W382" s="238"/>
      <c r="X382" s="238"/>
      <c r="Y382" s="238"/>
      <c r="Z382" s="238"/>
      <c r="AA382" s="238"/>
      <c r="AB382" s="238"/>
      <c r="AC382" s="238"/>
      <c r="AD382" s="238"/>
      <c r="AE382" s="238"/>
      <c r="AF382" s="238"/>
      <c r="AG382" s="238"/>
      <c r="AH382" s="238"/>
      <c r="AI382" s="238"/>
      <c r="AJ382" s="238"/>
      <c r="AK382" s="238"/>
    </row>
    <row r="383" spans="2:37" ht="13.2">
      <c r="B383" s="238"/>
      <c r="C383" s="238"/>
      <c r="D383" s="238"/>
      <c r="E383" s="238"/>
      <c r="F383" s="238"/>
      <c r="G383" s="238"/>
      <c r="H383" s="238"/>
      <c r="I383" s="238"/>
      <c r="J383" s="238"/>
      <c r="K383" s="238"/>
      <c r="L383" s="238"/>
      <c r="M383" s="238"/>
      <c r="N383" s="238"/>
      <c r="O383" s="238"/>
      <c r="P383" s="238"/>
      <c r="Q383" s="238"/>
      <c r="R383" s="238"/>
      <c r="S383" s="238"/>
      <c r="T383" s="238"/>
      <c r="U383" s="238"/>
      <c r="V383" s="238"/>
      <c r="W383" s="238"/>
      <c r="X383" s="238"/>
      <c r="Y383" s="238"/>
      <c r="Z383" s="238"/>
      <c r="AA383" s="238"/>
      <c r="AB383" s="238"/>
      <c r="AC383" s="238"/>
      <c r="AD383" s="238"/>
      <c r="AE383" s="238"/>
      <c r="AF383" s="238"/>
      <c r="AG383" s="238"/>
      <c r="AH383" s="238"/>
      <c r="AI383" s="238"/>
      <c r="AJ383" s="238"/>
      <c r="AK383" s="238"/>
    </row>
    <row r="384" spans="2:37" ht="13.2">
      <c r="B384" s="238"/>
      <c r="C384" s="238"/>
      <c r="D384" s="238"/>
      <c r="E384" s="238"/>
      <c r="F384" s="238"/>
      <c r="G384" s="238"/>
      <c r="H384" s="238"/>
      <c r="I384" s="238"/>
      <c r="J384" s="238"/>
      <c r="K384" s="238"/>
      <c r="L384" s="238"/>
      <c r="M384" s="238"/>
      <c r="N384" s="238"/>
      <c r="O384" s="238"/>
      <c r="P384" s="238"/>
      <c r="Q384" s="238"/>
      <c r="R384" s="238"/>
      <c r="S384" s="238"/>
      <c r="T384" s="238"/>
      <c r="U384" s="238"/>
      <c r="V384" s="238"/>
      <c r="W384" s="238"/>
      <c r="X384" s="238"/>
      <c r="Y384" s="238"/>
      <c r="Z384" s="238"/>
      <c r="AA384" s="238"/>
      <c r="AB384" s="238"/>
      <c r="AC384" s="238"/>
      <c r="AD384" s="238"/>
      <c r="AE384" s="238"/>
      <c r="AF384" s="238"/>
      <c r="AG384" s="238"/>
      <c r="AH384" s="238"/>
      <c r="AI384" s="238"/>
      <c r="AJ384" s="238"/>
      <c r="AK384" s="238"/>
    </row>
    <row r="385" spans="2:37" ht="13.2">
      <c r="B385" s="238"/>
      <c r="C385" s="238"/>
      <c r="D385" s="238"/>
      <c r="E385" s="238"/>
      <c r="F385" s="238"/>
      <c r="G385" s="238"/>
      <c r="H385" s="238"/>
      <c r="I385" s="238"/>
      <c r="J385" s="238"/>
      <c r="K385" s="238"/>
      <c r="L385" s="238"/>
      <c r="M385" s="238"/>
      <c r="N385" s="238"/>
      <c r="O385" s="238"/>
      <c r="P385" s="238"/>
      <c r="Q385" s="238"/>
      <c r="R385" s="238"/>
      <c r="S385" s="238"/>
      <c r="T385" s="238"/>
      <c r="U385" s="238"/>
      <c r="V385" s="238"/>
      <c r="W385" s="238"/>
      <c r="X385" s="238"/>
      <c r="Y385" s="238"/>
      <c r="Z385" s="238"/>
      <c r="AA385" s="238"/>
      <c r="AB385" s="238"/>
      <c r="AC385" s="238"/>
      <c r="AD385" s="238"/>
      <c r="AE385" s="238"/>
      <c r="AF385" s="238"/>
      <c r="AG385" s="238"/>
      <c r="AH385" s="238"/>
      <c r="AI385" s="238"/>
      <c r="AJ385" s="238"/>
      <c r="AK385" s="238"/>
    </row>
    <row r="386" spans="2:37" ht="13.2">
      <c r="B386" s="238"/>
      <c r="C386" s="238"/>
      <c r="D386" s="238"/>
      <c r="E386" s="238"/>
      <c r="F386" s="238"/>
      <c r="G386" s="238"/>
      <c r="H386" s="238"/>
      <c r="I386" s="238"/>
      <c r="J386" s="238"/>
      <c r="K386" s="238"/>
      <c r="L386" s="238"/>
      <c r="M386" s="238"/>
      <c r="N386" s="238"/>
      <c r="O386" s="238"/>
      <c r="P386" s="238"/>
      <c r="Q386" s="238"/>
      <c r="R386" s="238"/>
      <c r="S386" s="238"/>
      <c r="T386" s="238"/>
      <c r="U386" s="238"/>
      <c r="V386" s="238"/>
      <c r="W386" s="238"/>
      <c r="X386" s="238"/>
      <c r="Y386" s="238"/>
      <c r="Z386" s="238"/>
      <c r="AA386" s="238"/>
      <c r="AB386" s="238"/>
      <c r="AC386" s="238"/>
      <c r="AD386" s="238"/>
      <c r="AE386" s="238"/>
      <c r="AF386" s="238"/>
      <c r="AG386" s="238"/>
      <c r="AH386" s="238"/>
      <c r="AI386" s="238"/>
      <c r="AJ386" s="238"/>
      <c r="AK386" s="238"/>
    </row>
    <row r="387" spans="2:37" ht="13.2">
      <c r="B387" s="238"/>
      <c r="C387" s="238"/>
      <c r="D387" s="238"/>
      <c r="E387" s="238"/>
      <c r="F387" s="238"/>
      <c r="G387" s="238"/>
      <c r="H387" s="238"/>
      <c r="I387" s="238"/>
      <c r="J387" s="238"/>
      <c r="K387" s="238"/>
      <c r="L387" s="238"/>
      <c r="M387" s="238"/>
      <c r="N387" s="238"/>
      <c r="O387" s="238"/>
      <c r="P387" s="238"/>
      <c r="Q387" s="238"/>
      <c r="R387" s="238"/>
      <c r="S387" s="238"/>
      <c r="T387" s="238"/>
      <c r="U387" s="238"/>
      <c r="V387" s="238"/>
      <c r="W387" s="238"/>
      <c r="X387" s="238"/>
      <c r="Y387" s="238"/>
      <c r="Z387" s="238"/>
      <c r="AA387" s="238"/>
      <c r="AB387" s="238"/>
      <c r="AC387" s="238"/>
      <c r="AD387" s="238"/>
      <c r="AE387" s="238"/>
      <c r="AF387" s="238"/>
      <c r="AG387" s="238"/>
      <c r="AH387" s="238"/>
      <c r="AI387" s="238"/>
      <c r="AJ387" s="238"/>
      <c r="AK387" s="238"/>
    </row>
    <row r="388" spans="2:37" ht="13.2">
      <c r="B388" s="238"/>
      <c r="C388" s="238"/>
      <c r="D388" s="238"/>
      <c r="E388" s="238"/>
      <c r="F388" s="238"/>
      <c r="G388" s="238"/>
      <c r="H388" s="238"/>
      <c r="I388" s="238"/>
      <c r="J388" s="238"/>
      <c r="K388" s="238"/>
      <c r="L388" s="238"/>
      <c r="M388" s="238"/>
      <c r="N388" s="238"/>
      <c r="O388" s="238"/>
      <c r="P388" s="238"/>
      <c r="Q388" s="238"/>
      <c r="R388" s="238"/>
      <c r="S388" s="238"/>
      <c r="T388" s="238"/>
      <c r="U388" s="238"/>
      <c r="V388" s="238"/>
      <c r="W388" s="238"/>
      <c r="X388" s="238"/>
      <c r="Y388" s="238"/>
      <c r="Z388" s="238"/>
      <c r="AA388" s="238"/>
      <c r="AB388" s="238"/>
      <c r="AC388" s="238"/>
      <c r="AD388" s="238"/>
      <c r="AE388" s="238"/>
      <c r="AF388" s="238"/>
      <c r="AG388" s="238"/>
      <c r="AH388" s="238"/>
      <c r="AI388" s="238"/>
      <c r="AJ388" s="238"/>
      <c r="AK388" s="238"/>
    </row>
    <row r="389" spans="2:37" ht="13.2">
      <c r="B389" s="238"/>
      <c r="C389" s="238"/>
      <c r="D389" s="238"/>
      <c r="E389" s="238"/>
      <c r="F389" s="238"/>
      <c r="G389" s="238"/>
      <c r="H389" s="238"/>
      <c r="I389" s="238"/>
      <c r="J389" s="238"/>
      <c r="K389" s="238"/>
      <c r="L389" s="238"/>
      <c r="M389" s="238"/>
      <c r="N389" s="238"/>
      <c r="O389" s="238"/>
      <c r="P389" s="238"/>
      <c r="Q389" s="238"/>
      <c r="R389" s="238"/>
      <c r="S389" s="238"/>
      <c r="T389" s="238"/>
      <c r="U389" s="238"/>
      <c r="V389" s="238"/>
      <c r="W389" s="238"/>
      <c r="X389" s="238"/>
      <c r="Y389" s="238"/>
      <c r="Z389" s="238"/>
      <c r="AA389" s="238"/>
      <c r="AB389" s="238"/>
      <c r="AC389" s="238"/>
      <c r="AD389" s="238"/>
      <c r="AE389" s="238"/>
      <c r="AF389" s="238"/>
      <c r="AG389" s="238"/>
      <c r="AH389" s="238"/>
      <c r="AI389" s="238"/>
      <c r="AJ389" s="238"/>
      <c r="AK389" s="238"/>
    </row>
    <row r="390" spans="2:37" ht="13.2">
      <c r="B390" s="238"/>
      <c r="C390" s="238"/>
      <c r="D390" s="238"/>
      <c r="E390" s="238"/>
      <c r="F390" s="238"/>
      <c r="G390" s="238"/>
      <c r="H390" s="238"/>
      <c r="I390" s="238"/>
      <c r="J390" s="238"/>
      <c r="K390" s="238"/>
      <c r="L390" s="238"/>
      <c r="M390" s="238"/>
      <c r="N390" s="238"/>
      <c r="O390" s="238"/>
      <c r="P390" s="238"/>
      <c r="Q390" s="238"/>
      <c r="R390" s="238"/>
      <c r="S390" s="238"/>
      <c r="T390" s="238"/>
      <c r="U390" s="238"/>
      <c r="V390" s="238"/>
      <c r="W390" s="238"/>
      <c r="X390" s="238"/>
      <c r="Y390" s="238"/>
      <c r="Z390" s="238"/>
      <c r="AA390" s="238"/>
      <c r="AB390" s="238"/>
      <c r="AC390" s="238"/>
      <c r="AD390" s="238"/>
      <c r="AE390" s="238"/>
      <c r="AF390" s="238"/>
      <c r="AG390" s="238"/>
      <c r="AH390" s="238"/>
      <c r="AI390" s="238"/>
      <c r="AJ390" s="238"/>
      <c r="AK390" s="238"/>
    </row>
    <row r="391" spans="2:37" ht="13.2">
      <c r="B391" s="238"/>
      <c r="C391" s="238"/>
      <c r="D391" s="238"/>
      <c r="E391" s="238"/>
      <c r="F391" s="238"/>
      <c r="G391" s="238"/>
      <c r="H391" s="238"/>
      <c r="I391" s="238"/>
      <c r="J391" s="238"/>
      <c r="K391" s="238"/>
      <c r="L391" s="238"/>
      <c r="M391" s="238"/>
      <c r="N391" s="238"/>
      <c r="O391" s="238"/>
      <c r="P391" s="238"/>
      <c r="Q391" s="238"/>
      <c r="R391" s="238"/>
      <c r="S391" s="238"/>
      <c r="T391" s="238"/>
      <c r="U391" s="238"/>
      <c r="V391" s="238"/>
      <c r="W391" s="238"/>
      <c r="X391" s="238"/>
      <c r="Y391" s="238"/>
      <c r="Z391" s="238"/>
      <c r="AA391" s="238"/>
      <c r="AB391" s="238"/>
      <c r="AC391" s="238"/>
      <c r="AD391" s="238"/>
      <c r="AE391" s="238"/>
      <c r="AF391" s="238"/>
      <c r="AG391" s="238"/>
      <c r="AH391" s="238"/>
      <c r="AI391" s="238"/>
      <c r="AJ391" s="238"/>
      <c r="AK391" s="238"/>
    </row>
    <row r="392" spans="2:37" ht="13.2">
      <c r="B392" s="238"/>
      <c r="C392" s="238"/>
      <c r="D392" s="238"/>
      <c r="E392" s="238"/>
      <c r="F392" s="238"/>
      <c r="G392" s="238"/>
      <c r="H392" s="238"/>
      <c r="I392" s="238"/>
      <c r="J392" s="238"/>
      <c r="K392" s="238"/>
      <c r="L392" s="238"/>
      <c r="M392" s="238"/>
      <c r="N392" s="238"/>
      <c r="O392" s="238"/>
      <c r="P392" s="238"/>
      <c r="Q392" s="238"/>
      <c r="R392" s="238"/>
      <c r="S392" s="238"/>
      <c r="T392" s="238"/>
      <c r="U392" s="238"/>
      <c r="V392" s="238"/>
      <c r="W392" s="238"/>
      <c r="X392" s="238"/>
      <c r="Y392" s="238"/>
      <c r="Z392" s="238"/>
      <c r="AA392" s="238"/>
      <c r="AB392" s="238"/>
      <c r="AC392" s="238"/>
      <c r="AD392" s="238"/>
      <c r="AE392" s="238"/>
      <c r="AF392" s="238"/>
      <c r="AG392" s="238"/>
      <c r="AH392" s="238"/>
      <c r="AI392" s="238"/>
      <c r="AJ392" s="238"/>
      <c r="AK392" s="238"/>
    </row>
    <row r="393" spans="2:37" ht="13.2">
      <c r="B393" s="238"/>
      <c r="C393" s="238"/>
      <c r="D393" s="238"/>
      <c r="E393" s="238"/>
      <c r="F393" s="238"/>
      <c r="G393" s="238"/>
      <c r="H393" s="238"/>
      <c r="I393" s="238"/>
      <c r="J393" s="238"/>
      <c r="K393" s="238"/>
      <c r="L393" s="238"/>
      <c r="M393" s="238"/>
      <c r="N393" s="238"/>
      <c r="O393" s="238"/>
      <c r="P393" s="238"/>
      <c r="Q393" s="238"/>
      <c r="R393" s="238"/>
      <c r="S393" s="238"/>
      <c r="T393" s="238"/>
      <c r="U393" s="238"/>
      <c r="V393" s="238"/>
      <c r="W393" s="238"/>
      <c r="X393" s="238"/>
      <c r="Y393" s="238"/>
      <c r="Z393" s="238"/>
      <c r="AA393" s="238"/>
      <c r="AB393" s="238"/>
      <c r="AC393" s="238"/>
      <c r="AD393" s="238"/>
      <c r="AE393" s="238"/>
      <c r="AF393" s="238"/>
      <c r="AG393" s="238"/>
      <c r="AH393" s="238"/>
      <c r="AI393" s="238"/>
      <c r="AJ393" s="238"/>
      <c r="AK393" s="238"/>
    </row>
    <row r="394" spans="2:37" ht="13.2">
      <c r="B394" s="238"/>
      <c r="C394" s="238"/>
      <c r="D394" s="238"/>
      <c r="E394" s="238"/>
      <c r="F394" s="238"/>
      <c r="G394" s="238"/>
      <c r="H394" s="238"/>
      <c r="I394" s="238"/>
      <c r="J394" s="238"/>
      <c r="K394" s="238"/>
      <c r="L394" s="238"/>
      <c r="M394" s="238"/>
      <c r="N394" s="238"/>
      <c r="O394" s="238"/>
      <c r="P394" s="238"/>
      <c r="Q394" s="238"/>
      <c r="R394" s="238"/>
      <c r="S394" s="238"/>
      <c r="T394" s="238"/>
      <c r="U394" s="238"/>
      <c r="V394" s="238"/>
      <c r="W394" s="238"/>
      <c r="X394" s="238"/>
      <c r="Y394" s="238"/>
      <c r="Z394" s="238"/>
      <c r="AA394" s="238"/>
      <c r="AB394" s="238"/>
      <c r="AC394" s="238"/>
      <c r="AD394" s="238"/>
      <c r="AE394" s="238"/>
      <c r="AF394" s="238"/>
      <c r="AG394" s="238"/>
      <c r="AH394" s="238"/>
      <c r="AI394" s="238"/>
      <c r="AJ394" s="238"/>
      <c r="AK394" s="238"/>
    </row>
    <row r="395" spans="2:37" ht="13.2">
      <c r="B395" s="238"/>
      <c r="C395" s="238"/>
      <c r="D395" s="238"/>
      <c r="E395" s="238"/>
      <c r="F395" s="238"/>
      <c r="G395" s="238"/>
      <c r="H395" s="238"/>
      <c r="I395" s="238"/>
      <c r="J395" s="238"/>
      <c r="K395" s="238"/>
      <c r="L395" s="238"/>
      <c r="M395" s="238"/>
      <c r="N395" s="238"/>
      <c r="O395" s="238"/>
      <c r="P395" s="238"/>
      <c r="Q395" s="238"/>
      <c r="R395" s="238"/>
      <c r="S395" s="238"/>
      <c r="T395" s="238"/>
      <c r="U395" s="238"/>
      <c r="V395" s="238"/>
      <c r="W395" s="238"/>
      <c r="X395" s="238"/>
      <c r="Y395" s="238"/>
      <c r="Z395" s="238"/>
      <c r="AA395" s="238"/>
      <c r="AB395" s="238"/>
      <c r="AC395" s="238"/>
      <c r="AD395" s="238"/>
      <c r="AE395" s="238"/>
      <c r="AF395" s="238"/>
      <c r="AG395" s="238"/>
      <c r="AH395" s="238"/>
      <c r="AI395" s="238"/>
      <c r="AJ395" s="238"/>
      <c r="AK395" s="238"/>
    </row>
    <row r="396" spans="2:37" ht="13.2">
      <c r="B396" s="238"/>
      <c r="C396" s="238"/>
      <c r="D396" s="238"/>
      <c r="E396" s="238"/>
      <c r="F396" s="238"/>
      <c r="G396" s="238"/>
      <c r="H396" s="238"/>
      <c r="I396" s="238"/>
      <c r="J396" s="238"/>
      <c r="K396" s="238"/>
      <c r="L396" s="238"/>
      <c r="M396" s="238"/>
      <c r="N396" s="238"/>
      <c r="O396" s="238"/>
      <c r="P396" s="238"/>
      <c r="Q396" s="238"/>
      <c r="R396" s="238"/>
      <c r="S396" s="238"/>
      <c r="T396" s="238"/>
      <c r="U396" s="238"/>
      <c r="V396" s="238"/>
      <c r="W396" s="238"/>
      <c r="X396" s="238"/>
      <c r="Y396" s="238"/>
      <c r="Z396" s="238"/>
      <c r="AA396" s="238"/>
      <c r="AB396" s="238"/>
      <c r="AC396" s="238"/>
      <c r="AD396" s="238"/>
      <c r="AE396" s="238"/>
      <c r="AF396" s="238"/>
      <c r="AG396" s="238"/>
      <c r="AH396" s="238"/>
      <c r="AI396" s="238"/>
      <c r="AJ396" s="238"/>
      <c r="AK396" s="238"/>
    </row>
    <row r="397" spans="2:37" ht="13.2">
      <c r="B397" s="238"/>
      <c r="C397" s="238"/>
      <c r="D397" s="238"/>
      <c r="E397" s="238"/>
      <c r="F397" s="238"/>
      <c r="G397" s="238"/>
      <c r="H397" s="238"/>
      <c r="I397" s="238"/>
      <c r="J397" s="238"/>
      <c r="K397" s="238"/>
      <c r="L397" s="238"/>
      <c r="M397" s="238"/>
      <c r="N397" s="238"/>
      <c r="O397" s="238"/>
      <c r="P397" s="238"/>
      <c r="Q397" s="238"/>
      <c r="R397" s="238"/>
      <c r="S397" s="238"/>
      <c r="T397" s="238"/>
      <c r="U397" s="238"/>
      <c r="V397" s="238"/>
      <c r="W397" s="238"/>
      <c r="X397" s="238"/>
      <c r="Y397" s="238"/>
      <c r="Z397" s="238"/>
      <c r="AA397" s="238"/>
      <c r="AB397" s="238"/>
      <c r="AC397" s="238"/>
      <c r="AD397" s="238"/>
      <c r="AE397" s="238"/>
      <c r="AF397" s="238"/>
      <c r="AG397" s="238"/>
      <c r="AH397" s="238"/>
      <c r="AI397" s="238"/>
      <c r="AJ397" s="238"/>
      <c r="AK397" s="238"/>
    </row>
    <row r="398" spans="2:37" ht="13.2">
      <c r="B398" s="238"/>
      <c r="C398" s="238"/>
      <c r="D398" s="238"/>
      <c r="E398" s="238"/>
      <c r="F398" s="238"/>
      <c r="G398" s="238"/>
      <c r="H398" s="238"/>
      <c r="I398" s="238"/>
      <c r="J398" s="238"/>
      <c r="K398" s="238"/>
      <c r="L398" s="238"/>
      <c r="M398" s="238"/>
      <c r="N398" s="238"/>
      <c r="O398" s="238"/>
      <c r="P398" s="238"/>
      <c r="Q398" s="238"/>
      <c r="R398" s="238"/>
      <c r="S398" s="238"/>
      <c r="T398" s="238"/>
      <c r="U398" s="238"/>
      <c r="V398" s="238"/>
      <c r="W398" s="238"/>
      <c r="X398" s="238"/>
      <c r="Y398" s="238"/>
      <c r="Z398" s="238"/>
      <c r="AA398" s="238"/>
      <c r="AB398" s="238"/>
      <c r="AC398" s="238"/>
      <c r="AD398" s="238"/>
      <c r="AE398" s="238"/>
      <c r="AF398" s="238"/>
      <c r="AG398" s="238"/>
      <c r="AH398" s="238"/>
      <c r="AI398" s="238"/>
      <c r="AJ398" s="238"/>
      <c r="AK398" s="238"/>
    </row>
    <row r="399" spans="2:37" ht="13.2">
      <c r="B399" s="238"/>
      <c r="C399" s="238"/>
      <c r="D399" s="238"/>
      <c r="E399" s="238"/>
      <c r="F399" s="238"/>
      <c r="G399" s="238"/>
      <c r="H399" s="238"/>
      <c r="I399" s="238"/>
      <c r="J399" s="238"/>
      <c r="K399" s="238"/>
      <c r="L399" s="238"/>
      <c r="M399" s="238"/>
      <c r="N399" s="238"/>
      <c r="O399" s="238"/>
      <c r="P399" s="238"/>
      <c r="Q399" s="238"/>
      <c r="R399" s="238"/>
      <c r="S399" s="238"/>
      <c r="T399" s="238"/>
      <c r="U399" s="238"/>
      <c r="V399" s="238"/>
      <c r="W399" s="238"/>
      <c r="X399" s="238"/>
      <c r="Y399" s="238"/>
      <c r="Z399" s="238"/>
      <c r="AA399" s="238"/>
      <c r="AB399" s="238"/>
      <c r="AC399" s="238"/>
      <c r="AD399" s="238"/>
      <c r="AE399" s="238"/>
      <c r="AF399" s="238"/>
      <c r="AG399" s="238"/>
      <c r="AH399" s="238"/>
      <c r="AI399" s="238"/>
      <c r="AJ399" s="238"/>
      <c r="AK399" s="238"/>
    </row>
    <row r="400" spans="2:37" ht="13.2">
      <c r="B400" s="238"/>
      <c r="C400" s="238"/>
      <c r="D400" s="238"/>
      <c r="E400" s="238"/>
      <c r="F400" s="238"/>
      <c r="G400" s="238"/>
      <c r="H400" s="238"/>
      <c r="I400" s="238"/>
      <c r="J400" s="238"/>
      <c r="K400" s="238"/>
      <c r="L400" s="238"/>
      <c r="M400" s="238"/>
      <c r="N400" s="238"/>
      <c r="O400" s="238"/>
      <c r="P400" s="238"/>
      <c r="Q400" s="238"/>
      <c r="R400" s="238"/>
      <c r="S400" s="238"/>
      <c r="T400" s="238"/>
      <c r="U400" s="238"/>
      <c r="V400" s="238"/>
      <c r="W400" s="238"/>
      <c r="X400" s="238"/>
      <c r="Y400" s="238"/>
      <c r="Z400" s="238"/>
      <c r="AA400" s="238"/>
      <c r="AB400" s="238"/>
      <c r="AC400" s="238"/>
      <c r="AD400" s="238"/>
      <c r="AE400" s="238"/>
      <c r="AF400" s="238"/>
      <c r="AG400" s="238"/>
      <c r="AH400" s="238"/>
      <c r="AI400" s="238"/>
      <c r="AJ400" s="238"/>
      <c r="AK400" s="238"/>
    </row>
    <row r="401" spans="2:37" ht="13.2">
      <c r="B401" s="238"/>
      <c r="C401" s="238"/>
      <c r="D401" s="238"/>
      <c r="E401" s="238"/>
      <c r="F401" s="238"/>
      <c r="G401" s="238"/>
      <c r="H401" s="238"/>
      <c r="I401" s="238"/>
      <c r="J401" s="238"/>
      <c r="K401" s="238"/>
      <c r="L401" s="238"/>
      <c r="M401" s="238"/>
      <c r="N401" s="238"/>
      <c r="O401" s="238"/>
      <c r="P401" s="238"/>
      <c r="Q401" s="238"/>
      <c r="R401" s="238"/>
      <c r="S401" s="238"/>
      <c r="T401" s="238"/>
      <c r="U401" s="238"/>
      <c r="V401" s="238"/>
      <c r="W401" s="238"/>
      <c r="X401" s="238"/>
      <c r="Y401" s="238"/>
      <c r="Z401" s="238"/>
      <c r="AA401" s="238"/>
      <c r="AB401" s="238"/>
      <c r="AC401" s="238"/>
      <c r="AD401" s="238"/>
      <c r="AE401" s="238"/>
      <c r="AF401" s="238"/>
      <c r="AG401" s="238"/>
      <c r="AH401" s="238"/>
      <c r="AI401" s="238"/>
      <c r="AJ401" s="238"/>
      <c r="AK401" s="238"/>
    </row>
    <row r="402" spans="2:37" ht="13.2">
      <c r="B402" s="238"/>
      <c r="C402" s="238"/>
      <c r="D402" s="238"/>
      <c r="E402" s="238"/>
      <c r="F402" s="238"/>
      <c r="G402" s="238"/>
      <c r="H402" s="238"/>
      <c r="I402" s="238"/>
      <c r="J402" s="238"/>
      <c r="K402" s="238"/>
      <c r="L402" s="238"/>
      <c r="M402" s="238"/>
      <c r="N402" s="238"/>
      <c r="O402" s="238"/>
      <c r="P402" s="238"/>
      <c r="Q402" s="238"/>
      <c r="R402" s="238"/>
      <c r="S402" s="238"/>
      <c r="T402" s="238"/>
      <c r="U402" s="238"/>
      <c r="V402" s="238"/>
      <c r="W402" s="238"/>
      <c r="X402" s="238"/>
      <c r="Y402" s="238"/>
      <c r="Z402" s="238"/>
      <c r="AA402" s="238"/>
      <c r="AB402" s="238"/>
      <c r="AC402" s="238"/>
      <c r="AD402" s="238"/>
      <c r="AE402" s="238"/>
      <c r="AF402" s="238"/>
      <c r="AG402" s="238"/>
      <c r="AH402" s="238"/>
      <c r="AI402" s="238"/>
      <c r="AJ402" s="238"/>
      <c r="AK402" s="238"/>
    </row>
    <row r="403" spans="2:37" ht="13.2">
      <c r="B403" s="238"/>
      <c r="C403" s="238"/>
      <c r="D403" s="238"/>
      <c r="E403" s="238"/>
      <c r="F403" s="238"/>
      <c r="G403" s="238"/>
      <c r="H403" s="238"/>
      <c r="I403" s="238"/>
      <c r="J403" s="238"/>
      <c r="K403" s="238"/>
      <c r="L403" s="238"/>
      <c r="M403" s="238"/>
      <c r="N403" s="238"/>
      <c r="O403" s="238"/>
      <c r="P403" s="238"/>
      <c r="Q403" s="238"/>
      <c r="R403" s="238"/>
      <c r="S403" s="238"/>
      <c r="T403" s="238"/>
      <c r="U403" s="238"/>
      <c r="V403" s="238"/>
      <c r="W403" s="238"/>
      <c r="X403" s="238"/>
      <c r="Y403" s="238"/>
      <c r="Z403" s="238"/>
      <c r="AA403" s="238"/>
      <c r="AB403" s="238"/>
      <c r="AC403" s="238"/>
      <c r="AD403" s="238"/>
      <c r="AE403" s="238"/>
      <c r="AF403" s="238"/>
      <c r="AG403" s="238"/>
      <c r="AH403" s="238"/>
      <c r="AI403" s="238"/>
      <c r="AJ403" s="238"/>
      <c r="AK403" s="238"/>
    </row>
    <row r="404" spans="2:37" ht="13.2">
      <c r="B404" s="238"/>
      <c r="C404" s="238"/>
      <c r="D404" s="238"/>
      <c r="E404" s="238"/>
      <c r="F404" s="238"/>
      <c r="G404" s="238"/>
      <c r="H404" s="238"/>
      <c r="I404" s="238"/>
      <c r="J404" s="238"/>
      <c r="K404" s="238"/>
      <c r="L404" s="238"/>
      <c r="M404" s="238"/>
      <c r="N404" s="238"/>
      <c r="O404" s="238"/>
      <c r="P404" s="238"/>
      <c r="Q404" s="238"/>
      <c r="R404" s="238"/>
      <c r="S404" s="238"/>
      <c r="T404" s="238"/>
      <c r="U404" s="238"/>
      <c r="V404" s="238"/>
      <c r="W404" s="238"/>
      <c r="X404" s="238"/>
      <c r="Y404" s="238"/>
      <c r="Z404" s="238"/>
      <c r="AA404" s="238"/>
      <c r="AB404" s="238"/>
      <c r="AC404" s="238"/>
      <c r="AD404" s="238"/>
      <c r="AE404" s="238"/>
      <c r="AF404" s="238"/>
      <c r="AG404" s="238"/>
      <c r="AH404" s="238"/>
      <c r="AI404" s="238"/>
      <c r="AJ404" s="238"/>
      <c r="AK404" s="238"/>
    </row>
    <row r="405" spans="2:37" ht="13.2">
      <c r="B405" s="238"/>
      <c r="C405" s="238"/>
      <c r="D405" s="238"/>
      <c r="E405" s="238"/>
      <c r="F405" s="238"/>
      <c r="G405" s="238"/>
      <c r="H405" s="238"/>
      <c r="I405" s="238"/>
      <c r="J405" s="238"/>
      <c r="K405" s="238"/>
      <c r="L405" s="238"/>
      <c r="M405" s="238"/>
      <c r="N405" s="238"/>
      <c r="O405" s="238"/>
      <c r="P405" s="238"/>
      <c r="Q405" s="238"/>
      <c r="R405" s="238"/>
      <c r="S405" s="238"/>
      <c r="T405" s="238"/>
      <c r="U405" s="238"/>
      <c r="V405" s="238"/>
      <c r="W405" s="238"/>
      <c r="X405" s="238"/>
      <c r="Y405" s="238"/>
      <c r="Z405" s="238"/>
      <c r="AA405" s="238"/>
      <c r="AB405" s="238"/>
      <c r="AC405" s="238"/>
      <c r="AD405" s="238"/>
      <c r="AE405" s="238"/>
      <c r="AF405" s="238"/>
      <c r="AG405" s="238"/>
      <c r="AH405" s="238"/>
      <c r="AI405" s="238"/>
      <c r="AJ405" s="238"/>
      <c r="AK405" s="238"/>
    </row>
    <row r="406" spans="2:37" ht="13.2">
      <c r="B406" s="238"/>
      <c r="C406" s="238"/>
      <c r="D406" s="238"/>
      <c r="E406" s="238"/>
      <c r="F406" s="238"/>
      <c r="G406" s="238"/>
      <c r="H406" s="238"/>
      <c r="I406" s="238"/>
      <c r="J406" s="238"/>
      <c r="K406" s="238"/>
      <c r="L406" s="238"/>
      <c r="M406" s="238"/>
      <c r="N406" s="238"/>
      <c r="O406" s="238"/>
      <c r="P406" s="238"/>
      <c r="Q406" s="238"/>
      <c r="R406" s="238"/>
      <c r="S406" s="238"/>
      <c r="T406" s="238"/>
      <c r="U406" s="238"/>
      <c r="V406" s="238"/>
      <c r="W406" s="238"/>
      <c r="X406" s="238"/>
      <c r="Y406" s="238"/>
      <c r="Z406" s="238"/>
      <c r="AA406" s="238"/>
      <c r="AB406" s="238"/>
      <c r="AC406" s="238"/>
      <c r="AD406" s="238"/>
      <c r="AE406" s="238"/>
      <c r="AF406" s="238"/>
      <c r="AG406" s="238"/>
      <c r="AH406" s="238"/>
      <c r="AI406" s="238"/>
      <c r="AJ406" s="238"/>
      <c r="AK406" s="238"/>
    </row>
    <row r="407" spans="2:37" ht="13.2">
      <c r="B407" s="238"/>
      <c r="C407" s="238"/>
      <c r="D407" s="238"/>
      <c r="E407" s="238"/>
      <c r="F407" s="238"/>
      <c r="G407" s="238"/>
      <c r="H407" s="238"/>
      <c r="I407" s="238"/>
      <c r="J407" s="238"/>
      <c r="K407" s="238"/>
      <c r="L407" s="238"/>
      <c r="M407" s="238"/>
      <c r="N407" s="238"/>
      <c r="O407" s="238"/>
      <c r="P407" s="238"/>
      <c r="Q407" s="238"/>
      <c r="R407" s="238"/>
      <c r="S407" s="238"/>
      <c r="T407" s="238"/>
      <c r="U407" s="238"/>
      <c r="V407" s="238"/>
      <c r="W407" s="238"/>
      <c r="X407" s="238"/>
      <c r="Y407" s="238"/>
      <c r="Z407" s="238"/>
      <c r="AA407" s="238"/>
      <c r="AB407" s="238"/>
      <c r="AC407" s="238"/>
      <c r="AD407" s="238"/>
      <c r="AE407" s="238"/>
      <c r="AF407" s="238"/>
      <c r="AG407" s="238"/>
      <c r="AH407" s="238"/>
      <c r="AI407" s="238"/>
      <c r="AJ407" s="238"/>
      <c r="AK407" s="238"/>
    </row>
    <row r="408" spans="2:37" ht="13.2">
      <c r="B408" s="238"/>
      <c r="C408" s="238"/>
      <c r="D408" s="238"/>
      <c r="E408" s="238"/>
      <c r="F408" s="238"/>
      <c r="G408" s="238"/>
      <c r="H408" s="238"/>
      <c r="I408" s="238"/>
      <c r="J408" s="238"/>
      <c r="K408" s="238"/>
      <c r="L408" s="238"/>
      <c r="M408" s="238"/>
      <c r="N408" s="238"/>
      <c r="O408" s="238"/>
      <c r="P408" s="238"/>
      <c r="Q408" s="238"/>
      <c r="R408" s="238"/>
      <c r="S408" s="238"/>
      <c r="T408" s="238"/>
      <c r="U408" s="238"/>
      <c r="V408" s="238"/>
      <c r="W408" s="238"/>
      <c r="X408" s="238"/>
      <c r="Y408" s="238"/>
      <c r="Z408" s="238"/>
      <c r="AA408" s="238"/>
      <c r="AB408" s="238"/>
      <c r="AC408" s="238"/>
      <c r="AD408" s="238"/>
      <c r="AE408" s="238"/>
      <c r="AF408" s="238"/>
      <c r="AG408" s="238"/>
      <c r="AH408" s="238"/>
      <c r="AI408" s="238"/>
      <c r="AJ408" s="238"/>
      <c r="AK408" s="238"/>
    </row>
    <row r="409" spans="2:37" ht="13.2">
      <c r="B409" s="238"/>
      <c r="C409" s="238"/>
      <c r="D409" s="238"/>
      <c r="E409" s="238"/>
      <c r="F409" s="238"/>
      <c r="G409" s="238"/>
      <c r="H409" s="238"/>
      <c r="I409" s="238"/>
      <c r="J409" s="238"/>
      <c r="K409" s="238"/>
      <c r="L409" s="238"/>
      <c r="M409" s="238"/>
      <c r="N409" s="238"/>
      <c r="O409" s="238"/>
      <c r="P409" s="238"/>
      <c r="Q409" s="238"/>
      <c r="R409" s="238"/>
      <c r="S409" s="238"/>
      <c r="T409" s="238"/>
      <c r="U409" s="238"/>
      <c r="V409" s="238"/>
      <c r="W409" s="238"/>
      <c r="X409" s="238"/>
      <c r="Y409" s="238"/>
      <c r="Z409" s="238"/>
      <c r="AA409" s="238"/>
      <c r="AB409" s="238"/>
      <c r="AC409" s="238"/>
      <c r="AD409" s="238"/>
      <c r="AE409" s="238"/>
      <c r="AF409" s="238"/>
      <c r="AG409" s="238"/>
      <c r="AH409" s="238"/>
      <c r="AI409" s="238"/>
      <c r="AJ409" s="238"/>
      <c r="AK409" s="238"/>
    </row>
    <row r="410" spans="2:37" ht="13.2">
      <c r="B410" s="238"/>
      <c r="C410" s="238"/>
      <c r="D410" s="238"/>
      <c r="E410" s="238"/>
      <c r="F410" s="238"/>
      <c r="G410" s="238"/>
      <c r="H410" s="238"/>
      <c r="I410" s="238"/>
      <c r="J410" s="238"/>
      <c r="K410" s="238"/>
      <c r="L410" s="238"/>
      <c r="M410" s="238"/>
      <c r="N410" s="238"/>
      <c r="O410" s="238"/>
      <c r="P410" s="238"/>
      <c r="Q410" s="238"/>
      <c r="R410" s="238"/>
      <c r="S410" s="238"/>
      <c r="T410" s="238"/>
      <c r="U410" s="238"/>
      <c r="V410" s="238"/>
      <c r="W410" s="238"/>
      <c r="X410" s="238"/>
      <c r="Y410" s="238"/>
      <c r="Z410" s="238"/>
      <c r="AA410" s="238"/>
      <c r="AB410" s="238"/>
      <c r="AC410" s="238"/>
      <c r="AD410" s="238"/>
      <c r="AE410" s="238"/>
      <c r="AF410" s="238"/>
      <c r="AG410" s="238"/>
      <c r="AH410" s="238"/>
      <c r="AI410" s="238"/>
      <c r="AJ410" s="238"/>
      <c r="AK410" s="238"/>
    </row>
    <row r="411" spans="2:37" ht="13.2">
      <c r="B411" s="238"/>
      <c r="C411" s="238"/>
      <c r="D411" s="238"/>
      <c r="E411" s="238"/>
      <c r="F411" s="238"/>
      <c r="G411" s="238"/>
      <c r="H411" s="238"/>
      <c r="I411" s="238"/>
      <c r="J411" s="238"/>
      <c r="K411" s="238"/>
      <c r="L411" s="238"/>
      <c r="M411" s="238"/>
      <c r="N411" s="238"/>
      <c r="O411" s="238"/>
      <c r="P411" s="238"/>
      <c r="Q411" s="238"/>
      <c r="R411" s="238"/>
      <c r="S411" s="238"/>
      <c r="T411" s="238"/>
      <c r="U411" s="238"/>
      <c r="V411" s="238"/>
      <c r="W411" s="238"/>
      <c r="X411" s="238"/>
      <c r="Y411" s="238"/>
      <c r="Z411" s="238"/>
      <c r="AA411" s="238"/>
      <c r="AB411" s="238"/>
      <c r="AC411" s="238"/>
      <c r="AD411" s="238"/>
      <c r="AE411" s="238"/>
      <c r="AF411" s="238"/>
      <c r="AG411" s="238"/>
      <c r="AH411" s="238"/>
      <c r="AI411" s="238"/>
      <c r="AJ411" s="238"/>
      <c r="AK411" s="238"/>
    </row>
    <row r="412" spans="2:37" ht="13.2">
      <c r="B412" s="238"/>
      <c r="C412" s="238"/>
      <c r="D412" s="238"/>
      <c r="E412" s="238"/>
      <c r="F412" s="238"/>
      <c r="G412" s="238"/>
      <c r="H412" s="238"/>
      <c r="I412" s="238"/>
      <c r="J412" s="238"/>
      <c r="K412" s="238"/>
      <c r="L412" s="238"/>
      <c r="M412" s="238"/>
      <c r="N412" s="238"/>
      <c r="O412" s="238"/>
      <c r="P412" s="238"/>
      <c r="Q412" s="238"/>
      <c r="R412" s="238"/>
      <c r="S412" s="238"/>
      <c r="T412" s="238"/>
      <c r="U412" s="238"/>
      <c r="V412" s="238"/>
      <c r="W412" s="238"/>
      <c r="X412" s="238"/>
      <c r="Y412" s="238"/>
      <c r="Z412" s="238"/>
      <c r="AA412" s="238"/>
      <c r="AB412" s="238"/>
      <c r="AC412" s="238"/>
      <c r="AD412" s="238"/>
      <c r="AE412" s="238"/>
      <c r="AF412" s="238"/>
      <c r="AG412" s="238"/>
      <c r="AH412" s="238"/>
      <c r="AI412" s="238"/>
      <c r="AJ412" s="238"/>
      <c r="AK412" s="238"/>
    </row>
    <row r="413" spans="2:37" ht="13.2">
      <c r="B413" s="238"/>
      <c r="C413" s="238"/>
      <c r="D413" s="238"/>
      <c r="E413" s="238"/>
      <c r="F413" s="238"/>
      <c r="G413" s="238"/>
      <c r="H413" s="238"/>
      <c r="I413" s="238"/>
      <c r="J413" s="238"/>
      <c r="K413" s="238"/>
      <c r="L413" s="238"/>
      <c r="M413" s="238"/>
      <c r="N413" s="238"/>
      <c r="O413" s="238"/>
      <c r="P413" s="238"/>
      <c r="Q413" s="238"/>
      <c r="R413" s="238"/>
      <c r="S413" s="238"/>
      <c r="T413" s="238"/>
      <c r="U413" s="238"/>
      <c r="V413" s="238"/>
      <c r="W413" s="238"/>
      <c r="X413" s="238"/>
      <c r="Y413" s="238"/>
      <c r="Z413" s="238"/>
      <c r="AA413" s="238"/>
      <c r="AB413" s="238"/>
      <c r="AC413" s="238"/>
      <c r="AD413" s="238"/>
      <c r="AE413" s="238"/>
      <c r="AF413" s="238"/>
      <c r="AG413" s="238"/>
      <c r="AH413" s="238"/>
      <c r="AI413" s="238"/>
      <c r="AJ413" s="238"/>
      <c r="AK413" s="238"/>
    </row>
    <row r="414" spans="2:37" ht="13.2">
      <c r="B414" s="238"/>
      <c r="C414" s="238"/>
      <c r="D414" s="238"/>
      <c r="E414" s="238"/>
      <c r="F414" s="238"/>
      <c r="G414" s="238"/>
      <c r="H414" s="238"/>
      <c r="I414" s="238"/>
      <c r="J414" s="238"/>
      <c r="K414" s="238"/>
      <c r="L414" s="238"/>
      <c r="M414" s="238"/>
      <c r="N414" s="238"/>
      <c r="O414" s="238"/>
      <c r="P414" s="238"/>
      <c r="Q414" s="238"/>
      <c r="R414" s="238"/>
      <c r="S414" s="238"/>
      <c r="T414" s="238"/>
      <c r="U414" s="238"/>
      <c r="V414" s="238"/>
      <c r="W414" s="238"/>
      <c r="X414" s="238"/>
      <c r="Y414" s="238"/>
      <c r="Z414" s="238"/>
      <c r="AA414" s="238"/>
      <c r="AB414" s="238"/>
      <c r="AC414" s="238"/>
      <c r="AD414" s="238"/>
      <c r="AE414" s="238"/>
      <c r="AF414" s="238"/>
      <c r="AG414" s="238"/>
      <c r="AH414" s="238"/>
      <c r="AI414" s="238"/>
      <c r="AJ414" s="238"/>
      <c r="AK414" s="238"/>
    </row>
    <row r="415" spans="2:37" ht="13.2">
      <c r="B415" s="238"/>
      <c r="C415" s="238"/>
      <c r="D415" s="238"/>
      <c r="E415" s="238"/>
      <c r="F415" s="238"/>
      <c r="G415" s="238"/>
      <c r="H415" s="238"/>
      <c r="I415" s="238"/>
      <c r="J415" s="238"/>
      <c r="K415" s="238"/>
      <c r="L415" s="238"/>
      <c r="M415" s="238"/>
      <c r="N415" s="238"/>
      <c r="O415" s="238"/>
      <c r="P415" s="238"/>
      <c r="Q415" s="238"/>
      <c r="R415" s="238"/>
      <c r="S415" s="238"/>
      <c r="T415" s="238"/>
      <c r="U415" s="238"/>
      <c r="V415" s="238"/>
      <c r="W415" s="238"/>
      <c r="X415" s="238"/>
      <c r="Y415" s="238"/>
      <c r="Z415" s="238"/>
      <c r="AA415" s="238"/>
      <c r="AB415" s="238"/>
      <c r="AC415" s="238"/>
      <c r="AD415" s="238"/>
      <c r="AE415" s="238"/>
      <c r="AF415" s="238"/>
      <c r="AG415" s="238"/>
      <c r="AH415" s="238"/>
      <c r="AI415" s="238"/>
      <c r="AJ415" s="238"/>
      <c r="AK415" s="238"/>
    </row>
    <row r="416" spans="2:37" ht="13.2">
      <c r="B416" s="238"/>
      <c r="C416" s="238"/>
      <c r="D416" s="238"/>
      <c r="E416" s="238"/>
      <c r="F416" s="238"/>
      <c r="G416" s="238"/>
      <c r="H416" s="238"/>
      <c r="I416" s="238"/>
      <c r="J416" s="238"/>
      <c r="K416" s="238"/>
      <c r="L416" s="238"/>
      <c r="M416" s="238"/>
      <c r="N416" s="238"/>
      <c r="O416" s="238"/>
      <c r="P416" s="238"/>
      <c r="Q416" s="238"/>
      <c r="R416" s="238"/>
      <c r="S416" s="238"/>
      <c r="T416" s="238"/>
      <c r="U416" s="238"/>
      <c r="V416" s="238"/>
      <c r="W416" s="238"/>
      <c r="X416" s="238"/>
      <c r="Y416" s="238"/>
      <c r="Z416" s="238"/>
      <c r="AA416" s="238"/>
      <c r="AB416" s="238"/>
      <c r="AC416" s="238"/>
      <c r="AD416" s="238"/>
      <c r="AE416" s="238"/>
      <c r="AF416" s="238"/>
      <c r="AG416" s="238"/>
      <c r="AH416" s="238"/>
      <c r="AI416" s="238"/>
      <c r="AJ416" s="238"/>
      <c r="AK416" s="238"/>
    </row>
    <row r="417" spans="2:37" ht="13.2">
      <c r="B417" s="238"/>
      <c r="C417" s="238"/>
      <c r="D417" s="238"/>
      <c r="E417" s="238"/>
      <c r="F417" s="238"/>
      <c r="G417" s="238"/>
      <c r="H417" s="238"/>
      <c r="I417" s="238"/>
      <c r="J417" s="238"/>
      <c r="K417" s="238"/>
      <c r="L417" s="238"/>
      <c r="M417" s="238"/>
      <c r="N417" s="238"/>
      <c r="O417" s="238"/>
      <c r="P417" s="238"/>
      <c r="Q417" s="238"/>
      <c r="R417" s="238"/>
      <c r="S417" s="238"/>
      <c r="T417" s="238"/>
      <c r="U417" s="238"/>
      <c r="V417" s="238"/>
      <c r="W417" s="238"/>
      <c r="X417" s="238"/>
      <c r="Y417" s="238"/>
      <c r="Z417" s="238"/>
      <c r="AA417" s="238"/>
      <c r="AB417" s="238"/>
      <c r="AC417" s="238"/>
      <c r="AD417" s="238"/>
      <c r="AE417" s="238"/>
      <c r="AF417" s="238"/>
      <c r="AG417" s="238"/>
      <c r="AH417" s="238"/>
      <c r="AI417" s="238"/>
      <c r="AJ417" s="238"/>
      <c r="AK417" s="238"/>
    </row>
    <row r="418" spans="2:37" ht="13.2">
      <c r="B418" s="238"/>
      <c r="C418" s="238"/>
      <c r="D418" s="238"/>
      <c r="E418" s="238"/>
      <c r="F418" s="238"/>
      <c r="G418" s="238"/>
      <c r="H418" s="238"/>
      <c r="I418" s="238"/>
      <c r="J418" s="238"/>
      <c r="K418" s="238"/>
      <c r="L418" s="238"/>
      <c r="M418" s="238"/>
      <c r="N418" s="238"/>
      <c r="O418" s="238"/>
      <c r="P418" s="238"/>
      <c r="Q418" s="238"/>
      <c r="R418" s="238"/>
      <c r="S418" s="238"/>
      <c r="T418" s="238"/>
      <c r="U418" s="238"/>
      <c r="V418" s="238"/>
      <c r="W418" s="238"/>
      <c r="X418" s="238"/>
      <c r="Y418" s="238"/>
      <c r="Z418" s="238"/>
      <c r="AA418" s="238"/>
      <c r="AB418" s="238"/>
      <c r="AC418" s="238"/>
      <c r="AD418" s="238"/>
      <c r="AE418" s="238"/>
      <c r="AF418" s="238"/>
      <c r="AG418" s="238"/>
      <c r="AH418" s="238"/>
      <c r="AI418" s="238"/>
      <c r="AJ418" s="238"/>
      <c r="AK418" s="238"/>
    </row>
    <row r="419" spans="2:37" ht="13.2">
      <c r="B419" s="238"/>
      <c r="C419" s="238"/>
      <c r="D419" s="238"/>
      <c r="E419" s="238"/>
      <c r="F419" s="238"/>
      <c r="G419" s="238"/>
      <c r="H419" s="238"/>
      <c r="I419" s="238"/>
      <c r="J419" s="238"/>
      <c r="K419" s="238"/>
      <c r="L419" s="238"/>
      <c r="M419" s="238"/>
      <c r="N419" s="238"/>
      <c r="O419" s="238"/>
      <c r="P419" s="238"/>
      <c r="Q419" s="238"/>
      <c r="R419" s="238"/>
      <c r="S419" s="238"/>
      <c r="T419" s="238"/>
      <c r="U419" s="238"/>
      <c r="V419" s="238"/>
      <c r="W419" s="238"/>
      <c r="X419" s="238"/>
      <c r="Y419" s="238"/>
      <c r="Z419" s="238"/>
      <c r="AA419" s="238"/>
      <c r="AB419" s="238"/>
      <c r="AC419" s="238"/>
      <c r="AD419" s="238"/>
      <c r="AE419" s="238"/>
      <c r="AF419" s="238"/>
      <c r="AG419" s="238"/>
      <c r="AH419" s="238"/>
      <c r="AI419" s="238"/>
      <c r="AJ419" s="238"/>
      <c r="AK419" s="238"/>
    </row>
    <row r="420" spans="2:37" ht="13.2">
      <c r="B420" s="238"/>
      <c r="C420" s="238"/>
      <c r="D420" s="238"/>
      <c r="E420" s="238"/>
      <c r="F420" s="238"/>
      <c r="G420" s="238"/>
      <c r="H420" s="238"/>
      <c r="I420" s="238"/>
      <c r="J420" s="238"/>
      <c r="K420" s="238"/>
      <c r="L420" s="238"/>
      <c r="M420" s="238"/>
      <c r="N420" s="238"/>
      <c r="O420" s="238"/>
      <c r="P420" s="238"/>
      <c r="Q420" s="238"/>
      <c r="R420" s="238"/>
      <c r="S420" s="238"/>
      <c r="T420" s="238"/>
      <c r="U420" s="238"/>
      <c r="V420" s="238"/>
      <c r="W420" s="238"/>
      <c r="X420" s="238"/>
      <c r="Y420" s="238"/>
      <c r="Z420" s="238"/>
      <c r="AA420" s="238"/>
      <c r="AB420" s="238"/>
      <c r="AC420" s="238"/>
      <c r="AD420" s="238"/>
      <c r="AE420" s="238"/>
      <c r="AF420" s="238"/>
      <c r="AG420" s="238"/>
      <c r="AH420" s="238"/>
      <c r="AI420" s="238"/>
      <c r="AJ420" s="238"/>
      <c r="AK420" s="238"/>
    </row>
    <row r="421" spans="2:37" ht="13.2">
      <c r="B421" s="238"/>
      <c r="C421" s="238"/>
      <c r="D421" s="238"/>
      <c r="E421" s="238"/>
      <c r="F421" s="238"/>
      <c r="G421" s="238"/>
      <c r="H421" s="238"/>
      <c r="I421" s="238"/>
      <c r="J421" s="238"/>
      <c r="K421" s="238"/>
      <c r="L421" s="238"/>
      <c r="M421" s="238"/>
      <c r="N421" s="238"/>
      <c r="O421" s="238"/>
      <c r="P421" s="238"/>
      <c r="Q421" s="238"/>
      <c r="R421" s="238"/>
      <c r="S421" s="238"/>
      <c r="T421" s="238"/>
      <c r="U421" s="238"/>
      <c r="V421" s="238"/>
      <c r="W421" s="238"/>
      <c r="X421" s="238"/>
      <c r="Y421" s="238"/>
      <c r="Z421" s="238"/>
      <c r="AA421" s="238"/>
      <c r="AB421" s="238"/>
      <c r="AC421" s="238"/>
      <c r="AD421" s="238"/>
      <c r="AE421" s="238"/>
      <c r="AF421" s="238"/>
      <c r="AG421" s="238"/>
      <c r="AH421" s="238"/>
      <c r="AI421" s="238"/>
      <c r="AJ421" s="238"/>
      <c r="AK421" s="238"/>
    </row>
    <row r="422" spans="2:37" ht="13.2">
      <c r="B422" s="238"/>
      <c r="C422" s="238"/>
      <c r="D422" s="238"/>
      <c r="E422" s="238"/>
      <c r="F422" s="238"/>
      <c r="G422" s="238"/>
      <c r="H422" s="238"/>
      <c r="I422" s="238"/>
      <c r="J422" s="238"/>
      <c r="K422" s="238"/>
      <c r="L422" s="238"/>
      <c r="M422" s="238"/>
      <c r="N422" s="238"/>
      <c r="O422" s="238"/>
      <c r="P422" s="238"/>
      <c r="Q422" s="238"/>
      <c r="R422" s="238"/>
      <c r="S422" s="238"/>
      <c r="T422" s="238"/>
      <c r="U422" s="238"/>
      <c r="V422" s="238"/>
      <c r="W422" s="238"/>
      <c r="X422" s="238"/>
      <c r="Y422" s="238"/>
      <c r="Z422" s="238"/>
      <c r="AA422" s="238"/>
      <c r="AB422" s="238"/>
      <c r="AC422" s="238"/>
      <c r="AD422" s="238"/>
      <c r="AE422" s="238"/>
      <c r="AF422" s="238"/>
      <c r="AG422" s="238"/>
      <c r="AH422" s="238"/>
      <c r="AI422" s="238"/>
      <c r="AJ422" s="238"/>
      <c r="AK422" s="238"/>
    </row>
    <row r="423" spans="2:37" ht="13.2">
      <c r="B423" s="238"/>
      <c r="C423" s="238"/>
      <c r="D423" s="238"/>
      <c r="E423" s="238"/>
      <c r="F423" s="238"/>
      <c r="G423" s="238"/>
      <c r="H423" s="238"/>
      <c r="I423" s="238"/>
      <c r="J423" s="238"/>
      <c r="K423" s="238"/>
      <c r="L423" s="238"/>
      <c r="M423" s="238"/>
      <c r="N423" s="238"/>
      <c r="O423" s="238"/>
      <c r="P423" s="238"/>
      <c r="Q423" s="238"/>
      <c r="R423" s="238"/>
      <c r="S423" s="238"/>
      <c r="T423" s="238"/>
      <c r="U423" s="238"/>
      <c r="V423" s="238"/>
      <c r="W423" s="238"/>
      <c r="X423" s="238"/>
      <c r="Y423" s="238"/>
      <c r="Z423" s="238"/>
      <c r="AA423" s="238"/>
      <c r="AB423" s="238"/>
      <c r="AC423" s="238"/>
      <c r="AD423" s="238"/>
      <c r="AE423" s="238"/>
      <c r="AF423" s="238"/>
      <c r="AG423" s="238"/>
      <c r="AH423" s="238"/>
      <c r="AI423" s="238"/>
      <c r="AJ423" s="238"/>
      <c r="AK423" s="238"/>
    </row>
    <row r="424" spans="2:37" ht="13.2">
      <c r="B424" s="238"/>
      <c r="C424" s="238"/>
      <c r="D424" s="238"/>
      <c r="E424" s="238"/>
      <c r="F424" s="238"/>
      <c r="G424" s="238"/>
      <c r="H424" s="238"/>
      <c r="I424" s="238"/>
      <c r="J424" s="238"/>
      <c r="K424" s="238"/>
      <c r="L424" s="238"/>
      <c r="M424" s="238"/>
      <c r="N424" s="238"/>
      <c r="O424" s="238"/>
      <c r="P424" s="238"/>
      <c r="Q424" s="238"/>
      <c r="R424" s="238"/>
      <c r="S424" s="238"/>
      <c r="T424" s="238"/>
      <c r="U424" s="238"/>
      <c r="V424" s="238"/>
      <c r="W424" s="238"/>
      <c r="X424" s="238"/>
      <c r="Y424" s="238"/>
      <c r="Z424" s="238"/>
      <c r="AA424" s="238"/>
      <c r="AB424" s="238"/>
      <c r="AC424" s="238"/>
      <c r="AD424" s="238"/>
      <c r="AE424" s="238"/>
      <c r="AF424" s="238"/>
      <c r="AG424" s="238"/>
      <c r="AH424" s="238"/>
      <c r="AI424" s="238"/>
      <c r="AJ424" s="238"/>
      <c r="AK424" s="238"/>
    </row>
    <row r="425" spans="2:37" ht="13.2">
      <c r="B425" s="238"/>
      <c r="C425" s="238"/>
      <c r="D425" s="238"/>
      <c r="E425" s="238"/>
      <c r="F425" s="238"/>
      <c r="G425" s="238"/>
      <c r="H425" s="238"/>
      <c r="I425" s="238"/>
      <c r="J425" s="238"/>
      <c r="K425" s="238"/>
      <c r="L425" s="238"/>
      <c r="M425" s="238"/>
      <c r="N425" s="238"/>
      <c r="O425" s="238"/>
      <c r="P425" s="238"/>
      <c r="Q425" s="238"/>
      <c r="R425" s="238"/>
      <c r="S425" s="238"/>
      <c r="T425" s="238"/>
      <c r="U425" s="238"/>
      <c r="V425" s="238"/>
      <c r="W425" s="238"/>
      <c r="X425" s="238"/>
      <c r="Y425" s="238"/>
      <c r="Z425" s="238"/>
      <c r="AA425" s="238"/>
      <c r="AB425" s="238"/>
      <c r="AC425" s="238"/>
      <c r="AD425" s="238"/>
      <c r="AE425" s="238"/>
      <c r="AF425" s="238"/>
      <c r="AG425" s="238"/>
      <c r="AH425" s="238"/>
      <c r="AI425" s="238"/>
      <c r="AJ425" s="238"/>
      <c r="AK425" s="238"/>
    </row>
    <row r="426" spans="2:37" ht="13.2">
      <c r="B426" s="238"/>
      <c r="C426" s="238"/>
      <c r="D426" s="238"/>
      <c r="E426" s="238"/>
      <c r="F426" s="238"/>
      <c r="G426" s="238"/>
      <c r="H426" s="238"/>
      <c r="I426" s="238"/>
      <c r="J426" s="238"/>
      <c r="K426" s="238"/>
      <c r="L426" s="238"/>
      <c r="M426" s="238"/>
      <c r="N426" s="238"/>
      <c r="O426" s="238"/>
      <c r="P426" s="238"/>
      <c r="Q426" s="238"/>
      <c r="R426" s="238"/>
      <c r="S426" s="238"/>
      <c r="T426" s="238"/>
      <c r="U426" s="238"/>
      <c r="V426" s="238"/>
      <c r="W426" s="238"/>
      <c r="X426" s="238"/>
      <c r="Y426" s="238"/>
      <c r="Z426" s="238"/>
      <c r="AA426" s="238"/>
      <c r="AB426" s="238"/>
      <c r="AC426" s="238"/>
      <c r="AD426" s="238"/>
      <c r="AE426" s="238"/>
      <c r="AF426" s="238"/>
      <c r="AG426" s="238"/>
      <c r="AH426" s="238"/>
      <c r="AI426" s="238"/>
      <c r="AJ426" s="238"/>
      <c r="AK426" s="238"/>
    </row>
    <row r="427" spans="2:37" ht="13.2">
      <c r="B427" s="238"/>
      <c r="C427" s="238"/>
      <c r="D427" s="238"/>
      <c r="E427" s="238"/>
      <c r="F427" s="238"/>
      <c r="G427" s="238"/>
      <c r="H427" s="238"/>
      <c r="I427" s="238"/>
      <c r="J427" s="238"/>
      <c r="K427" s="238"/>
      <c r="L427" s="238"/>
      <c r="M427" s="238"/>
      <c r="N427" s="238"/>
      <c r="O427" s="238"/>
      <c r="P427" s="238"/>
      <c r="Q427" s="238"/>
      <c r="R427" s="238"/>
      <c r="S427" s="238"/>
      <c r="T427" s="238"/>
      <c r="U427" s="238"/>
      <c r="V427" s="238"/>
      <c r="W427" s="238"/>
      <c r="X427" s="238"/>
      <c r="Y427" s="238"/>
      <c r="Z427" s="238"/>
      <c r="AA427" s="238"/>
      <c r="AB427" s="238"/>
      <c r="AC427" s="238"/>
      <c r="AD427" s="238"/>
      <c r="AE427" s="238"/>
      <c r="AF427" s="238"/>
      <c r="AG427" s="238"/>
      <c r="AH427" s="238"/>
      <c r="AI427" s="238"/>
      <c r="AJ427" s="238"/>
      <c r="AK427" s="238"/>
    </row>
    <row r="428" spans="2:37" ht="13.2">
      <c r="B428" s="238"/>
      <c r="C428" s="238"/>
      <c r="D428" s="238"/>
      <c r="E428" s="238"/>
      <c r="F428" s="238"/>
      <c r="G428" s="238"/>
      <c r="H428" s="238"/>
      <c r="I428" s="238"/>
      <c r="J428" s="238"/>
      <c r="K428" s="238"/>
      <c r="L428" s="238"/>
      <c r="M428" s="238"/>
      <c r="N428" s="238"/>
      <c r="O428" s="238"/>
      <c r="P428" s="238"/>
      <c r="Q428" s="238"/>
      <c r="R428" s="238"/>
      <c r="S428" s="238"/>
      <c r="T428" s="238"/>
      <c r="U428" s="238"/>
      <c r="V428" s="238"/>
      <c r="W428" s="238"/>
      <c r="X428" s="238"/>
      <c r="Y428" s="238"/>
      <c r="Z428" s="238"/>
      <c r="AA428" s="238"/>
      <c r="AB428" s="238"/>
      <c r="AC428" s="238"/>
      <c r="AD428" s="238"/>
      <c r="AE428" s="238"/>
      <c r="AF428" s="238"/>
      <c r="AG428" s="238"/>
      <c r="AH428" s="238"/>
      <c r="AI428" s="238"/>
      <c r="AJ428" s="238"/>
      <c r="AK428" s="238"/>
    </row>
    <row r="429" spans="2:37" ht="13.2">
      <c r="B429" s="238"/>
      <c r="C429" s="238"/>
      <c r="D429" s="238"/>
      <c r="E429" s="238"/>
      <c r="F429" s="238"/>
      <c r="G429" s="238"/>
      <c r="H429" s="238"/>
      <c r="I429" s="238"/>
      <c r="J429" s="238"/>
      <c r="K429" s="238"/>
      <c r="L429" s="238"/>
      <c r="M429" s="238"/>
      <c r="N429" s="238"/>
      <c r="O429" s="238"/>
      <c r="P429" s="238"/>
      <c r="Q429" s="238"/>
      <c r="R429" s="238"/>
      <c r="S429" s="238"/>
      <c r="T429" s="238"/>
      <c r="U429" s="238"/>
      <c r="V429" s="238"/>
      <c r="W429" s="238"/>
      <c r="X429" s="238"/>
      <c r="Y429" s="238"/>
      <c r="Z429" s="238"/>
      <c r="AA429" s="238"/>
      <c r="AB429" s="238"/>
      <c r="AC429" s="238"/>
      <c r="AD429" s="238"/>
      <c r="AE429" s="238"/>
      <c r="AF429" s="238"/>
      <c r="AG429" s="238"/>
      <c r="AH429" s="238"/>
      <c r="AI429" s="238"/>
      <c r="AJ429" s="238"/>
      <c r="AK429" s="238"/>
    </row>
    <row r="430" spans="2:37" ht="13.2">
      <c r="B430" s="238"/>
      <c r="C430" s="238"/>
      <c r="D430" s="238"/>
      <c r="E430" s="238"/>
      <c r="F430" s="238"/>
      <c r="G430" s="238"/>
      <c r="H430" s="238"/>
      <c r="I430" s="238"/>
      <c r="J430" s="238"/>
      <c r="K430" s="238"/>
      <c r="L430" s="238"/>
      <c r="M430" s="238"/>
      <c r="N430" s="238"/>
      <c r="O430" s="238"/>
      <c r="P430" s="238"/>
      <c r="Q430" s="238"/>
      <c r="R430" s="238"/>
      <c r="S430" s="238"/>
      <c r="T430" s="238"/>
      <c r="U430" s="238"/>
      <c r="V430" s="238"/>
      <c r="W430" s="238"/>
      <c r="X430" s="238"/>
      <c r="Y430" s="238"/>
      <c r="Z430" s="238"/>
      <c r="AA430" s="238"/>
      <c r="AB430" s="238"/>
      <c r="AC430" s="238"/>
      <c r="AD430" s="238"/>
      <c r="AE430" s="238"/>
      <c r="AF430" s="238"/>
      <c r="AG430" s="238"/>
      <c r="AH430" s="238"/>
      <c r="AI430" s="238"/>
      <c r="AJ430" s="238"/>
      <c r="AK430" s="238"/>
    </row>
    <row r="431" spans="2:37" ht="13.2">
      <c r="B431" s="238"/>
      <c r="C431" s="238"/>
      <c r="D431" s="238"/>
      <c r="E431" s="238"/>
      <c r="F431" s="238"/>
      <c r="G431" s="238"/>
      <c r="H431" s="238"/>
      <c r="I431" s="238"/>
      <c r="J431" s="238"/>
      <c r="K431" s="238"/>
      <c r="L431" s="238"/>
      <c r="M431" s="238"/>
      <c r="N431" s="238"/>
      <c r="O431" s="238"/>
      <c r="P431" s="238"/>
      <c r="Q431" s="238"/>
      <c r="R431" s="238"/>
      <c r="S431" s="238"/>
      <c r="T431" s="238"/>
      <c r="U431" s="238"/>
      <c r="V431" s="238"/>
      <c r="W431" s="238"/>
      <c r="X431" s="238"/>
      <c r="Y431" s="238"/>
      <c r="Z431" s="238"/>
      <c r="AA431" s="238"/>
      <c r="AB431" s="238"/>
      <c r="AC431" s="238"/>
      <c r="AD431" s="238"/>
      <c r="AE431" s="238"/>
      <c r="AF431" s="238"/>
      <c r="AG431" s="238"/>
      <c r="AH431" s="238"/>
      <c r="AI431" s="238"/>
      <c r="AJ431" s="238"/>
      <c r="AK431" s="238"/>
    </row>
    <row r="432" spans="2:37" ht="13.2">
      <c r="B432" s="238"/>
      <c r="C432" s="238"/>
      <c r="D432" s="238"/>
      <c r="E432" s="238"/>
      <c r="F432" s="238"/>
      <c r="G432" s="238"/>
      <c r="H432" s="238"/>
      <c r="I432" s="238"/>
      <c r="J432" s="238"/>
      <c r="K432" s="238"/>
      <c r="L432" s="238"/>
      <c r="M432" s="238"/>
      <c r="N432" s="238"/>
      <c r="O432" s="238"/>
      <c r="P432" s="238"/>
      <c r="Q432" s="238"/>
      <c r="R432" s="238"/>
      <c r="S432" s="238"/>
      <c r="T432" s="238"/>
      <c r="U432" s="238"/>
      <c r="V432" s="238"/>
      <c r="W432" s="238"/>
      <c r="X432" s="238"/>
      <c r="Y432" s="238"/>
      <c r="Z432" s="238"/>
      <c r="AA432" s="238"/>
      <c r="AB432" s="238"/>
      <c r="AC432" s="238"/>
      <c r="AD432" s="238"/>
      <c r="AE432" s="238"/>
      <c r="AF432" s="238"/>
      <c r="AG432" s="238"/>
      <c r="AH432" s="238"/>
      <c r="AI432" s="238"/>
      <c r="AJ432" s="238"/>
      <c r="AK432" s="238"/>
    </row>
    <row r="433" spans="2:37" ht="13.2">
      <c r="B433" s="238"/>
      <c r="C433" s="238"/>
      <c r="D433" s="238"/>
      <c r="E433" s="238"/>
      <c r="F433" s="238"/>
      <c r="G433" s="238"/>
      <c r="H433" s="238"/>
      <c r="I433" s="238"/>
      <c r="J433" s="238"/>
      <c r="K433" s="238"/>
      <c r="L433" s="238"/>
      <c r="M433" s="238"/>
      <c r="N433" s="238"/>
      <c r="O433" s="238"/>
      <c r="P433" s="238"/>
      <c r="Q433" s="238"/>
      <c r="R433" s="238"/>
      <c r="S433" s="238"/>
      <c r="T433" s="238"/>
      <c r="U433" s="238"/>
      <c r="V433" s="238"/>
      <c r="W433" s="238"/>
      <c r="X433" s="238"/>
      <c r="Y433" s="238"/>
      <c r="Z433" s="238"/>
      <c r="AA433" s="238"/>
      <c r="AB433" s="238"/>
      <c r="AC433" s="238"/>
      <c r="AD433" s="238"/>
      <c r="AE433" s="238"/>
      <c r="AF433" s="238"/>
      <c r="AG433" s="238"/>
      <c r="AH433" s="238"/>
      <c r="AI433" s="238"/>
      <c r="AJ433" s="238"/>
      <c r="AK433" s="238"/>
    </row>
    <row r="434" spans="2:37" ht="13.2">
      <c r="B434" s="238"/>
      <c r="C434" s="238"/>
      <c r="D434" s="238"/>
      <c r="E434" s="238"/>
      <c r="F434" s="238"/>
      <c r="G434" s="238"/>
      <c r="H434" s="238"/>
      <c r="I434" s="238"/>
      <c r="J434" s="238"/>
      <c r="K434" s="238"/>
      <c r="L434" s="238"/>
      <c r="M434" s="238"/>
      <c r="N434" s="238"/>
      <c r="O434" s="238"/>
      <c r="P434" s="238"/>
      <c r="Q434" s="238"/>
      <c r="R434" s="238"/>
      <c r="S434" s="238"/>
      <c r="T434" s="238"/>
      <c r="U434" s="238"/>
      <c r="V434" s="238"/>
      <c r="W434" s="238"/>
      <c r="X434" s="238"/>
      <c r="Y434" s="238"/>
      <c r="Z434" s="238"/>
      <c r="AA434" s="238"/>
      <c r="AB434" s="238"/>
      <c r="AC434" s="238"/>
      <c r="AD434" s="238"/>
      <c r="AE434" s="238"/>
      <c r="AF434" s="238"/>
      <c r="AG434" s="238"/>
      <c r="AH434" s="238"/>
      <c r="AI434" s="238"/>
      <c r="AJ434" s="238"/>
      <c r="AK434" s="238"/>
    </row>
    <row r="435" spans="2:37" ht="13.2">
      <c r="B435" s="238"/>
      <c r="C435" s="238"/>
      <c r="D435" s="238"/>
      <c r="E435" s="238"/>
      <c r="F435" s="238"/>
      <c r="G435" s="238"/>
      <c r="H435" s="238"/>
      <c r="I435" s="238"/>
      <c r="J435" s="238"/>
      <c r="K435" s="238"/>
      <c r="L435" s="238"/>
      <c r="M435" s="238"/>
      <c r="N435" s="238"/>
      <c r="O435" s="238"/>
      <c r="P435" s="238"/>
      <c r="Q435" s="238"/>
      <c r="R435" s="238"/>
      <c r="S435" s="238"/>
      <c r="T435" s="238"/>
      <c r="U435" s="238"/>
      <c r="V435" s="238"/>
      <c r="W435" s="238"/>
      <c r="X435" s="238"/>
      <c r="Y435" s="238"/>
      <c r="Z435" s="238"/>
      <c r="AA435" s="238"/>
      <c r="AB435" s="238"/>
      <c r="AC435" s="238"/>
      <c r="AD435" s="238"/>
      <c r="AE435" s="238"/>
      <c r="AF435" s="238"/>
      <c r="AG435" s="238"/>
      <c r="AH435" s="238"/>
      <c r="AI435" s="238"/>
      <c r="AJ435" s="238"/>
      <c r="AK435" s="238"/>
    </row>
    <row r="436" spans="2:37" ht="13.2">
      <c r="B436" s="238"/>
      <c r="C436" s="238"/>
      <c r="D436" s="238"/>
      <c r="E436" s="238"/>
      <c r="F436" s="238"/>
      <c r="G436" s="238"/>
      <c r="H436" s="238"/>
      <c r="I436" s="238"/>
      <c r="J436" s="238"/>
      <c r="K436" s="238"/>
      <c r="L436" s="238"/>
      <c r="M436" s="238"/>
      <c r="N436" s="238"/>
      <c r="O436" s="238"/>
      <c r="P436" s="238"/>
      <c r="Q436" s="238"/>
      <c r="R436" s="238"/>
      <c r="S436" s="238"/>
      <c r="T436" s="238"/>
      <c r="U436" s="238"/>
      <c r="V436" s="238"/>
      <c r="W436" s="238"/>
      <c r="X436" s="238"/>
      <c r="Y436" s="238"/>
      <c r="Z436" s="238"/>
      <c r="AA436" s="238"/>
      <c r="AB436" s="238"/>
      <c r="AC436" s="238"/>
      <c r="AD436" s="238"/>
      <c r="AE436" s="238"/>
      <c r="AF436" s="238"/>
      <c r="AG436" s="238"/>
      <c r="AH436" s="238"/>
      <c r="AI436" s="238"/>
      <c r="AJ436" s="238"/>
      <c r="AK436" s="238"/>
    </row>
    <row r="437" spans="2:37" ht="13.2">
      <c r="B437" s="238"/>
      <c r="C437" s="238"/>
      <c r="D437" s="238"/>
      <c r="E437" s="238"/>
      <c r="F437" s="238"/>
      <c r="G437" s="238"/>
      <c r="H437" s="238"/>
      <c r="I437" s="238"/>
      <c r="J437" s="238"/>
      <c r="K437" s="238"/>
      <c r="L437" s="238"/>
      <c r="M437" s="238"/>
      <c r="N437" s="238"/>
      <c r="O437" s="238"/>
      <c r="P437" s="238"/>
      <c r="Q437" s="238"/>
      <c r="R437" s="238"/>
      <c r="S437" s="238"/>
      <c r="T437" s="238"/>
      <c r="U437" s="238"/>
      <c r="V437" s="238"/>
      <c r="W437" s="238"/>
      <c r="X437" s="238"/>
      <c r="Y437" s="238"/>
      <c r="Z437" s="238"/>
      <c r="AA437" s="238"/>
      <c r="AB437" s="238"/>
      <c r="AC437" s="238"/>
      <c r="AD437" s="238"/>
      <c r="AE437" s="238"/>
      <c r="AF437" s="238"/>
      <c r="AG437" s="238"/>
      <c r="AH437" s="238"/>
      <c r="AI437" s="238"/>
      <c r="AJ437" s="238"/>
      <c r="AK437" s="238"/>
    </row>
    <row r="438" spans="2:37" ht="13.2">
      <c r="B438" s="238"/>
      <c r="C438" s="238"/>
      <c r="D438" s="238"/>
      <c r="E438" s="238"/>
      <c r="F438" s="238"/>
      <c r="G438" s="238"/>
      <c r="H438" s="238"/>
      <c r="I438" s="238"/>
      <c r="J438" s="238"/>
      <c r="K438" s="238"/>
      <c r="L438" s="238"/>
      <c r="M438" s="238"/>
      <c r="N438" s="238"/>
      <c r="O438" s="238"/>
      <c r="P438" s="238"/>
      <c r="Q438" s="238"/>
      <c r="R438" s="238"/>
      <c r="S438" s="238"/>
      <c r="T438" s="238"/>
      <c r="U438" s="238"/>
      <c r="V438" s="238"/>
      <c r="W438" s="238"/>
      <c r="X438" s="238"/>
      <c r="Y438" s="238"/>
      <c r="Z438" s="238"/>
      <c r="AA438" s="238"/>
      <c r="AB438" s="238"/>
      <c r="AC438" s="238"/>
      <c r="AD438" s="238"/>
      <c r="AE438" s="238"/>
      <c r="AF438" s="238"/>
      <c r="AG438" s="238"/>
      <c r="AH438" s="238"/>
      <c r="AI438" s="238"/>
      <c r="AJ438" s="238"/>
      <c r="AK438" s="238"/>
    </row>
    <row r="439" spans="2:37" ht="13.2">
      <c r="B439" s="238"/>
      <c r="C439" s="238"/>
      <c r="D439" s="238"/>
      <c r="E439" s="238"/>
      <c r="F439" s="238"/>
      <c r="G439" s="238"/>
      <c r="H439" s="238"/>
      <c r="I439" s="238"/>
      <c r="J439" s="238"/>
      <c r="K439" s="238"/>
      <c r="L439" s="238"/>
      <c r="M439" s="238"/>
      <c r="N439" s="238"/>
      <c r="O439" s="238"/>
      <c r="P439" s="238"/>
      <c r="Q439" s="238"/>
      <c r="R439" s="238"/>
      <c r="S439" s="238"/>
      <c r="T439" s="238"/>
      <c r="U439" s="238"/>
      <c r="V439" s="238"/>
      <c r="W439" s="238"/>
      <c r="X439" s="238"/>
      <c r="Y439" s="238"/>
      <c r="Z439" s="238"/>
      <c r="AA439" s="238"/>
      <c r="AB439" s="238"/>
      <c r="AC439" s="238"/>
      <c r="AD439" s="238"/>
      <c r="AE439" s="238"/>
      <c r="AF439" s="238"/>
      <c r="AG439" s="238"/>
      <c r="AH439" s="238"/>
      <c r="AI439" s="238"/>
      <c r="AJ439" s="238"/>
      <c r="AK439" s="238"/>
    </row>
    <row r="440" spans="2:37" ht="13.2">
      <c r="B440" s="238"/>
      <c r="C440" s="238"/>
      <c r="D440" s="238"/>
      <c r="E440" s="238"/>
      <c r="F440" s="238"/>
      <c r="G440" s="238"/>
      <c r="H440" s="238"/>
      <c r="I440" s="238"/>
      <c r="J440" s="238"/>
      <c r="K440" s="238"/>
      <c r="L440" s="238"/>
      <c r="M440" s="238"/>
      <c r="N440" s="238"/>
      <c r="O440" s="238"/>
      <c r="P440" s="238"/>
      <c r="Q440" s="238"/>
      <c r="R440" s="238"/>
      <c r="S440" s="238"/>
      <c r="T440" s="238"/>
      <c r="U440" s="238"/>
      <c r="V440" s="238"/>
      <c r="W440" s="238"/>
      <c r="X440" s="238"/>
      <c r="Y440" s="238"/>
      <c r="Z440" s="238"/>
      <c r="AA440" s="238"/>
      <c r="AB440" s="238"/>
      <c r="AC440" s="238"/>
      <c r="AD440" s="238"/>
      <c r="AE440" s="238"/>
      <c r="AF440" s="238"/>
      <c r="AG440" s="238"/>
      <c r="AH440" s="238"/>
      <c r="AI440" s="238"/>
      <c r="AJ440" s="238"/>
      <c r="AK440" s="238"/>
    </row>
    <row r="441" spans="2:37" ht="13.2">
      <c r="B441" s="238"/>
      <c r="C441" s="238"/>
      <c r="D441" s="238"/>
      <c r="E441" s="238"/>
      <c r="F441" s="238"/>
      <c r="G441" s="238"/>
      <c r="H441" s="238"/>
      <c r="I441" s="238"/>
      <c r="J441" s="238"/>
      <c r="K441" s="238"/>
      <c r="L441" s="238"/>
      <c r="M441" s="238"/>
      <c r="N441" s="238"/>
      <c r="O441" s="238"/>
      <c r="P441" s="238"/>
      <c r="Q441" s="238"/>
      <c r="R441" s="238"/>
      <c r="S441" s="238"/>
      <c r="T441" s="238"/>
      <c r="U441" s="238"/>
      <c r="V441" s="238"/>
      <c r="W441" s="238"/>
      <c r="X441" s="238"/>
      <c r="Y441" s="238"/>
      <c r="Z441" s="238"/>
      <c r="AA441" s="238"/>
      <c r="AB441" s="238"/>
      <c r="AC441" s="238"/>
      <c r="AD441" s="238"/>
      <c r="AE441" s="238"/>
      <c r="AF441" s="238"/>
      <c r="AG441" s="238"/>
      <c r="AH441" s="238"/>
      <c r="AI441" s="238"/>
      <c r="AJ441" s="238"/>
      <c r="AK441" s="238"/>
    </row>
    <row r="442" spans="2:37" ht="13.2">
      <c r="B442" s="238"/>
      <c r="C442" s="238"/>
      <c r="D442" s="238"/>
      <c r="E442" s="238"/>
      <c r="F442" s="238"/>
      <c r="G442" s="238"/>
      <c r="H442" s="238"/>
      <c r="I442" s="238"/>
      <c r="J442" s="238"/>
      <c r="K442" s="238"/>
      <c r="L442" s="238"/>
      <c r="M442" s="238"/>
      <c r="N442" s="238"/>
      <c r="O442" s="238"/>
      <c r="P442" s="238"/>
      <c r="Q442" s="238"/>
      <c r="R442" s="238"/>
      <c r="S442" s="238"/>
      <c r="T442" s="238"/>
      <c r="U442" s="238"/>
      <c r="V442" s="238"/>
      <c r="W442" s="238"/>
      <c r="X442" s="238"/>
      <c r="Y442" s="238"/>
      <c r="Z442" s="238"/>
      <c r="AA442" s="238"/>
      <c r="AB442" s="238"/>
      <c r="AC442" s="238"/>
      <c r="AD442" s="238"/>
      <c r="AE442" s="238"/>
      <c r="AF442" s="238"/>
      <c r="AG442" s="238"/>
      <c r="AH442" s="238"/>
      <c r="AI442" s="238"/>
      <c r="AJ442" s="238"/>
      <c r="AK442" s="238"/>
    </row>
    <row r="443" spans="2:37" ht="13.2">
      <c r="B443" s="238"/>
      <c r="C443" s="238"/>
      <c r="D443" s="238"/>
      <c r="E443" s="238"/>
      <c r="F443" s="238"/>
      <c r="G443" s="238"/>
      <c r="H443" s="238"/>
      <c r="I443" s="238"/>
      <c r="J443" s="238"/>
      <c r="K443" s="238"/>
      <c r="L443" s="238"/>
      <c r="M443" s="238"/>
      <c r="N443" s="238"/>
      <c r="O443" s="238"/>
      <c r="P443" s="238"/>
      <c r="Q443" s="238"/>
      <c r="R443" s="238"/>
      <c r="S443" s="238"/>
      <c r="T443" s="238"/>
      <c r="U443" s="238"/>
      <c r="V443" s="238"/>
      <c r="W443" s="238"/>
      <c r="X443" s="238"/>
      <c r="Y443" s="238"/>
      <c r="Z443" s="238"/>
      <c r="AA443" s="238"/>
      <c r="AB443" s="238"/>
      <c r="AC443" s="238"/>
      <c r="AD443" s="238"/>
      <c r="AE443" s="238"/>
      <c r="AF443" s="238"/>
      <c r="AG443" s="238"/>
      <c r="AH443" s="238"/>
      <c r="AI443" s="238"/>
      <c r="AJ443" s="238"/>
      <c r="AK443" s="238"/>
    </row>
    <row r="444" spans="2:37" ht="13.2">
      <c r="B444" s="238"/>
      <c r="C444" s="238"/>
      <c r="D444" s="238"/>
      <c r="E444" s="238"/>
      <c r="F444" s="238"/>
      <c r="G444" s="238"/>
      <c r="H444" s="238"/>
      <c r="I444" s="238"/>
      <c r="J444" s="238"/>
      <c r="K444" s="238"/>
      <c r="L444" s="238"/>
      <c r="M444" s="238"/>
      <c r="N444" s="238"/>
      <c r="O444" s="238"/>
      <c r="P444" s="238"/>
      <c r="Q444" s="238"/>
      <c r="R444" s="238"/>
      <c r="S444" s="238"/>
      <c r="T444" s="238"/>
      <c r="U444" s="238"/>
      <c r="V444" s="238"/>
      <c r="W444" s="238"/>
      <c r="X444" s="238"/>
      <c r="Y444" s="238"/>
      <c r="Z444" s="238"/>
      <c r="AA444" s="238"/>
      <c r="AB444" s="238"/>
      <c r="AC444" s="238"/>
      <c r="AD444" s="238"/>
      <c r="AE444" s="238"/>
      <c r="AF444" s="238"/>
      <c r="AG444" s="238"/>
      <c r="AH444" s="238"/>
      <c r="AI444" s="238"/>
      <c r="AJ444" s="238"/>
      <c r="AK444" s="238"/>
    </row>
    <row r="445" spans="2:37" ht="13.2">
      <c r="B445" s="238"/>
      <c r="C445" s="238"/>
      <c r="D445" s="238"/>
      <c r="E445" s="238"/>
      <c r="F445" s="238"/>
      <c r="G445" s="238"/>
      <c r="H445" s="238"/>
      <c r="I445" s="238"/>
      <c r="J445" s="238"/>
      <c r="K445" s="238"/>
      <c r="L445" s="238"/>
      <c r="M445" s="238"/>
      <c r="N445" s="238"/>
      <c r="O445" s="238"/>
      <c r="P445" s="238"/>
      <c r="Q445" s="238"/>
      <c r="R445" s="238"/>
      <c r="S445" s="238"/>
      <c r="T445" s="238"/>
      <c r="U445" s="238"/>
      <c r="V445" s="238"/>
      <c r="W445" s="238"/>
      <c r="X445" s="238"/>
      <c r="Y445" s="238"/>
      <c r="Z445" s="238"/>
      <c r="AA445" s="238"/>
      <c r="AB445" s="238"/>
      <c r="AC445" s="238"/>
      <c r="AD445" s="238"/>
      <c r="AE445" s="238"/>
      <c r="AF445" s="238"/>
      <c r="AG445" s="238"/>
      <c r="AH445" s="238"/>
      <c r="AI445" s="238"/>
      <c r="AJ445" s="238"/>
      <c r="AK445" s="238"/>
    </row>
    <row r="446" spans="2:37" ht="13.2">
      <c r="B446" s="238"/>
      <c r="C446" s="238"/>
      <c r="D446" s="238"/>
      <c r="E446" s="238"/>
      <c r="F446" s="238"/>
      <c r="G446" s="238"/>
      <c r="H446" s="238"/>
      <c r="I446" s="238"/>
      <c r="J446" s="238"/>
      <c r="K446" s="238"/>
      <c r="L446" s="238"/>
      <c r="M446" s="238"/>
      <c r="N446" s="238"/>
      <c r="O446" s="238"/>
      <c r="P446" s="238"/>
      <c r="Q446" s="238"/>
      <c r="R446" s="238"/>
      <c r="S446" s="238"/>
      <c r="T446" s="238"/>
      <c r="U446" s="238"/>
      <c r="V446" s="238"/>
      <c r="W446" s="238"/>
      <c r="X446" s="238"/>
      <c r="Y446" s="238"/>
      <c r="Z446" s="238"/>
      <c r="AA446" s="238"/>
      <c r="AB446" s="238"/>
      <c r="AC446" s="238"/>
      <c r="AD446" s="238"/>
      <c r="AE446" s="238"/>
      <c r="AF446" s="238"/>
      <c r="AG446" s="238"/>
      <c r="AH446" s="238"/>
      <c r="AI446" s="238"/>
      <c r="AJ446" s="238"/>
      <c r="AK446" s="238"/>
    </row>
    <row r="447" spans="2:37" ht="13.2">
      <c r="B447" s="238"/>
      <c r="C447" s="238"/>
      <c r="D447" s="238"/>
      <c r="E447" s="238"/>
      <c r="F447" s="238"/>
      <c r="G447" s="238"/>
      <c r="H447" s="238"/>
      <c r="I447" s="238"/>
      <c r="J447" s="238"/>
      <c r="K447" s="238"/>
      <c r="L447" s="238"/>
      <c r="M447" s="238"/>
      <c r="N447" s="238"/>
      <c r="O447" s="238"/>
      <c r="P447" s="238"/>
      <c r="Q447" s="238"/>
      <c r="R447" s="238"/>
      <c r="S447" s="238"/>
      <c r="T447" s="238"/>
      <c r="U447" s="238"/>
      <c r="V447" s="238"/>
      <c r="W447" s="238"/>
      <c r="X447" s="238"/>
      <c r="Y447" s="238"/>
      <c r="Z447" s="238"/>
      <c r="AA447" s="238"/>
      <c r="AB447" s="238"/>
      <c r="AC447" s="238"/>
      <c r="AD447" s="238"/>
      <c r="AE447" s="238"/>
      <c r="AF447" s="238"/>
      <c r="AG447" s="238"/>
      <c r="AH447" s="238"/>
      <c r="AI447" s="238"/>
      <c r="AJ447" s="238"/>
      <c r="AK447" s="238"/>
    </row>
    <row r="448" spans="2:37" ht="13.2">
      <c r="B448" s="238"/>
      <c r="C448" s="238"/>
      <c r="D448" s="238"/>
      <c r="E448" s="238"/>
      <c r="F448" s="238"/>
      <c r="G448" s="238"/>
      <c r="H448" s="238"/>
      <c r="I448" s="238"/>
      <c r="J448" s="238"/>
      <c r="K448" s="238"/>
      <c r="L448" s="238"/>
      <c r="M448" s="238"/>
      <c r="N448" s="238"/>
      <c r="O448" s="238"/>
      <c r="P448" s="238"/>
      <c r="Q448" s="238"/>
      <c r="R448" s="238"/>
      <c r="S448" s="238"/>
      <c r="T448" s="238"/>
      <c r="U448" s="238"/>
      <c r="V448" s="238"/>
      <c r="W448" s="238"/>
      <c r="X448" s="238"/>
      <c r="Y448" s="238"/>
      <c r="Z448" s="238"/>
      <c r="AA448" s="238"/>
      <c r="AB448" s="238"/>
      <c r="AC448" s="238"/>
      <c r="AD448" s="238"/>
      <c r="AE448" s="238"/>
      <c r="AF448" s="238"/>
      <c r="AG448" s="238"/>
      <c r="AH448" s="238"/>
      <c r="AI448" s="238"/>
      <c r="AJ448" s="238"/>
      <c r="AK448" s="238"/>
    </row>
    <row r="449" spans="2:37" ht="13.2">
      <c r="B449" s="238"/>
      <c r="C449" s="238"/>
      <c r="D449" s="238"/>
      <c r="E449" s="238"/>
      <c r="F449" s="238"/>
      <c r="G449" s="238"/>
      <c r="H449" s="238"/>
      <c r="I449" s="238"/>
      <c r="J449" s="238"/>
      <c r="K449" s="238"/>
      <c r="L449" s="238"/>
      <c r="M449" s="238"/>
      <c r="N449" s="238"/>
      <c r="O449" s="238"/>
      <c r="P449" s="238"/>
      <c r="Q449" s="238"/>
      <c r="R449" s="238"/>
      <c r="S449" s="238"/>
      <c r="T449" s="238"/>
      <c r="U449" s="238"/>
      <c r="V449" s="238"/>
      <c r="W449" s="238"/>
      <c r="X449" s="238"/>
      <c r="Y449" s="238"/>
      <c r="Z449" s="238"/>
      <c r="AA449" s="238"/>
      <c r="AB449" s="238"/>
      <c r="AC449" s="238"/>
      <c r="AD449" s="238"/>
      <c r="AE449" s="238"/>
      <c r="AF449" s="238"/>
      <c r="AG449" s="238"/>
      <c r="AH449" s="238"/>
      <c r="AI449" s="238"/>
      <c r="AJ449" s="238"/>
      <c r="AK449" s="238"/>
    </row>
    <row r="450" spans="2:37" ht="13.2">
      <c r="B450" s="238"/>
      <c r="C450" s="238"/>
      <c r="D450" s="238"/>
      <c r="E450" s="238"/>
      <c r="F450" s="238"/>
      <c r="G450" s="238"/>
      <c r="H450" s="238"/>
      <c r="I450" s="238"/>
      <c r="J450" s="238"/>
      <c r="K450" s="238"/>
      <c r="L450" s="238"/>
      <c r="M450" s="238"/>
      <c r="N450" s="238"/>
      <c r="O450" s="238"/>
      <c r="P450" s="238"/>
      <c r="Q450" s="238"/>
      <c r="R450" s="238"/>
      <c r="S450" s="238"/>
      <c r="T450" s="238"/>
      <c r="U450" s="238"/>
      <c r="V450" s="238"/>
      <c r="W450" s="238"/>
      <c r="X450" s="238"/>
      <c r="Y450" s="238"/>
      <c r="Z450" s="238"/>
      <c r="AA450" s="238"/>
      <c r="AB450" s="238"/>
      <c r="AC450" s="238"/>
      <c r="AD450" s="238"/>
      <c r="AE450" s="238"/>
      <c r="AF450" s="238"/>
      <c r="AG450" s="238"/>
      <c r="AH450" s="238"/>
      <c r="AI450" s="238"/>
      <c r="AJ450" s="238"/>
      <c r="AK450" s="238"/>
    </row>
    <row r="451" spans="2:37" ht="13.2">
      <c r="B451" s="238"/>
      <c r="C451" s="238"/>
      <c r="D451" s="238"/>
      <c r="E451" s="238"/>
      <c r="F451" s="238"/>
      <c r="G451" s="238"/>
      <c r="H451" s="238"/>
      <c r="I451" s="238"/>
      <c r="J451" s="238"/>
      <c r="K451" s="238"/>
      <c r="L451" s="238"/>
      <c r="M451" s="238"/>
      <c r="N451" s="238"/>
      <c r="O451" s="238"/>
      <c r="P451" s="238"/>
      <c r="Q451" s="238"/>
      <c r="R451" s="238"/>
      <c r="S451" s="238"/>
      <c r="T451" s="238"/>
      <c r="U451" s="238"/>
      <c r="V451" s="238"/>
      <c r="W451" s="238"/>
      <c r="X451" s="238"/>
      <c r="Y451" s="238"/>
      <c r="Z451" s="238"/>
      <c r="AA451" s="238"/>
      <c r="AB451" s="238"/>
      <c r="AC451" s="238"/>
      <c r="AD451" s="238"/>
      <c r="AE451" s="238"/>
      <c r="AF451" s="238"/>
      <c r="AG451" s="238"/>
      <c r="AH451" s="238"/>
      <c r="AI451" s="238"/>
      <c r="AJ451" s="238"/>
      <c r="AK451" s="238"/>
    </row>
    <row r="452" spans="2:37" ht="13.2">
      <c r="B452" s="238"/>
      <c r="C452" s="238"/>
      <c r="D452" s="238"/>
      <c r="E452" s="238"/>
      <c r="F452" s="238"/>
      <c r="G452" s="238"/>
      <c r="H452" s="238"/>
      <c r="I452" s="238"/>
      <c r="J452" s="238"/>
      <c r="K452" s="238"/>
      <c r="L452" s="238"/>
      <c r="M452" s="238"/>
      <c r="N452" s="238"/>
      <c r="O452" s="238"/>
      <c r="P452" s="238"/>
      <c r="Q452" s="238"/>
      <c r="R452" s="238"/>
      <c r="S452" s="238"/>
      <c r="T452" s="238"/>
      <c r="U452" s="238"/>
      <c r="V452" s="238"/>
      <c r="W452" s="238"/>
      <c r="X452" s="238"/>
      <c r="Y452" s="238"/>
      <c r="Z452" s="238"/>
      <c r="AA452" s="238"/>
      <c r="AB452" s="238"/>
      <c r="AC452" s="238"/>
      <c r="AD452" s="238"/>
      <c r="AE452" s="238"/>
      <c r="AF452" s="238"/>
      <c r="AG452" s="238"/>
      <c r="AH452" s="238"/>
      <c r="AI452" s="238"/>
      <c r="AJ452" s="238"/>
      <c r="AK452" s="238"/>
    </row>
    <row r="453" spans="2:37" ht="13.2">
      <c r="B453" s="238"/>
      <c r="C453" s="238"/>
      <c r="D453" s="238"/>
      <c r="E453" s="238"/>
      <c r="F453" s="238"/>
      <c r="G453" s="238"/>
      <c r="H453" s="238"/>
      <c r="I453" s="238"/>
      <c r="J453" s="238"/>
      <c r="K453" s="238"/>
      <c r="L453" s="238"/>
      <c r="M453" s="238"/>
      <c r="N453" s="238"/>
      <c r="O453" s="238"/>
      <c r="P453" s="238"/>
      <c r="Q453" s="238"/>
      <c r="R453" s="238"/>
      <c r="S453" s="238"/>
      <c r="T453" s="238"/>
      <c r="U453" s="238"/>
      <c r="V453" s="238"/>
      <c r="W453" s="238"/>
      <c r="X453" s="238"/>
      <c r="Y453" s="238"/>
      <c r="Z453" s="238"/>
      <c r="AA453" s="238"/>
      <c r="AB453" s="238"/>
      <c r="AC453" s="238"/>
      <c r="AD453" s="238"/>
      <c r="AE453" s="238"/>
      <c r="AF453" s="238"/>
      <c r="AG453" s="238"/>
      <c r="AH453" s="238"/>
      <c r="AI453" s="238"/>
      <c r="AJ453" s="238"/>
      <c r="AK453" s="238"/>
    </row>
    <row r="454" spans="2:37" ht="13.2">
      <c r="B454" s="238"/>
      <c r="C454" s="238"/>
      <c r="D454" s="238"/>
      <c r="E454" s="238"/>
      <c r="F454" s="238"/>
      <c r="G454" s="238"/>
      <c r="H454" s="238"/>
      <c r="I454" s="238"/>
      <c r="J454" s="238"/>
      <c r="K454" s="238"/>
      <c r="L454" s="238"/>
      <c r="M454" s="238"/>
      <c r="N454" s="238"/>
      <c r="O454" s="238"/>
      <c r="P454" s="238"/>
      <c r="Q454" s="238"/>
      <c r="R454" s="238"/>
      <c r="S454" s="238"/>
      <c r="T454" s="238"/>
      <c r="U454" s="238"/>
      <c r="V454" s="238"/>
      <c r="W454" s="238"/>
      <c r="X454" s="238"/>
      <c r="Y454" s="238"/>
      <c r="Z454" s="238"/>
      <c r="AA454" s="238"/>
      <c r="AB454" s="238"/>
      <c r="AC454" s="238"/>
      <c r="AD454" s="238"/>
      <c r="AE454" s="238"/>
      <c r="AF454" s="238"/>
      <c r="AG454" s="238"/>
      <c r="AH454" s="238"/>
      <c r="AI454" s="238"/>
      <c r="AJ454" s="238"/>
      <c r="AK454" s="238"/>
    </row>
    <row r="455" spans="2:37" ht="13.2">
      <c r="B455" s="238"/>
      <c r="C455" s="238"/>
      <c r="D455" s="238"/>
      <c r="E455" s="238"/>
      <c r="F455" s="238"/>
      <c r="G455" s="238"/>
      <c r="H455" s="238"/>
      <c r="I455" s="238"/>
      <c r="J455" s="238"/>
      <c r="K455" s="238"/>
      <c r="L455" s="238"/>
      <c r="M455" s="238"/>
      <c r="N455" s="238"/>
      <c r="O455" s="238"/>
      <c r="P455" s="238"/>
      <c r="Q455" s="238"/>
      <c r="R455" s="238"/>
      <c r="S455" s="238"/>
      <c r="T455" s="238"/>
      <c r="U455" s="238"/>
      <c r="V455" s="238"/>
      <c r="W455" s="238"/>
      <c r="X455" s="238"/>
      <c r="Y455" s="238"/>
      <c r="Z455" s="238"/>
      <c r="AA455" s="238"/>
      <c r="AB455" s="238"/>
      <c r="AC455" s="238"/>
      <c r="AD455" s="238"/>
      <c r="AE455" s="238"/>
      <c r="AF455" s="238"/>
      <c r="AG455" s="238"/>
      <c r="AH455" s="238"/>
      <c r="AI455" s="238"/>
      <c r="AJ455" s="238"/>
      <c r="AK455" s="238"/>
    </row>
    <row r="456" spans="2:37" ht="13.2">
      <c r="B456" s="238"/>
      <c r="C456" s="238"/>
      <c r="D456" s="238"/>
      <c r="E456" s="238"/>
      <c r="F456" s="238"/>
      <c r="G456" s="238"/>
      <c r="H456" s="238"/>
      <c r="I456" s="238"/>
      <c r="J456" s="238"/>
      <c r="K456" s="238"/>
      <c r="L456" s="238"/>
      <c r="M456" s="238"/>
      <c r="N456" s="238"/>
      <c r="O456" s="238"/>
      <c r="P456" s="238"/>
      <c r="Q456" s="238"/>
      <c r="R456" s="238"/>
      <c r="S456" s="238"/>
      <c r="T456" s="238"/>
      <c r="U456" s="238"/>
      <c r="V456" s="238"/>
      <c r="W456" s="238"/>
      <c r="X456" s="238"/>
      <c r="Y456" s="238"/>
      <c r="Z456" s="238"/>
      <c r="AA456" s="238"/>
      <c r="AB456" s="238"/>
      <c r="AC456" s="238"/>
      <c r="AD456" s="238"/>
      <c r="AE456" s="238"/>
      <c r="AF456" s="238"/>
      <c r="AG456" s="238"/>
      <c r="AH456" s="238"/>
      <c r="AI456" s="238"/>
      <c r="AJ456" s="238"/>
      <c r="AK456" s="238"/>
    </row>
    <row r="457" spans="2:37" ht="13.2">
      <c r="B457" s="238"/>
      <c r="C457" s="238"/>
      <c r="D457" s="238"/>
      <c r="E457" s="238"/>
      <c r="F457" s="238"/>
      <c r="G457" s="238"/>
      <c r="H457" s="238"/>
      <c r="I457" s="238"/>
      <c r="J457" s="238"/>
      <c r="K457" s="238"/>
      <c r="L457" s="238"/>
      <c r="M457" s="238"/>
      <c r="N457" s="238"/>
      <c r="O457" s="238"/>
      <c r="P457" s="238"/>
      <c r="Q457" s="238"/>
      <c r="R457" s="238"/>
      <c r="S457" s="238"/>
      <c r="T457" s="238"/>
      <c r="U457" s="238"/>
      <c r="V457" s="238"/>
      <c r="W457" s="238"/>
      <c r="X457" s="238"/>
      <c r="Y457" s="238"/>
      <c r="Z457" s="238"/>
      <c r="AA457" s="238"/>
      <c r="AB457" s="238"/>
      <c r="AC457" s="238"/>
      <c r="AD457" s="238"/>
      <c r="AE457" s="238"/>
      <c r="AF457" s="238"/>
      <c r="AG457" s="238"/>
      <c r="AH457" s="238"/>
      <c r="AI457" s="238"/>
      <c r="AJ457" s="238"/>
      <c r="AK457" s="238"/>
    </row>
    <row r="458" spans="2:37" ht="13.2">
      <c r="B458" s="238"/>
      <c r="C458" s="238"/>
      <c r="D458" s="238"/>
      <c r="E458" s="238"/>
      <c r="F458" s="238"/>
      <c r="G458" s="238"/>
      <c r="H458" s="238"/>
      <c r="I458" s="238"/>
      <c r="J458" s="238"/>
      <c r="K458" s="238"/>
      <c r="L458" s="238"/>
      <c r="M458" s="238"/>
      <c r="N458" s="238"/>
      <c r="O458" s="238"/>
      <c r="P458" s="238"/>
      <c r="Q458" s="238"/>
      <c r="R458" s="238"/>
      <c r="S458" s="238"/>
      <c r="T458" s="238"/>
      <c r="U458" s="238"/>
      <c r="V458" s="238"/>
      <c r="W458" s="238"/>
      <c r="X458" s="238"/>
      <c r="Y458" s="238"/>
      <c r="Z458" s="238"/>
      <c r="AA458" s="238"/>
      <c r="AB458" s="238"/>
      <c r="AC458" s="238"/>
      <c r="AD458" s="238"/>
      <c r="AE458" s="238"/>
      <c r="AF458" s="238"/>
      <c r="AG458" s="238"/>
      <c r="AH458" s="238"/>
      <c r="AI458" s="238"/>
      <c r="AJ458" s="238"/>
      <c r="AK458" s="238"/>
    </row>
    <row r="459" spans="2:37" ht="13.2">
      <c r="B459" s="238"/>
      <c r="C459" s="238"/>
      <c r="D459" s="238"/>
      <c r="E459" s="238"/>
      <c r="F459" s="238"/>
      <c r="G459" s="238"/>
      <c r="H459" s="238"/>
      <c r="I459" s="238"/>
      <c r="J459" s="238"/>
      <c r="K459" s="238"/>
      <c r="L459" s="238"/>
      <c r="M459" s="238"/>
      <c r="N459" s="238"/>
      <c r="O459" s="238"/>
      <c r="P459" s="238"/>
      <c r="Q459" s="238"/>
      <c r="R459" s="238"/>
      <c r="S459" s="238"/>
      <c r="T459" s="238"/>
      <c r="U459" s="238"/>
      <c r="V459" s="238"/>
      <c r="W459" s="238"/>
      <c r="X459" s="238"/>
      <c r="Y459" s="238"/>
      <c r="Z459" s="238"/>
      <c r="AA459" s="238"/>
      <c r="AB459" s="238"/>
      <c r="AC459" s="238"/>
      <c r="AD459" s="238"/>
      <c r="AE459" s="238"/>
      <c r="AF459" s="238"/>
      <c r="AG459" s="238"/>
      <c r="AH459" s="238"/>
      <c r="AI459" s="238"/>
      <c r="AJ459" s="238"/>
      <c r="AK459" s="238"/>
    </row>
    <row r="460" spans="2:37" ht="13.2">
      <c r="B460" s="238"/>
      <c r="C460" s="238"/>
      <c r="D460" s="238"/>
      <c r="E460" s="238"/>
      <c r="F460" s="238"/>
      <c r="G460" s="238"/>
      <c r="H460" s="238"/>
      <c r="I460" s="238"/>
      <c r="J460" s="238"/>
      <c r="K460" s="238"/>
      <c r="L460" s="238"/>
      <c r="M460" s="238"/>
      <c r="N460" s="238"/>
      <c r="O460" s="238"/>
      <c r="P460" s="238"/>
      <c r="Q460" s="238"/>
      <c r="R460" s="238"/>
      <c r="S460" s="238"/>
      <c r="T460" s="238"/>
      <c r="U460" s="238"/>
      <c r="V460" s="238"/>
      <c r="W460" s="238"/>
      <c r="X460" s="238"/>
      <c r="Y460" s="238"/>
      <c r="Z460" s="238"/>
      <c r="AA460" s="238"/>
      <c r="AB460" s="238"/>
      <c r="AC460" s="238"/>
      <c r="AD460" s="238"/>
      <c r="AE460" s="238"/>
      <c r="AF460" s="238"/>
      <c r="AG460" s="238"/>
      <c r="AH460" s="238"/>
      <c r="AI460" s="238"/>
      <c r="AJ460" s="238"/>
      <c r="AK460" s="238"/>
    </row>
    <row r="461" spans="2:37" ht="13.2">
      <c r="B461" s="238"/>
      <c r="C461" s="238"/>
      <c r="D461" s="238"/>
      <c r="E461" s="238"/>
      <c r="F461" s="238"/>
      <c r="G461" s="238"/>
      <c r="H461" s="238"/>
      <c r="I461" s="238"/>
      <c r="J461" s="238"/>
      <c r="K461" s="238"/>
      <c r="L461" s="238"/>
      <c r="M461" s="238"/>
      <c r="N461" s="238"/>
      <c r="O461" s="238"/>
      <c r="P461" s="238"/>
      <c r="Q461" s="238"/>
      <c r="R461" s="238"/>
      <c r="S461" s="238"/>
      <c r="T461" s="238"/>
      <c r="U461" s="238"/>
      <c r="V461" s="238"/>
      <c r="W461" s="238"/>
      <c r="X461" s="238"/>
      <c r="Y461" s="238"/>
      <c r="Z461" s="238"/>
      <c r="AA461" s="238"/>
      <c r="AB461" s="238"/>
      <c r="AC461" s="238"/>
      <c r="AD461" s="238"/>
      <c r="AE461" s="238"/>
      <c r="AF461" s="238"/>
      <c r="AG461" s="238"/>
      <c r="AH461" s="238"/>
      <c r="AI461" s="238"/>
      <c r="AJ461" s="238"/>
      <c r="AK461" s="238"/>
    </row>
    <row r="462" spans="2:37" ht="13.2">
      <c r="B462" s="238"/>
      <c r="C462" s="238"/>
      <c r="D462" s="238"/>
      <c r="E462" s="238"/>
      <c r="F462" s="238"/>
      <c r="G462" s="238"/>
      <c r="H462" s="238"/>
      <c r="I462" s="238"/>
      <c r="J462" s="238"/>
      <c r="K462" s="238"/>
      <c r="L462" s="238"/>
      <c r="M462" s="238"/>
      <c r="N462" s="238"/>
      <c r="O462" s="238"/>
      <c r="P462" s="238"/>
      <c r="Q462" s="238"/>
      <c r="R462" s="238"/>
      <c r="S462" s="238"/>
      <c r="T462" s="238"/>
      <c r="U462" s="238"/>
      <c r="V462" s="238"/>
      <c r="W462" s="238"/>
      <c r="X462" s="238"/>
      <c r="Y462" s="238"/>
      <c r="Z462" s="238"/>
      <c r="AA462" s="238"/>
      <c r="AB462" s="238"/>
      <c r="AC462" s="238"/>
      <c r="AD462" s="238"/>
      <c r="AE462" s="238"/>
      <c r="AF462" s="238"/>
      <c r="AG462" s="238"/>
      <c r="AH462" s="238"/>
      <c r="AI462" s="238"/>
      <c r="AJ462" s="238"/>
      <c r="AK462" s="238"/>
    </row>
    <row r="463" spans="2:37" ht="13.2">
      <c r="B463" s="238"/>
      <c r="C463" s="238"/>
      <c r="D463" s="238"/>
      <c r="E463" s="238"/>
      <c r="F463" s="238"/>
      <c r="G463" s="238"/>
      <c r="H463" s="238"/>
      <c r="I463" s="238"/>
      <c r="J463" s="238"/>
      <c r="K463" s="238"/>
      <c r="L463" s="238"/>
      <c r="M463" s="238"/>
      <c r="N463" s="238"/>
      <c r="O463" s="238"/>
      <c r="P463" s="238"/>
      <c r="Q463" s="238"/>
      <c r="R463" s="238"/>
      <c r="S463" s="238"/>
      <c r="T463" s="238"/>
      <c r="U463" s="238"/>
      <c r="V463" s="238"/>
      <c r="W463" s="238"/>
      <c r="X463" s="238"/>
      <c r="Y463" s="238"/>
      <c r="Z463" s="238"/>
      <c r="AA463" s="238"/>
      <c r="AB463" s="238"/>
      <c r="AC463" s="238"/>
      <c r="AD463" s="238"/>
      <c r="AE463" s="238"/>
      <c r="AF463" s="238"/>
      <c r="AG463" s="238"/>
      <c r="AH463" s="238"/>
      <c r="AI463" s="238"/>
      <c r="AJ463" s="238"/>
      <c r="AK463" s="238"/>
    </row>
    <row r="464" spans="2:37" ht="13.2">
      <c r="B464" s="238"/>
      <c r="C464" s="238"/>
      <c r="D464" s="238"/>
      <c r="E464" s="238"/>
      <c r="F464" s="238"/>
      <c r="G464" s="238"/>
      <c r="H464" s="238"/>
      <c r="I464" s="238"/>
      <c r="J464" s="238"/>
      <c r="K464" s="238"/>
      <c r="L464" s="238"/>
      <c r="M464" s="238"/>
      <c r="N464" s="238"/>
      <c r="O464" s="238"/>
      <c r="P464" s="238"/>
      <c r="Q464" s="238"/>
      <c r="R464" s="238"/>
      <c r="S464" s="238"/>
      <c r="T464" s="238"/>
      <c r="U464" s="238"/>
      <c r="V464" s="238"/>
      <c r="W464" s="238"/>
      <c r="X464" s="238"/>
      <c r="Y464" s="238"/>
      <c r="Z464" s="238"/>
      <c r="AA464" s="238"/>
      <c r="AB464" s="238"/>
      <c r="AC464" s="238"/>
      <c r="AD464" s="238"/>
      <c r="AE464" s="238"/>
      <c r="AF464" s="238"/>
      <c r="AG464" s="238"/>
      <c r="AH464" s="238"/>
      <c r="AI464" s="238"/>
      <c r="AJ464" s="238"/>
      <c r="AK464" s="238"/>
    </row>
    <row r="465" spans="2:37" ht="13.2">
      <c r="B465" s="238"/>
      <c r="C465" s="238"/>
      <c r="D465" s="238"/>
      <c r="E465" s="238"/>
      <c r="F465" s="238"/>
      <c r="G465" s="238"/>
      <c r="H465" s="238"/>
      <c r="I465" s="238"/>
      <c r="J465" s="238"/>
      <c r="K465" s="238"/>
      <c r="L465" s="238"/>
      <c r="M465" s="238"/>
      <c r="N465" s="238"/>
      <c r="O465" s="238"/>
      <c r="P465" s="238"/>
      <c r="Q465" s="238"/>
      <c r="R465" s="238"/>
      <c r="S465" s="238"/>
      <c r="T465" s="238"/>
      <c r="U465" s="238"/>
      <c r="V465" s="238"/>
      <c r="W465" s="238"/>
      <c r="X465" s="238"/>
      <c r="Y465" s="238"/>
      <c r="Z465" s="238"/>
      <c r="AA465" s="238"/>
      <c r="AB465" s="238"/>
      <c r="AC465" s="238"/>
      <c r="AD465" s="238"/>
      <c r="AE465" s="238"/>
      <c r="AF465" s="238"/>
      <c r="AG465" s="238"/>
      <c r="AH465" s="238"/>
      <c r="AI465" s="238"/>
      <c r="AJ465" s="238"/>
      <c r="AK465" s="238"/>
    </row>
    <row r="466" spans="2:37" ht="13.2">
      <c r="B466" s="238"/>
      <c r="C466" s="238"/>
      <c r="D466" s="238"/>
      <c r="E466" s="238"/>
      <c r="F466" s="238"/>
      <c r="G466" s="238"/>
      <c r="H466" s="238"/>
      <c r="I466" s="238"/>
      <c r="J466" s="238"/>
      <c r="K466" s="238"/>
      <c r="L466" s="238"/>
      <c r="M466" s="238"/>
      <c r="N466" s="238"/>
      <c r="O466" s="238"/>
      <c r="P466" s="238"/>
      <c r="Q466" s="238"/>
      <c r="R466" s="238"/>
      <c r="S466" s="238"/>
      <c r="T466" s="238"/>
      <c r="U466" s="238"/>
      <c r="V466" s="238"/>
      <c r="W466" s="238"/>
      <c r="X466" s="238"/>
      <c r="Y466" s="238"/>
      <c r="Z466" s="238"/>
      <c r="AA466" s="238"/>
      <c r="AB466" s="238"/>
      <c r="AC466" s="238"/>
      <c r="AD466" s="238"/>
      <c r="AE466" s="238"/>
      <c r="AF466" s="238"/>
      <c r="AG466" s="238"/>
      <c r="AH466" s="238"/>
      <c r="AI466" s="238"/>
      <c r="AJ466" s="238"/>
      <c r="AK466" s="238"/>
    </row>
    <row r="467" spans="2:37" ht="13.2">
      <c r="B467" s="238"/>
      <c r="C467" s="238"/>
      <c r="D467" s="238"/>
      <c r="E467" s="238"/>
      <c r="F467" s="238"/>
      <c r="G467" s="238"/>
      <c r="H467" s="238"/>
      <c r="I467" s="238"/>
      <c r="J467" s="238"/>
      <c r="K467" s="238"/>
      <c r="L467" s="238"/>
      <c r="M467" s="238"/>
      <c r="N467" s="238"/>
      <c r="O467" s="238"/>
      <c r="P467" s="238"/>
      <c r="Q467" s="238"/>
      <c r="R467" s="238"/>
      <c r="S467" s="238"/>
      <c r="T467" s="238"/>
      <c r="U467" s="238"/>
      <c r="V467" s="238"/>
      <c r="W467" s="238"/>
      <c r="X467" s="238"/>
      <c r="Y467" s="238"/>
      <c r="Z467" s="238"/>
      <c r="AA467" s="238"/>
      <c r="AB467" s="238"/>
      <c r="AC467" s="238"/>
      <c r="AD467" s="238"/>
      <c r="AE467" s="238"/>
      <c r="AF467" s="238"/>
      <c r="AG467" s="238"/>
      <c r="AH467" s="238"/>
      <c r="AI467" s="238"/>
      <c r="AJ467" s="238"/>
      <c r="AK467" s="238"/>
    </row>
    <row r="468" spans="2:37" ht="13.2">
      <c r="B468" s="238"/>
      <c r="C468" s="238"/>
      <c r="D468" s="238"/>
      <c r="E468" s="238"/>
      <c r="F468" s="238"/>
      <c r="G468" s="238"/>
      <c r="H468" s="238"/>
      <c r="I468" s="238"/>
      <c r="J468" s="238"/>
      <c r="K468" s="238"/>
      <c r="L468" s="238"/>
      <c r="M468" s="238"/>
      <c r="N468" s="238"/>
      <c r="O468" s="238"/>
      <c r="P468" s="238"/>
      <c r="Q468" s="238"/>
      <c r="R468" s="238"/>
      <c r="S468" s="238"/>
      <c r="T468" s="238"/>
      <c r="U468" s="238"/>
      <c r="V468" s="238"/>
      <c r="W468" s="238"/>
      <c r="X468" s="238"/>
      <c r="Y468" s="238"/>
      <c r="Z468" s="238"/>
      <c r="AA468" s="238"/>
      <c r="AB468" s="238"/>
      <c r="AC468" s="238"/>
      <c r="AD468" s="238"/>
      <c r="AE468" s="238"/>
      <c r="AF468" s="238"/>
      <c r="AG468" s="238"/>
      <c r="AH468" s="238"/>
      <c r="AI468" s="238"/>
      <c r="AJ468" s="238"/>
      <c r="AK468" s="238"/>
    </row>
    <row r="469" spans="2:37" ht="13.2">
      <c r="B469" s="238"/>
      <c r="C469" s="238"/>
      <c r="D469" s="238"/>
      <c r="E469" s="238"/>
      <c r="F469" s="238"/>
      <c r="G469" s="238"/>
      <c r="H469" s="238"/>
      <c r="I469" s="238"/>
      <c r="J469" s="238"/>
      <c r="K469" s="238"/>
      <c r="L469" s="238"/>
      <c r="M469" s="238"/>
      <c r="N469" s="238"/>
      <c r="O469" s="238"/>
      <c r="P469" s="238"/>
      <c r="Q469" s="238"/>
      <c r="R469" s="238"/>
      <c r="S469" s="238"/>
      <c r="T469" s="238"/>
      <c r="U469" s="238"/>
      <c r="V469" s="238"/>
      <c r="W469" s="238"/>
      <c r="X469" s="238"/>
      <c r="Y469" s="238"/>
      <c r="Z469" s="238"/>
      <c r="AA469" s="238"/>
      <c r="AB469" s="238"/>
      <c r="AC469" s="238"/>
      <c r="AD469" s="238"/>
      <c r="AE469" s="238"/>
      <c r="AF469" s="238"/>
      <c r="AG469" s="238"/>
      <c r="AH469" s="238"/>
      <c r="AI469" s="238"/>
      <c r="AJ469" s="238"/>
      <c r="AK469" s="238"/>
    </row>
    <row r="470" spans="2:37" ht="13.2">
      <c r="B470" s="238"/>
      <c r="C470" s="238"/>
      <c r="D470" s="238"/>
      <c r="E470" s="238"/>
      <c r="F470" s="238"/>
      <c r="G470" s="238"/>
      <c r="H470" s="238"/>
      <c r="I470" s="238"/>
      <c r="J470" s="238"/>
      <c r="K470" s="238"/>
      <c r="L470" s="238"/>
      <c r="M470" s="238"/>
      <c r="N470" s="238"/>
      <c r="O470" s="238"/>
      <c r="P470" s="238"/>
      <c r="Q470" s="238"/>
      <c r="R470" s="238"/>
      <c r="S470" s="238"/>
      <c r="T470" s="238"/>
      <c r="U470" s="238"/>
      <c r="V470" s="238"/>
      <c r="W470" s="238"/>
      <c r="X470" s="238"/>
      <c r="Y470" s="238"/>
      <c r="Z470" s="238"/>
      <c r="AA470" s="238"/>
      <c r="AB470" s="238"/>
      <c r="AC470" s="238"/>
      <c r="AD470" s="238"/>
      <c r="AE470" s="238"/>
      <c r="AF470" s="238"/>
      <c r="AG470" s="238"/>
      <c r="AH470" s="238"/>
      <c r="AI470" s="238"/>
      <c r="AJ470" s="238"/>
      <c r="AK470" s="238"/>
    </row>
    <row r="471" spans="2:37" ht="13.2">
      <c r="B471" s="238"/>
      <c r="C471" s="238"/>
      <c r="D471" s="238"/>
      <c r="E471" s="238"/>
      <c r="F471" s="238"/>
      <c r="G471" s="238"/>
      <c r="H471" s="238"/>
      <c r="I471" s="238"/>
      <c r="J471" s="238"/>
      <c r="K471" s="238"/>
      <c r="L471" s="238"/>
      <c r="M471" s="238"/>
      <c r="N471" s="238"/>
      <c r="O471" s="238"/>
      <c r="P471" s="238"/>
      <c r="Q471" s="238"/>
      <c r="R471" s="238"/>
      <c r="S471" s="238"/>
      <c r="T471" s="238"/>
      <c r="U471" s="238"/>
      <c r="V471" s="238"/>
      <c r="W471" s="238"/>
      <c r="X471" s="238"/>
      <c r="Y471" s="238"/>
      <c r="Z471" s="238"/>
      <c r="AA471" s="238"/>
      <c r="AB471" s="238"/>
      <c r="AC471" s="238"/>
      <c r="AD471" s="238"/>
      <c r="AE471" s="238"/>
      <c r="AF471" s="238"/>
      <c r="AG471" s="238"/>
      <c r="AH471" s="238"/>
      <c r="AI471" s="238"/>
      <c r="AJ471" s="238"/>
      <c r="AK471" s="238"/>
    </row>
    <row r="472" spans="2:37" ht="13.2">
      <c r="B472" s="238"/>
      <c r="C472" s="238"/>
      <c r="D472" s="238"/>
      <c r="E472" s="238"/>
      <c r="F472" s="238"/>
      <c r="G472" s="238"/>
      <c r="H472" s="238"/>
      <c r="I472" s="238"/>
      <c r="J472" s="238"/>
      <c r="K472" s="238"/>
      <c r="L472" s="238"/>
      <c r="M472" s="238"/>
      <c r="N472" s="238"/>
      <c r="O472" s="238"/>
      <c r="P472" s="238"/>
      <c r="Q472" s="238"/>
      <c r="R472" s="238"/>
      <c r="S472" s="238"/>
      <c r="T472" s="238"/>
      <c r="U472" s="238"/>
      <c r="V472" s="238"/>
      <c r="W472" s="238"/>
      <c r="X472" s="238"/>
      <c r="Y472" s="238"/>
      <c r="Z472" s="238"/>
      <c r="AA472" s="238"/>
      <c r="AB472" s="238"/>
      <c r="AC472" s="238"/>
      <c r="AD472" s="238"/>
      <c r="AE472" s="238"/>
      <c r="AF472" s="238"/>
      <c r="AG472" s="238"/>
      <c r="AH472" s="238"/>
      <c r="AI472" s="238"/>
      <c r="AJ472" s="238"/>
      <c r="AK472" s="238"/>
    </row>
    <row r="473" spans="2:37" ht="13.2">
      <c r="B473" s="238"/>
      <c r="C473" s="238"/>
      <c r="D473" s="238"/>
      <c r="E473" s="238"/>
      <c r="F473" s="238"/>
      <c r="G473" s="238"/>
      <c r="H473" s="238"/>
      <c r="I473" s="238"/>
      <c r="J473" s="238"/>
      <c r="K473" s="238"/>
      <c r="L473" s="238"/>
      <c r="M473" s="238"/>
      <c r="N473" s="238"/>
      <c r="O473" s="238"/>
      <c r="P473" s="238"/>
      <c r="Q473" s="238"/>
      <c r="R473" s="238"/>
      <c r="S473" s="238"/>
      <c r="T473" s="238"/>
      <c r="U473" s="238"/>
      <c r="V473" s="238"/>
      <c r="W473" s="238"/>
      <c r="X473" s="238"/>
      <c r="Y473" s="238"/>
      <c r="Z473" s="238"/>
      <c r="AA473" s="238"/>
      <c r="AB473" s="238"/>
      <c r="AC473" s="238"/>
      <c r="AD473" s="238"/>
      <c r="AE473" s="238"/>
      <c r="AF473" s="238"/>
      <c r="AG473" s="238"/>
      <c r="AH473" s="238"/>
      <c r="AI473" s="238"/>
      <c r="AJ473" s="238"/>
      <c r="AK473" s="238"/>
    </row>
    <row r="474" spans="2:37" ht="13.2">
      <c r="B474" s="238"/>
      <c r="C474" s="238"/>
      <c r="D474" s="238"/>
      <c r="E474" s="238"/>
      <c r="F474" s="238"/>
      <c r="G474" s="238"/>
      <c r="H474" s="238"/>
      <c r="I474" s="238"/>
      <c r="J474" s="238"/>
      <c r="K474" s="238"/>
      <c r="L474" s="238"/>
      <c r="M474" s="238"/>
      <c r="N474" s="238"/>
      <c r="O474" s="238"/>
      <c r="P474" s="238"/>
      <c r="Q474" s="238"/>
      <c r="R474" s="238"/>
      <c r="S474" s="238"/>
      <c r="T474" s="238"/>
      <c r="U474" s="238"/>
      <c r="V474" s="238"/>
      <c r="W474" s="238"/>
      <c r="X474" s="238"/>
      <c r="Y474" s="238"/>
      <c r="Z474" s="238"/>
      <c r="AA474" s="238"/>
      <c r="AB474" s="238"/>
      <c r="AC474" s="238"/>
      <c r="AD474" s="238"/>
      <c r="AE474" s="238"/>
      <c r="AF474" s="238"/>
      <c r="AG474" s="238"/>
      <c r="AH474" s="238"/>
      <c r="AI474" s="238"/>
      <c r="AJ474" s="238"/>
      <c r="AK474" s="238"/>
    </row>
    <row r="475" spans="2:37" ht="13.2">
      <c r="B475" s="238"/>
      <c r="C475" s="238"/>
      <c r="D475" s="238"/>
      <c r="E475" s="238"/>
      <c r="F475" s="238"/>
      <c r="G475" s="238"/>
      <c r="H475" s="238"/>
      <c r="I475" s="238"/>
      <c r="J475" s="238"/>
      <c r="K475" s="238"/>
      <c r="L475" s="238"/>
      <c r="M475" s="238"/>
      <c r="N475" s="238"/>
      <c r="O475" s="238"/>
      <c r="P475" s="238"/>
      <c r="Q475" s="238"/>
      <c r="R475" s="238"/>
      <c r="S475" s="238"/>
      <c r="T475" s="238"/>
      <c r="U475" s="238"/>
      <c r="V475" s="238"/>
      <c r="W475" s="238"/>
      <c r="X475" s="238"/>
      <c r="Y475" s="238"/>
      <c r="Z475" s="238"/>
      <c r="AA475" s="238"/>
      <c r="AB475" s="238"/>
      <c r="AC475" s="238"/>
      <c r="AD475" s="238"/>
      <c r="AE475" s="238"/>
      <c r="AF475" s="238"/>
      <c r="AG475" s="238"/>
      <c r="AH475" s="238"/>
      <c r="AI475" s="238"/>
      <c r="AJ475" s="238"/>
      <c r="AK475" s="238"/>
    </row>
    <row r="476" spans="2:37" ht="13.2">
      <c r="B476" s="238"/>
      <c r="C476" s="238"/>
      <c r="D476" s="238"/>
      <c r="E476" s="238"/>
      <c r="F476" s="238"/>
      <c r="G476" s="238"/>
      <c r="H476" s="238"/>
      <c r="I476" s="238"/>
      <c r="J476" s="238"/>
      <c r="K476" s="238"/>
      <c r="L476" s="238"/>
      <c r="M476" s="238"/>
      <c r="N476" s="238"/>
      <c r="O476" s="238"/>
      <c r="P476" s="238"/>
      <c r="Q476" s="238"/>
      <c r="R476" s="238"/>
      <c r="S476" s="238"/>
      <c r="T476" s="238"/>
      <c r="U476" s="238"/>
      <c r="V476" s="238"/>
      <c r="W476" s="238"/>
      <c r="X476" s="238"/>
      <c r="Y476" s="238"/>
      <c r="Z476" s="238"/>
      <c r="AA476" s="238"/>
      <c r="AB476" s="238"/>
      <c r="AC476" s="238"/>
      <c r="AD476" s="238"/>
      <c r="AE476" s="238"/>
      <c r="AF476" s="238"/>
      <c r="AG476" s="238"/>
      <c r="AH476" s="238"/>
      <c r="AI476" s="238"/>
      <c r="AJ476" s="238"/>
      <c r="AK476" s="238"/>
    </row>
    <row r="477" spans="2:37" ht="13.2">
      <c r="B477" s="238"/>
      <c r="C477" s="238"/>
      <c r="D477" s="238"/>
      <c r="E477" s="238"/>
      <c r="F477" s="238"/>
      <c r="G477" s="238"/>
      <c r="H477" s="238"/>
      <c r="I477" s="238"/>
      <c r="J477" s="238"/>
      <c r="K477" s="238"/>
      <c r="L477" s="238"/>
      <c r="M477" s="238"/>
      <c r="N477" s="238"/>
      <c r="O477" s="238"/>
      <c r="P477" s="238"/>
      <c r="Q477" s="238"/>
      <c r="R477" s="238"/>
      <c r="S477" s="238"/>
      <c r="T477" s="238"/>
      <c r="U477" s="238"/>
      <c r="V477" s="238"/>
      <c r="W477" s="238"/>
      <c r="X477" s="238"/>
      <c r="Y477" s="238"/>
      <c r="Z477" s="238"/>
      <c r="AA477" s="238"/>
      <c r="AB477" s="238"/>
      <c r="AC477" s="238"/>
      <c r="AD477" s="238"/>
      <c r="AE477" s="238"/>
      <c r="AF477" s="238"/>
      <c r="AG477" s="238"/>
      <c r="AH477" s="238"/>
      <c r="AI477" s="238"/>
      <c r="AJ477" s="238"/>
      <c r="AK477" s="238"/>
    </row>
    <row r="478" spans="2:37" ht="13.2">
      <c r="B478" s="238"/>
      <c r="C478" s="238"/>
      <c r="D478" s="238"/>
      <c r="E478" s="238"/>
      <c r="F478" s="238"/>
      <c r="G478" s="238"/>
      <c r="H478" s="238"/>
      <c r="I478" s="238"/>
      <c r="J478" s="238"/>
      <c r="K478" s="238"/>
      <c r="L478" s="238"/>
      <c r="M478" s="238"/>
      <c r="N478" s="238"/>
      <c r="O478" s="238"/>
      <c r="P478" s="238"/>
      <c r="Q478" s="238"/>
      <c r="R478" s="238"/>
      <c r="S478" s="238"/>
      <c r="T478" s="238"/>
      <c r="U478" s="238"/>
      <c r="V478" s="238"/>
      <c r="W478" s="238"/>
      <c r="X478" s="238"/>
      <c r="Y478" s="238"/>
      <c r="Z478" s="238"/>
      <c r="AA478" s="238"/>
      <c r="AB478" s="238"/>
      <c r="AC478" s="238"/>
      <c r="AD478" s="238"/>
      <c r="AE478" s="238"/>
      <c r="AF478" s="238"/>
      <c r="AG478" s="238"/>
      <c r="AH478" s="238"/>
      <c r="AI478" s="238"/>
      <c r="AJ478" s="238"/>
      <c r="AK478" s="238"/>
    </row>
    <row r="479" spans="2:37" ht="13.2">
      <c r="B479" s="238"/>
      <c r="C479" s="238"/>
      <c r="D479" s="238"/>
      <c r="E479" s="238"/>
      <c r="F479" s="238"/>
      <c r="G479" s="238"/>
      <c r="H479" s="238"/>
      <c r="I479" s="238"/>
      <c r="J479" s="238"/>
      <c r="K479" s="238"/>
      <c r="L479" s="238"/>
      <c r="M479" s="238"/>
      <c r="N479" s="238"/>
      <c r="O479" s="238"/>
      <c r="P479" s="238"/>
      <c r="Q479" s="238"/>
      <c r="R479" s="238"/>
      <c r="S479" s="238"/>
      <c r="T479" s="238"/>
      <c r="U479" s="238"/>
      <c r="V479" s="238"/>
      <c r="W479" s="238"/>
      <c r="X479" s="238"/>
      <c r="Y479" s="238"/>
      <c r="Z479" s="238"/>
      <c r="AA479" s="238"/>
      <c r="AB479" s="238"/>
      <c r="AC479" s="238"/>
      <c r="AD479" s="238"/>
      <c r="AE479" s="238"/>
      <c r="AF479" s="238"/>
      <c r="AG479" s="238"/>
      <c r="AH479" s="238"/>
      <c r="AI479" s="238"/>
      <c r="AJ479" s="238"/>
      <c r="AK479" s="238"/>
    </row>
    <row r="480" spans="2:37" ht="13.2">
      <c r="B480" s="238"/>
      <c r="C480" s="238"/>
      <c r="D480" s="238"/>
      <c r="E480" s="238"/>
      <c r="F480" s="238"/>
      <c r="G480" s="238"/>
      <c r="H480" s="238"/>
      <c r="I480" s="238"/>
      <c r="J480" s="238"/>
      <c r="K480" s="238"/>
      <c r="L480" s="238"/>
      <c r="M480" s="238"/>
      <c r="N480" s="238"/>
      <c r="O480" s="238"/>
      <c r="P480" s="238"/>
      <c r="Q480" s="238"/>
      <c r="R480" s="238"/>
      <c r="S480" s="238"/>
      <c r="T480" s="238"/>
      <c r="U480" s="238"/>
      <c r="V480" s="238"/>
      <c r="W480" s="238"/>
      <c r="X480" s="238"/>
      <c r="Y480" s="238"/>
      <c r="Z480" s="238"/>
      <c r="AA480" s="238"/>
      <c r="AB480" s="238"/>
      <c r="AC480" s="238"/>
      <c r="AD480" s="238"/>
      <c r="AE480" s="238"/>
      <c r="AF480" s="238"/>
      <c r="AG480" s="238"/>
      <c r="AH480" s="238"/>
      <c r="AI480" s="238"/>
      <c r="AJ480" s="238"/>
      <c r="AK480" s="238"/>
    </row>
    <row r="481" spans="2:37" ht="13.2">
      <c r="B481" s="238"/>
      <c r="C481" s="238"/>
      <c r="D481" s="238"/>
      <c r="E481" s="238"/>
      <c r="F481" s="238"/>
      <c r="G481" s="238"/>
      <c r="H481" s="238"/>
      <c r="I481" s="238"/>
      <c r="J481" s="238"/>
      <c r="K481" s="238"/>
      <c r="L481" s="238"/>
      <c r="M481" s="238"/>
      <c r="N481" s="238"/>
      <c r="O481" s="238"/>
      <c r="P481" s="238"/>
      <c r="Q481" s="238"/>
      <c r="R481" s="238"/>
      <c r="S481" s="238"/>
      <c r="T481" s="238"/>
      <c r="U481" s="238"/>
      <c r="V481" s="238"/>
      <c r="W481" s="238"/>
      <c r="X481" s="238"/>
      <c r="Y481" s="238"/>
      <c r="Z481" s="238"/>
      <c r="AA481" s="238"/>
      <c r="AB481" s="238"/>
      <c r="AC481" s="238"/>
      <c r="AD481" s="238"/>
      <c r="AE481" s="238"/>
      <c r="AF481" s="238"/>
      <c r="AG481" s="238"/>
      <c r="AH481" s="238"/>
      <c r="AI481" s="238"/>
      <c r="AJ481" s="238"/>
      <c r="AK481" s="238"/>
    </row>
    <row r="482" spans="2:37" ht="13.2">
      <c r="B482" s="238"/>
      <c r="C482" s="238"/>
      <c r="D482" s="238"/>
      <c r="E482" s="238"/>
      <c r="F482" s="238"/>
      <c r="G482" s="238"/>
      <c r="H482" s="238"/>
      <c r="I482" s="238"/>
      <c r="J482" s="238"/>
      <c r="K482" s="238"/>
      <c r="L482" s="238"/>
      <c r="M482" s="238"/>
      <c r="N482" s="238"/>
      <c r="O482" s="238"/>
      <c r="P482" s="238"/>
      <c r="Q482" s="238"/>
      <c r="R482" s="238"/>
      <c r="S482" s="238"/>
      <c r="T482" s="238"/>
      <c r="U482" s="238"/>
      <c r="V482" s="238"/>
      <c r="W482" s="238"/>
      <c r="X482" s="238"/>
      <c r="Y482" s="238"/>
      <c r="Z482" s="238"/>
      <c r="AA482" s="238"/>
      <c r="AB482" s="238"/>
      <c r="AC482" s="238"/>
      <c r="AD482" s="238"/>
      <c r="AE482" s="238"/>
      <c r="AF482" s="238"/>
      <c r="AG482" s="238"/>
      <c r="AH482" s="238"/>
      <c r="AI482" s="238"/>
      <c r="AJ482" s="238"/>
      <c r="AK482" s="238"/>
    </row>
    <row r="483" spans="2:37" ht="13.2">
      <c r="B483" s="238"/>
      <c r="C483" s="238"/>
      <c r="D483" s="238"/>
      <c r="E483" s="238"/>
      <c r="F483" s="238"/>
      <c r="G483" s="238"/>
      <c r="H483" s="238"/>
      <c r="I483" s="238"/>
      <c r="J483" s="238"/>
      <c r="K483" s="238"/>
      <c r="L483" s="238"/>
      <c r="M483" s="238"/>
      <c r="N483" s="238"/>
      <c r="O483" s="238"/>
      <c r="P483" s="238"/>
      <c r="Q483" s="238"/>
      <c r="R483" s="238"/>
      <c r="S483" s="238"/>
      <c r="T483" s="238"/>
      <c r="U483" s="238"/>
      <c r="V483" s="238"/>
      <c r="W483" s="238"/>
      <c r="X483" s="238"/>
      <c r="Y483" s="238"/>
      <c r="Z483" s="238"/>
      <c r="AA483" s="238"/>
      <c r="AB483" s="238"/>
      <c r="AC483" s="238"/>
      <c r="AD483" s="238"/>
      <c r="AE483" s="238"/>
      <c r="AF483" s="238"/>
      <c r="AG483" s="238"/>
      <c r="AH483" s="238"/>
      <c r="AI483" s="238"/>
      <c r="AJ483" s="238"/>
      <c r="AK483" s="238"/>
    </row>
    <row r="484" spans="2:37" ht="13.2">
      <c r="B484" s="238"/>
      <c r="C484" s="238"/>
      <c r="D484" s="238"/>
      <c r="E484" s="238"/>
      <c r="F484" s="238"/>
      <c r="G484" s="238"/>
      <c r="H484" s="238"/>
      <c r="I484" s="238"/>
      <c r="J484" s="238"/>
      <c r="K484" s="238"/>
      <c r="L484" s="238"/>
      <c r="M484" s="238"/>
      <c r="N484" s="238"/>
      <c r="O484" s="238"/>
      <c r="P484" s="238"/>
      <c r="Q484" s="238"/>
      <c r="R484" s="238"/>
      <c r="S484" s="238"/>
      <c r="T484" s="238"/>
      <c r="U484" s="238"/>
      <c r="V484" s="238"/>
      <c r="W484" s="238"/>
      <c r="X484" s="238"/>
      <c r="Y484" s="238"/>
      <c r="Z484" s="238"/>
      <c r="AA484" s="238"/>
      <c r="AB484" s="238"/>
      <c r="AC484" s="238"/>
      <c r="AD484" s="238"/>
      <c r="AE484" s="238"/>
      <c r="AF484" s="238"/>
      <c r="AG484" s="238"/>
      <c r="AH484" s="238"/>
      <c r="AI484" s="238"/>
      <c r="AJ484" s="238"/>
      <c r="AK484" s="238"/>
    </row>
    <row r="485" spans="2:37" ht="13.2">
      <c r="B485" s="238"/>
      <c r="C485" s="238"/>
      <c r="D485" s="238"/>
      <c r="E485" s="238"/>
      <c r="F485" s="238"/>
      <c r="G485" s="238"/>
      <c r="H485" s="238"/>
      <c r="I485" s="238"/>
      <c r="J485" s="238"/>
      <c r="K485" s="238"/>
      <c r="L485" s="238"/>
      <c r="M485" s="238"/>
      <c r="N485" s="238"/>
      <c r="O485" s="238"/>
      <c r="P485" s="238"/>
      <c r="Q485" s="238"/>
      <c r="R485" s="238"/>
      <c r="S485" s="238"/>
      <c r="T485" s="238"/>
      <c r="U485" s="238"/>
      <c r="V485" s="238"/>
      <c r="W485" s="238"/>
      <c r="X485" s="238"/>
      <c r="Y485" s="238"/>
      <c r="Z485" s="238"/>
      <c r="AA485" s="238"/>
      <c r="AB485" s="238"/>
      <c r="AC485" s="238"/>
      <c r="AD485" s="238"/>
      <c r="AE485" s="238"/>
      <c r="AF485" s="238"/>
      <c r="AG485" s="238"/>
      <c r="AH485" s="238"/>
      <c r="AI485" s="238"/>
      <c r="AJ485" s="238"/>
      <c r="AK485" s="238"/>
    </row>
    <row r="486" spans="2:37" ht="13.2">
      <c r="B486" s="238"/>
      <c r="C486" s="238"/>
      <c r="D486" s="238"/>
      <c r="E486" s="238"/>
      <c r="F486" s="238"/>
      <c r="G486" s="238"/>
      <c r="H486" s="238"/>
      <c r="I486" s="238"/>
      <c r="J486" s="238"/>
      <c r="K486" s="238"/>
      <c r="L486" s="238"/>
      <c r="M486" s="238"/>
      <c r="N486" s="238"/>
      <c r="O486" s="238"/>
      <c r="P486" s="238"/>
      <c r="Q486" s="238"/>
      <c r="R486" s="238"/>
      <c r="S486" s="238"/>
      <c r="T486" s="238"/>
      <c r="U486" s="238"/>
      <c r="V486" s="238"/>
      <c r="W486" s="238"/>
      <c r="X486" s="238"/>
      <c r="Y486" s="238"/>
      <c r="Z486" s="238"/>
      <c r="AA486" s="238"/>
      <c r="AB486" s="238"/>
      <c r="AC486" s="238"/>
      <c r="AD486" s="238"/>
      <c r="AE486" s="238"/>
      <c r="AF486" s="238"/>
      <c r="AG486" s="238"/>
      <c r="AH486" s="238"/>
      <c r="AI486" s="238"/>
      <c r="AJ486" s="238"/>
      <c r="AK486" s="238"/>
    </row>
    <row r="487" spans="2:37" ht="13.2">
      <c r="B487" s="238"/>
      <c r="C487" s="238"/>
      <c r="D487" s="238"/>
      <c r="E487" s="238"/>
      <c r="F487" s="238"/>
      <c r="G487" s="238"/>
      <c r="H487" s="238"/>
      <c r="I487" s="238"/>
      <c r="J487" s="238"/>
      <c r="K487" s="238"/>
      <c r="L487" s="238"/>
      <c r="M487" s="238"/>
      <c r="N487" s="238"/>
      <c r="O487" s="238"/>
      <c r="P487" s="238"/>
      <c r="Q487" s="238"/>
      <c r="R487" s="238"/>
      <c r="S487" s="238"/>
      <c r="T487" s="238"/>
      <c r="U487" s="238"/>
      <c r="V487" s="238"/>
      <c r="W487" s="238"/>
      <c r="X487" s="238"/>
      <c r="Y487" s="238"/>
      <c r="Z487" s="238"/>
      <c r="AA487" s="238"/>
      <c r="AB487" s="238"/>
      <c r="AC487" s="238"/>
      <c r="AD487" s="238"/>
      <c r="AE487" s="238"/>
      <c r="AF487" s="238"/>
      <c r="AG487" s="238"/>
      <c r="AH487" s="238"/>
      <c r="AI487" s="238"/>
      <c r="AJ487" s="238"/>
      <c r="AK487" s="238"/>
    </row>
    <row r="488" spans="2:37" ht="13.2">
      <c r="B488" s="238"/>
      <c r="C488" s="238"/>
      <c r="D488" s="238"/>
      <c r="E488" s="238"/>
      <c r="F488" s="238"/>
      <c r="G488" s="238"/>
      <c r="H488" s="238"/>
      <c r="I488" s="238"/>
      <c r="J488" s="238"/>
      <c r="K488" s="238"/>
      <c r="L488" s="238"/>
      <c r="M488" s="238"/>
      <c r="N488" s="238"/>
      <c r="O488" s="238"/>
      <c r="P488" s="238"/>
      <c r="Q488" s="238"/>
      <c r="R488" s="238"/>
      <c r="S488" s="238"/>
      <c r="T488" s="238"/>
      <c r="U488" s="238"/>
      <c r="V488" s="238"/>
      <c r="W488" s="238"/>
      <c r="X488" s="238"/>
      <c r="Y488" s="238"/>
      <c r="Z488" s="238"/>
      <c r="AA488" s="238"/>
      <c r="AB488" s="238"/>
      <c r="AC488" s="238"/>
      <c r="AD488" s="238"/>
      <c r="AE488" s="238"/>
      <c r="AF488" s="238"/>
      <c r="AG488" s="238"/>
      <c r="AH488" s="238"/>
      <c r="AI488" s="238"/>
      <c r="AJ488" s="238"/>
      <c r="AK488" s="238"/>
    </row>
    <row r="489" spans="2:37" ht="13.2">
      <c r="B489" s="238"/>
      <c r="C489" s="238"/>
      <c r="D489" s="238"/>
      <c r="E489" s="238"/>
      <c r="F489" s="238"/>
      <c r="G489" s="238"/>
      <c r="H489" s="238"/>
      <c r="I489" s="238"/>
      <c r="J489" s="238"/>
      <c r="K489" s="238"/>
      <c r="L489" s="238"/>
      <c r="M489" s="238"/>
      <c r="N489" s="238"/>
      <c r="O489" s="238"/>
      <c r="P489" s="238"/>
      <c r="Q489" s="238"/>
      <c r="R489" s="238"/>
      <c r="S489" s="238"/>
      <c r="T489" s="238"/>
      <c r="U489" s="238"/>
      <c r="V489" s="238"/>
      <c r="W489" s="238"/>
      <c r="X489" s="238"/>
      <c r="Y489" s="238"/>
      <c r="Z489" s="238"/>
      <c r="AA489" s="238"/>
      <c r="AB489" s="238"/>
      <c r="AC489" s="238"/>
      <c r="AD489" s="238"/>
      <c r="AE489" s="238"/>
      <c r="AF489" s="238"/>
      <c r="AG489" s="238"/>
      <c r="AH489" s="238"/>
      <c r="AI489" s="238"/>
      <c r="AJ489" s="238"/>
      <c r="AK489" s="238"/>
    </row>
    <row r="490" spans="2:37" ht="13.2">
      <c r="B490" s="238"/>
      <c r="C490" s="238"/>
      <c r="D490" s="238"/>
      <c r="E490" s="238"/>
      <c r="F490" s="238"/>
      <c r="G490" s="238"/>
      <c r="H490" s="238"/>
      <c r="I490" s="238"/>
      <c r="J490" s="238"/>
      <c r="K490" s="238"/>
      <c r="L490" s="238"/>
      <c r="M490" s="238"/>
      <c r="N490" s="238"/>
      <c r="O490" s="238"/>
      <c r="P490" s="238"/>
      <c r="Q490" s="238"/>
      <c r="R490" s="238"/>
      <c r="S490" s="238"/>
      <c r="T490" s="238"/>
      <c r="U490" s="238"/>
      <c r="V490" s="238"/>
      <c r="W490" s="238"/>
      <c r="X490" s="238"/>
      <c r="Y490" s="238"/>
      <c r="Z490" s="238"/>
      <c r="AA490" s="238"/>
      <c r="AB490" s="238"/>
      <c r="AC490" s="238"/>
      <c r="AD490" s="238"/>
      <c r="AE490" s="238"/>
      <c r="AF490" s="238"/>
      <c r="AG490" s="238"/>
      <c r="AH490" s="238"/>
      <c r="AI490" s="238"/>
      <c r="AJ490" s="238"/>
      <c r="AK490" s="238"/>
    </row>
    <row r="491" spans="2:37" ht="13.2">
      <c r="B491" s="238"/>
      <c r="C491" s="238"/>
      <c r="D491" s="238"/>
      <c r="E491" s="238"/>
      <c r="F491" s="238"/>
      <c r="G491" s="238"/>
      <c r="H491" s="238"/>
      <c r="I491" s="238"/>
      <c r="J491" s="238"/>
      <c r="K491" s="238"/>
      <c r="L491" s="238"/>
      <c r="M491" s="238"/>
      <c r="N491" s="238"/>
      <c r="O491" s="238"/>
      <c r="P491" s="238"/>
      <c r="Q491" s="238"/>
      <c r="R491" s="238"/>
      <c r="S491" s="238"/>
      <c r="T491" s="238"/>
      <c r="U491" s="238"/>
      <c r="V491" s="238"/>
      <c r="W491" s="238"/>
      <c r="X491" s="238"/>
      <c r="Y491" s="238"/>
      <c r="Z491" s="238"/>
      <c r="AA491" s="238"/>
      <c r="AB491" s="238"/>
      <c r="AC491" s="238"/>
      <c r="AD491" s="238"/>
      <c r="AE491" s="238"/>
      <c r="AF491" s="238"/>
      <c r="AG491" s="238"/>
      <c r="AH491" s="238"/>
      <c r="AI491" s="238"/>
      <c r="AJ491" s="238"/>
      <c r="AK491" s="238"/>
    </row>
    <row r="492" spans="2:37" ht="13.2">
      <c r="B492" s="238"/>
      <c r="C492" s="238"/>
      <c r="D492" s="238"/>
      <c r="E492" s="238"/>
      <c r="F492" s="238"/>
      <c r="G492" s="238"/>
      <c r="H492" s="238"/>
      <c r="I492" s="238"/>
      <c r="J492" s="238"/>
      <c r="K492" s="238"/>
      <c r="L492" s="238"/>
      <c r="M492" s="238"/>
      <c r="N492" s="238"/>
      <c r="O492" s="238"/>
      <c r="P492" s="238"/>
      <c r="Q492" s="238"/>
      <c r="R492" s="238"/>
      <c r="S492" s="238"/>
      <c r="T492" s="238"/>
      <c r="U492" s="238"/>
      <c r="V492" s="238"/>
      <c r="W492" s="238"/>
      <c r="X492" s="238"/>
      <c r="Y492" s="238"/>
      <c r="Z492" s="238"/>
      <c r="AA492" s="238"/>
      <c r="AB492" s="238"/>
      <c r="AC492" s="238"/>
      <c r="AD492" s="238"/>
      <c r="AE492" s="238"/>
      <c r="AF492" s="238"/>
      <c r="AG492" s="238"/>
      <c r="AH492" s="238"/>
      <c r="AI492" s="238"/>
      <c r="AJ492" s="238"/>
      <c r="AK492" s="238"/>
    </row>
    <row r="493" spans="2:37" ht="13.2">
      <c r="B493" s="238"/>
      <c r="C493" s="238"/>
      <c r="D493" s="238"/>
      <c r="E493" s="238"/>
      <c r="F493" s="238"/>
      <c r="G493" s="238"/>
      <c r="H493" s="238"/>
      <c r="I493" s="238"/>
      <c r="J493" s="238"/>
      <c r="K493" s="238"/>
      <c r="L493" s="238"/>
      <c r="M493" s="238"/>
      <c r="N493" s="238"/>
      <c r="O493" s="238"/>
      <c r="P493" s="238"/>
      <c r="Q493" s="238"/>
      <c r="R493" s="238"/>
      <c r="S493" s="238"/>
      <c r="T493" s="238"/>
      <c r="U493" s="238"/>
      <c r="V493" s="238"/>
      <c r="W493" s="238"/>
      <c r="X493" s="238"/>
      <c r="Y493" s="238"/>
      <c r="Z493" s="238"/>
      <c r="AA493" s="238"/>
      <c r="AB493" s="238"/>
      <c r="AC493" s="238"/>
      <c r="AD493" s="238"/>
      <c r="AE493" s="238"/>
      <c r="AF493" s="238"/>
      <c r="AG493" s="238"/>
      <c r="AH493" s="238"/>
      <c r="AI493" s="238"/>
      <c r="AJ493" s="238"/>
      <c r="AK493" s="238"/>
    </row>
    <row r="494" spans="2:37" ht="13.2">
      <c r="B494" s="238"/>
      <c r="C494" s="238"/>
      <c r="D494" s="238"/>
      <c r="E494" s="238"/>
      <c r="F494" s="238"/>
      <c r="G494" s="238"/>
      <c r="H494" s="238"/>
      <c r="I494" s="238"/>
      <c r="J494" s="238"/>
      <c r="K494" s="238"/>
      <c r="L494" s="238"/>
      <c r="M494" s="238"/>
      <c r="N494" s="238"/>
      <c r="O494" s="238"/>
      <c r="P494" s="238"/>
      <c r="Q494" s="238"/>
      <c r="R494" s="238"/>
      <c r="S494" s="238"/>
      <c r="T494" s="238"/>
      <c r="U494" s="238"/>
      <c r="V494" s="238"/>
      <c r="W494" s="238"/>
      <c r="X494" s="238"/>
      <c r="Y494" s="238"/>
      <c r="Z494" s="238"/>
      <c r="AA494" s="238"/>
      <c r="AB494" s="238"/>
      <c r="AC494" s="238"/>
      <c r="AD494" s="238"/>
      <c r="AE494" s="238"/>
      <c r="AF494" s="238"/>
      <c r="AG494" s="238"/>
      <c r="AH494" s="238"/>
      <c r="AI494" s="238"/>
      <c r="AJ494" s="238"/>
      <c r="AK494" s="238"/>
    </row>
    <row r="495" spans="2:37" ht="13.2">
      <c r="B495" s="238"/>
      <c r="C495" s="238"/>
      <c r="D495" s="238"/>
      <c r="E495" s="238"/>
      <c r="F495" s="238"/>
      <c r="G495" s="238"/>
      <c r="H495" s="238"/>
      <c r="I495" s="238"/>
      <c r="J495" s="238"/>
      <c r="K495" s="238"/>
      <c r="L495" s="238"/>
      <c r="M495" s="238"/>
      <c r="N495" s="238"/>
      <c r="O495" s="238"/>
      <c r="P495" s="238"/>
      <c r="Q495" s="238"/>
      <c r="R495" s="238"/>
      <c r="S495" s="238"/>
      <c r="T495" s="238"/>
      <c r="U495" s="238"/>
      <c r="V495" s="238"/>
      <c r="W495" s="238"/>
      <c r="X495" s="238"/>
      <c r="Y495" s="238"/>
      <c r="Z495" s="238"/>
      <c r="AA495" s="238"/>
      <c r="AB495" s="238"/>
      <c r="AC495" s="238"/>
      <c r="AD495" s="238"/>
      <c r="AE495" s="238"/>
      <c r="AF495" s="238"/>
      <c r="AG495" s="238"/>
      <c r="AH495" s="238"/>
      <c r="AI495" s="238"/>
      <c r="AJ495" s="238"/>
      <c r="AK495" s="238"/>
    </row>
    <row r="496" spans="2:37" ht="13.2">
      <c r="B496" s="238"/>
      <c r="C496" s="238"/>
      <c r="D496" s="238"/>
      <c r="E496" s="238"/>
      <c r="F496" s="238"/>
      <c r="G496" s="238"/>
      <c r="H496" s="238"/>
      <c r="I496" s="238"/>
      <c r="J496" s="238"/>
      <c r="K496" s="238"/>
      <c r="L496" s="238"/>
      <c r="M496" s="238"/>
      <c r="N496" s="238"/>
      <c r="O496" s="238"/>
      <c r="P496" s="238"/>
      <c r="Q496" s="238"/>
      <c r="R496" s="238"/>
      <c r="S496" s="238"/>
      <c r="T496" s="238"/>
      <c r="U496" s="238"/>
      <c r="V496" s="238"/>
      <c r="W496" s="238"/>
      <c r="X496" s="238"/>
      <c r="Y496" s="238"/>
      <c r="Z496" s="238"/>
      <c r="AA496" s="238"/>
      <c r="AB496" s="238"/>
      <c r="AC496" s="238"/>
      <c r="AD496" s="238"/>
      <c r="AE496" s="238"/>
      <c r="AF496" s="238"/>
      <c r="AG496" s="238"/>
      <c r="AH496" s="238"/>
      <c r="AI496" s="238"/>
      <c r="AJ496" s="238"/>
      <c r="AK496" s="238"/>
    </row>
    <row r="497" spans="2:37" ht="13.2">
      <c r="B497" s="238"/>
      <c r="C497" s="238"/>
      <c r="D497" s="238"/>
      <c r="E497" s="238"/>
      <c r="F497" s="238"/>
      <c r="G497" s="238"/>
      <c r="H497" s="238"/>
      <c r="I497" s="238"/>
      <c r="J497" s="238"/>
      <c r="K497" s="238"/>
      <c r="L497" s="238"/>
      <c r="M497" s="238"/>
      <c r="N497" s="238"/>
      <c r="O497" s="238"/>
      <c r="P497" s="238"/>
      <c r="Q497" s="238"/>
      <c r="R497" s="238"/>
      <c r="S497" s="238"/>
      <c r="T497" s="238"/>
      <c r="U497" s="238"/>
      <c r="V497" s="238"/>
      <c r="W497" s="238"/>
      <c r="X497" s="238"/>
      <c r="Y497" s="238"/>
      <c r="Z497" s="238"/>
      <c r="AA497" s="238"/>
      <c r="AB497" s="238"/>
      <c r="AC497" s="238"/>
      <c r="AD497" s="238"/>
      <c r="AE497" s="238"/>
      <c r="AF497" s="238"/>
      <c r="AG497" s="238"/>
      <c r="AH497" s="238"/>
      <c r="AI497" s="238"/>
      <c r="AJ497" s="238"/>
      <c r="AK497" s="238"/>
    </row>
    <row r="498" spans="2:37" ht="13.2">
      <c r="B498" s="238"/>
      <c r="C498" s="238"/>
      <c r="D498" s="238"/>
      <c r="E498" s="238"/>
      <c r="F498" s="238"/>
      <c r="G498" s="238"/>
      <c r="H498" s="238"/>
      <c r="I498" s="238"/>
      <c r="J498" s="238"/>
      <c r="K498" s="238"/>
      <c r="L498" s="238"/>
      <c r="M498" s="238"/>
      <c r="N498" s="238"/>
      <c r="O498" s="238"/>
      <c r="P498" s="238"/>
      <c r="Q498" s="238"/>
      <c r="R498" s="238"/>
      <c r="S498" s="238"/>
      <c r="T498" s="238"/>
      <c r="U498" s="238"/>
      <c r="V498" s="238"/>
      <c r="W498" s="238"/>
      <c r="X498" s="238"/>
      <c r="Y498" s="238"/>
      <c r="Z498" s="238"/>
      <c r="AA498" s="238"/>
      <c r="AB498" s="238"/>
      <c r="AC498" s="238"/>
      <c r="AD498" s="238"/>
      <c r="AE498" s="238"/>
      <c r="AF498" s="238"/>
      <c r="AG498" s="238"/>
      <c r="AH498" s="238"/>
      <c r="AI498" s="238"/>
      <c r="AJ498" s="238"/>
      <c r="AK498" s="238"/>
    </row>
    <row r="499" spans="2:37" ht="13.2">
      <c r="B499" s="238"/>
      <c r="C499" s="238"/>
      <c r="D499" s="238"/>
      <c r="E499" s="238"/>
      <c r="F499" s="238"/>
      <c r="G499" s="238"/>
      <c r="H499" s="238"/>
      <c r="I499" s="238"/>
      <c r="J499" s="238"/>
      <c r="K499" s="238"/>
      <c r="L499" s="238"/>
      <c r="M499" s="238"/>
      <c r="N499" s="238"/>
      <c r="O499" s="238"/>
      <c r="P499" s="238"/>
      <c r="Q499" s="238"/>
      <c r="R499" s="238"/>
      <c r="S499" s="238"/>
      <c r="T499" s="238"/>
      <c r="U499" s="238"/>
      <c r="V499" s="238"/>
      <c r="W499" s="238"/>
      <c r="X499" s="238"/>
      <c r="Y499" s="238"/>
      <c r="Z499" s="238"/>
      <c r="AA499" s="238"/>
      <c r="AB499" s="238"/>
      <c r="AC499" s="238"/>
      <c r="AD499" s="238"/>
      <c r="AE499" s="238"/>
      <c r="AF499" s="238"/>
      <c r="AG499" s="238"/>
      <c r="AH499" s="238"/>
      <c r="AI499" s="238"/>
      <c r="AJ499" s="238"/>
      <c r="AK499" s="238"/>
    </row>
    <row r="500" spans="2:37" ht="13.2">
      <c r="B500" s="238"/>
      <c r="C500" s="238"/>
      <c r="D500" s="238"/>
      <c r="E500" s="238"/>
      <c r="F500" s="238"/>
      <c r="G500" s="238"/>
      <c r="H500" s="238"/>
      <c r="I500" s="238"/>
      <c r="J500" s="238"/>
      <c r="K500" s="238"/>
      <c r="L500" s="238"/>
      <c r="M500" s="238"/>
      <c r="N500" s="238"/>
      <c r="O500" s="238"/>
      <c r="P500" s="238"/>
      <c r="Q500" s="238"/>
      <c r="R500" s="238"/>
      <c r="S500" s="238"/>
      <c r="T500" s="238"/>
      <c r="U500" s="238"/>
      <c r="V500" s="238"/>
      <c r="W500" s="238"/>
      <c r="X500" s="238"/>
      <c r="Y500" s="238"/>
      <c r="Z500" s="238"/>
      <c r="AA500" s="238"/>
      <c r="AB500" s="238"/>
      <c r="AC500" s="238"/>
      <c r="AD500" s="238"/>
      <c r="AE500" s="238"/>
      <c r="AF500" s="238"/>
      <c r="AG500" s="238"/>
      <c r="AH500" s="238"/>
      <c r="AI500" s="238"/>
      <c r="AJ500" s="238"/>
      <c r="AK500" s="238"/>
    </row>
    <row r="501" spans="2:37" ht="13.2">
      <c r="B501" s="238"/>
      <c r="C501" s="238"/>
      <c r="D501" s="238"/>
      <c r="E501" s="238"/>
      <c r="F501" s="238"/>
      <c r="G501" s="238"/>
      <c r="H501" s="238"/>
      <c r="I501" s="238"/>
      <c r="J501" s="238"/>
      <c r="K501" s="238"/>
      <c r="L501" s="238"/>
      <c r="M501" s="238"/>
      <c r="N501" s="238"/>
      <c r="O501" s="238"/>
      <c r="P501" s="238"/>
      <c r="Q501" s="238"/>
      <c r="R501" s="238"/>
      <c r="S501" s="238"/>
      <c r="T501" s="238"/>
      <c r="U501" s="238"/>
      <c r="V501" s="238"/>
      <c r="W501" s="238"/>
      <c r="X501" s="238"/>
      <c r="Y501" s="238"/>
      <c r="Z501" s="238"/>
      <c r="AA501" s="238"/>
      <c r="AB501" s="238"/>
      <c r="AC501" s="238"/>
      <c r="AD501" s="238"/>
      <c r="AE501" s="238"/>
      <c r="AF501" s="238"/>
      <c r="AG501" s="238"/>
      <c r="AH501" s="238"/>
      <c r="AI501" s="238"/>
      <c r="AJ501" s="238"/>
      <c r="AK501" s="238"/>
    </row>
    <row r="502" spans="2:37" ht="13.2">
      <c r="B502" s="238"/>
      <c r="C502" s="238"/>
      <c r="D502" s="238"/>
      <c r="E502" s="238"/>
      <c r="F502" s="238"/>
      <c r="G502" s="238"/>
      <c r="H502" s="238"/>
      <c r="I502" s="238"/>
      <c r="J502" s="238"/>
      <c r="K502" s="238"/>
      <c r="L502" s="238"/>
      <c r="M502" s="238"/>
      <c r="N502" s="238"/>
      <c r="O502" s="238"/>
      <c r="P502" s="238"/>
      <c r="Q502" s="238"/>
      <c r="R502" s="238"/>
      <c r="S502" s="238"/>
      <c r="T502" s="238"/>
      <c r="U502" s="238"/>
      <c r="V502" s="238"/>
      <c r="W502" s="238"/>
      <c r="X502" s="238"/>
      <c r="Y502" s="238"/>
      <c r="Z502" s="238"/>
      <c r="AA502" s="238"/>
      <c r="AB502" s="238"/>
      <c r="AC502" s="238"/>
      <c r="AD502" s="238"/>
      <c r="AE502" s="238"/>
      <c r="AF502" s="238"/>
      <c r="AG502" s="238"/>
      <c r="AH502" s="238"/>
      <c r="AI502" s="238"/>
      <c r="AJ502" s="238"/>
      <c r="AK502" s="238"/>
    </row>
    <row r="503" spans="2:37" ht="13.2">
      <c r="B503" s="238"/>
      <c r="C503" s="238"/>
      <c r="D503" s="238"/>
      <c r="E503" s="238"/>
      <c r="F503" s="238"/>
      <c r="G503" s="238"/>
      <c r="H503" s="238"/>
      <c r="I503" s="238"/>
      <c r="J503" s="238"/>
      <c r="K503" s="238"/>
      <c r="L503" s="238"/>
      <c r="M503" s="238"/>
      <c r="N503" s="238"/>
      <c r="O503" s="238"/>
      <c r="P503" s="238"/>
      <c r="Q503" s="238"/>
      <c r="R503" s="238"/>
      <c r="S503" s="238"/>
      <c r="T503" s="238"/>
      <c r="U503" s="238"/>
      <c r="V503" s="238"/>
      <c r="W503" s="238"/>
      <c r="X503" s="238"/>
      <c r="Y503" s="238"/>
      <c r="Z503" s="238"/>
      <c r="AA503" s="238"/>
      <c r="AB503" s="238"/>
      <c r="AC503" s="238"/>
      <c r="AD503" s="238"/>
      <c r="AE503" s="238"/>
      <c r="AF503" s="238"/>
      <c r="AG503" s="238"/>
      <c r="AH503" s="238"/>
      <c r="AI503" s="238"/>
      <c r="AJ503" s="238"/>
      <c r="AK503" s="238"/>
    </row>
    <row r="504" spans="2:37" ht="13.2">
      <c r="B504" s="238"/>
      <c r="C504" s="238"/>
      <c r="D504" s="238"/>
      <c r="E504" s="238"/>
      <c r="F504" s="238"/>
      <c r="G504" s="238"/>
      <c r="H504" s="238"/>
      <c r="I504" s="238"/>
      <c r="J504" s="238"/>
      <c r="K504" s="238"/>
      <c r="L504" s="238"/>
      <c r="M504" s="238"/>
      <c r="N504" s="238"/>
      <c r="O504" s="238"/>
      <c r="P504" s="238"/>
      <c r="Q504" s="238"/>
      <c r="R504" s="238"/>
      <c r="S504" s="238"/>
      <c r="T504" s="238"/>
      <c r="U504" s="238"/>
      <c r="V504" s="238"/>
      <c r="W504" s="238"/>
      <c r="X504" s="238"/>
      <c r="Y504" s="238"/>
      <c r="Z504" s="238"/>
      <c r="AA504" s="238"/>
      <c r="AB504" s="238"/>
      <c r="AC504" s="238"/>
      <c r="AD504" s="238"/>
      <c r="AE504" s="238"/>
      <c r="AF504" s="238"/>
      <c r="AG504" s="238"/>
      <c r="AH504" s="238"/>
      <c r="AI504" s="238"/>
      <c r="AJ504" s="238"/>
      <c r="AK504" s="238"/>
    </row>
    <row r="505" spans="2:37" ht="13.2">
      <c r="B505" s="238"/>
      <c r="C505" s="238"/>
      <c r="D505" s="238"/>
      <c r="E505" s="238"/>
      <c r="F505" s="238"/>
      <c r="G505" s="238"/>
      <c r="H505" s="238"/>
      <c r="I505" s="238"/>
      <c r="J505" s="238"/>
      <c r="K505" s="238"/>
      <c r="L505" s="238"/>
      <c r="M505" s="238"/>
      <c r="N505" s="238"/>
      <c r="O505" s="238"/>
      <c r="P505" s="238"/>
      <c r="Q505" s="238"/>
      <c r="R505" s="238"/>
      <c r="S505" s="238"/>
      <c r="T505" s="238"/>
      <c r="U505" s="238"/>
      <c r="V505" s="238"/>
      <c r="W505" s="238"/>
      <c r="X505" s="238"/>
      <c r="Y505" s="238"/>
      <c r="Z505" s="238"/>
      <c r="AA505" s="238"/>
      <c r="AB505" s="238"/>
      <c r="AC505" s="238"/>
      <c r="AD505" s="238"/>
      <c r="AE505" s="238"/>
      <c r="AF505" s="238"/>
      <c r="AG505" s="238"/>
      <c r="AH505" s="238"/>
      <c r="AI505" s="238"/>
      <c r="AJ505" s="238"/>
      <c r="AK505" s="238"/>
    </row>
    <row r="506" spans="2:37" ht="13.2">
      <c r="B506" s="238"/>
      <c r="C506" s="238"/>
      <c r="D506" s="238"/>
      <c r="E506" s="238"/>
      <c r="F506" s="238"/>
      <c r="G506" s="238"/>
      <c r="H506" s="238"/>
      <c r="I506" s="238"/>
      <c r="J506" s="238"/>
      <c r="K506" s="238"/>
      <c r="L506" s="238"/>
      <c r="M506" s="238"/>
      <c r="N506" s="238"/>
      <c r="O506" s="238"/>
      <c r="P506" s="238"/>
      <c r="Q506" s="238"/>
      <c r="R506" s="238"/>
      <c r="S506" s="238"/>
      <c r="T506" s="238"/>
      <c r="U506" s="238"/>
      <c r="V506" s="238"/>
      <c r="W506" s="238"/>
      <c r="X506" s="238"/>
      <c r="Y506" s="238"/>
      <c r="Z506" s="238"/>
      <c r="AA506" s="238"/>
      <c r="AB506" s="238"/>
      <c r="AC506" s="238"/>
      <c r="AD506" s="238"/>
      <c r="AE506" s="238"/>
      <c r="AF506" s="238"/>
      <c r="AG506" s="238"/>
      <c r="AH506" s="238"/>
      <c r="AI506" s="238"/>
      <c r="AJ506" s="238"/>
      <c r="AK506" s="238"/>
    </row>
    <row r="507" spans="2:37" ht="13.2">
      <c r="B507" s="238"/>
      <c r="C507" s="238"/>
      <c r="D507" s="238"/>
      <c r="E507" s="238"/>
      <c r="F507" s="238"/>
      <c r="G507" s="238"/>
      <c r="H507" s="238"/>
      <c r="I507" s="238"/>
      <c r="J507" s="238"/>
      <c r="K507" s="238"/>
      <c r="L507" s="238"/>
      <c r="M507" s="238"/>
      <c r="N507" s="238"/>
      <c r="O507" s="238"/>
      <c r="P507" s="238"/>
      <c r="Q507" s="238"/>
      <c r="R507" s="238"/>
      <c r="S507" s="238"/>
      <c r="T507" s="238"/>
      <c r="U507" s="238"/>
      <c r="V507" s="238"/>
      <c r="W507" s="238"/>
      <c r="X507" s="238"/>
      <c r="Y507" s="238"/>
      <c r="Z507" s="238"/>
      <c r="AA507" s="238"/>
      <c r="AB507" s="238"/>
      <c r="AC507" s="238"/>
      <c r="AD507" s="238"/>
      <c r="AE507" s="238"/>
      <c r="AF507" s="238"/>
      <c r="AG507" s="238"/>
      <c r="AH507" s="238"/>
      <c r="AI507" s="238"/>
      <c r="AJ507" s="238"/>
      <c r="AK507" s="238"/>
    </row>
    <row r="508" spans="2:37" ht="13.2">
      <c r="B508" s="238"/>
      <c r="C508" s="238"/>
      <c r="D508" s="238"/>
      <c r="E508" s="238"/>
      <c r="F508" s="238"/>
      <c r="G508" s="238"/>
      <c r="H508" s="238"/>
      <c r="I508" s="238"/>
      <c r="J508" s="238"/>
      <c r="K508" s="238"/>
      <c r="L508" s="238"/>
      <c r="M508" s="238"/>
      <c r="N508" s="238"/>
      <c r="O508" s="238"/>
      <c r="P508" s="238"/>
      <c r="Q508" s="238"/>
      <c r="R508" s="238"/>
      <c r="S508" s="238"/>
      <c r="T508" s="238"/>
      <c r="U508" s="238"/>
      <c r="V508" s="238"/>
      <c r="W508" s="238"/>
      <c r="X508" s="238"/>
      <c r="Y508" s="238"/>
      <c r="Z508" s="238"/>
      <c r="AA508" s="238"/>
      <c r="AB508" s="238"/>
      <c r="AC508" s="238"/>
      <c r="AD508" s="238"/>
      <c r="AE508" s="238"/>
      <c r="AF508" s="238"/>
      <c r="AG508" s="238"/>
      <c r="AH508" s="238"/>
      <c r="AI508" s="238"/>
      <c r="AJ508" s="238"/>
      <c r="AK508" s="238"/>
    </row>
    <row r="509" spans="2:37" ht="13.2">
      <c r="B509" s="238"/>
      <c r="C509" s="238"/>
      <c r="D509" s="238"/>
      <c r="E509" s="238"/>
      <c r="F509" s="238"/>
      <c r="G509" s="238"/>
      <c r="H509" s="238"/>
      <c r="I509" s="238"/>
      <c r="J509" s="238"/>
      <c r="K509" s="238"/>
      <c r="L509" s="238"/>
      <c r="M509" s="238"/>
      <c r="N509" s="238"/>
      <c r="O509" s="238"/>
      <c r="P509" s="238"/>
      <c r="Q509" s="238"/>
      <c r="R509" s="238"/>
      <c r="S509" s="238"/>
      <c r="T509" s="238"/>
      <c r="U509" s="238"/>
      <c r="V509" s="238"/>
      <c r="W509" s="238"/>
      <c r="X509" s="238"/>
      <c r="Y509" s="238"/>
      <c r="Z509" s="238"/>
      <c r="AA509" s="238"/>
      <c r="AB509" s="238"/>
      <c r="AC509" s="238"/>
      <c r="AD509" s="238"/>
      <c r="AE509" s="238"/>
      <c r="AF509" s="238"/>
      <c r="AG509" s="238"/>
      <c r="AH509" s="238"/>
      <c r="AI509" s="238"/>
      <c r="AJ509" s="238"/>
      <c r="AK509" s="238"/>
    </row>
    <row r="510" spans="2:37" ht="13.2">
      <c r="B510" s="238"/>
      <c r="C510" s="238"/>
      <c r="D510" s="238"/>
      <c r="E510" s="238"/>
      <c r="F510" s="238"/>
      <c r="G510" s="238"/>
      <c r="H510" s="238"/>
      <c r="I510" s="238"/>
      <c r="J510" s="238"/>
      <c r="K510" s="238"/>
      <c r="L510" s="238"/>
      <c r="M510" s="238"/>
      <c r="N510" s="238"/>
      <c r="O510" s="238"/>
      <c r="P510" s="238"/>
      <c r="Q510" s="238"/>
      <c r="R510" s="238"/>
      <c r="S510" s="238"/>
      <c r="T510" s="238"/>
      <c r="U510" s="238"/>
      <c r="V510" s="238"/>
      <c r="W510" s="238"/>
      <c r="X510" s="238"/>
      <c r="Y510" s="238"/>
      <c r="Z510" s="238"/>
      <c r="AA510" s="238"/>
      <c r="AB510" s="238"/>
      <c r="AC510" s="238"/>
      <c r="AD510" s="238"/>
      <c r="AE510" s="238"/>
      <c r="AF510" s="238"/>
      <c r="AG510" s="238"/>
      <c r="AH510" s="238"/>
      <c r="AI510" s="238"/>
      <c r="AJ510" s="238"/>
      <c r="AK510" s="238"/>
    </row>
    <row r="511" spans="2:37" ht="13.2">
      <c r="B511" s="238"/>
      <c r="C511" s="238"/>
      <c r="D511" s="238"/>
      <c r="E511" s="238"/>
      <c r="F511" s="238"/>
      <c r="G511" s="238"/>
      <c r="H511" s="238"/>
      <c r="I511" s="238"/>
      <c r="J511" s="238"/>
      <c r="K511" s="238"/>
      <c r="L511" s="238"/>
      <c r="M511" s="238"/>
      <c r="N511" s="238"/>
      <c r="O511" s="238"/>
      <c r="P511" s="238"/>
      <c r="Q511" s="238"/>
      <c r="R511" s="238"/>
      <c r="S511" s="238"/>
      <c r="T511" s="238"/>
      <c r="U511" s="238"/>
      <c r="V511" s="238"/>
      <c r="W511" s="238"/>
      <c r="X511" s="238"/>
      <c r="Y511" s="238"/>
      <c r="Z511" s="238"/>
      <c r="AA511" s="238"/>
      <c r="AB511" s="238"/>
      <c r="AC511" s="238"/>
      <c r="AD511" s="238"/>
      <c r="AE511" s="238"/>
      <c r="AF511" s="238"/>
      <c r="AG511" s="238"/>
      <c r="AH511" s="238"/>
      <c r="AI511" s="238"/>
      <c r="AJ511" s="238"/>
      <c r="AK511" s="238"/>
    </row>
    <row r="512" spans="2:37" ht="13.2">
      <c r="B512" s="238"/>
      <c r="C512" s="238"/>
      <c r="D512" s="238"/>
      <c r="E512" s="238"/>
      <c r="F512" s="238"/>
      <c r="G512" s="238"/>
      <c r="H512" s="238"/>
      <c r="I512" s="238"/>
      <c r="J512" s="238"/>
      <c r="K512" s="238"/>
      <c r="L512" s="238"/>
      <c r="M512" s="238"/>
      <c r="N512" s="238"/>
      <c r="O512" s="238"/>
      <c r="P512" s="238"/>
      <c r="Q512" s="238"/>
      <c r="R512" s="238"/>
      <c r="S512" s="238"/>
      <c r="T512" s="238"/>
      <c r="U512" s="238"/>
      <c r="V512" s="238"/>
      <c r="W512" s="238"/>
      <c r="X512" s="238"/>
      <c r="Y512" s="238"/>
      <c r="Z512" s="238"/>
      <c r="AA512" s="238"/>
      <c r="AB512" s="238"/>
      <c r="AC512" s="238"/>
      <c r="AD512" s="238"/>
      <c r="AE512" s="238"/>
      <c r="AF512" s="238"/>
      <c r="AG512" s="238"/>
      <c r="AH512" s="238"/>
      <c r="AI512" s="238"/>
      <c r="AJ512" s="238"/>
      <c r="AK512" s="238"/>
    </row>
    <row r="513" spans="2:37" ht="13.2">
      <c r="B513" s="238"/>
      <c r="C513" s="238"/>
      <c r="D513" s="238"/>
      <c r="E513" s="238"/>
      <c r="F513" s="238"/>
      <c r="G513" s="238"/>
      <c r="H513" s="238"/>
      <c r="I513" s="238"/>
      <c r="J513" s="238"/>
      <c r="K513" s="238"/>
      <c r="L513" s="238"/>
      <c r="M513" s="238"/>
      <c r="N513" s="238"/>
      <c r="O513" s="238"/>
      <c r="P513" s="238"/>
      <c r="Q513" s="238"/>
      <c r="R513" s="238"/>
      <c r="S513" s="238"/>
      <c r="T513" s="238"/>
      <c r="U513" s="238"/>
      <c r="V513" s="238"/>
      <c r="W513" s="238"/>
      <c r="X513" s="238"/>
      <c r="Y513" s="238"/>
      <c r="Z513" s="238"/>
      <c r="AA513" s="238"/>
      <c r="AB513" s="238"/>
      <c r="AC513" s="238"/>
      <c r="AD513" s="238"/>
      <c r="AE513" s="238"/>
      <c r="AF513" s="238"/>
      <c r="AG513" s="238"/>
      <c r="AH513" s="238"/>
      <c r="AI513" s="238"/>
      <c r="AJ513" s="238"/>
      <c r="AK513" s="238"/>
    </row>
    <row r="514" spans="2:37" ht="13.2">
      <c r="B514" s="238"/>
      <c r="C514" s="238"/>
      <c r="D514" s="238"/>
      <c r="E514" s="238"/>
      <c r="F514" s="238"/>
      <c r="G514" s="238"/>
      <c r="H514" s="238"/>
      <c r="I514" s="238"/>
      <c r="J514" s="238"/>
      <c r="K514" s="238"/>
      <c r="L514" s="238"/>
      <c r="M514" s="238"/>
      <c r="N514" s="238"/>
      <c r="O514" s="238"/>
      <c r="P514" s="238"/>
      <c r="Q514" s="238"/>
      <c r="R514" s="238"/>
      <c r="S514" s="238"/>
      <c r="T514" s="238"/>
      <c r="U514" s="238"/>
      <c r="V514" s="238"/>
      <c r="W514" s="238"/>
      <c r="X514" s="238"/>
      <c r="Y514" s="238"/>
      <c r="Z514" s="238"/>
      <c r="AA514" s="238"/>
      <c r="AB514" s="238"/>
      <c r="AC514" s="238"/>
      <c r="AD514" s="238"/>
      <c r="AE514" s="238"/>
      <c r="AF514" s="238"/>
      <c r="AG514" s="238"/>
      <c r="AH514" s="238"/>
      <c r="AI514" s="238"/>
      <c r="AJ514" s="238"/>
      <c r="AK514" s="238"/>
    </row>
    <row r="515" spans="2:37" ht="13.2">
      <c r="B515" s="238"/>
      <c r="C515" s="238"/>
      <c r="D515" s="238"/>
      <c r="E515" s="238"/>
      <c r="F515" s="238"/>
      <c r="G515" s="238"/>
      <c r="H515" s="238"/>
      <c r="I515" s="238"/>
      <c r="J515" s="238"/>
      <c r="K515" s="238"/>
      <c r="L515" s="238"/>
      <c r="M515" s="238"/>
      <c r="N515" s="238"/>
      <c r="O515" s="238"/>
      <c r="P515" s="238"/>
      <c r="Q515" s="238"/>
      <c r="R515" s="238"/>
      <c r="S515" s="238"/>
      <c r="T515" s="238"/>
      <c r="U515" s="238"/>
      <c r="V515" s="238"/>
      <c r="W515" s="238"/>
      <c r="X515" s="238"/>
      <c r="Y515" s="238"/>
      <c r="Z515" s="238"/>
      <c r="AA515" s="238"/>
      <c r="AB515" s="238"/>
      <c r="AC515" s="238"/>
      <c r="AD515" s="238"/>
      <c r="AE515" s="238"/>
      <c r="AF515" s="238"/>
      <c r="AG515" s="238"/>
      <c r="AH515" s="238"/>
      <c r="AI515" s="238"/>
      <c r="AJ515" s="238"/>
      <c r="AK515" s="238"/>
    </row>
    <row r="516" spans="2:37" ht="13.2">
      <c r="B516" s="238"/>
      <c r="C516" s="238"/>
      <c r="D516" s="238"/>
      <c r="E516" s="238"/>
      <c r="F516" s="238"/>
      <c r="G516" s="238"/>
      <c r="H516" s="238"/>
      <c r="I516" s="238"/>
      <c r="J516" s="238"/>
      <c r="K516" s="238"/>
      <c r="L516" s="238"/>
      <c r="M516" s="238"/>
      <c r="N516" s="238"/>
      <c r="O516" s="238"/>
      <c r="P516" s="238"/>
      <c r="Q516" s="238"/>
      <c r="R516" s="238"/>
      <c r="S516" s="238"/>
      <c r="T516" s="238"/>
      <c r="U516" s="238"/>
      <c r="V516" s="238"/>
      <c r="W516" s="238"/>
      <c r="X516" s="238"/>
      <c r="Y516" s="238"/>
      <c r="Z516" s="238"/>
      <c r="AA516" s="238"/>
      <c r="AB516" s="238"/>
      <c r="AC516" s="238"/>
      <c r="AD516" s="238"/>
      <c r="AE516" s="238"/>
      <c r="AF516" s="238"/>
      <c r="AG516" s="238"/>
      <c r="AH516" s="238"/>
      <c r="AI516" s="238"/>
      <c r="AJ516" s="238"/>
      <c r="AK516" s="238"/>
    </row>
    <row r="517" spans="2:37" ht="13.2">
      <c r="B517" s="238"/>
      <c r="C517" s="238"/>
      <c r="D517" s="238"/>
      <c r="E517" s="238"/>
      <c r="F517" s="238"/>
      <c r="G517" s="238"/>
      <c r="H517" s="238"/>
      <c r="I517" s="238"/>
      <c r="J517" s="238"/>
      <c r="K517" s="238"/>
      <c r="L517" s="238"/>
      <c r="M517" s="238"/>
      <c r="N517" s="238"/>
      <c r="O517" s="238"/>
      <c r="P517" s="238"/>
      <c r="Q517" s="238"/>
      <c r="R517" s="238"/>
      <c r="S517" s="238"/>
      <c r="T517" s="238"/>
      <c r="U517" s="238"/>
      <c r="V517" s="238"/>
      <c r="W517" s="238"/>
      <c r="X517" s="238"/>
      <c r="Y517" s="238"/>
      <c r="Z517" s="238"/>
      <c r="AA517" s="238"/>
      <c r="AB517" s="238"/>
      <c r="AC517" s="238"/>
      <c r="AD517" s="238"/>
      <c r="AE517" s="238"/>
      <c r="AF517" s="238"/>
      <c r="AG517" s="238"/>
      <c r="AH517" s="238"/>
      <c r="AI517" s="238"/>
      <c r="AJ517" s="238"/>
      <c r="AK517" s="238"/>
    </row>
    <row r="518" spans="2:37" ht="13.2">
      <c r="B518" s="238"/>
      <c r="C518" s="238"/>
      <c r="D518" s="238"/>
      <c r="E518" s="238"/>
      <c r="F518" s="238"/>
      <c r="G518" s="238"/>
      <c r="H518" s="238"/>
      <c r="I518" s="238"/>
      <c r="J518" s="238"/>
      <c r="K518" s="238"/>
      <c r="L518" s="238"/>
      <c r="M518" s="238"/>
      <c r="N518" s="238"/>
      <c r="O518" s="238"/>
      <c r="P518" s="238"/>
      <c r="Q518" s="238"/>
      <c r="R518" s="238"/>
      <c r="S518" s="238"/>
      <c r="T518" s="238"/>
      <c r="U518" s="238"/>
      <c r="V518" s="238"/>
      <c r="W518" s="238"/>
      <c r="X518" s="238"/>
      <c r="Y518" s="238"/>
      <c r="Z518" s="238"/>
      <c r="AA518" s="238"/>
      <c r="AB518" s="238"/>
      <c r="AC518" s="238"/>
      <c r="AD518" s="238"/>
      <c r="AE518" s="238"/>
      <c r="AF518" s="238"/>
      <c r="AG518" s="238"/>
      <c r="AH518" s="238"/>
      <c r="AI518" s="238"/>
      <c r="AJ518" s="238"/>
      <c r="AK518" s="238"/>
    </row>
    <row r="519" spans="2:37" ht="13.2">
      <c r="B519" s="238"/>
      <c r="C519" s="238"/>
      <c r="D519" s="238"/>
      <c r="E519" s="238"/>
      <c r="F519" s="238"/>
      <c r="G519" s="238"/>
      <c r="H519" s="238"/>
      <c r="I519" s="238"/>
      <c r="J519" s="238"/>
      <c r="K519" s="238"/>
      <c r="L519" s="238"/>
      <c r="M519" s="238"/>
      <c r="N519" s="238"/>
      <c r="O519" s="238"/>
      <c r="P519" s="238"/>
      <c r="Q519" s="238"/>
      <c r="R519" s="238"/>
      <c r="S519" s="238"/>
      <c r="T519" s="238"/>
      <c r="U519" s="238"/>
      <c r="V519" s="238"/>
      <c r="W519" s="238"/>
      <c r="X519" s="238"/>
      <c r="Y519" s="238"/>
      <c r="Z519" s="238"/>
      <c r="AA519" s="238"/>
      <c r="AB519" s="238"/>
      <c r="AC519" s="238"/>
      <c r="AD519" s="238"/>
      <c r="AE519" s="238"/>
      <c r="AF519" s="238"/>
      <c r="AG519" s="238"/>
      <c r="AH519" s="238"/>
      <c r="AI519" s="238"/>
      <c r="AJ519" s="238"/>
      <c r="AK519" s="238"/>
    </row>
    <row r="520" spans="2:37" ht="13.2">
      <c r="B520" s="238"/>
      <c r="C520" s="238"/>
      <c r="D520" s="238"/>
      <c r="E520" s="238"/>
      <c r="F520" s="238"/>
      <c r="G520" s="238"/>
      <c r="H520" s="238"/>
      <c r="I520" s="238"/>
      <c r="J520" s="238"/>
      <c r="K520" s="238"/>
      <c r="L520" s="238"/>
      <c r="M520" s="238"/>
      <c r="N520" s="238"/>
      <c r="O520" s="238"/>
      <c r="P520" s="238"/>
      <c r="Q520" s="238"/>
      <c r="R520" s="238"/>
      <c r="S520" s="238"/>
      <c r="T520" s="238"/>
      <c r="U520" s="238"/>
      <c r="V520" s="238"/>
      <c r="W520" s="238"/>
      <c r="X520" s="238"/>
      <c r="Y520" s="238"/>
      <c r="Z520" s="238"/>
      <c r="AA520" s="238"/>
      <c r="AB520" s="238"/>
      <c r="AC520" s="238"/>
      <c r="AD520" s="238"/>
      <c r="AE520" s="238"/>
      <c r="AF520" s="238"/>
      <c r="AG520" s="238"/>
      <c r="AH520" s="238"/>
      <c r="AI520" s="238"/>
      <c r="AJ520" s="238"/>
      <c r="AK520" s="238"/>
    </row>
    <row r="521" spans="2:37" ht="13.2">
      <c r="B521" s="238"/>
      <c r="C521" s="238"/>
      <c r="D521" s="238"/>
      <c r="E521" s="238"/>
      <c r="F521" s="238"/>
      <c r="G521" s="238"/>
      <c r="H521" s="238"/>
      <c r="I521" s="238"/>
      <c r="J521" s="238"/>
      <c r="K521" s="238"/>
      <c r="L521" s="238"/>
      <c r="M521" s="238"/>
      <c r="N521" s="238"/>
      <c r="O521" s="238"/>
      <c r="P521" s="238"/>
      <c r="Q521" s="238"/>
      <c r="R521" s="238"/>
      <c r="S521" s="238"/>
      <c r="T521" s="238"/>
      <c r="U521" s="238"/>
      <c r="V521" s="238"/>
      <c r="W521" s="238"/>
      <c r="X521" s="238"/>
      <c r="Y521" s="238"/>
      <c r="Z521" s="238"/>
      <c r="AA521" s="238"/>
      <c r="AB521" s="238"/>
      <c r="AC521" s="238"/>
      <c r="AD521" s="238"/>
      <c r="AE521" s="238"/>
      <c r="AF521" s="238"/>
      <c r="AG521" s="238"/>
      <c r="AH521" s="238"/>
      <c r="AI521" s="238"/>
      <c r="AJ521" s="238"/>
      <c r="AK521" s="238"/>
    </row>
    <row r="522" spans="2:37" ht="13.2">
      <c r="B522" s="238"/>
      <c r="C522" s="238"/>
      <c r="D522" s="238"/>
      <c r="E522" s="238"/>
      <c r="F522" s="238"/>
      <c r="G522" s="238"/>
      <c r="H522" s="238"/>
      <c r="I522" s="238"/>
      <c r="J522" s="238"/>
      <c r="K522" s="238"/>
      <c r="L522" s="238"/>
      <c r="M522" s="238"/>
      <c r="N522" s="238"/>
      <c r="O522" s="238"/>
      <c r="P522" s="238"/>
      <c r="Q522" s="238"/>
      <c r="R522" s="238"/>
      <c r="S522" s="238"/>
      <c r="T522" s="238"/>
      <c r="U522" s="238"/>
      <c r="V522" s="238"/>
      <c r="W522" s="238"/>
      <c r="X522" s="238"/>
      <c r="Y522" s="238"/>
      <c r="Z522" s="238"/>
      <c r="AA522" s="238"/>
      <c r="AB522" s="238"/>
      <c r="AC522" s="238"/>
      <c r="AD522" s="238"/>
      <c r="AE522" s="238"/>
      <c r="AF522" s="238"/>
      <c r="AG522" s="238"/>
      <c r="AH522" s="238"/>
      <c r="AI522" s="238"/>
      <c r="AJ522" s="238"/>
      <c r="AK522" s="238"/>
    </row>
    <row r="523" spans="2:37" ht="13.2">
      <c r="B523" s="238"/>
      <c r="C523" s="238"/>
      <c r="D523" s="238"/>
      <c r="E523" s="238"/>
      <c r="F523" s="238"/>
      <c r="G523" s="238"/>
      <c r="H523" s="238"/>
      <c r="I523" s="238"/>
      <c r="J523" s="238"/>
      <c r="K523" s="238"/>
      <c r="L523" s="238"/>
      <c r="M523" s="238"/>
      <c r="N523" s="238"/>
      <c r="O523" s="238"/>
      <c r="P523" s="238"/>
      <c r="Q523" s="238"/>
      <c r="R523" s="238"/>
      <c r="S523" s="238"/>
      <c r="T523" s="238"/>
      <c r="U523" s="238"/>
      <c r="V523" s="238"/>
      <c r="W523" s="238"/>
      <c r="X523" s="238"/>
      <c r="Y523" s="238"/>
      <c r="Z523" s="238"/>
      <c r="AA523" s="238"/>
      <c r="AB523" s="238"/>
      <c r="AC523" s="238"/>
      <c r="AD523" s="238"/>
      <c r="AE523" s="238"/>
      <c r="AF523" s="238"/>
      <c r="AG523" s="238"/>
      <c r="AH523" s="238"/>
      <c r="AI523" s="238"/>
      <c r="AJ523" s="238"/>
      <c r="AK523" s="238"/>
    </row>
    <row r="524" spans="2:37" ht="13.2">
      <c r="B524" s="238"/>
      <c r="C524" s="238"/>
      <c r="D524" s="238"/>
      <c r="E524" s="238"/>
      <c r="F524" s="238"/>
      <c r="G524" s="238"/>
      <c r="H524" s="238"/>
      <c r="I524" s="238"/>
      <c r="J524" s="238"/>
      <c r="K524" s="238"/>
      <c r="L524" s="238"/>
      <c r="M524" s="238"/>
      <c r="N524" s="238"/>
      <c r="O524" s="238"/>
      <c r="P524" s="238"/>
      <c r="Q524" s="238"/>
      <c r="R524" s="238"/>
      <c r="S524" s="238"/>
      <c r="T524" s="238"/>
      <c r="U524" s="238"/>
      <c r="V524" s="238"/>
      <c r="W524" s="238"/>
      <c r="X524" s="238"/>
      <c r="Y524" s="238"/>
      <c r="Z524" s="238"/>
      <c r="AA524" s="238"/>
      <c r="AB524" s="238"/>
      <c r="AC524" s="238"/>
      <c r="AD524" s="238"/>
      <c r="AE524" s="238"/>
      <c r="AF524" s="238"/>
      <c r="AG524" s="238"/>
      <c r="AH524" s="238"/>
      <c r="AI524" s="238"/>
      <c r="AJ524" s="238"/>
      <c r="AK524" s="238"/>
    </row>
    <row r="525" spans="2:37" ht="13.2">
      <c r="B525" s="238"/>
      <c r="C525" s="238"/>
      <c r="D525" s="238"/>
      <c r="E525" s="238"/>
      <c r="F525" s="238"/>
      <c r="G525" s="238"/>
      <c r="H525" s="238"/>
      <c r="I525" s="238"/>
      <c r="J525" s="238"/>
      <c r="K525" s="238"/>
      <c r="L525" s="238"/>
      <c r="M525" s="238"/>
      <c r="N525" s="238"/>
      <c r="O525" s="238"/>
      <c r="P525" s="238"/>
      <c r="Q525" s="238"/>
      <c r="R525" s="238"/>
      <c r="S525" s="238"/>
      <c r="T525" s="238"/>
      <c r="U525" s="238"/>
      <c r="V525" s="238"/>
      <c r="W525" s="238"/>
      <c r="X525" s="238"/>
      <c r="Y525" s="238"/>
      <c r="Z525" s="238"/>
      <c r="AA525" s="238"/>
      <c r="AB525" s="238"/>
      <c r="AC525" s="238"/>
      <c r="AD525" s="238"/>
      <c r="AE525" s="238"/>
      <c r="AF525" s="238"/>
      <c r="AG525" s="238"/>
      <c r="AH525" s="238"/>
      <c r="AI525" s="238"/>
      <c r="AJ525" s="238"/>
      <c r="AK525" s="238"/>
    </row>
    <row r="526" spans="2:37" ht="13.2">
      <c r="B526" s="238"/>
      <c r="C526" s="238"/>
      <c r="D526" s="238"/>
      <c r="E526" s="238"/>
      <c r="F526" s="238"/>
      <c r="G526" s="238"/>
      <c r="H526" s="238"/>
      <c r="I526" s="238"/>
      <c r="J526" s="238"/>
      <c r="K526" s="238"/>
      <c r="L526" s="238"/>
      <c r="M526" s="238"/>
      <c r="N526" s="238"/>
      <c r="O526" s="238"/>
      <c r="P526" s="238"/>
      <c r="Q526" s="238"/>
      <c r="R526" s="238"/>
      <c r="S526" s="238"/>
      <c r="T526" s="238"/>
      <c r="U526" s="238"/>
      <c r="V526" s="238"/>
      <c r="W526" s="238"/>
      <c r="X526" s="238"/>
      <c r="Y526" s="238"/>
      <c r="Z526" s="238"/>
      <c r="AA526" s="238"/>
      <c r="AB526" s="238"/>
      <c r="AC526" s="238"/>
      <c r="AD526" s="238"/>
      <c r="AE526" s="238"/>
      <c r="AF526" s="238"/>
      <c r="AG526" s="238"/>
      <c r="AH526" s="238"/>
      <c r="AI526" s="238"/>
      <c r="AJ526" s="238"/>
      <c r="AK526" s="238"/>
    </row>
    <row r="527" spans="2:37" ht="13.2">
      <c r="B527" s="238"/>
      <c r="C527" s="238"/>
      <c r="D527" s="238"/>
      <c r="E527" s="238"/>
      <c r="F527" s="238"/>
      <c r="G527" s="238"/>
      <c r="H527" s="238"/>
      <c r="I527" s="238"/>
      <c r="J527" s="238"/>
      <c r="K527" s="238"/>
      <c r="L527" s="238"/>
      <c r="M527" s="238"/>
      <c r="N527" s="238"/>
      <c r="O527" s="238"/>
      <c r="P527" s="238"/>
      <c r="Q527" s="238"/>
      <c r="R527" s="238"/>
      <c r="S527" s="238"/>
      <c r="T527" s="238"/>
      <c r="U527" s="238"/>
      <c r="V527" s="238"/>
      <c r="W527" s="238"/>
      <c r="X527" s="238"/>
      <c r="Y527" s="238"/>
      <c r="Z527" s="238"/>
      <c r="AA527" s="238"/>
      <c r="AB527" s="238"/>
      <c r="AC527" s="238"/>
      <c r="AD527" s="238"/>
      <c r="AE527" s="238"/>
      <c r="AF527" s="238"/>
      <c r="AG527" s="238"/>
      <c r="AH527" s="238"/>
      <c r="AI527" s="238"/>
      <c r="AJ527" s="238"/>
      <c r="AK527" s="238"/>
    </row>
    <row r="528" spans="2:37" ht="13.2">
      <c r="B528" s="238"/>
      <c r="C528" s="238"/>
      <c r="D528" s="238"/>
      <c r="E528" s="238"/>
      <c r="F528" s="238"/>
      <c r="G528" s="238"/>
      <c r="H528" s="238"/>
      <c r="I528" s="238"/>
      <c r="J528" s="238"/>
      <c r="K528" s="238"/>
      <c r="L528" s="238"/>
      <c r="M528" s="238"/>
      <c r="N528" s="238"/>
      <c r="O528" s="238"/>
      <c r="P528" s="238"/>
      <c r="Q528" s="238"/>
      <c r="R528" s="238"/>
      <c r="S528" s="238"/>
      <c r="T528" s="238"/>
      <c r="U528" s="238"/>
      <c r="V528" s="238"/>
      <c r="W528" s="238"/>
      <c r="X528" s="238"/>
      <c r="Y528" s="238"/>
      <c r="Z528" s="238"/>
      <c r="AA528" s="238"/>
      <c r="AB528" s="238"/>
      <c r="AC528" s="238"/>
      <c r="AD528" s="238"/>
      <c r="AE528" s="238"/>
      <c r="AF528" s="238"/>
      <c r="AG528" s="238"/>
      <c r="AH528" s="238"/>
      <c r="AI528" s="238"/>
      <c r="AJ528" s="238"/>
      <c r="AK528" s="238"/>
    </row>
    <row r="529" spans="2:37" ht="13.2">
      <c r="B529" s="238"/>
      <c r="C529" s="238"/>
      <c r="D529" s="238"/>
      <c r="E529" s="238"/>
      <c r="F529" s="238"/>
      <c r="G529" s="238"/>
      <c r="H529" s="238"/>
      <c r="I529" s="238"/>
      <c r="J529" s="238"/>
      <c r="K529" s="238"/>
      <c r="L529" s="238"/>
      <c r="M529" s="238"/>
      <c r="N529" s="238"/>
      <c r="O529" s="238"/>
      <c r="P529" s="238"/>
      <c r="Q529" s="238"/>
      <c r="R529" s="238"/>
      <c r="S529" s="238"/>
      <c r="T529" s="238"/>
      <c r="U529" s="238"/>
      <c r="V529" s="238"/>
      <c r="W529" s="238"/>
      <c r="X529" s="238"/>
      <c r="Y529" s="238"/>
      <c r="Z529" s="238"/>
      <c r="AA529" s="238"/>
      <c r="AB529" s="238"/>
      <c r="AC529" s="238"/>
      <c r="AD529" s="238"/>
      <c r="AE529" s="238"/>
      <c r="AF529" s="238"/>
      <c r="AG529" s="238"/>
      <c r="AH529" s="238"/>
      <c r="AI529" s="238"/>
      <c r="AJ529" s="238"/>
      <c r="AK529" s="238"/>
    </row>
    <row r="530" spans="2:37" ht="13.2">
      <c r="B530" s="238"/>
      <c r="C530" s="238"/>
      <c r="D530" s="238"/>
      <c r="E530" s="238"/>
      <c r="F530" s="238"/>
      <c r="G530" s="238"/>
      <c r="H530" s="238"/>
      <c r="I530" s="238"/>
      <c r="J530" s="238"/>
      <c r="K530" s="238"/>
      <c r="L530" s="238"/>
      <c r="M530" s="238"/>
      <c r="N530" s="238"/>
      <c r="O530" s="238"/>
      <c r="P530" s="238"/>
      <c r="Q530" s="238"/>
      <c r="R530" s="238"/>
      <c r="S530" s="238"/>
      <c r="T530" s="238"/>
      <c r="U530" s="238"/>
      <c r="V530" s="238"/>
      <c r="W530" s="238"/>
      <c r="X530" s="238"/>
      <c r="Y530" s="238"/>
      <c r="Z530" s="238"/>
      <c r="AA530" s="238"/>
      <c r="AB530" s="238"/>
      <c r="AC530" s="238"/>
      <c r="AD530" s="238"/>
      <c r="AE530" s="238"/>
      <c r="AF530" s="238"/>
      <c r="AG530" s="238"/>
      <c r="AH530" s="238"/>
      <c r="AI530" s="238"/>
      <c r="AJ530" s="238"/>
      <c r="AK530" s="238"/>
    </row>
    <row r="531" spans="2:37" ht="13.2">
      <c r="B531" s="238"/>
      <c r="C531" s="238"/>
      <c r="D531" s="238"/>
      <c r="E531" s="238"/>
      <c r="F531" s="238"/>
      <c r="G531" s="238"/>
      <c r="H531" s="238"/>
      <c r="I531" s="238"/>
      <c r="J531" s="238"/>
      <c r="K531" s="238"/>
      <c r="L531" s="238"/>
      <c r="M531" s="238"/>
      <c r="N531" s="238"/>
      <c r="O531" s="238"/>
      <c r="P531" s="238"/>
      <c r="Q531" s="238"/>
      <c r="R531" s="238"/>
      <c r="S531" s="238"/>
      <c r="T531" s="238"/>
      <c r="U531" s="238"/>
      <c r="V531" s="238"/>
      <c r="W531" s="238"/>
      <c r="X531" s="238"/>
      <c r="Y531" s="238"/>
      <c r="Z531" s="238"/>
      <c r="AA531" s="238"/>
      <c r="AB531" s="238"/>
      <c r="AC531" s="238"/>
      <c r="AD531" s="238"/>
      <c r="AE531" s="238"/>
      <c r="AF531" s="238"/>
      <c r="AG531" s="238"/>
      <c r="AH531" s="238"/>
      <c r="AI531" s="238"/>
      <c r="AJ531" s="238"/>
      <c r="AK531" s="238"/>
    </row>
    <row r="532" spans="2:37" ht="13.2">
      <c r="B532" s="238"/>
      <c r="C532" s="238"/>
      <c r="D532" s="238"/>
      <c r="E532" s="238"/>
      <c r="F532" s="238"/>
      <c r="G532" s="238"/>
      <c r="H532" s="238"/>
      <c r="I532" s="238"/>
      <c r="J532" s="238"/>
      <c r="K532" s="238"/>
      <c r="L532" s="238"/>
      <c r="M532" s="238"/>
      <c r="N532" s="238"/>
      <c r="O532" s="238"/>
      <c r="P532" s="238"/>
      <c r="Q532" s="238"/>
      <c r="R532" s="238"/>
      <c r="S532" s="238"/>
      <c r="T532" s="238"/>
      <c r="U532" s="238"/>
      <c r="V532" s="238"/>
      <c r="W532" s="238"/>
      <c r="X532" s="238"/>
      <c r="Y532" s="238"/>
      <c r="Z532" s="238"/>
      <c r="AA532" s="238"/>
      <c r="AB532" s="238"/>
      <c r="AC532" s="238"/>
      <c r="AD532" s="238"/>
      <c r="AE532" s="238"/>
      <c r="AF532" s="238"/>
      <c r="AG532" s="238"/>
      <c r="AH532" s="238"/>
      <c r="AI532" s="238"/>
      <c r="AJ532" s="238"/>
      <c r="AK532" s="238"/>
    </row>
    <row r="533" spans="2:37" ht="13.2">
      <c r="B533" s="238"/>
      <c r="C533" s="238"/>
      <c r="D533" s="238"/>
      <c r="E533" s="238"/>
      <c r="F533" s="238"/>
      <c r="G533" s="238"/>
      <c r="H533" s="238"/>
      <c r="I533" s="238"/>
      <c r="J533" s="238"/>
      <c r="K533" s="238"/>
      <c r="L533" s="238"/>
      <c r="M533" s="238"/>
      <c r="N533" s="238"/>
      <c r="O533" s="238"/>
      <c r="P533" s="238"/>
      <c r="Q533" s="238"/>
      <c r="R533" s="238"/>
      <c r="S533" s="238"/>
      <c r="T533" s="238"/>
      <c r="U533" s="238"/>
      <c r="V533" s="238"/>
      <c r="W533" s="238"/>
      <c r="X533" s="238"/>
      <c r="Y533" s="238"/>
      <c r="Z533" s="238"/>
      <c r="AA533" s="238"/>
      <c r="AB533" s="238"/>
      <c r="AC533" s="238"/>
      <c r="AD533" s="238"/>
      <c r="AE533" s="238"/>
      <c r="AF533" s="238"/>
      <c r="AG533" s="238"/>
      <c r="AH533" s="238"/>
      <c r="AI533" s="238"/>
      <c r="AJ533" s="238"/>
      <c r="AK533" s="238"/>
    </row>
    <row r="534" spans="2:37" ht="13.2">
      <c r="B534" s="238"/>
      <c r="C534" s="238"/>
      <c r="D534" s="238"/>
      <c r="E534" s="238"/>
      <c r="F534" s="238"/>
      <c r="G534" s="238"/>
      <c r="H534" s="238"/>
      <c r="I534" s="238"/>
      <c r="J534" s="238"/>
      <c r="K534" s="238"/>
      <c r="L534" s="238"/>
      <c r="M534" s="238"/>
      <c r="N534" s="238"/>
      <c r="O534" s="238"/>
      <c r="P534" s="238"/>
      <c r="Q534" s="238"/>
      <c r="R534" s="238"/>
      <c r="S534" s="238"/>
      <c r="T534" s="238"/>
      <c r="U534" s="238"/>
      <c r="V534" s="238"/>
      <c r="W534" s="238"/>
      <c r="X534" s="238"/>
      <c r="Y534" s="238"/>
      <c r="Z534" s="238"/>
      <c r="AA534" s="238"/>
      <c r="AB534" s="238"/>
      <c r="AC534" s="238"/>
      <c r="AD534" s="238"/>
      <c r="AE534" s="238"/>
      <c r="AF534" s="238"/>
      <c r="AG534" s="238"/>
      <c r="AH534" s="238"/>
      <c r="AI534" s="238"/>
      <c r="AJ534" s="238"/>
      <c r="AK534" s="238"/>
    </row>
    <row r="535" spans="2:37" ht="13.2">
      <c r="B535" s="238"/>
      <c r="C535" s="238"/>
      <c r="D535" s="238"/>
      <c r="E535" s="238"/>
      <c r="F535" s="238"/>
      <c r="G535" s="238"/>
      <c r="H535" s="238"/>
      <c r="I535" s="238"/>
      <c r="J535" s="238"/>
      <c r="K535" s="238"/>
      <c r="L535" s="238"/>
      <c r="M535" s="238"/>
      <c r="N535" s="238"/>
      <c r="O535" s="238"/>
      <c r="P535" s="238"/>
      <c r="Q535" s="238"/>
      <c r="R535" s="238"/>
      <c r="S535" s="238"/>
      <c r="T535" s="238"/>
      <c r="U535" s="238"/>
      <c r="V535" s="238"/>
      <c r="W535" s="238"/>
      <c r="X535" s="238"/>
      <c r="Y535" s="238"/>
      <c r="Z535" s="238"/>
      <c r="AA535" s="238"/>
      <c r="AB535" s="238"/>
      <c r="AC535" s="238"/>
      <c r="AD535" s="238"/>
      <c r="AE535" s="238"/>
      <c r="AF535" s="238"/>
      <c r="AG535" s="238"/>
      <c r="AH535" s="238"/>
      <c r="AI535" s="238"/>
      <c r="AJ535" s="238"/>
      <c r="AK535" s="238"/>
    </row>
    <row r="536" spans="2:37" ht="13.2">
      <c r="B536" s="238"/>
      <c r="C536" s="238"/>
      <c r="D536" s="238"/>
      <c r="E536" s="238"/>
      <c r="F536" s="238"/>
      <c r="G536" s="238"/>
      <c r="H536" s="238"/>
      <c r="I536" s="238"/>
      <c r="J536" s="238"/>
      <c r="K536" s="238"/>
      <c r="L536" s="238"/>
      <c r="M536" s="238"/>
      <c r="N536" s="238"/>
      <c r="O536" s="238"/>
      <c r="P536" s="238"/>
      <c r="Q536" s="238"/>
      <c r="R536" s="238"/>
      <c r="S536" s="238"/>
      <c r="T536" s="238"/>
      <c r="U536" s="238"/>
      <c r="V536" s="238"/>
      <c r="W536" s="238"/>
      <c r="X536" s="238"/>
      <c r="Y536" s="238"/>
      <c r="Z536" s="238"/>
      <c r="AA536" s="238"/>
      <c r="AB536" s="238"/>
      <c r="AC536" s="238"/>
      <c r="AD536" s="238"/>
      <c r="AE536" s="238"/>
      <c r="AF536" s="238"/>
      <c r="AG536" s="238"/>
      <c r="AH536" s="238"/>
      <c r="AI536" s="238"/>
      <c r="AJ536" s="238"/>
      <c r="AK536" s="238"/>
    </row>
    <row r="537" spans="2:37" ht="13.2">
      <c r="B537" s="238"/>
      <c r="C537" s="238"/>
      <c r="D537" s="238"/>
      <c r="E537" s="238"/>
      <c r="F537" s="238"/>
      <c r="G537" s="238"/>
      <c r="H537" s="238"/>
      <c r="I537" s="238"/>
      <c r="J537" s="238"/>
      <c r="K537" s="238"/>
      <c r="L537" s="238"/>
      <c r="M537" s="238"/>
      <c r="N537" s="238"/>
      <c r="O537" s="238"/>
      <c r="P537" s="238"/>
      <c r="Q537" s="238"/>
      <c r="R537" s="238"/>
      <c r="S537" s="238"/>
      <c r="T537" s="238"/>
      <c r="U537" s="238"/>
      <c r="V537" s="238"/>
      <c r="W537" s="238"/>
      <c r="X537" s="238"/>
      <c r="Y537" s="238"/>
      <c r="Z537" s="238"/>
      <c r="AA537" s="238"/>
      <c r="AB537" s="238"/>
      <c r="AC537" s="238"/>
      <c r="AD537" s="238"/>
      <c r="AE537" s="238"/>
      <c r="AF537" s="238"/>
      <c r="AG537" s="238"/>
      <c r="AH537" s="238"/>
      <c r="AI537" s="238"/>
      <c r="AJ537" s="238"/>
      <c r="AK537" s="238"/>
    </row>
    <row r="538" spans="2:37" ht="13.2">
      <c r="B538" s="238"/>
      <c r="C538" s="238"/>
      <c r="D538" s="238"/>
      <c r="E538" s="238"/>
      <c r="F538" s="238"/>
      <c r="G538" s="238"/>
      <c r="H538" s="238"/>
      <c r="I538" s="238"/>
      <c r="J538" s="238"/>
      <c r="K538" s="238"/>
      <c r="L538" s="238"/>
      <c r="M538" s="238"/>
      <c r="N538" s="238"/>
      <c r="O538" s="238"/>
      <c r="P538" s="238"/>
      <c r="Q538" s="238"/>
      <c r="R538" s="238"/>
      <c r="S538" s="238"/>
      <c r="T538" s="238"/>
      <c r="U538" s="238"/>
      <c r="V538" s="238"/>
      <c r="W538" s="238"/>
      <c r="X538" s="238"/>
      <c r="Y538" s="238"/>
      <c r="Z538" s="238"/>
      <c r="AA538" s="238"/>
      <c r="AB538" s="238"/>
      <c r="AC538" s="238"/>
      <c r="AD538" s="238"/>
      <c r="AE538" s="238"/>
      <c r="AF538" s="238"/>
      <c r="AG538" s="238"/>
      <c r="AH538" s="238"/>
      <c r="AI538" s="238"/>
      <c r="AJ538" s="238"/>
      <c r="AK538" s="238"/>
    </row>
    <row r="539" spans="2:37" ht="13.2">
      <c r="B539" s="238"/>
      <c r="C539" s="238"/>
      <c r="D539" s="238"/>
      <c r="E539" s="238"/>
      <c r="F539" s="238"/>
      <c r="G539" s="238"/>
      <c r="H539" s="238"/>
      <c r="I539" s="238"/>
      <c r="J539" s="238"/>
      <c r="K539" s="238"/>
      <c r="L539" s="238"/>
      <c r="M539" s="238"/>
      <c r="N539" s="238"/>
      <c r="O539" s="238"/>
      <c r="P539" s="238"/>
      <c r="Q539" s="238"/>
      <c r="R539" s="238"/>
      <c r="S539" s="238"/>
      <c r="T539" s="238"/>
      <c r="U539" s="238"/>
      <c r="V539" s="238"/>
      <c r="W539" s="238"/>
      <c r="X539" s="238"/>
      <c r="Y539" s="238"/>
      <c r="Z539" s="238"/>
      <c r="AA539" s="238"/>
      <c r="AB539" s="238"/>
      <c r="AC539" s="238"/>
      <c r="AD539" s="238"/>
      <c r="AE539" s="238"/>
      <c r="AF539" s="238"/>
      <c r="AG539" s="238"/>
      <c r="AH539" s="238"/>
      <c r="AI539" s="238"/>
      <c r="AJ539" s="238"/>
      <c r="AK539" s="238"/>
    </row>
    <row r="540" spans="2:37" ht="13.2">
      <c r="B540" s="238"/>
      <c r="C540" s="238"/>
      <c r="D540" s="238"/>
      <c r="E540" s="238"/>
      <c r="F540" s="238"/>
      <c r="G540" s="238"/>
      <c r="H540" s="238"/>
      <c r="I540" s="238"/>
      <c r="J540" s="238"/>
      <c r="K540" s="238"/>
      <c r="L540" s="238"/>
      <c r="M540" s="238"/>
      <c r="N540" s="238"/>
      <c r="O540" s="238"/>
      <c r="P540" s="238"/>
      <c r="Q540" s="238"/>
      <c r="R540" s="238"/>
      <c r="S540" s="238"/>
      <c r="T540" s="238"/>
      <c r="U540" s="238"/>
      <c r="V540" s="238"/>
      <c r="W540" s="238"/>
      <c r="X540" s="238"/>
      <c r="Y540" s="238"/>
      <c r="Z540" s="238"/>
      <c r="AA540" s="238"/>
      <c r="AB540" s="238"/>
      <c r="AC540" s="238"/>
      <c r="AD540" s="238"/>
      <c r="AE540" s="238"/>
      <c r="AF540" s="238"/>
      <c r="AG540" s="238"/>
      <c r="AH540" s="238"/>
      <c r="AI540" s="238"/>
      <c r="AJ540" s="238"/>
      <c r="AK540" s="238"/>
    </row>
    <row r="541" spans="2:37" ht="13.2">
      <c r="B541" s="238"/>
      <c r="C541" s="238"/>
      <c r="D541" s="238"/>
      <c r="E541" s="238"/>
      <c r="F541" s="238"/>
      <c r="G541" s="238"/>
      <c r="H541" s="238"/>
      <c r="I541" s="238"/>
      <c r="J541" s="238"/>
      <c r="K541" s="238"/>
      <c r="L541" s="238"/>
      <c r="M541" s="238"/>
      <c r="N541" s="238"/>
      <c r="O541" s="238"/>
      <c r="P541" s="238"/>
      <c r="Q541" s="238"/>
      <c r="R541" s="238"/>
      <c r="S541" s="238"/>
      <c r="T541" s="238"/>
      <c r="U541" s="238"/>
      <c r="V541" s="238"/>
      <c r="W541" s="238"/>
      <c r="X541" s="238"/>
      <c r="Y541" s="238"/>
      <c r="Z541" s="238"/>
      <c r="AA541" s="238"/>
      <c r="AB541" s="238"/>
      <c r="AC541" s="238"/>
      <c r="AD541" s="238"/>
      <c r="AE541" s="238"/>
      <c r="AF541" s="238"/>
      <c r="AG541" s="238"/>
      <c r="AH541" s="238"/>
      <c r="AI541" s="238"/>
      <c r="AJ541" s="238"/>
      <c r="AK541" s="238"/>
    </row>
    <row r="542" spans="2:37" ht="13.2">
      <c r="B542" s="238"/>
      <c r="C542" s="238"/>
      <c r="D542" s="238"/>
      <c r="E542" s="238"/>
      <c r="F542" s="238"/>
      <c r="G542" s="238"/>
      <c r="H542" s="238"/>
      <c r="I542" s="238"/>
      <c r="J542" s="238"/>
      <c r="K542" s="238"/>
      <c r="L542" s="238"/>
      <c r="M542" s="238"/>
      <c r="N542" s="238"/>
      <c r="O542" s="238"/>
      <c r="P542" s="238"/>
      <c r="Q542" s="238"/>
      <c r="R542" s="238"/>
      <c r="S542" s="238"/>
      <c r="T542" s="238"/>
      <c r="U542" s="238"/>
      <c r="V542" s="238"/>
      <c r="W542" s="238"/>
      <c r="X542" s="238"/>
      <c r="Y542" s="238"/>
      <c r="Z542" s="238"/>
      <c r="AA542" s="238"/>
      <c r="AB542" s="238"/>
      <c r="AC542" s="238"/>
      <c r="AD542" s="238"/>
      <c r="AE542" s="238"/>
      <c r="AF542" s="238"/>
      <c r="AG542" s="238"/>
      <c r="AH542" s="238"/>
      <c r="AI542" s="238"/>
      <c r="AJ542" s="238"/>
      <c r="AK542" s="238"/>
    </row>
    <row r="543" spans="2:37" ht="13.2">
      <c r="B543" s="238"/>
      <c r="C543" s="238"/>
      <c r="D543" s="238"/>
      <c r="E543" s="238"/>
      <c r="F543" s="238"/>
      <c r="G543" s="238"/>
      <c r="H543" s="238"/>
      <c r="I543" s="238"/>
      <c r="J543" s="238"/>
      <c r="K543" s="238"/>
      <c r="L543" s="238"/>
      <c r="M543" s="238"/>
      <c r="N543" s="238"/>
      <c r="O543" s="238"/>
      <c r="P543" s="238"/>
      <c r="Q543" s="238"/>
      <c r="R543" s="238"/>
      <c r="S543" s="238"/>
      <c r="T543" s="238"/>
      <c r="U543" s="238"/>
      <c r="V543" s="238"/>
      <c r="W543" s="238"/>
      <c r="X543" s="238"/>
      <c r="Y543" s="238"/>
      <c r="Z543" s="238"/>
      <c r="AA543" s="238"/>
      <c r="AB543" s="238"/>
      <c r="AC543" s="238"/>
      <c r="AD543" s="238"/>
      <c r="AE543" s="238"/>
      <c r="AF543" s="238"/>
      <c r="AG543" s="238"/>
      <c r="AH543" s="238"/>
      <c r="AI543" s="238"/>
      <c r="AJ543" s="238"/>
      <c r="AK543" s="238"/>
    </row>
    <row r="544" spans="2:37" ht="13.2">
      <c r="B544" s="238"/>
      <c r="C544" s="238"/>
      <c r="D544" s="238"/>
      <c r="E544" s="238"/>
      <c r="F544" s="238"/>
      <c r="G544" s="238"/>
      <c r="H544" s="238"/>
      <c r="I544" s="238"/>
      <c r="J544" s="238"/>
      <c r="K544" s="238"/>
      <c r="L544" s="238"/>
      <c r="M544" s="238"/>
      <c r="N544" s="238"/>
      <c r="O544" s="238"/>
      <c r="P544" s="238"/>
      <c r="Q544" s="238"/>
      <c r="R544" s="238"/>
      <c r="S544" s="238"/>
      <c r="T544" s="238"/>
      <c r="U544" s="238"/>
      <c r="V544" s="238"/>
      <c r="W544" s="238"/>
      <c r="X544" s="238"/>
      <c r="Y544" s="238"/>
      <c r="Z544" s="238"/>
      <c r="AA544" s="238"/>
      <c r="AB544" s="238"/>
      <c r="AC544" s="238"/>
      <c r="AD544" s="238"/>
      <c r="AE544" s="238"/>
      <c r="AF544" s="238"/>
      <c r="AG544" s="238"/>
      <c r="AH544" s="238"/>
      <c r="AI544" s="238"/>
      <c r="AJ544" s="238"/>
      <c r="AK544" s="238"/>
    </row>
    <row r="545" spans="2:37" ht="13.2">
      <c r="B545" s="238"/>
      <c r="C545" s="238"/>
      <c r="D545" s="238"/>
      <c r="E545" s="238"/>
      <c r="F545" s="238"/>
      <c r="G545" s="238"/>
      <c r="H545" s="238"/>
      <c r="I545" s="238"/>
      <c r="J545" s="238"/>
      <c r="K545" s="238"/>
      <c r="L545" s="238"/>
      <c r="M545" s="238"/>
      <c r="N545" s="238"/>
      <c r="O545" s="238"/>
      <c r="P545" s="238"/>
      <c r="Q545" s="238"/>
      <c r="R545" s="238"/>
      <c r="S545" s="238"/>
      <c r="T545" s="238"/>
      <c r="U545" s="238"/>
      <c r="V545" s="238"/>
      <c r="W545" s="238"/>
      <c r="X545" s="238"/>
      <c r="Y545" s="238"/>
      <c r="Z545" s="238"/>
      <c r="AA545" s="238"/>
      <c r="AB545" s="238"/>
      <c r="AC545" s="238"/>
      <c r="AD545" s="238"/>
      <c r="AE545" s="238"/>
      <c r="AF545" s="238"/>
      <c r="AG545" s="238"/>
      <c r="AH545" s="238"/>
      <c r="AI545" s="238"/>
      <c r="AJ545" s="238"/>
      <c r="AK545" s="238"/>
    </row>
    <row r="546" spans="2:37" ht="13.2">
      <c r="B546" s="238"/>
      <c r="C546" s="238"/>
      <c r="D546" s="238"/>
      <c r="E546" s="238"/>
      <c r="F546" s="238"/>
      <c r="G546" s="238"/>
      <c r="H546" s="238"/>
      <c r="I546" s="238"/>
      <c r="J546" s="238"/>
      <c r="K546" s="238"/>
      <c r="L546" s="238"/>
      <c r="M546" s="238"/>
      <c r="N546" s="238"/>
      <c r="O546" s="238"/>
      <c r="P546" s="238"/>
      <c r="Q546" s="238"/>
      <c r="R546" s="238"/>
      <c r="S546" s="238"/>
      <c r="T546" s="238"/>
      <c r="U546" s="238"/>
      <c r="V546" s="238"/>
      <c r="W546" s="238"/>
      <c r="X546" s="238"/>
      <c r="Y546" s="238"/>
      <c r="Z546" s="238"/>
      <c r="AA546" s="238"/>
      <c r="AB546" s="238"/>
      <c r="AC546" s="238"/>
      <c r="AD546" s="238"/>
      <c r="AE546" s="238"/>
      <c r="AF546" s="238"/>
      <c r="AG546" s="238"/>
      <c r="AH546" s="238"/>
      <c r="AI546" s="238"/>
      <c r="AJ546" s="238"/>
      <c r="AK546" s="238"/>
    </row>
    <row r="547" spans="2:37" ht="13.2">
      <c r="B547" s="238"/>
      <c r="C547" s="238"/>
      <c r="D547" s="238"/>
      <c r="E547" s="238"/>
      <c r="F547" s="238"/>
      <c r="G547" s="238"/>
      <c r="H547" s="238"/>
      <c r="I547" s="238"/>
      <c r="J547" s="238"/>
      <c r="K547" s="238"/>
      <c r="L547" s="238"/>
      <c r="M547" s="238"/>
      <c r="N547" s="238"/>
      <c r="O547" s="238"/>
      <c r="P547" s="238"/>
      <c r="Q547" s="238"/>
      <c r="R547" s="238"/>
      <c r="S547" s="238"/>
      <c r="T547" s="238"/>
      <c r="U547" s="238"/>
      <c r="V547" s="238"/>
      <c r="W547" s="238"/>
      <c r="X547" s="238"/>
      <c r="Y547" s="238"/>
      <c r="Z547" s="238"/>
      <c r="AA547" s="238"/>
      <c r="AB547" s="238"/>
      <c r="AC547" s="238"/>
      <c r="AD547" s="238"/>
      <c r="AE547" s="238"/>
      <c r="AF547" s="238"/>
      <c r="AG547" s="238"/>
      <c r="AH547" s="238"/>
      <c r="AI547" s="238"/>
      <c r="AJ547" s="238"/>
      <c r="AK547" s="238"/>
    </row>
    <row r="548" spans="2:37" ht="13.2">
      <c r="B548" s="238"/>
      <c r="C548" s="238"/>
      <c r="D548" s="238"/>
      <c r="E548" s="238"/>
      <c r="F548" s="238"/>
      <c r="G548" s="238"/>
      <c r="H548" s="238"/>
      <c r="I548" s="238"/>
      <c r="J548" s="238"/>
      <c r="K548" s="238"/>
      <c r="L548" s="238"/>
      <c r="M548" s="238"/>
      <c r="N548" s="238"/>
      <c r="O548" s="238"/>
      <c r="P548" s="238"/>
      <c r="Q548" s="238"/>
      <c r="R548" s="238"/>
      <c r="S548" s="238"/>
      <c r="T548" s="238"/>
      <c r="U548" s="238"/>
      <c r="V548" s="238"/>
      <c r="W548" s="238"/>
      <c r="X548" s="238"/>
      <c r="Y548" s="238"/>
      <c r="Z548" s="238"/>
      <c r="AA548" s="238"/>
      <c r="AB548" s="238"/>
      <c r="AC548" s="238"/>
      <c r="AD548" s="238"/>
      <c r="AE548" s="238"/>
      <c r="AF548" s="238"/>
      <c r="AG548" s="238"/>
      <c r="AH548" s="238"/>
      <c r="AI548" s="238"/>
      <c r="AJ548" s="238"/>
      <c r="AK548" s="238"/>
    </row>
    <row r="549" spans="2:37" ht="13.2">
      <c r="B549" s="238"/>
      <c r="C549" s="238"/>
      <c r="D549" s="238"/>
      <c r="E549" s="238"/>
      <c r="F549" s="238"/>
      <c r="G549" s="238"/>
      <c r="H549" s="238"/>
      <c r="I549" s="238"/>
      <c r="J549" s="238"/>
      <c r="K549" s="238"/>
      <c r="L549" s="238"/>
      <c r="M549" s="238"/>
      <c r="N549" s="238"/>
      <c r="O549" s="238"/>
      <c r="P549" s="238"/>
      <c r="Q549" s="238"/>
      <c r="R549" s="238"/>
      <c r="S549" s="238"/>
      <c r="T549" s="238"/>
      <c r="U549" s="238"/>
      <c r="V549" s="238"/>
      <c r="W549" s="238"/>
      <c r="X549" s="238"/>
      <c r="Y549" s="238"/>
      <c r="Z549" s="238"/>
      <c r="AA549" s="238"/>
      <c r="AB549" s="238"/>
      <c r="AC549" s="238"/>
      <c r="AD549" s="238"/>
      <c r="AE549" s="238"/>
      <c r="AF549" s="238"/>
      <c r="AG549" s="238"/>
      <c r="AH549" s="238"/>
      <c r="AI549" s="238"/>
      <c r="AJ549" s="238"/>
      <c r="AK549" s="238"/>
    </row>
    <row r="550" spans="2:37" ht="13.2">
      <c r="B550" s="238"/>
      <c r="C550" s="238"/>
      <c r="D550" s="238"/>
      <c r="E550" s="238"/>
      <c r="F550" s="238"/>
      <c r="G550" s="238"/>
      <c r="H550" s="238"/>
      <c r="I550" s="238"/>
      <c r="J550" s="238"/>
      <c r="K550" s="238"/>
      <c r="L550" s="238"/>
      <c r="M550" s="238"/>
      <c r="N550" s="238"/>
      <c r="O550" s="238"/>
      <c r="P550" s="238"/>
      <c r="Q550" s="238"/>
      <c r="R550" s="238"/>
      <c r="S550" s="238"/>
      <c r="T550" s="238"/>
      <c r="U550" s="238"/>
      <c r="V550" s="238"/>
      <c r="W550" s="238"/>
      <c r="X550" s="238"/>
      <c r="Y550" s="238"/>
      <c r="Z550" s="238"/>
      <c r="AA550" s="238"/>
      <c r="AB550" s="238"/>
      <c r="AC550" s="238"/>
      <c r="AD550" s="238"/>
      <c r="AE550" s="238"/>
      <c r="AF550" s="238"/>
      <c r="AG550" s="238"/>
      <c r="AH550" s="238"/>
      <c r="AI550" s="238"/>
      <c r="AJ550" s="238"/>
      <c r="AK550" s="238"/>
    </row>
    <row r="551" spans="2:37" ht="13.2">
      <c r="B551" s="238"/>
      <c r="C551" s="238"/>
      <c r="D551" s="238"/>
      <c r="E551" s="238"/>
      <c r="F551" s="238"/>
      <c r="G551" s="238"/>
      <c r="H551" s="238"/>
      <c r="I551" s="238"/>
      <c r="J551" s="238"/>
      <c r="K551" s="238"/>
      <c r="L551" s="238"/>
      <c r="M551" s="238"/>
      <c r="N551" s="238"/>
      <c r="O551" s="238"/>
      <c r="P551" s="238"/>
      <c r="Q551" s="238"/>
      <c r="R551" s="238"/>
      <c r="S551" s="238"/>
      <c r="T551" s="238"/>
      <c r="U551" s="238"/>
      <c r="V551" s="238"/>
      <c r="W551" s="238"/>
      <c r="X551" s="238"/>
      <c r="Y551" s="238"/>
      <c r="Z551" s="238"/>
      <c r="AA551" s="238"/>
      <c r="AB551" s="238"/>
      <c r="AC551" s="238"/>
      <c r="AD551" s="238"/>
      <c r="AE551" s="238"/>
      <c r="AF551" s="238"/>
      <c r="AG551" s="238"/>
      <c r="AH551" s="238"/>
      <c r="AI551" s="238"/>
      <c r="AJ551" s="238"/>
      <c r="AK551" s="238"/>
    </row>
    <row r="552" spans="2:37" ht="13.2">
      <c r="B552" s="238"/>
      <c r="C552" s="238"/>
      <c r="D552" s="238"/>
      <c r="E552" s="238"/>
      <c r="F552" s="238"/>
      <c r="G552" s="238"/>
      <c r="H552" s="238"/>
      <c r="I552" s="238"/>
      <c r="J552" s="238"/>
      <c r="K552" s="238"/>
      <c r="L552" s="238"/>
      <c r="M552" s="238"/>
      <c r="N552" s="238"/>
      <c r="O552" s="238"/>
      <c r="P552" s="238"/>
      <c r="Q552" s="238"/>
      <c r="R552" s="238"/>
      <c r="S552" s="238"/>
      <c r="T552" s="238"/>
      <c r="U552" s="238"/>
      <c r="V552" s="238"/>
      <c r="W552" s="238"/>
      <c r="X552" s="238"/>
      <c r="Y552" s="238"/>
      <c r="Z552" s="238"/>
      <c r="AA552" s="238"/>
      <c r="AB552" s="238"/>
      <c r="AC552" s="238"/>
      <c r="AD552" s="238"/>
      <c r="AE552" s="238"/>
      <c r="AF552" s="238"/>
      <c r="AG552" s="238"/>
      <c r="AH552" s="238"/>
      <c r="AI552" s="238"/>
      <c r="AJ552" s="238"/>
      <c r="AK552" s="238"/>
    </row>
    <row r="553" spans="2:37" ht="13.2">
      <c r="B553" s="238"/>
      <c r="C553" s="238"/>
      <c r="D553" s="238"/>
      <c r="E553" s="238"/>
      <c r="F553" s="238"/>
      <c r="G553" s="238"/>
      <c r="H553" s="238"/>
      <c r="I553" s="238"/>
      <c r="J553" s="238"/>
      <c r="K553" s="238"/>
      <c r="L553" s="238"/>
      <c r="M553" s="238"/>
      <c r="N553" s="238"/>
      <c r="O553" s="238"/>
      <c r="P553" s="238"/>
      <c r="Q553" s="238"/>
      <c r="R553" s="238"/>
      <c r="S553" s="238"/>
      <c r="T553" s="238"/>
      <c r="U553" s="238"/>
      <c r="V553" s="238"/>
      <c r="W553" s="238"/>
      <c r="X553" s="238"/>
      <c r="Y553" s="238"/>
      <c r="Z553" s="238"/>
      <c r="AA553" s="238"/>
      <c r="AB553" s="238"/>
      <c r="AC553" s="238"/>
      <c r="AD553" s="238"/>
      <c r="AE553" s="238"/>
      <c r="AF553" s="238"/>
      <c r="AG553" s="238"/>
      <c r="AH553" s="238"/>
      <c r="AI553" s="238"/>
      <c r="AJ553" s="238"/>
      <c r="AK553" s="238"/>
    </row>
    <row r="554" spans="2:37" ht="13.2">
      <c r="B554" s="238"/>
      <c r="C554" s="238"/>
      <c r="D554" s="238"/>
      <c r="E554" s="238"/>
      <c r="F554" s="238"/>
      <c r="G554" s="238"/>
      <c r="H554" s="238"/>
      <c r="I554" s="238"/>
      <c r="J554" s="238"/>
      <c r="K554" s="238"/>
      <c r="L554" s="238"/>
      <c r="M554" s="238"/>
      <c r="N554" s="238"/>
      <c r="O554" s="238"/>
      <c r="P554" s="238"/>
      <c r="Q554" s="238"/>
      <c r="R554" s="238"/>
      <c r="S554" s="238"/>
      <c r="T554" s="238"/>
      <c r="U554" s="238"/>
      <c r="V554" s="238"/>
      <c r="W554" s="238"/>
      <c r="X554" s="238"/>
      <c r="Y554" s="238"/>
      <c r="Z554" s="238"/>
      <c r="AA554" s="238"/>
      <c r="AB554" s="238"/>
      <c r="AC554" s="238"/>
      <c r="AD554" s="238"/>
      <c r="AE554" s="238"/>
      <c r="AF554" s="238"/>
      <c r="AG554" s="238"/>
      <c r="AH554" s="238"/>
      <c r="AI554" s="238"/>
      <c r="AJ554" s="238"/>
      <c r="AK554" s="238"/>
    </row>
    <row r="555" spans="2:37" ht="13.2">
      <c r="B555" s="238"/>
      <c r="C555" s="238"/>
      <c r="D555" s="238"/>
      <c r="E555" s="238"/>
      <c r="F555" s="238"/>
      <c r="G555" s="238"/>
      <c r="H555" s="238"/>
      <c r="I555" s="238"/>
      <c r="J555" s="238"/>
      <c r="K555" s="238"/>
      <c r="L555" s="238"/>
      <c r="M555" s="238"/>
      <c r="N555" s="238"/>
      <c r="O555" s="238"/>
      <c r="P555" s="238"/>
      <c r="Q555" s="238"/>
      <c r="R555" s="238"/>
      <c r="S555" s="238"/>
      <c r="T555" s="238"/>
      <c r="U555" s="238"/>
      <c r="V555" s="238"/>
      <c r="W555" s="238"/>
      <c r="X555" s="238"/>
      <c r="Y555" s="238"/>
      <c r="Z555" s="238"/>
      <c r="AA555" s="238"/>
      <c r="AB555" s="238"/>
      <c r="AC555" s="238"/>
      <c r="AD555" s="238"/>
      <c r="AE555" s="238"/>
      <c r="AF555" s="238"/>
      <c r="AG555" s="238"/>
      <c r="AH555" s="238"/>
      <c r="AI555" s="238"/>
      <c r="AJ555" s="238"/>
      <c r="AK555" s="238"/>
    </row>
    <row r="556" spans="2:37" ht="13.2">
      <c r="B556" s="238"/>
      <c r="C556" s="238"/>
      <c r="D556" s="238"/>
      <c r="E556" s="238"/>
      <c r="F556" s="238"/>
      <c r="G556" s="238"/>
      <c r="H556" s="238"/>
      <c r="I556" s="238"/>
      <c r="J556" s="238"/>
      <c r="K556" s="238"/>
      <c r="L556" s="238"/>
      <c r="M556" s="238"/>
      <c r="N556" s="238"/>
      <c r="O556" s="238"/>
      <c r="P556" s="238"/>
      <c r="Q556" s="238"/>
      <c r="R556" s="238"/>
      <c r="S556" s="238"/>
      <c r="T556" s="238"/>
      <c r="U556" s="238"/>
      <c r="V556" s="238"/>
      <c r="W556" s="238"/>
      <c r="X556" s="238"/>
      <c r="Y556" s="238"/>
      <c r="Z556" s="238"/>
      <c r="AA556" s="238"/>
      <c r="AB556" s="238"/>
      <c r="AC556" s="238"/>
      <c r="AD556" s="238"/>
      <c r="AE556" s="238"/>
      <c r="AF556" s="238"/>
      <c r="AG556" s="238"/>
      <c r="AH556" s="238"/>
      <c r="AI556" s="238"/>
      <c r="AJ556" s="238"/>
      <c r="AK556" s="238"/>
    </row>
    <row r="557" spans="2:37" ht="13.2">
      <c r="B557" s="238"/>
      <c r="C557" s="238"/>
      <c r="D557" s="238"/>
      <c r="E557" s="238"/>
      <c r="F557" s="238"/>
      <c r="G557" s="238"/>
      <c r="H557" s="238"/>
      <c r="I557" s="238"/>
      <c r="J557" s="238"/>
      <c r="K557" s="238"/>
      <c r="L557" s="238"/>
      <c r="M557" s="238"/>
      <c r="N557" s="238"/>
      <c r="O557" s="238"/>
      <c r="P557" s="238"/>
      <c r="Q557" s="238"/>
      <c r="R557" s="238"/>
      <c r="S557" s="238"/>
      <c r="T557" s="238"/>
      <c r="U557" s="238"/>
      <c r="V557" s="238"/>
      <c r="W557" s="238"/>
      <c r="X557" s="238"/>
      <c r="Y557" s="238"/>
      <c r="Z557" s="238"/>
      <c r="AA557" s="238"/>
      <c r="AB557" s="238"/>
      <c r="AC557" s="238"/>
      <c r="AD557" s="238"/>
      <c r="AE557" s="238"/>
      <c r="AF557" s="238"/>
      <c r="AG557" s="238"/>
      <c r="AH557" s="238"/>
      <c r="AI557" s="238"/>
      <c r="AJ557" s="238"/>
      <c r="AK557" s="238"/>
    </row>
    <row r="558" spans="2:37" ht="13.2">
      <c r="B558" s="238"/>
      <c r="C558" s="238"/>
      <c r="D558" s="238"/>
      <c r="E558" s="238"/>
      <c r="F558" s="238"/>
      <c r="G558" s="238"/>
      <c r="H558" s="238"/>
      <c r="I558" s="238"/>
      <c r="J558" s="238"/>
      <c r="K558" s="238"/>
      <c r="L558" s="238"/>
      <c r="M558" s="238"/>
      <c r="N558" s="238"/>
      <c r="O558" s="238"/>
      <c r="P558" s="238"/>
      <c r="Q558" s="238"/>
      <c r="R558" s="238"/>
      <c r="S558" s="238"/>
      <c r="T558" s="238"/>
      <c r="U558" s="238"/>
      <c r="V558" s="238"/>
      <c r="W558" s="238"/>
      <c r="X558" s="238"/>
      <c r="Y558" s="238"/>
      <c r="Z558" s="238"/>
      <c r="AA558" s="238"/>
      <c r="AB558" s="238"/>
      <c r="AC558" s="238"/>
      <c r="AD558" s="238"/>
      <c r="AE558" s="238"/>
      <c r="AF558" s="238"/>
      <c r="AG558" s="238"/>
      <c r="AH558" s="238"/>
      <c r="AI558" s="238"/>
      <c r="AJ558" s="238"/>
      <c r="AK558" s="238"/>
    </row>
    <row r="559" spans="2:37" ht="13.2">
      <c r="B559" s="238"/>
      <c r="C559" s="238"/>
      <c r="D559" s="238"/>
      <c r="E559" s="238"/>
      <c r="F559" s="238"/>
      <c r="G559" s="238"/>
      <c r="H559" s="238"/>
      <c r="I559" s="238"/>
      <c r="J559" s="238"/>
      <c r="K559" s="238"/>
      <c r="L559" s="238"/>
      <c r="M559" s="238"/>
      <c r="N559" s="238"/>
      <c r="O559" s="238"/>
      <c r="P559" s="238"/>
      <c r="Q559" s="238"/>
      <c r="R559" s="238"/>
      <c r="S559" s="238"/>
      <c r="T559" s="238"/>
      <c r="U559" s="238"/>
      <c r="V559" s="238"/>
      <c r="W559" s="238"/>
      <c r="X559" s="238"/>
      <c r="Y559" s="238"/>
      <c r="Z559" s="238"/>
      <c r="AA559" s="238"/>
      <c r="AB559" s="238"/>
      <c r="AC559" s="238"/>
      <c r="AD559" s="238"/>
      <c r="AE559" s="238"/>
      <c r="AF559" s="238"/>
      <c r="AG559" s="238"/>
      <c r="AH559" s="238"/>
      <c r="AI559" s="238"/>
      <c r="AJ559" s="238"/>
      <c r="AK559" s="238"/>
    </row>
    <row r="560" spans="2:37" ht="13.2">
      <c r="B560" s="238"/>
      <c r="C560" s="238"/>
      <c r="D560" s="238"/>
      <c r="E560" s="238"/>
      <c r="F560" s="238"/>
      <c r="G560" s="238"/>
      <c r="H560" s="238"/>
      <c r="I560" s="238"/>
      <c r="J560" s="238"/>
      <c r="K560" s="238"/>
      <c r="L560" s="238"/>
      <c r="M560" s="238"/>
      <c r="N560" s="238"/>
      <c r="O560" s="238"/>
      <c r="P560" s="238"/>
      <c r="Q560" s="238"/>
      <c r="R560" s="238"/>
      <c r="S560" s="238"/>
      <c r="T560" s="238"/>
      <c r="U560" s="238"/>
      <c r="V560" s="238"/>
      <c r="W560" s="238"/>
      <c r="X560" s="238"/>
      <c r="Y560" s="238"/>
      <c r="Z560" s="238"/>
      <c r="AA560" s="238"/>
      <c r="AB560" s="238"/>
      <c r="AC560" s="238"/>
      <c r="AD560" s="238"/>
      <c r="AE560" s="238"/>
      <c r="AF560" s="238"/>
      <c r="AG560" s="238"/>
      <c r="AH560" s="238"/>
      <c r="AI560" s="238"/>
      <c r="AJ560" s="238"/>
      <c r="AK560" s="238"/>
    </row>
    <row r="561" spans="2:37" ht="13.2">
      <c r="B561" s="238"/>
      <c r="C561" s="238"/>
      <c r="D561" s="238"/>
      <c r="E561" s="238"/>
      <c r="F561" s="238"/>
      <c r="G561" s="238"/>
      <c r="H561" s="238"/>
      <c r="I561" s="238"/>
      <c r="J561" s="238"/>
      <c r="K561" s="238"/>
      <c r="L561" s="238"/>
      <c r="M561" s="238"/>
      <c r="N561" s="238"/>
      <c r="O561" s="238"/>
      <c r="P561" s="238"/>
      <c r="Q561" s="238"/>
      <c r="R561" s="238"/>
      <c r="S561" s="238"/>
      <c r="T561" s="238"/>
      <c r="U561" s="238"/>
      <c r="V561" s="238"/>
      <c r="W561" s="238"/>
      <c r="X561" s="238"/>
      <c r="Y561" s="238"/>
      <c r="Z561" s="238"/>
      <c r="AA561" s="238"/>
      <c r="AB561" s="238"/>
      <c r="AC561" s="238"/>
      <c r="AD561" s="238"/>
      <c r="AE561" s="238"/>
      <c r="AF561" s="238"/>
      <c r="AG561" s="238"/>
      <c r="AH561" s="238"/>
      <c r="AI561" s="238"/>
      <c r="AJ561" s="238"/>
      <c r="AK561" s="238"/>
    </row>
    <row r="562" spans="2:37" ht="13.2">
      <c r="B562" s="238"/>
      <c r="C562" s="238"/>
      <c r="D562" s="238"/>
      <c r="E562" s="238"/>
      <c r="F562" s="238"/>
      <c r="G562" s="238"/>
      <c r="H562" s="238"/>
      <c r="I562" s="238"/>
      <c r="J562" s="238"/>
      <c r="K562" s="238"/>
      <c r="L562" s="238"/>
      <c r="M562" s="238"/>
      <c r="N562" s="238"/>
      <c r="O562" s="238"/>
      <c r="P562" s="238"/>
      <c r="Q562" s="238"/>
      <c r="R562" s="238"/>
      <c r="S562" s="238"/>
      <c r="T562" s="238"/>
      <c r="U562" s="238"/>
      <c r="V562" s="238"/>
      <c r="W562" s="238"/>
      <c r="X562" s="238"/>
      <c r="Y562" s="238"/>
      <c r="Z562" s="238"/>
      <c r="AA562" s="238"/>
      <c r="AB562" s="238"/>
      <c r="AC562" s="238"/>
      <c r="AD562" s="238"/>
      <c r="AE562" s="238"/>
      <c r="AF562" s="238"/>
      <c r="AG562" s="238"/>
      <c r="AH562" s="238"/>
      <c r="AI562" s="238"/>
      <c r="AJ562" s="238"/>
      <c r="AK562" s="238"/>
    </row>
    <row r="563" spans="2:37" ht="13.2">
      <c r="B563" s="238"/>
      <c r="C563" s="238"/>
      <c r="D563" s="238"/>
      <c r="E563" s="238"/>
      <c r="F563" s="238"/>
      <c r="G563" s="238"/>
      <c r="H563" s="238"/>
      <c r="I563" s="238"/>
      <c r="J563" s="238"/>
      <c r="K563" s="238"/>
      <c r="L563" s="238"/>
      <c r="M563" s="238"/>
      <c r="N563" s="238"/>
      <c r="O563" s="238"/>
      <c r="P563" s="238"/>
      <c r="Q563" s="238"/>
      <c r="R563" s="238"/>
      <c r="S563" s="238"/>
      <c r="T563" s="238"/>
      <c r="U563" s="238"/>
      <c r="V563" s="238"/>
      <c r="W563" s="238"/>
      <c r="X563" s="238"/>
      <c r="Y563" s="238"/>
      <c r="Z563" s="238"/>
      <c r="AA563" s="238"/>
      <c r="AB563" s="238"/>
      <c r="AC563" s="238"/>
      <c r="AD563" s="238"/>
      <c r="AE563" s="238"/>
      <c r="AF563" s="238"/>
      <c r="AG563" s="238"/>
      <c r="AH563" s="238"/>
      <c r="AI563" s="238"/>
      <c r="AJ563" s="238"/>
      <c r="AK563" s="238"/>
    </row>
    <row r="564" spans="2:37" ht="13.2">
      <c r="B564" s="238"/>
      <c r="C564" s="238"/>
      <c r="D564" s="238"/>
      <c r="E564" s="238"/>
      <c r="F564" s="238"/>
      <c r="G564" s="238"/>
      <c r="H564" s="238"/>
      <c r="I564" s="238"/>
      <c r="J564" s="238"/>
      <c r="K564" s="238"/>
      <c r="L564" s="238"/>
      <c r="M564" s="238"/>
      <c r="N564" s="238"/>
      <c r="O564" s="238"/>
      <c r="P564" s="238"/>
      <c r="Q564" s="238"/>
      <c r="R564" s="238"/>
      <c r="S564" s="238"/>
      <c r="T564" s="238"/>
      <c r="U564" s="238"/>
      <c r="V564" s="238"/>
      <c r="W564" s="238"/>
      <c r="X564" s="238"/>
      <c r="Y564" s="238"/>
      <c r="Z564" s="238"/>
      <c r="AA564" s="238"/>
      <c r="AB564" s="238"/>
      <c r="AC564" s="238"/>
      <c r="AD564" s="238"/>
      <c r="AE564" s="238"/>
      <c r="AF564" s="238"/>
      <c r="AG564" s="238"/>
      <c r="AH564" s="238"/>
      <c r="AI564" s="238"/>
      <c r="AJ564" s="238"/>
      <c r="AK564" s="238"/>
    </row>
    <row r="565" spans="2:37" ht="13.2">
      <c r="B565" s="238"/>
      <c r="C565" s="238"/>
      <c r="D565" s="238"/>
      <c r="E565" s="238"/>
      <c r="F565" s="238"/>
      <c r="G565" s="238"/>
      <c r="H565" s="238"/>
      <c r="I565" s="238"/>
      <c r="J565" s="238"/>
      <c r="K565" s="238"/>
      <c r="L565" s="238"/>
      <c r="M565" s="238"/>
      <c r="N565" s="238"/>
      <c r="O565" s="238"/>
      <c r="P565" s="238"/>
      <c r="Q565" s="238"/>
      <c r="R565" s="238"/>
      <c r="S565" s="238"/>
      <c r="T565" s="238"/>
      <c r="U565" s="238"/>
      <c r="V565" s="238"/>
      <c r="W565" s="238"/>
      <c r="X565" s="238"/>
      <c r="Y565" s="238"/>
      <c r="Z565" s="238"/>
      <c r="AA565" s="238"/>
      <c r="AB565" s="238"/>
      <c r="AC565" s="238"/>
      <c r="AD565" s="238"/>
      <c r="AE565" s="238"/>
      <c r="AF565" s="238"/>
      <c r="AG565" s="238"/>
      <c r="AH565" s="238"/>
      <c r="AI565" s="238"/>
      <c r="AJ565" s="238"/>
      <c r="AK565" s="238"/>
    </row>
    <row r="566" spans="2:37" ht="13.2">
      <c r="B566" s="238"/>
      <c r="C566" s="238"/>
      <c r="D566" s="238"/>
      <c r="E566" s="238"/>
      <c r="F566" s="238"/>
      <c r="G566" s="238"/>
      <c r="H566" s="238"/>
      <c r="I566" s="238"/>
      <c r="J566" s="238"/>
      <c r="K566" s="238"/>
      <c r="L566" s="238"/>
      <c r="M566" s="238"/>
      <c r="N566" s="238"/>
      <c r="O566" s="238"/>
      <c r="P566" s="238"/>
      <c r="Q566" s="238"/>
      <c r="R566" s="238"/>
      <c r="S566" s="238"/>
      <c r="T566" s="238"/>
      <c r="U566" s="238"/>
      <c r="V566" s="238"/>
      <c r="W566" s="238"/>
      <c r="X566" s="238"/>
      <c r="Y566" s="238"/>
      <c r="Z566" s="238"/>
      <c r="AA566" s="238"/>
      <c r="AB566" s="238"/>
      <c r="AC566" s="238"/>
      <c r="AD566" s="238"/>
      <c r="AE566" s="238"/>
      <c r="AF566" s="238"/>
      <c r="AG566" s="238"/>
      <c r="AH566" s="238"/>
      <c r="AI566" s="238"/>
      <c r="AJ566" s="238"/>
      <c r="AK566" s="238"/>
    </row>
    <row r="567" spans="2:37" ht="13.2">
      <c r="B567" s="238"/>
      <c r="C567" s="238"/>
      <c r="D567" s="238"/>
      <c r="E567" s="238"/>
      <c r="F567" s="238"/>
      <c r="G567" s="238"/>
      <c r="H567" s="238"/>
      <c r="I567" s="238"/>
      <c r="J567" s="238"/>
      <c r="K567" s="238"/>
      <c r="L567" s="238"/>
      <c r="M567" s="238"/>
      <c r="N567" s="238"/>
      <c r="O567" s="238"/>
      <c r="P567" s="238"/>
      <c r="Q567" s="238"/>
      <c r="R567" s="238"/>
      <c r="S567" s="238"/>
      <c r="T567" s="238"/>
      <c r="U567" s="238"/>
      <c r="V567" s="238"/>
      <c r="W567" s="238"/>
      <c r="X567" s="238"/>
      <c r="Y567" s="238"/>
      <c r="Z567" s="238"/>
      <c r="AA567" s="238"/>
      <c r="AB567" s="238"/>
      <c r="AC567" s="238"/>
      <c r="AD567" s="238"/>
      <c r="AE567" s="238"/>
      <c r="AF567" s="238"/>
      <c r="AG567" s="238"/>
      <c r="AH567" s="238"/>
      <c r="AI567" s="238"/>
      <c r="AJ567" s="238"/>
      <c r="AK567" s="238"/>
    </row>
    <row r="568" spans="2:37" ht="13.2">
      <c r="B568" s="238"/>
      <c r="C568" s="238"/>
      <c r="D568" s="238"/>
      <c r="E568" s="238"/>
      <c r="F568" s="238"/>
      <c r="G568" s="238"/>
      <c r="H568" s="238"/>
      <c r="I568" s="238"/>
      <c r="J568" s="238"/>
      <c r="K568" s="238"/>
      <c r="L568" s="238"/>
      <c r="M568" s="238"/>
      <c r="N568" s="238"/>
      <c r="O568" s="238"/>
      <c r="P568" s="238"/>
      <c r="Q568" s="238"/>
      <c r="R568" s="238"/>
      <c r="S568" s="238"/>
      <c r="T568" s="238"/>
      <c r="U568" s="238"/>
      <c r="V568" s="238"/>
      <c r="W568" s="238"/>
      <c r="X568" s="238"/>
      <c r="Y568" s="238"/>
      <c r="Z568" s="238"/>
      <c r="AA568" s="238"/>
      <c r="AB568" s="238"/>
      <c r="AC568" s="238"/>
      <c r="AD568" s="238"/>
      <c r="AE568" s="238"/>
      <c r="AF568" s="238"/>
      <c r="AG568" s="238"/>
      <c r="AH568" s="238"/>
      <c r="AI568" s="238"/>
      <c r="AJ568" s="238"/>
      <c r="AK568" s="238"/>
    </row>
    <row r="569" spans="2:37" ht="13.2">
      <c r="B569" s="238"/>
      <c r="C569" s="238"/>
      <c r="D569" s="238"/>
      <c r="E569" s="238"/>
      <c r="F569" s="238"/>
      <c r="G569" s="238"/>
      <c r="H569" s="238"/>
      <c r="I569" s="238"/>
      <c r="J569" s="238"/>
      <c r="K569" s="238"/>
      <c r="L569" s="238"/>
      <c r="M569" s="238"/>
      <c r="N569" s="238"/>
      <c r="O569" s="238"/>
      <c r="P569" s="238"/>
      <c r="Q569" s="238"/>
      <c r="R569" s="238"/>
      <c r="S569" s="238"/>
      <c r="T569" s="238"/>
      <c r="U569" s="238"/>
      <c r="V569" s="238"/>
      <c r="W569" s="238"/>
      <c r="X569" s="238"/>
      <c r="Y569" s="238"/>
      <c r="Z569" s="238"/>
      <c r="AA569" s="238"/>
      <c r="AB569" s="238"/>
      <c r="AC569" s="238"/>
      <c r="AD569" s="238"/>
      <c r="AE569" s="238"/>
      <c r="AF569" s="238"/>
      <c r="AG569" s="238"/>
      <c r="AH569" s="238"/>
      <c r="AI569" s="238"/>
      <c r="AJ569" s="238"/>
      <c r="AK569" s="238"/>
    </row>
    <row r="570" spans="2:37" ht="13.2">
      <c r="B570" s="238"/>
      <c r="C570" s="238"/>
      <c r="D570" s="238"/>
      <c r="E570" s="238"/>
      <c r="F570" s="238"/>
      <c r="G570" s="238"/>
      <c r="H570" s="238"/>
      <c r="I570" s="238"/>
      <c r="J570" s="238"/>
      <c r="K570" s="238"/>
      <c r="L570" s="238"/>
      <c r="M570" s="238"/>
      <c r="N570" s="238"/>
      <c r="O570" s="238"/>
      <c r="P570" s="238"/>
      <c r="Q570" s="238"/>
      <c r="R570" s="238"/>
      <c r="S570" s="238"/>
      <c r="T570" s="238"/>
      <c r="U570" s="238"/>
      <c r="V570" s="238"/>
      <c r="W570" s="238"/>
      <c r="X570" s="238"/>
      <c r="Y570" s="238"/>
      <c r="Z570" s="238"/>
      <c r="AA570" s="238"/>
      <c r="AB570" s="238"/>
      <c r="AC570" s="238"/>
      <c r="AD570" s="238"/>
      <c r="AE570" s="238"/>
      <c r="AF570" s="238"/>
      <c r="AG570" s="238"/>
      <c r="AH570" s="238"/>
      <c r="AI570" s="238"/>
      <c r="AJ570" s="238"/>
      <c r="AK570" s="238"/>
    </row>
    <row r="571" spans="2:37" ht="13.2">
      <c r="B571" s="238"/>
      <c r="C571" s="238"/>
      <c r="D571" s="238"/>
      <c r="E571" s="238"/>
      <c r="F571" s="238"/>
      <c r="G571" s="238"/>
      <c r="H571" s="238"/>
      <c r="I571" s="238"/>
      <c r="J571" s="238"/>
      <c r="K571" s="238"/>
      <c r="L571" s="238"/>
      <c r="M571" s="238"/>
      <c r="N571" s="238"/>
      <c r="O571" s="238"/>
      <c r="P571" s="238"/>
      <c r="Q571" s="238"/>
      <c r="R571" s="238"/>
      <c r="S571" s="238"/>
      <c r="T571" s="238"/>
      <c r="U571" s="238"/>
      <c r="V571" s="238"/>
      <c r="W571" s="238"/>
      <c r="X571" s="238"/>
      <c r="Y571" s="238"/>
      <c r="Z571" s="238"/>
      <c r="AA571" s="238"/>
      <c r="AB571" s="238"/>
      <c r="AC571" s="238"/>
      <c r="AD571" s="238"/>
      <c r="AE571" s="238"/>
      <c r="AF571" s="238"/>
      <c r="AG571" s="238"/>
      <c r="AH571" s="238"/>
      <c r="AI571" s="238"/>
      <c r="AJ571" s="238"/>
      <c r="AK571" s="238"/>
    </row>
    <row r="572" spans="2:37" ht="13.2">
      <c r="B572" s="238"/>
      <c r="C572" s="238"/>
      <c r="D572" s="238"/>
      <c r="E572" s="238"/>
      <c r="F572" s="238"/>
      <c r="G572" s="238"/>
      <c r="H572" s="238"/>
      <c r="I572" s="238"/>
      <c r="J572" s="238"/>
      <c r="K572" s="238"/>
      <c r="L572" s="238"/>
      <c r="M572" s="238"/>
      <c r="N572" s="238"/>
      <c r="O572" s="238"/>
      <c r="P572" s="238"/>
      <c r="Q572" s="238"/>
      <c r="R572" s="238"/>
      <c r="S572" s="238"/>
      <c r="T572" s="238"/>
      <c r="U572" s="238"/>
      <c r="V572" s="238"/>
      <c r="W572" s="238"/>
      <c r="X572" s="238"/>
      <c r="Y572" s="238"/>
      <c r="Z572" s="238"/>
      <c r="AA572" s="238"/>
      <c r="AB572" s="238"/>
      <c r="AC572" s="238"/>
      <c r="AD572" s="238"/>
      <c r="AE572" s="238"/>
      <c r="AF572" s="238"/>
      <c r="AG572" s="238"/>
      <c r="AH572" s="238"/>
      <c r="AI572" s="238"/>
      <c r="AJ572" s="238"/>
      <c r="AK572" s="238"/>
    </row>
    <row r="573" spans="2:37" ht="13.2">
      <c r="B573" s="238"/>
      <c r="C573" s="238"/>
      <c r="D573" s="238"/>
      <c r="E573" s="238"/>
      <c r="F573" s="238"/>
      <c r="G573" s="238"/>
      <c r="H573" s="238"/>
      <c r="I573" s="238"/>
      <c r="J573" s="238"/>
      <c r="K573" s="238"/>
      <c r="L573" s="238"/>
      <c r="M573" s="238"/>
      <c r="N573" s="238"/>
      <c r="O573" s="238"/>
      <c r="P573" s="238"/>
      <c r="Q573" s="238"/>
      <c r="R573" s="238"/>
      <c r="S573" s="238"/>
      <c r="T573" s="238"/>
      <c r="U573" s="238"/>
      <c r="V573" s="238"/>
      <c r="W573" s="238"/>
      <c r="X573" s="238"/>
      <c r="Y573" s="238"/>
      <c r="Z573" s="238"/>
      <c r="AA573" s="238"/>
      <c r="AB573" s="238"/>
      <c r="AC573" s="238"/>
      <c r="AD573" s="238"/>
      <c r="AE573" s="238"/>
      <c r="AF573" s="238"/>
      <c r="AG573" s="238"/>
      <c r="AH573" s="238"/>
      <c r="AI573" s="238"/>
      <c r="AJ573" s="238"/>
      <c r="AK573" s="238"/>
    </row>
    <row r="574" spans="2:37" ht="13.2">
      <c r="B574" s="238"/>
      <c r="C574" s="238"/>
      <c r="D574" s="238"/>
      <c r="E574" s="238"/>
      <c r="F574" s="238"/>
      <c r="G574" s="238"/>
      <c r="H574" s="238"/>
      <c r="I574" s="238"/>
      <c r="J574" s="238"/>
      <c r="K574" s="238"/>
      <c r="L574" s="238"/>
      <c r="M574" s="238"/>
      <c r="N574" s="238"/>
      <c r="O574" s="238"/>
      <c r="P574" s="238"/>
      <c r="Q574" s="238"/>
      <c r="R574" s="238"/>
      <c r="S574" s="238"/>
      <c r="T574" s="238"/>
      <c r="U574" s="238"/>
      <c r="V574" s="238"/>
      <c r="W574" s="238"/>
      <c r="X574" s="238"/>
      <c r="Y574" s="238"/>
      <c r="Z574" s="238"/>
      <c r="AA574" s="238"/>
      <c r="AB574" s="238"/>
      <c r="AC574" s="238"/>
      <c r="AD574" s="238"/>
      <c r="AE574" s="238"/>
      <c r="AF574" s="238"/>
      <c r="AG574" s="238"/>
      <c r="AH574" s="238"/>
      <c r="AI574" s="238"/>
      <c r="AJ574" s="238"/>
      <c r="AK574" s="238"/>
    </row>
    <row r="575" spans="2:37" ht="13.2">
      <c r="B575" s="238"/>
      <c r="C575" s="238"/>
      <c r="D575" s="238"/>
      <c r="E575" s="238"/>
      <c r="F575" s="238"/>
      <c r="G575" s="238"/>
      <c r="H575" s="238"/>
      <c r="I575" s="238"/>
      <c r="J575" s="238"/>
      <c r="K575" s="238"/>
      <c r="L575" s="238"/>
      <c r="M575" s="238"/>
      <c r="N575" s="238"/>
      <c r="O575" s="238"/>
      <c r="P575" s="238"/>
      <c r="Q575" s="238"/>
      <c r="R575" s="238"/>
      <c r="S575" s="238"/>
      <c r="T575" s="238"/>
      <c r="U575" s="238"/>
      <c r="V575" s="238"/>
      <c r="W575" s="238"/>
      <c r="X575" s="238"/>
      <c r="Y575" s="238"/>
      <c r="Z575" s="238"/>
      <c r="AA575" s="238"/>
      <c r="AB575" s="238"/>
      <c r="AC575" s="238"/>
      <c r="AD575" s="238"/>
      <c r="AE575" s="238"/>
      <c r="AF575" s="238"/>
      <c r="AG575" s="238"/>
      <c r="AH575" s="238"/>
      <c r="AI575" s="238"/>
      <c r="AJ575" s="238"/>
      <c r="AK575" s="238"/>
    </row>
    <row r="576" spans="2:37" ht="13.2">
      <c r="B576" s="238"/>
      <c r="C576" s="238"/>
      <c r="D576" s="238"/>
      <c r="E576" s="238"/>
      <c r="F576" s="238"/>
      <c r="G576" s="238"/>
      <c r="H576" s="238"/>
      <c r="I576" s="238"/>
      <c r="J576" s="238"/>
      <c r="K576" s="238"/>
      <c r="L576" s="238"/>
      <c r="M576" s="238"/>
      <c r="N576" s="238"/>
      <c r="O576" s="238"/>
      <c r="P576" s="238"/>
      <c r="Q576" s="238"/>
      <c r="R576" s="238"/>
      <c r="S576" s="238"/>
      <c r="T576" s="238"/>
      <c r="U576" s="238"/>
      <c r="V576" s="238"/>
      <c r="W576" s="238"/>
      <c r="X576" s="238"/>
      <c r="Y576" s="238"/>
      <c r="Z576" s="238"/>
      <c r="AA576" s="238"/>
      <c r="AB576" s="238"/>
      <c r="AC576" s="238"/>
      <c r="AD576" s="238"/>
      <c r="AE576" s="238"/>
      <c r="AF576" s="238"/>
      <c r="AG576" s="238"/>
      <c r="AH576" s="238"/>
      <c r="AI576" s="238"/>
      <c r="AJ576" s="238"/>
      <c r="AK576" s="238"/>
    </row>
    <row r="577" spans="2:37" ht="13.2">
      <c r="B577" s="238"/>
      <c r="C577" s="238"/>
      <c r="D577" s="238"/>
      <c r="E577" s="238"/>
      <c r="F577" s="238"/>
      <c r="G577" s="238"/>
      <c r="H577" s="238"/>
      <c r="I577" s="238"/>
      <c r="J577" s="238"/>
      <c r="K577" s="238"/>
      <c r="L577" s="238"/>
      <c r="M577" s="238"/>
      <c r="N577" s="238"/>
      <c r="O577" s="238"/>
      <c r="P577" s="238"/>
      <c r="Q577" s="238"/>
      <c r="R577" s="238"/>
      <c r="S577" s="238"/>
      <c r="T577" s="238"/>
      <c r="U577" s="238"/>
      <c r="V577" s="238"/>
      <c r="W577" s="238"/>
      <c r="X577" s="238"/>
      <c r="Y577" s="238"/>
      <c r="Z577" s="238"/>
      <c r="AA577" s="238"/>
      <c r="AB577" s="238"/>
      <c r="AC577" s="238"/>
      <c r="AD577" s="238"/>
      <c r="AE577" s="238"/>
      <c r="AF577" s="238"/>
      <c r="AG577" s="238"/>
      <c r="AH577" s="238"/>
      <c r="AI577" s="238"/>
      <c r="AJ577" s="238"/>
      <c r="AK577" s="238"/>
    </row>
    <row r="578" spans="2:37" ht="13.2">
      <c r="B578" s="238"/>
      <c r="C578" s="238"/>
      <c r="D578" s="238"/>
      <c r="E578" s="238"/>
      <c r="F578" s="238"/>
      <c r="G578" s="238"/>
      <c r="H578" s="238"/>
      <c r="I578" s="238"/>
      <c r="J578" s="238"/>
      <c r="K578" s="238"/>
      <c r="L578" s="238"/>
      <c r="M578" s="238"/>
      <c r="N578" s="238"/>
      <c r="O578" s="238"/>
      <c r="P578" s="238"/>
      <c r="Q578" s="238"/>
      <c r="R578" s="238"/>
      <c r="S578" s="238"/>
      <c r="T578" s="238"/>
      <c r="U578" s="238"/>
      <c r="V578" s="238"/>
      <c r="W578" s="238"/>
      <c r="X578" s="238"/>
      <c r="Y578" s="238"/>
      <c r="Z578" s="238"/>
      <c r="AA578" s="238"/>
      <c r="AB578" s="238"/>
      <c r="AC578" s="238"/>
      <c r="AD578" s="238"/>
      <c r="AE578" s="238"/>
      <c r="AF578" s="238"/>
      <c r="AG578" s="238"/>
      <c r="AH578" s="238"/>
      <c r="AI578" s="238"/>
      <c r="AJ578" s="238"/>
      <c r="AK578" s="238"/>
    </row>
    <row r="579" spans="2:37" ht="13.2">
      <c r="B579" s="238"/>
      <c r="C579" s="238"/>
      <c r="D579" s="238"/>
      <c r="E579" s="238"/>
      <c r="F579" s="238"/>
      <c r="G579" s="238"/>
      <c r="H579" s="238"/>
      <c r="I579" s="238"/>
      <c r="J579" s="238"/>
      <c r="K579" s="238"/>
      <c r="L579" s="238"/>
      <c r="M579" s="238"/>
      <c r="N579" s="238"/>
      <c r="O579" s="238"/>
      <c r="P579" s="238"/>
      <c r="Q579" s="238"/>
      <c r="R579" s="238"/>
      <c r="S579" s="238"/>
      <c r="T579" s="238"/>
      <c r="U579" s="238"/>
      <c r="V579" s="238"/>
      <c r="W579" s="238"/>
      <c r="X579" s="238"/>
      <c r="Y579" s="238"/>
      <c r="Z579" s="238"/>
      <c r="AA579" s="238"/>
      <c r="AB579" s="238"/>
      <c r="AC579" s="238"/>
      <c r="AD579" s="238"/>
      <c r="AE579" s="238"/>
      <c r="AF579" s="238"/>
      <c r="AG579" s="238"/>
      <c r="AH579" s="238"/>
      <c r="AI579" s="238"/>
      <c r="AJ579" s="238"/>
      <c r="AK579" s="238"/>
    </row>
    <row r="580" spans="2:37" ht="13.2">
      <c r="B580" s="238"/>
      <c r="C580" s="238"/>
      <c r="D580" s="238"/>
      <c r="E580" s="238"/>
      <c r="F580" s="238"/>
      <c r="G580" s="238"/>
      <c r="H580" s="238"/>
      <c r="I580" s="238"/>
      <c r="J580" s="238"/>
      <c r="K580" s="238"/>
      <c r="L580" s="238"/>
      <c r="M580" s="238"/>
      <c r="N580" s="238"/>
      <c r="O580" s="238"/>
      <c r="P580" s="238"/>
      <c r="Q580" s="238"/>
      <c r="R580" s="238"/>
      <c r="S580" s="238"/>
      <c r="T580" s="238"/>
      <c r="U580" s="238"/>
      <c r="V580" s="238"/>
      <c r="W580" s="238"/>
      <c r="X580" s="238"/>
      <c r="Y580" s="238"/>
      <c r="Z580" s="238"/>
      <c r="AA580" s="238"/>
      <c r="AB580" s="238"/>
      <c r="AC580" s="238"/>
      <c r="AD580" s="238"/>
      <c r="AE580" s="238"/>
      <c r="AF580" s="238"/>
      <c r="AG580" s="238"/>
      <c r="AH580" s="238"/>
      <c r="AI580" s="238"/>
      <c r="AJ580" s="238"/>
      <c r="AK580" s="238"/>
    </row>
    <row r="581" spans="2:37" ht="13.2">
      <c r="B581" s="238"/>
      <c r="C581" s="238"/>
      <c r="D581" s="238"/>
      <c r="E581" s="238"/>
      <c r="F581" s="238"/>
      <c r="G581" s="238"/>
      <c r="H581" s="238"/>
      <c r="I581" s="238"/>
      <c r="J581" s="238"/>
      <c r="K581" s="238"/>
      <c r="L581" s="238"/>
      <c r="M581" s="238"/>
      <c r="N581" s="238"/>
      <c r="O581" s="238"/>
      <c r="P581" s="238"/>
      <c r="Q581" s="238"/>
      <c r="R581" s="238"/>
      <c r="S581" s="238"/>
      <c r="T581" s="238"/>
      <c r="U581" s="238"/>
      <c r="V581" s="238"/>
      <c r="W581" s="238"/>
      <c r="X581" s="238"/>
      <c r="Y581" s="238"/>
      <c r="Z581" s="238"/>
      <c r="AA581" s="238"/>
      <c r="AB581" s="238"/>
      <c r="AC581" s="238"/>
      <c r="AD581" s="238"/>
      <c r="AE581" s="238"/>
      <c r="AF581" s="238"/>
      <c r="AG581" s="238"/>
      <c r="AH581" s="238"/>
      <c r="AI581" s="238"/>
      <c r="AJ581" s="238"/>
      <c r="AK581" s="238"/>
    </row>
    <row r="582" spans="2:37" ht="13.2">
      <c r="B582" s="238"/>
      <c r="C582" s="238"/>
      <c r="D582" s="238"/>
      <c r="E582" s="238"/>
      <c r="F582" s="238"/>
      <c r="G582" s="238"/>
      <c r="H582" s="238"/>
      <c r="I582" s="238"/>
      <c r="J582" s="238"/>
      <c r="K582" s="238"/>
      <c r="L582" s="238"/>
      <c r="M582" s="238"/>
      <c r="N582" s="238"/>
      <c r="O582" s="238"/>
      <c r="P582" s="238"/>
      <c r="Q582" s="238"/>
      <c r="R582" s="238"/>
      <c r="S582" s="238"/>
      <c r="T582" s="238"/>
      <c r="U582" s="238"/>
      <c r="V582" s="238"/>
      <c r="W582" s="238"/>
      <c r="X582" s="238"/>
      <c r="Y582" s="238"/>
      <c r="Z582" s="238"/>
      <c r="AA582" s="238"/>
      <c r="AB582" s="238"/>
      <c r="AC582" s="238"/>
      <c r="AD582" s="238"/>
      <c r="AE582" s="238"/>
      <c r="AF582" s="238"/>
      <c r="AG582" s="238"/>
      <c r="AH582" s="238"/>
      <c r="AI582" s="238"/>
      <c r="AJ582" s="238"/>
      <c r="AK582" s="238"/>
    </row>
    <row r="583" spans="2:37" ht="13.2">
      <c r="B583" s="238"/>
      <c r="C583" s="238"/>
      <c r="D583" s="238"/>
      <c r="E583" s="238"/>
      <c r="F583" s="238"/>
      <c r="G583" s="238"/>
      <c r="H583" s="238"/>
      <c r="I583" s="238"/>
      <c r="J583" s="238"/>
      <c r="K583" s="238"/>
      <c r="L583" s="238"/>
      <c r="M583" s="238"/>
      <c r="N583" s="238"/>
      <c r="O583" s="238"/>
      <c r="P583" s="238"/>
      <c r="Q583" s="238"/>
      <c r="R583" s="238"/>
      <c r="S583" s="238"/>
      <c r="T583" s="238"/>
      <c r="U583" s="238"/>
      <c r="V583" s="238"/>
      <c r="W583" s="238"/>
      <c r="X583" s="238"/>
      <c r="Y583" s="238"/>
      <c r="Z583" s="238"/>
      <c r="AA583" s="238"/>
      <c r="AB583" s="238"/>
      <c r="AC583" s="238"/>
      <c r="AD583" s="238"/>
      <c r="AE583" s="238"/>
      <c r="AF583" s="238"/>
      <c r="AG583" s="238"/>
      <c r="AH583" s="238"/>
      <c r="AI583" s="238"/>
      <c r="AJ583" s="238"/>
      <c r="AK583" s="238"/>
    </row>
    <row r="584" spans="2:37" ht="13.2">
      <c r="B584" s="238"/>
      <c r="C584" s="238"/>
      <c r="D584" s="238"/>
      <c r="E584" s="238"/>
      <c r="F584" s="238"/>
      <c r="G584" s="238"/>
      <c r="H584" s="238"/>
      <c r="I584" s="238"/>
      <c r="J584" s="238"/>
      <c r="K584" s="238"/>
      <c r="L584" s="238"/>
      <c r="M584" s="238"/>
      <c r="N584" s="238"/>
      <c r="O584" s="238"/>
      <c r="P584" s="238"/>
      <c r="Q584" s="238"/>
      <c r="R584" s="238"/>
      <c r="S584" s="238"/>
      <c r="T584" s="238"/>
      <c r="U584" s="238"/>
      <c r="V584" s="238"/>
      <c r="W584" s="238"/>
      <c r="X584" s="238"/>
      <c r="Y584" s="238"/>
      <c r="Z584" s="238"/>
      <c r="AA584" s="238"/>
      <c r="AB584" s="238"/>
      <c r="AC584" s="238"/>
      <c r="AD584" s="238"/>
      <c r="AE584" s="238"/>
      <c r="AF584" s="238"/>
      <c r="AG584" s="238"/>
      <c r="AH584" s="238"/>
      <c r="AI584" s="238"/>
      <c r="AJ584" s="238"/>
      <c r="AK584" s="238"/>
    </row>
    <row r="585" spans="2:37" ht="13.2">
      <c r="B585" s="238"/>
      <c r="C585" s="238"/>
      <c r="D585" s="238"/>
      <c r="E585" s="238"/>
      <c r="F585" s="238"/>
      <c r="G585" s="238"/>
      <c r="H585" s="238"/>
      <c r="I585" s="238"/>
      <c r="J585" s="238"/>
      <c r="K585" s="238"/>
      <c r="L585" s="238"/>
      <c r="M585" s="238"/>
      <c r="N585" s="238"/>
      <c r="O585" s="238"/>
      <c r="P585" s="238"/>
      <c r="Q585" s="238"/>
      <c r="R585" s="238"/>
      <c r="S585" s="238"/>
      <c r="T585" s="238"/>
      <c r="U585" s="238"/>
      <c r="V585" s="238"/>
      <c r="W585" s="238"/>
      <c r="X585" s="238"/>
      <c r="Y585" s="238"/>
      <c r="Z585" s="238"/>
      <c r="AA585" s="238"/>
      <c r="AB585" s="238"/>
      <c r="AC585" s="238"/>
      <c r="AD585" s="238"/>
      <c r="AE585" s="238"/>
      <c r="AF585" s="238"/>
      <c r="AG585" s="238"/>
      <c r="AH585" s="238"/>
      <c r="AI585" s="238"/>
      <c r="AJ585" s="238"/>
      <c r="AK585" s="238"/>
    </row>
    <row r="586" spans="2:37" ht="13.2">
      <c r="B586" s="238"/>
      <c r="C586" s="238"/>
      <c r="D586" s="238"/>
      <c r="E586" s="238"/>
      <c r="F586" s="238"/>
      <c r="G586" s="238"/>
      <c r="H586" s="238"/>
      <c r="I586" s="238"/>
      <c r="J586" s="238"/>
      <c r="K586" s="238"/>
      <c r="L586" s="238"/>
      <c r="M586" s="238"/>
      <c r="N586" s="238"/>
      <c r="O586" s="238"/>
      <c r="P586" s="238"/>
      <c r="Q586" s="238"/>
      <c r="R586" s="238"/>
      <c r="S586" s="238"/>
      <c r="T586" s="238"/>
      <c r="U586" s="238"/>
      <c r="V586" s="238"/>
      <c r="W586" s="238"/>
      <c r="X586" s="238"/>
      <c r="Y586" s="238"/>
      <c r="Z586" s="238"/>
      <c r="AA586" s="238"/>
      <c r="AB586" s="238"/>
      <c r="AC586" s="238"/>
      <c r="AD586" s="238"/>
      <c r="AE586" s="238"/>
      <c r="AF586" s="238"/>
      <c r="AG586" s="238"/>
      <c r="AH586" s="238"/>
      <c r="AI586" s="238"/>
      <c r="AJ586" s="238"/>
      <c r="AK586" s="238"/>
    </row>
    <row r="587" spans="2:37" ht="13.2">
      <c r="B587" s="238"/>
      <c r="C587" s="238"/>
      <c r="D587" s="238"/>
      <c r="E587" s="238"/>
      <c r="F587" s="238"/>
      <c r="G587" s="238"/>
      <c r="H587" s="238"/>
      <c r="I587" s="238"/>
      <c r="J587" s="238"/>
      <c r="K587" s="238"/>
      <c r="L587" s="238"/>
      <c r="M587" s="238"/>
      <c r="N587" s="238"/>
      <c r="O587" s="238"/>
      <c r="P587" s="238"/>
      <c r="Q587" s="238"/>
      <c r="R587" s="238"/>
      <c r="S587" s="238"/>
      <c r="T587" s="238"/>
      <c r="U587" s="238"/>
      <c r="V587" s="238"/>
      <c r="W587" s="238"/>
      <c r="X587" s="238"/>
      <c r="Y587" s="238"/>
      <c r="Z587" s="238"/>
      <c r="AA587" s="238"/>
      <c r="AB587" s="238"/>
      <c r="AC587" s="238"/>
      <c r="AD587" s="238"/>
      <c r="AE587" s="238"/>
      <c r="AF587" s="238"/>
      <c r="AG587" s="238"/>
      <c r="AH587" s="238"/>
      <c r="AI587" s="238"/>
      <c r="AJ587" s="238"/>
      <c r="AK587" s="238"/>
    </row>
    <row r="588" spans="2:37" ht="13.2">
      <c r="B588" s="238"/>
      <c r="C588" s="238"/>
      <c r="D588" s="238"/>
      <c r="E588" s="238"/>
      <c r="F588" s="238"/>
      <c r="G588" s="238"/>
      <c r="H588" s="238"/>
      <c r="I588" s="238"/>
      <c r="J588" s="238"/>
      <c r="K588" s="238"/>
      <c r="L588" s="238"/>
      <c r="M588" s="238"/>
      <c r="N588" s="238"/>
      <c r="O588" s="238"/>
      <c r="P588" s="238"/>
      <c r="Q588" s="238"/>
      <c r="R588" s="238"/>
      <c r="S588" s="238"/>
      <c r="T588" s="238"/>
      <c r="U588" s="238"/>
      <c r="V588" s="238"/>
      <c r="W588" s="238"/>
      <c r="X588" s="238"/>
      <c r="Y588" s="238"/>
      <c r="Z588" s="238"/>
      <c r="AA588" s="238"/>
      <c r="AB588" s="238"/>
      <c r="AC588" s="238"/>
      <c r="AD588" s="238"/>
      <c r="AE588" s="238"/>
      <c r="AF588" s="238"/>
      <c r="AG588" s="238"/>
      <c r="AH588" s="238"/>
      <c r="AI588" s="238"/>
      <c r="AJ588" s="238"/>
      <c r="AK588" s="238"/>
    </row>
    <row r="589" spans="2:37" ht="13.2">
      <c r="B589" s="238"/>
      <c r="C589" s="238"/>
      <c r="D589" s="238"/>
      <c r="E589" s="238"/>
      <c r="F589" s="238"/>
      <c r="G589" s="238"/>
      <c r="H589" s="238"/>
      <c r="I589" s="238"/>
      <c r="J589" s="238"/>
      <c r="K589" s="238"/>
      <c r="L589" s="238"/>
      <c r="M589" s="238"/>
      <c r="N589" s="238"/>
      <c r="O589" s="238"/>
      <c r="P589" s="238"/>
      <c r="Q589" s="238"/>
      <c r="R589" s="238"/>
      <c r="S589" s="238"/>
      <c r="T589" s="238"/>
      <c r="U589" s="238"/>
      <c r="V589" s="238"/>
      <c r="W589" s="238"/>
      <c r="X589" s="238"/>
      <c r="Y589" s="238"/>
      <c r="Z589" s="238"/>
      <c r="AA589" s="238"/>
      <c r="AB589" s="238"/>
      <c r="AC589" s="238"/>
      <c r="AD589" s="238"/>
      <c r="AE589" s="238"/>
      <c r="AF589" s="238"/>
      <c r="AG589" s="238"/>
      <c r="AH589" s="238"/>
      <c r="AI589" s="238"/>
      <c r="AJ589" s="238"/>
      <c r="AK589" s="238"/>
    </row>
    <row r="590" spans="2:37" ht="13.2">
      <c r="B590" s="238"/>
      <c r="C590" s="238"/>
      <c r="D590" s="238"/>
      <c r="E590" s="238"/>
      <c r="F590" s="238"/>
      <c r="G590" s="238"/>
      <c r="H590" s="238"/>
      <c r="I590" s="238"/>
      <c r="J590" s="238"/>
      <c r="K590" s="238"/>
      <c r="L590" s="238"/>
      <c r="M590" s="238"/>
      <c r="N590" s="238"/>
      <c r="O590" s="238"/>
      <c r="P590" s="238"/>
      <c r="Q590" s="238"/>
      <c r="R590" s="238"/>
      <c r="S590" s="238"/>
      <c r="T590" s="238"/>
      <c r="U590" s="238"/>
      <c r="V590" s="238"/>
      <c r="W590" s="238"/>
      <c r="X590" s="238"/>
      <c r="Y590" s="238"/>
      <c r="Z590" s="238"/>
      <c r="AA590" s="238"/>
      <c r="AB590" s="238"/>
      <c r="AC590" s="238"/>
      <c r="AD590" s="238"/>
      <c r="AE590" s="238"/>
      <c r="AF590" s="238"/>
      <c r="AG590" s="238"/>
      <c r="AH590" s="238"/>
      <c r="AI590" s="238"/>
      <c r="AJ590" s="238"/>
      <c r="AK590" s="238"/>
    </row>
    <row r="591" spans="2:37" ht="13.2">
      <c r="B591" s="238"/>
      <c r="C591" s="238"/>
      <c r="D591" s="238"/>
      <c r="E591" s="238"/>
      <c r="F591" s="238"/>
      <c r="G591" s="238"/>
      <c r="H591" s="238"/>
      <c r="I591" s="238"/>
      <c r="J591" s="238"/>
      <c r="K591" s="238"/>
      <c r="L591" s="238"/>
      <c r="M591" s="238"/>
      <c r="N591" s="238"/>
      <c r="O591" s="238"/>
      <c r="P591" s="238"/>
      <c r="Q591" s="238"/>
      <c r="R591" s="238"/>
      <c r="S591" s="238"/>
      <c r="T591" s="238"/>
      <c r="U591" s="238"/>
      <c r="V591" s="238"/>
      <c r="W591" s="238"/>
      <c r="X591" s="238"/>
      <c r="Y591" s="238"/>
      <c r="Z591" s="238"/>
      <c r="AA591" s="238"/>
      <c r="AB591" s="238"/>
      <c r="AC591" s="238"/>
      <c r="AD591" s="238"/>
      <c r="AE591" s="238"/>
      <c r="AF591" s="238"/>
      <c r="AG591" s="238"/>
      <c r="AH591" s="238"/>
      <c r="AI591" s="238"/>
      <c r="AJ591" s="238"/>
      <c r="AK591" s="238"/>
    </row>
    <row r="592" spans="2:37" ht="13.2">
      <c r="B592" s="238"/>
      <c r="C592" s="238"/>
      <c r="D592" s="238"/>
      <c r="E592" s="238"/>
      <c r="F592" s="238"/>
      <c r="G592" s="238"/>
      <c r="H592" s="238"/>
      <c r="I592" s="238"/>
      <c r="J592" s="238"/>
      <c r="K592" s="238"/>
      <c r="L592" s="238"/>
      <c r="M592" s="238"/>
      <c r="N592" s="238"/>
      <c r="O592" s="238"/>
      <c r="P592" s="238"/>
      <c r="Q592" s="238"/>
      <c r="R592" s="238"/>
      <c r="S592" s="238"/>
      <c r="T592" s="238"/>
      <c r="U592" s="238"/>
      <c r="V592" s="238"/>
      <c r="W592" s="238"/>
      <c r="X592" s="238"/>
      <c r="Y592" s="238"/>
      <c r="Z592" s="238"/>
      <c r="AA592" s="238"/>
      <c r="AB592" s="238"/>
      <c r="AC592" s="238"/>
      <c r="AD592" s="238"/>
      <c r="AE592" s="238"/>
      <c r="AF592" s="238"/>
      <c r="AG592" s="238"/>
      <c r="AH592" s="238"/>
      <c r="AI592" s="238"/>
      <c r="AJ592" s="238"/>
      <c r="AK592" s="238"/>
    </row>
    <row r="593" spans="2:37" ht="13.2">
      <c r="B593" s="238"/>
      <c r="C593" s="238"/>
      <c r="D593" s="238"/>
      <c r="E593" s="238"/>
      <c r="F593" s="238"/>
      <c r="G593" s="238"/>
      <c r="H593" s="238"/>
      <c r="I593" s="238"/>
      <c r="J593" s="238"/>
      <c r="K593" s="238"/>
      <c r="L593" s="238"/>
      <c r="M593" s="238"/>
      <c r="N593" s="238"/>
      <c r="O593" s="238"/>
      <c r="P593" s="238"/>
      <c r="Q593" s="238"/>
      <c r="R593" s="238"/>
      <c r="S593" s="238"/>
      <c r="T593" s="238"/>
      <c r="U593" s="238"/>
      <c r="V593" s="238"/>
      <c r="W593" s="238"/>
      <c r="X593" s="238"/>
      <c r="Y593" s="238"/>
      <c r="Z593" s="238"/>
      <c r="AA593" s="238"/>
      <c r="AB593" s="238"/>
      <c r="AC593" s="238"/>
      <c r="AD593" s="238"/>
      <c r="AE593" s="238"/>
      <c r="AF593" s="238"/>
      <c r="AG593" s="238"/>
      <c r="AH593" s="238"/>
      <c r="AI593" s="238"/>
      <c r="AJ593" s="238"/>
      <c r="AK593" s="238"/>
    </row>
    <row r="594" spans="2:37" ht="13.2">
      <c r="B594" s="238"/>
      <c r="C594" s="238"/>
      <c r="D594" s="238"/>
      <c r="E594" s="238"/>
      <c r="F594" s="238"/>
      <c r="G594" s="238"/>
      <c r="H594" s="238"/>
      <c r="I594" s="238"/>
      <c r="J594" s="238"/>
      <c r="K594" s="238"/>
      <c r="L594" s="238"/>
      <c r="M594" s="238"/>
      <c r="N594" s="238"/>
      <c r="O594" s="238"/>
      <c r="P594" s="238"/>
      <c r="Q594" s="238"/>
      <c r="R594" s="238"/>
      <c r="S594" s="238"/>
      <c r="T594" s="238"/>
      <c r="U594" s="238"/>
      <c r="V594" s="238"/>
      <c r="W594" s="238"/>
      <c r="X594" s="238"/>
      <c r="Y594" s="238"/>
      <c r="Z594" s="238"/>
      <c r="AA594" s="238"/>
      <c r="AB594" s="238"/>
      <c r="AC594" s="238"/>
      <c r="AD594" s="238"/>
      <c r="AE594" s="238"/>
      <c r="AF594" s="238"/>
      <c r="AG594" s="238"/>
      <c r="AH594" s="238"/>
      <c r="AI594" s="238"/>
      <c r="AJ594" s="238"/>
      <c r="AK594" s="238"/>
    </row>
    <row r="595" spans="2:37" ht="13.2">
      <c r="B595" s="238"/>
      <c r="C595" s="238"/>
      <c r="D595" s="238"/>
      <c r="E595" s="238"/>
      <c r="F595" s="238"/>
      <c r="G595" s="238"/>
      <c r="H595" s="238"/>
      <c r="I595" s="238"/>
      <c r="J595" s="238"/>
      <c r="K595" s="238"/>
      <c r="L595" s="238"/>
      <c r="M595" s="238"/>
      <c r="N595" s="238"/>
      <c r="O595" s="238"/>
      <c r="P595" s="238"/>
      <c r="Q595" s="238"/>
      <c r="R595" s="238"/>
      <c r="S595" s="238"/>
      <c r="T595" s="238"/>
      <c r="U595" s="238"/>
      <c r="V595" s="238"/>
      <c r="W595" s="238"/>
      <c r="X595" s="238"/>
      <c r="Y595" s="238"/>
      <c r="Z595" s="238"/>
      <c r="AA595" s="238"/>
      <c r="AB595" s="238"/>
      <c r="AC595" s="238"/>
      <c r="AD595" s="238"/>
      <c r="AE595" s="238"/>
      <c r="AF595" s="238"/>
      <c r="AG595" s="238"/>
      <c r="AH595" s="238"/>
      <c r="AI595" s="238"/>
      <c r="AJ595" s="238"/>
      <c r="AK595" s="238"/>
    </row>
    <row r="596" spans="2:37" ht="13.2">
      <c r="B596" s="238"/>
      <c r="C596" s="238"/>
      <c r="D596" s="238"/>
      <c r="E596" s="238"/>
      <c r="F596" s="238"/>
      <c r="G596" s="238"/>
      <c r="H596" s="238"/>
      <c r="I596" s="238"/>
      <c r="J596" s="238"/>
      <c r="K596" s="238"/>
      <c r="L596" s="238"/>
      <c r="M596" s="238"/>
      <c r="N596" s="238"/>
      <c r="O596" s="238"/>
      <c r="P596" s="238"/>
      <c r="Q596" s="238"/>
      <c r="R596" s="238"/>
      <c r="S596" s="238"/>
      <c r="T596" s="238"/>
      <c r="U596" s="238"/>
      <c r="V596" s="238"/>
      <c r="W596" s="238"/>
      <c r="X596" s="238"/>
      <c r="Y596" s="238"/>
      <c r="Z596" s="238"/>
      <c r="AA596" s="238"/>
      <c r="AB596" s="238"/>
      <c r="AC596" s="238"/>
      <c r="AD596" s="238"/>
      <c r="AE596" s="238"/>
      <c r="AF596" s="238"/>
      <c r="AG596" s="238"/>
      <c r="AH596" s="238"/>
      <c r="AI596" s="238"/>
      <c r="AJ596" s="238"/>
      <c r="AK596" s="238"/>
    </row>
    <row r="597" spans="2:37" ht="13.2">
      <c r="B597" s="238"/>
      <c r="C597" s="238"/>
      <c r="D597" s="238"/>
      <c r="E597" s="238"/>
      <c r="F597" s="238"/>
      <c r="G597" s="238"/>
      <c r="H597" s="238"/>
      <c r="I597" s="238"/>
      <c r="J597" s="238"/>
      <c r="K597" s="238"/>
      <c r="L597" s="238"/>
      <c r="M597" s="238"/>
      <c r="N597" s="238"/>
      <c r="O597" s="238"/>
      <c r="P597" s="238"/>
      <c r="Q597" s="238"/>
      <c r="R597" s="238"/>
      <c r="S597" s="238"/>
      <c r="T597" s="238"/>
      <c r="U597" s="238"/>
      <c r="V597" s="238"/>
      <c r="W597" s="238"/>
      <c r="X597" s="238"/>
      <c r="Y597" s="238"/>
      <c r="Z597" s="238"/>
      <c r="AA597" s="238"/>
      <c r="AB597" s="238"/>
      <c r="AC597" s="238"/>
      <c r="AD597" s="238"/>
      <c r="AE597" s="238"/>
      <c r="AF597" s="238"/>
      <c r="AG597" s="238"/>
      <c r="AH597" s="238"/>
      <c r="AI597" s="238"/>
      <c r="AJ597" s="238"/>
      <c r="AK597" s="238"/>
    </row>
    <row r="598" spans="2:37" ht="13.2">
      <c r="B598" s="238"/>
      <c r="C598" s="238"/>
      <c r="D598" s="238"/>
      <c r="E598" s="238"/>
      <c r="F598" s="238"/>
      <c r="G598" s="238"/>
      <c r="H598" s="238"/>
      <c r="I598" s="238"/>
      <c r="J598" s="238"/>
      <c r="K598" s="238"/>
      <c r="L598" s="238"/>
      <c r="M598" s="238"/>
      <c r="N598" s="238"/>
      <c r="O598" s="238"/>
      <c r="P598" s="238"/>
      <c r="Q598" s="238"/>
      <c r="R598" s="238"/>
      <c r="S598" s="238"/>
      <c r="T598" s="238"/>
      <c r="U598" s="238"/>
      <c r="V598" s="238"/>
      <c r="W598" s="238"/>
      <c r="X598" s="238"/>
      <c r="Y598" s="238"/>
      <c r="Z598" s="238"/>
      <c r="AA598" s="238"/>
      <c r="AB598" s="238"/>
      <c r="AC598" s="238"/>
      <c r="AD598" s="238"/>
      <c r="AE598" s="238"/>
      <c r="AF598" s="238"/>
      <c r="AG598" s="238"/>
      <c r="AH598" s="238"/>
      <c r="AI598" s="238"/>
      <c r="AJ598" s="238"/>
      <c r="AK598" s="238"/>
    </row>
    <row r="599" spans="2:37" ht="13.2">
      <c r="B599" s="238"/>
      <c r="C599" s="238"/>
      <c r="D599" s="238"/>
      <c r="E599" s="238"/>
      <c r="F599" s="238"/>
      <c r="G599" s="238"/>
      <c r="H599" s="238"/>
      <c r="I599" s="238"/>
      <c r="J599" s="238"/>
      <c r="K599" s="238"/>
      <c r="L599" s="238"/>
      <c r="M599" s="238"/>
      <c r="N599" s="238"/>
      <c r="O599" s="238"/>
      <c r="P599" s="238"/>
      <c r="Q599" s="238"/>
      <c r="R599" s="238"/>
      <c r="S599" s="238"/>
      <c r="T599" s="238"/>
      <c r="U599" s="238"/>
      <c r="V599" s="238"/>
      <c r="W599" s="238"/>
      <c r="X599" s="238"/>
      <c r="Y599" s="238"/>
      <c r="Z599" s="238"/>
      <c r="AA599" s="238"/>
      <c r="AB599" s="238"/>
      <c r="AC599" s="238"/>
      <c r="AD599" s="238"/>
      <c r="AE599" s="238"/>
      <c r="AF599" s="238"/>
      <c r="AG599" s="238"/>
      <c r="AH599" s="238"/>
      <c r="AI599" s="238"/>
      <c r="AJ599" s="238"/>
      <c r="AK599" s="238"/>
    </row>
    <row r="600" spans="2:37" ht="13.2">
      <c r="B600" s="238"/>
      <c r="C600" s="238"/>
      <c r="D600" s="238"/>
      <c r="E600" s="238"/>
      <c r="F600" s="238"/>
      <c r="G600" s="238"/>
      <c r="H600" s="238"/>
      <c r="I600" s="238"/>
      <c r="J600" s="238"/>
      <c r="K600" s="238"/>
      <c r="L600" s="238"/>
      <c r="M600" s="238"/>
      <c r="N600" s="238"/>
      <c r="O600" s="238"/>
      <c r="P600" s="238"/>
      <c r="Q600" s="238"/>
      <c r="R600" s="238"/>
      <c r="S600" s="238"/>
      <c r="T600" s="238"/>
      <c r="U600" s="238"/>
      <c r="V600" s="238"/>
      <c r="W600" s="238"/>
      <c r="X600" s="238"/>
      <c r="Y600" s="238"/>
      <c r="Z600" s="238"/>
      <c r="AA600" s="238"/>
      <c r="AB600" s="238"/>
      <c r="AC600" s="238"/>
      <c r="AD600" s="238"/>
      <c r="AE600" s="238"/>
      <c r="AF600" s="238"/>
      <c r="AG600" s="238"/>
      <c r="AH600" s="238"/>
      <c r="AI600" s="238"/>
      <c r="AJ600" s="238"/>
      <c r="AK600" s="238"/>
    </row>
    <row r="601" spans="2:37" ht="13.2">
      <c r="B601" s="238"/>
      <c r="C601" s="238"/>
      <c r="D601" s="238"/>
      <c r="E601" s="238"/>
      <c r="F601" s="238"/>
      <c r="G601" s="238"/>
      <c r="H601" s="238"/>
      <c r="I601" s="238"/>
      <c r="J601" s="238"/>
      <c r="K601" s="238"/>
      <c r="L601" s="238"/>
      <c r="M601" s="238"/>
      <c r="N601" s="238"/>
      <c r="O601" s="238"/>
      <c r="P601" s="238"/>
      <c r="Q601" s="238"/>
      <c r="R601" s="238"/>
      <c r="S601" s="238"/>
      <c r="T601" s="238"/>
      <c r="U601" s="238"/>
      <c r="V601" s="238"/>
      <c r="W601" s="238"/>
      <c r="X601" s="238"/>
      <c r="Y601" s="238"/>
      <c r="Z601" s="238"/>
      <c r="AA601" s="238"/>
      <c r="AB601" s="238"/>
      <c r="AC601" s="238"/>
      <c r="AD601" s="238"/>
      <c r="AE601" s="238"/>
      <c r="AF601" s="238"/>
      <c r="AG601" s="238"/>
      <c r="AH601" s="238"/>
      <c r="AI601" s="238"/>
      <c r="AJ601" s="238"/>
      <c r="AK601" s="238"/>
    </row>
    <row r="602" spans="2:37" ht="13.2">
      <c r="B602" s="238"/>
      <c r="C602" s="238"/>
      <c r="D602" s="238"/>
      <c r="E602" s="238"/>
      <c r="F602" s="238"/>
      <c r="G602" s="238"/>
      <c r="H602" s="238"/>
      <c r="I602" s="238"/>
      <c r="J602" s="238"/>
      <c r="K602" s="238"/>
      <c r="L602" s="238"/>
      <c r="M602" s="238"/>
      <c r="N602" s="238"/>
      <c r="O602" s="238"/>
      <c r="P602" s="238"/>
      <c r="Q602" s="238"/>
      <c r="R602" s="238"/>
      <c r="S602" s="238"/>
      <c r="T602" s="238"/>
      <c r="U602" s="238"/>
      <c r="V602" s="238"/>
      <c r="W602" s="238"/>
      <c r="X602" s="238"/>
      <c r="Y602" s="238"/>
      <c r="Z602" s="238"/>
      <c r="AA602" s="238"/>
      <c r="AB602" s="238"/>
      <c r="AC602" s="238"/>
      <c r="AD602" s="238"/>
      <c r="AE602" s="238"/>
      <c r="AF602" s="238"/>
      <c r="AG602" s="238"/>
      <c r="AH602" s="238"/>
      <c r="AI602" s="238"/>
      <c r="AJ602" s="238"/>
      <c r="AK602" s="238"/>
    </row>
    <row r="603" spans="2:37" ht="13.2">
      <c r="B603" s="238"/>
      <c r="C603" s="238"/>
      <c r="D603" s="238"/>
      <c r="E603" s="238"/>
      <c r="F603" s="238"/>
      <c r="G603" s="238"/>
      <c r="H603" s="238"/>
      <c r="I603" s="238"/>
      <c r="J603" s="238"/>
      <c r="K603" s="238"/>
      <c r="L603" s="238"/>
      <c r="M603" s="238"/>
      <c r="N603" s="238"/>
      <c r="O603" s="238"/>
      <c r="P603" s="238"/>
      <c r="Q603" s="238"/>
      <c r="R603" s="238"/>
      <c r="S603" s="238"/>
      <c r="T603" s="238"/>
      <c r="U603" s="238"/>
      <c r="V603" s="238"/>
      <c r="W603" s="238"/>
      <c r="X603" s="238"/>
      <c r="Y603" s="238"/>
      <c r="Z603" s="238"/>
      <c r="AA603" s="238"/>
      <c r="AB603" s="238"/>
      <c r="AC603" s="238"/>
      <c r="AD603" s="238"/>
      <c r="AE603" s="238"/>
      <c r="AF603" s="238"/>
      <c r="AG603" s="238"/>
      <c r="AH603" s="238"/>
      <c r="AI603" s="238"/>
      <c r="AJ603" s="238"/>
      <c r="AK603" s="238"/>
    </row>
    <row r="604" spans="2:37" ht="13.2">
      <c r="B604" s="238"/>
      <c r="C604" s="238"/>
      <c r="D604" s="238"/>
      <c r="E604" s="238"/>
      <c r="F604" s="238"/>
      <c r="G604" s="238"/>
      <c r="H604" s="238"/>
      <c r="I604" s="238"/>
      <c r="J604" s="238"/>
      <c r="K604" s="238"/>
      <c r="L604" s="238"/>
      <c r="M604" s="238"/>
      <c r="N604" s="238"/>
      <c r="O604" s="238"/>
      <c r="P604" s="238"/>
      <c r="Q604" s="238"/>
      <c r="R604" s="238"/>
      <c r="S604" s="238"/>
      <c r="T604" s="238"/>
      <c r="U604" s="238"/>
      <c r="V604" s="238"/>
      <c r="W604" s="238"/>
      <c r="X604" s="238"/>
      <c r="Y604" s="238"/>
      <c r="Z604" s="238"/>
      <c r="AA604" s="238"/>
      <c r="AB604" s="238"/>
      <c r="AC604" s="238"/>
      <c r="AD604" s="238"/>
      <c r="AE604" s="238"/>
      <c r="AF604" s="238"/>
      <c r="AG604" s="238"/>
      <c r="AH604" s="238"/>
      <c r="AI604" s="238"/>
      <c r="AJ604" s="238"/>
      <c r="AK604" s="238"/>
    </row>
    <row r="605" spans="2:37" ht="13.2">
      <c r="B605" s="238"/>
      <c r="C605" s="238"/>
      <c r="D605" s="238"/>
      <c r="E605" s="238"/>
      <c r="F605" s="238"/>
      <c r="G605" s="238"/>
      <c r="H605" s="238"/>
      <c r="I605" s="238"/>
      <c r="J605" s="238"/>
      <c r="K605" s="238"/>
      <c r="L605" s="238"/>
      <c r="M605" s="238"/>
      <c r="N605" s="238"/>
      <c r="O605" s="238"/>
      <c r="P605" s="238"/>
      <c r="Q605" s="238"/>
      <c r="R605" s="238"/>
      <c r="S605" s="238"/>
      <c r="T605" s="238"/>
      <c r="U605" s="238"/>
      <c r="V605" s="238"/>
      <c r="W605" s="238"/>
      <c r="X605" s="238"/>
      <c r="Y605" s="238"/>
      <c r="Z605" s="238"/>
      <c r="AA605" s="238"/>
      <c r="AB605" s="238"/>
      <c r="AC605" s="238"/>
      <c r="AD605" s="238"/>
      <c r="AE605" s="238"/>
      <c r="AF605" s="238"/>
      <c r="AG605" s="238"/>
      <c r="AH605" s="238"/>
      <c r="AI605" s="238"/>
      <c r="AJ605" s="238"/>
      <c r="AK605" s="238"/>
    </row>
    <row r="606" spans="2:37" ht="13.2">
      <c r="B606" s="238"/>
      <c r="C606" s="238"/>
      <c r="D606" s="238"/>
      <c r="E606" s="238"/>
      <c r="F606" s="238"/>
      <c r="G606" s="238"/>
      <c r="H606" s="238"/>
      <c r="I606" s="238"/>
      <c r="J606" s="238"/>
      <c r="K606" s="238"/>
      <c r="L606" s="238"/>
      <c r="M606" s="238"/>
      <c r="N606" s="238"/>
      <c r="O606" s="238"/>
      <c r="P606" s="238"/>
      <c r="Q606" s="238"/>
      <c r="R606" s="238"/>
      <c r="S606" s="238"/>
      <c r="T606" s="238"/>
      <c r="U606" s="238"/>
      <c r="V606" s="238"/>
      <c r="W606" s="238"/>
      <c r="X606" s="238"/>
      <c r="Y606" s="238"/>
      <c r="Z606" s="238"/>
      <c r="AA606" s="238"/>
      <c r="AB606" s="238"/>
      <c r="AC606" s="238"/>
      <c r="AD606" s="238"/>
      <c r="AE606" s="238"/>
      <c r="AF606" s="238"/>
      <c r="AG606" s="238"/>
      <c r="AH606" s="238"/>
      <c r="AI606" s="238"/>
      <c r="AJ606" s="238"/>
      <c r="AK606" s="238"/>
    </row>
    <row r="607" spans="2:37" ht="13.2">
      <c r="B607" s="238"/>
      <c r="C607" s="238"/>
      <c r="D607" s="238"/>
      <c r="E607" s="238"/>
      <c r="F607" s="238"/>
      <c r="G607" s="238"/>
      <c r="H607" s="238"/>
      <c r="I607" s="238"/>
      <c r="J607" s="238"/>
      <c r="K607" s="238"/>
      <c r="L607" s="238"/>
      <c r="M607" s="238"/>
      <c r="N607" s="238"/>
      <c r="O607" s="238"/>
      <c r="P607" s="238"/>
      <c r="Q607" s="238"/>
      <c r="R607" s="238"/>
      <c r="S607" s="238"/>
      <c r="T607" s="238"/>
      <c r="U607" s="238"/>
      <c r="V607" s="238"/>
      <c r="W607" s="238"/>
      <c r="X607" s="238"/>
      <c r="Y607" s="238"/>
      <c r="Z607" s="238"/>
      <c r="AA607" s="238"/>
      <c r="AB607" s="238"/>
      <c r="AC607" s="238"/>
      <c r="AD607" s="238"/>
      <c r="AE607" s="238"/>
      <c r="AF607" s="238"/>
      <c r="AG607" s="238"/>
      <c r="AH607" s="238"/>
      <c r="AI607" s="238"/>
      <c r="AJ607" s="238"/>
      <c r="AK607" s="238"/>
    </row>
    <row r="608" spans="2:37" ht="13.2">
      <c r="B608" s="238"/>
      <c r="C608" s="238"/>
      <c r="D608" s="238"/>
      <c r="E608" s="238"/>
      <c r="F608" s="238"/>
      <c r="G608" s="238"/>
      <c r="H608" s="238"/>
      <c r="I608" s="238"/>
      <c r="J608" s="238"/>
      <c r="K608" s="238"/>
      <c r="L608" s="238"/>
      <c r="M608" s="238"/>
      <c r="N608" s="238"/>
      <c r="O608" s="238"/>
      <c r="P608" s="238"/>
      <c r="Q608" s="238"/>
      <c r="R608" s="238"/>
      <c r="S608" s="238"/>
      <c r="T608" s="238"/>
      <c r="U608" s="238"/>
      <c r="V608" s="238"/>
      <c r="W608" s="238"/>
      <c r="X608" s="238"/>
      <c r="Y608" s="238"/>
      <c r="Z608" s="238"/>
      <c r="AA608" s="238"/>
      <c r="AB608" s="238"/>
      <c r="AC608" s="238"/>
      <c r="AD608" s="238"/>
      <c r="AE608" s="238"/>
      <c r="AF608" s="238"/>
      <c r="AG608" s="238"/>
      <c r="AH608" s="238"/>
      <c r="AI608" s="238"/>
      <c r="AJ608" s="238"/>
      <c r="AK608" s="238"/>
    </row>
    <row r="609" ht="13.2"/>
    <row r="610" ht="13.2"/>
    <row r="611" ht="13.2"/>
    <row r="612" ht="13.2"/>
    <row r="613" ht="13.2"/>
    <row r="614" ht="13.2"/>
    <row r="615" ht="13.2"/>
    <row r="616" ht="13.2"/>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sheetData>
  <mergeCells count="219">
    <mergeCell ref="B18:AF18"/>
    <mergeCell ref="B62:AK62"/>
    <mergeCell ref="B64:AK64"/>
    <mergeCell ref="B66:AK66"/>
    <mergeCell ref="B48:AF48"/>
    <mergeCell ref="AG48:AK48"/>
    <mergeCell ref="B50:T50"/>
    <mergeCell ref="AD22:AG22"/>
    <mergeCell ref="B24:AF24"/>
    <mergeCell ref="AG24:AK24"/>
    <mergeCell ref="B26:W26"/>
    <mergeCell ref="X26:AK26"/>
    <mergeCell ref="B28:I28"/>
    <mergeCell ref="J52:P52"/>
    <mergeCell ref="Q52:U52"/>
    <mergeCell ref="V52:Z52"/>
    <mergeCell ref="AD52:AG52"/>
    <mergeCell ref="AA52:AC52"/>
    <mergeCell ref="AA28:AC28"/>
    <mergeCell ref="AG54:AK54"/>
    <mergeCell ref="Y73:AF73"/>
    <mergeCell ref="AG71:AK71"/>
    <mergeCell ref="AG73:AI73"/>
    <mergeCell ref="AJ73:AK73"/>
    <mergeCell ref="U50:AK50"/>
    <mergeCell ref="Q46:U46"/>
    <mergeCell ref="V46:Z46"/>
    <mergeCell ref="AD46:AG46"/>
    <mergeCell ref="AA46:AC46"/>
    <mergeCell ref="B56:T56"/>
    <mergeCell ref="U56:AK56"/>
    <mergeCell ref="B58:I58"/>
    <mergeCell ref="J58:P58"/>
    <mergeCell ref="Q58:U58"/>
    <mergeCell ref="V58:Z58"/>
    <mergeCell ref="AD58:AG58"/>
    <mergeCell ref="AA58:AC58"/>
    <mergeCell ref="B70:L70"/>
    <mergeCell ref="M70:AK70"/>
    <mergeCell ref="J46:P46"/>
    <mergeCell ref="B73:F73"/>
    <mergeCell ref="I73:P73"/>
    <mergeCell ref="Q73:X73"/>
    <mergeCell ref="B54:AF54"/>
    <mergeCell ref="O271:W271"/>
    <mergeCell ref="H272:AC272"/>
    <mergeCell ref="O273:W273"/>
    <mergeCell ref="L276:AA276"/>
    <mergeCell ref="L277:AA277"/>
    <mergeCell ref="L280:AA280"/>
    <mergeCell ref="L259:AA259"/>
    <mergeCell ref="L260:AA260"/>
    <mergeCell ref="L263:AA263"/>
    <mergeCell ref="L264:AA264"/>
    <mergeCell ref="L267:AA267"/>
    <mergeCell ref="L268:AA268"/>
    <mergeCell ref="L279:AA279"/>
    <mergeCell ref="L246:AA246"/>
    <mergeCell ref="L247:AA247"/>
    <mergeCell ref="L250:AA250"/>
    <mergeCell ref="L251:AA251"/>
    <mergeCell ref="M257:Y257"/>
    <mergeCell ref="B233:AK233"/>
    <mergeCell ref="B234:AK234"/>
    <mergeCell ref="B236:AK236"/>
    <mergeCell ref="B238:AK238"/>
    <mergeCell ref="B240:AK240"/>
    <mergeCell ref="O244:X244"/>
    <mergeCell ref="G224:P227"/>
    <mergeCell ref="Q224:AG224"/>
    <mergeCell ref="Q225:AG225"/>
    <mergeCell ref="Q226:AG227"/>
    <mergeCell ref="B230:AK230"/>
    <mergeCell ref="B232:AK232"/>
    <mergeCell ref="G217:P220"/>
    <mergeCell ref="Q217:AG217"/>
    <mergeCell ref="Q218:AG220"/>
    <mergeCell ref="G221:P223"/>
    <mergeCell ref="Q221:AG221"/>
    <mergeCell ref="Q222:AG222"/>
    <mergeCell ref="Q223:AG223"/>
    <mergeCell ref="B211:AK211"/>
    <mergeCell ref="B213:AK213"/>
    <mergeCell ref="G215:P215"/>
    <mergeCell ref="Q215:AG215"/>
    <mergeCell ref="G216:P216"/>
    <mergeCell ref="Q216:AG216"/>
    <mergeCell ref="B203:AK203"/>
    <mergeCell ref="B204:AK204"/>
    <mergeCell ref="B206:AK206"/>
    <mergeCell ref="B207:AK207"/>
    <mergeCell ref="B208:AK208"/>
    <mergeCell ref="B209:AK209"/>
    <mergeCell ref="B191:AK191"/>
    <mergeCell ref="B193:AK193"/>
    <mergeCell ref="B195:AK195"/>
    <mergeCell ref="B197:AK197"/>
    <mergeCell ref="B199:AK199"/>
    <mergeCell ref="B201:AK201"/>
    <mergeCell ref="B181:AK181"/>
    <mergeCell ref="B182:AK182"/>
    <mergeCell ref="B183:AK183"/>
    <mergeCell ref="B185:AK185"/>
    <mergeCell ref="B187:AK187"/>
    <mergeCell ref="B189:AK189"/>
    <mergeCell ref="B170:AK170"/>
    <mergeCell ref="B172:AK172"/>
    <mergeCell ref="B174:AK174"/>
    <mergeCell ref="B176:AK176"/>
    <mergeCell ref="B177:AK177"/>
    <mergeCell ref="B179:AK179"/>
    <mergeCell ref="B164:AK164"/>
    <mergeCell ref="B165:AK165"/>
    <mergeCell ref="B166:AK166"/>
    <mergeCell ref="B167:AK167"/>
    <mergeCell ref="B168:AK168"/>
    <mergeCell ref="B169:AK169"/>
    <mergeCell ref="B146:AK146"/>
    <mergeCell ref="B148:AK148"/>
    <mergeCell ref="B150:AK150"/>
    <mergeCell ref="B151:AK151"/>
    <mergeCell ref="B162:AK162"/>
    <mergeCell ref="B163:AK163"/>
    <mergeCell ref="B137:AK137"/>
    <mergeCell ref="B139:AK139"/>
    <mergeCell ref="B140:AK140"/>
    <mergeCell ref="B141:AK141"/>
    <mergeCell ref="B143:AK143"/>
    <mergeCell ref="B145:AK145"/>
    <mergeCell ref="B126:AK126"/>
    <mergeCell ref="B128:AK128"/>
    <mergeCell ref="B130:AK130"/>
    <mergeCell ref="B132:AK132"/>
    <mergeCell ref="B134:AK134"/>
    <mergeCell ref="B136:AK136"/>
    <mergeCell ref="B116:AK116"/>
    <mergeCell ref="B118:AK118"/>
    <mergeCell ref="B120:AK120"/>
    <mergeCell ref="B122:AK122"/>
    <mergeCell ref="B123:AK123"/>
    <mergeCell ref="B124:AK124"/>
    <mergeCell ref="B105:AK105"/>
    <mergeCell ref="B106:AK106"/>
    <mergeCell ref="B108:AK108"/>
    <mergeCell ref="B110:AK110"/>
    <mergeCell ref="B112:AK112"/>
    <mergeCell ref="B114:AK114"/>
    <mergeCell ref="B99:AK99"/>
    <mergeCell ref="B100:AK100"/>
    <mergeCell ref="B101:AK101"/>
    <mergeCell ref="B102:AK102"/>
    <mergeCell ref="B103:AK103"/>
    <mergeCell ref="B104:AK104"/>
    <mergeCell ref="B98:AK98"/>
    <mergeCell ref="AG75:AK75"/>
    <mergeCell ref="B78:AK79"/>
    <mergeCell ref="B80:O80"/>
    <mergeCell ref="P80:T80"/>
    <mergeCell ref="U80:Y80"/>
    <mergeCell ref="Z80:AC80"/>
    <mergeCell ref="AD80:AG80"/>
    <mergeCell ref="AH80:AK80"/>
    <mergeCell ref="J75:P75"/>
    <mergeCell ref="Q75:X75"/>
    <mergeCell ref="B81:O82"/>
    <mergeCell ref="B83:O84"/>
    <mergeCell ref="B92:AK92"/>
    <mergeCell ref="B94:AK94"/>
    <mergeCell ref="B96:AK96"/>
    <mergeCell ref="B75:I75"/>
    <mergeCell ref="Y75:AF75"/>
    <mergeCell ref="B74:I74"/>
    <mergeCell ref="J74:P74"/>
    <mergeCell ref="Q74:X74"/>
    <mergeCell ref="Y74:AK74"/>
    <mergeCell ref="AH22:AK22"/>
    <mergeCell ref="AH28:AK28"/>
    <mergeCell ref="AH46:AK46"/>
    <mergeCell ref="AH52:AK52"/>
    <mergeCell ref="AH58:AK58"/>
    <mergeCell ref="B71:H71"/>
    <mergeCell ref="I71:P71"/>
    <mergeCell ref="Q71:X71"/>
    <mergeCell ref="Y71:AF71"/>
    <mergeCell ref="B22:I22"/>
    <mergeCell ref="J22:P22"/>
    <mergeCell ref="Q22:U22"/>
    <mergeCell ref="V22:Z22"/>
    <mergeCell ref="B32:AK32"/>
    <mergeCell ref="B34:AK34"/>
    <mergeCell ref="B36:AK36"/>
    <mergeCell ref="B42:AF42"/>
    <mergeCell ref="AG42:AK42"/>
    <mergeCell ref="B44:T44"/>
    <mergeCell ref="U44:AK44"/>
    <mergeCell ref="AB4:AK4"/>
    <mergeCell ref="AF5:AK5"/>
    <mergeCell ref="AA6:AK6"/>
    <mergeCell ref="B8:F8"/>
    <mergeCell ref="B9:F9"/>
    <mergeCell ref="B10:F10"/>
    <mergeCell ref="I72:P72"/>
    <mergeCell ref="G10:U10"/>
    <mergeCell ref="V10:AK10"/>
    <mergeCell ref="B14:L14"/>
    <mergeCell ref="M14:S14"/>
    <mergeCell ref="T14:Z14"/>
    <mergeCell ref="AA14:AG14"/>
    <mergeCell ref="AH14:AK14"/>
    <mergeCell ref="AG18:AK18"/>
    <mergeCell ref="B20:W20"/>
    <mergeCell ref="X20:AK20"/>
    <mergeCell ref="J28:P28"/>
    <mergeCell ref="Q28:U28"/>
    <mergeCell ref="V28:Z28"/>
    <mergeCell ref="AD28:AG28"/>
    <mergeCell ref="AA22:AC22"/>
    <mergeCell ref="B52:I52"/>
    <mergeCell ref="B46:I46"/>
  </mergeCells>
  <printOptions horizontalCentered="1"/>
  <pageMargins left="0" right="0" top="0" bottom="0" header="0" footer="0"/>
  <pageSetup scale="88"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AM584"/>
  <sheetViews>
    <sheetView showZeros="0" zoomScaleNormal="100" workbookViewId="0">
      <selection activeCell="AB4" sqref="AB4:AK4"/>
    </sheetView>
  </sheetViews>
  <sheetFormatPr defaultColWidth="0" defaultRowHeight="12.75" customHeight="1" zeroHeight="1"/>
  <cols>
    <col min="1" max="1" width="1.109375" style="179" customWidth="1"/>
    <col min="2" max="4" width="3" style="179" customWidth="1"/>
    <col min="5" max="6" width="2.88671875" style="179" customWidth="1"/>
    <col min="7" max="7" width="3" style="179" customWidth="1"/>
    <col min="8" max="8" width="2.88671875" style="179" customWidth="1"/>
    <col min="9" max="12" width="3" style="179" customWidth="1"/>
    <col min="13" max="23" width="2.88671875" style="179" customWidth="1"/>
    <col min="24" max="24" width="3" style="179" customWidth="1"/>
    <col min="25" max="25" width="3.88671875" style="179" customWidth="1"/>
    <col min="26" max="28" width="3" style="179" customWidth="1"/>
    <col min="29" max="29" width="3.33203125" style="179" customWidth="1"/>
    <col min="30" max="30" width="5.44140625" style="179" customWidth="1"/>
    <col min="31" max="34" width="3" style="179" customWidth="1"/>
    <col min="35" max="35" width="5.33203125" style="179" customWidth="1"/>
    <col min="36" max="37" width="3.33203125" style="179" customWidth="1"/>
    <col min="38" max="39" width="0.5546875" style="179" customWidth="1"/>
    <col min="40" max="40" width="2.88671875" style="179" hidden="1" customWidth="1"/>
    <col min="41" max="16384" width="2.88671875" style="179" hidden="1"/>
  </cols>
  <sheetData>
    <row r="1" spans="1:37" ht="12.75" customHeight="1"/>
    <row r="2" spans="1:37" ht="12.75" customHeight="1"/>
    <row r="3" spans="1:37" ht="7.5" customHeight="1">
      <c r="A3" s="178"/>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row>
    <row r="4" spans="1:37" ht="13.8">
      <c r="A4" s="178"/>
      <c r="B4" s="178"/>
      <c r="C4" s="178"/>
      <c r="D4" s="178"/>
      <c r="E4" s="178"/>
      <c r="F4" s="178"/>
      <c r="G4" s="178"/>
      <c r="H4" s="178"/>
      <c r="I4" s="178"/>
      <c r="J4" s="178"/>
      <c r="K4" s="178"/>
      <c r="L4" s="178"/>
      <c r="M4" s="178"/>
      <c r="N4" s="178"/>
      <c r="O4" s="178"/>
      <c r="P4" s="178"/>
      <c r="Q4" s="178"/>
      <c r="R4" s="178"/>
      <c r="S4" s="178"/>
      <c r="T4" s="178"/>
      <c r="V4" s="180"/>
      <c r="W4" s="180"/>
      <c r="Y4" s="180"/>
      <c r="Z4" s="180"/>
      <c r="AA4" s="180"/>
      <c r="AB4" s="548" t="s">
        <v>135</v>
      </c>
      <c r="AC4" s="548"/>
      <c r="AD4" s="548"/>
      <c r="AE4" s="548"/>
      <c r="AF4" s="548"/>
      <c r="AG4" s="548"/>
      <c r="AH4" s="548"/>
      <c r="AI4" s="548"/>
      <c r="AJ4" s="548"/>
      <c r="AK4" s="548"/>
    </row>
    <row r="5" spans="1:37" ht="13.8">
      <c r="A5" s="178"/>
      <c r="B5" s="178"/>
      <c r="C5" s="178"/>
      <c r="D5" s="178"/>
      <c r="E5" s="178"/>
      <c r="F5" s="178"/>
      <c r="G5" s="178"/>
      <c r="H5" s="178"/>
      <c r="I5" s="178"/>
      <c r="J5" s="178"/>
      <c r="K5" s="178"/>
      <c r="L5" s="178"/>
      <c r="M5" s="178"/>
      <c r="N5" s="178"/>
      <c r="O5" s="178"/>
      <c r="P5" s="178"/>
      <c r="Q5" s="178"/>
      <c r="R5" s="178"/>
      <c r="S5" s="178"/>
      <c r="T5" s="178"/>
      <c r="U5" s="181"/>
      <c r="V5" s="181"/>
      <c r="X5" s="180"/>
      <c r="Y5" s="180"/>
      <c r="Z5" s="180"/>
      <c r="AA5" s="548" t="s">
        <v>287</v>
      </c>
      <c r="AB5" s="548"/>
      <c r="AC5" s="548"/>
      <c r="AD5" s="548"/>
      <c r="AE5" s="548"/>
      <c r="AF5" s="548"/>
      <c r="AG5" s="548"/>
      <c r="AH5" s="548"/>
      <c r="AI5" s="548"/>
      <c r="AJ5" s="548"/>
      <c r="AK5" s="548"/>
    </row>
    <row r="6" spans="1:37" ht="17.25" customHeight="1">
      <c r="A6" s="178"/>
      <c r="B6" s="182" t="s">
        <v>137</v>
      </c>
      <c r="C6" s="178"/>
      <c r="D6" s="178"/>
      <c r="E6" s="178"/>
      <c r="F6" s="178"/>
      <c r="G6" s="178"/>
      <c r="H6" s="178"/>
      <c r="I6" s="178"/>
      <c r="J6" s="178"/>
      <c r="K6" s="178"/>
      <c r="L6" s="178"/>
      <c r="M6" s="178"/>
      <c r="N6" s="178"/>
      <c r="O6" s="178"/>
      <c r="P6" s="178"/>
      <c r="Q6" s="178"/>
      <c r="R6" s="178"/>
      <c r="S6" s="178"/>
      <c r="T6" s="178"/>
      <c r="U6" s="181"/>
      <c r="V6" s="181"/>
      <c r="W6" s="183"/>
      <c r="X6" s="184"/>
      <c r="Y6" s="184"/>
      <c r="Z6" s="184"/>
      <c r="AA6" s="184"/>
      <c r="AB6" s="184"/>
      <c r="AC6" s="550" t="s">
        <v>439</v>
      </c>
      <c r="AD6" s="550"/>
      <c r="AE6" s="550"/>
      <c r="AF6" s="550"/>
      <c r="AG6" s="550"/>
      <c r="AH6" s="550"/>
      <c r="AI6" s="550"/>
      <c r="AJ6" s="550"/>
      <c r="AK6" s="550"/>
    </row>
    <row r="7" spans="1:37" s="187" customFormat="1" ht="2.25" customHeight="1">
      <c r="A7" s="186"/>
      <c r="B7" s="186"/>
      <c r="C7" s="186"/>
      <c r="D7" s="186"/>
      <c r="E7" s="186"/>
      <c r="F7" s="186"/>
      <c r="G7" s="186"/>
      <c r="H7" s="186"/>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c r="AH7" s="186"/>
      <c r="AI7" s="186"/>
    </row>
    <row r="8" spans="1:37" s="193" customFormat="1" ht="10.5" customHeight="1">
      <c r="A8" s="188"/>
      <c r="B8" s="551" t="s">
        <v>138</v>
      </c>
      <c r="C8" s="552"/>
      <c r="D8" s="552"/>
      <c r="E8" s="552"/>
      <c r="F8" s="552"/>
      <c r="G8" s="189" t="s">
        <v>139</v>
      </c>
      <c r="H8" s="190"/>
      <c r="I8" s="190"/>
      <c r="J8" s="190"/>
      <c r="K8" s="190"/>
      <c r="L8" s="190"/>
      <c r="M8" s="190"/>
      <c r="N8" s="190"/>
      <c r="O8" s="190"/>
      <c r="P8" s="190"/>
      <c r="Q8" s="190"/>
      <c r="R8" s="190"/>
      <c r="S8" s="190"/>
      <c r="T8" s="190"/>
      <c r="U8" s="191"/>
      <c r="V8" s="190" t="s">
        <v>140</v>
      </c>
      <c r="W8" s="190"/>
      <c r="X8" s="190"/>
      <c r="Y8" s="190"/>
      <c r="Z8" s="190"/>
      <c r="AA8" s="190"/>
      <c r="AB8" s="190"/>
      <c r="AC8" s="190"/>
      <c r="AD8" s="190"/>
      <c r="AE8" s="190"/>
      <c r="AF8" s="190"/>
      <c r="AG8" s="190"/>
      <c r="AH8" s="190"/>
      <c r="AI8" s="190"/>
      <c r="AJ8" s="190"/>
      <c r="AK8" s="192"/>
    </row>
    <row r="9" spans="1:37" s="193" customFormat="1" ht="10.5" customHeight="1">
      <c r="A9" s="188"/>
      <c r="B9" s="553" t="s">
        <v>141</v>
      </c>
      <c r="C9" s="554"/>
      <c r="D9" s="554"/>
      <c r="E9" s="554"/>
      <c r="F9" s="554"/>
      <c r="G9" s="194"/>
      <c r="H9" s="195"/>
      <c r="I9" s="195"/>
      <c r="J9" s="195"/>
      <c r="K9" s="195"/>
      <c r="L9" s="195"/>
      <c r="M9" s="195"/>
      <c r="N9" s="195"/>
      <c r="O9" s="195"/>
      <c r="P9" s="195"/>
      <c r="Q9" s="195"/>
      <c r="R9" s="195"/>
      <c r="S9" s="195"/>
      <c r="T9" s="195"/>
      <c r="U9" s="196"/>
      <c r="V9" s="195"/>
      <c r="W9" s="195"/>
      <c r="X9" s="195"/>
      <c r="Y9" s="195"/>
      <c r="Z9" s="195"/>
      <c r="AA9" s="195"/>
      <c r="AB9" s="195"/>
      <c r="AC9" s="195"/>
      <c r="AD9" s="195"/>
      <c r="AE9" s="195"/>
      <c r="AF9" s="195"/>
      <c r="AG9" s="195"/>
      <c r="AH9" s="195"/>
      <c r="AI9" s="195"/>
      <c r="AJ9" s="195"/>
      <c r="AK9" s="197"/>
    </row>
    <row r="10" spans="1:37" s="193" customFormat="1" ht="10.5" customHeight="1">
      <c r="A10" s="188"/>
      <c r="B10" s="555">
        <f ca="1">AA_002_GENERALES_FECHA</f>
        <v>42625</v>
      </c>
      <c r="C10" s="556"/>
      <c r="D10" s="556"/>
      <c r="E10" s="556"/>
      <c r="F10" s="557"/>
      <c r="G10" s="558" t="str">
        <f>AA_003_GENERALES_DIA</f>
        <v>Monterrey, Nuevo León</v>
      </c>
      <c r="H10" s="559"/>
      <c r="I10" s="559"/>
      <c r="J10" s="559"/>
      <c r="K10" s="559"/>
      <c r="L10" s="559"/>
      <c r="M10" s="559"/>
      <c r="N10" s="559"/>
      <c r="O10" s="559"/>
      <c r="P10" s="559"/>
      <c r="Q10" s="559"/>
      <c r="R10" s="559"/>
      <c r="S10" s="559"/>
      <c r="T10" s="559"/>
      <c r="U10" s="560"/>
      <c r="V10" s="558" t="str">
        <f>AA_007_GENERALES_NOMBRE_Y_NÚMERO_DE_SUCURSAL</f>
        <v>161 Morones Prieto</v>
      </c>
      <c r="W10" s="813"/>
      <c r="X10" s="813"/>
      <c r="Y10" s="813"/>
      <c r="Z10" s="813"/>
      <c r="AA10" s="813"/>
      <c r="AB10" s="813"/>
      <c r="AC10" s="813"/>
      <c r="AD10" s="813"/>
      <c r="AE10" s="813"/>
      <c r="AF10" s="813"/>
      <c r="AG10" s="813"/>
      <c r="AH10" s="813"/>
      <c r="AI10" s="813"/>
      <c r="AJ10" s="813"/>
      <c r="AK10" s="814"/>
    </row>
    <row r="11" spans="1:37" s="199" customFormat="1" ht="2.25" customHeight="1">
      <c r="A11" s="198"/>
      <c r="B11" s="182"/>
      <c r="C11" s="182"/>
      <c r="D11" s="182"/>
      <c r="E11" s="182"/>
      <c r="F11" s="182"/>
      <c r="G11" s="182"/>
      <c r="H11" s="182"/>
      <c r="I11" s="182"/>
      <c r="J11" s="182"/>
      <c r="K11" s="182"/>
      <c r="L11" s="182"/>
      <c r="M11" s="182"/>
      <c r="N11" s="182"/>
      <c r="O11" s="182"/>
      <c r="P11" s="182"/>
      <c r="Q11" s="182"/>
      <c r="R11" s="182"/>
      <c r="S11" s="182"/>
      <c r="T11" s="182"/>
      <c r="U11" s="182"/>
      <c r="V11" s="182"/>
      <c r="W11" s="182"/>
      <c r="X11" s="182"/>
      <c r="Y11" s="182"/>
      <c r="Z11" s="182"/>
      <c r="AA11" s="182"/>
      <c r="AB11" s="182"/>
      <c r="AC11" s="182"/>
      <c r="AD11" s="182"/>
      <c r="AE11" s="182"/>
      <c r="AF11" s="182"/>
      <c r="AG11" s="182"/>
      <c r="AH11" s="182"/>
      <c r="AI11" s="182"/>
      <c r="AJ11" s="182"/>
      <c r="AK11" s="182"/>
    </row>
    <row r="12" spans="1:37" s="199" customFormat="1" ht="9.6">
      <c r="A12" s="198"/>
      <c r="B12" s="200" t="s">
        <v>142</v>
      </c>
      <c r="C12" s="182"/>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row>
    <row r="13" spans="1:37" s="193" customFormat="1" ht="10.5" customHeight="1">
      <c r="A13" s="188"/>
      <c r="B13" s="201" t="s">
        <v>143</v>
      </c>
      <c r="C13" s="202"/>
      <c r="D13" s="202"/>
      <c r="E13" s="202" t="s">
        <v>144</v>
      </c>
      <c r="F13" s="202"/>
      <c r="G13" s="202"/>
      <c r="H13" s="202"/>
      <c r="I13" s="202"/>
      <c r="J13" s="202"/>
      <c r="K13" s="202"/>
      <c r="L13" s="203"/>
      <c r="M13" s="201" t="s">
        <v>145</v>
      </c>
      <c r="N13" s="202"/>
      <c r="O13" s="202"/>
      <c r="P13" s="202"/>
      <c r="Q13" s="202"/>
      <c r="R13" s="202"/>
      <c r="S13" s="203"/>
      <c r="T13" s="202" t="s">
        <v>146</v>
      </c>
      <c r="U13" s="202"/>
      <c r="V13" s="202"/>
      <c r="W13" s="202"/>
      <c r="X13" s="202"/>
      <c r="Y13" s="202"/>
      <c r="Z13" s="202"/>
      <c r="AA13" s="201" t="s">
        <v>147</v>
      </c>
      <c r="AB13" s="202"/>
      <c r="AC13" s="202"/>
      <c r="AD13" s="202"/>
      <c r="AE13" s="202"/>
      <c r="AF13" s="202"/>
      <c r="AG13" s="203"/>
      <c r="AH13" s="202" t="s">
        <v>148</v>
      </c>
      <c r="AI13" s="202"/>
      <c r="AJ13" s="202"/>
      <c r="AK13" s="203"/>
    </row>
    <row r="14" spans="1:37" s="193" customFormat="1" ht="10.5" customHeight="1">
      <c r="A14" s="188"/>
      <c r="B14" s="539">
        <f>AA_008_DATOS_DE_BANCO_DOMICILIO_CALLE_NÚMERO</f>
        <v>0</v>
      </c>
      <c r="C14" s="723"/>
      <c r="D14" s="723"/>
      <c r="E14" s="723"/>
      <c r="F14" s="723"/>
      <c r="G14" s="723"/>
      <c r="H14" s="723"/>
      <c r="I14" s="723"/>
      <c r="J14" s="723"/>
      <c r="K14" s="723"/>
      <c r="L14" s="724"/>
      <c r="M14" s="539">
        <f>AA_009_DATOS_DE_BANCO_COLONIA</f>
        <v>0</v>
      </c>
      <c r="N14" s="723"/>
      <c r="O14" s="723"/>
      <c r="P14" s="723"/>
      <c r="Q14" s="723"/>
      <c r="R14" s="723"/>
      <c r="S14" s="724"/>
      <c r="T14" s="539">
        <f>AA_010_DATOS_DE_BANCO_POBLACIÓN</f>
        <v>0</v>
      </c>
      <c r="U14" s="723"/>
      <c r="V14" s="723"/>
      <c r="W14" s="723"/>
      <c r="X14" s="723"/>
      <c r="Y14" s="723"/>
      <c r="Z14" s="724"/>
      <c r="AA14" s="539">
        <f>AA_011_DATOS_DE_BANCO_ESTADO</f>
        <v>0</v>
      </c>
      <c r="AB14" s="723"/>
      <c r="AC14" s="723"/>
      <c r="AD14" s="723"/>
      <c r="AE14" s="723"/>
      <c r="AF14" s="723"/>
      <c r="AG14" s="724"/>
      <c r="AH14" s="539">
        <f>AA_012_DATOS_DE_BANCO_CODIGO_POSTAL</f>
        <v>0</v>
      </c>
      <c r="AI14" s="723"/>
      <c r="AJ14" s="723"/>
      <c r="AK14" s="724"/>
    </row>
    <row r="15" spans="1:37" s="193" customFormat="1" ht="10.5" customHeight="1">
      <c r="A15" s="188"/>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row>
    <row r="16" spans="1:37" s="193" customFormat="1" ht="10.5" customHeight="1">
      <c r="A16" s="188"/>
      <c r="B16" s="204" t="s">
        <v>149</v>
      </c>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row>
    <row r="17" spans="1:37" s="193" customFormat="1" ht="10.5" customHeight="1">
      <c r="A17" s="188"/>
      <c r="B17" s="201" t="s">
        <v>150</v>
      </c>
      <c r="C17" s="202"/>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2"/>
      <c r="AB17" s="202"/>
      <c r="AC17" s="202"/>
      <c r="AD17" s="202"/>
      <c r="AE17" s="202"/>
      <c r="AF17" s="202"/>
      <c r="AG17" s="201" t="s">
        <v>151</v>
      </c>
      <c r="AH17" s="202"/>
      <c r="AI17" s="202"/>
      <c r="AJ17" s="202"/>
      <c r="AK17" s="203"/>
    </row>
    <row r="18" spans="1:37" s="193" customFormat="1" ht="10.5" customHeight="1">
      <c r="A18" s="188"/>
      <c r="B18" s="539">
        <f>AA_013_DATOS_DE_LA_PARTE_ACREDITADA_NOMBRE_DEL_ACREDITADO</f>
        <v>0</v>
      </c>
      <c r="C18" s="723"/>
      <c r="D18" s="723"/>
      <c r="E18" s="723"/>
      <c r="F18" s="723"/>
      <c r="G18" s="723"/>
      <c r="H18" s="723"/>
      <c r="I18" s="723"/>
      <c r="J18" s="723"/>
      <c r="K18" s="723"/>
      <c r="L18" s="723"/>
      <c r="M18" s="723"/>
      <c r="N18" s="723"/>
      <c r="O18" s="723"/>
      <c r="P18" s="723"/>
      <c r="Q18" s="723"/>
      <c r="R18" s="723"/>
      <c r="S18" s="723"/>
      <c r="T18" s="723"/>
      <c r="U18" s="723"/>
      <c r="V18" s="723"/>
      <c r="W18" s="723"/>
      <c r="X18" s="723"/>
      <c r="Y18" s="723"/>
      <c r="Z18" s="723"/>
      <c r="AA18" s="723"/>
      <c r="AB18" s="723"/>
      <c r="AC18" s="723"/>
      <c r="AD18" s="723"/>
      <c r="AE18" s="723"/>
      <c r="AF18" s="724"/>
      <c r="AG18" s="539">
        <f>AA_014_DATOS_DE_LA_PARTE_ACREDITADA_R_F_C_</f>
        <v>0</v>
      </c>
      <c r="AH18" s="723"/>
      <c r="AI18" s="723"/>
      <c r="AJ18" s="723"/>
      <c r="AK18" s="724"/>
    </row>
    <row r="19" spans="1:37" s="193" customFormat="1" ht="10.5" customHeight="1">
      <c r="A19" s="188"/>
      <c r="B19" s="201" t="s">
        <v>143</v>
      </c>
      <c r="C19" s="202"/>
      <c r="D19" s="202"/>
      <c r="E19" s="202" t="s">
        <v>144</v>
      </c>
      <c r="F19" s="202"/>
      <c r="G19" s="202"/>
      <c r="H19" s="202"/>
      <c r="I19" s="202"/>
      <c r="J19" s="202"/>
      <c r="K19" s="202"/>
      <c r="L19" s="202"/>
      <c r="M19" s="202"/>
      <c r="N19" s="202"/>
      <c r="O19" s="202"/>
      <c r="P19" s="202"/>
      <c r="Q19" s="202"/>
      <c r="R19" s="202"/>
      <c r="S19" s="202"/>
      <c r="T19" s="202"/>
      <c r="U19" s="202"/>
      <c r="V19" s="202"/>
      <c r="W19" s="202"/>
      <c r="X19" s="201" t="s">
        <v>145</v>
      </c>
      <c r="Y19" s="202"/>
      <c r="Z19" s="202"/>
      <c r="AA19" s="202"/>
      <c r="AB19" s="202"/>
      <c r="AC19" s="202"/>
      <c r="AD19" s="202"/>
      <c r="AE19" s="202"/>
      <c r="AF19" s="202"/>
      <c r="AG19" s="202"/>
      <c r="AH19" s="202"/>
      <c r="AI19" s="202"/>
      <c r="AJ19" s="202"/>
      <c r="AK19" s="203"/>
    </row>
    <row r="20" spans="1:37" s="193" customFormat="1" ht="10.5" customHeight="1">
      <c r="A20" s="188"/>
      <c r="B20" s="539">
        <f>AA_015_DATOS_DE_LA_PARTE_ACREDITADA_DOMICILIO_CALLE_NÚMERO</f>
        <v>0</v>
      </c>
      <c r="C20" s="723"/>
      <c r="D20" s="723"/>
      <c r="E20" s="723"/>
      <c r="F20" s="723"/>
      <c r="G20" s="723"/>
      <c r="H20" s="723"/>
      <c r="I20" s="723"/>
      <c r="J20" s="723"/>
      <c r="K20" s="723"/>
      <c r="L20" s="723"/>
      <c r="M20" s="723"/>
      <c r="N20" s="723"/>
      <c r="O20" s="723"/>
      <c r="P20" s="723"/>
      <c r="Q20" s="723"/>
      <c r="R20" s="723"/>
      <c r="S20" s="723"/>
      <c r="T20" s="723"/>
      <c r="U20" s="723"/>
      <c r="V20" s="723"/>
      <c r="W20" s="724"/>
      <c r="X20" s="539">
        <f>AA_009_DATOS_DE_BANCO_COLONIA</f>
        <v>0</v>
      </c>
      <c r="Y20" s="723"/>
      <c r="Z20" s="723"/>
      <c r="AA20" s="723"/>
      <c r="AB20" s="723"/>
      <c r="AC20" s="723"/>
      <c r="AD20" s="723"/>
      <c r="AE20" s="723"/>
      <c r="AF20" s="723"/>
      <c r="AG20" s="723"/>
      <c r="AH20" s="723"/>
      <c r="AI20" s="723"/>
      <c r="AJ20" s="723"/>
      <c r="AK20" s="724"/>
    </row>
    <row r="21" spans="1:37" s="193" customFormat="1" ht="10.5" customHeight="1">
      <c r="A21" s="188"/>
      <c r="B21" s="201" t="s">
        <v>146</v>
      </c>
      <c r="C21" s="202"/>
      <c r="D21" s="202"/>
      <c r="E21" s="202"/>
      <c r="F21" s="202"/>
      <c r="G21" s="202"/>
      <c r="H21" s="202"/>
      <c r="I21" s="195"/>
      <c r="J21" s="201" t="s">
        <v>147</v>
      </c>
      <c r="K21" s="195"/>
      <c r="L21" s="195"/>
      <c r="P21" s="202"/>
      <c r="Q21" s="194" t="s">
        <v>152</v>
      </c>
      <c r="S21" s="202"/>
      <c r="T21" s="202"/>
      <c r="V21" s="201" t="s">
        <v>153</v>
      </c>
      <c r="W21" s="202"/>
      <c r="X21" s="202"/>
      <c r="Y21" s="202"/>
      <c r="AA21" s="201" t="s">
        <v>154</v>
      </c>
      <c r="AB21" s="202"/>
      <c r="AC21" s="203"/>
      <c r="AD21" s="194" t="s">
        <v>155</v>
      </c>
      <c r="AE21" s="195"/>
      <c r="AF21" s="195"/>
      <c r="AG21" s="203"/>
      <c r="AH21" s="202" t="s">
        <v>156</v>
      </c>
      <c r="AI21" s="202"/>
      <c r="AJ21" s="202"/>
      <c r="AK21" s="203"/>
    </row>
    <row r="22" spans="1:37" s="193" customFormat="1" ht="10.5" customHeight="1">
      <c r="A22" s="188"/>
      <c r="B22" s="539">
        <f>AA_017_DATOS_DE_LA_PARTE_ACREDITADA_POBLACION</f>
        <v>0</v>
      </c>
      <c r="C22" s="723"/>
      <c r="D22" s="723"/>
      <c r="E22" s="723"/>
      <c r="F22" s="723"/>
      <c r="G22" s="723"/>
      <c r="H22" s="723"/>
      <c r="I22" s="724"/>
      <c r="J22" s="539">
        <f>AA_018_DATOS_DE_LA_PARTE_ACREDITADA_ESTADO</f>
        <v>0</v>
      </c>
      <c r="K22" s="723"/>
      <c r="L22" s="723"/>
      <c r="M22" s="723"/>
      <c r="N22" s="723"/>
      <c r="O22" s="723"/>
      <c r="P22" s="724"/>
      <c r="Q22" s="539">
        <f>AA_019_DATOS_DE_LA_PARTE_ACREDITADA_NACIONALIDAD</f>
        <v>0</v>
      </c>
      <c r="R22" s="723"/>
      <c r="S22" s="723"/>
      <c r="T22" s="723"/>
      <c r="U22" s="724"/>
      <c r="V22" s="539">
        <f>AA_019_DATOS_DE_LA_PARTE_ACREDITADA_NACIONALIDAD</f>
        <v>0</v>
      </c>
      <c r="W22" s="723"/>
      <c r="X22" s="723"/>
      <c r="Y22" s="723"/>
      <c r="Z22" s="724"/>
      <c r="AA22" s="542">
        <f>AA_021_DATOS_DE_LA_PARTE_ACREDITADA_EDAD</f>
        <v>0</v>
      </c>
      <c r="AB22" s="543"/>
      <c r="AC22" s="544"/>
      <c r="AD22" s="539">
        <f>AA_022_DATOS_DE_LA_PARTE_ACREDITADA_ESTADO_CIVIL</f>
        <v>0</v>
      </c>
      <c r="AE22" s="723"/>
      <c r="AF22" s="723"/>
      <c r="AG22" s="724"/>
      <c r="AH22" s="539">
        <f>AA_023_DATOS_DE_LA_PARTE_ACREDITADA_TELEFONO</f>
        <v>0</v>
      </c>
      <c r="AI22" s="540"/>
      <c r="AJ22" s="540"/>
      <c r="AK22" s="541"/>
    </row>
    <row r="23" spans="1:37" s="193" customFormat="1" ht="10.5" customHeight="1">
      <c r="A23" s="188"/>
      <c r="B23" s="201" t="s">
        <v>157</v>
      </c>
      <c r="C23" s="202"/>
      <c r="D23" s="202"/>
      <c r="E23" s="202"/>
      <c r="F23" s="202"/>
      <c r="G23" s="202"/>
      <c r="H23" s="202"/>
      <c r="I23" s="202"/>
      <c r="J23" s="202"/>
      <c r="K23" s="202"/>
      <c r="L23" s="202"/>
      <c r="M23" s="202"/>
      <c r="N23" s="202"/>
      <c r="O23" s="202"/>
      <c r="P23" s="202"/>
      <c r="Q23" s="202"/>
      <c r="R23" s="202"/>
      <c r="S23" s="202"/>
      <c r="T23" s="202"/>
      <c r="U23" s="202"/>
      <c r="V23" s="202"/>
      <c r="W23" s="202"/>
      <c r="X23" s="202"/>
      <c r="Y23" s="202"/>
      <c r="Z23" s="202"/>
      <c r="AA23" s="202"/>
      <c r="AB23" s="202"/>
      <c r="AC23" s="202"/>
      <c r="AD23" s="202"/>
      <c r="AE23" s="202"/>
      <c r="AF23" s="202"/>
      <c r="AG23" s="201" t="s">
        <v>151</v>
      </c>
      <c r="AH23" s="202"/>
      <c r="AI23" s="202"/>
      <c r="AJ23" s="202"/>
      <c r="AK23" s="203"/>
    </row>
    <row r="24" spans="1:37" s="193" customFormat="1" ht="10.5" customHeight="1">
      <c r="A24" s="188"/>
      <c r="B24" s="545">
        <f>AA_024_DATOS_DE_LA_PARTE_ACREDITADA_NOMBRE_DEL_ACREDITADO_2</f>
        <v>0</v>
      </c>
      <c r="C24" s="817"/>
      <c r="D24" s="817"/>
      <c r="E24" s="817"/>
      <c r="F24" s="817"/>
      <c r="G24" s="817"/>
      <c r="H24" s="817"/>
      <c r="I24" s="817"/>
      <c r="J24" s="817"/>
      <c r="K24" s="817"/>
      <c r="L24" s="817"/>
      <c r="M24" s="817"/>
      <c r="N24" s="817"/>
      <c r="O24" s="817"/>
      <c r="P24" s="817"/>
      <c r="Q24" s="817"/>
      <c r="R24" s="817"/>
      <c r="S24" s="817"/>
      <c r="T24" s="817"/>
      <c r="U24" s="817"/>
      <c r="V24" s="817"/>
      <c r="W24" s="817"/>
      <c r="X24" s="817"/>
      <c r="Y24" s="817"/>
      <c r="Z24" s="817"/>
      <c r="AA24" s="817"/>
      <c r="AB24" s="817"/>
      <c r="AC24" s="817"/>
      <c r="AD24" s="817"/>
      <c r="AE24" s="817"/>
      <c r="AF24" s="818"/>
      <c r="AG24" s="539">
        <f>+AA_025_DATOS_DE_LA_PARTE_ACREDITADA_R_F_C_</f>
        <v>0</v>
      </c>
      <c r="AH24" s="723"/>
      <c r="AI24" s="723"/>
      <c r="AJ24" s="723"/>
      <c r="AK24" s="724"/>
    </row>
    <row r="25" spans="1:37" s="193" customFormat="1" ht="10.5" customHeight="1">
      <c r="A25" s="188"/>
      <c r="B25" s="194" t="s">
        <v>143</v>
      </c>
      <c r="C25" s="195"/>
      <c r="D25" s="195"/>
      <c r="E25" s="195" t="s">
        <v>144</v>
      </c>
      <c r="F25" s="195"/>
      <c r="G25" s="195"/>
      <c r="H25" s="195"/>
      <c r="I25" s="195"/>
      <c r="J25" s="195"/>
      <c r="K25" s="195"/>
      <c r="L25" s="195"/>
      <c r="M25" s="195"/>
      <c r="N25" s="195"/>
      <c r="O25" s="195"/>
      <c r="P25" s="195"/>
      <c r="Q25" s="195"/>
      <c r="R25" s="195"/>
      <c r="S25" s="195"/>
      <c r="T25" s="195"/>
      <c r="U25" s="188"/>
      <c r="V25" s="195"/>
      <c r="W25" s="195"/>
      <c r="X25" s="194" t="s">
        <v>145</v>
      </c>
      <c r="Y25" s="195"/>
      <c r="Z25" s="195"/>
      <c r="AA25" s="195"/>
      <c r="AB25" s="195"/>
      <c r="AC25" s="195"/>
      <c r="AD25" s="195"/>
      <c r="AE25" s="195"/>
      <c r="AF25" s="195"/>
      <c r="AG25" s="202"/>
      <c r="AH25" s="202"/>
      <c r="AI25" s="202"/>
      <c r="AJ25" s="202"/>
      <c r="AK25" s="203"/>
    </row>
    <row r="26" spans="1:37" s="193" customFormat="1" ht="10.5" customHeight="1">
      <c r="A26" s="188"/>
      <c r="B26" s="545">
        <f>AA_026_DATOS_DE_LA_PARTE_ACREDITADA_DOMICILIO_CALLE_NÚMERO</f>
        <v>0</v>
      </c>
      <c r="C26" s="817"/>
      <c r="D26" s="817"/>
      <c r="E26" s="817"/>
      <c r="F26" s="817"/>
      <c r="G26" s="817"/>
      <c r="H26" s="817"/>
      <c r="I26" s="817"/>
      <c r="J26" s="817"/>
      <c r="K26" s="817"/>
      <c r="L26" s="817"/>
      <c r="M26" s="817"/>
      <c r="N26" s="817"/>
      <c r="O26" s="817"/>
      <c r="P26" s="817"/>
      <c r="Q26" s="817"/>
      <c r="R26" s="817"/>
      <c r="S26" s="817"/>
      <c r="T26" s="817"/>
      <c r="U26" s="817"/>
      <c r="V26" s="817"/>
      <c r="W26" s="818"/>
      <c r="X26" s="539">
        <f>AA_027_DATOS_DE_LA_PARTE_ACREDITADA_COLONIA</f>
        <v>0</v>
      </c>
      <c r="Y26" s="723"/>
      <c r="Z26" s="723"/>
      <c r="AA26" s="723"/>
      <c r="AB26" s="723"/>
      <c r="AC26" s="723"/>
      <c r="AD26" s="723"/>
      <c r="AE26" s="723"/>
      <c r="AF26" s="723"/>
      <c r="AG26" s="723"/>
      <c r="AH26" s="723"/>
      <c r="AI26" s="723"/>
      <c r="AJ26" s="723"/>
      <c r="AK26" s="724"/>
    </row>
    <row r="27" spans="1:37" s="193" customFormat="1" ht="10.5" customHeight="1">
      <c r="A27" s="188"/>
      <c r="B27" s="194" t="s">
        <v>146</v>
      </c>
      <c r="C27" s="195"/>
      <c r="D27" s="195"/>
      <c r="E27" s="195"/>
      <c r="F27" s="195"/>
      <c r="G27" s="195"/>
      <c r="H27" s="195"/>
      <c r="I27" s="195"/>
      <c r="J27" s="194" t="s">
        <v>147</v>
      </c>
      <c r="K27" s="195"/>
      <c r="L27" s="195"/>
      <c r="M27" s="188"/>
      <c r="N27" s="188"/>
      <c r="O27" s="188"/>
      <c r="P27" s="195"/>
      <c r="Q27" s="194" t="s">
        <v>152</v>
      </c>
      <c r="R27" s="188"/>
      <c r="S27" s="195"/>
      <c r="T27" s="195"/>
      <c r="U27" s="444"/>
      <c r="V27" s="194" t="s">
        <v>153</v>
      </c>
      <c r="W27" s="195"/>
      <c r="X27" s="202"/>
      <c r="Y27" s="202"/>
      <c r="Z27" s="188"/>
      <c r="AA27" s="201" t="s">
        <v>154</v>
      </c>
      <c r="AB27" s="202"/>
      <c r="AC27" s="203"/>
      <c r="AD27" s="194" t="s">
        <v>155</v>
      </c>
      <c r="AE27" s="195"/>
      <c r="AF27" s="195"/>
      <c r="AG27" s="203"/>
      <c r="AH27" s="202" t="s">
        <v>156</v>
      </c>
      <c r="AI27" s="202"/>
      <c r="AJ27" s="202"/>
      <c r="AK27" s="203"/>
    </row>
    <row r="28" spans="1:37" s="193" customFormat="1" ht="10.5" customHeight="1">
      <c r="A28" s="188"/>
      <c r="B28" s="539">
        <f>AA_028_DATOS_DE_LA_PARTE_ACREDITADA_POBLACION</f>
        <v>0</v>
      </c>
      <c r="C28" s="723"/>
      <c r="D28" s="723"/>
      <c r="E28" s="723"/>
      <c r="F28" s="723"/>
      <c r="G28" s="723"/>
      <c r="H28" s="723"/>
      <c r="I28" s="724"/>
      <c r="J28" s="539">
        <f>AA_029_DATOS_DE_LA_PARTE_ACREDITADA_ESTADO</f>
        <v>0</v>
      </c>
      <c r="K28" s="723"/>
      <c r="L28" s="723"/>
      <c r="M28" s="723"/>
      <c r="N28" s="723"/>
      <c r="O28" s="723"/>
      <c r="P28" s="724"/>
      <c r="Q28" s="539">
        <f>AA_030_DATOS_DE_LA_PARTE_ACREDITADA_NACIONALIDAD</f>
        <v>0</v>
      </c>
      <c r="R28" s="723"/>
      <c r="S28" s="723"/>
      <c r="T28" s="723"/>
      <c r="U28" s="724"/>
      <c r="V28" s="539">
        <f>AA_031_DATOS_DE_LA_PARTE_ACREDITADA_ORIGINARIO</f>
        <v>0</v>
      </c>
      <c r="W28" s="723"/>
      <c r="X28" s="723"/>
      <c r="Y28" s="723"/>
      <c r="Z28" s="724"/>
      <c r="AA28" s="542">
        <f>AA_032_DATOS_DE_LA_PARTE_ACREDITADA_EDAD</f>
        <v>0</v>
      </c>
      <c r="AB28" s="543"/>
      <c r="AC28" s="544"/>
      <c r="AD28" s="539">
        <f>AA_033_DATOS_DE_LA_PARTE_ACREDITADA_ESTADO_CIVIL</f>
        <v>0</v>
      </c>
      <c r="AE28" s="723"/>
      <c r="AF28" s="723"/>
      <c r="AG28" s="724"/>
      <c r="AH28" s="539">
        <f>AA_034_DATOS_DE_LA_PARTE_ACREDITADA_TELEFONO</f>
        <v>0</v>
      </c>
      <c r="AI28" s="540"/>
      <c r="AJ28" s="540"/>
      <c r="AK28" s="541"/>
    </row>
    <row r="29" spans="1:37" s="199" customFormat="1" ht="2.25" customHeight="1">
      <c r="A29" s="198"/>
      <c r="B29" s="182"/>
      <c r="C29" s="182"/>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82"/>
      <c r="AB29" s="182"/>
      <c r="AC29" s="182"/>
      <c r="AD29" s="182"/>
      <c r="AE29" s="182"/>
      <c r="AF29" s="182"/>
      <c r="AG29" s="182"/>
      <c r="AH29" s="182"/>
      <c r="AI29" s="182"/>
      <c r="AJ29" s="182"/>
      <c r="AK29" s="182"/>
    </row>
    <row r="30" spans="1:37" s="199" customFormat="1" ht="9.6">
      <c r="A30" s="198"/>
      <c r="B30" s="200" t="s">
        <v>158</v>
      </c>
      <c r="C30" s="182"/>
      <c r="D30" s="182"/>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82"/>
      <c r="AI30" s="182"/>
      <c r="AJ30" s="182"/>
      <c r="AK30" s="182"/>
    </row>
    <row r="31" spans="1:37" s="193" customFormat="1" ht="10.5" customHeight="1">
      <c r="A31" s="188"/>
      <c r="B31" s="201" t="s">
        <v>159</v>
      </c>
      <c r="C31" s="202"/>
      <c r="D31" s="202"/>
      <c r="E31" s="202"/>
      <c r="F31" s="202"/>
      <c r="G31" s="202"/>
      <c r="H31" s="202"/>
      <c r="I31" s="202"/>
      <c r="J31" s="202"/>
      <c r="K31" s="202"/>
      <c r="L31" s="202"/>
      <c r="M31" s="202"/>
      <c r="N31" s="202"/>
      <c r="O31" s="202"/>
      <c r="P31" s="202"/>
      <c r="Q31" s="202"/>
      <c r="R31" s="202"/>
      <c r="S31" s="202"/>
      <c r="T31" s="202"/>
      <c r="U31" s="202"/>
      <c r="V31" s="202"/>
      <c r="W31" s="202"/>
      <c r="X31" s="202"/>
      <c r="Y31" s="202"/>
      <c r="Z31" s="202"/>
      <c r="AA31" s="202"/>
      <c r="AB31" s="202"/>
      <c r="AC31" s="202"/>
      <c r="AD31" s="202"/>
      <c r="AE31" s="202"/>
      <c r="AF31" s="202"/>
      <c r="AG31" s="202"/>
      <c r="AH31" s="202"/>
      <c r="AI31" s="202"/>
      <c r="AJ31" s="202"/>
      <c r="AK31" s="203"/>
    </row>
    <row r="32" spans="1:37" s="193" customFormat="1" ht="10.5" customHeight="1">
      <c r="A32" s="188"/>
      <c r="B32" s="539">
        <f>AA_035_DATOS_APODERADOS_ACREDITADO_NOMBRE_APODERADO_DEL_ACREDITADO_UNO</f>
        <v>0</v>
      </c>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c r="AE32" s="540"/>
      <c r="AF32" s="540"/>
      <c r="AG32" s="540"/>
      <c r="AH32" s="540"/>
      <c r="AI32" s="540"/>
      <c r="AJ32" s="540"/>
      <c r="AK32" s="541"/>
    </row>
    <row r="33" spans="1:37" s="193" customFormat="1" ht="10.5" customHeight="1">
      <c r="A33" s="188"/>
      <c r="B33" s="201" t="str">
        <f>B31</f>
        <v>NOMBRE  (Nombre(s) Apellidos Paterno y Materno)</v>
      </c>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202"/>
      <c r="AG33" s="202"/>
      <c r="AH33" s="202"/>
      <c r="AI33" s="202"/>
      <c r="AJ33" s="202"/>
      <c r="AK33" s="203"/>
    </row>
    <row r="34" spans="1:37" s="193" customFormat="1" ht="10.5" customHeight="1">
      <c r="A34" s="188"/>
      <c r="B34" s="539">
        <f>AA_036_DATOS_APODERADOS_ACREDITADO_NOMBRE_APODERADO_DEL_ACREDITADO_DOS</f>
        <v>0</v>
      </c>
      <c r="C34" s="723"/>
      <c r="D34" s="723"/>
      <c r="E34" s="723"/>
      <c r="F34" s="723"/>
      <c r="G34" s="723"/>
      <c r="H34" s="723"/>
      <c r="I34" s="723"/>
      <c r="J34" s="723"/>
      <c r="K34" s="723"/>
      <c r="L34" s="723"/>
      <c r="M34" s="723"/>
      <c r="N34" s="723"/>
      <c r="O34" s="723"/>
      <c r="P34" s="723"/>
      <c r="Q34" s="723"/>
      <c r="R34" s="723"/>
      <c r="S34" s="723"/>
      <c r="T34" s="723"/>
      <c r="U34" s="723"/>
      <c r="V34" s="723"/>
      <c r="W34" s="723"/>
      <c r="X34" s="723"/>
      <c r="Y34" s="723"/>
      <c r="Z34" s="723"/>
      <c r="AA34" s="723"/>
      <c r="AB34" s="723"/>
      <c r="AC34" s="723"/>
      <c r="AD34" s="723"/>
      <c r="AE34" s="723"/>
      <c r="AF34" s="723"/>
      <c r="AG34" s="723"/>
      <c r="AH34" s="723"/>
      <c r="AI34" s="723"/>
      <c r="AJ34" s="723"/>
      <c r="AK34" s="724"/>
    </row>
    <row r="35" spans="1:37" s="193" customFormat="1" ht="10.5" customHeight="1">
      <c r="A35" s="188"/>
      <c r="B35" s="201" t="str">
        <f>B33</f>
        <v>NOMBRE  (Nombre(s) Apellidos Paterno y Materno)</v>
      </c>
      <c r="C35" s="202"/>
      <c r="D35" s="202"/>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c r="AE35" s="202"/>
      <c r="AF35" s="202"/>
      <c r="AG35" s="202"/>
      <c r="AH35" s="202"/>
      <c r="AI35" s="202"/>
      <c r="AJ35" s="202"/>
      <c r="AK35" s="203"/>
    </row>
    <row r="36" spans="1:37" s="193" customFormat="1" ht="10.5" customHeight="1">
      <c r="A36" s="188"/>
      <c r="B36" s="539">
        <f>AA_036a_DATOS_APODERADOS_ACREDITADO_NOMBRE_APODERADO_DEL_ACREDITADO_TRES</f>
        <v>0</v>
      </c>
      <c r="C36" s="723"/>
      <c r="D36" s="723"/>
      <c r="E36" s="723"/>
      <c r="F36" s="723"/>
      <c r="G36" s="723"/>
      <c r="H36" s="723"/>
      <c r="I36" s="723"/>
      <c r="J36" s="723"/>
      <c r="K36" s="723"/>
      <c r="L36" s="723"/>
      <c r="M36" s="723"/>
      <c r="N36" s="723"/>
      <c r="O36" s="723"/>
      <c r="P36" s="723"/>
      <c r="Q36" s="723"/>
      <c r="R36" s="723"/>
      <c r="S36" s="723"/>
      <c r="T36" s="723"/>
      <c r="U36" s="723"/>
      <c r="V36" s="723"/>
      <c r="W36" s="723"/>
      <c r="X36" s="723"/>
      <c r="Y36" s="723"/>
      <c r="Z36" s="723"/>
      <c r="AA36" s="723"/>
      <c r="AB36" s="723"/>
      <c r="AC36" s="723"/>
      <c r="AD36" s="723"/>
      <c r="AE36" s="723"/>
      <c r="AF36" s="723"/>
      <c r="AG36" s="723"/>
      <c r="AH36" s="723"/>
      <c r="AI36" s="723"/>
      <c r="AJ36" s="723"/>
      <c r="AK36" s="724"/>
    </row>
    <row r="37" spans="1:37" s="199" customFormat="1" ht="2.25" customHeight="1">
      <c r="A37" s="198"/>
      <c r="B37" s="182"/>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row>
    <row r="38" spans="1:37" s="199" customFormat="1" ht="9.6">
      <c r="A38" s="198"/>
      <c r="B38" s="200" t="s">
        <v>160</v>
      </c>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c r="AI38" s="182"/>
      <c r="AJ38" s="182"/>
      <c r="AK38" s="182"/>
    </row>
    <row r="39" spans="1:37" s="193" customFormat="1" ht="10.5" customHeight="1">
      <c r="A39" s="188"/>
      <c r="B39" s="201" t="s">
        <v>157</v>
      </c>
      <c r="C39" s="202"/>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202"/>
      <c r="AF39" s="202"/>
      <c r="AG39" s="201" t="s">
        <v>151</v>
      </c>
      <c r="AH39" s="202"/>
      <c r="AI39" s="202"/>
      <c r="AJ39" s="202"/>
      <c r="AK39" s="203"/>
    </row>
    <row r="40" spans="1:37" s="193" customFormat="1" ht="10.5" customHeight="1">
      <c r="A40" s="188"/>
      <c r="B40" s="539">
        <f>AA_037_DATOS_FIADORES_NOMBRE_DEL_FIADOR_SOLIDARIO_UNO</f>
        <v>0</v>
      </c>
      <c r="C40" s="723"/>
      <c r="D40" s="723"/>
      <c r="E40" s="723"/>
      <c r="F40" s="723"/>
      <c r="G40" s="723"/>
      <c r="H40" s="723"/>
      <c r="I40" s="723"/>
      <c r="J40" s="723"/>
      <c r="K40" s="723"/>
      <c r="L40" s="723"/>
      <c r="M40" s="723"/>
      <c r="N40" s="723"/>
      <c r="O40" s="723"/>
      <c r="P40" s="723"/>
      <c r="Q40" s="723"/>
      <c r="R40" s="723"/>
      <c r="S40" s="723"/>
      <c r="T40" s="723"/>
      <c r="U40" s="723"/>
      <c r="V40" s="723"/>
      <c r="W40" s="723"/>
      <c r="X40" s="723"/>
      <c r="Y40" s="723"/>
      <c r="Z40" s="723"/>
      <c r="AA40" s="723"/>
      <c r="AB40" s="723"/>
      <c r="AC40" s="723"/>
      <c r="AD40" s="723"/>
      <c r="AE40" s="723"/>
      <c r="AF40" s="724"/>
      <c r="AG40" s="539">
        <f>AA_038_DATOS_FIADORES_RFC</f>
        <v>0</v>
      </c>
      <c r="AH40" s="723"/>
      <c r="AI40" s="723"/>
      <c r="AJ40" s="723"/>
      <c r="AK40" s="724"/>
    </row>
    <row r="41" spans="1:37" s="193" customFormat="1" ht="10.5" customHeight="1">
      <c r="A41" s="188"/>
      <c r="B41" s="201" t="s">
        <v>143</v>
      </c>
      <c r="C41" s="202"/>
      <c r="D41" s="202"/>
      <c r="E41" s="202" t="s">
        <v>144</v>
      </c>
      <c r="F41" s="202"/>
      <c r="G41" s="202"/>
      <c r="H41" s="202"/>
      <c r="I41" s="202"/>
      <c r="J41" s="202"/>
      <c r="K41" s="202"/>
      <c r="L41" s="202"/>
      <c r="M41" s="202"/>
      <c r="N41" s="202"/>
      <c r="O41" s="202"/>
      <c r="P41" s="202"/>
      <c r="Q41" s="202"/>
      <c r="R41" s="202"/>
      <c r="S41" s="202"/>
      <c r="T41" s="202"/>
      <c r="U41" s="201" t="s">
        <v>145</v>
      </c>
      <c r="V41" s="202"/>
      <c r="W41" s="202"/>
      <c r="X41" s="202"/>
      <c r="Y41" s="202"/>
      <c r="Z41" s="202"/>
      <c r="AA41" s="202"/>
      <c r="AB41" s="202"/>
      <c r="AC41" s="202"/>
      <c r="AD41" s="202"/>
      <c r="AE41" s="202"/>
      <c r="AF41" s="202"/>
      <c r="AG41" s="202"/>
      <c r="AH41" s="202"/>
      <c r="AI41" s="202"/>
      <c r="AJ41" s="202"/>
      <c r="AK41" s="203"/>
    </row>
    <row r="42" spans="1:37" s="193" customFormat="1" ht="10.5" customHeight="1">
      <c r="A42" s="188"/>
      <c r="B42" s="539">
        <f>AA_039_DATOS_FIADORES_DOMICILIO_CALLE_NÚMERO</f>
        <v>0</v>
      </c>
      <c r="C42" s="723"/>
      <c r="D42" s="723"/>
      <c r="E42" s="723"/>
      <c r="F42" s="723"/>
      <c r="G42" s="723"/>
      <c r="H42" s="723"/>
      <c r="I42" s="723"/>
      <c r="J42" s="723"/>
      <c r="K42" s="723"/>
      <c r="L42" s="723"/>
      <c r="M42" s="723"/>
      <c r="N42" s="723"/>
      <c r="O42" s="723"/>
      <c r="P42" s="723"/>
      <c r="Q42" s="723"/>
      <c r="R42" s="723"/>
      <c r="S42" s="723"/>
      <c r="T42" s="724"/>
      <c r="U42" s="539">
        <f>AA_040_DATOS_FIADORES_COLONIA</f>
        <v>0</v>
      </c>
      <c r="V42" s="723"/>
      <c r="W42" s="723"/>
      <c r="X42" s="723"/>
      <c r="Y42" s="723"/>
      <c r="Z42" s="723"/>
      <c r="AA42" s="723"/>
      <c r="AB42" s="723"/>
      <c r="AC42" s="723"/>
      <c r="AD42" s="723"/>
      <c r="AE42" s="723"/>
      <c r="AF42" s="723"/>
      <c r="AG42" s="723"/>
      <c r="AH42" s="723"/>
      <c r="AI42" s="723"/>
      <c r="AJ42" s="723"/>
      <c r="AK42" s="724"/>
    </row>
    <row r="43" spans="1:37" s="193" customFormat="1" ht="10.5" customHeight="1">
      <c r="A43" s="188"/>
      <c r="B43" s="201" t="s">
        <v>146</v>
      </c>
      <c r="C43" s="202"/>
      <c r="D43" s="202"/>
      <c r="E43" s="202"/>
      <c r="F43" s="202"/>
      <c r="G43" s="202"/>
      <c r="H43" s="202"/>
      <c r="I43" s="195"/>
      <c r="J43" s="201" t="s">
        <v>147</v>
      </c>
      <c r="K43" s="195"/>
      <c r="L43" s="195"/>
      <c r="P43" s="202"/>
      <c r="Q43" s="194" t="s">
        <v>152</v>
      </c>
      <c r="S43" s="202"/>
      <c r="T43" s="202"/>
      <c r="V43" s="201" t="s">
        <v>153</v>
      </c>
      <c r="W43" s="202"/>
      <c r="X43" s="202"/>
      <c r="Y43" s="202"/>
      <c r="AA43" s="201" t="s">
        <v>154</v>
      </c>
      <c r="AB43" s="202"/>
      <c r="AC43" s="203"/>
      <c r="AD43" s="194" t="s">
        <v>155</v>
      </c>
      <c r="AE43" s="195"/>
      <c r="AF43" s="195"/>
      <c r="AG43" s="203"/>
      <c r="AH43" s="202" t="s">
        <v>156</v>
      </c>
      <c r="AI43" s="202"/>
      <c r="AJ43" s="202"/>
      <c r="AK43" s="203"/>
    </row>
    <row r="44" spans="1:37" s="193" customFormat="1" ht="10.5" customHeight="1">
      <c r="A44" s="188"/>
      <c r="B44" s="539">
        <f>AA_041_DATOS_FIADORES_POBLACIÓN</f>
        <v>0</v>
      </c>
      <c r="C44" s="723"/>
      <c r="D44" s="723"/>
      <c r="E44" s="723"/>
      <c r="F44" s="723"/>
      <c r="G44" s="723"/>
      <c r="H44" s="723"/>
      <c r="I44" s="724"/>
      <c r="J44" s="539">
        <f>AA_042_DATOS_FIADORES_ESTADO</f>
        <v>0</v>
      </c>
      <c r="K44" s="723"/>
      <c r="L44" s="723"/>
      <c r="M44" s="723"/>
      <c r="N44" s="723"/>
      <c r="O44" s="723"/>
      <c r="P44" s="724"/>
      <c r="Q44" s="539">
        <f>AA_043_DATOS_FIADORES_NACIONALIDAD</f>
        <v>0</v>
      </c>
      <c r="R44" s="723"/>
      <c r="S44" s="723"/>
      <c r="T44" s="723"/>
      <c r="U44" s="724"/>
      <c r="V44" s="539">
        <f>AA_044_DATOS_FIADORES_ORIGINARIO</f>
        <v>0</v>
      </c>
      <c r="W44" s="723"/>
      <c r="X44" s="723"/>
      <c r="Y44" s="723"/>
      <c r="Z44" s="724"/>
      <c r="AA44" s="542">
        <f>AA_045_DATOS_FIADORES_EDAD</f>
        <v>0</v>
      </c>
      <c r="AB44" s="543"/>
      <c r="AC44" s="544"/>
      <c r="AD44" s="539">
        <f>AA_046_DATOS_FIADORES_ESTADO_CIVIL</f>
        <v>0</v>
      </c>
      <c r="AE44" s="723"/>
      <c r="AF44" s="723"/>
      <c r="AG44" s="724"/>
      <c r="AH44" s="539">
        <f>AA_047_DATOS_FIADORES_TELEFONO</f>
        <v>0</v>
      </c>
      <c r="AI44" s="540"/>
      <c r="AJ44" s="540"/>
      <c r="AK44" s="541"/>
    </row>
    <row r="45" spans="1:37" s="193" customFormat="1" ht="10.5" customHeight="1">
      <c r="A45" s="188"/>
      <c r="B45" s="201" t="s">
        <v>157</v>
      </c>
      <c r="C45" s="202"/>
      <c r="D45" s="202"/>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202"/>
      <c r="AF45" s="202"/>
      <c r="AG45" s="201" t="s">
        <v>151</v>
      </c>
      <c r="AH45" s="202"/>
      <c r="AI45" s="202"/>
      <c r="AJ45" s="202"/>
      <c r="AK45" s="203"/>
    </row>
    <row r="46" spans="1:37" s="193" customFormat="1" ht="10.5" customHeight="1">
      <c r="A46" s="188"/>
      <c r="B46" s="539">
        <f>AA_048_DATOS_FIADORES_NOMBRE_DEL_FIADOR_SOLIDARIO_DOS</f>
        <v>0</v>
      </c>
      <c r="C46" s="723"/>
      <c r="D46" s="723"/>
      <c r="E46" s="723"/>
      <c r="F46" s="723"/>
      <c r="G46" s="723"/>
      <c r="H46" s="723"/>
      <c r="I46" s="723"/>
      <c r="J46" s="723"/>
      <c r="K46" s="723"/>
      <c r="L46" s="723"/>
      <c r="M46" s="723"/>
      <c r="N46" s="723"/>
      <c r="O46" s="723"/>
      <c r="P46" s="723"/>
      <c r="Q46" s="723"/>
      <c r="R46" s="723"/>
      <c r="S46" s="723"/>
      <c r="T46" s="723"/>
      <c r="U46" s="723"/>
      <c r="V46" s="723"/>
      <c r="W46" s="723"/>
      <c r="X46" s="723"/>
      <c r="Y46" s="723"/>
      <c r="Z46" s="723"/>
      <c r="AA46" s="723"/>
      <c r="AB46" s="723"/>
      <c r="AC46" s="723"/>
      <c r="AD46" s="723"/>
      <c r="AE46" s="723"/>
      <c r="AF46" s="724"/>
      <c r="AG46" s="539">
        <f>AA_049_DATOS_FIADORES_RFC</f>
        <v>0</v>
      </c>
      <c r="AH46" s="723"/>
      <c r="AI46" s="723"/>
      <c r="AJ46" s="723"/>
      <c r="AK46" s="724"/>
    </row>
    <row r="47" spans="1:37" s="193" customFormat="1" ht="10.5" customHeight="1">
      <c r="A47" s="188"/>
      <c r="B47" s="201" t="s">
        <v>143</v>
      </c>
      <c r="C47" s="202"/>
      <c r="D47" s="202"/>
      <c r="E47" s="202" t="s">
        <v>144</v>
      </c>
      <c r="F47" s="202"/>
      <c r="G47" s="202"/>
      <c r="H47" s="202"/>
      <c r="I47" s="202"/>
      <c r="J47" s="202"/>
      <c r="K47" s="202"/>
      <c r="L47" s="202"/>
      <c r="M47" s="202"/>
      <c r="N47" s="202"/>
      <c r="O47" s="202"/>
      <c r="P47" s="202"/>
      <c r="Q47" s="202"/>
      <c r="R47" s="202"/>
      <c r="S47" s="202"/>
      <c r="T47" s="202"/>
      <c r="U47" s="201" t="s">
        <v>145</v>
      </c>
      <c r="V47" s="202"/>
      <c r="W47" s="202"/>
      <c r="X47" s="202"/>
      <c r="Y47" s="202"/>
      <c r="Z47" s="202"/>
      <c r="AA47" s="202"/>
      <c r="AB47" s="202"/>
      <c r="AC47" s="202"/>
      <c r="AD47" s="202"/>
      <c r="AE47" s="202"/>
      <c r="AF47" s="202"/>
      <c r="AG47" s="202"/>
      <c r="AH47" s="202"/>
      <c r="AI47" s="202"/>
      <c r="AJ47" s="202"/>
      <c r="AK47" s="203"/>
    </row>
    <row r="48" spans="1:37" s="193" customFormat="1" ht="10.5" customHeight="1">
      <c r="A48" s="188"/>
      <c r="B48" s="539">
        <f>AA_050_DATOS_FIADORES_DOMICILIO_CALLE_NÚMERO</f>
        <v>0</v>
      </c>
      <c r="C48" s="723"/>
      <c r="D48" s="723"/>
      <c r="E48" s="723"/>
      <c r="F48" s="723"/>
      <c r="G48" s="723"/>
      <c r="H48" s="723"/>
      <c r="I48" s="723"/>
      <c r="J48" s="723"/>
      <c r="K48" s="723"/>
      <c r="L48" s="723"/>
      <c r="M48" s="723"/>
      <c r="N48" s="723"/>
      <c r="O48" s="723"/>
      <c r="P48" s="723"/>
      <c r="Q48" s="723"/>
      <c r="R48" s="723"/>
      <c r="S48" s="723"/>
      <c r="T48" s="724"/>
      <c r="U48" s="539">
        <f>AA_051_DATOS_FIADORES_COLONIA</f>
        <v>0</v>
      </c>
      <c r="V48" s="723"/>
      <c r="W48" s="723"/>
      <c r="X48" s="723"/>
      <c r="Y48" s="723"/>
      <c r="Z48" s="723"/>
      <c r="AA48" s="723"/>
      <c r="AB48" s="723"/>
      <c r="AC48" s="723"/>
      <c r="AD48" s="723"/>
      <c r="AE48" s="723"/>
      <c r="AF48" s="723"/>
      <c r="AG48" s="723"/>
      <c r="AH48" s="723"/>
      <c r="AI48" s="723"/>
      <c r="AJ48" s="723"/>
      <c r="AK48" s="724"/>
    </row>
    <row r="49" spans="1:37" s="193" customFormat="1" ht="10.5" customHeight="1">
      <c r="A49" s="188"/>
      <c r="B49" s="201" t="s">
        <v>146</v>
      </c>
      <c r="C49" s="202"/>
      <c r="D49" s="202"/>
      <c r="E49" s="202"/>
      <c r="F49" s="202"/>
      <c r="G49" s="202"/>
      <c r="H49" s="202"/>
      <c r="I49" s="195"/>
      <c r="J49" s="201" t="s">
        <v>147</v>
      </c>
      <c r="K49" s="195"/>
      <c r="L49" s="195"/>
      <c r="P49" s="202"/>
      <c r="Q49" s="194" t="s">
        <v>152</v>
      </c>
      <c r="S49" s="202"/>
      <c r="T49" s="202"/>
      <c r="V49" s="201" t="s">
        <v>153</v>
      </c>
      <c r="W49" s="202"/>
      <c r="X49" s="202"/>
      <c r="Y49" s="202"/>
      <c r="AA49" s="201" t="s">
        <v>154</v>
      </c>
      <c r="AB49" s="202"/>
      <c r="AC49" s="203"/>
      <c r="AD49" s="194" t="s">
        <v>155</v>
      </c>
      <c r="AE49" s="195"/>
      <c r="AF49" s="195"/>
      <c r="AG49" s="203"/>
      <c r="AH49" s="202" t="s">
        <v>156</v>
      </c>
      <c r="AI49" s="202"/>
      <c r="AJ49" s="202"/>
      <c r="AK49" s="203"/>
    </row>
    <row r="50" spans="1:37" s="193" customFormat="1" ht="10.5" customHeight="1">
      <c r="A50" s="188"/>
      <c r="B50" s="539">
        <f>AA_052_DATOS_FIADORES_POBLACIÓN</f>
        <v>0</v>
      </c>
      <c r="C50" s="723"/>
      <c r="D50" s="723"/>
      <c r="E50" s="723"/>
      <c r="F50" s="723"/>
      <c r="G50" s="723"/>
      <c r="H50" s="723"/>
      <c r="I50" s="724"/>
      <c r="J50" s="539">
        <f>AA_053_DATOS_FIADORES_ESTADO</f>
        <v>0</v>
      </c>
      <c r="K50" s="723"/>
      <c r="L50" s="723"/>
      <c r="M50" s="723"/>
      <c r="N50" s="723"/>
      <c r="O50" s="723"/>
      <c r="P50" s="724"/>
      <c r="Q50" s="539">
        <f>AA_054_DATOS_FIADORES_NACIONALIDAD</f>
        <v>0</v>
      </c>
      <c r="R50" s="723"/>
      <c r="S50" s="723"/>
      <c r="T50" s="723"/>
      <c r="U50" s="724"/>
      <c r="V50" s="539">
        <f>AA_055_DATOS_FIADORES_ORIGINARIO</f>
        <v>0</v>
      </c>
      <c r="W50" s="723"/>
      <c r="X50" s="723"/>
      <c r="Y50" s="723"/>
      <c r="Z50" s="724"/>
      <c r="AA50" s="542">
        <f>AA_056_DATOS_FIADORES_EDAD</f>
        <v>0</v>
      </c>
      <c r="AB50" s="543"/>
      <c r="AC50" s="544"/>
      <c r="AD50" s="539">
        <f>AA_057_DATOS_FIADORES_ESTADO_CIVIL</f>
        <v>0</v>
      </c>
      <c r="AE50" s="723"/>
      <c r="AF50" s="723"/>
      <c r="AG50" s="724"/>
      <c r="AH50" s="539">
        <f>AA_058_DATOS_FIADORES_TELEFONO</f>
        <v>0</v>
      </c>
      <c r="AI50" s="540"/>
      <c r="AJ50" s="540"/>
      <c r="AK50" s="541"/>
    </row>
    <row r="51" spans="1:37" s="193" customFormat="1" ht="10.5" customHeight="1">
      <c r="A51" s="188"/>
      <c r="B51" s="201" t="s">
        <v>157</v>
      </c>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202"/>
      <c r="AF51" s="202"/>
      <c r="AG51" s="201" t="s">
        <v>151</v>
      </c>
      <c r="AH51" s="202"/>
      <c r="AI51" s="202"/>
      <c r="AJ51" s="202"/>
      <c r="AK51" s="203"/>
    </row>
    <row r="52" spans="1:37" s="193" customFormat="1" ht="10.5" customHeight="1">
      <c r="A52" s="188"/>
      <c r="B52" s="539">
        <f>AA_059_DATOS_FIADORES_NOMBRE_DEL_FIADOR_SOLIDARIO_TRES</f>
        <v>0</v>
      </c>
      <c r="C52" s="723"/>
      <c r="D52" s="723"/>
      <c r="E52" s="723"/>
      <c r="F52" s="723"/>
      <c r="G52" s="723"/>
      <c r="H52" s="723"/>
      <c r="I52" s="723"/>
      <c r="J52" s="723"/>
      <c r="K52" s="723"/>
      <c r="L52" s="723"/>
      <c r="M52" s="723"/>
      <c r="N52" s="723"/>
      <c r="O52" s="723"/>
      <c r="P52" s="723"/>
      <c r="Q52" s="723"/>
      <c r="R52" s="723"/>
      <c r="S52" s="723"/>
      <c r="T52" s="723"/>
      <c r="U52" s="723"/>
      <c r="V52" s="723"/>
      <c r="W52" s="723"/>
      <c r="X52" s="723"/>
      <c r="Y52" s="723"/>
      <c r="Z52" s="723"/>
      <c r="AA52" s="723"/>
      <c r="AB52" s="723"/>
      <c r="AC52" s="723"/>
      <c r="AD52" s="723"/>
      <c r="AE52" s="723"/>
      <c r="AF52" s="724"/>
      <c r="AG52" s="539">
        <f>AA_060_DATOS_FIADORES_RFC</f>
        <v>0</v>
      </c>
      <c r="AH52" s="723"/>
      <c r="AI52" s="723"/>
      <c r="AJ52" s="723"/>
      <c r="AK52" s="724"/>
    </row>
    <row r="53" spans="1:37" s="193" customFormat="1" ht="10.5" customHeight="1">
      <c r="A53" s="188"/>
      <c r="B53" s="201" t="s">
        <v>143</v>
      </c>
      <c r="C53" s="202"/>
      <c r="D53" s="202"/>
      <c r="E53" s="202" t="s">
        <v>144</v>
      </c>
      <c r="F53" s="202"/>
      <c r="G53" s="202"/>
      <c r="H53" s="202"/>
      <c r="I53" s="202"/>
      <c r="J53" s="202"/>
      <c r="K53" s="202"/>
      <c r="L53" s="202"/>
      <c r="M53" s="202"/>
      <c r="N53" s="202"/>
      <c r="O53" s="202"/>
      <c r="P53" s="202"/>
      <c r="Q53" s="202"/>
      <c r="R53" s="202"/>
      <c r="S53" s="202"/>
      <c r="T53" s="202"/>
      <c r="U53" s="201" t="s">
        <v>145</v>
      </c>
      <c r="V53" s="202"/>
      <c r="W53" s="202"/>
      <c r="X53" s="202"/>
      <c r="Y53" s="202"/>
      <c r="Z53" s="202"/>
      <c r="AA53" s="202"/>
      <c r="AB53" s="202"/>
      <c r="AC53" s="202"/>
      <c r="AD53" s="202"/>
      <c r="AE53" s="202"/>
      <c r="AF53" s="202"/>
      <c r="AG53" s="202"/>
      <c r="AH53" s="202"/>
      <c r="AI53" s="202"/>
      <c r="AJ53" s="202"/>
      <c r="AK53" s="203"/>
    </row>
    <row r="54" spans="1:37" s="193" customFormat="1" ht="10.5" customHeight="1">
      <c r="A54" s="188"/>
      <c r="B54" s="545">
        <f>AA_061_DATOS_FIADORES_DOMICILIO_CALLE_NÚMERO</f>
        <v>0</v>
      </c>
      <c r="C54" s="817"/>
      <c r="D54" s="817"/>
      <c r="E54" s="817"/>
      <c r="F54" s="817"/>
      <c r="G54" s="817"/>
      <c r="H54" s="817"/>
      <c r="I54" s="817"/>
      <c r="J54" s="817"/>
      <c r="K54" s="817"/>
      <c r="L54" s="817"/>
      <c r="M54" s="817"/>
      <c r="N54" s="817"/>
      <c r="O54" s="817"/>
      <c r="P54" s="817"/>
      <c r="Q54" s="817"/>
      <c r="R54" s="817"/>
      <c r="S54" s="817"/>
      <c r="T54" s="818"/>
      <c r="U54" s="545">
        <f>AA_062_DATOS_FIADORES_COLONIA</f>
        <v>0</v>
      </c>
      <c r="V54" s="817"/>
      <c r="W54" s="817"/>
      <c r="X54" s="817"/>
      <c r="Y54" s="817"/>
      <c r="Z54" s="817"/>
      <c r="AA54" s="817"/>
      <c r="AB54" s="817"/>
      <c r="AC54" s="817"/>
      <c r="AD54" s="817"/>
      <c r="AE54" s="817"/>
      <c r="AF54" s="817"/>
      <c r="AG54" s="817"/>
      <c r="AH54" s="817"/>
      <c r="AI54" s="817"/>
      <c r="AJ54" s="817"/>
      <c r="AK54" s="818"/>
    </row>
    <row r="55" spans="1:37" s="193" customFormat="1" ht="10.5" customHeight="1">
      <c r="A55" s="188"/>
      <c r="B55" s="244" t="s">
        <v>146</v>
      </c>
      <c r="C55" s="243"/>
      <c r="D55" s="243"/>
      <c r="E55" s="243"/>
      <c r="F55" s="243"/>
      <c r="G55" s="243"/>
      <c r="H55" s="243"/>
      <c r="I55" s="243"/>
      <c r="J55" s="245" t="s">
        <v>147</v>
      </c>
      <c r="K55" s="243"/>
      <c r="L55" s="243"/>
      <c r="M55" s="246"/>
      <c r="N55" s="246"/>
      <c r="O55" s="246"/>
      <c r="P55" s="243"/>
      <c r="Q55" s="245" t="s">
        <v>152</v>
      </c>
      <c r="R55" s="246"/>
      <c r="S55" s="243"/>
      <c r="T55" s="243"/>
      <c r="U55" s="246"/>
      <c r="V55" s="245" t="s">
        <v>153</v>
      </c>
      <c r="W55" s="243"/>
      <c r="X55" s="243"/>
      <c r="Y55" s="243"/>
      <c r="Z55" s="246"/>
      <c r="AA55" s="245" t="s">
        <v>154</v>
      </c>
      <c r="AB55" s="243"/>
      <c r="AC55" s="247"/>
      <c r="AD55" s="245" t="s">
        <v>155</v>
      </c>
      <c r="AE55" s="243"/>
      <c r="AF55" s="243"/>
      <c r="AG55" s="247"/>
      <c r="AH55" s="243" t="s">
        <v>156</v>
      </c>
      <c r="AI55" s="243"/>
      <c r="AJ55" s="243"/>
      <c r="AK55" s="248"/>
    </row>
    <row r="56" spans="1:37" s="193" customFormat="1" ht="10.5" customHeight="1">
      <c r="A56" s="188"/>
      <c r="B56" s="771">
        <f>AA_063_DATOS_FIADORES_POBLACIÓN</f>
        <v>0</v>
      </c>
      <c r="C56" s="817"/>
      <c r="D56" s="817"/>
      <c r="E56" s="817"/>
      <c r="F56" s="817"/>
      <c r="G56" s="817"/>
      <c r="H56" s="817"/>
      <c r="I56" s="818"/>
      <c r="J56" s="545">
        <f>AA_064_DATOS_FIADORES_ESTADO</f>
        <v>0</v>
      </c>
      <c r="K56" s="817"/>
      <c r="L56" s="817"/>
      <c r="M56" s="817"/>
      <c r="N56" s="817"/>
      <c r="O56" s="817"/>
      <c r="P56" s="818"/>
      <c r="Q56" s="545">
        <f>AA_065_DATOS_FIADORES_NACIONALIDAD</f>
        <v>0</v>
      </c>
      <c r="R56" s="817"/>
      <c r="S56" s="817"/>
      <c r="T56" s="817"/>
      <c r="U56" s="818"/>
      <c r="V56" s="545">
        <f>AA_066_DATOS_FIADORES_ORIGINARIO</f>
        <v>0</v>
      </c>
      <c r="W56" s="817"/>
      <c r="X56" s="817"/>
      <c r="Y56" s="817"/>
      <c r="Z56" s="818"/>
      <c r="AA56" s="857">
        <f>AA_067_DATOS_FIADORES_EDAD</f>
        <v>0</v>
      </c>
      <c r="AB56" s="574"/>
      <c r="AC56" s="775"/>
      <c r="AD56" s="545">
        <f>AA_068_DATOS_FIADORES_ESTADO_CIVIL</f>
        <v>0</v>
      </c>
      <c r="AE56" s="817"/>
      <c r="AF56" s="817"/>
      <c r="AG56" s="818"/>
      <c r="AH56" s="545">
        <f>AA_069_DATOS_FIADORES_TELEFONO</f>
        <v>0</v>
      </c>
      <c r="AI56" s="546"/>
      <c r="AJ56" s="546"/>
      <c r="AK56" s="642"/>
    </row>
    <row r="57" spans="1:37" s="199" customFormat="1" ht="2.25" customHeight="1">
      <c r="B57" s="182"/>
      <c r="C57" s="182"/>
      <c r="D57" s="182"/>
      <c r="E57" s="182"/>
      <c r="F57" s="182"/>
      <c r="G57" s="182"/>
      <c r="H57" s="182"/>
      <c r="I57" s="182"/>
      <c r="J57" s="182"/>
      <c r="K57" s="182"/>
      <c r="L57" s="182"/>
      <c r="M57" s="182"/>
      <c r="N57" s="182"/>
      <c r="O57" s="182"/>
      <c r="P57" s="182"/>
      <c r="Q57" s="182"/>
      <c r="R57" s="182"/>
      <c r="S57" s="182"/>
      <c r="T57" s="182"/>
      <c r="U57" s="182"/>
      <c r="V57" s="182"/>
      <c r="W57" s="182"/>
      <c r="X57" s="182"/>
      <c r="Y57" s="182"/>
      <c r="Z57" s="182"/>
      <c r="AA57" s="182"/>
      <c r="AB57" s="182"/>
      <c r="AC57" s="182"/>
      <c r="AD57" s="182"/>
      <c r="AE57" s="182"/>
      <c r="AF57" s="182"/>
      <c r="AG57" s="182"/>
      <c r="AH57" s="182"/>
      <c r="AI57" s="182"/>
      <c r="AJ57" s="182"/>
      <c r="AK57" s="182"/>
    </row>
    <row r="58" spans="1:37" s="199" customFormat="1" ht="9.6">
      <c r="B58" s="200" t="s">
        <v>161</v>
      </c>
      <c r="C58" s="182"/>
      <c r="D58" s="182"/>
      <c r="E58" s="182"/>
      <c r="F58" s="182"/>
      <c r="G58" s="182"/>
      <c r="H58" s="182"/>
      <c r="I58" s="182"/>
      <c r="J58" s="182"/>
      <c r="K58" s="182"/>
      <c r="L58" s="182"/>
      <c r="M58" s="182"/>
      <c r="N58" s="182"/>
      <c r="O58" s="182"/>
      <c r="P58" s="182"/>
      <c r="Q58" s="182"/>
      <c r="R58" s="182"/>
      <c r="S58" s="182"/>
      <c r="T58" s="182"/>
      <c r="U58" s="182"/>
      <c r="V58" s="182"/>
      <c r="W58" s="182"/>
      <c r="X58" s="182"/>
      <c r="Y58" s="182"/>
      <c r="Z58" s="182"/>
      <c r="AA58" s="182"/>
      <c r="AB58" s="182"/>
      <c r="AC58" s="182"/>
      <c r="AD58" s="182"/>
      <c r="AE58" s="182"/>
      <c r="AF58" s="182"/>
      <c r="AG58" s="182"/>
      <c r="AH58" s="182"/>
      <c r="AI58" s="182"/>
      <c r="AJ58" s="182"/>
      <c r="AK58" s="182"/>
    </row>
    <row r="59" spans="1:37" s="193" customFormat="1" ht="10.5" customHeight="1">
      <c r="A59" s="188"/>
      <c r="B59" s="201" t="str">
        <f>B31</f>
        <v>NOMBRE  (Nombre(s) Apellidos Paterno y Materno)</v>
      </c>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202"/>
      <c r="AF59" s="202"/>
      <c r="AG59" s="202"/>
      <c r="AH59" s="202"/>
      <c r="AI59" s="202"/>
      <c r="AJ59" s="202"/>
      <c r="AK59" s="203"/>
    </row>
    <row r="60" spans="1:37" s="193" customFormat="1" ht="10.5" customHeight="1">
      <c r="A60" s="188"/>
      <c r="B60" s="539">
        <f>AA_070_DATOS_APODERADOS_FIADOR_NOMBRE_APODERADO_DEL_FIADOR_SOLIDARIO_UNO</f>
        <v>0</v>
      </c>
      <c r="C60" s="723"/>
      <c r="D60" s="723"/>
      <c r="E60" s="723"/>
      <c r="F60" s="723"/>
      <c r="G60" s="723"/>
      <c r="H60" s="723"/>
      <c r="I60" s="723"/>
      <c r="J60" s="723"/>
      <c r="K60" s="723"/>
      <c r="L60" s="723"/>
      <c r="M60" s="723"/>
      <c r="N60" s="723"/>
      <c r="O60" s="723"/>
      <c r="P60" s="723"/>
      <c r="Q60" s="723"/>
      <c r="R60" s="723"/>
      <c r="S60" s="723"/>
      <c r="T60" s="723"/>
      <c r="U60" s="723"/>
      <c r="V60" s="723"/>
      <c r="W60" s="723"/>
      <c r="X60" s="723"/>
      <c r="Y60" s="723"/>
      <c r="Z60" s="723"/>
      <c r="AA60" s="723"/>
      <c r="AB60" s="723"/>
      <c r="AC60" s="723"/>
      <c r="AD60" s="723"/>
      <c r="AE60" s="723"/>
      <c r="AF60" s="723"/>
      <c r="AG60" s="723"/>
      <c r="AH60" s="723"/>
      <c r="AI60" s="723"/>
      <c r="AJ60" s="723"/>
      <c r="AK60" s="724"/>
    </row>
    <row r="61" spans="1:37" s="193" customFormat="1" ht="10.5" customHeight="1">
      <c r="A61" s="188"/>
      <c r="B61" s="201" t="str">
        <f>B33</f>
        <v>NOMBRE  (Nombre(s) Apellidos Paterno y Materno)</v>
      </c>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3"/>
    </row>
    <row r="62" spans="1:37" s="193" customFormat="1" ht="10.5" customHeight="1">
      <c r="A62" s="188"/>
      <c r="B62" s="539">
        <f>AA_071_DATOS_APODERADOS_FIADOR_NOMBRE_APODERADO_DEL_FIADOR_SOLIDARIO_DOS</f>
        <v>0</v>
      </c>
      <c r="C62" s="723"/>
      <c r="D62" s="723"/>
      <c r="E62" s="723"/>
      <c r="F62" s="723"/>
      <c r="G62" s="723"/>
      <c r="H62" s="723"/>
      <c r="I62" s="723"/>
      <c r="J62" s="723"/>
      <c r="K62" s="723"/>
      <c r="L62" s="723"/>
      <c r="M62" s="723"/>
      <c r="N62" s="723"/>
      <c r="O62" s="723"/>
      <c r="P62" s="723"/>
      <c r="Q62" s="723"/>
      <c r="R62" s="723"/>
      <c r="S62" s="723"/>
      <c r="T62" s="723"/>
      <c r="U62" s="723"/>
      <c r="V62" s="723"/>
      <c r="W62" s="723"/>
      <c r="X62" s="723"/>
      <c r="Y62" s="723"/>
      <c r="Z62" s="723"/>
      <c r="AA62" s="723"/>
      <c r="AB62" s="723"/>
      <c r="AC62" s="723"/>
      <c r="AD62" s="723"/>
      <c r="AE62" s="723"/>
      <c r="AF62" s="723"/>
      <c r="AG62" s="723"/>
      <c r="AH62" s="723"/>
      <c r="AI62" s="723"/>
      <c r="AJ62" s="723"/>
      <c r="AK62" s="724"/>
    </row>
    <row r="63" spans="1:37" s="193" customFormat="1" ht="10.5" customHeight="1">
      <c r="A63" s="188"/>
      <c r="B63" s="201" t="str">
        <f>B59</f>
        <v>NOMBRE  (Nombre(s) Apellidos Paterno y Materno)</v>
      </c>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3"/>
    </row>
    <row r="64" spans="1:37" s="193" customFormat="1" ht="10.5" customHeight="1">
      <c r="A64" s="188"/>
      <c r="B64" s="539">
        <f>AA_072_DATOS_APODERADOS_FIADOR_NOMBRE_APODERADO_DEL_FIADOR_SOLIDARIO_TRES</f>
        <v>0</v>
      </c>
      <c r="C64" s="723"/>
      <c r="D64" s="723"/>
      <c r="E64" s="723"/>
      <c r="F64" s="723"/>
      <c r="G64" s="723"/>
      <c r="H64" s="723"/>
      <c r="I64" s="723"/>
      <c r="J64" s="723"/>
      <c r="K64" s="723"/>
      <c r="L64" s="723"/>
      <c r="M64" s="723"/>
      <c r="N64" s="723"/>
      <c r="O64" s="723"/>
      <c r="P64" s="723"/>
      <c r="Q64" s="723"/>
      <c r="R64" s="723"/>
      <c r="S64" s="723"/>
      <c r="T64" s="723"/>
      <c r="U64" s="723"/>
      <c r="V64" s="723"/>
      <c r="W64" s="723"/>
      <c r="X64" s="723"/>
      <c r="Y64" s="723"/>
      <c r="Z64" s="723"/>
      <c r="AA64" s="723"/>
      <c r="AB64" s="723"/>
      <c r="AC64" s="723"/>
      <c r="AD64" s="723"/>
      <c r="AE64" s="723"/>
      <c r="AF64" s="723"/>
      <c r="AG64" s="723"/>
      <c r="AH64" s="723"/>
      <c r="AI64" s="723"/>
      <c r="AJ64" s="723"/>
      <c r="AK64" s="724"/>
    </row>
    <row r="65" spans="2:38" s="199" customFormat="1" ht="2.25" customHeight="1">
      <c r="B65" s="182"/>
      <c r="C65" s="182"/>
      <c r="D65" s="182"/>
      <c r="E65" s="182"/>
      <c r="F65" s="182"/>
      <c r="G65" s="182"/>
      <c r="H65" s="182"/>
      <c r="I65" s="182"/>
      <c r="J65" s="182"/>
      <c r="K65" s="182"/>
      <c r="L65" s="182"/>
      <c r="M65" s="182"/>
      <c r="N65" s="182"/>
      <c r="O65" s="182"/>
      <c r="P65" s="182"/>
      <c r="Q65" s="182"/>
      <c r="R65" s="182"/>
      <c r="S65" s="182"/>
      <c r="T65" s="182"/>
      <c r="U65" s="182"/>
      <c r="V65" s="182"/>
      <c r="W65" s="182"/>
      <c r="X65" s="182"/>
      <c r="Y65" s="182"/>
      <c r="Z65" s="182"/>
      <c r="AA65" s="182"/>
      <c r="AB65" s="182"/>
      <c r="AC65" s="182"/>
      <c r="AD65" s="182"/>
      <c r="AE65" s="182"/>
      <c r="AF65" s="182"/>
      <c r="AG65" s="182"/>
      <c r="AH65" s="182"/>
      <c r="AI65" s="182"/>
      <c r="AJ65" s="182"/>
      <c r="AK65" s="182"/>
    </row>
    <row r="66" spans="2:38" s="199" customFormat="1" ht="9.6">
      <c r="B66" s="200" t="s">
        <v>162</v>
      </c>
      <c r="C66" s="182"/>
      <c r="D66" s="182"/>
      <c r="E66" s="182"/>
      <c r="F66" s="182"/>
      <c r="G66" s="182"/>
      <c r="H66" s="182"/>
      <c r="I66" s="182"/>
      <c r="J66" s="182"/>
      <c r="K66" s="182"/>
      <c r="L66" s="182"/>
      <c r="M66" s="182"/>
      <c r="N66" s="182"/>
      <c r="O66" s="182"/>
      <c r="P66" s="182"/>
      <c r="Q66" s="182"/>
      <c r="R66" s="182"/>
      <c r="S66" s="182"/>
      <c r="T66" s="182"/>
      <c r="U66" s="182"/>
      <c r="V66" s="182"/>
      <c r="W66" s="182"/>
      <c r="X66" s="182"/>
      <c r="Y66" s="182"/>
      <c r="Z66" s="182"/>
      <c r="AA66" s="182"/>
      <c r="AB66" s="182"/>
      <c r="AC66" s="182"/>
      <c r="AD66" s="182"/>
      <c r="AE66" s="182"/>
      <c r="AF66" s="182"/>
      <c r="AG66" s="182"/>
      <c r="AH66" s="182"/>
      <c r="AI66" s="182"/>
      <c r="AJ66" s="182"/>
      <c r="AK66" s="182"/>
    </row>
    <row r="67" spans="2:38" s="193" customFormat="1" ht="10.5" customHeight="1">
      <c r="B67" s="201" t="s">
        <v>163</v>
      </c>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202"/>
      <c r="AF67" s="202"/>
      <c r="AG67" s="202"/>
      <c r="AH67" s="202"/>
      <c r="AI67" s="202"/>
      <c r="AJ67" s="202"/>
      <c r="AK67" s="214"/>
    </row>
    <row r="68" spans="2:38" s="216" customFormat="1" ht="10.5" customHeight="1">
      <c r="B68" s="679">
        <f>AA_073_CARACTERISTICAS_CREDITO_IMPORTE_NÚMERO_LETRA</f>
        <v>1000000</v>
      </c>
      <c r="C68" s="680"/>
      <c r="D68" s="680"/>
      <c r="E68" s="680"/>
      <c r="F68" s="680"/>
      <c r="G68" s="680"/>
      <c r="H68" s="680"/>
      <c r="I68" s="680"/>
      <c r="J68" s="680"/>
      <c r="K68" s="680"/>
      <c r="L68" s="680"/>
      <c r="M68" s="681" t="str">
        <f>AA_106_CARACTERISTICAS_CREDITO_IMPORTE_NÚMERO_LETRA</f>
        <v>(UN MILLON DE PESOS 00/100 M.N.)</v>
      </c>
      <c r="N68" s="681"/>
      <c r="O68" s="681"/>
      <c r="P68" s="681"/>
      <c r="Q68" s="681"/>
      <c r="R68" s="681"/>
      <c r="S68" s="681"/>
      <c r="T68" s="681"/>
      <c r="U68" s="681"/>
      <c r="V68" s="681"/>
      <c r="W68" s="681"/>
      <c r="X68" s="681"/>
      <c r="Y68" s="681"/>
      <c r="Z68" s="681"/>
      <c r="AA68" s="681"/>
      <c r="AB68" s="681"/>
      <c r="AC68" s="681"/>
      <c r="AD68" s="681"/>
      <c r="AE68" s="681"/>
      <c r="AF68" s="681"/>
      <c r="AG68" s="681"/>
      <c r="AH68" s="681"/>
      <c r="AI68" s="681"/>
      <c r="AJ68" s="681"/>
      <c r="AK68" s="682"/>
    </row>
    <row r="69" spans="2:38" s="193" customFormat="1" ht="10.5" customHeight="1">
      <c r="B69" s="755" t="s">
        <v>164</v>
      </c>
      <c r="C69" s="687"/>
      <c r="D69" s="687"/>
      <c r="E69" s="687"/>
      <c r="F69" s="688"/>
      <c r="G69" s="755" t="s">
        <v>165</v>
      </c>
      <c r="H69" s="687"/>
      <c r="I69" s="687"/>
      <c r="J69" s="687"/>
      <c r="K69" s="687"/>
      <c r="L69" s="688"/>
      <c r="M69" s="756" t="s">
        <v>166</v>
      </c>
      <c r="N69" s="757"/>
      <c r="O69" s="757"/>
      <c r="P69" s="757"/>
      <c r="Q69" s="758"/>
      <c r="R69" s="755" t="s">
        <v>288</v>
      </c>
      <c r="S69" s="687"/>
      <c r="T69" s="687"/>
      <c r="U69" s="687"/>
      <c r="V69" s="683" t="s">
        <v>289</v>
      </c>
      <c r="W69" s="684"/>
      <c r="X69" s="684"/>
      <c r="Y69" s="685"/>
      <c r="Z69" s="683" t="s">
        <v>290</v>
      </c>
      <c r="AA69" s="684"/>
      <c r="AB69" s="684"/>
      <c r="AC69" s="684"/>
      <c r="AD69" s="685"/>
      <c r="AE69" s="686" t="s">
        <v>291</v>
      </c>
      <c r="AF69" s="687"/>
      <c r="AG69" s="687"/>
      <c r="AH69" s="688"/>
      <c r="AI69" s="755" t="s">
        <v>168</v>
      </c>
      <c r="AJ69" s="687"/>
      <c r="AK69" s="688"/>
    </row>
    <row r="70" spans="2:38" s="193" customFormat="1" ht="10.5" customHeight="1">
      <c r="B70" s="217"/>
      <c r="C70" s="195"/>
      <c r="D70" s="195"/>
      <c r="E70" s="195"/>
      <c r="F70" s="195"/>
      <c r="G70" s="748" t="s">
        <v>169</v>
      </c>
      <c r="H70" s="749"/>
      <c r="I70" s="749"/>
      <c r="J70" s="749"/>
      <c r="K70" s="749"/>
      <c r="L70" s="750"/>
      <c r="M70" s="215"/>
      <c r="N70" s="215"/>
      <c r="O70" s="215"/>
      <c r="P70" s="215"/>
      <c r="Q70" s="215"/>
      <c r="R70" s="748" t="s">
        <v>292</v>
      </c>
      <c r="S70" s="749"/>
      <c r="T70" s="749"/>
      <c r="U70" s="875"/>
      <c r="V70" s="754" t="s">
        <v>293</v>
      </c>
      <c r="W70" s="749"/>
      <c r="X70" s="749"/>
      <c r="Y70" s="875"/>
      <c r="Z70" s="754" t="s">
        <v>294</v>
      </c>
      <c r="AA70" s="749"/>
      <c r="AB70" s="749"/>
      <c r="AC70" s="749"/>
      <c r="AD70" s="875"/>
      <c r="AE70" s="754" t="s">
        <v>295</v>
      </c>
      <c r="AF70" s="749"/>
      <c r="AG70" s="749"/>
      <c r="AH70" s="750"/>
      <c r="AI70" s="250"/>
      <c r="AK70" s="251"/>
    </row>
    <row r="71" spans="2:38" s="193" customFormat="1" ht="10.5" customHeight="1">
      <c r="B71" s="740">
        <f>AA_074_CARACTERISTICAS_CREDITO_PLAZO_DEL_CRÉDITO_MESES</f>
        <v>60</v>
      </c>
      <c r="C71" s="1075"/>
      <c r="D71" s="1075"/>
      <c r="E71" s="252" t="s">
        <v>170</v>
      </c>
      <c r="F71" s="212"/>
      <c r="G71" s="1076">
        <f>AA_075_CARACTERISTICAS_CREDITO_FECHA_DE_VENCIMIENTO</f>
        <v>42614</v>
      </c>
      <c r="H71" s="627"/>
      <c r="I71" s="627"/>
      <c r="J71" s="627"/>
      <c r="K71" s="627"/>
      <c r="L71" s="641"/>
      <c r="M71" s="1069" t="str">
        <f>AA_076_CARACTERISTICAS_CREDITO_CUENTA_DE_CHEQUES</f>
        <v>161-25351-5</v>
      </c>
      <c r="N71" s="673"/>
      <c r="O71" s="673"/>
      <c r="P71" s="673"/>
      <c r="Q71" s="1070"/>
      <c r="R71" s="1065">
        <f>IF(AA_077_CARACTERISTICAS_CREDITO_COMISIÓN_POR_APERTURA=0,"0",AA_077_CARACTERISTICAS_CREDITO_COMISIÓN_POR_APERTURA)</f>
        <v>0.02</v>
      </c>
      <c r="S71" s="653"/>
      <c r="T71" s="653"/>
      <c r="U71" s="654"/>
      <c r="V71" s="1077" t="str">
        <f>IF(Combos!$C$22=1,"",IF(AA_080_CARACTERISTICAS_CREDITO_DIFERENCIAL_TASA_VARIABLE_TIIE=0,"0",AA_080_CARACTERISTICAS_CREDITO_DIFERENCIAL_TASA_VARIABLE_TIIE))</f>
        <v/>
      </c>
      <c r="W71" s="1078"/>
      <c r="X71" s="1078"/>
      <c r="Y71" s="1079"/>
      <c r="Z71" s="856" t="s">
        <v>296</v>
      </c>
      <c r="AA71" s="854"/>
      <c r="AB71" s="854"/>
      <c r="AC71" s="854"/>
      <c r="AD71" s="855"/>
      <c r="AE71" s="1072">
        <f>IF(AA_084_CARACTERISTICAS_CREDITO_PORCENTAJE_DE_COMISIÓN_POR_PAGOS_ANTICIPADOS=0,"0.00%",AA_084_CARACTERISTICAS_CREDITO_PORCENTAJE_DE_COMISIÓN_POR_PAGOS_ANTICIPADOS)</f>
        <v>0.1</v>
      </c>
      <c r="AF71" s="1073"/>
      <c r="AG71" s="1073"/>
      <c r="AH71" s="1074"/>
      <c r="AI71" s="486">
        <f>AA_078_CARACTERISTICAS_CREDITO_CAT_SIN_IVA</f>
        <v>0.17247098775006298</v>
      </c>
      <c r="AJ71" s="1066" t="s">
        <v>96</v>
      </c>
      <c r="AK71" s="1067"/>
    </row>
    <row r="72" spans="2:38" s="199" customFormat="1" ht="2.25" customHeight="1">
      <c r="B72" s="182"/>
      <c r="C72" s="182"/>
      <c r="D72" s="182"/>
      <c r="E72" s="182"/>
      <c r="F72" s="182"/>
      <c r="G72" s="182"/>
      <c r="H72" s="182"/>
      <c r="I72" s="182"/>
      <c r="J72" s="182"/>
      <c r="K72" s="182"/>
      <c r="L72" s="182"/>
      <c r="M72" s="182"/>
      <c r="N72" s="182"/>
      <c r="O72" s="182"/>
      <c r="P72" s="182"/>
      <c r="Q72" s="182"/>
      <c r="R72" s="182"/>
      <c r="S72" s="182"/>
      <c r="T72" s="182"/>
      <c r="U72" s="182"/>
      <c r="V72" s="182"/>
      <c r="W72" s="182"/>
      <c r="X72" s="182"/>
      <c r="Y72" s="182"/>
      <c r="Z72" s="182"/>
      <c r="AA72" s="182"/>
      <c r="AB72" s="182"/>
      <c r="AI72" s="182"/>
      <c r="AJ72" s="182"/>
      <c r="AK72" s="182"/>
    </row>
    <row r="73" spans="2:38" s="199" customFormat="1" ht="9.6">
      <c r="B73" s="200" t="s">
        <v>177</v>
      </c>
      <c r="C73" s="182"/>
      <c r="D73" s="182"/>
      <c r="E73" s="182"/>
      <c r="F73" s="182"/>
      <c r="G73" s="182"/>
      <c r="H73" s="182"/>
      <c r="I73" s="182"/>
      <c r="J73" s="182"/>
      <c r="K73" s="182"/>
      <c r="L73" s="182"/>
      <c r="M73" s="182"/>
      <c r="N73" s="182"/>
      <c r="O73" s="182"/>
      <c r="P73" s="182"/>
      <c r="Q73" s="182"/>
      <c r="R73" s="182"/>
      <c r="S73" s="182"/>
      <c r="T73" s="182"/>
      <c r="U73" s="182"/>
      <c r="V73" s="182"/>
      <c r="W73" s="182"/>
      <c r="X73" s="182"/>
      <c r="Y73" s="182"/>
      <c r="Z73" s="182"/>
      <c r="AA73" s="182"/>
      <c r="AB73" s="182"/>
      <c r="AC73" s="182"/>
      <c r="AD73" s="182"/>
      <c r="AE73" s="182"/>
      <c r="AF73" s="182"/>
      <c r="AG73" s="182"/>
      <c r="AH73" s="182"/>
      <c r="AI73" s="182"/>
      <c r="AJ73" s="182"/>
      <c r="AK73" s="182"/>
    </row>
    <row r="74" spans="2:38" s="199" customFormat="1" ht="15.75" customHeight="1">
      <c r="B74" s="674" t="s">
        <v>297</v>
      </c>
      <c r="C74" s="675"/>
      <c r="D74" s="675"/>
      <c r="E74" s="675"/>
      <c r="F74" s="675"/>
      <c r="G74" s="675"/>
      <c r="H74" s="675"/>
      <c r="I74" s="675"/>
      <c r="J74" s="675"/>
      <c r="K74" s="675"/>
      <c r="L74" s="675"/>
      <c r="M74" s="675"/>
      <c r="N74" s="675"/>
      <c r="O74" s="675"/>
      <c r="P74" s="675"/>
      <c r="Q74" s="675"/>
      <c r="R74" s="675"/>
      <c r="S74" s="675"/>
      <c r="T74" s="675"/>
      <c r="U74" s="675"/>
      <c r="V74" s="675"/>
      <c r="W74" s="675"/>
      <c r="X74" s="675"/>
      <c r="Y74" s="675"/>
      <c r="Z74" s="675"/>
      <c r="AA74" s="675"/>
      <c r="AB74" s="675"/>
      <c r="AC74" s="675"/>
      <c r="AD74" s="675"/>
      <c r="AE74" s="675"/>
      <c r="AF74" s="675"/>
      <c r="AG74" s="675"/>
      <c r="AH74" s="675"/>
      <c r="AI74" s="675"/>
      <c r="AJ74" s="675"/>
      <c r="AK74" s="675"/>
    </row>
    <row r="75" spans="2:38" s="199" customFormat="1" ht="9.6">
      <c r="B75" s="675"/>
      <c r="C75" s="675"/>
      <c r="D75" s="675"/>
      <c r="E75" s="675"/>
      <c r="F75" s="675"/>
      <c r="G75" s="675"/>
      <c r="H75" s="675"/>
      <c r="I75" s="675"/>
      <c r="J75" s="675"/>
      <c r="K75" s="675"/>
      <c r="L75" s="675"/>
      <c r="M75" s="675"/>
      <c r="N75" s="675"/>
      <c r="O75" s="675"/>
      <c r="P75" s="675"/>
      <c r="Q75" s="675"/>
      <c r="R75" s="675"/>
      <c r="S75" s="675"/>
      <c r="T75" s="675"/>
      <c r="U75" s="675"/>
      <c r="V75" s="675"/>
      <c r="W75" s="675"/>
      <c r="X75" s="675"/>
      <c r="Y75" s="675"/>
      <c r="Z75" s="675"/>
      <c r="AA75" s="675"/>
      <c r="AB75" s="675"/>
      <c r="AC75" s="675"/>
      <c r="AD75" s="675"/>
      <c r="AE75" s="675"/>
      <c r="AF75" s="675"/>
      <c r="AG75" s="675"/>
      <c r="AH75" s="675"/>
      <c r="AI75" s="675"/>
      <c r="AJ75" s="675"/>
      <c r="AK75" s="675"/>
    </row>
    <row r="76" spans="2:38" s="193" customFormat="1" ht="10.5" customHeight="1">
      <c r="B76" s="718" t="s">
        <v>179</v>
      </c>
      <c r="C76" s="719"/>
      <c r="D76" s="719"/>
      <c r="E76" s="719"/>
      <c r="F76" s="719"/>
      <c r="G76" s="719"/>
      <c r="H76" s="719"/>
      <c r="I76" s="719"/>
      <c r="J76" s="719"/>
      <c r="K76" s="719"/>
      <c r="L76" s="719"/>
      <c r="M76" s="719"/>
      <c r="N76" s="719"/>
      <c r="O76" s="719"/>
      <c r="P76" s="719"/>
      <c r="Q76" s="720" t="s">
        <v>180</v>
      </c>
      <c r="R76" s="721"/>
      <c r="S76" s="721"/>
      <c r="T76" s="721"/>
      <c r="U76" s="721"/>
      <c r="V76" s="722"/>
      <c r="W76" s="720" t="s">
        <v>180</v>
      </c>
      <c r="X76" s="721"/>
      <c r="Y76" s="721"/>
      <c r="Z76" s="721"/>
      <c r="AA76" s="721"/>
      <c r="AB76" s="722"/>
      <c r="AC76" s="720" t="s">
        <v>181</v>
      </c>
      <c r="AD76" s="721"/>
      <c r="AE76" s="722"/>
      <c r="AF76" s="720" t="s">
        <v>181</v>
      </c>
      <c r="AG76" s="721"/>
      <c r="AH76" s="722"/>
      <c r="AI76" s="721" t="s">
        <v>181</v>
      </c>
      <c r="AJ76" s="721"/>
      <c r="AK76" s="722"/>
      <c r="AL76" s="215"/>
    </row>
    <row r="77" spans="2:38" s="193" customFormat="1" ht="12.75" customHeight="1">
      <c r="B77" s="571">
        <f>AA_089_DATOS_APODERADOS_BANCO_NOMBRE_APODERADO_DEL_BANCO_UNO</f>
        <v>0</v>
      </c>
      <c r="C77" s="572"/>
      <c r="D77" s="572"/>
      <c r="E77" s="572"/>
      <c r="F77" s="572"/>
      <c r="G77" s="572"/>
      <c r="H77" s="572"/>
      <c r="I77" s="572"/>
      <c r="J77" s="572"/>
      <c r="K77" s="572"/>
      <c r="L77" s="572"/>
      <c r="M77" s="572"/>
      <c r="N77" s="572"/>
      <c r="O77" s="572"/>
      <c r="P77" s="676"/>
      <c r="Q77" s="253"/>
      <c r="R77" s="188"/>
      <c r="S77" s="188"/>
      <c r="T77" s="188"/>
      <c r="U77" s="188"/>
      <c r="V77" s="254"/>
      <c r="W77" s="253"/>
      <c r="X77" s="188"/>
      <c r="Y77" s="188"/>
      <c r="Z77" s="188"/>
      <c r="AA77" s="188"/>
      <c r="AB77" s="254"/>
      <c r="AC77" s="253"/>
      <c r="AD77" s="188"/>
      <c r="AE77" s="254"/>
      <c r="AF77" s="253"/>
      <c r="AG77" s="188"/>
      <c r="AH77" s="254"/>
      <c r="AI77" s="188"/>
      <c r="AJ77" s="188"/>
      <c r="AK77" s="254"/>
      <c r="AL77" s="218"/>
    </row>
    <row r="78" spans="2:38" s="193" customFormat="1" ht="12.75" customHeight="1">
      <c r="B78" s="573"/>
      <c r="C78" s="574"/>
      <c r="D78" s="574"/>
      <c r="E78" s="574"/>
      <c r="F78" s="574"/>
      <c r="G78" s="574"/>
      <c r="H78" s="574"/>
      <c r="I78" s="574"/>
      <c r="J78" s="574"/>
      <c r="K78" s="574"/>
      <c r="L78" s="574"/>
      <c r="M78" s="574"/>
      <c r="N78" s="574"/>
      <c r="O78" s="574"/>
      <c r="P78" s="851"/>
      <c r="Q78" s="253"/>
      <c r="R78" s="188"/>
      <c r="S78" s="188"/>
      <c r="T78" s="188"/>
      <c r="U78" s="188"/>
      <c r="V78" s="254"/>
      <c r="W78" s="253"/>
      <c r="X78" s="188"/>
      <c r="Y78" s="188"/>
      <c r="Z78" s="188"/>
      <c r="AA78" s="188"/>
      <c r="AB78" s="254"/>
      <c r="AC78" s="253"/>
      <c r="AD78" s="188"/>
      <c r="AE78" s="254"/>
      <c r="AF78" s="253"/>
      <c r="AG78" s="188"/>
      <c r="AH78" s="254"/>
      <c r="AI78" s="188"/>
      <c r="AJ78" s="188"/>
      <c r="AK78" s="254"/>
      <c r="AL78" s="218"/>
    </row>
    <row r="79" spans="2:38" s="193" customFormat="1" ht="12.75" customHeight="1">
      <c r="B79" s="571">
        <f>AA_090_DATOS_APODERADOS_BANCO_NOMBRE_APODERADO_DEL_BANCO_DOS</f>
        <v>0</v>
      </c>
      <c r="C79" s="572"/>
      <c r="D79" s="572"/>
      <c r="E79" s="572"/>
      <c r="F79" s="572"/>
      <c r="G79" s="572"/>
      <c r="H79" s="572"/>
      <c r="I79" s="572"/>
      <c r="J79" s="572"/>
      <c r="K79" s="572"/>
      <c r="L79" s="572"/>
      <c r="M79" s="572"/>
      <c r="N79" s="572"/>
      <c r="O79" s="572"/>
      <c r="P79" s="676"/>
      <c r="Q79" s="253"/>
      <c r="R79" s="188"/>
      <c r="S79" s="188"/>
      <c r="T79" s="188"/>
      <c r="U79" s="188"/>
      <c r="V79" s="254"/>
      <c r="W79" s="253"/>
      <c r="X79" s="188"/>
      <c r="Y79" s="188"/>
      <c r="Z79" s="188"/>
      <c r="AA79" s="188"/>
      <c r="AB79" s="254"/>
      <c r="AC79" s="253"/>
      <c r="AD79" s="188"/>
      <c r="AE79" s="254"/>
      <c r="AF79" s="253"/>
      <c r="AG79" s="188"/>
      <c r="AH79" s="254"/>
      <c r="AI79" s="188"/>
      <c r="AJ79" s="188"/>
      <c r="AK79" s="254"/>
      <c r="AL79" s="218"/>
    </row>
    <row r="80" spans="2:38" s="193" customFormat="1" ht="12.75" customHeight="1">
      <c r="B80" s="573"/>
      <c r="C80" s="574"/>
      <c r="D80" s="574"/>
      <c r="E80" s="574"/>
      <c r="F80" s="574"/>
      <c r="G80" s="574"/>
      <c r="H80" s="574"/>
      <c r="I80" s="574"/>
      <c r="J80" s="574"/>
      <c r="K80" s="574"/>
      <c r="L80" s="574"/>
      <c r="M80" s="574"/>
      <c r="N80" s="574"/>
      <c r="O80" s="574"/>
      <c r="P80" s="851"/>
      <c r="Q80" s="255"/>
      <c r="R80" s="205"/>
      <c r="S80" s="205"/>
      <c r="T80" s="205"/>
      <c r="U80" s="205"/>
      <c r="V80" s="221"/>
      <c r="W80" s="255"/>
      <c r="X80" s="205"/>
      <c r="Y80" s="205"/>
      <c r="Z80" s="205"/>
      <c r="AA80" s="205"/>
      <c r="AB80" s="221"/>
      <c r="AC80" s="255"/>
      <c r="AD80" s="205"/>
      <c r="AE80" s="221"/>
      <c r="AF80" s="255"/>
      <c r="AG80" s="205"/>
      <c r="AH80" s="221"/>
      <c r="AI80" s="205"/>
      <c r="AJ80" s="205"/>
      <c r="AK80" s="221"/>
      <c r="AL80" s="224"/>
    </row>
    <row r="81" spans="2:37" s="187" customFormat="1" ht="7.8">
      <c r="B81" s="256"/>
      <c r="C81" s="256"/>
      <c r="D81" s="256"/>
      <c r="E81" s="256"/>
      <c r="F81" s="256"/>
      <c r="G81" s="256"/>
      <c r="H81" s="256"/>
      <c r="I81" s="256"/>
      <c r="J81" s="256"/>
      <c r="K81" s="256"/>
      <c r="L81" s="256"/>
      <c r="M81" s="256"/>
      <c r="N81" s="256"/>
      <c r="O81" s="256"/>
      <c r="P81" s="256"/>
      <c r="Q81" s="256"/>
      <c r="R81" s="256"/>
      <c r="S81" s="256"/>
      <c r="T81" s="256"/>
      <c r="U81" s="256"/>
      <c r="V81" s="256"/>
      <c r="W81" s="256"/>
      <c r="X81" s="256"/>
      <c r="Y81" s="256"/>
      <c r="Z81" s="256"/>
      <c r="AA81" s="256"/>
      <c r="AB81" s="256"/>
      <c r="AC81" s="256"/>
      <c r="AD81" s="256"/>
      <c r="AE81" s="256"/>
      <c r="AF81" s="256"/>
      <c r="AG81" s="256"/>
      <c r="AH81" s="256"/>
      <c r="AI81" s="256"/>
      <c r="AJ81" s="256"/>
      <c r="AK81" s="256"/>
    </row>
    <row r="82" spans="2:37" s="187" customFormat="1" ht="7.8">
      <c r="B82" s="228"/>
      <c r="C82" s="228"/>
      <c r="D82" s="228"/>
      <c r="E82" s="228"/>
      <c r="F82" s="228"/>
      <c r="G82" s="228"/>
      <c r="H82" s="228"/>
      <c r="I82" s="228"/>
      <c r="J82" s="228"/>
      <c r="K82" s="228"/>
      <c r="L82" s="228"/>
      <c r="M82" s="228"/>
      <c r="N82" s="228"/>
      <c r="O82" s="228"/>
      <c r="P82" s="228"/>
      <c r="Q82" s="228"/>
      <c r="R82" s="228"/>
      <c r="S82" s="228"/>
      <c r="T82" s="228"/>
      <c r="U82" s="228"/>
      <c r="V82" s="228"/>
      <c r="W82" s="228"/>
      <c r="X82" s="228"/>
      <c r="Y82" s="228"/>
      <c r="Z82" s="228"/>
      <c r="AA82" s="228"/>
      <c r="AB82" s="228"/>
      <c r="AC82" s="228"/>
      <c r="AD82" s="228"/>
      <c r="AE82" s="228"/>
      <c r="AF82" s="228"/>
      <c r="AG82" s="228"/>
      <c r="AH82" s="228"/>
      <c r="AI82" s="228"/>
      <c r="AJ82" s="228"/>
      <c r="AK82" s="228"/>
    </row>
    <row r="83" spans="2:37" s="187" customFormat="1" ht="2.25" customHeight="1">
      <c r="B83" s="228"/>
      <c r="C83" s="228"/>
      <c r="D83" s="228"/>
      <c r="E83" s="228"/>
      <c r="F83" s="228"/>
      <c r="G83" s="228"/>
      <c r="H83" s="228"/>
      <c r="I83" s="228"/>
      <c r="J83" s="228"/>
      <c r="K83" s="228"/>
      <c r="L83" s="228"/>
      <c r="M83" s="228"/>
      <c r="N83" s="228"/>
      <c r="O83" s="228"/>
      <c r="P83" s="228"/>
      <c r="Q83" s="228"/>
      <c r="R83" s="228"/>
      <c r="S83" s="228"/>
      <c r="T83" s="228"/>
      <c r="U83" s="228"/>
      <c r="V83" s="228"/>
      <c r="W83" s="228"/>
      <c r="X83" s="228"/>
      <c r="Y83" s="228"/>
      <c r="Z83" s="228"/>
      <c r="AA83" s="228"/>
      <c r="AB83" s="228"/>
      <c r="AC83" s="228"/>
      <c r="AD83" s="228"/>
      <c r="AE83" s="228"/>
      <c r="AF83" s="228"/>
      <c r="AG83" s="228"/>
      <c r="AH83" s="228"/>
      <c r="AI83" s="228"/>
      <c r="AJ83" s="228"/>
      <c r="AK83" s="228"/>
    </row>
    <row r="84" spans="2:37" s="187" customFormat="1" ht="10.199999999999999">
      <c r="B84" s="229" t="s">
        <v>182</v>
      </c>
      <c r="C84" s="228"/>
      <c r="D84" s="228"/>
      <c r="E84" s="228"/>
      <c r="F84" s="228"/>
      <c r="G84" s="228"/>
      <c r="H84" s="228"/>
      <c r="I84" s="228"/>
      <c r="J84" s="228"/>
      <c r="K84" s="228"/>
      <c r="L84" s="228"/>
      <c r="M84" s="228"/>
      <c r="N84" s="228"/>
      <c r="O84" s="228"/>
      <c r="P84" s="228"/>
      <c r="Q84" s="228"/>
      <c r="R84" s="228"/>
      <c r="S84" s="228"/>
      <c r="T84" s="228"/>
      <c r="U84" s="228"/>
      <c r="V84" s="228"/>
      <c r="W84" s="228"/>
      <c r="X84" s="228"/>
      <c r="Y84" s="228"/>
      <c r="Z84" s="228"/>
      <c r="AA84" s="228"/>
      <c r="AB84" s="228"/>
      <c r="AC84" s="228"/>
      <c r="AD84" s="228"/>
      <c r="AE84" s="228"/>
      <c r="AF84" s="228"/>
      <c r="AG84" s="228" t="s">
        <v>183</v>
      </c>
      <c r="AI84" s="228"/>
      <c r="AJ84" s="228"/>
      <c r="AK84" s="228"/>
    </row>
    <row r="85" spans="2:37" s="187" customFormat="1" ht="2.25" customHeight="1"/>
    <row r="86" spans="2:37" s="187" customFormat="1" ht="7.8"/>
    <row r="87" spans="2:37" s="187" customFormat="1" ht="60" customHeight="1">
      <c r="B87" s="566" t="s">
        <v>298</v>
      </c>
      <c r="C87" s="566"/>
      <c r="D87" s="566"/>
      <c r="E87" s="566"/>
      <c r="F87" s="566"/>
      <c r="G87" s="566"/>
      <c r="H87" s="566"/>
      <c r="I87" s="566"/>
      <c r="J87" s="566"/>
      <c r="K87" s="566"/>
      <c r="L87" s="566"/>
      <c r="M87" s="566"/>
      <c r="N87" s="566"/>
      <c r="O87" s="566"/>
      <c r="P87" s="566"/>
      <c r="Q87" s="566"/>
      <c r="R87" s="566"/>
      <c r="S87" s="566"/>
      <c r="T87" s="566"/>
      <c r="U87" s="566"/>
      <c r="V87" s="566"/>
      <c r="W87" s="566"/>
      <c r="X87" s="566"/>
      <c r="Y87" s="566"/>
      <c r="Z87" s="566"/>
      <c r="AA87" s="566"/>
      <c r="AB87" s="566"/>
      <c r="AC87" s="566"/>
      <c r="AD87" s="566"/>
      <c r="AE87" s="566"/>
      <c r="AF87" s="566"/>
      <c r="AG87" s="566"/>
      <c r="AH87" s="566"/>
      <c r="AI87" s="566"/>
      <c r="AJ87" s="566"/>
      <c r="AK87" s="566"/>
    </row>
    <row r="88" spans="2:37" s="187" customFormat="1" ht="7.8">
      <c r="B88" s="230"/>
      <c r="C88" s="230"/>
      <c r="D88" s="230"/>
      <c r="E88" s="230"/>
      <c r="F88" s="230"/>
      <c r="G88" s="230"/>
      <c r="H88" s="230"/>
      <c r="I88" s="230"/>
      <c r="J88" s="230"/>
      <c r="K88" s="230"/>
      <c r="L88" s="230"/>
      <c r="M88" s="230"/>
      <c r="N88" s="230"/>
      <c r="O88" s="230"/>
      <c r="P88" s="230"/>
      <c r="Q88" s="230"/>
      <c r="R88" s="230"/>
      <c r="S88" s="230"/>
      <c r="T88" s="230"/>
      <c r="U88" s="230"/>
      <c r="V88" s="230"/>
      <c r="W88" s="230"/>
      <c r="X88" s="230"/>
      <c r="Y88" s="230"/>
      <c r="Z88" s="230"/>
      <c r="AA88" s="230"/>
      <c r="AB88" s="230"/>
      <c r="AC88" s="230"/>
      <c r="AD88" s="230"/>
      <c r="AE88" s="230"/>
      <c r="AF88" s="230"/>
      <c r="AG88" s="230"/>
      <c r="AH88" s="230"/>
      <c r="AI88" s="230"/>
      <c r="AJ88" s="230"/>
      <c r="AK88" s="230"/>
    </row>
    <row r="89" spans="2:37" s="187" customFormat="1" ht="10.199999999999999">
      <c r="B89" s="1068" t="s">
        <v>185</v>
      </c>
      <c r="C89" s="1068"/>
      <c r="D89" s="1068"/>
      <c r="E89" s="1068"/>
      <c r="F89" s="1068"/>
      <c r="G89" s="1068"/>
      <c r="H89" s="1068"/>
      <c r="I89" s="1068"/>
      <c r="J89" s="1068"/>
      <c r="K89" s="1068"/>
      <c r="L89" s="1068"/>
      <c r="M89" s="1068"/>
      <c r="N89" s="1068"/>
      <c r="O89" s="1068"/>
      <c r="P89" s="1068"/>
      <c r="Q89" s="1068"/>
      <c r="R89" s="1068"/>
      <c r="S89" s="1068"/>
      <c r="T89" s="1068"/>
      <c r="U89" s="1068"/>
      <c r="V89" s="1068"/>
      <c r="W89" s="1068"/>
      <c r="X89" s="1068"/>
      <c r="Y89" s="1068"/>
      <c r="Z89" s="1068"/>
      <c r="AA89" s="1068"/>
      <c r="AB89" s="1068"/>
      <c r="AC89" s="1068"/>
      <c r="AD89" s="1068"/>
      <c r="AE89" s="1068"/>
      <c r="AF89" s="1068"/>
      <c r="AG89" s="1068"/>
      <c r="AH89" s="1068"/>
      <c r="AI89" s="1068"/>
      <c r="AJ89" s="1068"/>
      <c r="AK89" s="1068"/>
    </row>
    <row r="90" spans="2:37" s="187" customFormat="1" ht="7.8">
      <c r="B90" s="230"/>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230"/>
      <c r="AC90" s="230"/>
      <c r="AD90" s="230"/>
      <c r="AE90" s="230"/>
      <c r="AF90" s="230"/>
      <c r="AG90" s="230"/>
      <c r="AH90" s="230"/>
      <c r="AI90" s="230"/>
      <c r="AJ90" s="230"/>
      <c r="AK90" s="230"/>
    </row>
    <row r="91" spans="2:37" s="187" customFormat="1" ht="11.25" customHeight="1">
      <c r="B91" s="566" t="s">
        <v>186</v>
      </c>
      <c r="C91" s="566"/>
      <c r="D91" s="566"/>
      <c r="E91" s="566"/>
      <c r="F91" s="566"/>
      <c r="G91" s="566"/>
      <c r="H91" s="566"/>
      <c r="I91" s="566"/>
      <c r="J91" s="566"/>
      <c r="K91" s="566"/>
      <c r="L91" s="566"/>
      <c r="M91" s="566"/>
      <c r="N91" s="566"/>
      <c r="O91" s="566"/>
      <c r="P91" s="566"/>
      <c r="Q91" s="566"/>
      <c r="R91" s="566"/>
      <c r="S91" s="566"/>
      <c r="T91" s="566"/>
      <c r="U91" s="566"/>
      <c r="V91" s="566"/>
      <c r="W91" s="566"/>
      <c r="X91" s="566"/>
      <c r="Y91" s="566"/>
      <c r="Z91" s="566"/>
      <c r="AA91" s="566"/>
      <c r="AB91" s="566"/>
      <c r="AC91" s="566"/>
      <c r="AD91" s="566"/>
      <c r="AE91" s="566"/>
      <c r="AF91" s="566"/>
      <c r="AG91" s="566"/>
      <c r="AH91" s="566"/>
      <c r="AI91" s="566"/>
      <c r="AJ91" s="566"/>
      <c r="AK91" s="566"/>
    </row>
    <row r="92" spans="2:37" ht="11.25" customHeight="1">
      <c r="B92" s="239"/>
      <c r="C92" s="238"/>
      <c r="D92" s="238"/>
      <c r="E92" s="238"/>
      <c r="F92" s="238"/>
      <c r="G92" s="238"/>
      <c r="H92" s="238"/>
      <c r="I92" s="238"/>
      <c r="J92" s="238"/>
      <c r="K92" s="238"/>
      <c r="L92" s="238"/>
      <c r="M92" s="238"/>
      <c r="N92" s="238"/>
      <c r="O92" s="238"/>
      <c r="P92" s="238"/>
      <c r="Q92" s="238"/>
      <c r="R92" s="238"/>
      <c r="S92" s="238"/>
      <c r="T92" s="238"/>
      <c r="U92" s="238"/>
      <c r="V92" s="238"/>
      <c r="W92" s="238"/>
      <c r="X92" s="238"/>
      <c r="Y92" s="238"/>
      <c r="Z92" s="238"/>
      <c r="AA92" s="238"/>
      <c r="AB92" s="238"/>
      <c r="AC92" s="238"/>
      <c r="AD92" s="238"/>
      <c r="AE92" s="238"/>
      <c r="AF92" s="238"/>
      <c r="AG92" s="238"/>
      <c r="AH92" s="238"/>
      <c r="AI92" s="238"/>
      <c r="AJ92" s="238"/>
      <c r="AK92" s="238"/>
    </row>
    <row r="93" spans="2:37" ht="67.5" customHeight="1">
      <c r="B93" s="562" t="s">
        <v>299</v>
      </c>
      <c r="C93" s="562"/>
      <c r="D93" s="562"/>
      <c r="E93" s="562"/>
      <c r="F93" s="562"/>
      <c r="G93" s="562"/>
      <c r="H93" s="562"/>
      <c r="I93" s="562"/>
      <c r="J93" s="562"/>
      <c r="K93" s="562"/>
      <c r="L93" s="562"/>
      <c r="M93" s="562"/>
      <c r="N93" s="562"/>
      <c r="O93" s="562"/>
      <c r="P93" s="562"/>
      <c r="Q93" s="562"/>
      <c r="R93" s="562"/>
      <c r="S93" s="562"/>
      <c r="T93" s="562"/>
      <c r="U93" s="562"/>
      <c r="V93" s="562"/>
      <c r="W93" s="562"/>
      <c r="X93" s="562"/>
      <c r="Y93" s="562"/>
      <c r="Z93" s="562"/>
      <c r="AA93" s="562"/>
      <c r="AB93" s="562"/>
      <c r="AC93" s="562"/>
      <c r="AD93" s="562"/>
      <c r="AE93" s="562"/>
      <c r="AF93" s="562"/>
      <c r="AG93" s="562"/>
      <c r="AH93" s="562"/>
      <c r="AI93" s="562"/>
      <c r="AJ93" s="562"/>
      <c r="AK93" s="562"/>
    </row>
    <row r="94" spans="2:37" ht="33.75" customHeight="1">
      <c r="B94" s="562" t="s">
        <v>188</v>
      </c>
      <c r="C94" s="562"/>
      <c r="D94" s="562"/>
      <c r="E94" s="562"/>
      <c r="F94" s="562"/>
      <c r="G94" s="562"/>
      <c r="H94" s="562"/>
      <c r="I94" s="562"/>
      <c r="J94" s="562"/>
      <c r="K94" s="562"/>
      <c r="L94" s="562"/>
      <c r="M94" s="562"/>
      <c r="N94" s="562"/>
      <c r="O94" s="562"/>
      <c r="P94" s="562"/>
      <c r="Q94" s="562"/>
      <c r="R94" s="562"/>
      <c r="S94" s="562"/>
      <c r="T94" s="562"/>
      <c r="U94" s="562"/>
      <c r="V94" s="562"/>
      <c r="W94" s="562"/>
      <c r="X94" s="562"/>
      <c r="Y94" s="562"/>
      <c r="Z94" s="562"/>
      <c r="AA94" s="562"/>
      <c r="AB94" s="562"/>
      <c r="AC94" s="562"/>
      <c r="AD94" s="562"/>
      <c r="AE94" s="562"/>
      <c r="AF94" s="562"/>
      <c r="AG94" s="562"/>
      <c r="AH94" s="562"/>
      <c r="AI94" s="562"/>
      <c r="AJ94" s="562"/>
      <c r="AK94" s="562"/>
    </row>
    <row r="95" spans="2:37" ht="33.75" customHeight="1">
      <c r="B95" s="562" t="s">
        <v>189</v>
      </c>
      <c r="C95" s="562"/>
      <c r="D95" s="562"/>
      <c r="E95" s="562"/>
      <c r="F95" s="562"/>
      <c r="G95" s="562"/>
      <c r="H95" s="562"/>
      <c r="I95" s="562"/>
      <c r="J95" s="562"/>
      <c r="K95" s="562"/>
      <c r="L95" s="562"/>
      <c r="M95" s="562"/>
      <c r="N95" s="562"/>
      <c r="O95" s="562"/>
      <c r="P95" s="562"/>
      <c r="Q95" s="562"/>
      <c r="R95" s="562"/>
      <c r="S95" s="562"/>
      <c r="T95" s="562"/>
      <c r="U95" s="562"/>
      <c r="V95" s="562"/>
      <c r="W95" s="562"/>
      <c r="X95" s="562"/>
      <c r="Y95" s="562"/>
      <c r="Z95" s="562"/>
      <c r="AA95" s="562"/>
      <c r="AB95" s="562"/>
      <c r="AC95" s="562"/>
      <c r="AD95" s="562"/>
      <c r="AE95" s="562"/>
      <c r="AF95" s="562"/>
      <c r="AG95" s="562"/>
      <c r="AH95" s="562"/>
      <c r="AI95" s="562"/>
      <c r="AJ95" s="562"/>
      <c r="AK95" s="562"/>
    </row>
    <row r="96" spans="2:37" ht="22.5" customHeight="1">
      <c r="B96" s="562" t="s">
        <v>190</v>
      </c>
      <c r="C96" s="562"/>
      <c r="D96" s="562"/>
      <c r="E96" s="562"/>
      <c r="F96" s="562"/>
      <c r="G96" s="562"/>
      <c r="H96" s="562"/>
      <c r="I96" s="562"/>
      <c r="J96" s="562"/>
      <c r="K96" s="562"/>
      <c r="L96" s="562"/>
      <c r="M96" s="562"/>
      <c r="N96" s="562"/>
      <c r="O96" s="562"/>
      <c r="P96" s="562"/>
      <c r="Q96" s="562"/>
      <c r="R96" s="562"/>
      <c r="S96" s="562"/>
      <c r="T96" s="562"/>
      <c r="U96" s="562"/>
      <c r="V96" s="562"/>
      <c r="W96" s="562"/>
      <c r="X96" s="562"/>
      <c r="Y96" s="562"/>
      <c r="Z96" s="562"/>
      <c r="AA96" s="562"/>
      <c r="AB96" s="562"/>
      <c r="AC96" s="562"/>
      <c r="AD96" s="562"/>
      <c r="AE96" s="562"/>
      <c r="AF96" s="562"/>
      <c r="AG96" s="562"/>
      <c r="AH96" s="562"/>
      <c r="AI96" s="562"/>
      <c r="AJ96" s="562"/>
      <c r="AK96" s="562"/>
    </row>
    <row r="97" spans="2:37" ht="33.75" customHeight="1">
      <c r="B97" s="562" t="s">
        <v>191</v>
      </c>
      <c r="C97" s="562"/>
      <c r="D97" s="562"/>
      <c r="E97" s="562"/>
      <c r="F97" s="562"/>
      <c r="G97" s="562"/>
      <c r="H97" s="562"/>
      <c r="I97" s="562"/>
      <c r="J97" s="562"/>
      <c r="K97" s="562"/>
      <c r="L97" s="562"/>
      <c r="M97" s="562"/>
      <c r="N97" s="562"/>
      <c r="O97" s="562"/>
      <c r="P97" s="562"/>
      <c r="Q97" s="562"/>
      <c r="R97" s="562"/>
      <c r="S97" s="562"/>
      <c r="T97" s="562"/>
      <c r="U97" s="562"/>
      <c r="V97" s="562"/>
      <c r="W97" s="562"/>
      <c r="X97" s="562"/>
      <c r="Y97" s="562"/>
      <c r="Z97" s="562"/>
      <c r="AA97" s="562"/>
      <c r="AB97" s="562"/>
      <c r="AC97" s="562"/>
      <c r="AD97" s="562"/>
      <c r="AE97" s="562"/>
      <c r="AF97" s="562"/>
      <c r="AG97" s="562"/>
      <c r="AH97" s="562"/>
      <c r="AI97" s="562"/>
      <c r="AJ97" s="562"/>
      <c r="AK97" s="562"/>
    </row>
    <row r="98" spans="2:37" ht="56.25" customHeight="1">
      <c r="B98" s="562" t="s">
        <v>465</v>
      </c>
      <c r="C98" s="562"/>
      <c r="D98" s="562"/>
      <c r="E98" s="562"/>
      <c r="F98" s="562"/>
      <c r="G98" s="562"/>
      <c r="H98" s="562"/>
      <c r="I98" s="562"/>
      <c r="J98" s="562"/>
      <c r="K98" s="562"/>
      <c r="L98" s="562"/>
      <c r="M98" s="562"/>
      <c r="N98" s="562"/>
      <c r="O98" s="562"/>
      <c r="P98" s="562"/>
      <c r="Q98" s="562"/>
      <c r="R98" s="562"/>
      <c r="S98" s="562"/>
      <c r="T98" s="562"/>
      <c r="U98" s="562"/>
      <c r="V98" s="562"/>
      <c r="W98" s="562"/>
      <c r="X98" s="562"/>
      <c r="Y98" s="562"/>
      <c r="Z98" s="562"/>
      <c r="AA98" s="562"/>
      <c r="AB98" s="562"/>
      <c r="AC98" s="562"/>
      <c r="AD98" s="562"/>
      <c r="AE98" s="562"/>
      <c r="AF98" s="562"/>
      <c r="AG98" s="562"/>
      <c r="AH98" s="562"/>
      <c r="AI98" s="562"/>
      <c r="AJ98" s="562"/>
      <c r="AK98" s="562"/>
    </row>
    <row r="99" spans="2:37" ht="22.5" customHeight="1">
      <c r="B99" s="562" t="s">
        <v>441</v>
      </c>
      <c r="C99" s="562"/>
      <c r="D99" s="562"/>
      <c r="E99" s="562"/>
      <c r="F99" s="562"/>
      <c r="G99" s="562"/>
      <c r="H99" s="562"/>
      <c r="I99" s="562"/>
      <c r="J99" s="562"/>
      <c r="K99" s="562"/>
      <c r="L99" s="562"/>
      <c r="M99" s="562"/>
      <c r="N99" s="562"/>
      <c r="O99" s="562"/>
      <c r="P99" s="562"/>
      <c r="Q99" s="562"/>
      <c r="R99" s="562"/>
      <c r="S99" s="562"/>
      <c r="T99" s="562"/>
      <c r="U99" s="562"/>
      <c r="V99" s="562"/>
      <c r="W99" s="562"/>
      <c r="X99" s="562"/>
      <c r="Y99" s="562"/>
      <c r="Z99" s="562"/>
      <c r="AA99" s="562"/>
      <c r="AB99" s="562"/>
      <c r="AC99" s="562"/>
      <c r="AD99" s="562"/>
      <c r="AE99" s="562"/>
      <c r="AF99" s="562"/>
      <c r="AG99" s="562"/>
      <c r="AH99" s="562"/>
      <c r="AI99" s="562"/>
      <c r="AJ99" s="562"/>
      <c r="AK99" s="562"/>
    </row>
    <row r="100" spans="2:37" ht="45" customHeight="1">
      <c r="B100" s="562" t="s">
        <v>442</v>
      </c>
      <c r="C100" s="562"/>
      <c r="D100" s="562"/>
      <c r="E100" s="562"/>
      <c r="F100" s="562"/>
      <c r="G100" s="562"/>
      <c r="H100" s="562"/>
      <c r="I100" s="562"/>
      <c r="J100" s="562"/>
      <c r="K100" s="562"/>
      <c r="L100" s="562"/>
      <c r="M100" s="562"/>
      <c r="N100" s="562"/>
      <c r="O100" s="562"/>
      <c r="P100" s="562"/>
      <c r="Q100" s="562"/>
      <c r="R100" s="562"/>
      <c r="S100" s="562"/>
      <c r="T100" s="562"/>
      <c r="U100" s="562"/>
      <c r="V100" s="562"/>
      <c r="W100" s="562"/>
      <c r="X100" s="562"/>
      <c r="Y100" s="562"/>
      <c r="Z100" s="562"/>
      <c r="AA100" s="562"/>
      <c r="AB100" s="562"/>
      <c r="AC100" s="562"/>
      <c r="AD100" s="562"/>
      <c r="AE100" s="562"/>
      <c r="AF100" s="562"/>
      <c r="AG100" s="562"/>
      <c r="AH100" s="562"/>
      <c r="AI100" s="562"/>
      <c r="AJ100" s="562"/>
      <c r="AK100" s="562"/>
    </row>
    <row r="101" spans="2:37" ht="33.75" customHeight="1">
      <c r="B101" s="562" t="s">
        <v>466</v>
      </c>
      <c r="C101" s="562"/>
      <c r="D101" s="562"/>
      <c r="E101" s="562"/>
      <c r="F101" s="562"/>
      <c r="G101" s="562"/>
      <c r="H101" s="562"/>
      <c r="I101" s="562"/>
      <c r="J101" s="562"/>
      <c r="K101" s="562"/>
      <c r="L101" s="562"/>
      <c r="M101" s="562"/>
      <c r="N101" s="562"/>
      <c r="O101" s="562"/>
      <c r="P101" s="562"/>
      <c r="Q101" s="562"/>
      <c r="R101" s="562"/>
      <c r="S101" s="562"/>
      <c r="T101" s="562"/>
      <c r="U101" s="562"/>
      <c r="V101" s="562"/>
      <c r="W101" s="562"/>
      <c r="X101" s="562"/>
      <c r="Y101" s="562"/>
      <c r="Z101" s="562"/>
      <c r="AA101" s="562"/>
      <c r="AB101" s="562"/>
      <c r="AC101" s="562"/>
      <c r="AD101" s="562"/>
      <c r="AE101" s="562"/>
      <c r="AF101" s="562"/>
      <c r="AG101" s="562"/>
      <c r="AH101" s="562"/>
      <c r="AI101" s="562"/>
      <c r="AJ101" s="562"/>
      <c r="AK101" s="562"/>
    </row>
    <row r="102" spans="2:37" ht="33.75" customHeight="1">
      <c r="B102" s="562" t="s">
        <v>443</v>
      </c>
      <c r="C102" s="562"/>
      <c r="D102" s="562"/>
      <c r="E102" s="562"/>
      <c r="F102" s="562"/>
      <c r="G102" s="562"/>
      <c r="H102" s="562"/>
      <c r="I102" s="562"/>
      <c r="J102" s="562"/>
      <c r="K102" s="562"/>
      <c r="L102" s="562"/>
      <c r="M102" s="562"/>
      <c r="N102" s="562"/>
      <c r="O102" s="562"/>
      <c r="P102" s="562"/>
      <c r="Q102" s="562"/>
      <c r="R102" s="562"/>
      <c r="S102" s="562"/>
      <c r="T102" s="562"/>
      <c r="U102" s="562"/>
      <c r="V102" s="562"/>
      <c r="W102" s="562"/>
      <c r="X102" s="562"/>
      <c r="Y102" s="562"/>
      <c r="Z102" s="562"/>
      <c r="AA102" s="562"/>
      <c r="AB102" s="562"/>
      <c r="AC102" s="562"/>
      <c r="AD102" s="562"/>
      <c r="AE102" s="562"/>
      <c r="AF102" s="562"/>
      <c r="AG102" s="562"/>
      <c r="AH102" s="562"/>
      <c r="AI102" s="562"/>
      <c r="AJ102" s="562"/>
      <c r="AK102" s="562"/>
    </row>
    <row r="103" spans="2:37" ht="11.25" customHeight="1">
      <c r="B103" s="730"/>
      <c r="C103" s="730"/>
      <c r="D103" s="730"/>
      <c r="E103" s="730"/>
      <c r="F103" s="730"/>
      <c r="G103" s="730"/>
      <c r="H103" s="730"/>
      <c r="I103" s="730"/>
      <c r="J103" s="730"/>
      <c r="K103" s="730"/>
      <c r="L103" s="730"/>
      <c r="M103" s="730"/>
      <c r="N103" s="730"/>
      <c r="O103" s="730"/>
      <c r="P103" s="730"/>
      <c r="Q103" s="730"/>
      <c r="R103" s="730"/>
      <c r="S103" s="730"/>
      <c r="T103" s="730"/>
      <c r="U103" s="730"/>
      <c r="V103" s="730"/>
      <c r="W103" s="730"/>
      <c r="X103" s="730"/>
      <c r="Y103" s="730"/>
      <c r="Z103" s="730"/>
      <c r="AA103" s="730"/>
      <c r="AB103" s="730"/>
      <c r="AC103" s="730"/>
      <c r="AD103" s="730"/>
      <c r="AE103" s="730"/>
      <c r="AF103" s="730"/>
      <c r="AG103" s="730"/>
      <c r="AH103" s="730"/>
      <c r="AI103" s="730"/>
      <c r="AJ103" s="730"/>
      <c r="AK103" s="730"/>
    </row>
    <row r="104" spans="2:37" ht="11.25" customHeight="1">
      <c r="B104" s="566" t="s">
        <v>195</v>
      </c>
      <c r="C104" s="566"/>
      <c r="D104" s="566"/>
      <c r="E104" s="566"/>
      <c r="F104" s="566"/>
      <c r="G104" s="566"/>
      <c r="H104" s="566"/>
      <c r="I104" s="566"/>
      <c r="J104" s="566"/>
      <c r="K104" s="566"/>
      <c r="L104" s="566"/>
      <c r="M104" s="566"/>
      <c r="N104" s="566"/>
      <c r="O104" s="566"/>
      <c r="P104" s="566"/>
      <c r="Q104" s="566"/>
      <c r="R104" s="566"/>
      <c r="S104" s="566"/>
      <c r="T104" s="566"/>
      <c r="U104" s="566"/>
      <c r="V104" s="566"/>
      <c r="W104" s="566"/>
      <c r="X104" s="566"/>
      <c r="Y104" s="566"/>
      <c r="Z104" s="566"/>
      <c r="AA104" s="566"/>
      <c r="AB104" s="566"/>
      <c r="AC104" s="566"/>
      <c r="AD104" s="566"/>
      <c r="AE104" s="566"/>
      <c r="AF104" s="566"/>
      <c r="AG104" s="566"/>
      <c r="AH104" s="566"/>
      <c r="AI104" s="566"/>
      <c r="AJ104" s="566"/>
      <c r="AK104" s="566"/>
    </row>
    <row r="105" spans="2:37" ht="11.25" customHeight="1">
      <c r="B105" s="232"/>
      <c r="C105" s="232"/>
      <c r="D105" s="232"/>
      <c r="E105" s="232"/>
      <c r="F105" s="232"/>
      <c r="G105" s="232"/>
      <c r="H105" s="232"/>
      <c r="I105" s="232"/>
      <c r="J105" s="232"/>
      <c r="K105" s="232"/>
      <c r="L105" s="232"/>
      <c r="M105" s="232"/>
      <c r="N105" s="232"/>
      <c r="O105" s="232"/>
      <c r="P105" s="232"/>
      <c r="Q105" s="232"/>
      <c r="R105" s="232"/>
      <c r="S105" s="232"/>
      <c r="T105" s="232"/>
      <c r="U105" s="232"/>
      <c r="V105" s="232"/>
      <c r="W105" s="232"/>
      <c r="X105" s="232"/>
      <c r="Y105" s="232"/>
      <c r="Z105" s="232"/>
      <c r="AA105" s="232"/>
      <c r="AB105" s="232"/>
      <c r="AC105" s="232"/>
      <c r="AD105" s="232"/>
      <c r="AE105" s="232"/>
      <c r="AF105" s="232"/>
      <c r="AG105" s="232"/>
      <c r="AH105" s="232"/>
      <c r="AI105" s="232"/>
      <c r="AJ105" s="232"/>
      <c r="AK105" s="232"/>
    </row>
    <row r="106" spans="2:37" ht="33.75" customHeight="1">
      <c r="B106" s="562" t="s">
        <v>196</v>
      </c>
      <c r="C106" s="562"/>
      <c r="D106" s="562"/>
      <c r="E106" s="562"/>
      <c r="F106" s="562"/>
      <c r="G106" s="562"/>
      <c r="H106" s="562"/>
      <c r="I106" s="562"/>
      <c r="J106" s="562"/>
      <c r="K106" s="562"/>
      <c r="L106" s="562"/>
      <c r="M106" s="562"/>
      <c r="N106" s="562"/>
      <c r="O106" s="562"/>
      <c r="P106" s="562"/>
      <c r="Q106" s="562"/>
      <c r="R106" s="562"/>
      <c r="S106" s="562"/>
      <c r="T106" s="562"/>
      <c r="U106" s="562"/>
      <c r="V106" s="562"/>
      <c r="W106" s="562"/>
      <c r="X106" s="562"/>
      <c r="Y106" s="562"/>
      <c r="Z106" s="562"/>
      <c r="AA106" s="562"/>
      <c r="AB106" s="562"/>
      <c r="AC106" s="562"/>
      <c r="AD106" s="562"/>
      <c r="AE106" s="562"/>
      <c r="AF106" s="562"/>
      <c r="AG106" s="562"/>
      <c r="AH106" s="562"/>
      <c r="AI106" s="562"/>
      <c r="AJ106" s="562"/>
      <c r="AK106" s="562"/>
    </row>
    <row r="107" spans="2:37" ht="11.25" customHeight="1">
      <c r="B107" s="232"/>
      <c r="C107" s="232"/>
      <c r="D107" s="232"/>
      <c r="E107" s="232"/>
      <c r="F107" s="232"/>
      <c r="G107" s="232"/>
      <c r="H107" s="232"/>
      <c r="I107" s="232"/>
      <c r="J107" s="232"/>
      <c r="K107" s="232"/>
      <c r="L107" s="232"/>
      <c r="M107" s="232"/>
      <c r="N107" s="232"/>
      <c r="O107" s="232"/>
      <c r="P107" s="232"/>
      <c r="Q107" s="232"/>
      <c r="R107" s="232"/>
      <c r="S107" s="232"/>
      <c r="T107" s="232"/>
      <c r="U107" s="232"/>
      <c r="V107" s="232"/>
      <c r="W107" s="232"/>
      <c r="X107" s="232"/>
      <c r="Y107" s="232"/>
      <c r="Z107" s="232"/>
      <c r="AA107" s="232"/>
      <c r="AB107" s="232"/>
      <c r="AC107" s="232"/>
      <c r="AD107" s="232"/>
      <c r="AE107" s="232"/>
      <c r="AF107" s="232"/>
      <c r="AG107" s="232"/>
      <c r="AH107" s="232"/>
      <c r="AI107" s="232"/>
      <c r="AJ107" s="232"/>
      <c r="AK107" s="232"/>
    </row>
    <row r="108" spans="2:37" ht="11.25" customHeight="1">
      <c r="B108" s="566" t="s">
        <v>197</v>
      </c>
      <c r="C108" s="566"/>
      <c r="D108" s="566"/>
      <c r="E108" s="566"/>
      <c r="F108" s="566"/>
      <c r="G108" s="566"/>
      <c r="H108" s="566"/>
      <c r="I108" s="566"/>
      <c r="J108" s="566"/>
      <c r="K108" s="566"/>
      <c r="L108" s="566"/>
      <c r="M108" s="566"/>
      <c r="N108" s="566"/>
      <c r="O108" s="566"/>
      <c r="P108" s="566"/>
      <c r="Q108" s="566"/>
      <c r="R108" s="566"/>
      <c r="S108" s="566"/>
      <c r="T108" s="566"/>
      <c r="U108" s="566"/>
      <c r="V108" s="566"/>
      <c r="W108" s="566"/>
      <c r="X108" s="566"/>
      <c r="Y108" s="566"/>
      <c r="Z108" s="566"/>
      <c r="AA108" s="566"/>
      <c r="AB108" s="566"/>
      <c r="AC108" s="566"/>
      <c r="AD108" s="566"/>
      <c r="AE108" s="566"/>
      <c r="AF108" s="566"/>
      <c r="AG108" s="566"/>
      <c r="AH108" s="566"/>
      <c r="AI108" s="566"/>
      <c r="AJ108" s="566"/>
      <c r="AK108" s="566"/>
    </row>
    <row r="109" spans="2:37" ht="11.25" customHeight="1">
      <c r="B109" s="232"/>
      <c r="C109" s="232"/>
      <c r="D109" s="232"/>
      <c r="E109" s="232"/>
      <c r="F109" s="232"/>
      <c r="G109" s="232"/>
      <c r="H109" s="232"/>
      <c r="I109" s="232"/>
      <c r="J109" s="232"/>
      <c r="K109" s="232"/>
      <c r="L109" s="232"/>
      <c r="M109" s="232"/>
      <c r="N109" s="232"/>
      <c r="O109" s="232"/>
      <c r="P109" s="232"/>
      <c r="Q109" s="232"/>
      <c r="R109" s="232"/>
      <c r="S109" s="232"/>
      <c r="T109" s="232"/>
      <c r="U109" s="232"/>
      <c r="V109" s="232"/>
      <c r="W109" s="232"/>
      <c r="X109" s="232"/>
      <c r="Y109" s="232"/>
      <c r="Z109" s="232"/>
      <c r="AA109" s="232"/>
      <c r="AB109" s="232"/>
      <c r="AC109" s="232"/>
      <c r="AD109" s="232"/>
      <c r="AE109" s="232"/>
      <c r="AF109" s="232"/>
      <c r="AG109" s="232"/>
      <c r="AH109" s="232"/>
      <c r="AI109" s="232"/>
      <c r="AJ109" s="232"/>
      <c r="AK109" s="232"/>
    </row>
    <row r="110" spans="2:37" ht="22.5" customHeight="1">
      <c r="B110" s="232">
        <v>1</v>
      </c>
      <c r="C110" s="562" t="s">
        <v>467</v>
      </c>
      <c r="D110" s="562"/>
      <c r="E110" s="562"/>
      <c r="F110" s="562"/>
      <c r="G110" s="562"/>
      <c r="H110" s="562"/>
      <c r="I110" s="562"/>
      <c r="J110" s="562"/>
      <c r="K110" s="562"/>
      <c r="L110" s="562"/>
      <c r="M110" s="562"/>
      <c r="N110" s="562"/>
      <c r="O110" s="562"/>
      <c r="P110" s="562"/>
      <c r="Q110" s="562"/>
      <c r="R110" s="562"/>
      <c r="S110" s="562"/>
      <c r="T110" s="562"/>
      <c r="U110" s="562"/>
      <c r="V110" s="562"/>
      <c r="W110" s="562"/>
      <c r="X110" s="562"/>
      <c r="Y110" s="562"/>
      <c r="Z110" s="562"/>
      <c r="AA110" s="562"/>
      <c r="AB110" s="562"/>
      <c r="AC110" s="562"/>
      <c r="AD110" s="562"/>
      <c r="AE110" s="562"/>
      <c r="AF110" s="562"/>
      <c r="AG110" s="562"/>
      <c r="AH110" s="562"/>
      <c r="AI110" s="562"/>
      <c r="AJ110" s="562"/>
      <c r="AK110" s="562"/>
    </row>
    <row r="111" spans="2:37" ht="11.25" customHeight="1">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row>
    <row r="112" spans="2:37" ht="11.25" customHeight="1">
      <c r="B112" s="562" t="s">
        <v>199</v>
      </c>
      <c r="C112" s="562"/>
      <c r="D112" s="562"/>
      <c r="E112" s="562"/>
      <c r="F112" s="562"/>
      <c r="G112" s="562"/>
      <c r="H112" s="562"/>
      <c r="I112" s="562"/>
      <c r="J112" s="562"/>
      <c r="K112" s="562"/>
      <c r="L112" s="562"/>
      <c r="M112" s="562"/>
      <c r="N112" s="562"/>
      <c r="O112" s="562"/>
      <c r="P112" s="562"/>
      <c r="Q112" s="562"/>
      <c r="R112" s="562"/>
      <c r="S112" s="562"/>
      <c r="T112" s="562"/>
      <c r="U112" s="562"/>
      <c r="V112" s="562"/>
      <c r="W112" s="562"/>
      <c r="X112" s="562"/>
      <c r="Y112" s="562"/>
      <c r="Z112" s="562"/>
      <c r="AA112" s="562"/>
      <c r="AB112" s="562"/>
      <c r="AC112" s="562"/>
      <c r="AD112" s="562"/>
      <c r="AE112" s="562"/>
      <c r="AF112" s="562"/>
      <c r="AG112" s="562"/>
      <c r="AH112" s="562"/>
      <c r="AI112" s="562"/>
      <c r="AJ112" s="562"/>
      <c r="AK112" s="562"/>
    </row>
    <row r="113" spans="2:37" ht="11.25" customHeight="1">
      <c r="B113" s="232"/>
      <c r="C113" s="232"/>
      <c r="D113" s="232"/>
      <c r="E113" s="232"/>
      <c r="F113" s="232"/>
      <c r="G113" s="232"/>
      <c r="H113" s="232"/>
      <c r="I113" s="232"/>
      <c r="J113" s="232"/>
      <c r="K113" s="232"/>
      <c r="L113" s="232"/>
      <c r="M113" s="232"/>
      <c r="N113" s="232"/>
      <c r="O113" s="232"/>
      <c r="P113" s="232"/>
      <c r="Q113" s="232"/>
      <c r="R113" s="232"/>
      <c r="S113" s="232"/>
      <c r="T113" s="232"/>
      <c r="U113" s="232"/>
      <c r="V113" s="232"/>
      <c r="W113" s="232"/>
      <c r="X113" s="232"/>
      <c r="Y113" s="232"/>
      <c r="Z113" s="232"/>
      <c r="AA113" s="232"/>
      <c r="AB113" s="232"/>
      <c r="AC113" s="232"/>
      <c r="AD113" s="232"/>
      <c r="AE113" s="232"/>
      <c r="AF113" s="232"/>
      <c r="AG113" s="232"/>
      <c r="AH113" s="232"/>
      <c r="AI113" s="232"/>
      <c r="AJ113" s="232"/>
      <c r="AK113" s="232"/>
    </row>
    <row r="114" spans="2:37" ht="11.25" customHeight="1">
      <c r="B114" s="1071" t="s">
        <v>200</v>
      </c>
      <c r="C114" s="1071"/>
      <c r="D114" s="1071"/>
      <c r="E114" s="1071"/>
      <c r="F114" s="1071"/>
      <c r="G114" s="1071"/>
      <c r="H114" s="1071"/>
      <c r="I114" s="1071"/>
      <c r="J114" s="1071"/>
      <c r="K114" s="1071"/>
      <c r="L114" s="1071"/>
      <c r="M114" s="1071"/>
      <c r="N114" s="1071"/>
      <c r="O114" s="1071"/>
      <c r="P114" s="1071"/>
      <c r="Q114" s="1071"/>
      <c r="R114" s="1071"/>
      <c r="S114" s="1071"/>
      <c r="T114" s="1071"/>
      <c r="U114" s="1071"/>
      <c r="V114" s="1071"/>
      <c r="W114" s="1071"/>
      <c r="X114" s="1071"/>
      <c r="Y114" s="1071"/>
      <c r="Z114" s="1071"/>
      <c r="AA114" s="1071"/>
      <c r="AB114" s="1071"/>
      <c r="AC114" s="1071"/>
      <c r="AD114" s="1071"/>
      <c r="AE114" s="1071"/>
      <c r="AF114" s="1071"/>
      <c r="AG114" s="1071"/>
      <c r="AH114" s="1071"/>
      <c r="AI114" s="1071"/>
      <c r="AJ114" s="1071"/>
      <c r="AK114" s="1071"/>
    </row>
    <row r="115" spans="2:37" ht="11.25" customHeight="1">
      <c r="B115" s="232"/>
      <c r="C115" s="232"/>
      <c r="D115" s="232"/>
      <c r="E115" s="232"/>
      <c r="F115" s="232"/>
      <c r="G115" s="232"/>
      <c r="H115" s="232"/>
      <c r="I115" s="232"/>
      <c r="J115" s="232"/>
      <c r="K115" s="232"/>
      <c r="L115" s="232"/>
      <c r="M115" s="232"/>
      <c r="N115" s="232"/>
      <c r="O115" s="232"/>
      <c r="P115" s="232"/>
      <c r="Q115" s="232"/>
      <c r="R115" s="232"/>
      <c r="S115" s="232"/>
      <c r="T115" s="232"/>
      <c r="U115" s="232"/>
      <c r="V115" s="232"/>
      <c r="W115" s="232"/>
      <c r="X115" s="232"/>
      <c r="Y115" s="232"/>
      <c r="Z115" s="232"/>
      <c r="AA115" s="232"/>
      <c r="AB115" s="232"/>
      <c r="AC115" s="232"/>
      <c r="AD115" s="232"/>
      <c r="AE115" s="232"/>
      <c r="AF115" s="232"/>
      <c r="AG115" s="232"/>
      <c r="AH115" s="232"/>
      <c r="AI115" s="232"/>
      <c r="AJ115" s="232"/>
      <c r="AK115" s="232"/>
    </row>
    <row r="116" spans="2:37" ht="33.75" customHeight="1">
      <c r="B116" s="566" t="s">
        <v>301</v>
      </c>
      <c r="C116" s="566"/>
      <c r="D116" s="566"/>
      <c r="E116" s="566"/>
      <c r="F116" s="566"/>
      <c r="G116" s="566"/>
      <c r="H116" s="566"/>
      <c r="I116" s="566"/>
      <c r="J116" s="566"/>
      <c r="K116" s="566"/>
      <c r="L116" s="566"/>
      <c r="M116" s="566"/>
      <c r="N116" s="566"/>
      <c r="O116" s="566"/>
      <c r="P116" s="566"/>
      <c r="Q116" s="566"/>
      <c r="R116" s="566"/>
      <c r="S116" s="566"/>
      <c r="T116" s="566"/>
      <c r="U116" s="566"/>
      <c r="V116" s="566"/>
      <c r="W116" s="566"/>
      <c r="X116" s="566"/>
      <c r="Y116" s="566"/>
      <c r="Z116" s="566"/>
      <c r="AA116" s="566"/>
      <c r="AB116" s="566"/>
      <c r="AC116" s="566"/>
      <c r="AD116" s="566"/>
      <c r="AE116" s="566"/>
      <c r="AF116" s="566"/>
      <c r="AG116" s="566"/>
      <c r="AH116" s="566"/>
      <c r="AI116" s="566"/>
      <c r="AJ116" s="566"/>
      <c r="AK116" s="566"/>
    </row>
    <row r="117" spans="2:37" ht="11.25" customHeight="1">
      <c r="B117" s="232"/>
      <c r="C117" s="232"/>
      <c r="D117" s="232"/>
      <c r="E117" s="232"/>
      <c r="F117" s="232"/>
      <c r="G117" s="232"/>
      <c r="H117" s="232"/>
      <c r="I117" s="232"/>
      <c r="J117" s="232"/>
      <c r="K117" s="232"/>
      <c r="L117" s="232"/>
      <c r="M117" s="232"/>
      <c r="N117" s="232"/>
      <c r="O117" s="232"/>
      <c r="P117" s="232"/>
      <c r="Q117" s="232"/>
      <c r="R117" s="232"/>
      <c r="S117" s="232"/>
      <c r="T117" s="232"/>
      <c r="U117" s="232"/>
      <c r="V117" s="232"/>
      <c r="W117" s="232"/>
      <c r="X117" s="232"/>
      <c r="Y117" s="232"/>
      <c r="Z117" s="232"/>
      <c r="AA117" s="232"/>
      <c r="AB117" s="232"/>
      <c r="AC117" s="232"/>
      <c r="AD117" s="232"/>
      <c r="AE117" s="232"/>
      <c r="AF117" s="232"/>
      <c r="AG117" s="232"/>
      <c r="AH117" s="232"/>
      <c r="AI117" s="232"/>
      <c r="AJ117" s="232"/>
      <c r="AK117" s="232"/>
    </row>
    <row r="118" spans="2:37" ht="45" customHeight="1">
      <c r="B118" s="566" t="s">
        <v>302</v>
      </c>
      <c r="C118" s="566"/>
      <c r="D118" s="566"/>
      <c r="E118" s="566"/>
      <c r="F118" s="566"/>
      <c r="G118" s="566"/>
      <c r="H118" s="566"/>
      <c r="I118" s="566"/>
      <c r="J118" s="566"/>
      <c r="K118" s="566"/>
      <c r="L118" s="566"/>
      <c r="M118" s="566"/>
      <c r="N118" s="566"/>
      <c r="O118" s="566"/>
      <c r="P118" s="566"/>
      <c r="Q118" s="566"/>
      <c r="R118" s="566"/>
      <c r="S118" s="566"/>
      <c r="T118" s="566"/>
      <c r="U118" s="566"/>
      <c r="V118" s="566"/>
      <c r="W118" s="566"/>
      <c r="X118" s="566"/>
      <c r="Y118" s="566"/>
      <c r="Z118" s="566"/>
      <c r="AA118" s="566"/>
      <c r="AB118" s="566"/>
      <c r="AC118" s="566"/>
      <c r="AD118" s="566"/>
      <c r="AE118" s="566"/>
      <c r="AF118" s="566"/>
      <c r="AG118" s="566"/>
      <c r="AH118" s="566"/>
      <c r="AI118" s="566"/>
      <c r="AJ118" s="566"/>
      <c r="AK118" s="566"/>
    </row>
    <row r="119" spans="2:37" ht="22.5" customHeight="1">
      <c r="B119" s="562" t="s">
        <v>468</v>
      </c>
      <c r="C119" s="562"/>
      <c r="D119" s="562"/>
      <c r="E119" s="562"/>
      <c r="F119" s="562"/>
      <c r="G119" s="562"/>
      <c r="H119" s="562"/>
      <c r="I119" s="562"/>
      <c r="J119" s="562"/>
      <c r="K119" s="562"/>
      <c r="L119" s="562"/>
      <c r="M119" s="562"/>
      <c r="N119" s="562"/>
      <c r="O119" s="562"/>
      <c r="P119" s="562"/>
      <c r="Q119" s="562"/>
      <c r="R119" s="562"/>
      <c r="S119" s="562"/>
      <c r="T119" s="562"/>
      <c r="U119" s="562"/>
      <c r="V119" s="562"/>
      <c r="W119" s="562"/>
      <c r="X119" s="562"/>
      <c r="Y119" s="562"/>
      <c r="Z119" s="562"/>
      <c r="AA119" s="562"/>
      <c r="AB119" s="562"/>
      <c r="AC119" s="562"/>
      <c r="AD119" s="562"/>
      <c r="AE119" s="562"/>
      <c r="AF119" s="562"/>
      <c r="AG119" s="562"/>
      <c r="AH119" s="562"/>
      <c r="AI119" s="562"/>
      <c r="AJ119" s="562"/>
      <c r="AK119" s="562"/>
    </row>
    <row r="120" spans="2:37" ht="22.5" customHeight="1">
      <c r="B120" s="562" t="s">
        <v>469</v>
      </c>
      <c r="C120" s="562"/>
      <c r="D120" s="562"/>
      <c r="E120" s="562"/>
      <c r="F120" s="562"/>
      <c r="G120" s="562"/>
      <c r="H120" s="562"/>
      <c r="I120" s="562"/>
      <c r="J120" s="562"/>
      <c r="K120" s="562"/>
      <c r="L120" s="562"/>
      <c r="M120" s="562"/>
      <c r="N120" s="562"/>
      <c r="O120" s="562"/>
      <c r="P120" s="562"/>
      <c r="Q120" s="562"/>
      <c r="R120" s="562"/>
      <c r="S120" s="562"/>
      <c r="T120" s="562"/>
      <c r="U120" s="562"/>
      <c r="V120" s="562"/>
      <c r="W120" s="562"/>
      <c r="X120" s="562"/>
      <c r="Y120" s="562"/>
      <c r="Z120" s="562"/>
      <c r="AA120" s="562"/>
      <c r="AB120" s="562"/>
      <c r="AC120" s="562"/>
      <c r="AD120" s="562"/>
      <c r="AE120" s="562"/>
      <c r="AF120" s="562"/>
      <c r="AG120" s="562"/>
      <c r="AH120" s="562"/>
      <c r="AI120" s="562"/>
      <c r="AJ120" s="562"/>
      <c r="AK120" s="562"/>
    </row>
    <row r="121" spans="2:37" ht="11.25" customHeight="1">
      <c r="B121" s="232"/>
      <c r="C121" s="232"/>
      <c r="D121" s="232"/>
      <c r="E121" s="232"/>
      <c r="F121" s="232"/>
      <c r="G121" s="232"/>
      <c r="H121" s="232"/>
      <c r="I121" s="232"/>
      <c r="J121" s="232"/>
      <c r="K121" s="232"/>
      <c r="L121" s="232"/>
      <c r="M121" s="232"/>
      <c r="N121" s="232"/>
      <c r="O121" s="232"/>
      <c r="P121" s="232"/>
      <c r="Q121" s="232"/>
      <c r="R121" s="232"/>
      <c r="S121" s="232"/>
      <c r="T121" s="232"/>
      <c r="U121" s="232"/>
      <c r="V121" s="232"/>
      <c r="W121" s="232"/>
      <c r="X121" s="232"/>
      <c r="Y121" s="232"/>
      <c r="Z121" s="232"/>
      <c r="AA121" s="232"/>
      <c r="AB121" s="232"/>
      <c r="AC121" s="232"/>
      <c r="AD121" s="232"/>
      <c r="AE121" s="232"/>
      <c r="AF121" s="232"/>
      <c r="AG121" s="232"/>
      <c r="AH121" s="232"/>
      <c r="AI121" s="232"/>
      <c r="AJ121" s="232"/>
      <c r="AK121" s="232"/>
    </row>
    <row r="122" spans="2:37" ht="45" customHeight="1">
      <c r="B122" s="566" t="s">
        <v>470</v>
      </c>
      <c r="C122" s="566"/>
      <c r="D122" s="566"/>
      <c r="E122" s="566"/>
      <c r="F122" s="566"/>
      <c r="G122" s="566"/>
      <c r="H122" s="566"/>
      <c r="I122" s="566"/>
      <c r="J122" s="566"/>
      <c r="K122" s="566"/>
      <c r="L122" s="566"/>
      <c r="M122" s="566"/>
      <c r="N122" s="566"/>
      <c r="O122" s="566"/>
      <c r="P122" s="566"/>
      <c r="Q122" s="566"/>
      <c r="R122" s="566"/>
      <c r="S122" s="566"/>
      <c r="T122" s="566"/>
      <c r="U122" s="566"/>
      <c r="V122" s="566"/>
      <c r="W122" s="566"/>
      <c r="X122" s="566"/>
      <c r="Y122" s="566"/>
      <c r="Z122" s="566"/>
      <c r="AA122" s="566"/>
      <c r="AB122" s="566"/>
      <c r="AC122" s="566"/>
      <c r="AD122" s="566"/>
      <c r="AE122" s="566"/>
      <c r="AF122" s="566"/>
      <c r="AG122" s="566"/>
      <c r="AH122" s="566"/>
      <c r="AI122" s="566"/>
      <c r="AJ122" s="566"/>
      <c r="AK122" s="566"/>
    </row>
    <row r="123" spans="2:37" ht="11.25" customHeight="1">
      <c r="B123" s="232"/>
      <c r="C123" s="232"/>
      <c r="D123" s="232"/>
      <c r="E123" s="232"/>
      <c r="F123" s="232"/>
      <c r="G123" s="232"/>
      <c r="H123" s="232"/>
      <c r="I123" s="232"/>
      <c r="J123" s="232"/>
      <c r="K123" s="232"/>
      <c r="L123" s="232"/>
      <c r="M123" s="232"/>
      <c r="N123" s="232"/>
      <c r="O123" s="232"/>
      <c r="P123" s="232"/>
      <c r="Q123" s="232"/>
      <c r="R123" s="232"/>
      <c r="S123" s="232"/>
      <c r="T123" s="232"/>
      <c r="U123" s="232"/>
      <c r="V123" s="232"/>
      <c r="W123" s="232"/>
      <c r="X123" s="232"/>
      <c r="Y123" s="232"/>
      <c r="Z123" s="232"/>
      <c r="AA123" s="232"/>
      <c r="AB123" s="232"/>
      <c r="AC123" s="232"/>
      <c r="AD123" s="232"/>
      <c r="AE123" s="232"/>
      <c r="AF123" s="232"/>
      <c r="AG123" s="232"/>
      <c r="AH123" s="232"/>
      <c r="AI123" s="232"/>
      <c r="AJ123" s="232"/>
      <c r="AK123" s="232"/>
    </row>
    <row r="124" spans="2:37" ht="33.75" customHeight="1">
      <c r="B124" s="566" t="s">
        <v>204</v>
      </c>
      <c r="C124" s="566"/>
      <c r="D124" s="566"/>
      <c r="E124" s="566"/>
      <c r="F124" s="566"/>
      <c r="G124" s="566"/>
      <c r="H124" s="566"/>
      <c r="I124" s="566"/>
      <c r="J124" s="566"/>
      <c r="K124" s="566"/>
      <c r="L124" s="566"/>
      <c r="M124" s="566"/>
      <c r="N124" s="566"/>
      <c r="O124" s="566"/>
      <c r="P124" s="566"/>
      <c r="Q124" s="566"/>
      <c r="R124" s="566"/>
      <c r="S124" s="566"/>
      <c r="T124" s="566"/>
      <c r="U124" s="566"/>
      <c r="V124" s="566"/>
      <c r="W124" s="566"/>
      <c r="X124" s="566"/>
      <c r="Y124" s="566"/>
      <c r="Z124" s="566"/>
      <c r="AA124" s="566"/>
      <c r="AB124" s="566"/>
      <c r="AC124" s="566"/>
      <c r="AD124" s="566"/>
      <c r="AE124" s="566"/>
      <c r="AF124" s="566"/>
      <c r="AG124" s="566"/>
      <c r="AH124" s="566"/>
      <c r="AI124" s="566"/>
      <c r="AJ124" s="566"/>
      <c r="AK124" s="566"/>
    </row>
    <row r="125" spans="2:37" ht="11.25" customHeight="1">
      <c r="B125" s="232"/>
      <c r="C125" s="232"/>
      <c r="D125" s="232"/>
      <c r="E125" s="232"/>
      <c r="F125" s="232"/>
      <c r="G125" s="232"/>
      <c r="H125" s="232"/>
      <c r="I125" s="232"/>
      <c r="J125" s="232"/>
      <c r="K125" s="232"/>
      <c r="L125" s="232"/>
      <c r="M125" s="232"/>
      <c r="N125" s="232"/>
      <c r="O125" s="232"/>
      <c r="P125" s="232"/>
      <c r="Q125" s="232"/>
      <c r="R125" s="232"/>
      <c r="S125" s="232"/>
      <c r="T125" s="232"/>
      <c r="U125" s="232"/>
      <c r="V125" s="232"/>
      <c r="W125" s="232"/>
      <c r="X125" s="232"/>
      <c r="Y125" s="232"/>
      <c r="Z125" s="232"/>
      <c r="AA125" s="232"/>
      <c r="AB125" s="232"/>
      <c r="AC125" s="232"/>
      <c r="AD125" s="232"/>
      <c r="AE125" s="232"/>
      <c r="AF125" s="232"/>
      <c r="AG125" s="232"/>
      <c r="AH125" s="232"/>
      <c r="AI125" s="232"/>
      <c r="AJ125" s="232"/>
      <c r="AK125" s="232"/>
    </row>
    <row r="126" spans="2:37" ht="56.25" customHeight="1">
      <c r="B126" s="566" t="s">
        <v>304</v>
      </c>
      <c r="C126" s="566"/>
      <c r="D126" s="566"/>
      <c r="E126" s="566"/>
      <c r="F126" s="566"/>
      <c r="G126" s="566"/>
      <c r="H126" s="566"/>
      <c r="I126" s="566"/>
      <c r="J126" s="566"/>
      <c r="K126" s="566"/>
      <c r="L126" s="566"/>
      <c r="M126" s="566"/>
      <c r="N126" s="566"/>
      <c r="O126" s="566"/>
      <c r="P126" s="566"/>
      <c r="Q126" s="566"/>
      <c r="R126" s="566"/>
      <c r="S126" s="566"/>
      <c r="T126" s="566"/>
      <c r="U126" s="566"/>
      <c r="V126" s="566"/>
      <c r="W126" s="566"/>
      <c r="X126" s="566"/>
      <c r="Y126" s="566"/>
      <c r="Z126" s="566"/>
      <c r="AA126" s="566"/>
      <c r="AB126" s="566"/>
      <c r="AC126" s="566"/>
      <c r="AD126" s="566"/>
      <c r="AE126" s="566"/>
      <c r="AF126" s="566"/>
      <c r="AG126" s="566"/>
      <c r="AH126" s="566"/>
      <c r="AI126" s="566"/>
      <c r="AJ126" s="566"/>
      <c r="AK126" s="566"/>
    </row>
    <row r="127" spans="2:37" ht="11.25" customHeight="1">
      <c r="B127" s="232"/>
      <c r="C127" s="232"/>
      <c r="D127" s="232"/>
      <c r="E127" s="232"/>
      <c r="F127" s="232"/>
      <c r="G127" s="232"/>
      <c r="H127" s="232"/>
      <c r="I127" s="232"/>
      <c r="J127" s="232"/>
      <c r="K127" s="232"/>
      <c r="L127" s="232"/>
      <c r="M127" s="232"/>
      <c r="N127" s="232"/>
      <c r="O127" s="232"/>
      <c r="P127" s="232"/>
      <c r="Q127" s="232"/>
      <c r="R127" s="232"/>
      <c r="S127" s="232"/>
      <c r="T127" s="232"/>
      <c r="U127" s="232"/>
      <c r="V127" s="232"/>
      <c r="W127" s="232"/>
      <c r="X127" s="232"/>
      <c r="Y127" s="232"/>
      <c r="Z127" s="232"/>
      <c r="AA127" s="232"/>
      <c r="AB127" s="232"/>
      <c r="AC127" s="232"/>
      <c r="AD127" s="232"/>
      <c r="AE127" s="232"/>
      <c r="AF127" s="232"/>
      <c r="AG127" s="232"/>
      <c r="AH127" s="232"/>
      <c r="AI127" s="232"/>
      <c r="AJ127" s="232"/>
      <c r="AK127" s="232"/>
    </row>
    <row r="128" spans="2:37" ht="45" customHeight="1">
      <c r="B128" s="566" t="s">
        <v>305</v>
      </c>
      <c r="C128" s="566"/>
      <c r="D128" s="566"/>
      <c r="E128" s="566"/>
      <c r="F128" s="566"/>
      <c r="G128" s="566"/>
      <c r="H128" s="566"/>
      <c r="I128" s="566"/>
      <c r="J128" s="566"/>
      <c r="K128" s="566"/>
      <c r="L128" s="566"/>
      <c r="M128" s="566"/>
      <c r="N128" s="566"/>
      <c r="O128" s="566"/>
      <c r="P128" s="566"/>
      <c r="Q128" s="566"/>
      <c r="R128" s="566"/>
      <c r="S128" s="566"/>
      <c r="T128" s="566"/>
      <c r="U128" s="566"/>
      <c r="V128" s="566"/>
      <c r="W128" s="566"/>
      <c r="X128" s="566"/>
      <c r="Y128" s="566"/>
      <c r="Z128" s="566"/>
      <c r="AA128" s="566"/>
      <c r="AB128" s="566"/>
      <c r="AC128" s="566"/>
      <c r="AD128" s="566"/>
      <c r="AE128" s="566"/>
      <c r="AF128" s="566"/>
      <c r="AG128" s="566"/>
      <c r="AH128" s="566"/>
      <c r="AI128" s="566"/>
      <c r="AJ128" s="566"/>
      <c r="AK128" s="566"/>
    </row>
    <row r="129" spans="2:37" ht="11.25" customHeight="1">
      <c r="B129" s="232"/>
      <c r="C129" s="232"/>
      <c r="D129" s="232"/>
      <c r="E129" s="232"/>
      <c r="F129" s="232"/>
      <c r="G129" s="232"/>
      <c r="H129" s="232"/>
      <c r="I129" s="232"/>
      <c r="J129" s="232"/>
      <c r="K129" s="232"/>
      <c r="L129" s="232"/>
      <c r="M129" s="232"/>
      <c r="N129" s="232"/>
      <c r="O129" s="232"/>
      <c r="P129" s="232"/>
      <c r="Q129" s="232"/>
      <c r="R129" s="232"/>
      <c r="S129" s="232"/>
      <c r="T129" s="232"/>
      <c r="U129" s="232"/>
      <c r="V129" s="232"/>
      <c r="W129" s="232"/>
      <c r="X129" s="232"/>
      <c r="Y129" s="232"/>
      <c r="Z129" s="232"/>
      <c r="AA129" s="232"/>
      <c r="AB129" s="232"/>
      <c r="AC129" s="232"/>
      <c r="AD129" s="232"/>
      <c r="AE129" s="232"/>
      <c r="AF129" s="232"/>
      <c r="AG129" s="232"/>
      <c r="AH129" s="232"/>
      <c r="AI129" s="232"/>
      <c r="AJ129" s="232"/>
      <c r="AK129" s="232"/>
    </row>
    <row r="130" spans="2:37" ht="67.5" customHeight="1">
      <c r="B130" s="566" t="s">
        <v>471</v>
      </c>
      <c r="C130" s="566"/>
      <c r="D130" s="566"/>
      <c r="E130" s="566"/>
      <c r="F130" s="566"/>
      <c r="G130" s="566"/>
      <c r="H130" s="566"/>
      <c r="I130" s="566"/>
      <c r="J130" s="566"/>
      <c r="K130" s="566"/>
      <c r="L130" s="566"/>
      <c r="M130" s="566"/>
      <c r="N130" s="566"/>
      <c r="O130" s="566"/>
      <c r="P130" s="566"/>
      <c r="Q130" s="566"/>
      <c r="R130" s="566"/>
      <c r="S130" s="566"/>
      <c r="T130" s="566"/>
      <c r="U130" s="566"/>
      <c r="V130" s="566"/>
      <c r="W130" s="566"/>
      <c r="X130" s="566"/>
      <c r="Y130" s="566"/>
      <c r="Z130" s="566"/>
      <c r="AA130" s="566"/>
      <c r="AB130" s="566"/>
      <c r="AC130" s="566"/>
      <c r="AD130" s="566"/>
      <c r="AE130" s="566"/>
      <c r="AF130" s="566"/>
      <c r="AG130" s="566"/>
      <c r="AH130" s="566"/>
      <c r="AI130" s="566"/>
      <c r="AJ130" s="566"/>
      <c r="AK130" s="566"/>
    </row>
    <row r="131" spans="2:37" ht="22.5" customHeight="1">
      <c r="B131" s="562" t="s">
        <v>209</v>
      </c>
      <c r="C131" s="562"/>
      <c r="D131" s="562"/>
      <c r="E131" s="562"/>
      <c r="F131" s="562"/>
      <c r="G131" s="562"/>
      <c r="H131" s="562"/>
      <c r="I131" s="562"/>
      <c r="J131" s="562"/>
      <c r="K131" s="562"/>
      <c r="L131" s="562"/>
      <c r="M131" s="562"/>
      <c r="N131" s="562"/>
      <c r="O131" s="562"/>
      <c r="P131" s="562"/>
      <c r="Q131" s="562"/>
      <c r="R131" s="562"/>
      <c r="S131" s="562"/>
      <c r="T131" s="562"/>
      <c r="U131" s="562"/>
      <c r="V131" s="562"/>
      <c r="W131" s="562"/>
      <c r="X131" s="562"/>
      <c r="Y131" s="562"/>
      <c r="Z131" s="562"/>
      <c r="AA131" s="562"/>
      <c r="AB131" s="562"/>
      <c r="AC131" s="562"/>
      <c r="AD131" s="562"/>
      <c r="AE131" s="562"/>
      <c r="AF131" s="562"/>
      <c r="AG131" s="562"/>
      <c r="AH131" s="562"/>
      <c r="AI131" s="562"/>
      <c r="AJ131" s="562"/>
      <c r="AK131" s="562"/>
    </row>
    <row r="132" spans="2:37" ht="22.5" customHeight="1">
      <c r="B132" s="562" t="s">
        <v>308</v>
      </c>
      <c r="C132" s="562"/>
      <c r="D132" s="562"/>
      <c r="E132" s="562"/>
      <c r="F132" s="562"/>
      <c r="G132" s="562"/>
      <c r="H132" s="562"/>
      <c r="I132" s="562"/>
      <c r="J132" s="562"/>
      <c r="K132" s="562"/>
      <c r="L132" s="562"/>
      <c r="M132" s="562"/>
      <c r="N132" s="562"/>
      <c r="O132" s="562"/>
      <c r="P132" s="562"/>
      <c r="Q132" s="562"/>
      <c r="R132" s="562"/>
      <c r="S132" s="562"/>
      <c r="T132" s="562"/>
      <c r="U132" s="562"/>
      <c r="V132" s="562"/>
      <c r="W132" s="562"/>
      <c r="X132" s="562"/>
      <c r="Y132" s="562"/>
      <c r="Z132" s="562"/>
      <c r="AA132" s="562"/>
      <c r="AB132" s="562"/>
      <c r="AC132" s="562"/>
      <c r="AD132" s="562"/>
      <c r="AE132" s="562"/>
      <c r="AF132" s="562"/>
      <c r="AG132" s="562"/>
      <c r="AH132" s="562"/>
      <c r="AI132" s="562"/>
      <c r="AJ132" s="562"/>
      <c r="AK132" s="562"/>
    </row>
    <row r="133" spans="2:37" ht="33.75" customHeight="1">
      <c r="B133" s="562" t="s">
        <v>211</v>
      </c>
      <c r="C133" s="562"/>
      <c r="D133" s="562"/>
      <c r="E133" s="562"/>
      <c r="F133" s="562"/>
      <c r="G133" s="562"/>
      <c r="H133" s="562"/>
      <c r="I133" s="562"/>
      <c r="J133" s="562"/>
      <c r="K133" s="562"/>
      <c r="L133" s="562"/>
      <c r="M133" s="562"/>
      <c r="N133" s="562"/>
      <c r="O133" s="562"/>
      <c r="P133" s="562"/>
      <c r="Q133" s="562"/>
      <c r="R133" s="562"/>
      <c r="S133" s="562"/>
      <c r="T133" s="562"/>
      <c r="U133" s="562"/>
      <c r="V133" s="562"/>
      <c r="W133" s="562"/>
      <c r="X133" s="562"/>
      <c r="Y133" s="562"/>
      <c r="Z133" s="562"/>
      <c r="AA133" s="562"/>
      <c r="AB133" s="562"/>
      <c r="AC133" s="562"/>
      <c r="AD133" s="562"/>
      <c r="AE133" s="562"/>
      <c r="AF133" s="562"/>
      <c r="AG133" s="562"/>
      <c r="AH133" s="562"/>
      <c r="AI133" s="562"/>
      <c r="AJ133" s="562"/>
      <c r="AK133" s="562"/>
    </row>
    <row r="134" spans="2:37" ht="78.75" customHeight="1">
      <c r="B134" s="562" t="s">
        <v>309</v>
      </c>
      <c r="C134" s="562"/>
      <c r="D134" s="562"/>
      <c r="E134" s="562"/>
      <c r="F134" s="562"/>
      <c r="G134" s="562"/>
      <c r="H134" s="562"/>
      <c r="I134" s="562"/>
      <c r="J134" s="562"/>
      <c r="K134" s="562"/>
      <c r="L134" s="562"/>
      <c r="M134" s="562"/>
      <c r="N134" s="562"/>
      <c r="O134" s="562"/>
      <c r="P134" s="562"/>
      <c r="Q134" s="562"/>
      <c r="R134" s="562"/>
      <c r="S134" s="562"/>
      <c r="T134" s="562"/>
      <c r="U134" s="562"/>
      <c r="V134" s="562"/>
      <c r="W134" s="562"/>
      <c r="X134" s="562"/>
      <c r="Y134" s="562"/>
      <c r="Z134" s="562"/>
      <c r="AA134" s="562"/>
      <c r="AB134" s="562"/>
      <c r="AC134" s="562"/>
      <c r="AD134" s="562"/>
      <c r="AE134" s="562"/>
      <c r="AF134" s="562"/>
      <c r="AG134" s="562"/>
      <c r="AH134" s="562"/>
      <c r="AI134" s="562"/>
      <c r="AJ134" s="562"/>
      <c r="AK134" s="562"/>
    </row>
    <row r="135" spans="2:37" ht="11.25" customHeight="1">
      <c r="B135" s="232"/>
      <c r="C135" s="232"/>
      <c r="D135" s="232"/>
      <c r="E135" s="232"/>
      <c r="F135" s="232"/>
      <c r="G135" s="232"/>
      <c r="H135" s="232"/>
      <c r="I135" s="232"/>
      <c r="J135" s="232"/>
      <c r="K135" s="232"/>
      <c r="L135" s="232"/>
      <c r="M135" s="232"/>
      <c r="N135" s="232"/>
      <c r="O135" s="232"/>
      <c r="P135" s="232"/>
      <c r="Q135" s="232"/>
      <c r="R135" s="232"/>
      <c r="S135" s="232"/>
      <c r="T135" s="232"/>
      <c r="U135" s="232"/>
      <c r="V135" s="232"/>
      <c r="W135" s="232"/>
      <c r="X135" s="232"/>
      <c r="Y135" s="232"/>
      <c r="Z135" s="232"/>
      <c r="AA135" s="232"/>
      <c r="AB135" s="232"/>
      <c r="AC135" s="232"/>
      <c r="AD135" s="232"/>
      <c r="AE135" s="232"/>
      <c r="AF135" s="232"/>
      <c r="AG135" s="232"/>
      <c r="AH135" s="232"/>
      <c r="AI135" s="232"/>
      <c r="AJ135" s="232"/>
      <c r="AK135" s="232"/>
    </row>
    <row r="136" spans="2:37" ht="45" customHeight="1">
      <c r="B136" s="566" t="s">
        <v>310</v>
      </c>
      <c r="C136" s="566"/>
      <c r="D136" s="566"/>
      <c r="E136" s="566"/>
      <c r="F136" s="566"/>
      <c r="G136" s="566"/>
      <c r="H136" s="566"/>
      <c r="I136" s="566"/>
      <c r="J136" s="566"/>
      <c r="K136" s="566"/>
      <c r="L136" s="566"/>
      <c r="M136" s="566"/>
      <c r="N136" s="566"/>
      <c r="O136" s="566"/>
      <c r="P136" s="566"/>
      <c r="Q136" s="566"/>
      <c r="R136" s="566"/>
      <c r="S136" s="566"/>
      <c r="T136" s="566"/>
      <c r="U136" s="566"/>
      <c r="V136" s="566"/>
      <c r="W136" s="566"/>
      <c r="X136" s="566"/>
      <c r="Y136" s="566"/>
      <c r="Z136" s="566"/>
      <c r="AA136" s="566"/>
      <c r="AB136" s="566"/>
      <c r="AC136" s="566"/>
      <c r="AD136" s="566"/>
      <c r="AE136" s="566"/>
      <c r="AF136" s="566"/>
      <c r="AG136" s="566"/>
      <c r="AH136" s="566"/>
      <c r="AI136" s="566"/>
      <c r="AJ136" s="566"/>
      <c r="AK136" s="566"/>
    </row>
    <row r="137" spans="2:37" ht="11.25" customHeight="1">
      <c r="B137" s="232"/>
      <c r="C137" s="232"/>
      <c r="D137" s="232"/>
      <c r="E137" s="232"/>
      <c r="F137" s="232"/>
      <c r="G137" s="232"/>
      <c r="H137" s="232"/>
      <c r="I137" s="232"/>
      <c r="J137" s="232"/>
      <c r="K137" s="232"/>
      <c r="L137" s="232"/>
      <c r="M137" s="232"/>
      <c r="N137" s="232"/>
      <c r="O137" s="232"/>
      <c r="P137" s="232"/>
      <c r="Q137" s="232"/>
      <c r="R137" s="232"/>
      <c r="S137" s="232"/>
      <c r="T137" s="232"/>
      <c r="U137" s="232"/>
      <c r="V137" s="232"/>
      <c r="W137" s="232"/>
      <c r="X137" s="232"/>
      <c r="Y137" s="232"/>
      <c r="Z137" s="232"/>
      <c r="AA137" s="232"/>
      <c r="AB137" s="232"/>
      <c r="AC137" s="232"/>
      <c r="AD137" s="232"/>
      <c r="AE137" s="232"/>
      <c r="AF137" s="232"/>
      <c r="AG137" s="232"/>
      <c r="AH137" s="232"/>
      <c r="AI137" s="232"/>
      <c r="AJ137" s="232"/>
      <c r="AK137" s="232"/>
    </row>
    <row r="138" spans="2:37" ht="90" customHeight="1">
      <c r="B138" s="566" t="s">
        <v>311</v>
      </c>
      <c r="C138" s="566"/>
      <c r="D138" s="566"/>
      <c r="E138" s="566"/>
      <c r="F138" s="566"/>
      <c r="G138" s="566"/>
      <c r="H138" s="566"/>
      <c r="I138" s="566"/>
      <c r="J138" s="566"/>
      <c r="K138" s="566"/>
      <c r="L138" s="566"/>
      <c r="M138" s="566"/>
      <c r="N138" s="566"/>
      <c r="O138" s="566"/>
      <c r="P138" s="566"/>
      <c r="Q138" s="566"/>
      <c r="R138" s="566"/>
      <c r="S138" s="566"/>
      <c r="T138" s="566"/>
      <c r="U138" s="566"/>
      <c r="V138" s="566"/>
      <c r="W138" s="566"/>
      <c r="X138" s="566"/>
      <c r="Y138" s="566"/>
      <c r="Z138" s="566"/>
      <c r="AA138" s="566"/>
      <c r="AB138" s="566"/>
      <c r="AC138" s="566"/>
      <c r="AD138" s="566"/>
      <c r="AE138" s="566"/>
      <c r="AF138" s="566"/>
      <c r="AG138" s="566"/>
      <c r="AH138" s="566"/>
      <c r="AI138" s="566"/>
      <c r="AJ138" s="566"/>
      <c r="AK138" s="566"/>
    </row>
    <row r="139" spans="2:37" ht="90" customHeight="1">
      <c r="B139" s="562" t="s">
        <v>215</v>
      </c>
      <c r="C139" s="562"/>
      <c r="D139" s="562"/>
      <c r="E139" s="562"/>
      <c r="F139" s="562"/>
      <c r="G139" s="562"/>
      <c r="H139" s="562"/>
      <c r="I139" s="562"/>
      <c r="J139" s="562"/>
      <c r="K139" s="562"/>
      <c r="L139" s="562"/>
      <c r="M139" s="562"/>
      <c r="N139" s="562"/>
      <c r="O139" s="562"/>
      <c r="P139" s="562"/>
      <c r="Q139" s="562"/>
      <c r="R139" s="562"/>
      <c r="S139" s="562"/>
      <c r="T139" s="562"/>
      <c r="U139" s="562"/>
      <c r="V139" s="562"/>
      <c r="W139" s="562"/>
      <c r="X139" s="562"/>
      <c r="Y139" s="562"/>
      <c r="Z139" s="562"/>
      <c r="AA139" s="562"/>
      <c r="AB139" s="562"/>
      <c r="AC139" s="562"/>
      <c r="AD139" s="562"/>
      <c r="AE139" s="562"/>
      <c r="AF139" s="562"/>
      <c r="AG139" s="562"/>
      <c r="AH139" s="562"/>
      <c r="AI139" s="562"/>
      <c r="AJ139" s="562"/>
      <c r="AK139" s="562"/>
    </row>
    <row r="140" spans="2:37" ht="11.25" customHeight="1">
      <c r="B140" s="232"/>
      <c r="C140" s="232"/>
      <c r="D140" s="232"/>
      <c r="E140" s="232"/>
      <c r="F140" s="232"/>
      <c r="G140" s="232"/>
      <c r="H140" s="232"/>
      <c r="I140" s="232"/>
      <c r="J140" s="232"/>
      <c r="K140" s="232"/>
      <c r="L140" s="232"/>
      <c r="M140" s="232"/>
      <c r="N140" s="232"/>
      <c r="O140" s="232"/>
      <c r="P140" s="232"/>
      <c r="Q140" s="232"/>
      <c r="R140" s="232"/>
      <c r="S140" s="232"/>
      <c r="T140" s="232"/>
      <c r="U140" s="232"/>
      <c r="V140" s="232"/>
      <c r="W140" s="232"/>
      <c r="X140" s="232"/>
      <c r="Y140" s="232"/>
      <c r="Z140" s="232"/>
      <c r="AA140" s="232"/>
      <c r="AB140" s="232"/>
      <c r="AC140" s="232"/>
      <c r="AD140" s="232"/>
      <c r="AE140" s="232"/>
      <c r="AF140" s="232"/>
      <c r="AG140" s="232"/>
      <c r="AH140" s="232"/>
      <c r="AI140" s="232"/>
      <c r="AJ140" s="232"/>
      <c r="AK140" s="232"/>
    </row>
    <row r="141" spans="2:37" ht="33.75" customHeight="1">
      <c r="B141" s="566" t="s">
        <v>312</v>
      </c>
      <c r="C141" s="566"/>
      <c r="D141" s="566"/>
      <c r="E141" s="566"/>
      <c r="F141" s="566"/>
      <c r="G141" s="566"/>
      <c r="H141" s="566"/>
      <c r="I141" s="566"/>
      <c r="J141" s="566"/>
      <c r="K141" s="566"/>
      <c r="L141" s="566"/>
      <c r="M141" s="566"/>
      <c r="N141" s="566"/>
      <c r="O141" s="566"/>
      <c r="P141" s="566"/>
      <c r="Q141" s="566"/>
      <c r="R141" s="566"/>
      <c r="S141" s="566"/>
      <c r="T141" s="566"/>
      <c r="U141" s="566"/>
      <c r="V141" s="566"/>
      <c r="W141" s="566"/>
      <c r="X141" s="566"/>
      <c r="Y141" s="566"/>
      <c r="Z141" s="566"/>
      <c r="AA141" s="566"/>
      <c r="AB141" s="566"/>
      <c r="AC141" s="566"/>
      <c r="AD141" s="566"/>
      <c r="AE141" s="566"/>
      <c r="AF141" s="566"/>
      <c r="AG141" s="566"/>
      <c r="AH141" s="566"/>
      <c r="AI141" s="566"/>
      <c r="AJ141" s="566"/>
      <c r="AK141" s="566"/>
    </row>
    <row r="142" spans="2:37" ht="11.25" customHeight="1">
      <c r="B142" s="232"/>
      <c r="C142" s="232"/>
      <c r="D142" s="232"/>
      <c r="E142" s="232"/>
      <c r="F142" s="232"/>
      <c r="G142" s="232"/>
      <c r="H142" s="232"/>
      <c r="I142" s="232"/>
      <c r="J142" s="232"/>
      <c r="K142" s="232"/>
      <c r="L142" s="232"/>
      <c r="M142" s="232"/>
      <c r="N142" s="232"/>
      <c r="O142" s="232"/>
      <c r="P142" s="232"/>
      <c r="Q142" s="232"/>
      <c r="R142" s="232"/>
      <c r="S142" s="232"/>
      <c r="T142" s="232"/>
      <c r="U142" s="232"/>
      <c r="V142" s="232"/>
      <c r="W142" s="232"/>
      <c r="X142" s="232"/>
      <c r="Y142" s="232"/>
      <c r="Z142" s="232"/>
      <c r="AA142" s="232"/>
      <c r="AB142" s="232"/>
      <c r="AC142" s="232"/>
      <c r="AD142" s="232"/>
      <c r="AE142" s="232"/>
      <c r="AF142" s="232"/>
      <c r="AG142" s="232"/>
      <c r="AH142" s="232"/>
      <c r="AI142" s="232"/>
      <c r="AJ142" s="232"/>
      <c r="AK142" s="232"/>
    </row>
    <row r="143" spans="2:37" ht="67.5" customHeight="1">
      <c r="B143" s="566" t="s">
        <v>313</v>
      </c>
      <c r="C143" s="566"/>
      <c r="D143" s="566"/>
      <c r="E143" s="566"/>
      <c r="F143" s="566"/>
      <c r="G143" s="566"/>
      <c r="H143" s="566"/>
      <c r="I143" s="566"/>
      <c r="J143" s="566"/>
      <c r="K143" s="566"/>
      <c r="L143" s="566"/>
      <c r="M143" s="566"/>
      <c r="N143" s="566"/>
      <c r="O143" s="566"/>
      <c r="P143" s="566"/>
      <c r="Q143" s="566"/>
      <c r="R143" s="566"/>
      <c r="S143" s="566"/>
      <c r="T143" s="566"/>
      <c r="U143" s="566"/>
      <c r="V143" s="566"/>
      <c r="W143" s="566"/>
      <c r="X143" s="566"/>
      <c r="Y143" s="566"/>
      <c r="Z143" s="566"/>
      <c r="AA143" s="566"/>
      <c r="AB143" s="566"/>
      <c r="AC143" s="566"/>
      <c r="AD143" s="566"/>
      <c r="AE143" s="566"/>
      <c r="AF143" s="566"/>
      <c r="AG143" s="566"/>
      <c r="AH143" s="566"/>
      <c r="AI143" s="566"/>
      <c r="AJ143" s="566"/>
      <c r="AK143" s="566"/>
    </row>
    <row r="144" spans="2:37" ht="11.25" customHeight="1">
      <c r="B144" s="232"/>
      <c r="C144" s="232"/>
      <c r="D144" s="232"/>
      <c r="E144" s="232"/>
      <c r="F144" s="232"/>
      <c r="G144" s="232"/>
      <c r="H144" s="232"/>
      <c r="I144" s="232"/>
      <c r="J144" s="232"/>
      <c r="K144" s="232"/>
      <c r="L144" s="232"/>
      <c r="M144" s="232"/>
      <c r="N144" s="232"/>
      <c r="O144" s="232"/>
      <c r="P144" s="232"/>
      <c r="Q144" s="232"/>
      <c r="R144" s="232"/>
      <c r="S144" s="232"/>
      <c r="T144" s="232"/>
      <c r="U144" s="232"/>
      <c r="V144" s="232"/>
      <c r="W144" s="232"/>
      <c r="X144" s="232"/>
      <c r="Y144" s="232"/>
      <c r="Z144" s="232"/>
      <c r="AA144" s="232"/>
      <c r="AB144" s="232"/>
      <c r="AC144" s="232"/>
      <c r="AD144" s="232"/>
      <c r="AE144" s="232"/>
      <c r="AF144" s="232"/>
      <c r="AG144" s="232"/>
      <c r="AH144" s="232"/>
      <c r="AI144" s="232"/>
      <c r="AJ144" s="232"/>
      <c r="AK144" s="232"/>
    </row>
    <row r="145" spans="2:37" ht="33.75" customHeight="1">
      <c r="B145" s="566" t="s">
        <v>314</v>
      </c>
      <c r="C145" s="566"/>
      <c r="D145" s="566"/>
      <c r="E145" s="566"/>
      <c r="F145" s="566"/>
      <c r="G145" s="566"/>
      <c r="H145" s="566"/>
      <c r="I145" s="566"/>
      <c r="J145" s="566"/>
      <c r="K145" s="566"/>
      <c r="L145" s="566"/>
      <c r="M145" s="566"/>
      <c r="N145" s="566"/>
      <c r="O145" s="566"/>
      <c r="P145" s="566"/>
      <c r="Q145" s="566"/>
      <c r="R145" s="566"/>
      <c r="S145" s="566"/>
      <c r="T145" s="566"/>
      <c r="U145" s="566"/>
      <c r="V145" s="566"/>
      <c r="W145" s="566"/>
      <c r="X145" s="566"/>
      <c r="Y145" s="566"/>
      <c r="Z145" s="566"/>
      <c r="AA145" s="566"/>
      <c r="AB145" s="566"/>
      <c r="AC145" s="566"/>
      <c r="AD145" s="566"/>
      <c r="AE145" s="566"/>
      <c r="AF145" s="566"/>
      <c r="AG145" s="566"/>
      <c r="AH145" s="566"/>
      <c r="AI145" s="566"/>
      <c r="AJ145" s="566"/>
      <c r="AK145" s="566"/>
    </row>
    <row r="146" spans="2:37" ht="11.25" customHeight="1">
      <c r="B146" s="232"/>
      <c r="C146" s="232"/>
      <c r="D146" s="232"/>
      <c r="E146" s="232"/>
      <c r="F146" s="232"/>
      <c r="G146" s="232"/>
      <c r="H146" s="232"/>
      <c r="I146" s="232"/>
      <c r="J146" s="232"/>
      <c r="K146" s="232"/>
      <c r="L146" s="232"/>
      <c r="M146" s="232"/>
      <c r="N146" s="232"/>
      <c r="O146" s="232"/>
      <c r="P146" s="232"/>
      <c r="Q146" s="232"/>
      <c r="R146" s="232"/>
      <c r="S146" s="232"/>
      <c r="T146" s="232"/>
      <c r="U146" s="232"/>
      <c r="V146" s="232"/>
      <c r="W146" s="232"/>
      <c r="X146" s="232"/>
      <c r="Y146" s="232"/>
      <c r="Z146" s="232"/>
      <c r="AA146" s="232"/>
      <c r="AB146" s="232"/>
      <c r="AC146" s="232"/>
      <c r="AD146" s="232"/>
      <c r="AE146" s="232"/>
      <c r="AF146" s="232"/>
      <c r="AG146" s="232"/>
      <c r="AH146" s="232"/>
      <c r="AI146" s="232"/>
      <c r="AJ146" s="232"/>
      <c r="AK146" s="232"/>
    </row>
    <row r="147" spans="2:37" ht="45" customHeight="1">
      <c r="B147" s="566" t="s">
        <v>472</v>
      </c>
      <c r="C147" s="566"/>
      <c r="D147" s="566"/>
      <c r="E147" s="566"/>
      <c r="F147" s="566"/>
      <c r="G147" s="566"/>
      <c r="H147" s="566"/>
      <c r="I147" s="566"/>
      <c r="J147" s="566"/>
      <c r="K147" s="566"/>
      <c r="L147" s="566"/>
      <c r="M147" s="566"/>
      <c r="N147" s="566"/>
      <c r="O147" s="566"/>
      <c r="P147" s="566"/>
      <c r="Q147" s="566"/>
      <c r="R147" s="566"/>
      <c r="S147" s="566"/>
      <c r="T147" s="566"/>
      <c r="U147" s="566"/>
      <c r="V147" s="566"/>
      <c r="W147" s="566"/>
      <c r="X147" s="566"/>
      <c r="Y147" s="566"/>
      <c r="Z147" s="566"/>
      <c r="AA147" s="566"/>
      <c r="AB147" s="566"/>
      <c r="AC147" s="566"/>
      <c r="AD147" s="566"/>
      <c r="AE147" s="566"/>
      <c r="AF147" s="566"/>
      <c r="AG147" s="566"/>
      <c r="AH147" s="566"/>
      <c r="AI147" s="566"/>
      <c r="AJ147" s="566"/>
      <c r="AK147" s="566"/>
    </row>
    <row r="148" spans="2:37" ht="11.25" customHeight="1">
      <c r="B148" s="232"/>
      <c r="C148" s="232"/>
      <c r="D148" s="232"/>
      <c r="E148" s="232"/>
      <c r="F148" s="232"/>
      <c r="G148" s="232"/>
      <c r="H148" s="232"/>
      <c r="I148" s="232"/>
      <c r="J148" s="232"/>
      <c r="K148" s="232"/>
      <c r="L148" s="232"/>
      <c r="M148" s="232"/>
      <c r="N148" s="232"/>
      <c r="O148" s="232"/>
      <c r="P148" s="232"/>
      <c r="Q148" s="232"/>
      <c r="R148" s="232"/>
      <c r="S148" s="232"/>
      <c r="T148" s="232"/>
      <c r="U148" s="232"/>
      <c r="V148" s="232"/>
      <c r="W148" s="232"/>
      <c r="X148" s="232"/>
      <c r="Y148" s="232"/>
      <c r="Z148" s="232"/>
      <c r="AA148" s="232"/>
      <c r="AB148" s="232"/>
      <c r="AC148" s="232"/>
      <c r="AD148" s="232"/>
      <c r="AE148" s="232"/>
      <c r="AF148" s="232"/>
      <c r="AG148" s="232"/>
      <c r="AH148" s="232"/>
      <c r="AI148" s="232"/>
      <c r="AJ148" s="232"/>
      <c r="AK148" s="232"/>
    </row>
    <row r="149" spans="2:37" ht="56.25" customHeight="1">
      <c r="B149" s="566" t="s">
        <v>316</v>
      </c>
      <c r="C149" s="566"/>
      <c r="D149" s="566"/>
      <c r="E149" s="566"/>
      <c r="F149" s="566"/>
      <c r="G149" s="566"/>
      <c r="H149" s="566"/>
      <c r="I149" s="566"/>
      <c r="J149" s="566"/>
      <c r="K149" s="566"/>
      <c r="L149" s="566"/>
      <c r="M149" s="566"/>
      <c r="N149" s="566"/>
      <c r="O149" s="566"/>
      <c r="P149" s="566"/>
      <c r="Q149" s="566"/>
      <c r="R149" s="566"/>
      <c r="S149" s="566"/>
      <c r="T149" s="566"/>
      <c r="U149" s="566"/>
      <c r="V149" s="566"/>
      <c r="W149" s="566"/>
      <c r="X149" s="566"/>
      <c r="Y149" s="566"/>
      <c r="Z149" s="566"/>
      <c r="AA149" s="566"/>
      <c r="AB149" s="566"/>
      <c r="AC149" s="566"/>
      <c r="AD149" s="566"/>
      <c r="AE149" s="566"/>
      <c r="AF149" s="566"/>
      <c r="AG149" s="566"/>
      <c r="AH149" s="566"/>
      <c r="AI149" s="566"/>
      <c r="AJ149" s="566"/>
      <c r="AK149" s="566"/>
    </row>
    <row r="150" spans="2:37" ht="22.5" customHeight="1">
      <c r="B150" s="562" t="s">
        <v>231</v>
      </c>
      <c r="C150" s="562"/>
      <c r="D150" s="562"/>
      <c r="E150" s="562"/>
      <c r="F150" s="562"/>
      <c r="G150" s="562"/>
      <c r="H150" s="562"/>
      <c r="I150" s="562"/>
      <c r="J150" s="562"/>
      <c r="K150" s="562"/>
      <c r="L150" s="562"/>
      <c r="M150" s="562"/>
      <c r="N150" s="562"/>
      <c r="O150" s="562"/>
      <c r="P150" s="562"/>
      <c r="Q150" s="562"/>
      <c r="R150" s="562"/>
      <c r="S150" s="562"/>
      <c r="T150" s="562"/>
      <c r="U150" s="562"/>
      <c r="V150" s="562"/>
      <c r="W150" s="562"/>
      <c r="X150" s="562"/>
      <c r="Y150" s="562"/>
      <c r="Z150" s="562"/>
      <c r="AA150" s="562"/>
      <c r="AB150" s="562"/>
      <c r="AC150" s="562"/>
      <c r="AD150" s="562"/>
      <c r="AE150" s="562"/>
      <c r="AF150" s="562"/>
      <c r="AG150" s="562"/>
      <c r="AH150" s="562"/>
      <c r="AI150" s="562"/>
      <c r="AJ150" s="562"/>
      <c r="AK150" s="562"/>
    </row>
    <row r="151" spans="2:37" ht="11.25" customHeight="1">
      <c r="B151" s="232"/>
      <c r="C151" s="232"/>
      <c r="D151" s="232"/>
      <c r="E151" s="232"/>
      <c r="F151" s="232"/>
      <c r="G151" s="232"/>
      <c r="H151" s="232"/>
      <c r="I151" s="232"/>
      <c r="J151" s="232"/>
      <c r="K151" s="232"/>
      <c r="L151" s="232"/>
      <c r="M151" s="232"/>
      <c r="N151" s="232"/>
      <c r="O151" s="232"/>
      <c r="P151" s="232"/>
      <c r="Q151" s="232"/>
      <c r="R151" s="232"/>
      <c r="S151" s="232"/>
      <c r="T151" s="232"/>
      <c r="U151" s="232"/>
      <c r="V151" s="232"/>
      <c r="W151" s="232"/>
      <c r="X151" s="232"/>
      <c r="Y151" s="232"/>
      <c r="Z151" s="232"/>
      <c r="AA151" s="232"/>
      <c r="AB151" s="232"/>
      <c r="AC151" s="232"/>
      <c r="AD151" s="232"/>
      <c r="AE151" s="232"/>
      <c r="AF151" s="232"/>
      <c r="AG151" s="232"/>
      <c r="AH151" s="232"/>
      <c r="AI151" s="232"/>
      <c r="AJ151" s="232"/>
      <c r="AK151" s="232"/>
    </row>
    <row r="152" spans="2:37" ht="56.25" customHeight="1">
      <c r="B152" s="566" t="s">
        <v>317</v>
      </c>
      <c r="C152" s="566"/>
      <c r="D152" s="566"/>
      <c r="E152" s="566"/>
      <c r="F152" s="566"/>
      <c r="G152" s="566"/>
      <c r="H152" s="566"/>
      <c r="I152" s="566"/>
      <c r="J152" s="566"/>
      <c r="K152" s="566"/>
      <c r="L152" s="566"/>
      <c r="M152" s="566"/>
      <c r="N152" s="566"/>
      <c r="O152" s="566"/>
      <c r="P152" s="566"/>
      <c r="Q152" s="566"/>
      <c r="R152" s="566"/>
      <c r="S152" s="566"/>
      <c r="T152" s="566"/>
      <c r="U152" s="566"/>
      <c r="V152" s="566"/>
      <c r="W152" s="566"/>
      <c r="X152" s="566"/>
      <c r="Y152" s="566"/>
      <c r="Z152" s="566"/>
      <c r="AA152" s="566"/>
      <c r="AB152" s="566"/>
      <c r="AC152" s="566"/>
      <c r="AD152" s="566"/>
      <c r="AE152" s="566"/>
      <c r="AF152" s="566"/>
      <c r="AG152" s="566"/>
      <c r="AH152" s="566"/>
      <c r="AI152" s="566"/>
      <c r="AJ152" s="566"/>
      <c r="AK152" s="566"/>
    </row>
    <row r="153" spans="2:37" ht="11.25" customHeight="1">
      <c r="B153" s="232"/>
      <c r="C153" s="232"/>
      <c r="D153" s="232"/>
      <c r="E153" s="232"/>
      <c r="F153" s="232"/>
      <c r="G153" s="232"/>
      <c r="H153" s="232"/>
      <c r="I153" s="232"/>
      <c r="J153" s="232"/>
      <c r="K153" s="232"/>
      <c r="L153" s="232"/>
      <c r="M153" s="232"/>
      <c r="N153" s="232"/>
      <c r="O153" s="232"/>
      <c r="P153" s="232"/>
      <c r="Q153" s="232"/>
      <c r="R153" s="232"/>
      <c r="S153" s="232"/>
      <c r="T153" s="232"/>
      <c r="U153" s="232"/>
      <c r="V153" s="232"/>
      <c r="W153" s="232"/>
      <c r="X153" s="232"/>
      <c r="Y153" s="232"/>
      <c r="Z153" s="232"/>
      <c r="AA153" s="232"/>
      <c r="AB153" s="232"/>
      <c r="AC153" s="232"/>
      <c r="AD153" s="232"/>
      <c r="AE153" s="232"/>
      <c r="AF153" s="232"/>
      <c r="AG153" s="232"/>
      <c r="AH153" s="232"/>
      <c r="AI153" s="232"/>
      <c r="AJ153" s="232"/>
      <c r="AK153" s="232"/>
    </row>
    <row r="154" spans="2:37" ht="78.75" customHeight="1">
      <c r="B154" s="566" t="s">
        <v>318</v>
      </c>
      <c r="C154" s="566"/>
      <c r="D154" s="566"/>
      <c r="E154" s="566"/>
      <c r="F154" s="566"/>
      <c r="G154" s="566"/>
      <c r="H154" s="566"/>
      <c r="I154" s="566"/>
      <c r="J154" s="566"/>
      <c r="K154" s="566"/>
      <c r="L154" s="566"/>
      <c r="M154" s="566"/>
      <c r="N154" s="566"/>
      <c r="O154" s="566"/>
      <c r="P154" s="566"/>
      <c r="Q154" s="566"/>
      <c r="R154" s="566"/>
      <c r="S154" s="566"/>
      <c r="T154" s="566"/>
      <c r="U154" s="566"/>
      <c r="V154" s="566"/>
      <c r="W154" s="566"/>
      <c r="X154" s="566"/>
      <c r="Y154" s="566"/>
      <c r="Z154" s="566"/>
      <c r="AA154" s="566"/>
      <c r="AB154" s="566"/>
      <c r="AC154" s="566"/>
      <c r="AD154" s="566"/>
      <c r="AE154" s="566"/>
      <c r="AF154" s="566"/>
      <c r="AG154" s="566"/>
      <c r="AH154" s="566"/>
      <c r="AI154" s="566"/>
      <c r="AJ154" s="566"/>
      <c r="AK154" s="566"/>
    </row>
    <row r="155" spans="2:37" ht="56.25" customHeight="1">
      <c r="B155" s="562" t="s">
        <v>234</v>
      </c>
      <c r="C155" s="562"/>
      <c r="D155" s="562"/>
      <c r="E155" s="562"/>
      <c r="F155" s="562"/>
      <c r="G155" s="562"/>
      <c r="H155" s="562"/>
      <c r="I155" s="562"/>
      <c r="J155" s="562"/>
      <c r="K155" s="562"/>
      <c r="L155" s="562"/>
      <c r="M155" s="562"/>
      <c r="N155" s="562"/>
      <c r="O155" s="562"/>
      <c r="P155" s="562"/>
      <c r="Q155" s="562"/>
      <c r="R155" s="562"/>
      <c r="S155" s="562"/>
      <c r="T155" s="562"/>
      <c r="U155" s="562"/>
      <c r="V155" s="562"/>
      <c r="W155" s="562"/>
      <c r="X155" s="562"/>
      <c r="Y155" s="562"/>
      <c r="Z155" s="562"/>
      <c r="AA155" s="562"/>
      <c r="AB155" s="562"/>
      <c r="AC155" s="562"/>
      <c r="AD155" s="562"/>
      <c r="AE155" s="562"/>
      <c r="AF155" s="562"/>
      <c r="AG155" s="562"/>
      <c r="AH155" s="562"/>
      <c r="AI155" s="562"/>
      <c r="AJ155" s="562"/>
      <c r="AK155" s="562"/>
    </row>
    <row r="156" spans="2:37" ht="22.5" customHeight="1">
      <c r="B156" s="562" t="s">
        <v>235</v>
      </c>
      <c r="C156" s="562"/>
      <c r="D156" s="562"/>
      <c r="E156" s="562"/>
      <c r="F156" s="562"/>
      <c r="G156" s="562"/>
      <c r="H156" s="562"/>
      <c r="I156" s="562"/>
      <c r="J156" s="562"/>
      <c r="K156" s="562"/>
      <c r="L156" s="562"/>
      <c r="M156" s="562"/>
      <c r="N156" s="562"/>
      <c r="O156" s="562"/>
      <c r="P156" s="562"/>
      <c r="Q156" s="562"/>
      <c r="R156" s="562"/>
      <c r="S156" s="562"/>
      <c r="T156" s="562"/>
      <c r="U156" s="562"/>
      <c r="V156" s="562"/>
      <c r="W156" s="562"/>
      <c r="X156" s="562"/>
      <c r="Y156" s="562"/>
      <c r="Z156" s="562"/>
      <c r="AA156" s="562"/>
      <c r="AB156" s="562"/>
      <c r="AC156" s="562"/>
      <c r="AD156" s="562"/>
      <c r="AE156" s="562"/>
      <c r="AF156" s="562"/>
      <c r="AG156" s="562"/>
      <c r="AH156" s="562"/>
      <c r="AI156" s="562"/>
      <c r="AJ156" s="562"/>
      <c r="AK156" s="562"/>
    </row>
    <row r="157" spans="2:37" ht="11.25" customHeight="1">
      <c r="B157" s="232"/>
      <c r="C157" s="232"/>
      <c r="D157" s="232"/>
      <c r="E157" s="232"/>
      <c r="F157" s="232"/>
      <c r="G157" s="232"/>
      <c r="H157" s="232"/>
      <c r="I157" s="232"/>
      <c r="J157" s="232"/>
      <c r="K157" s="232"/>
      <c r="L157" s="232"/>
      <c r="M157" s="232"/>
      <c r="N157" s="232"/>
      <c r="O157" s="232"/>
      <c r="P157" s="232"/>
      <c r="Q157" s="232"/>
      <c r="R157" s="232"/>
      <c r="S157" s="232"/>
      <c r="T157" s="232"/>
      <c r="U157" s="232"/>
      <c r="V157" s="232"/>
      <c r="W157" s="232"/>
      <c r="X157" s="232"/>
      <c r="Y157" s="232"/>
      <c r="Z157" s="232"/>
      <c r="AA157" s="232"/>
      <c r="AB157" s="232"/>
      <c r="AC157" s="232"/>
      <c r="AD157" s="232"/>
      <c r="AE157" s="232"/>
      <c r="AF157" s="232"/>
      <c r="AG157" s="232"/>
      <c r="AH157" s="232"/>
      <c r="AI157" s="232"/>
      <c r="AJ157" s="232"/>
      <c r="AK157" s="232"/>
    </row>
    <row r="158" spans="2:37" ht="316.5" customHeight="1">
      <c r="B158" s="566" t="s">
        <v>473</v>
      </c>
      <c r="C158" s="566"/>
      <c r="D158" s="566"/>
      <c r="E158" s="566"/>
      <c r="F158" s="566"/>
      <c r="G158" s="566"/>
      <c r="H158" s="566"/>
      <c r="I158" s="566"/>
      <c r="J158" s="566"/>
      <c r="K158" s="566"/>
      <c r="L158" s="566"/>
      <c r="M158" s="566"/>
      <c r="N158" s="566"/>
      <c r="O158" s="566"/>
      <c r="P158" s="566"/>
      <c r="Q158" s="566"/>
      <c r="R158" s="566"/>
      <c r="S158" s="566"/>
      <c r="T158" s="566"/>
      <c r="U158" s="566"/>
      <c r="V158" s="566"/>
      <c r="W158" s="566"/>
      <c r="X158" s="566"/>
      <c r="Y158" s="566"/>
      <c r="Z158" s="566"/>
      <c r="AA158" s="566"/>
      <c r="AB158" s="566"/>
      <c r="AC158" s="566"/>
      <c r="AD158" s="566"/>
      <c r="AE158" s="566"/>
      <c r="AF158" s="566"/>
      <c r="AG158" s="566"/>
      <c r="AH158" s="566"/>
      <c r="AI158" s="566"/>
      <c r="AJ158" s="566"/>
      <c r="AK158" s="566"/>
    </row>
    <row r="159" spans="2:37" ht="11.25" customHeight="1">
      <c r="B159" s="232"/>
      <c r="C159" s="232"/>
      <c r="D159" s="232"/>
      <c r="E159" s="232"/>
      <c r="F159" s="232"/>
      <c r="G159" s="232"/>
      <c r="H159" s="232"/>
      <c r="I159" s="232"/>
      <c r="J159" s="232"/>
      <c r="K159" s="232"/>
      <c r="L159" s="232"/>
      <c r="M159" s="232"/>
      <c r="N159" s="232"/>
      <c r="O159" s="232"/>
      <c r="P159" s="232"/>
      <c r="Q159" s="232"/>
      <c r="R159" s="232"/>
      <c r="S159" s="232"/>
      <c r="T159" s="232"/>
      <c r="U159" s="232"/>
      <c r="V159" s="232"/>
      <c r="W159" s="232"/>
      <c r="X159" s="232"/>
      <c r="Y159" s="232"/>
      <c r="Z159" s="232"/>
      <c r="AA159" s="232"/>
      <c r="AB159" s="232"/>
      <c r="AC159" s="232"/>
      <c r="AD159" s="232"/>
      <c r="AE159" s="232"/>
      <c r="AF159" s="232"/>
      <c r="AG159" s="232"/>
      <c r="AH159" s="232"/>
      <c r="AI159" s="232"/>
      <c r="AJ159" s="232"/>
      <c r="AK159" s="232"/>
    </row>
    <row r="160" spans="2:37" ht="56.25" customHeight="1">
      <c r="B160" s="566" t="s">
        <v>474</v>
      </c>
      <c r="C160" s="566"/>
      <c r="D160" s="566"/>
      <c r="E160" s="566"/>
      <c r="F160" s="566"/>
      <c r="G160" s="566"/>
      <c r="H160" s="566"/>
      <c r="I160" s="566"/>
      <c r="J160" s="566"/>
      <c r="K160" s="566"/>
      <c r="L160" s="566"/>
      <c r="M160" s="566"/>
      <c r="N160" s="566"/>
      <c r="O160" s="566"/>
      <c r="P160" s="566"/>
      <c r="Q160" s="566"/>
      <c r="R160" s="566"/>
      <c r="S160" s="566"/>
      <c r="T160" s="566"/>
      <c r="U160" s="566"/>
      <c r="V160" s="566"/>
      <c r="W160" s="566"/>
      <c r="X160" s="566"/>
      <c r="Y160" s="566"/>
      <c r="Z160" s="566"/>
      <c r="AA160" s="566"/>
      <c r="AB160" s="566"/>
      <c r="AC160" s="566"/>
      <c r="AD160" s="566"/>
      <c r="AE160" s="566"/>
      <c r="AF160" s="566"/>
      <c r="AG160" s="566"/>
      <c r="AH160" s="566"/>
      <c r="AI160" s="566"/>
      <c r="AJ160" s="566"/>
      <c r="AK160" s="566"/>
    </row>
    <row r="161" spans="2:37" ht="11.25" customHeight="1">
      <c r="B161" s="232"/>
      <c r="C161" s="232"/>
      <c r="D161" s="232"/>
      <c r="E161" s="232"/>
      <c r="F161" s="232"/>
      <c r="G161" s="232"/>
      <c r="H161" s="232"/>
      <c r="I161" s="232"/>
      <c r="J161" s="232"/>
      <c r="K161" s="232"/>
      <c r="L161" s="232"/>
      <c r="M161" s="232"/>
      <c r="N161" s="232"/>
      <c r="O161" s="232"/>
      <c r="P161" s="232"/>
      <c r="Q161" s="232"/>
      <c r="R161" s="232"/>
      <c r="S161" s="232"/>
      <c r="T161" s="232"/>
      <c r="U161" s="232"/>
      <c r="V161" s="232"/>
      <c r="W161" s="232"/>
      <c r="X161" s="232"/>
      <c r="Y161" s="232"/>
      <c r="Z161" s="232"/>
      <c r="AA161" s="232"/>
      <c r="AB161" s="232"/>
      <c r="AC161" s="232"/>
      <c r="AD161" s="232"/>
      <c r="AE161" s="232"/>
      <c r="AF161" s="232"/>
      <c r="AG161" s="232"/>
      <c r="AH161" s="232"/>
      <c r="AI161" s="232"/>
      <c r="AJ161" s="232"/>
      <c r="AK161" s="232"/>
    </row>
    <row r="162" spans="2:37" ht="378.75" customHeight="1">
      <c r="B162" s="566" t="s">
        <v>475</v>
      </c>
      <c r="C162" s="566"/>
      <c r="D162" s="566"/>
      <c r="E162" s="566"/>
      <c r="F162" s="566"/>
      <c r="G162" s="566"/>
      <c r="H162" s="566"/>
      <c r="I162" s="566"/>
      <c r="J162" s="566"/>
      <c r="K162" s="566"/>
      <c r="L162" s="566"/>
      <c r="M162" s="566"/>
      <c r="N162" s="566"/>
      <c r="O162" s="566"/>
      <c r="P162" s="566"/>
      <c r="Q162" s="566"/>
      <c r="R162" s="566"/>
      <c r="S162" s="566"/>
      <c r="T162" s="566"/>
      <c r="U162" s="566"/>
      <c r="V162" s="566"/>
      <c r="W162" s="566"/>
      <c r="X162" s="566"/>
      <c r="Y162" s="566"/>
      <c r="Z162" s="566"/>
      <c r="AA162" s="566"/>
      <c r="AB162" s="566"/>
      <c r="AC162" s="566"/>
      <c r="AD162" s="566"/>
      <c r="AE162" s="566"/>
      <c r="AF162" s="566"/>
      <c r="AG162" s="566"/>
      <c r="AH162" s="566"/>
      <c r="AI162" s="566"/>
      <c r="AJ162" s="566"/>
      <c r="AK162" s="566"/>
    </row>
    <row r="163" spans="2:37" ht="11.25" customHeight="1">
      <c r="B163" s="232"/>
      <c r="C163" s="232"/>
      <c r="D163" s="232"/>
      <c r="E163" s="232"/>
      <c r="F163" s="232"/>
      <c r="G163" s="232"/>
      <c r="H163" s="232"/>
      <c r="I163" s="232"/>
      <c r="J163" s="232"/>
      <c r="K163" s="232"/>
      <c r="L163" s="232"/>
      <c r="M163" s="232"/>
      <c r="N163" s="232"/>
      <c r="O163" s="232"/>
      <c r="P163" s="232"/>
      <c r="Q163" s="232"/>
      <c r="R163" s="232"/>
      <c r="S163" s="232"/>
      <c r="T163" s="232"/>
      <c r="U163" s="232"/>
      <c r="V163" s="232"/>
      <c r="W163" s="232"/>
      <c r="X163" s="232"/>
      <c r="Y163" s="232"/>
      <c r="Z163" s="232"/>
      <c r="AA163" s="232"/>
      <c r="AB163" s="232"/>
      <c r="AC163" s="232"/>
      <c r="AD163" s="232"/>
      <c r="AE163" s="232"/>
      <c r="AF163" s="232"/>
      <c r="AG163" s="232"/>
      <c r="AH163" s="232"/>
      <c r="AI163" s="232"/>
      <c r="AJ163" s="232"/>
      <c r="AK163" s="232"/>
    </row>
    <row r="164" spans="2:37" ht="22.5" customHeight="1">
      <c r="B164" s="566" t="s">
        <v>323</v>
      </c>
      <c r="C164" s="566"/>
      <c r="D164" s="566"/>
      <c r="E164" s="566"/>
      <c r="F164" s="566"/>
      <c r="G164" s="566"/>
      <c r="H164" s="566"/>
      <c r="I164" s="566"/>
      <c r="J164" s="566"/>
      <c r="K164" s="566"/>
      <c r="L164" s="566"/>
      <c r="M164" s="566"/>
      <c r="N164" s="566"/>
      <c r="O164" s="566"/>
      <c r="P164" s="566"/>
      <c r="Q164" s="566"/>
      <c r="R164" s="566"/>
      <c r="S164" s="566"/>
      <c r="T164" s="566"/>
      <c r="U164" s="566"/>
      <c r="V164" s="566"/>
      <c r="W164" s="566"/>
      <c r="X164" s="566"/>
      <c r="Y164" s="566"/>
      <c r="Z164" s="566"/>
      <c r="AA164" s="566"/>
      <c r="AB164" s="566"/>
      <c r="AC164" s="566"/>
      <c r="AD164" s="566"/>
      <c r="AE164" s="566"/>
      <c r="AF164" s="566"/>
      <c r="AG164" s="566"/>
      <c r="AH164" s="566"/>
      <c r="AI164" s="566"/>
      <c r="AJ164" s="566"/>
      <c r="AK164" s="566"/>
    </row>
    <row r="165" spans="2:37" ht="11.25" customHeight="1">
      <c r="B165" s="232"/>
      <c r="C165" s="232"/>
      <c r="D165" s="232"/>
      <c r="E165" s="232"/>
      <c r="F165" s="232"/>
      <c r="G165" s="232"/>
      <c r="H165" s="232"/>
      <c r="I165" s="232"/>
      <c r="J165" s="232"/>
      <c r="K165" s="232"/>
      <c r="L165" s="232"/>
      <c r="M165" s="232"/>
      <c r="N165" s="232"/>
      <c r="O165" s="232"/>
      <c r="P165" s="232"/>
      <c r="Q165" s="232"/>
      <c r="R165" s="232"/>
      <c r="S165" s="232"/>
      <c r="T165" s="232"/>
      <c r="U165" s="232"/>
      <c r="V165" s="232"/>
      <c r="W165" s="232"/>
      <c r="X165" s="232"/>
      <c r="Y165" s="232"/>
      <c r="Z165" s="232"/>
      <c r="AA165" s="232"/>
      <c r="AB165" s="232"/>
      <c r="AC165" s="232"/>
      <c r="AD165" s="232"/>
      <c r="AE165" s="232"/>
      <c r="AF165" s="232"/>
      <c r="AG165" s="232"/>
      <c r="AH165" s="232"/>
      <c r="AI165" s="232"/>
      <c r="AJ165" s="232"/>
      <c r="AK165" s="232"/>
    </row>
    <row r="166" spans="2:37" ht="33.75" customHeight="1">
      <c r="B166" s="566" t="s">
        <v>324</v>
      </c>
      <c r="C166" s="566"/>
      <c r="D166" s="566"/>
      <c r="E166" s="566"/>
      <c r="F166" s="566"/>
      <c r="G166" s="566"/>
      <c r="H166" s="566"/>
      <c r="I166" s="566"/>
      <c r="J166" s="566"/>
      <c r="K166" s="566"/>
      <c r="L166" s="566"/>
      <c r="M166" s="566"/>
      <c r="N166" s="566"/>
      <c r="O166" s="566"/>
      <c r="P166" s="566"/>
      <c r="Q166" s="566"/>
      <c r="R166" s="566"/>
      <c r="S166" s="566"/>
      <c r="T166" s="566"/>
      <c r="U166" s="566"/>
      <c r="V166" s="566"/>
      <c r="W166" s="566"/>
      <c r="X166" s="566"/>
      <c r="Y166" s="566"/>
      <c r="Z166" s="566"/>
      <c r="AA166" s="566"/>
      <c r="AB166" s="566"/>
      <c r="AC166" s="566"/>
      <c r="AD166" s="566"/>
      <c r="AE166" s="566"/>
      <c r="AF166" s="566"/>
      <c r="AG166" s="566"/>
      <c r="AH166" s="566"/>
      <c r="AI166" s="566"/>
      <c r="AJ166" s="566"/>
      <c r="AK166" s="566"/>
    </row>
    <row r="167" spans="2:37" ht="11.25" customHeight="1">
      <c r="B167" s="232"/>
      <c r="C167" s="232"/>
      <c r="D167" s="232"/>
      <c r="E167" s="232"/>
      <c r="F167" s="232"/>
      <c r="G167" s="232"/>
      <c r="H167" s="232"/>
      <c r="I167" s="232"/>
      <c r="J167" s="232"/>
      <c r="K167" s="232"/>
      <c r="L167" s="232"/>
      <c r="M167" s="232"/>
      <c r="N167" s="232"/>
      <c r="O167" s="232"/>
      <c r="P167" s="232"/>
      <c r="Q167" s="232"/>
      <c r="R167" s="232"/>
      <c r="S167" s="232"/>
      <c r="T167" s="232"/>
      <c r="U167" s="232"/>
      <c r="V167" s="232"/>
      <c r="W167" s="232"/>
      <c r="X167" s="232"/>
      <c r="Y167" s="232"/>
      <c r="Z167" s="232"/>
      <c r="AA167" s="232"/>
      <c r="AB167" s="232"/>
      <c r="AC167" s="232"/>
      <c r="AD167" s="232"/>
      <c r="AE167" s="232"/>
      <c r="AF167" s="232"/>
      <c r="AG167" s="232"/>
      <c r="AH167" s="232"/>
      <c r="AI167" s="232"/>
      <c r="AJ167" s="232"/>
      <c r="AK167" s="232"/>
    </row>
    <row r="168" spans="2:37" ht="45" customHeight="1">
      <c r="B168" s="566" t="s">
        <v>325</v>
      </c>
      <c r="C168" s="566"/>
      <c r="D168" s="566"/>
      <c r="E168" s="566"/>
      <c r="F168" s="566"/>
      <c r="G168" s="566"/>
      <c r="H168" s="566"/>
      <c r="I168" s="566"/>
      <c r="J168" s="566"/>
      <c r="K168" s="566"/>
      <c r="L168" s="566"/>
      <c r="M168" s="566"/>
      <c r="N168" s="566"/>
      <c r="O168" s="566"/>
      <c r="P168" s="566"/>
      <c r="Q168" s="566"/>
      <c r="R168" s="566"/>
      <c r="S168" s="566"/>
      <c r="T168" s="566"/>
      <c r="U168" s="566"/>
      <c r="V168" s="566"/>
      <c r="W168" s="566"/>
      <c r="X168" s="566"/>
      <c r="Y168" s="566"/>
      <c r="Z168" s="566"/>
      <c r="AA168" s="566"/>
      <c r="AB168" s="566"/>
      <c r="AC168" s="566"/>
      <c r="AD168" s="566"/>
      <c r="AE168" s="566"/>
      <c r="AF168" s="566"/>
      <c r="AG168" s="566"/>
      <c r="AH168" s="566"/>
      <c r="AI168" s="566"/>
      <c r="AJ168" s="566"/>
      <c r="AK168" s="566"/>
    </row>
    <row r="169" spans="2:37" ht="11.25" customHeight="1">
      <c r="B169" s="232"/>
      <c r="C169" s="232"/>
      <c r="D169" s="232"/>
      <c r="E169" s="232"/>
      <c r="F169" s="232"/>
      <c r="G169" s="232"/>
      <c r="H169" s="232"/>
      <c r="I169" s="232"/>
      <c r="J169" s="232"/>
      <c r="K169" s="232"/>
      <c r="L169" s="232"/>
      <c r="M169" s="232"/>
      <c r="N169" s="232"/>
      <c r="O169" s="232"/>
      <c r="P169" s="232"/>
      <c r="Q169" s="232"/>
      <c r="R169" s="232"/>
      <c r="S169" s="232"/>
      <c r="T169" s="232"/>
      <c r="U169" s="232"/>
      <c r="V169" s="232"/>
      <c r="W169" s="232"/>
      <c r="X169" s="232"/>
      <c r="Y169" s="232"/>
      <c r="Z169" s="232"/>
      <c r="AA169" s="232"/>
      <c r="AB169" s="232"/>
      <c r="AC169" s="232"/>
      <c r="AD169" s="232"/>
      <c r="AE169" s="232"/>
      <c r="AF169" s="232"/>
      <c r="AG169" s="232"/>
      <c r="AH169" s="232"/>
      <c r="AI169" s="232"/>
      <c r="AJ169" s="232"/>
      <c r="AK169" s="232"/>
    </row>
    <row r="170" spans="2:37" ht="22.5" customHeight="1">
      <c r="B170" s="566" t="s">
        <v>326</v>
      </c>
      <c r="C170" s="566"/>
      <c r="D170" s="566"/>
      <c r="E170" s="566"/>
      <c r="F170" s="566"/>
      <c r="G170" s="566"/>
      <c r="H170" s="566"/>
      <c r="I170" s="566"/>
      <c r="J170" s="566"/>
      <c r="K170" s="566"/>
      <c r="L170" s="566"/>
      <c r="M170" s="566"/>
      <c r="N170" s="566"/>
      <c r="O170" s="566"/>
      <c r="P170" s="566"/>
      <c r="Q170" s="566"/>
      <c r="R170" s="566"/>
      <c r="S170" s="566"/>
      <c r="T170" s="566"/>
      <c r="U170" s="566"/>
      <c r="V170" s="566"/>
      <c r="W170" s="566"/>
      <c r="X170" s="566"/>
      <c r="Y170" s="566"/>
      <c r="Z170" s="566"/>
      <c r="AA170" s="566"/>
      <c r="AB170" s="566"/>
      <c r="AC170" s="566"/>
      <c r="AD170" s="566"/>
      <c r="AE170" s="566"/>
      <c r="AF170" s="566"/>
      <c r="AG170" s="566"/>
      <c r="AH170" s="566"/>
      <c r="AI170" s="566"/>
      <c r="AJ170" s="566"/>
      <c r="AK170" s="566"/>
    </row>
    <row r="171" spans="2:37" ht="11.25" customHeight="1">
      <c r="B171" s="232"/>
      <c r="C171" s="232"/>
      <c r="D171" s="232"/>
      <c r="E171" s="232"/>
      <c r="F171" s="232"/>
      <c r="G171" s="232"/>
      <c r="H171" s="232"/>
      <c r="I171" s="232"/>
      <c r="J171" s="232"/>
      <c r="K171" s="232"/>
      <c r="L171" s="232"/>
      <c r="M171" s="232"/>
      <c r="N171" s="232"/>
      <c r="O171" s="232"/>
      <c r="P171" s="232"/>
      <c r="Q171" s="232"/>
      <c r="R171" s="232"/>
      <c r="S171" s="232"/>
      <c r="T171" s="232"/>
      <c r="U171" s="232"/>
      <c r="V171" s="232"/>
      <c r="W171" s="232"/>
      <c r="X171" s="232"/>
      <c r="Y171" s="232"/>
      <c r="Z171" s="232"/>
      <c r="AA171" s="232"/>
      <c r="AB171" s="232"/>
      <c r="AC171" s="232"/>
      <c r="AD171" s="232"/>
      <c r="AE171" s="232"/>
      <c r="AF171" s="232"/>
      <c r="AG171" s="232"/>
      <c r="AH171" s="232"/>
      <c r="AI171" s="232"/>
      <c r="AJ171" s="232"/>
      <c r="AK171" s="232"/>
    </row>
    <row r="172" spans="2:37" ht="33.75" customHeight="1">
      <c r="B172" s="566" t="s">
        <v>327</v>
      </c>
      <c r="C172" s="566"/>
      <c r="D172" s="566"/>
      <c r="E172" s="566"/>
      <c r="F172" s="566"/>
      <c r="G172" s="566"/>
      <c r="H172" s="566"/>
      <c r="I172" s="566"/>
      <c r="J172" s="566"/>
      <c r="K172" s="566"/>
      <c r="L172" s="566"/>
      <c r="M172" s="566"/>
      <c r="N172" s="566"/>
      <c r="O172" s="566"/>
      <c r="P172" s="566"/>
      <c r="Q172" s="566"/>
      <c r="R172" s="566"/>
      <c r="S172" s="566"/>
      <c r="T172" s="566"/>
      <c r="U172" s="566"/>
      <c r="V172" s="566"/>
      <c r="W172" s="566"/>
      <c r="X172" s="566"/>
      <c r="Y172" s="566"/>
      <c r="Z172" s="566"/>
      <c r="AA172" s="566"/>
      <c r="AB172" s="566"/>
      <c r="AC172" s="566"/>
      <c r="AD172" s="566"/>
      <c r="AE172" s="566"/>
      <c r="AF172" s="566"/>
      <c r="AG172" s="566"/>
      <c r="AH172" s="566"/>
      <c r="AI172" s="566"/>
      <c r="AJ172" s="566"/>
      <c r="AK172" s="566"/>
    </row>
    <row r="173" spans="2:37" ht="11.25" customHeight="1">
      <c r="B173" s="232"/>
      <c r="C173" s="232"/>
      <c r="D173" s="232"/>
      <c r="E173" s="232"/>
      <c r="F173" s="232"/>
      <c r="G173" s="232"/>
      <c r="H173" s="232"/>
      <c r="I173" s="232"/>
      <c r="J173" s="232"/>
      <c r="K173" s="232"/>
      <c r="L173" s="232"/>
      <c r="M173" s="232"/>
      <c r="N173" s="232"/>
      <c r="O173" s="232"/>
      <c r="P173" s="232"/>
      <c r="Q173" s="232"/>
      <c r="R173" s="232"/>
      <c r="S173" s="232"/>
      <c r="T173" s="232"/>
      <c r="U173" s="232"/>
      <c r="V173" s="232"/>
      <c r="W173" s="232"/>
      <c r="X173" s="232"/>
      <c r="Y173" s="232"/>
      <c r="Z173" s="232"/>
      <c r="AA173" s="232"/>
      <c r="AB173" s="232"/>
      <c r="AC173" s="232"/>
      <c r="AD173" s="232"/>
      <c r="AE173" s="232"/>
      <c r="AF173" s="232"/>
      <c r="AG173" s="232"/>
      <c r="AH173" s="232"/>
      <c r="AI173" s="232"/>
      <c r="AJ173" s="232"/>
      <c r="AK173" s="232"/>
    </row>
    <row r="174" spans="2:37" ht="33.75" customHeight="1">
      <c r="B174" s="566" t="s">
        <v>328</v>
      </c>
      <c r="C174" s="566"/>
      <c r="D174" s="566"/>
      <c r="E174" s="566"/>
      <c r="F174" s="566"/>
      <c r="G174" s="566"/>
      <c r="H174" s="566"/>
      <c r="I174" s="566"/>
      <c r="J174" s="566"/>
      <c r="K174" s="566"/>
      <c r="L174" s="566"/>
      <c r="M174" s="566"/>
      <c r="N174" s="566"/>
      <c r="O174" s="566"/>
      <c r="P174" s="566"/>
      <c r="Q174" s="566"/>
      <c r="R174" s="566"/>
      <c r="S174" s="566"/>
      <c r="T174" s="566"/>
      <c r="U174" s="566"/>
      <c r="V174" s="566"/>
      <c r="W174" s="566"/>
      <c r="X174" s="566"/>
      <c r="Y174" s="566"/>
      <c r="Z174" s="566"/>
      <c r="AA174" s="566"/>
      <c r="AB174" s="566"/>
      <c r="AC174" s="566"/>
      <c r="AD174" s="566"/>
      <c r="AE174" s="566"/>
      <c r="AF174" s="566"/>
      <c r="AG174" s="566"/>
      <c r="AH174" s="566"/>
      <c r="AI174" s="566"/>
      <c r="AJ174" s="566"/>
      <c r="AK174" s="566"/>
    </row>
    <row r="175" spans="2:37" ht="11.25" customHeight="1">
      <c r="B175" s="232"/>
      <c r="C175" s="232"/>
      <c r="D175" s="232"/>
      <c r="E175" s="232"/>
      <c r="F175" s="232"/>
      <c r="G175" s="232"/>
      <c r="H175" s="232"/>
      <c r="I175" s="232"/>
      <c r="J175" s="232"/>
      <c r="K175" s="232"/>
      <c r="L175" s="232"/>
      <c r="M175" s="232"/>
      <c r="N175" s="232"/>
      <c r="O175" s="232"/>
      <c r="P175" s="232"/>
      <c r="Q175" s="232"/>
      <c r="R175" s="232"/>
      <c r="S175" s="232"/>
      <c r="T175" s="232"/>
      <c r="U175" s="232"/>
      <c r="V175" s="232"/>
      <c r="W175" s="232"/>
      <c r="X175" s="232"/>
      <c r="Y175" s="232"/>
      <c r="Z175" s="232"/>
      <c r="AA175" s="232"/>
      <c r="AB175" s="232"/>
      <c r="AC175" s="232"/>
      <c r="AD175" s="232"/>
      <c r="AE175" s="232"/>
      <c r="AF175" s="232"/>
      <c r="AG175" s="232"/>
      <c r="AH175" s="232"/>
      <c r="AI175" s="232"/>
      <c r="AJ175" s="232"/>
      <c r="AK175" s="232"/>
    </row>
    <row r="176" spans="2:37" ht="56.25" customHeight="1">
      <c r="B176" s="566" t="s">
        <v>329</v>
      </c>
      <c r="C176" s="566"/>
      <c r="D176" s="566"/>
      <c r="E176" s="566"/>
      <c r="F176" s="566"/>
      <c r="G176" s="566"/>
      <c r="H176" s="566"/>
      <c r="I176" s="566"/>
      <c r="J176" s="566"/>
      <c r="K176" s="566"/>
      <c r="L176" s="566"/>
      <c r="M176" s="566"/>
      <c r="N176" s="566"/>
      <c r="O176" s="566"/>
      <c r="P176" s="566"/>
      <c r="Q176" s="566"/>
      <c r="R176" s="566"/>
      <c r="S176" s="566"/>
      <c r="T176" s="566"/>
      <c r="U176" s="566"/>
      <c r="V176" s="566"/>
      <c r="W176" s="566"/>
      <c r="X176" s="566"/>
      <c r="Y176" s="566"/>
      <c r="Z176" s="566"/>
      <c r="AA176" s="566"/>
      <c r="AB176" s="566"/>
      <c r="AC176" s="566"/>
      <c r="AD176" s="566"/>
      <c r="AE176" s="566"/>
      <c r="AF176" s="566"/>
      <c r="AG176" s="566"/>
      <c r="AH176" s="566"/>
      <c r="AI176" s="566"/>
      <c r="AJ176" s="566"/>
      <c r="AK176" s="566"/>
    </row>
    <row r="177" spans="2:37" ht="33.75" customHeight="1">
      <c r="B177" s="562" t="s">
        <v>476</v>
      </c>
      <c r="C177" s="562"/>
      <c r="D177" s="562"/>
      <c r="E177" s="562"/>
      <c r="F177" s="562"/>
      <c r="G177" s="562"/>
      <c r="H177" s="562"/>
      <c r="I177" s="562"/>
      <c r="J177" s="562"/>
      <c r="K177" s="562"/>
      <c r="L177" s="562"/>
      <c r="M177" s="562"/>
      <c r="N177" s="562"/>
      <c r="O177" s="562"/>
      <c r="P177" s="562"/>
      <c r="Q177" s="562"/>
      <c r="R177" s="562"/>
      <c r="S177" s="562"/>
      <c r="T177" s="562"/>
      <c r="U177" s="562"/>
      <c r="V177" s="562"/>
      <c r="W177" s="562"/>
      <c r="X177" s="562"/>
      <c r="Y177" s="562"/>
      <c r="Z177" s="562"/>
      <c r="AA177" s="562"/>
      <c r="AB177" s="562"/>
      <c r="AC177" s="562"/>
      <c r="AD177" s="562"/>
      <c r="AE177" s="562"/>
      <c r="AF177" s="562"/>
      <c r="AG177" s="562"/>
      <c r="AH177" s="562"/>
      <c r="AI177" s="562"/>
      <c r="AJ177" s="562"/>
      <c r="AK177" s="562"/>
    </row>
    <row r="178" spans="2:37" ht="11.25" customHeight="1">
      <c r="B178" s="232"/>
      <c r="C178" s="232"/>
      <c r="D178" s="232"/>
      <c r="E178" s="232"/>
      <c r="F178" s="232"/>
      <c r="G178" s="232"/>
      <c r="H178" s="232"/>
      <c r="I178" s="232"/>
      <c r="J178" s="232"/>
      <c r="K178" s="232"/>
      <c r="L178" s="232"/>
      <c r="M178" s="232"/>
      <c r="N178" s="232"/>
      <c r="O178" s="232"/>
      <c r="P178" s="232"/>
      <c r="Q178" s="232"/>
      <c r="R178" s="232"/>
      <c r="S178" s="232"/>
      <c r="T178" s="232"/>
      <c r="U178" s="232"/>
      <c r="V178" s="232"/>
      <c r="W178" s="232"/>
      <c r="X178" s="232"/>
      <c r="Y178" s="232"/>
      <c r="Z178" s="232"/>
      <c r="AA178" s="232"/>
      <c r="AB178" s="232"/>
      <c r="AC178" s="232"/>
      <c r="AD178" s="232"/>
      <c r="AE178" s="232"/>
      <c r="AF178" s="232"/>
      <c r="AG178" s="232"/>
      <c r="AH178" s="232"/>
      <c r="AI178" s="232"/>
      <c r="AJ178" s="232"/>
      <c r="AK178" s="232"/>
    </row>
    <row r="179" spans="2:37" ht="33.75" customHeight="1">
      <c r="B179" s="566" t="s">
        <v>330</v>
      </c>
      <c r="C179" s="566"/>
      <c r="D179" s="566"/>
      <c r="E179" s="566"/>
      <c r="F179" s="566"/>
      <c r="G179" s="566"/>
      <c r="H179" s="566"/>
      <c r="I179" s="566"/>
      <c r="J179" s="566"/>
      <c r="K179" s="566"/>
      <c r="L179" s="566"/>
      <c r="M179" s="566"/>
      <c r="N179" s="566"/>
      <c r="O179" s="566"/>
      <c r="P179" s="566"/>
      <c r="Q179" s="566"/>
      <c r="R179" s="566"/>
      <c r="S179" s="566"/>
      <c r="T179" s="566"/>
      <c r="U179" s="566"/>
      <c r="V179" s="566"/>
      <c r="W179" s="566"/>
      <c r="X179" s="566"/>
      <c r="Y179" s="566"/>
      <c r="Z179" s="566"/>
      <c r="AA179" s="566"/>
      <c r="AB179" s="566"/>
      <c r="AC179" s="566"/>
      <c r="AD179" s="566"/>
      <c r="AE179" s="566"/>
      <c r="AF179" s="566"/>
      <c r="AG179" s="566"/>
      <c r="AH179" s="566"/>
      <c r="AI179" s="566"/>
      <c r="AJ179" s="566"/>
      <c r="AK179" s="566"/>
    </row>
    <row r="180" spans="2:37" ht="56.25" customHeight="1">
      <c r="B180" s="562" t="s">
        <v>247</v>
      </c>
      <c r="C180" s="562"/>
      <c r="D180" s="562"/>
      <c r="E180" s="562"/>
      <c r="F180" s="562"/>
      <c r="G180" s="562"/>
      <c r="H180" s="562"/>
      <c r="I180" s="562"/>
      <c r="J180" s="562"/>
      <c r="K180" s="562"/>
      <c r="L180" s="562"/>
      <c r="M180" s="562"/>
      <c r="N180" s="562"/>
      <c r="O180" s="562"/>
      <c r="P180" s="562"/>
      <c r="Q180" s="562"/>
      <c r="R180" s="562"/>
      <c r="S180" s="562"/>
      <c r="T180" s="562"/>
      <c r="U180" s="562"/>
      <c r="V180" s="562"/>
      <c r="W180" s="562"/>
      <c r="X180" s="562"/>
      <c r="Y180" s="562"/>
      <c r="Z180" s="562"/>
      <c r="AA180" s="562"/>
      <c r="AB180" s="562"/>
      <c r="AC180" s="562"/>
      <c r="AD180" s="562"/>
      <c r="AE180" s="562"/>
      <c r="AF180" s="562"/>
      <c r="AG180" s="562"/>
      <c r="AH180" s="562"/>
      <c r="AI180" s="562"/>
      <c r="AJ180" s="562"/>
      <c r="AK180" s="562"/>
    </row>
    <row r="181" spans="2:37" ht="45" customHeight="1">
      <c r="B181" s="562" t="s">
        <v>248</v>
      </c>
      <c r="C181" s="562"/>
      <c r="D181" s="562"/>
      <c r="E181" s="562"/>
      <c r="F181" s="562"/>
      <c r="G181" s="562"/>
      <c r="H181" s="562"/>
      <c r="I181" s="562"/>
      <c r="J181" s="562"/>
      <c r="K181" s="562"/>
      <c r="L181" s="562"/>
      <c r="M181" s="562"/>
      <c r="N181" s="562"/>
      <c r="O181" s="562"/>
      <c r="P181" s="562"/>
      <c r="Q181" s="562"/>
      <c r="R181" s="562"/>
      <c r="S181" s="562"/>
      <c r="T181" s="562"/>
      <c r="U181" s="562"/>
      <c r="V181" s="562"/>
      <c r="W181" s="562"/>
      <c r="X181" s="562"/>
      <c r="Y181" s="562"/>
      <c r="Z181" s="562"/>
      <c r="AA181" s="562"/>
      <c r="AB181" s="562"/>
      <c r="AC181" s="562"/>
      <c r="AD181" s="562"/>
      <c r="AE181" s="562"/>
      <c r="AF181" s="562"/>
      <c r="AG181" s="562"/>
      <c r="AH181" s="562"/>
      <c r="AI181" s="562"/>
      <c r="AJ181" s="562"/>
      <c r="AK181" s="562"/>
    </row>
    <row r="182" spans="2:37" ht="22.5" customHeight="1">
      <c r="B182" s="562" t="s">
        <v>249</v>
      </c>
      <c r="C182" s="562"/>
      <c r="D182" s="562"/>
      <c r="E182" s="562"/>
      <c r="F182" s="562"/>
      <c r="G182" s="562"/>
      <c r="H182" s="562"/>
      <c r="I182" s="562"/>
      <c r="J182" s="562"/>
      <c r="K182" s="562"/>
      <c r="L182" s="562"/>
      <c r="M182" s="562"/>
      <c r="N182" s="562"/>
      <c r="O182" s="562"/>
      <c r="P182" s="562"/>
      <c r="Q182" s="562"/>
      <c r="R182" s="562"/>
      <c r="S182" s="562"/>
      <c r="T182" s="562"/>
      <c r="U182" s="562"/>
      <c r="V182" s="562"/>
      <c r="W182" s="562"/>
      <c r="X182" s="562"/>
      <c r="Y182" s="562"/>
      <c r="Z182" s="562"/>
      <c r="AA182" s="562"/>
      <c r="AB182" s="562"/>
      <c r="AC182" s="562"/>
      <c r="AD182" s="562"/>
      <c r="AE182" s="562"/>
      <c r="AF182" s="562"/>
      <c r="AG182" s="562"/>
      <c r="AH182" s="562"/>
      <c r="AI182" s="562"/>
      <c r="AJ182" s="562"/>
      <c r="AK182" s="562"/>
    </row>
    <row r="183" spans="2:37" ht="11.25" customHeight="1">
      <c r="B183" s="232"/>
      <c r="C183" s="232"/>
      <c r="D183" s="232"/>
      <c r="E183" s="232"/>
      <c r="F183" s="232"/>
      <c r="G183" s="232"/>
      <c r="H183" s="232"/>
      <c r="I183" s="232"/>
      <c r="J183" s="232"/>
      <c r="K183" s="232"/>
      <c r="L183" s="232"/>
      <c r="M183" s="232"/>
      <c r="N183" s="232"/>
      <c r="O183" s="232"/>
      <c r="P183" s="232"/>
      <c r="Q183" s="232"/>
      <c r="R183" s="232"/>
      <c r="S183" s="232"/>
      <c r="T183" s="232"/>
      <c r="U183" s="232"/>
      <c r="V183" s="232"/>
      <c r="W183" s="232"/>
      <c r="X183" s="232"/>
      <c r="Y183" s="232"/>
      <c r="Z183" s="232"/>
      <c r="AA183" s="232"/>
      <c r="AB183" s="232"/>
      <c r="AC183" s="232"/>
      <c r="AD183" s="232"/>
      <c r="AE183" s="232"/>
      <c r="AF183" s="232"/>
      <c r="AG183" s="232"/>
      <c r="AH183" s="232"/>
      <c r="AI183" s="232"/>
      <c r="AJ183" s="232"/>
      <c r="AK183" s="232"/>
    </row>
    <row r="184" spans="2:37" ht="67.5" customHeight="1">
      <c r="B184" s="566" t="s">
        <v>331</v>
      </c>
      <c r="C184" s="566"/>
      <c r="D184" s="566"/>
      <c r="E184" s="566"/>
      <c r="F184" s="566"/>
      <c r="G184" s="566"/>
      <c r="H184" s="566"/>
      <c r="I184" s="566"/>
      <c r="J184" s="566"/>
      <c r="K184" s="566"/>
      <c r="L184" s="566"/>
      <c r="M184" s="566"/>
      <c r="N184" s="566"/>
      <c r="O184" s="566"/>
      <c r="P184" s="566"/>
      <c r="Q184" s="566"/>
      <c r="R184" s="566"/>
      <c r="S184" s="566"/>
      <c r="T184" s="566"/>
      <c r="U184" s="566"/>
      <c r="V184" s="566"/>
      <c r="W184" s="566"/>
      <c r="X184" s="566"/>
      <c r="Y184" s="566"/>
      <c r="Z184" s="566"/>
      <c r="AA184" s="566"/>
      <c r="AB184" s="566"/>
      <c r="AC184" s="566"/>
      <c r="AD184" s="566"/>
      <c r="AE184" s="566"/>
      <c r="AF184" s="566"/>
      <c r="AG184" s="566"/>
      <c r="AH184" s="566"/>
      <c r="AI184" s="566"/>
      <c r="AJ184" s="566"/>
      <c r="AK184" s="566"/>
    </row>
    <row r="185" spans="2:37" ht="11.25" customHeight="1">
      <c r="B185" s="232"/>
      <c r="C185" s="232"/>
      <c r="D185" s="232"/>
      <c r="E185" s="232"/>
      <c r="F185" s="232"/>
      <c r="G185" s="232"/>
      <c r="H185" s="232"/>
      <c r="I185" s="232"/>
      <c r="J185" s="232"/>
      <c r="K185" s="232"/>
      <c r="L185" s="232"/>
      <c r="M185" s="232"/>
      <c r="N185" s="232"/>
      <c r="O185" s="232"/>
      <c r="P185" s="232"/>
      <c r="Q185" s="232"/>
      <c r="R185" s="232"/>
      <c r="S185" s="232"/>
      <c r="T185" s="232"/>
      <c r="U185" s="232"/>
      <c r="V185" s="232"/>
      <c r="W185" s="232"/>
      <c r="X185" s="232"/>
      <c r="Y185" s="232"/>
      <c r="Z185" s="232"/>
      <c r="AA185" s="232"/>
      <c r="AB185" s="232"/>
      <c r="AC185" s="232"/>
      <c r="AD185" s="232"/>
      <c r="AE185" s="232"/>
      <c r="AF185" s="232"/>
      <c r="AG185" s="232"/>
      <c r="AH185" s="232"/>
      <c r="AI185" s="232"/>
      <c r="AJ185" s="232"/>
      <c r="AK185" s="232"/>
    </row>
    <row r="186" spans="2:37" ht="22.5" customHeight="1">
      <c r="B186" s="566" t="s">
        <v>332</v>
      </c>
      <c r="C186" s="566"/>
      <c r="D186" s="566"/>
      <c r="E186" s="566"/>
      <c r="F186" s="566"/>
      <c r="G186" s="566"/>
      <c r="H186" s="566"/>
      <c r="I186" s="566"/>
      <c r="J186" s="566"/>
      <c r="K186" s="566"/>
      <c r="L186" s="566"/>
      <c r="M186" s="566"/>
      <c r="N186" s="566"/>
      <c r="O186" s="566"/>
      <c r="P186" s="566"/>
      <c r="Q186" s="566"/>
      <c r="R186" s="566"/>
      <c r="S186" s="566"/>
      <c r="T186" s="566"/>
      <c r="U186" s="566"/>
      <c r="V186" s="566"/>
      <c r="W186" s="566"/>
      <c r="X186" s="566"/>
      <c r="Y186" s="566"/>
      <c r="Z186" s="566"/>
      <c r="AA186" s="566"/>
      <c r="AB186" s="566"/>
      <c r="AC186" s="566"/>
      <c r="AD186" s="566"/>
      <c r="AE186" s="566"/>
      <c r="AF186" s="566"/>
      <c r="AG186" s="566"/>
      <c r="AH186" s="566"/>
      <c r="AI186" s="566"/>
      <c r="AJ186" s="566"/>
      <c r="AK186" s="566"/>
    </row>
    <row r="187" spans="2:37" ht="11.25" customHeight="1">
      <c r="B187" s="562"/>
      <c r="C187" s="562"/>
      <c r="D187" s="562"/>
      <c r="E187" s="562"/>
      <c r="F187" s="562"/>
      <c r="G187" s="562"/>
      <c r="H187" s="562"/>
      <c r="I187" s="562"/>
      <c r="J187" s="562"/>
      <c r="K187" s="562"/>
      <c r="L187" s="562"/>
      <c r="M187" s="562"/>
      <c r="N187" s="562"/>
      <c r="O187" s="562"/>
      <c r="P187" s="562"/>
      <c r="Q187" s="562"/>
      <c r="R187" s="562"/>
      <c r="S187" s="562"/>
      <c r="T187" s="562"/>
      <c r="U187" s="562"/>
      <c r="V187" s="562"/>
      <c r="W187" s="562"/>
      <c r="X187" s="562"/>
      <c r="Y187" s="562"/>
      <c r="Z187" s="562"/>
      <c r="AA187" s="562"/>
      <c r="AB187" s="562"/>
      <c r="AC187" s="562"/>
      <c r="AD187" s="562"/>
      <c r="AE187" s="562"/>
      <c r="AF187" s="562"/>
      <c r="AG187" s="562"/>
      <c r="AH187" s="562"/>
      <c r="AI187" s="562"/>
      <c r="AJ187" s="562"/>
      <c r="AK187" s="562"/>
    </row>
    <row r="188" spans="2:37" ht="13.2">
      <c r="B188" s="232"/>
      <c r="C188" s="232"/>
      <c r="D188" s="232"/>
      <c r="E188" s="232"/>
      <c r="F188" s="232"/>
      <c r="G188" s="600" t="s">
        <v>252</v>
      </c>
      <c r="H188" s="601"/>
      <c r="I188" s="601"/>
      <c r="J188" s="601"/>
      <c r="K188" s="601"/>
      <c r="L188" s="601"/>
      <c r="M188" s="601"/>
      <c r="N188" s="601"/>
      <c r="O188" s="601"/>
      <c r="P188" s="602"/>
      <c r="Q188" s="603" t="s">
        <v>253</v>
      </c>
      <c r="R188" s="604"/>
      <c r="S188" s="604"/>
      <c r="T188" s="604"/>
      <c r="U188" s="604"/>
      <c r="V188" s="604"/>
      <c r="W188" s="604"/>
      <c r="X188" s="604"/>
      <c r="Y188" s="604"/>
      <c r="Z188" s="604"/>
      <c r="AA188" s="604"/>
      <c r="AB188" s="604"/>
      <c r="AC188" s="604"/>
      <c r="AD188" s="604"/>
      <c r="AE188" s="604"/>
      <c r="AF188" s="604"/>
      <c r="AG188" s="605"/>
      <c r="AH188" s="232"/>
      <c r="AI188" s="232"/>
      <c r="AJ188" s="232"/>
      <c r="AK188" s="232"/>
    </row>
    <row r="189" spans="2:37" ht="13.2">
      <c r="B189" s="232"/>
      <c r="C189" s="232"/>
      <c r="D189" s="232"/>
      <c r="E189" s="232"/>
      <c r="F189" s="232"/>
      <c r="G189" s="600" t="s">
        <v>254</v>
      </c>
      <c r="H189" s="601"/>
      <c r="I189" s="601"/>
      <c r="J189" s="601"/>
      <c r="K189" s="601"/>
      <c r="L189" s="601"/>
      <c r="M189" s="601"/>
      <c r="N189" s="601"/>
      <c r="O189" s="601"/>
      <c r="P189" s="602"/>
      <c r="Q189" s="606" t="s">
        <v>255</v>
      </c>
      <c r="R189" s="607"/>
      <c r="S189" s="607"/>
      <c r="T189" s="607"/>
      <c r="U189" s="607"/>
      <c r="V189" s="607"/>
      <c r="W189" s="607"/>
      <c r="X189" s="607"/>
      <c r="Y189" s="607"/>
      <c r="Z189" s="607"/>
      <c r="AA189" s="607"/>
      <c r="AB189" s="607"/>
      <c r="AC189" s="607"/>
      <c r="AD189" s="607"/>
      <c r="AE189" s="607"/>
      <c r="AF189" s="607"/>
      <c r="AG189" s="608"/>
      <c r="AH189" s="232"/>
      <c r="AI189" s="232"/>
      <c r="AJ189" s="232"/>
      <c r="AK189" s="232"/>
    </row>
    <row r="190" spans="2:37" ht="13.2">
      <c r="B190" s="232"/>
      <c r="C190" s="232"/>
      <c r="D190" s="232"/>
      <c r="E190" s="232"/>
      <c r="F190" s="232"/>
      <c r="G190" s="582" t="s">
        <v>256</v>
      </c>
      <c r="H190" s="583"/>
      <c r="I190" s="583"/>
      <c r="J190" s="583"/>
      <c r="K190" s="583"/>
      <c r="L190" s="583"/>
      <c r="M190" s="583"/>
      <c r="N190" s="583"/>
      <c r="O190" s="583"/>
      <c r="P190" s="584"/>
      <c r="Q190" s="588" t="s">
        <v>257</v>
      </c>
      <c r="R190" s="589"/>
      <c r="S190" s="589"/>
      <c r="T190" s="589"/>
      <c r="U190" s="589"/>
      <c r="V190" s="589"/>
      <c r="W190" s="589"/>
      <c r="X190" s="589"/>
      <c r="Y190" s="589"/>
      <c r="Z190" s="589"/>
      <c r="AA190" s="589"/>
      <c r="AB190" s="589"/>
      <c r="AC190" s="589"/>
      <c r="AD190" s="589"/>
      <c r="AE190" s="589"/>
      <c r="AF190" s="589"/>
      <c r="AG190" s="590"/>
      <c r="AH190" s="232"/>
      <c r="AI190" s="232"/>
      <c r="AJ190" s="232"/>
      <c r="AK190" s="232"/>
    </row>
    <row r="191" spans="2:37" ht="13.2">
      <c r="B191" s="232"/>
      <c r="C191" s="232"/>
      <c r="D191" s="232"/>
      <c r="E191" s="232"/>
      <c r="F191" s="232"/>
      <c r="G191" s="585"/>
      <c r="H191" s="586"/>
      <c r="I191" s="586"/>
      <c r="J191" s="586"/>
      <c r="K191" s="586"/>
      <c r="L191" s="586"/>
      <c r="M191" s="586"/>
      <c r="N191" s="586"/>
      <c r="O191" s="586"/>
      <c r="P191" s="587"/>
      <c r="Q191" s="588" t="s">
        <v>258</v>
      </c>
      <c r="R191" s="589"/>
      <c r="S191" s="589"/>
      <c r="T191" s="589"/>
      <c r="U191" s="589"/>
      <c r="V191" s="589"/>
      <c r="W191" s="589"/>
      <c r="X191" s="589"/>
      <c r="Y191" s="589"/>
      <c r="Z191" s="589"/>
      <c r="AA191" s="589"/>
      <c r="AB191" s="589"/>
      <c r="AC191" s="589"/>
      <c r="AD191" s="589"/>
      <c r="AE191" s="589"/>
      <c r="AF191" s="589"/>
      <c r="AG191" s="590"/>
      <c r="AH191" s="232"/>
      <c r="AI191" s="232"/>
      <c r="AJ191" s="232"/>
      <c r="AK191" s="232"/>
    </row>
    <row r="192" spans="2:37" ht="13.2">
      <c r="B192" s="232"/>
      <c r="C192" s="232"/>
      <c r="D192" s="232"/>
      <c r="E192" s="232"/>
      <c r="F192" s="232"/>
      <c r="G192" s="585"/>
      <c r="H192" s="586"/>
      <c r="I192" s="586"/>
      <c r="J192" s="586"/>
      <c r="K192" s="586"/>
      <c r="L192" s="586"/>
      <c r="M192" s="586"/>
      <c r="N192" s="586"/>
      <c r="O192" s="586"/>
      <c r="P192" s="587"/>
      <c r="Q192" s="588"/>
      <c r="R192" s="589"/>
      <c r="S192" s="589"/>
      <c r="T192" s="589"/>
      <c r="U192" s="589"/>
      <c r="V192" s="589"/>
      <c r="W192" s="589"/>
      <c r="X192" s="589"/>
      <c r="Y192" s="589"/>
      <c r="Z192" s="589"/>
      <c r="AA192" s="589"/>
      <c r="AB192" s="589"/>
      <c r="AC192" s="589"/>
      <c r="AD192" s="589"/>
      <c r="AE192" s="589"/>
      <c r="AF192" s="589"/>
      <c r="AG192" s="590"/>
      <c r="AH192" s="232"/>
      <c r="AI192" s="232"/>
      <c r="AJ192" s="232"/>
      <c r="AK192" s="232"/>
    </row>
    <row r="193" spans="2:37" ht="13.2">
      <c r="B193" s="232"/>
      <c r="C193" s="232"/>
      <c r="D193" s="232"/>
      <c r="E193" s="232"/>
      <c r="F193" s="232"/>
      <c r="G193" s="585"/>
      <c r="H193" s="586"/>
      <c r="I193" s="586"/>
      <c r="J193" s="586"/>
      <c r="K193" s="586"/>
      <c r="L193" s="586"/>
      <c r="M193" s="586"/>
      <c r="N193" s="586"/>
      <c r="O193" s="586"/>
      <c r="P193" s="587"/>
      <c r="Q193" s="588"/>
      <c r="R193" s="589"/>
      <c r="S193" s="589"/>
      <c r="T193" s="589"/>
      <c r="U193" s="589"/>
      <c r="V193" s="589"/>
      <c r="W193" s="589"/>
      <c r="X193" s="589"/>
      <c r="Y193" s="589"/>
      <c r="Z193" s="589"/>
      <c r="AA193" s="589"/>
      <c r="AB193" s="589"/>
      <c r="AC193" s="589"/>
      <c r="AD193" s="589"/>
      <c r="AE193" s="589"/>
      <c r="AF193" s="589"/>
      <c r="AG193" s="590"/>
      <c r="AH193" s="232"/>
      <c r="AI193" s="232"/>
      <c r="AJ193" s="232"/>
      <c r="AK193" s="232"/>
    </row>
    <row r="194" spans="2:37" ht="13.2">
      <c r="B194" s="232"/>
      <c r="C194" s="232"/>
      <c r="D194" s="232"/>
      <c r="E194" s="232"/>
      <c r="F194" s="232"/>
      <c r="G194" s="582" t="s">
        <v>259</v>
      </c>
      <c r="H194" s="583"/>
      <c r="I194" s="583"/>
      <c r="J194" s="583"/>
      <c r="K194" s="583"/>
      <c r="L194" s="583"/>
      <c r="M194" s="583"/>
      <c r="N194" s="583"/>
      <c r="O194" s="583"/>
      <c r="P194" s="584"/>
      <c r="Q194" s="594" t="s">
        <v>260</v>
      </c>
      <c r="R194" s="595"/>
      <c r="S194" s="595"/>
      <c r="T194" s="595"/>
      <c r="U194" s="595"/>
      <c r="V194" s="595"/>
      <c r="W194" s="595"/>
      <c r="X194" s="595"/>
      <c r="Y194" s="595"/>
      <c r="Z194" s="595"/>
      <c r="AA194" s="595"/>
      <c r="AB194" s="595"/>
      <c r="AC194" s="595"/>
      <c r="AD194" s="595"/>
      <c r="AE194" s="595"/>
      <c r="AF194" s="595"/>
      <c r="AG194" s="596"/>
      <c r="AH194" s="232"/>
      <c r="AI194" s="232"/>
      <c r="AJ194" s="232"/>
      <c r="AK194" s="232"/>
    </row>
    <row r="195" spans="2:37" ht="13.2">
      <c r="B195" s="232"/>
      <c r="C195" s="232"/>
      <c r="D195" s="232"/>
      <c r="E195" s="232"/>
      <c r="F195" s="232"/>
      <c r="G195" s="585"/>
      <c r="H195" s="586"/>
      <c r="I195" s="586"/>
      <c r="J195" s="586"/>
      <c r="K195" s="586"/>
      <c r="L195" s="586"/>
      <c r="M195" s="586"/>
      <c r="N195" s="586"/>
      <c r="O195" s="586"/>
      <c r="P195" s="587"/>
      <c r="Q195" s="588" t="s">
        <v>261</v>
      </c>
      <c r="R195" s="589"/>
      <c r="S195" s="589"/>
      <c r="T195" s="589"/>
      <c r="U195" s="589"/>
      <c r="V195" s="589"/>
      <c r="W195" s="589"/>
      <c r="X195" s="589"/>
      <c r="Y195" s="589"/>
      <c r="Z195" s="589"/>
      <c r="AA195" s="589"/>
      <c r="AB195" s="589"/>
      <c r="AC195" s="589"/>
      <c r="AD195" s="589"/>
      <c r="AE195" s="589"/>
      <c r="AF195" s="589"/>
      <c r="AG195" s="590"/>
      <c r="AH195" s="232"/>
      <c r="AI195" s="232"/>
      <c r="AJ195" s="232"/>
      <c r="AK195" s="232"/>
    </row>
    <row r="196" spans="2:37" ht="13.2">
      <c r="B196" s="232"/>
      <c r="C196" s="232"/>
      <c r="D196" s="232"/>
      <c r="E196" s="232"/>
      <c r="F196" s="232"/>
      <c r="G196" s="591"/>
      <c r="H196" s="592"/>
      <c r="I196" s="592"/>
      <c r="J196" s="592"/>
      <c r="K196" s="592"/>
      <c r="L196" s="592"/>
      <c r="M196" s="592"/>
      <c r="N196" s="592"/>
      <c r="O196" s="592"/>
      <c r="P196" s="593"/>
      <c r="Q196" s="597" t="s">
        <v>262</v>
      </c>
      <c r="R196" s="598"/>
      <c r="S196" s="598"/>
      <c r="T196" s="598"/>
      <c r="U196" s="598"/>
      <c r="V196" s="598"/>
      <c r="W196" s="598"/>
      <c r="X196" s="598"/>
      <c r="Y196" s="598"/>
      <c r="Z196" s="598"/>
      <c r="AA196" s="598"/>
      <c r="AB196" s="598"/>
      <c r="AC196" s="598"/>
      <c r="AD196" s="598"/>
      <c r="AE196" s="598"/>
      <c r="AF196" s="598"/>
      <c r="AG196" s="599"/>
      <c r="AH196" s="232"/>
      <c r="AI196" s="232"/>
      <c r="AJ196" s="232"/>
      <c r="AK196" s="232"/>
    </row>
    <row r="197" spans="2:37" ht="22.5" customHeight="1">
      <c r="B197" s="232"/>
      <c r="C197" s="232"/>
      <c r="D197" s="232"/>
      <c r="E197" s="232"/>
      <c r="F197" s="232"/>
      <c r="G197" s="582" t="s">
        <v>263</v>
      </c>
      <c r="H197" s="583"/>
      <c r="I197" s="583"/>
      <c r="J197" s="583"/>
      <c r="K197" s="583"/>
      <c r="L197" s="583"/>
      <c r="M197" s="583"/>
      <c r="N197" s="583"/>
      <c r="O197" s="583"/>
      <c r="P197" s="584"/>
      <c r="Q197" s="588" t="s">
        <v>264</v>
      </c>
      <c r="R197" s="589"/>
      <c r="S197" s="589"/>
      <c r="T197" s="589"/>
      <c r="U197" s="589"/>
      <c r="V197" s="589"/>
      <c r="W197" s="589"/>
      <c r="X197" s="589"/>
      <c r="Y197" s="589"/>
      <c r="Z197" s="589"/>
      <c r="AA197" s="589"/>
      <c r="AB197" s="589"/>
      <c r="AC197" s="589"/>
      <c r="AD197" s="589"/>
      <c r="AE197" s="589"/>
      <c r="AF197" s="589"/>
      <c r="AG197" s="590"/>
      <c r="AH197" s="232"/>
      <c r="AI197" s="232"/>
      <c r="AJ197" s="232"/>
      <c r="AK197" s="232"/>
    </row>
    <row r="198" spans="2:37" ht="13.2">
      <c r="B198" s="232"/>
      <c r="C198" s="232"/>
      <c r="D198" s="232"/>
      <c r="E198" s="232"/>
      <c r="F198" s="232"/>
      <c r="G198" s="585"/>
      <c r="H198" s="586"/>
      <c r="I198" s="586"/>
      <c r="J198" s="586"/>
      <c r="K198" s="586"/>
      <c r="L198" s="586"/>
      <c r="M198" s="586"/>
      <c r="N198" s="586"/>
      <c r="O198" s="586"/>
      <c r="P198" s="587"/>
      <c r="Q198" s="588" t="s">
        <v>265</v>
      </c>
      <c r="R198" s="589"/>
      <c r="S198" s="589"/>
      <c r="T198" s="589"/>
      <c r="U198" s="589"/>
      <c r="V198" s="589"/>
      <c r="W198" s="589"/>
      <c r="X198" s="589"/>
      <c r="Y198" s="589"/>
      <c r="Z198" s="589"/>
      <c r="AA198" s="589"/>
      <c r="AB198" s="589"/>
      <c r="AC198" s="589"/>
      <c r="AD198" s="589"/>
      <c r="AE198" s="589"/>
      <c r="AF198" s="589"/>
      <c r="AG198" s="590"/>
      <c r="AH198" s="232"/>
      <c r="AI198" s="232"/>
      <c r="AJ198" s="232"/>
      <c r="AK198" s="232"/>
    </row>
    <row r="199" spans="2:37" ht="13.2">
      <c r="B199" s="232"/>
      <c r="C199" s="232"/>
      <c r="D199" s="232"/>
      <c r="E199" s="232"/>
      <c r="F199" s="232"/>
      <c r="G199" s="585"/>
      <c r="H199" s="586"/>
      <c r="I199" s="586"/>
      <c r="J199" s="586"/>
      <c r="K199" s="586"/>
      <c r="L199" s="586"/>
      <c r="M199" s="586"/>
      <c r="N199" s="586"/>
      <c r="O199" s="586"/>
      <c r="P199" s="587"/>
      <c r="Q199" s="588" t="s">
        <v>266</v>
      </c>
      <c r="R199" s="589"/>
      <c r="S199" s="589"/>
      <c r="T199" s="589"/>
      <c r="U199" s="589"/>
      <c r="V199" s="589"/>
      <c r="W199" s="589"/>
      <c r="X199" s="589"/>
      <c r="Y199" s="589"/>
      <c r="Z199" s="589"/>
      <c r="AA199" s="589"/>
      <c r="AB199" s="589"/>
      <c r="AC199" s="589"/>
      <c r="AD199" s="589"/>
      <c r="AE199" s="589"/>
      <c r="AF199" s="589"/>
      <c r="AG199" s="590"/>
      <c r="AH199" s="232"/>
      <c r="AI199" s="232"/>
      <c r="AJ199" s="232"/>
      <c r="AK199" s="232"/>
    </row>
    <row r="200" spans="2:37" ht="13.2">
      <c r="B200" s="232"/>
      <c r="C200" s="232"/>
      <c r="D200" s="232"/>
      <c r="E200" s="232"/>
      <c r="F200" s="232"/>
      <c r="G200" s="591"/>
      <c r="H200" s="592"/>
      <c r="I200" s="592"/>
      <c r="J200" s="592"/>
      <c r="K200" s="592"/>
      <c r="L200" s="592"/>
      <c r="M200" s="592"/>
      <c r="N200" s="592"/>
      <c r="O200" s="592"/>
      <c r="P200" s="593"/>
      <c r="Q200" s="597"/>
      <c r="R200" s="598"/>
      <c r="S200" s="598"/>
      <c r="T200" s="598"/>
      <c r="U200" s="598"/>
      <c r="V200" s="598"/>
      <c r="W200" s="598"/>
      <c r="X200" s="598"/>
      <c r="Y200" s="598"/>
      <c r="Z200" s="598"/>
      <c r="AA200" s="598"/>
      <c r="AB200" s="598"/>
      <c r="AC200" s="598"/>
      <c r="AD200" s="598"/>
      <c r="AE200" s="598"/>
      <c r="AF200" s="598"/>
      <c r="AG200" s="599"/>
      <c r="AH200" s="232"/>
      <c r="AI200" s="232"/>
      <c r="AJ200" s="232"/>
      <c r="AK200" s="232"/>
    </row>
    <row r="201" spans="2:37" ht="11.25" customHeight="1">
      <c r="B201" s="232"/>
      <c r="C201" s="232"/>
      <c r="D201" s="232"/>
      <c r="E201" s="232"/>
      <c r="F201" s="232"/>
      <c r="G201" s="232"/>
      <c r="H201" s="232"/>
      <c r="I201" s="232"/>
      <c r="J201" s="232"/>
      <c r="K201" s="232"/>
      <c r="L201" s="232"/>
      <c r="M201" s="232"/>
      <c r="N201" s="232"/>
      <c r="O201" s="232"/>
      <c r="P201" s="232"/>
      <c r="Q201" s="232"/>
      <c r="R201" s="232"/>
      <c r="S201" s="232"/>
      <c r="T201" s="232"/>
      <c r="U201" s="232"/>
      <c r="V201" s="232"/>
      <c r="W201" s="232"/>
      <c r="X201" s="232"/>
      <c r="Y201" s="232"/>
      <c r="Z201" s="232"/>
      <c r="AA201" s="232"/>
      <c r="AB201" s="232"/>
      <c r="AC201" s="232"/>
      <c r="AD201" s="232"/>
      <c r="AE201" s="232"/>
      <c r="AF201" s="232"/>
      <c r="AG201" s="232"/>
      <c r="AH201" s="232"/>
      <c r="AI201" s="232"/>
      <c r="AJ201" s="232"/>
      <c r="AK201" s="232"/>
    </row>
    <row r="202" spans="2:37" ht="22.5" customHeight="1">
      <c r="B202" s="566" t="s">
        <v>333</v>
      </c>
      <c r="C202" s="566"/>
      <c r="D202" s="566"/>
      <c r="E202" s="566"/>
      <c r="F202" s="566"/>
      <c r="G202" s="566"/>
      <c r="H202" s="566"/>
      <c r="I202" s="566"/>
      <c r="J202" s="566"/>
      <c r="K202" s="566"/>
      <c r="L202" s="566"/>
      <c r="M202" s="566"/>
      <c r="N202" s="566"/>
      <c r="O202" s="566"/>
      <c r="P202" s="566"/>
      <c r="Q202" s="566"/>
      <c r="R202" s="566"/>
      <c r="S202" s="566"/>
      <c r="T202" s="566"/>
      <c r="U202" s="566"/>
      <c r="V202" s="566"/>
      <c r="W202" s="566"/>
      <c r="X202" s="566"/>
      <c r="Y202" s="566"/>
      <c r="Z202" s="566"/>
      <c r="AA202" s="566"/>
      <c r="AB202" s="566"/>
      <c r="AC202" s="566"/>
      <c r="AD202" s="566"/>
      <c r="AE202" s="566"/>
      <c r="AF202" s="566"/>
      <c r="AG202" s="566"/>
      <c r="AH202" s="566"/>
      <c r="AI202" s="566"/>
      <c r="AJ202" s="566"/>
      <c r="AK202" s="566"/>
    </row>
    <row r="203" spans="2:37" ht="11.25" customHeight="1">
      <c r="B203" s="232"/>
      <c r="C203" s="232"/>
      <c r="D203" s="232"/>
      <c r="E203" s="232"/>
      <c r="F203" s="232"/>
      <c r="G203" s="232"/>
      <c r="H203" s="232"/>
      <c r="I203" s="232"/>
      <c r="J203" s="232"/>
      <c r="K203" s="232"/>
      <c r="L203" s="232"/>
      <c r="M203" s="232"/>
      <c r="N203" s="232"/>
      <c r="O203" s="232"/>
      <c r="P203" s="232"/>
      <c r="Q203" s="232"/>
      <c r="R203" s="232"/>
      <c r="S203" s="232"/>
      <c r="T203" s="232"/>
      <c r="U203" s="232"/>
      <c r="V203" s="232"/>
      <c r="W203" s="232"/>
      <c r="X203" s="232"/>
      <c r="Y203" s="232"/>
      <c r="Z203" s="232"/>
      <c r="AA203" s="232"/>
      <c r="AB203" s="232"/>
      <c r="AC203" s="232"/>
      <c r="AD203" s="232"/>
      <c r="AE203" s="232"/>
      <c r="AF203" s="232"/>
      <c r="AG203" s="232"/>
      <c r="AH203" s="232"/>
      <c r="AI203" s="232"/>
      <c r="AJ203" s="232"/>
      <c r="AK203" s="232"/>
    </row>
    <row r="204" spans="2:37" ht="56.25" customHeight="1">
      <c r="B204" s="566" t="s">
        <v>334</v>
      </c>
      <c r="C204" s="566"/>
      <c r="D204" s="566"/>
      <c r="E204" s="566"/>
      <c r="F204" s="566"/>
      <c r="G204" s="566"/>
      <c r="H204" s="566"/>
      <c r="I204" s="566"/>
      <c r="J204" s="566"/>
      <c r="K204" s="566"/>
      <c r="L204" s="566"/>
      <c r="M204" s="566"/>
      <c r="N204" s="566"/>
      <c r="O204" s="566"/>
      <c r="P204" s="566"/>
      <c r="Q204" s="566"/>
      <c r="R204" s="566"/>
      <c r="S204" s="566"/>
      <c r="T204" s="566"/>
      <c r="U204" s="566"/>
      <c r="V204" s="566"/>
      <c r="W204" s="566"/>
      <c r="X204" s="566"/>
      <c r="Y204" s="566"/>
      <c r="Z204" s="566"/>
      <c r="AA204" s="566"/>
      <c r="AB204" s="566"/>
      <c r="AC204" s="566"/>
      <c r="AD204" s="566"/>
      <c r="AE204" s="566"/>
      <c r="AF204" s="566"/>
      <c r="AG204" s="566"/>
      <c r="AH204" s="566"/>
      <c r="AI204" s="566"/>
      <c r="AJ204" s="566"/>
      <c r="AK204" s="566"/>
    </row>
    <row r="205" spans="2:37" ht="33.75" customHeight="1">
      <c r="B205" s="562" t="s">
        <v>269</v>
      </c>
      <c r="C205" s="562"/>
      <c r="D205" s="562"/>
      <c r="E205" s="562"/>
      <c r="F205" s="562"/>
      <c r="G205" s="562"/>
      <c r="H205" s="562"/>
      <c r="I205" s="562"/>
      <c r="J205" s="562"/>
      <c r="K205" s="562"/>
      <c r="L205" s="562"/>
      <c r="M205" s="562"/>
      <c r="N205" s="562"/>
      <c r="O205" s="562"/>
      <c r="P205" s="562"/>
      <c r="Q205" s="562"/>
      <c r="R205" s="562"/>
      <c r="S205" s="562"/>
      <c r="T205" s="562"/>
      <c r="U205" s="562"/>
      <c r="V205" s="562"/>
      <c r="W205" s="562"/>
      <c r="X205" s="562"/>
      <c r="Y205" s="562"/>
      <c r="Z205" s="562"/>
      <c r="AA205" s="562"/>
      <c r="AB205" s="562"/>
      <c r="AC205" s="562"/>
      <c r="AD205" s="562"/>
      <c r="AE205" s="562"/>
      <c r="AF205" s="562"/>
      <c r="AG205" s="562"/>
      <c r="AH205" s="562"/>
      <c r="AI205" s="562"/>
      <c r="AJ205" s="562"/>
      <c r="AK205" s="562"/>
    </row>
    <row r="206" spans="2:37" ht="11.25" customHeight="1">
      <c r="B206" s="232"/>
      <c r="C206" s="232"/>
      <c r="D206" s="232"/>
      <c r="E206" s="232"/>
      <c r="F206" s="232"/>
      <c r="G206" s="232"/>
      <c r="H206" s="232"/>
      <c r="I206" s="232"/>
      <c r="J206" s="232"/>
      <c r="K206" s="232"/>
      <c r="L206" s="232"/>
      <c r="M206" s="232"/>
      <c r="N206" s="232"/>
      <c r="O206" s="232"/>
      <c r="P206" s="232"/>
      <c r="Q206" s="232"/>
      <c r="R206" s="232"/>
      <c r="S206" s="232"/>
      <c r="T206" s="232"/>
      <c r="U206" s="232"/>
      <c r="V206" s="232"/>
      <c r="W206" s="232"/>
      <c r="X206" s="232"/>
      <c r="Y206" s="232"/>
      <c r="Z206" s="232"/>
      <c r="AA206" s="232"/>
      <c r="AB206" s="232"/>
      <c r="AC206" s="232"/>
      <c r="AD206" s="232"/>
      <c r="AE206" s="232"/>
      <c r="AF206" s="232"/>
      <c r="AG206" s="232"/>
      <c r="AH206" s="232"/>
      <c r="AI206" s="232"/>
      <c r="AJ206" s="232"/>
      <c r="AK206" s="232"/>
    </row>
    <row r="207" spans="2:37" ht="33.75" customHeight="1">
      <c r="B207" s="566" t="s">
        <v>335</v>
      </c>
      <c r="C207" s="566"/>
      <c r="D207" s="566"/>
      <c r="E207" s="566"/>
      <c r="F207" s="566"/>
      <c r="G207" s="566"/>
      <c r="H207" s="566"/>
      <c r="I207" s="566"/>
      <c r="J207" s="566"/>
      <c r="K207" s="566"/>
      <c r="L207" s="566"/>
      <c r="M207" s="566"/>
      <c r="N207" s="566"/>
      <c r="O207" s="566"/>
      <c r="P207" s="566"/>
      <c r="Q207" s="566"/>
      <c r="R207" s="566"/>
      <c r="S207" s="566"/>
      <c r="T207" s="566"/>
      <c r="U207" s="566"/>
      <c r="V207" s="566"/>
      <c r="W207" s="566"/>
      <c r="X207" s="566"/>
      <c r="Y207" s="566"/>
      <c r="Z207" s="566"/>
      <c r="AA207" s="566"/>
      <c r="AB207" s="566"/>
      <c r="AC207" s="566"/>
      <c r="AD207" s="566"/>
      <c r="AE207" s="566"/>
      <c r="AF207" s="566"/>
      <c r="AG207" s="566"/>
      <c r="AH207" s="566"/>
      <c r="AI207" s="566"/>
      <c r="AJ207" s="566"/>
      <c r="AK207" s="566"/>
    </row>
    <row r="208" spans="2:37" ht="11.25" customHeight="1">
      <c r="B208" s="232"/>
      <c r="C208" s="232"/>
      <c r="D208" s="232"/>
      <c r="E208" s="232"/>
      <c r="F208" s="232"/>
      <c r="G208" s="232"/>
      <c r="H208" s="232"/>
      <c r="I208" s="232"/>
      <c r="J208" s="232"/>
      <c r="K208" s="232"/>
      <c r="L208" s="232"/>
      <c r="M208" s="232"/>
      <c r="N208" s="232"/>
      <c r="O208" s="232"/>
      <c r="P208" s="232"/>
      <c r="Q208" s="232"/>
      <c r="R208" s="232"/>
      <c r="S208" s="232"/>
      <c r="T208" s="232"/>
      <c r="U208" s="232"/>
      <c r="V208" s="232"/>
      <c r="W208" s="232"/>
      <c r="X208" s="232"/>
      <c r="Y208" s="232"/>
      <c r="Z208" s="232"/>
      <c r="AA208" s="232"/>
      <c r="AB208" s="232"/>
      <c r="AC208" s="232"/>
      <c r="AD208" s="232"/>
      <c r="AE208" s="232"/>
      <c r="AF208" s="232"/>
      <c r="AG208" s="232"/>
      <c r="AH208" s="232"/>
      <c r="AI208" s="232"/>
      <c r="AJ208" s="232"/>
      <c r="AK208" s="232"/>
    </row>
    <row r="209" spans="2:37" ht="33.75" customHeight="1">
      <c r="B209" s="566" t="s">
        <v>336</v>
      </c>
      <c r="C209" s="566"/>
      <c r="D209" s="566"/>
      <c r="E209" s="566"/>
      <c r="F209" s="566"/>
      <c r="G209" s="566"/>
      <c r="H209" s="566"/>
      <c r="I209" s="566"/>
      <c r="J209" s="566"/>
      <c r="K209" s="566"/>
      <c r="L209" s="566"/>
      <c r="M209" s="566"/>
      <c r="N209" s="566"/>
      <c r="O209" s="566"/>
      <c r="P209" s="566"/>
      <c r="Q209" s="566"/>
      <c r="R209" s="566"/>
      <c r="S209" s="566"/>
      <c r="T209" s="566"/>
      <c r="U209" s="566"/>
      <c r="V209" s="566"/>
      <c r="W209" s="566"/>
      <c r="X209" s="566"/>
      <c r="Y209" s="566"/>
      <c r="Z209" s="566"/>
      <c r="AA209" s="566"/>
      <c r="AB209" s="566"/>
      <c r="AC209" s="566"/>
      <c r="AD209" s="566"/>
      <c r="AE209" s="566"/>
      <c r="AF209" s="566"/>
      <c r="AG209" s="566"/>
      <c r="AH209" s="566"/>
      <c r="AI209" s="566"/>
      <c r="AJ209" s="566"/>
      <c r="AK209" s="566"/>
    </row>
    <row r="210" spans="2:37" ht="11.25" customHeight="1">
      <c r="B210" s="231"/>
      <c r="C210" s="231"/>
      <c r="D210" s="231"/>
      <c r="E210" s="231"/>
      <c r="F210" s="231"/>
      <c r="G210" s="231"/>
      <c r="H210" s="231"/>
      <c r="I210" s="231"/>
      <c r="J210" s="231"/>
      <c r="K210" s="231"/>
      <c r="L210" s="231"/>
      <c r="M210" s="231"/>
      <c r="N210" s="231"/>
      <c r="O210" s="231"/>
      <c r="P210" s="231"/>
      <c r="Q210" s="231"/>
      <c r="R210" s="231"/>
      <c r="S210" s="231"/>
      <c r="T210" s="231"/>
      <c r="U210" s="231"/>
      <c r="V210" s="231"/>
      <c r="W210" s="231"/>
      <c r="X210" s="231"/>
      <c r="Y210" s="231"/>
      <c r="Z210" s="231"/>
      <c r="AA210" s="231"/>
      <c r="AB210" s="231"/>
      <c r="AC210" s="231"/>
      <c r="AD210" s="231"/>
      <c r="AE210" s="231"/>
      <c r="AF210" s="231"/>
      <c r="AG210" s="231"/>
      <c r="AH210" s="231"/>
      <c r="AI210" s="231"/>
      <c r="AJ210" s="231"/>
      <c r="AK210" s="231"/>
    </row>
    <row r="211" spans="2:37" ht="11.25" customHeight="1">
      <c r="B211" s="239"/>
      <c r="C211" s="232"/>
      <c r="D211" s="232"/>
      <c r="E211" s="232"/>
      <c r="F211" s="232"/>
      <c r="G211" s="232"/>
      <c r="H211" s="232"/>
      <c r="I211" s="232"/>
      <c r="J211" s="232"/>
      <c r="K211" s="232"/>
      <c r="L211" s="232"/>
      <c r="M211" s="232"/>
      <c r="N211" s="232"/>
      <c r="O211" s="232"/>
      <c r="P211" s="232"/>
      <c r="Q211" s="232"/>
      <c r="R211" s="232"/>
      <c r="S211" s="232"/>
      <c r="T211" s="232"/>
      <c r="U211" s="232"/>
      <c r="V211" s="232"/>
      <c r="W211" s="232"/>
      <c r="X211" s="232"/>
      <c r="Y211" s="232"/>
      <c r="Z211" s="232"/>
      <c r="AA211" s="232"/>
      <c r="AB211" s="232"/>
      <c r="AC211" s="232"/>
      <c r="AD211" s="232"/>
      <c r="AE211" s="232"/>
      <c r="AF211" s="232"/>
      <c r="AG211" s="232"/>
      <c r="AH211" s="232"/>
      <c r="AI211" s="232"/>
      <c r="AJ211" s="232"/>
      <c r="AK211" s="232"/>
    </row>
    <row r="212" spans="2:37" ht="11.25" customHeight="1">
      <c r="B212" s="805" t="s">
        <v>272</v>
      </c>
      <c r="C212" s="805"/>
      <c r="D212" s="805"/>
      <c r="E212" s="805"/>
      <c r="F212" s="805"/>
      <c r="G212" s="805"/>
      <c r="H212" s="805"/>
      <c r="I212" s="805"/>
      <c r="J212" s="805"/>
      <c r="K212" s="805"/>
      <c r="L212" s="805"/>
      <c r="M212" s="805"/>
      <c r="N212" s="805"/>
      <c r="O212" s="805"/>
      <c r="P212" s="805"/>
      <c r="Q212" s="805"/>
      <c r="R212" s="805"/>
      <c r="S212" s="805"/>
      <c r="T212" s="805"/>
      <c r="U212" s="805"/>
      <c r="V212" s="805"/>
      <c r="W212" s="805"/>
      <c r="X212" s="805"/>
      <c r="Y212" s="805"/>
      <c r="Z212" s="805"/>
      <c r="AA212" s="805"/>
      <c r="AB212" s="805"/>
      <c r="AC212" s="805"/>
      <c r="AD212" s="805"/>
      <c r="AE212" s="805"/>
      <c r="AF212" s="805"/>
      <c r="AG212" s="805"/>
      <c r="AH212" s="805"/>
      <c r="AI212" s="805"/>
      <c r="AJ212" s="805"/>
      <c r="AK212" s="805"/>
    </row>
    <row r="213" spans="2:37" ht="11.25" customHeight="1">
      <c r="B213" s="257"/>
      <c r="C213" s="232"/>
      <c r="D213" s="232"/>
      <c r="E213" s="232"/>
      <c r="F213" s="232"/>
      <c r="G213" s="232"/>
      <c r="H213" s="232"/>
      <c r="I213" s="232"/>
      <c r="J213" s="232"/>
      <c r="K213" s="232"/>
      <c r="L213" s="232"/>
      <c r="M213" s="232"/>
      <c r="N213" s="232"/>
      <c r="O213" s="232"/>
      <c r="P213" s="232"/>
      <c r="Q213" s="232"/>
      <c r="R213" s="232"/>
      <c r="S213" s="232"/>
      <c r="T213" s="232"/>
      <c r="U213" s="232"/>
      <c r="V213" s="232"/>
      <c r="W213" s="232"/>
      <c r="X213" s="232"/>
      <c r="Y213" s="232"/>
      <c r="Z213" s="232"/>
      <c r="AA213" s="232"/>
      <c r="AB213" s="232"/>
      <c r="AC213" s="232"/>
      <c r="AD213" s="232"/>
      <c r="AE213" s="232"/>
      <c r="AF213" s="232"/>
      <c r="AG213" s="232"/>
      <c r="AH213" s="232"/>
      <c r="AI213" s="232"/>
      <c r="AJ213" s="232"/>
      <c r="AK213" s="232"/>
    </row>
    <row r="214" spans="2:37" ht="45" customHeight="1">
      <c r="B214" s="562" t="s">
        <v>337</v>
      </c>
      <c r="C214" s="562"/>
      <c r="D214" s="562"/>
      <c r="E214" s="562"/>
      <c r="F214" s="562"/>
      <c r="G214" s="562"/>
      <c r="H214" s="562"/>
      <c r="I214" s="562"/>
      <c r="J214" s="562"/>
      <c r="K214" s="562"/>
      <c r="L214" s="562"/>
      <c r="M214" s="562"/>
      <c r="N214" s="562"/>
      <c r="O214" s="562"/>
      <c r="P214" s="562"/>
      <c r="Q214" s="562"/>
      <c r="R214" s="562"/>
      <c r="S214" s="562"/>
      <c r="T214" s="562"/>
      <c r="U214" s="562"/>
      <c r="V214" s="562"/>
      <c r="W214" s="562"/>
      <c r="X214" s="562"/>
      <c r="Y214" s="562"/>
      <c r="Z214" s="562"/>
      <c r="AA214" s="562"/>
      <c r="AB214" s="562"/>
      <c r="AC214" s="562"/>
      <c r="AD214" s="562"/>
      <c r="AE214" s="562"/>
      <c r="AF214" s="562"/>
      <c r="AG214" s="562"/>
      <c r="AH214" s="562"/>
      <c r="AI214" s="562"/>
      <c r="AJ214" s="562"/>
      <c r="AK214" s="562"/>
    </row>
    <row r="215" spans="2:37" ht="46.5" customHeight="1">
      <c r="B215" s="232"/>
      <c r="C215" s="232"/>
      <c r="D215" s="232"/>
      <c r="E215" s="232"/>
      <c r="F215" s="232"/>
      <c r="G215" s="232"/>
      <c r="H215" s="232"/>
      <c r="I215" s="232"/>
      <c r="J215" s="232"/>
      <c r="K215" s="232"/>
      <c r="L215" s="232"/>
      <c r="M215" s="232"/>
      <c r="N215" s="232"/>
      <c r="O215" s="232"/>
      <c r="P215" s="232"/>
      <c r="Q215" s="232"/>
      <c r="R215" s="232"/>
      <c r="S215" s="232"/>
      <c r="T215" s="232"/>
      <c r="U215" s="232"/>
      <c r="V215" s="232"/>
      <c r="W215" s="232"/>
      <c r="X215" s="232"/>
      <c r="Y215" s="232"/>
      <c r="Z215" s="232"/>
      <c r="AA215" s="232"/>
      <c r="AB215" s="232"/>
      <c r="AC215" s="232"/>
      <c r="AD215" s="232"/>
      <c r="AE215" s="232"/>
      <c r="AF215" s="232"/>
      <c r="AG215" s="232"/>
      <c r="AH215" s="232"/>
      <c r="AI215" s="232"/>
      <c r="AJ215" s="232"/>
      <c r="AK215" s="232"/>
    </row>
    <row r="216" spans="2:37" ht="13.2">
      <c r="B216" s="232"/>
      <c r="C216" s="232"/>
      <c r="D216" s="232"/>
      <c r="E216" s="232"/>
      <c r="F216" s="232"/>
      <c r="G216" s="232"/>
      <c r="H216" s="232"/>
      <c r="I216" s="232"/>
      <c r="J216" s="232"/>
      <c r="K216" s="232"/>
      <c r="L216" s="232"/>
      <c r="M216" s="232"/>
      <c r="N216" s="232"/>
      <c r="O216" s="232"/>
      <c r="P216" s="232"/>
      <c r="Q216" s="232"/>
      <c r="R216" s="232"/>
      <c r="S216" s="232"/>
      <c r="T216" s="232"/>
      <c r="U216" s="232"/>
      <c r="V216" s="232"/>
      <c r="W216" s="232"/>
      <c r="X216" s="232"/>
      <c r="Y216" s="232"/>
      <c r="Z216" s="232"/>
      <c r="AA216" s="232"/>
      <c r="AB216" s="232"/>
      <c r="AC216" s="232"/>
      <c r="AD216" s="232"/>
      <c r="AE216" s="232"/>
      <c r="AF216" s="232"/>
      <c r="AG216" s="232"/>
      <c r="AH216" s="232"/>
      <c r="AI216" s="232"/>
      <c r="AJ216" s="232"/>
      <c r="AK216" s="232"/>
    </row>
    <row r="217" spans="2:37" ht="12.75" customHeight="1">
      <c r="B217" s="232"/>
      <c r="C217" s="232"/>
      <c r="D217" s="232"/>
      <c r="E217" s="232"/>
      <c r="F217" s="232"/>
      <c r="G217" s="232"/>
      <c r="H217" s="283"/>
      <c r="I217" s="283"/>
      <c r="J217" s="283"/>
      <c r="K217" s="283"/>
      <c r="L217" s="233"/>
      <c r="M217" s="233"/>
      <c r="N217" s="233"/>
      <c r="O217" s="609" t="s">
        <v>274</v>
      </c>
      <c r="P217" s="609"/>
      <c r="Q217" s="609"/>
      <c r="R217" s="609"/>
      <c r="S217" s="609"/>
      <c r="T217" s="609"/>
      <c r="U217" s="609"/>
      <c r="V217" s="609"/>
      <c r="W217" s="609"/>
      <c r="X217" s="609"/>
      <c r="Y217" s="234"/>
      <c r="Z217" s="233"/>
      <c r="AA217" s="233"/>
      <c r="AB217" s="283"/>
      <c r="AC217" s="283"/>
      <c r="AD217" s="232"/>
      <c r="AE217" s="232"/>
      <c r="AF217" s="232"/>
      <c r="AG217" s="232"/>
      <c r="AH217" s="232"/>
      <c r="AI217" s="232"/>
      <c r="AJ217" s="232"/>
      <c r="AK217" s="232"/>
    </row>
    <row r="218" spans="2:37" ht="13.2">
      <c r="B218" s="232"/>
      <c r="C218" s="232"/>
      <c r="D218" s="232"/>
      <c r="E218" s="232"/>
      <c r="F218" s="232"/>
      <c r="G218" s="232"/>
      <c r="H218" s="283"/>
      <c r="I218" s="283"/>
      <c r="J218" s="283"/>
      <c r="K218" s="283"/>
      <c r="L218" s="233"/>
      <c r="M218" s="233"/>
      <c r="N218" s="233"/>
      <c r="O218" s="235"/>
      <c r="P218" s="235"/>
      <c r="Q218" s="235"/>
      <c r="R218" s="235"/>
      <c r="S218" s="235"/>
      <c r="T218" s="235"/>
      <c r="U218" s="235"/>
      <c r="V218" s="235"/>
      <c r="W218" s="233"/>
      <c r="X218" s="233"/>
      <c r="Y218" s="233"/>
      <c r="Z218" s="233"/>
      <c r="AA218" s="233"/>
      <c r="AB218" s="283"/>
      <c r="AC218" s="283"/>
      <c r="AD218" s="232"/>
      <c r="AE218" s="232"/>
      <c r="AF218" s="232"/>
      <c r="AG218" s="232"/>
      <c r="AH218" s="232"/>
      <c r="AI218" s="232"/>
      <c r="AJ218" s="232"/>
      <c r="AK218" s="232"/>
    </row>
    <row r="219" spans="2:37" ht="13.2">
      <c r="B219" s="232"/>
      <c r="C219" s="232"/>
      <c r="D219" s="232"/>
      <c r="E219" s="232"/>
      <c r="F219" s="232"/>
      <c r="G219" s="232"/>
      <c r="H219" s="283"/>
      <c r="I219" s="283"/>
      <c r="J219" s="283"/>
      <c r="K219" s="283"/>
      <c r="L219" s="840"/>
      <c r="M219" s="840"/>
      <c r="N219" s="840"/>
      <c r="O219" s="840"/>
      <c r="P219" s="840"/>
      <c r="Q219" s="840"/>
      <c r="R219" s="840"/>
      <c r="S219" s="840"/>
      <c r="T219" s="840"/>
      <c r="U219" s="840"/>
      <c r="V219" s="840"/>
      <c r="W219" s="840"/>
      <c r="X219" s="840"/>
      <c r="Y219" s="840"/>
      <c r="Z219" s="840"/>
      <c r="AA219" s="840"/>
      <c r="AB219" s="283"/>
      <c r="AC219" s="283"/>
      <c r="AD219" s="232"/>
      <c r="AE219" s="232"/>
      <c r="AF219" s="232"/>
      <c r="AG219" s="232"/>
      <c r="AH219" s="232"/>
      <c r="AI219" s="232"/>
      <c r="AJ219" s="232"/>
      <c r="AK219" s="232"/>
    </row>
    <row r="220" spans="2:37" ht="12.75" customHeight="1">
      <c r="B220" s="232"/>
      <c r="C220" s="232"/>
      <c r="D220" s="232"/>
      <c r="E220" s="232"/>
      <c r="F220" s="232"/>
      <c r="G220" s="232"/>
      <c r="H220" s="283"/>
      <c r="I220" s="283"/>
      <c r="J220" s="283"/>
      <c r="K220" s="283"/>
      <c r="L220" s="841">
        <f>AA_013_DATOS_DE_LA_PARTE_ACREDITADA_NOMBRE_DEL_ACREDITADO</f>
        <v>0</v>
      </c>
      <c r="M220" s="841"/>
      <c r="N220" s="841"/>
      <c r="O220" s="841"/>
      <c r="P220" s="841"/>
      <c r="Q220" s="841"/>
      <c r="R220" s="841"/>
      <c r="S220" s="841"/>
      <c r="T220" s="841"/>
      <c r="U220" s="841"/>
      <c r="V220" s="841"/>
      <c r="W220" s="841"/>
      <c r="X220" s="841"/>
      <c r="Y220" s="841"/>
      <c r="Z220" s="841"/>
      <c r="AA220" s="841"/>
      <c r="AB220" s="283"/>
      <c r="AC220" s="283"/>
      <c r="AD220" s="232"/>
      <c r="AE220" s="232"/>
      <c r="AF220" s="232"/>
      <c r="AG220" s="232"/>
      <c r="AH220" s="232"/>
      <c r="AI220" s="232"/>
      <c r="AJ220" s="232"/>
      <c r="AK220" s="232"/>
    </row>
    <row r="221" spans="2:37" ht="12.75" customHeight="1">
      <c r="B221" s="232"/>
      <c r="C221" s="232"/>
      <c r="D221" s="232"/>
      <c r="E221" s="232"/>
      <c r="F221" s="232"/>
      <c r="G221" s="232"/>
      <c r="H221" s="283"/>
      <c r="I221" s="283"/>
      <c r="J221" s="283"/>
      <c r="K221" s="283"/>
      <c r="L221" s="283"/>
      <c r="M221" s="283"/>
      <c r="N221" s="283"/>
      <c r="O221" s="283"/>
      <c r="P221" s="283"/>
      <c r="Q221" s="283"/>
      <c r="R221" s="283"/>
      <c r="S221" s="283"/>
      <c r="T221" s="283"/>
      <c r="U221" s="283"/>
      <c r="V221" s="283"/>
      <c r="W221" s="283"/>
      <c r="X221" s="283"/>
      <c r="Y221" s="283"/>
      <c r="Z221" s="283"/>
      <c r="AA221" s="283"/>
      <c r="AB221" s="283"/>
      <c r="AC221" s="283"/>
      <c r="AD221" s="232"/>
      <c r="AE221" s="232"/>
      <c r="AF221" s="232"/>
      <c r="AG221" s="232"/>
      <c r="AH221" s="232"/>
      <c r="AI221" s="232"/>
      <c r="AJ221" s="232"/>
      <c r="AK221" s="232"/>
    </row>
    <row r="222" spans="2:37" ht="13.2">
      <c r="B222" s="232"/>
      <c r="C222" s="232"/>
      <c r="D222" s="232"/>
      <c r="E222" s="232"/>
      <c r="F222" s="232"/>
      <c r="G222" s="232"/>
      <c r="H222" s="283"/>
      <c r="I222" s="283"/>
      <c r="J222" s="283"/>
      <c r="K222" s="283"/>
      <c r="L222" s="283"/>
      <c r="M222" s="283"/>
      <c r="N222" s="283"/>
      <c r="O222" s="283"/>
      <c r="P222" s="283"/>
      <c r="Q222" s="283"/>
      <c r="R222" s="283"/>
      <c r="S222" s="283"/>
      <c r="T222" s="283"/>
      <c r="U222" s="283"/>
      <c r="V222" s="283"/>
      <c r="W222" s="283"/>
      <c r="X222" s="283"/>
      <c r="Y222" s="283"/>
      <c r="Z222" s="283"/>
      <c r="AA222" s="283"/>
      <c r="AB222" s="283"/>
      <c r="AC222" s="283"/>
      <c r="AD222" s="232"/>
      <c r="AE222" s="232"/>
      <c r="AF222" s="232"/>
      <c r="AG222" s="232"/>
      <c r="AH222" s="232"/>
      <c r="AI222" s="232"/>
      <c r="AJ222" s="232"/>
      <c r="AK222" s="232"/>
    </row>
    <row r="223" spans="2:37" ht="13.2">
      <c r="B223" s="232"/>
      <c r="C223" s="232"/>
      <c r="D223" s="232"/>
      <c r="E223" s="232"/>
      <c r="F223" s="232"/>
      <c r="G223" s="232"/>
      <c r="H223" s="284"/>
      <c r="I223" s="284"/>
      <c r="J223" s="284"/>
      <c r="K223" s="284"/>
      <c r="L223" s="842"/>
      <c r="M223" s="842"/>
      <c r="N223" s="842"/>
      <c r="O223" s="842"/>
      <c r="P223" s="842"/>
      <c r="Q223" s="842"/>
      <c r="R223" s="842"/>
      <c r="S223" s="842"/>
      <c r="T223" s="842"/>
      <c r="U223" s="842"/>
      <c r="V223" s="842"/>
      <c r="W223" s="842"/>
      <c r="X223" s="842"/>
      <c r="Y223" s="842"/>
      <c r="Z223" s="842"/>
      <c r="AA223" s="842"/>
      <c r="AB223" s="284"/>
      <c r="AC223" s="284"/>
      <c r="AD223" s="232"/>
      <c r="AE223" s="232"/>
      <c r="AF223" s="232"/>
      <c r="AG223" s="232"/>
      <c r="AH223" s="232"/>
      <c r="AI223" s="232"/>
      <c r="AJ223" s="232"/>
      <c r="AK223" s="232"/>
    </row>
    <row r="224" spans="2:37" ht="12.75" customHeight="1">
      <c r="B224" s="232"/>
      <c r="C224" s="232"/>
      <c r="D224" s="232"/>
      <c r="E224" s="232"/>
      <c r="F224" s="232"/>
      <c r="G224" s="232"/>
      <c r="H224" s="284"/>
      <c r="I224" s="284"/>
      <c r="J224" s="284"/>
      <c r="K224" s="284"/>
      <c r="L224" s="841">
        <f>AA_024_DATOS_DE_LA_PARTE_ACREDITADA_NOMBRE_DEL_ACREDITADO_2</f>
        <v>0</v>
      </c>
      <c r="M224" s="841"/>
      <c r="N224" s="841"/>
      <c r="O224" s="841"/>
      <c r="P224" s="841"/>
      <c r="Q224" s="841"/>
      <c r="R224" s="841"/>
      <c r="S224" s="841"/>
      <c r="T224" s="841"/>
      <c r="U224" s="841"/>
      <c r="V224" s="841"/>
      <c r="W224" s="841"/>
      <c r="X224" s="841"/>
      <c r="Y224" s="841"/>
      <c r="Z224" s="841"/>
      <c r="AA224" s="841"/>
      <c r="AB224" s="284"/>
      <c r="AC224" s="284"/>
      <c r="AD224" s="232"/>
      <c r="AE224" s="232"/>
      <c r="AF224" s="232"/>
      <c r="AG224" s="232"/>
      <c r="AH224" s="232"/>
      <c r="AI224" s="232"/>
      <c r="AJ224" s="232"/>
      <c r="AK224" s="232"/>
    </row>
    <row r="225" spans="2:37" ht="12.75" customHeight="1">
      <c r="B225" s="232"/>
      <c r="C225" s="232"/>
      <c r="D225" s="232"/>
      <c r="E225" s="232"/>
      <c r="F225" s="232"/>
      <c r="G225" s="232"/>
      <c r="H225" s="284"/>
      <c r="I225" s="284"/>
      <c r="J225" s="284"/>
      <c r="K225" s="284"/>
      <c r="L225" s="284"/>
      <c r="M225" s="284"/>
      <c r="N225" s="284"/>
      <c r="O225" s="284"/>
      <c r="P225" s="284"/>
      <c r="Q225" s="284"/>
      <c r="R225" s="284"/>
      <c r="S225" s="284"/>
      <c r="T225" s="284"/>
      <c r="U225" s="284"/>
      <c r="V225" s="284"/>
      <c r="W225" s="284"/>
      <c r="X225" s="284"/>
      <c r="Y225" s="284"/>
      <c r="Z225" s="284"/>
      <c r="AA225" s="284"/>
      <c r="AB225" s="284"/>
      <c r="AC225" s="284"/>
      <c r="AD225" s="232"/>
      <c r="AE225" s="232"/>
      <c r="AF225" s="232"/>
      <c r="AG225" s="232"/>
      <c r="AH225" s="232"/>
      <c r="AI225" s="232"/>
      <c r="AJ225" s="232"/>
      <c r="AK225" s="232"/>
    </row>
    <row r="226" spans="2:37" ht="13.2">
      <c r="B226" s="232"/>
      <c r="C226" s="232"/>
      <c r="D226" s="232"/>
      <c r="E226" s="232"/>
      <c r="F226" s="232"/>
      <c r="G226" s="232"/>
      <c r="H226" s="284"/>
      <c r="I226" s="284"/>
      <c r="J226" s="284"/>
      <c r="K226" s="284"/>
      <c r="L226" s="284"/>
      <c r="M226" s="284"/>
      <c r="N226" s="284"/>
      <c r="O226" s="284"/>
      <c r="P226" s="284"/>
      <c r="Q226" s="284"/>
      <c r="R226" s="284"/>
      <c r="S226" s="284"/>
      <c r="T226" s="284"/>
      <c r="U226" s="284"/>
      <c r="V226" s="284"/>
      <c r="W226" s="284"/>
      <c r="X226" s="284"/>
      <c r="Y226" s="284"/>
      <c r="Z226" s="284"/>
      <c r="AA226" s="284"/>
      <c r="AB226" s="284"/>
      <c r="AC226" s="284"/>
      <c r="AD226" s="232"/>
      <c r="AE226" s="232"/>
      <c r="AF226" s="232"/>
      <c r="AG226" s="232"/>
      <c r="AH226" s="232"/>
      <c r="AI226" s="232"/>
      <c r="AJ226" s="232"/>
      <c r="AK226" s="232"/>
    </row>
    <row r="227" spans="2:37" ht="13.2">
      <c r="B227" s="232"/>
      <c r="C227" s="232"/>
      <c r="D227" s="232"/>
      <c r="E227" s="232"/>
      <c r="F227" s="232"/>
      <c r="G227" s="232"/>
      <c r="H227" s="284"/>
      <c r="I227" s="284"/>
      <c r="J227" s="284"/>
      <c r="K227" s="284"/>
      <c r="L227" s="284"/>
      <c r="M227" s="284"/>
      <c r="N227" s="284"/>
      <c r="O227" s="284"/>
      <c r="P227" s="284"/>
      <c r="Q227" s="284"/>
      <c r="R227" s="284"/>
      <c r="S227" s="284"/>
      <c r="T227" s="284"/>
      <c r="U227" s="284"/>
      <c r="V227" s="284"/>
      <c r="W227" s="284"/>
      <c r="X227" s="284"/>
      <c r="Y227" s="284"/>
      <c r="Z227" s="284"/>
      <c r="AA227" s="284"/>
      <c r="AB227" s="284"/>
      <c r="AC227" s="284"/>
      <c r="AD227" s="232"/>
      <c r="AE227" s="232"/>
      <c r="AF227" s="232"/>
      <c r="AG227" s="232"/>
      <c r="AH227" s="232"/>
      <c r="AI227" s="232"/>
      <c r="AJ227" s="232"/>
      <c r="AK227" s="232"/>
    </row>
    <row r="228" spans="2:37" ht="13.2">
      <c r="B228" s="232"/>
      <c r="C228" s="232"/>
      <c r="D228" s="232"/>
      <c r="E228" s="232"/>
      <c r="F228" s="232"/>
      <c r="G228" s="232"/>
      <c r="H228" s="284"/>
      <c r="I228" s="284"/>
      <c r="J228" s="284"/>
      <c r="K228" s="284"/>
      <c r="L228" s="284"/>
      <c r="M228" s="284"/>
      <c r="N228" s="284"/>
      <c r="O228" s="284"/>
      <c r="P228" s="284"/>
      <c r="Q228" s="284"/>
      <c r="R228" s="284"/>
      <c r="S228" s="284"/>
      <c r="T228" s="284"/>
      <c r="U228" s="284"/>
      <c r="V228" s="284"/>
      <c r="W228" s="284"/>
      <c r="X228" s="284"/>
      <c r="Y228" s="284"/>
      <c r="Z228" s="284"/>
      <c r="AA228" s="284"/>
      <c r="AB228" s="284"/>
      <c r="AC228" s="284"/>
      <c r="AD228" s="232"/>
      <c r="AE228" s="232"/>
      <c r="AF228" s="232"/>
      <c r="AG228" s="232"/>
      <c r="AH228" s="232"/>
      <c r="AI228" s="232"/>
      <c r="AJ228" s="232"/>
      <c r="AK228" s="232"/>
    </row>
    <row r="229" spans="2:37" ht="13.2">
      <c r="B229" s="232"/>
      <c r="C229" s="232"/>
      <c r="D229" s="232"/>
      <c r="E229" s="232"/>
      <c r="F229" s="232"/>
      <c r="G229" s="232"/>
      <c r="H229" s="284"/>
      <c r="I229" s="284"/>
      <c r="J229" s="284"/>
      <c r="K229" s="284"/>
      <c r="L229" s="284"/>
      <c r="M229" s="284"/>
      <c r="N229" s="284"/>
      <c r="O229" s="284"/>
      <c r="P229" s="284"/>
      <c r="Q229" s="284"/>
      <c r="R229" s="284"/>
      <c r="S229" s="284"/>
      <c r="T229" s="284"/>
      <c r="U229" s="284"/>
      <c r="V229" s="284"/>
      <c r="W229" s="284"/>
      <c r="X229" s="284"/>
      <c r="Y229" s="284"/>
      <c r="Z229" s="284"/>
      <c r="AA229" s="284"/>
      <c r="AB229" s="284"/>
      <c r="AC229" s="284"/>
      <c r="AD229" s="232"/>
      <c r="AE229" s="232"/>
      <c r="AF229" s="232"/>
      <c r="AG229" s="232"/>
      <c r="AH229" s="232"/>
      <c r="AI229" s="232"/>
      <c r="AJ229" s="232"/>
      <c r="AK229" s="232"/>
    </row>
    <row r="230" spans="2:37" ht="12.75" customHeight="1">
      <c r="B230" s="232"/>
      <c r="C230" s="232"/>
      <c r="D230" s="232"/>
      <c r="E230" s="232"/>
      <c r="F230" s="232"/>
      <c r="G230" s="232"/>
      <c r="H230" s="284"/>
      <c r="I230" s="284"/>
      <c r="J230" s="284"/>
      <c r="K230" s="284"/>
      <c r="L230" s="284"/>
      <c r="M230" s="843" t="s">
        <v>275</v>
      </c>
      <c r="N230" s="843"/>
      <c r="O230" s="843"/>
      <c r="P230" s="843"/>
      <c r="Q230" s="843"/>
      <c r="R230" s="843"/>
      <c r="S230" s="843"/>
      <c r="T230" s="843"/>
      <c r="U230" s="843"/>
      <c r="V230" s="843"/>
      <c r="W230" s="843"/>
      <c r="X230" s="843"/>
      <c r="Y230" s="843"/>
      <c r="Z230" s="284"/>
      <c r="AA230" s="284"/>
      <c r="AB230" s="284"/>
      <c r="AC230" s="284"/>
      <c r="AD230" s="232"/>
      <c r="AE230" s="232"/>
      <c r="AF230" s="232"/>
      <c r="AG230" s="232"/>
      <c r="AH230" s="232"/>
      <c r="AI230" s="232"/>
      <c r="AJ230" s="232"/>
      <c r="AK230" s="232"/>
    </row>
    <row r="231" spans="2:37" ht="13.2">
      <c r="B231" s="232"/>
      <c r="C231" s="232"/>
      <c r="D231" s="232"/>
      <c r="E231" s="232"/>
      <c r="F231" s="232"/>
      <c r="G231" s="232"/>
      <c r="H231" s="284"/>
      <c r="I231" s="284"/>
      <c r="J231" s="284"/>
      <c r="K231" s="284"/>
      <c r="L231" s="284"/>
      <c r="M231" s="284"/>
      <c r="N231" s="284"/>
      <c r="O231" s="284"/>
      <c r="P231" s="284"/>
      <c r="Q231" s="284"/>
      <c r="R231" s="284"/>
      <c r="S231" s="284"/>
      <c r="T231" s="284"/>
      <c r="U231" s="284"/>
      <c r="V231" s="284"/>
      <c r="W231" s="284"/>
      <c r="X231" s="284"/>
      <c r="Y231" s="284"/>
      <c r="Z231" s="284"/>
      <c r="AA231" s="284"/>
      <c r="AB231" s="284"/>
      <c r="AC231" s="284"/>
      <c r="AD231" s="232"/>
      <c r="AE231" s="232"/>
      <c r="AF231" s="232"/>
      <c r="AG231" s="232"/>
      <c r="AH231" s="232"/>
      <c r="AI231" s="232"/>
      <c r="AJ231" s="232"/>
      <c r="AK231" s="232"/>
    </row>
    <row r="232" spans="2:37" ht="12.75" customHeight="1">
      <c r="B232" s="232"/>
      <c r="C232" s="232"/>
      <c r="D232" s="232"/>
      <c r="E232" s="232"/>
      <c r="F232" s="232"/>
      <c r="G232" s="232"/>
      <c r="H232" s="284"/>
      <c r="I232" s="284"/>
      <c r="J232" s="284"/>
      <c r="K232" s="284"/>
      <c r="L232" s="842"/>
      <c r="M232" s="842"/>
      <c r="N232" s="842"/>
      <c r="O232" s="842"/>
      <c r="P232" s="842"/>
      <c r="Q232" s="842"/>
      <c r="R232" s="842"/>
      <c r="S232" s="842"/>
      <c r="T232" s="842"/>
      <c r="U232" s="842"/>
      <c r="V232" s="842"/>
      <c r="W232" s="842"/>
      <c r="X232" s="842"/>
      <c r="Y232" s="842"/>
      <c r="Z232" s="842"/>
      <c r="AA232" s="842"/>
      <c r="AB232" s="284"/>
      <c r="AC232" s="284"/>
      <c r="AD232" s="232"/>
      <c r="AE232" s="232"/>
      <c r="AF232" s="232"/>
      <c r="AG232" s="232"/>
      <c r="AH232" s="232"/>
      <c r="AI232" s="232"/>
      <c r="AJ232" s="232"/>
      <c r="AK232" s="232"/>
    </row>
    <row r="233" spans="2:37" ht="12.75" customHeight="1">
      <c r="B233" s="232"/>
      <c r="C233" s="232"/>
      <c r="D233" s="232"/>
      <c r="E233" s="232"/>
      <c r="F233" s="232"/>
      <c r="G233" s="232"/>
      <c r="H233" s="284"/>
      <c r="I233" s="284"/>
      <c r="J233" s="284"/>
      <c r="K233" s="284"/>
      <c r="L233" s="841">
        <f>AA_037_DATOS_FIADORES_NOMBRE_DEL_FIADOR_SOLIDARIO_UNO</f>
        <v>0</v>
      </c>
      <c r="M233" s="841"/>
      <c r="N233" s="841"/>
      <c r="O233" s="841"/>
      <c r="P233" s="841"/>
      <c r="Q233" s="841"/>
      <c r="R233" s="841"/>
      <c r="S233" s="841"/>
      <c r="T233" s="841"/>
      <c r="U233" s="841"/>
      <c r="V233" s="841"/>
      <c r="W233" s="841"/>
      <c r="X233" s="841"/>
      <c r="Y233" s="841"/>
      <c r="Z233" s="841"/>
      <c r="AA233" s="841"/>
      <c r="AB233" s="284"/>
      <c r="AC233" s="284"/>
      <c r="AD233" s="232"/>
      <c r="AE233" s="232"/>
      <c r="AF233" s="232"/>
      <c r="AG233" s="232"/>
      <c r="AH233" s="232"/>
      <c r="AI233" s="232"/>
      <c r="AJ233" s="232"/>
      <c r="AK233" s="232"/>
    </row>
    <row r="234" spans="2:37" ht="12.75" customHeight="1">
      <c r="B234" s="232"/>
      <c r="C234" s="232"/>
      <c r="D234" s="232"/>
      <c r="E234" s="232"/>
      <c r="F234" s="232"/>
      <c r="G234" s="232"/>
      <c r="H234" s="284"/>
      <c r="I234" s="284"/>
      <c r="J234" s="284"/>
      <c r="K234" s="284"/>
      <c r="L234" s="284"/>
      <c r="M234" s="284"/>
      <c r="N234" s="284"/>
      <c r="O234" s="284"/>
      <c r="P234" s="284"/>
      <c r="Q234" s="284"/>
      <c r="R234" s="284"/>
      <c r="S234" s="284"/>
      <c r="T234" s="284"/>
      <c r="U234" s="284"/>
      <c r="V234" s="284"/>
      <c r="W234" s="284"/>
      <c r="X234" s="284"/>
      <c r="Y234" s="284"/>
      <c r="Z234" s="284"/>
      <c r="AA234" s="284"/>
      <c r="AB234" s="284"/>
      <c r="AC234" s="284"/>
      <c r="AD234" s="232"/>
      <c r="AE234" s="232"/>
      <c r="AF234" s="232"/>
      <c r="AG234" s="232"/>
      <c r="AH234" s="232"/>
      <c r="AI234" s="232"/>
      <c r="AJ234" s="232"/>
      <c r="AK234" s="232"/>
    </row>
    <row r="235" spans="2:37" ht="13.2">
      <c r="B235" s="232"/>
      <c r="C235" s="232"/>
      <c r="D235" s="232"/>
      <c r="E235" s="232"/>
      <c r="F235" s="232"/>
      <c r="G235" s="232"/>
      <c r="H235" s="284"/>
      <c r="I235" s="284"/>
      <c r="J235" s="284"/>
      <c r="K235" s="284"/>
      <c r="L235" s="284"/>
      <c r="M235" s="284"/>
      <c r="N235" s="284"/>
      <c r="O235" s="284"/>
      <c r="P235" s="284"/>
      <c r="Q235" s="284"/>
      <c r="R235" s="284"/>
      <c r="S235" s="284"/>
      <c r="T235" s="284"/>
      <c r="U235" s="284"/>
      <c r="V235" s="284"/>
      <c r="W235" s="284"/>
      <c r="X235" s="284"/>
      <c r="Y235" s="284"/>
      <c r="Z235" s="284"/>
      <c r="AA235" s="284"/>
      <c r="AB235" s="284"/>
      <c r="AC235" s="284"/>
      <c r="AD235" s="232"/>
      <c r="AE235" s="232"/>
      <c r="AF235" s="232"/>
      <c r="AG235" s="232"/>
      <c r="AH235" s="232"/>
      <c r="AI235" s="232"/>
      <c r="AJ235" s="232"/>
      <c r="AK235" s="232"/>
    </row>
    <row r="236" spans="2:37" ht="13.2">
      <c r="B236" s="232"/>
      <c r="C236" s="232"/>
      <c r="D236" s="232"/>
      <c r="E236" s="232"/>
      <c r="F236" s="232"/>
      <c r="G236" s="232"/>
      <c r="H236" s="284"/>
      <c r="I236" s="284"/>
      <c r="J236" s="284"/>
      <c r="K236" s="284"/>
      <c r="L236" s="842"/>
      <c r="M236" s="842"/>
      <c r="N236" s="842"/>
      <c r="O236" s="842"/>
      <c r="P236" s="842"/>
      <c r="Q236" s="842"/>
      <c r="R236" s="842"/>
      <c r="S236" s="842"/>
      <c r="T236" s="842"/>
      <c r="U236" s="842"/>
      <c r="V236" s="842"/>
      <c r="W236" s="842"/>
      <c r="X236" s="842"/>
      <c r="Y236" s="842"/>
      <c r="Z236" s="842"/>
      <c r="AA236" s="842"/>
      <c r="AB236" s="284"/>
      <c r="AC236" s="284"/>
      <c r="AD236" s="232"/>
      <c r="AE236" s="232"/>
      <c r="AF236" s="232"/>
      <c r="AG236" s="232"/>
      <c r="AH236" s="232"/>
      <c r="AI236" s="232"/>
      <c r="AJ236" s="232"/>
      <c r="AK236" s="232"/>
    </row>
    <row r="237" spans="2:37" ht="12.75" customHeight="1">
      <c r="B237" s="232"/>
      <c r="C237" s="232"/>
      <c r="D237" s="232"/>
      <c r="E237" s="232"/>
      <c r="F237" s="232"/>
      <c r="G237" s="232"/>
      <c r="H237" s="284"/>
      <c r="I237" s="284"/>
      <c r="J237" s="284"/>
      <c r="K237" s="284"/>
      <c r="L237" s="841">
        <f>AA_048_DATOS_FIADORES_NOMBRE_DEL_FIADOR_SOLIDARIO_DOS</f>
        <v>0</v>
      </c>
      <c r="M237" s="841"/>
      <c r="N237" s="841"/>
      <c r="O237" s="841"/>
      <c r="P237" s="841"/>
      <c r="Q237" s="841"/>
      <c r="R237" s="841"/>
      <c r="S237" s="841"/>
      <c r="T237" s="841"/>
      <c r="U237" s="841"/>
      <c r="V237" s="841"/>
      <c r="W237" s="841"/>
      <c r="X237" s="841"/>
      <c r="Y237" s="841"/>
      <c r="Z237" s="841"/>
      <c r="AA237" s="841"/>
      <c r="AB237" s="284"/>
      <c r="AC237" s="284"/>
      <c r="AD237" s="232"/>
      <c r="AE237" s="232"/>
      <c r="AF237" s="232"/>
      <c r="AG237" s="232"/>
      <c r="AH237" s="232"/>
      <c r="AI237" s="232"/>
      <c r="AJ237" s="232"/>
      <c r="AK237" s="232"/>
    </row>
    <row r="238" spans="2:37" ht="12.75" customHeight="1">
      <c r="B238" s="232"/>
      <c r="C238" s="232"/>
      <c r="D238" s="232"/>
      <c r="E238" s="232"/>
      <c r="F238" s="232"/>
      <c r="G238" s="232"/>
      <c r="H238" s="284"/>
      <c r="I238" s="284"/>
      <c r="J238" s="284"/>
      <c r="K238" s="284"/>
      <c r="L238" s="284"/>
      <c r="M238" s="284"/>
      <c r="N238" s="284"/>
      <c r="O238" s="284"/>
      <c r="P238" s="284"/>
      <c r="Q238" s="284"/>
      <c r="R238" s="284"/>
      <c r="S238" s="284"/>
      <c r="T238" s="284"/>
      <c r="U238" s="284"/>
      <c r="V238" s="284"/>
      <c r="W238" s="284"/>
      <c r="X238" s="284"/>
      <c r="Y238" s="284"/>
      <c r="Z238" s="284"/>
      <c r="AA238" s="284"/>
      <c r="AB238" s="284"/>
      <c r="AC238" s="284"/>
      <c r="AD238" s="232"/>
      <c r="AE238" s="232"/>
      <c r="AF238" s="232"/>
      <c r="AG238" s="232"/>
      <c r="AH238" s="232"/>
      <c r="AI238" s="232"/>
      <c r="AJ238" s="232"/>
      <c r="AK238" s="232"/>
    </row>
    <row r="239" spans="2:37" ht="12.75" customHeight="1">
      <c r="B239" s="232"/>
      <c r="C239" s="232"/>
      <c r="D239" s="232"/>
      <c r="E239" s="232"/>
      <c r="F239" s="232"/>
      <c r="G239" s="232"/>
      <c r="H239" s="284"/>
      <c r="I239" s="284"/>
      <c r="J239" s="284"/>
      <c r="K239" s="284"/>
      <c r="L239" s="284"/>
      <c r="M239" s="284"/>
      <c r="N239" s="284"/>
      <c r="O239" s="284"/>
      <c r="P239" s="284"/>
      <c r="Q239" s="284"/>
      <c r="R239" s="284"/>
      <c r="S239" s="284"/>
      <c r="T239" s="284"/>
      <c r="U239" s="284"/>
      <c r="V239" s="284"/>
      <c r="W239" s="284"/>
      <c r="X239" s="284"/>
      <c r="Y239" s="284"/>
      <c r="Z239" s="284"/>
      <c r="AA239" s="284"/>
      <c r="AB239" s="284"/>
      <c r="AC239" s="284"/>
      <c r="AD239" s="232"/>
      <c r="AE239" s="232"/>
      <c r="AF239" s="232"/>
      <c r="AG239" s="232"/>
      <c r="AH239" s="232"/>
      <c r="AI239" s="232"/>
      <c r="AJ239" s="232"/>
      <c r="AK239" s="232"/>
    </row>
    <row r="240" spans="2:37" ht="13.2">
      <c r="B240" s="232"/>
      <c r="C240" s="232"/>
      <c r="D240" s="232"/>
      <c r="E240" s="232"/>
      <c r="F240" s="232"/>
      <c r="G240" s="232"/>
      <c r="H240" s="284"/>
      <c r="I240" s="284"/>
      <c r="J240" s="284"/>
      <c r="K240" s="284"/>
      <c r="L240" s="842"/>
      <c r="M240" s="842"/>
      <c r="N240" s="842"/>
      <c r="O240" s="842"/>
      <c r="P240" s="842"/>
      <c r="Q240" s="842"/>
      <c r="R240" s="842"/>
      <c r="S240" s="842"/>
      <c r="T240" s="842"/>
      <c r="U240" s="842"/>
      <c r="V240" s="842"/>
      <c r="W240" s="842"/>
      <c r="X240" s="842"/>
      <c r="Y240" s="842"/>
      <c r="Z240" s="842"/>
      <c r="AA240" s="842"/>
      <c r="AB240" s="284"/>
      <c r="AC240" s="284"/>
      <c r="AD240" s="232"/>
      <c r="AE240" s="232"/>
      <c r="AF240" s="232"/>
      <c r="AG240" s="232"/>
      <c r="AH240" s="232"/>
      <c r="AI240" s="232"/>
      <c r="AJ240" s="232"/>
      <c r="AK240" s="232"/>
    </row>
    <row r="241" spans="2:37" ht="12.75" customHeight="1">
      <c r="B241" s="232"/>
      <c r="C241" s="232"/>
      <c r="D241" s="232"/>
      <c r="E241" s="232"/>
      <c r="F241" s="232"/>
      <c r="G241" s="232"/>
      <c r="H241" s="284"/>
      <c r="I241" s="284"/>
      <c r="J241" s="284"/>
      <c r="K241" s="284"/>
      <c r="L241" s="841">
        <f>AA_059_DATOS_FIADORES_NOMBRE_DEL_FIADOR_SOLIDARIO_TRES</f>
        <v>0</v>
      </c>
      <c r="M241" s="841"/>
      <c r="N241" s="841"/>
      <c r="O241" s="841"/>
      <c r="P241" s="841"/>
      <c r="Q241" s="841"/>
      <c r="R241" s="841"/>
      <c r="S241" s="841"/>
      <c r="T241" s="841"/>
      <c r="U241" s="841"/>
      <c r="V241" s="841"/>
      <c r="W241" s="841"/>
      <c r="X241" s="841"/>
      <c r="Y241" s="841"/>
      <c r="Z241" s="841"/>
      <c r="AA241" s="841"/>
      <c r="AB241" s="284"/>
      <c r="AC241" s="284"/>
      <c r="AD241" s="232"/>
      <c r="AE241" s="232"/>
      <c r="AF241" s="232"/>
      <c r="AG241" s="232"/>
      <c r="AH241" s="232"/>
      <c r="AI241" s="232"/>
      <c r="AJ241" s="232"/>
      <c r="AK241" s="232"/>
    </row>
    <row r="242" spans="2:37" ht="13.2">
      <c r="B242" s="232"/>
      <c r="C242" s="232"/>
      <c r="D242" s="232"/>
      <c r="E242" s="232"/>
      <c r="F242" s="232"/>
      <c r="G242" s="232"/>
      <c r="H242" s="284"/>
      <c r="I242" s="284"/>
      <c r="J242" s="284"/>
      <c r="K242" s="284"/>
      <c r="L242" s="284"/>
      <c r="M242" s="284"/>
      <c r="N242" s="284"/>
      <c r="O242" s="284"/>
      <c r="P242" s="284"/>
      <c r="Q242" s="284"/>
      <c r="R242" s="284"/>
      <c r="S242" s="284"/>
      <c r="T242" s="284"/>
      <c r="U242" s="284"/>
      <c r="V242" s="284"/>
      <c r="W242" s="284"/>
      <c r="X242" s="284"/>
      <c r="Y242" s="284"/>
      <c r="Z242" s="284"/>
      <c r="AA242" s="284"/>
      <c r="AB242" s="284"/>
      <c r="AC242" s="284"/>
      <c r="AD242" s="232"/>
      <c r="AE242" s="232"/>
      <c r="AF242" s="232"/>
      <c r="AG242" s="232"/>
      <c r="AH242" s="232"/>
      <c r="AI242" s="232"/>
      <c r="AJ242" s="232"/>
      <c r="AK242" s="232"/>
    </row>
    <row r="243" spans="2:37" ht="12.75" customHeight="1">
      <c r="B243" s="232"/>
      <c r="C243" s="232"/>
      <c r="D243" s="232"/>
      <c r="E243" s="232"/>
      <c r="F243" s="232"/>
      <c r="G243" s="232"/>
      <c r="H243" s="284"/>
      <c r="I243" s="284"/>
      <c r="J243" s="284"/>
      <c r="K243" s="284"/>
      <c r="L243" s="284"/>
      <c r="M243" s="284"/>
      <c r="N243" s="284"/>
      <c r="O243" s="284"/>
      <c r="P243" s="284"/>
      <c r="Q243" s="284"/>
      <c r="R243" s="284"/>
      <c r="S243" s="284"/>
      <c r="T243" s="284"/>
      <c r="U243" s="284"/>
      <c r="V243" s="284"/>
      <c r="W243" s="284"/>
      <c r="X243" s="284"/>
      <c r="Y243" s="284"/>
      <c r="Z243" s="284"/>
      <c r="AA243" s="284"/>
      <c r="AB243" s="284"/>
      <c r="AC243" s="284"/>
      <c r="AD243" s="232"/>
      <c r="AE243" s="232"/>
      <c r="AF243" s="232"/>
      <c r="AG243" s="232"/>
      <c r="AH243" s="232"/>
      <c r="AI243" s="232"/>
      <c r="AJ243" s="232"/>
      <c r="AK243" s="232"/>
    </row>
    <row r="244" spans="2:37" ht="13.2">
      <c r="B244" s="232"/>
      <c r="C244" s="232"/>
      <c r="D244" s="232"/>
      <c r="E244" s="232"/>
      <c r="F244" s="232"/>
      <c r="G244" s="232"/>
      <c r="H244" s="236"/>
      <c r="I244" s="236"/>
      <c r="J244" s="236"/>
      <c r="K244" s="236"/>
      <c r="L244" s="234"/>
      <c r="M244" s="234"/>
      <c r="N244" s="234"/>
      <c r="O244" s="609" t="s">
        <v>276</v>
      </c>
      <c r="P244" s="609"/>
      <c r="Q244" s="609"/>
      <c r="R244" s="609"/>
      <c r="S244" s="609"/>
      <c r="T244" s="609"/>
      <c r="U244" s="609"/>
      <c r="V244" s="609"/>
      <c r="W244" s="609"/>
      <c r="X244" s="234"/>
      <c r="Y244" s="234"/>
      <c r="Z244" s="234"/>
      <c r="AA244" s="234"/>
      <c r="AB244" s="235"/>
      <c r="AC244" s="236"/>
      <c r="AD244" s="232"/>
      <c r="AE244" s="232"/>
      <c r="AF244" s="232"/>
      <c r="AG244" s="232"/>
      <c r="AH244" s="232"/>
      <c r="AI244" s="232"/>
      <c r="AJ244" s="232"/>
      <c r="AK244" s="232"/>
    </row>
    <row r="245" spans="2:37" ht="13.2">
      <c r="B245" s="232"/>
      <c r="C245" s="232"/>
      <c r="D245" s="232"/>
      <c r="E245" s="232"/>
      <c r="F245" s="232"/>
      <c r="G245" s="232"/>
      <c r="H245" s="612" t="s">
        <v>277</v>
      </c>
      <c r="I245" s="612"/>
      <c r="J245" s="612"/>
      <c r="K245" s="612"/>
      <c r="L245" s="612"/>
      <c r="M245" s="612"/>
      <c r="N245" s="612"/>
      <c r="O245" s="612"/>
      <c r="P245" s="612"/>
      <c r="Q245" s="612"/>
      <c r="R245" s="612"/>
      <c r="S245" s="612"/>
      <c r="T245" s="612"/>
      <c r="U245" s="612"/>
      <c r="V245" s="612"/>
      <c r="W245" s="612"/>
      <c r="X245" s="612"/>
      <c r="Y245" s="612"/>
      <c r="Z245" s="612"/>
      <c r="AA245" s="612"/>
      <c r="AB245" s="612"/>
      <c r="AC245" s="612"/>
      <c r="AD245" s="232"/>
      <c r="AE245" s="232"/>
      <c r="AF245" s="232"/>
      <c r="AG245" s="232"/>
      <c r="AH245" s="232"/>
      <c r="AI245" s="232"/>
      <c r="AJ245" s="232"/>
      <c r="AK245" s="232"/>
    </row>
    <row r="246" spans="2:37" ht="13.2">
      <c r="B246" s="232"/>
      <c r="C246" s="232"/>
      <c r="D246" s="232"/>
      <c r="E246" s="232"/>
      <c r="F246" s="232"/>
      <c r="G246" s="232"/>
      <c r="H246" s="236"/>
      <c r="I246" s="236"/>
      <c r="J246" s="236"/>
      <c r="K246" s="236"/>
      <c r="L246" s="285"/>
      <c r="M246" s="234"/>
      <c r="N246" s="234"/>
      <c r="O246" s="612" t="s">
        <v>278</v>
      </c>
      <c r="P246" s="612"/>
      <c r="Q246" s="612"/>
      <c r="R246" s="612"/>
      <c r="S246" s="612"/>
      <c r="T246" s="612"/>
      <c r="U246" s="612"/>
      <c r="V246" s="612"/>
      <c r="W246" s="612"/>
      <c r="X246" s="234"/>
      <c r="Y246" s="234"/>
      <c r="Z246" s="234"/>
      <c r="AA246" s="234"/>
      <c r="AB246" s="236"/>
      <c r="AC246" s="236"/>
      <c r="AD246" s="232"/>
      <c r="AE246" s="232"/>
      <c r="AF246" s="232"/>
      <c r="AG246" s="232"/>
      <c r="AH246" s="232"/>
      <c r="AI246" s="232"/>
      <c r="AJ246" s="232"/>
      <c r="AK246" s="232"/>
    </row>
    <row r="247" spans="2:37" ht="13.2">
      <c r="B247" s="232"/>
      <c r="C247" s="232"/>
      <c r="D247" s="232"/>
      <c r="E247" s="232"/>
      <c r="F247" s="232"/>
      <c r="G247" s="232"/>
      <c r="H247" s="236"/>
      <c r="I247" s="236"/>
      <c r="J247" s="236"/>
      <c r="K247" s="236"/>
      <c r="L247" s="236"/>
      <c r="M247" s="236"/>
      <c r="N247" s="236"/>
      <c r="O247" s="236"/>
      <c r="P247" s="236"/>
      <c r="Q247" s="236"/>
      <c r="R247" s="236"/>
      <c r="S247" s="236"/>
      <c r="T247" s="236"/>
      <c r="U247" s="236"/>
      <c r="V247" s="236"/>
      <c r="W247" s="236"/>
      <c r="X247" s="236"/>
      <c r="Y247" s="236"/>
      <c r="Z247" s="236"/>
      <c r="AA247" s="236"/>
      <c r="AB247" s="236"/>
      <c r="AC247" s="236"/>
      <c r="AD247" s="232"/>
      <c r="AE247" s="232"/>
      <c r="AF247" s="232"/>
      <c r="AG247" s="232"/>
      <c r="AH247" s="232"/>
      <c r="AI247" s="232"/>
      <c r="AJ247" s="232"/>
      <c r="AK247" s="232"/>
    </row>
    <row r="248" spans="2:37" ht="12.75" customHeight="1">
      <c r="B248" s="490"/>
      <c r="C248" s="490"/>
      <c r="D248" s="490"/>
      <c r="E248" s="490"/>
      <c r="F248" s="274"/>
      <c r="G248" s="274"/>
      <c r="H248" s="284"/>
      <c r="I248" s="284"/>
      <c r="J248" s="284"/>
      <c r="K248" s="284"/>
      <c r="L248" s="284"/>
      <c r="M248" s="284"/>
      <c r="N248" s="284"/>
      <c r="O248" s="284"/>
      <c r="P248" s="284"/>
      <c r="Q248" s="284"/>
      <c r="R248" s="284"/>
      <c r="S248" s="284"/>
      <c r="T248" s="284"/>
      <c r="U248" s="284"/>
      <c r="V248" s="284"/>
      <c r="W248" s="284"/>
      <c r="X248" s="284"/>
      <c r="Y248" s="284"/>
      <c r="Z248" s="284"/>
      <c r="AA248" s="284"/>
      <c r="AB248" s="284"/>
      <c r="AC248" s="284"/>
      <c r="AD248" s="274"/>
      <c r="AE248" s="274"/>
      <c r="AF248" s="274"/>
      <c r="AG248" s="274"/>
      <c r="AH248" s="274"/>
      <c r="AI248" s="274"/>
      <c r="AJ248" s="274"/>
      <c r="AK248" s="274"/>
    </row>
    <row r="249" spans="2:37" ht="13.2">
      <c r="B249" s="490"/>
      <c r="C249" s="490"/>
      <c r="D249" s="490"/>
      <c r="E249" s="490"/>
      <c r="F249" s="274"/>
      <c r="G249" s="274"/>
      <c r="H249" s="284"/>
      <c r="I249" s="284"/>
      <c r="J249" s="284"/>
      <c r="K249" s="284"/>
      <c r="L249" s="842">
        <f>B77</f>
        <v>0</v>
      </c>
      <c r="M249" s="842"/>
      <c r="N249" s="842"/>
      <c r="O249" s="842"/>
      <c r="P249" s="842"/>
      <c r="Q249" s="842"/>
      <c r="R249" s="842"/>
      <c r="S249" s="842"/>
      <c r="T249" s="842"/>
      <c r="U249" s="842"/>
      <c r="V249" s="842"/>
      <c r="W249" s="842"/>
      <c r="X249" s="842"/>
      <c r="Y249" s="842"/>
      <c r="Z249" s="842"/>
      <c r="AA249" s="842"/>
      <c r="AB249" s="284"/>
      <c r="AC249" s="284"/>
      <c r="AD249" s="274"/>
      <c r="AE249" s="274"/>
      <c r="AF249" s="274"/>
      <c r="AG249" s="274"/>
      <c r="AH249" s="274"/>
      <c r="AI249" s="274"/>
      <c r="AJ249" s="274"/>
      <c r="AK249" s="274"/>
    </row>
    <row r="250" spans="2:37" ht="13.2">
      <c r="B250" s="490"/>
      <c r="C250" s="490"/>
      <c r="D250" s="490"/>
      <c r="E250" s="490"/>
      <c r="F250" s="274"/>
      <c r="G250" s="274"/>
      <c r="H250" s="284"/>
      <c r="I250" s="284"/>
      <c r="J250" s="284"/>
      <c r="K250" s="284"/>
      <c r="L250" s="861">
        <f>AA_089_DATOS_APODERADOS_BANCO_NOMBRE_APODERADO_DEL_BANCO_UNO</f>
        <v>0</v>
      </c>
      <c r="M250" s="861"/>
      <c r="N250" s="861"/>
      <c r="O250" s="861"/>
      <c r="P250" s="861"/>
      <c r="Q250" s="861"/>
      <c r="R250" s="861"/>
      <c r="S250" s="861"/>
      <c r="T250" s="861"/>
      <c r="U250" s="861"/>
      <c r="V250" s="861"/>
      <c r="W250" s="861"/>
      <c r="X250" s="861"/>
      <c r="Y250" s="861"/>
      <c r="Z250" s="861"/>
      <c r="AA250" s="861"/>
      <c r="AB250" s="284"/>
      <c r="AC250" s="284"/>
      <c r="AD250" s="274"/>
      <c r="AE250" s="274"/>
      <c r="AF250" s="274"/>
      <c r="AG250" s="274"/>
      <c r="AH250" s="274"/>
      <c r="AI250" s="274"/>
      <c r="AJ250" s="274"/>
      <c r="AK250" s="274"/>
    </row>
    <row r="251" spans="2:37" ht="13.2">
      <c r="B251" s="490"/>
      <c r="C251" s="490"/>
      <c r="D251" s="490"/>
      <c r="E251" s="490"/>
      <c r="F251" s="274"/>
      <c r="G251" s="274"/>
      <c r="H251" s="274"/>
      <c r="I251" s="274"/>
      <c r="J251" s="274"/>
      <c r="K251" s="274"/>
      <c r="L251" s="274"/>
      <c r="M251" s="274"/>
      <c r="N251" s="274"/>
      <c r="O251" s="274"/>
      <c r="P251" s="274"/>
      <c r="Q251" s="274"/>
      <c r="R251" s="274"/>
      <c r="S251" s="274"/>
      <c r="T251" s="274"/>
      <c r="U251" s="274"/>
      <c r="V251" s="274"/>
      <c r="W251" s="274"/>
      <c r="X251" s="274"/>
      <c r="Y251" s="274"/>
      <c r="Z251" s="274"/>
      <c r="AA251" s="274"/>
      <c r="AB251" s="274"/>
      <c r="AC251" s="274"/>
      <c r="AD251" s="274"/>
      <c r="AE251" s="274"/>
      <c r="AF251" s="274"/>
      <c r="AG251" s="274"/>
      <c r="AH251" s="274"/>
      <c r="AI251" s="274"/>
      <c r="AJ251" s="274"/>
      <c r="AK251" s="274"/>
    </row>
    <row r="252" spans="2:37" ht="13.2">
      <c r="B252" s="490"/>
      <c r="C252" s="490"/>
      <c r="D252" s="490"/>
      <c r="E252" s="490"/>
      <c r="F252" s="274"/>
      <c r="G252" s="274"/>
      <c r="H252" s="274"/>
      <c r="I252" s="274"/>
      <c r="J252" s="274"/>
      <c r="K252" s="274"/>
      <c r="L252" s="862"/>
      <c r="M252" s="862"/>
      <c r="N252" s="862"/>
      <c r="O252" s="862"/>
      <c r="P252" s="862"/>
      <c r="Q252" s="862"/>
      <c r="R252" s="862"/>
      <c r="S252" s="862"/>
      <c r="T252" s="862"/>
      <c r="U252" s="862"/>
      <c r="V252" s="862"/>
      <c r="W252" s="862"/>
      <c r="X252" s="862"/>
      <c r="Y252" s="862"/>
      <c r="Z252" s="862"/>
      <c r="AA252" s="862"/>
      <c r="AB252" s="274"/>
      <c r="AC252" s="274"/>
      <c r="AD252" s="274"/>
      <c r="AE252" s="274"/>
      <c r="AF252" s="274"/>
      <c r="AG252" s="274"/>
      <c r="AH252" s="274"/>
      <c r="AI252" s="274"/>
      <c r="AJ252" s="274"/>
      <c r="AK252" s="274"/>
    </row>
    <row r="253" spans="2:37" ht="13.2">
      <c r="B253" s="490"/>
      <c r="C253" s="490"/>
      <c r="D253" s="490"/>
      <c r="E253" s="490"/>
      <c r="F253" s="274"/>
      <c r="G253" s="274"/>
      <c r="H253" s="274"/>
      <c r="I253" s="274"/>
      <c r="J253" s="274"/>
      <c r="K253" s="274"/>
      <c r="L253" s="861">
        <f>AA_090_DATOS_APODERADOS_BANCO_NOMBRE_APODERADO_DEL_BANCO_DOS</f>
        <v>0</v>
      </c>
      <c r="M253" s="861"/>
      <c r="N253" s="861"/>
      <c r="O253" s="861"/>
      <c r="P253" s="861"/>
      <c r="Q253" s="861"/>
      <c r="R253" s="861"/>
      <c r="S253" s="861"/>
      <c r="T253" s="861"/>
      <c r="U253" s="861"/>
      <c r="V253" s="861"/>
      <c r="W253" s="861"/>
      <c r="X253" s="861"/>
      <c r="Y253" s="861"/>
      <c r="Z253" s="861"/>
      <c r="AA253" s="861"/>
      <c r="AB253" s="274"/>
      <c r="AC253" s="274"/>
      <c r="AD253" s="274"/>
      <c r="AE253" s="274"/>
      <c r="AF253" s="274"/>
      <c r="AG253" s="274"/>
      <c r="AH253" s="274"/>
      <c r="AI253" s="274"/>
      <c r="AJ253" s="274"/>
      <c r="AK253" s="274"/>
    </row>
    <row r="254" spans="2:37" ht="13.2">
      <c r="B254" s="490"/>
      <c r="C254" s="490"/>
      <c r="D254" s="490"/>
      <c r="E254" s="490"/>
      <c r="F254" s="274"/>
      <c r="G254" s="274"/>
      <c r="H254" s="274"/>
      <c r="I254" s="274"/>
      <c r="J254" s="274"/>
      <c r="K254" s="274"/>
      <c r="L254" s="274"/>
      <c r="M254" s="274"/>
      <c r="N254" s="274"/>
      <c r="O254" s="274"/>
      <c r="P254" s="274"/>
      <c r="Q254" s="274"/>
      <c r="R254" s="274"/>
      <c r="S254" s="274"/>
      <c r="T254" s="274"/>
      <c r="U254" s="274"/>
      <c r="V254" s="274"/>
      <c r="W254" s="274"/>
      <c r="X254" s="274"/>
      <c r="Y254" s="274"/>
      <c r="Z254" s="274"/>
      <c r="AA254" s="274"/>
      <c r="AB254" s="274"/>
      <c r="AC254" s="274"/>
      <c r="AD254" s="274"/>
      <c r="AE254" s="274"/>
      <c r="AF254" s="274"/>
      <c r="AG254" s="274"/>
      <c r="AH254" s="274"/>
      <c r="AI254" s="274"/>
      <c r="AJ254" s="274"/>
      <c r="AK254" s="274"/>
    </row>
    <row r="255" spans="2:37" ht="13.2">
      <c r="B255" s="490"/>
      <c r="C255" s="490"/>
      <c r="D255" s="490"/>
      <c r="E255" s="490"/>
      <c r="F255" s="274"/>
      <c r="G255" s="274"/>
      <c r="H255" s="274"/>
      <c r="I255" s="274"/>
      <c r="J255" s="274"/>
      <c r="K255" s="274"/>
      <c r="L255" s="274"/>
      <c r="M255" s="274"/>
      <c r="N255" s="274"/>
      <c r="O255" s="274"/>
      <c r="P255" s="274"/>
      <c r="Q255" s="274"/>
      <c r="R255" s="274"/>
      <c r="S255" s="274"/>
      <c r="T255" s="274"/>
      <c r="U255" s="274"/>
      <c r="V255" s="274"/>
      <c r="W255" s="274"/>
      <c r="X255" s="274"/>
      <c r="Y255" s="274"/>
      <c r="Z255" s="274"/>
      <c r="AA255" s="274"/>
      <c r="AB255" s="274"/>
      <c r="AC255" s="274"/>
      <c r="AD255" s="274"/>
      <c r="AE255" s="274"/>
      <c r="AF255" s="274"/>
      <c r="AG255" s="274"/>
      <c r="AH255" s="274"/>
      <c r="AI255" s="274"/>
      <c r="AJ255" s="274"/>
      <c r="AK255" s="274"/>
    </row>
    <row r="256" spans="2:37" ht="13.2">
      <c r="B256" s="490"/>
      <c r="C256" s="490"/>
      <c r="D256" s="490"/>
      <c r="E256" s="490"/>
      <c r="F256" s="274"/>
      <c r="G256" s="274"/>
      <c r="H256" s="274"/>
      <c r="I256" s="274"/>
      <c r="J256" s="274"/>
      <c r="K256" s="274"/>
      <c r="L256" s="274"/>
      <c r="M256" s="274"/>
      <c r="N256" s="274"/>
      <c r="O256" s="274"/>
      <c r="P256" s="274"/>
      <c r="Q256" s="274"/>
      <c r="R256" s="274"/>
      <c r="S256" s="274"/>
      <c r="T256" s="274"/>
      <c r="U256" s="274"/>
      <c r="V256" s="274"/>
      <c r="W256" s="274"/>
      <c r="X256" s="274"/>
      <c r="Y256" s="274"/>
      <c r="Z256" s="274"/>
      <c r="AA256" s="274"/>
      <c r="AB256" s="274"/>
      <c r="AC256" s="274"/>
      <c r="AD256" s="274"/>
      <c r="AE256" s="274"/>
      <c r="AF256" s="274"/>
      <c r="AG256" s="274"/>
      <c r="AH256" s="274"/>
      <c r="AI256" s="274"/>
      <c r="AJ256" s="274"/>
      <c r="AK256" s="274"/>
    </row>
    <row r="257" spans="2:37" ht="13.2">
      <c r="B257" s="490"/>
      <c r="C257" s="490"/>
      <c r="D257" s="490"/>
      <c r="E257" s="490"/>
      <c r="F257" s="274"/>
      <c r="G257" s="274"/>
      <c r="H257" s="274"/>
      <c r="I257" s="274"/>
      <c r="J257" s="274"/>
      <c r="K257" s="274"/>
      <c r="L257" s="274"/>
      <c r="M257" s="274"/>
      <c r="N257" s="274"/>
      <c r="O257" s="274"/>
      <c r="P257" s="274"/>
      <c r="Q257" s="274"/>
      <c r="R257" s="274"/>
      <c r="S257" s="274"/>
      <c r="T257" s="274"/>
      <c r="U257" s="274"/>
      <c r="V257" s="274"/>
      <c r="W257" s="274"/>
      <c r="X257" s="274"/>
      <c r="Y257" s="274"/>
      <c r="Z257" s="274"/>
      <c r="AA257" s="274"/>
      <c r="AB257" s="274"/>
      <c r="AC257" s="274"/>
      <c r="AD257" s="274"/>
      <c r="AE257" s="274"/>
      <c r="AF257" s="274"/>
      <c r="AG257" s="274"/>
      <c r="AH257" s="274"/>
      <c r="AI257" s="274"/>
      <c r="AJ257" s="274"/>
      <c r="AK257" s="274"/>
    </row>
    <row r="258" spans="2:37" ht="13.2">
      <c r="B258" s="490"/>
      <c r="C258" s="490"/>
      <c r="D258" s="490"/>
      <c r="E258" s="490"/>
      <c r="F258" s="274"/>
      <c r="G258" s="274"/>
      <c r="H258" s="274"/>
      <c r="I258" s="274"/>
      <c r="J258" s="274"/>
      <c r="K258" s="274"/>
      <c r="L258" s="274"/>
      <c r="M258" s="274"/>
      <c r="N258" s="274"/>
      <c r="O258" s="274"/>
      <c r="P258" s="274"/>
      <c r="Q258" s="274"/>
      <c r="R258" s="274"/>
      <c r="S258" s="274"/>
      <c r="T258" s="274"/>
      <c r="U258" s="274"/>
      <c r="V258" s="274"/>
      <c r="W258" s="274"/>
      <c r="X258" s="274"/>
      <c r="Y258" s="274"/>
      <c r="Z258" s="274"/>
      <c r="AA258" s="274"/>
      <c r="AB258" s="274"/>
      <c r="AC258" s="274"/>
      <c r="AD258" s="274"/>
      <c r="AE258" s="274"/>
      <c r="AF258" s="274"/>
      <c r="AG258" s="274"/>
      <c r="AH258" s="274"/>
      <c r="AI258" s="274"/>
      <c r="AJ258" s="274"/>
      <c r="AK258" s="274"/>
    </row>
    <row r="259" spans="2:37" ht="13.2">
      <c r="B259" s="490"/>
      <c r="C259" s="490"/>
      <c r="D259" s="490"/>
      <c r="E259" s="490"/>
      <c r="F259" s="274"/>
      <c r="G259" s="274"/>
      <c r="H259" s="274"/>
      <c r="I259" s="274"/>
      <c r="J259" s="274"/>
      <c r="K259" s="274"/>
      <c r="L259" s="274"/>
      <c r="M259" s="274"/>
      <c r="N259" s="274"/>
      <c r="O259" s="274"/>
      <c r="P259" s="274"/>
      <c r="Q259" s="274"/>
      <c r="R259" s="274"/>
      <c r="S259" s="274"/>
      <c r="T259" s="274"/>
      <c r="U259" s="274"/>
      <c r="V259" s="274"/>
      <c r="W259" s="274"/>
      <c r="X259" s="274"/>
      <c r="Y259" s="274"/>
      <c r="Z259" s="274"/>
      <c r="AA259" s="274"/>
      <c r="AB259" s="274"/>
      <c r="AC259" s="274"/>
      <c r="AD259" s="274"/>
      <c r="AE259" s="274"/>
      <c r="AF259" s="274"/>
      <c r="AG259" s="274"/>
      <c r="AH259" s="274"/>
      <c r="AI259" s="274"/>
      <c r="AJ259" s="274"/>
      <c r="AK259" s="274"/>
    </row>
    <row r="260" spans="2:37" ht="13.2">
      <c r="B260" s="490"/>
      <c r="C260" s="490"/>
      <c r="D260" s="490"/>
      <c r="E260" s="490"/>
      <c r="F260" s="274"/>
      <c r="G260" s="274"/>
      <c r="H260" s="274"/>
      <c r="I260" s="274"/>
      <c r="J260" s="274"/>
      <c r="K260" s="274"/>
      <c r="L260" s="274"/>
      <c r="M260" s="274"/>
      <c r="N260" s="274"/>
      <c r="O260" s="274"/>
      <c r="P260" s="274"/>
      <c r="Q260" s="274"/>
      <c r="R260" s="274"/>
      <c r="S260" s="274"/>
      <c r="T260" s="274"/>
      <c r="U260" s="274"/>
      <c r="V260" s="274"/>
      <c r="W260" s="274"/>
      <c r="X260" s="274"/>
      <c r="Y260" s="274"/>
      <c r="Z260" s="274"/>
      <c r="AA260" s="274"/>
      <c r="AB260" s="274"/>
      <c r="AC260" s="274"/>
      <c r="AD260" s="274"/>
      <c r="AE260" s="274"/>
      <c r="AF260" s="274"/>
      <c r="AG260" s="274"/>
      <c r="AH260" s="274"/>
      <c r="AI260" s="274"/>
      <c r="AJ260" s="274"/>
      <c r="AK260" s="274"/>
    </row>
    <row r="261" spans="2:37" ht="13.2">
      <c r="B261" s="490"/>
      <c r="C261" s="490"/>
      <c r="D261" s="490"/>
      <c r="E261" s="490"/>
      <c r="F261" s="274"/>
      <c r="G261" s="274"/>
      <c r="H261" s="274"/>
      <c r="I261" s="274"/>
      <c r="J261" s="274"/>
      <c r="K261" s="274"/>
      <c r="L261" s="274"/>
      <c r="M261" s="274"/>
      <c r="N261" s="274"/>
      <c r="O261" s="274"/>
      <c r="P261" s="274"/>
      <c r="Q261" s="274"/>
      <c r="R261" s="274"/>
      <c r="S261" s="274"/>
      <c r="T261" s="274"/>
      <c r="U261" s="274"/>
      <c r="V261" s="274"/>
      <c r="W261" s="274"/>
      <c r="X261" s="274"/>
      <c r="Y261" s="274"/>
      <c r="Z261" s="274"/>
      <c r="AA261" s="274"/>
      <c r="AB261" s="274"/>
      <c r="AC261" s="274"/>
      <c r="AD261" s="274"/>
      <c r="AE261" s="274"/>
      <c r="AF261" s="274"/>
      <c r="AG261" s="274"/>
      <c r="AH261" s="274"/>
      <c r="AI261" s="274"/>
      <c r="AJ261" s="274"/>
      <c r="AK261" s="274"/>
    </row>
    <row r="262" spans="2:37" ht="13.2">
      <c r="B262" s="490"/>
      <c r="C262" s="490"/>
      <c r="D262" s="490"/>
      <c r="E262" s="490"/>
      <c r="F262" s="274"/>
      <c r="G262" s="274"/>
      <c r="H262" s="274"/>
      <c r="I262" s="274"/>
      <c r="J262" s="274"/>
      <c r="K262" s="274"/>
      <c r="L262" s="274"/>
      <c r="M262" s="274"/>
      <c r="N262" s="274"/>
      <c r="O262" s="274"/>
      <c r="P262" s="274"/>
      <c r="Q262" s="274"/>
      <c r="R262" s="274"/>
      <c r="S262" s="274"/>
      <c r="T262" s="274"/>
      <c r="U262" s="274"/>
      <c r="V262" s="274"/>
      <c r="W262" s="274"/>
      <c r="X262" s="274"/>
      <c r="Y262" s="274"/>
      <c r="Z262" s="274"/>
      <c r="AA262" s="274"/>
      <c r="AB262" s="274"/>
      <c r="AC262" s="274"/>
      <c r="AD262" s="274"/>
      <c r="AE262" s="274"/>
      <c r="AF262" s="274"/>
      <c r="AG262" s="274"/>
      <c r="AH262" s="274"/>
      <c r="AI262" s="274"/>
      <c r="AJ262" s="274"/>
      <c r="AK262" s="274"/>
    </row>
    <row r="263" spans="2:37" ht="13.2">
      <c r="B263" s="490"/>
      <c r="C263" s="490"/>
      <c r="D263" s="490"/>
      <c r="E263" s="490"/>
      <c r="F263" s="274"/>
      <c r="G263" s="274"/>
      <c r="H263" s="274"/>
      <c r="I263" s="274"/>
      <c r="J263" s="274"/>
      <c r="K263" s="274"/>
      <c r="L263" s="274"/>
      <c r="M263" s="274"/>
      <c r="N263" s="274"/>
      <c r="O263" s="274"/>
      <c r="P263" s="274"/>
      <c r="Q263" s="274"/>
      <c r="R263" s="274"/>
      <c r="S263" s="274"/>
      <c r="T263" s="274"/>
      <c r="U263" s="274"/>
      <c r="V263" s="274"/>
      <c r="W263" s="274"/>
      <c r="X263" s="274"/>
      <c r="Y263" s="274"/>
      <c r="Z263" s="274"/>
      <c r="AA263" s="274"/>
      <c r="AB263" s="274"/>
      <c r="AC263" s="274"/>
      <c r="AD263" s="274"/>
      <c r="AE263" s="274"/>
      <c r="AF263" s="274"/>
      <c r="AG263" s="274"/>
      <c r="AH263" s="274"/>
      <c r="AI263" s="274"/>
      <c r="AJ263" s="274"/>
      <c r="AK263" s="274"/>
    </row>
    <row r="264" spans="2:37" ht="13.2">
      <c r="B264" s="490"/>
      <c r="C264" s="490"/>
      <c r="D264" s="490"/>
      <c r="E264" s="490"/>
      <c r="F264" s="274"/>
      <c r="G264" s="274"/>
      <c r="H264" s="274"/>
      <c r="I264" s="274"/>
      <c r="J264" s="274"/>
      <c r="K264" s="274"/>
      <c r="L264" s="274"/>
      <c r="M264" s="274"/>
      <c r="N264" s="274"/>
      <c r="O264" s="274"/>
      <c r="P264" s="274"/>
      <c r="Q264" s="274"/>
      <c r="R264" s="274"/>
      <c r="S264" s="274"/>
      <c r="T264" s="274"/>
      <c r="U264" s="274"/>
      <c r="V264" s="274"/>
      <c r="W264" s="274"/>
      <c r="X264" s="274"/>
      <c r="Y264" s="274"/>
      <c r="Z264" s="274"/>
      <c r="AA264" s="274"/>
      <c r="AB264" s="274"/>
      <c r="AC264" s="274"/>
      <c r="AD264" s="274"/>
      <c r="AE264" s="274"/>
      <c r="AF264" s="274"/>
      <c r="AG264" s="274"/>
      <c r="AH264" s="274"/>
      <c r="AI264" s="274"/>
      <c r="AJ264" s="274"/>
      <c r="AK264" s="274"/>
    </row>
    <row r="265" spans="2:37" ht="13.2">
      <c r="B265" s="490"/>
      <c r="C265" s="490"/>
      <c r="D265" s="490"/>
      <c r="E265" s="490"/>
      <c r="F265" s="274"/>
      <c r="G265" s="274"/>
      <c r="H265" s="274"/>
      <c r="I265" s="274"/>
      <c r="J265" s="274"/>
      <c r="K265" s="274"/>
      <c r="L265" s="274"/>
      <c r="M265" s="274"/>
      <c r="N265" s="274"/>
      <c r="O265" s="274"/>
      <c r="P265" s="274"/>
      <c r="Q265" s="274"/>
      <c r="R265" s="274"/>
      <c r="S265" s="274"/>
      <c r="T265" s="274"/>
      <c r="U265" s="274"/>
      <c r="V265" s="274"/>
      <c r="W265" s="274"/>
      <c r="X265" s="274"/>
      <c r="Y265" s="274"/>
      <c r="Z265" s="274"/>
      <c r="AA265" s="274"/>
      <c r="AB265" s="274"/>
      <c r="AC265" s="274"/>
      <c r="AD265" s="274"/>
      <c r="AE265" s="274"/>
      <c r="AF265" s="274"/>
      <c r="AG265" s="274"/>
      <c r="AH265" s="274"/>
      <c r="AI265" s="274"/>
      <c r="AJ265" s="274"/>
      <c r="AK265" s="274"/>
    </row>
    <row r="266" spans="2:37" ht="13.2">
      <c r="B266" s="490"/>
      <c r="C266" s="490"/>
      <c r="D266" s="490"/>
      <c r="E266" s="490"/>
      <c r="F266" s="274"/>
      <c r="G266" s="274"/>
      <c r="H266" s="274"/>
      <c r="I266" s="274"/>
      <c r="J266" s="274"/>
      <c r="K266" s="274"/>
      <c r="L266" s="274"/>
      <c r="M266" s="274"/>
      <c r="N266" s="274"/>
      <c r="O266" s="274"/>
      <c r="P266" s="274"/>
      <c r="Q266" s="274"/>
      <c r="R266" s="274"/>
      <c r="S266" s="274"/>
      <c r="T266" s="274"/>
      <c r="U266" s="274"/>
      <c r="V266" s="274"/>
      <c r="W266" s="274"/>
      <c r="X266" s="274"/>
      <c r="Y266" s="274"/>
      <c r="Z266" s="274"/>
      <c r="AA266" s="274"/>
      <c r="AB266" s="274"/>
      <c r="AC266" s="274"/>
      <c r="AD266" s="274"/>
      <c r="AE266" s="274"/>
      <c r="AF266" s="274"/>
      <c r="AG266" s="274"/>
      <c r="AH266" s="274"/>
      <c r="AI266" s="274"/>
      <c r="AJ266" s="274"/>
      <c r="AK266" s="274"/>
    </row>
    <row r="267" spans="2:37" ht="13.2">
      <c r="B267" s="490"/>
      <c r="C267" s="490"/>
      <c r="D267" s="490"/>
      <c r="E267" s="490"/>
      <c r="F267" s="274"/>
      <c r="G267" s="274"/>
      <c r="H267" s="274"/>
      <c r="I267" s="274"/>
      <c r="J267" s="274"/>
      <c r="K267" s="274"/>
      <c r="L267" s="274"/>
      <c r="M267" s="274"/>
      <c r="N267" s="274"/>
      <c r="O267" s="274"/>
      <c r="P267" s="274"/>
      <c r="Q267" s="274"/>
      <c r="R267" s="274"/>
      <c r="S267" s="274"/>
      <c r="T267" s="274"/>
      <c r="U267" s="274"/>
      <c r="V267" s="274"/>
      <c r="W267" s="274"/>
      <c r="X267" s="274"/>
      <c r="Y267" s="274"/>
      <c r="Z267" s="274"/>
      <c r="AA267" s="274"/>
      <c r="AB267" s="274"/>
      <c r="AC267" s="274"/>
      <c r="AD267" s="274"/>
      <c r="AE267" s="274"/>
      <c r="AF267" s="274"/>
      <c r="AG267" s="274"/>
      <c r="AH267" s="274"/>
      <c r="AI267" s="274"/>
      <c r="AJ267" s="274"/>
      <c r="AK267" s="274"/>
    </row>
    <row r="268" spans="2:37" ht="13.2">
      <c r="B268" s="490"/>
      <c r="C268" s="490"/>
      <c r="D268" s="490"/>
      <c r="E268" s="490"/>
      <c r="F268" s="274"/>
      <c r="G268" s="274"/>
      <c r="H268" s="274"/>
      <c r="I268" s="274"/>
      <c r="J268" s="274"/>
      <c r="K268" s="274"/>
      <c r="L268" s="274"/>
      <c r="M268" s="274"/>
      <c r="N268" s="274"/>
      <c r="O268" s="274"/>
      <c r="P268" s="274"/>
      <c r="Q268" s="274"/>
      <c r="R268" s="274"/>
      <c r="S268" s="274"/>
      <c r="T268" s="274"/>
      <c r="U268" s="274"/>
      <c r="V268" s="274"/>
      <c r="W268" s="274"/>
      <c r="X268" s="274"/>
      <c r="Y268" s="274"/>
      <c r="Z268" s="274"/>
      <c r="AA268" s="274"/>
      <c r="AB268" s="274"/>
      <c r="AC268" s="274"/>
      <c r="AD268" s="274"/>
      <c r="AE268" s="274"/>
      <c r="AF268" s="274"/>
      <c r="AG268" s="274"/>
      <c r="AH268" s="274"/>
      <c r="AI268" s="274"/>
      <c r="AJ268" s="274"/>
      <c r="AK268" s="274"/>
    </row>
    <row r="269" spans="2:37" ht="13.2">
      <c r="B269" s="490"/>
      <c r="C269" s="490"/>
      <c r="D269" s="490"/>
      <c r="E269" s="490"/>
      <c r="F269" s="274"/>
      <c r="G269" s="274"/>
      <c r="H269" s="274"/>
      <c r="I269" s="274"/>
      <c r="J269" s="274"/>
      <c r="K269" s="274"/>
      <c r="L269" s="274"/>
      <c r="M269" s="274"/>
      <c r="N269" s="274"/>
      <c r="O269" s="274"/>
      <c r="P269" s="274"/>
      <c r="Q269" s="274"/>
      <c r="R269" s="274"/>
      <c r="S269" s="274"/>
      <c r="T269" s="274"/>
      <c r="U269" s="274"/>
      <c r="V269" s="274"/>
      <c r="W269" s="274"/>
      <c r="X269" s="274"/>
      <c r="Y269" s="274"/>
      <c r="Z269" s="274"/>
      <c r="AA269" s="274"/>
      <c r="AB269" s="274"/>
      <c r="AC269" s="274"/>
      <c r="AD269" s="274"/>
      <c r="AE269" s="274"/>
      <c r="AF269" s="274"/>
      <c r="AG269" s="274"/>
      <c r="AH269" s="274"/>
      <c r="AI269" s="274"/>
      <c r="AJ269" s="274"/>
      <c r="AK269" s="274"/>
    </row>
    <row r="270" spans="2:37" ht="13.2">
      <c r="B270" s="490"/>
      <c r="C270" s="490"/>
      <c r="D270" s="490"/>
      <c r="E270" s="490"/>
      <c r="F270" s="274"/>
      <c r="G270" s="274"/>
      <c r="H270" s="274"/>
      <c r="I270" s="274"/>
      <c r="J270" s="274"/>
      <c r="K270" s="274"/>
      <c r="L270" s="274"/>
      <c r="M270" s="274"/>
      <c r="N270" s="274"/>
      <c r="O270" s="274"/>
      <c r="P270" s="274"/>
      <c r="Q270" s="274"/>
      <c r="R270" s="274"/>
      <c r="S270" s="274"/>
      <c r="T270" s="274"/>
      <c r="U270" s="274"/>
      <c r="V270" s="274"/>
      <c r="W270" s="274"/>
      <c r="X270" s="274"/>
      <c r="Y270" s="274"/>
      <c r="Z270" s="274"/>
      <c r="AA270" s="274"/>
      <c r="AB270" s="274"/>
      <c r="AC270" s="274"/>
      <c r="AD270" s="274"/>
      <c r="AE270" s="274"/>
      <c r="AF270" s="274"/>
      <c r="AG270" s="274"/>
      <c r="AH270" s="274"/>
      <c r="AI270" s="274"/>
      <c r="AJ270" s="274"/>
      <c r="AK270" s="274"/>
    </row>
    <row r="271" spans="2:37" ht="13.2">
      <c r="B271" s="490"/>
      <c r="C271" s="490"/>
      <c r="D271" s="490"/>
      <c r="E271" s="490"/>
      <c r="F271" s="274"/>
      <c r="G271" s="274"/>
      <c r="H271" s="274"/>
      <c r="I271" s="274"/>
      <c r="J271" s="274"/>
      <c r="K271" s="274"/>
      <c r="L271" s="274"/>
      <c r="M271" s="274"/>
      <c r="N271" s="274"/>
      <c r="O271" s="274"/>
      <c r="P271" s="274"/>
      <c r="Q271" s="274"/>
      <c r="R271" s="274"/>
      <c r="S271" s="274"/>
      <c r="T271" s="274"/>
      <c r="U271" s="274"/>
      <c r="V271" s="274"/>
      <c r="W271" s="274"/>
      <c r="X271" s="274"/>
      <c r="Y271" s="274"/>
      <c r="Z271" s="274"/>
      <c r="AA271" s="274"/>
      <c r="AB271" s="274"/>
      <c r="AC271" s="274"/>
      <c r="AD271" s="274"/>
      <c r="AE271" s="274"/>
      <c r="AF271" s="274"/>
      <c r="AG271" s="274"/>
      <c r="AH271" s="274"/>
      <c r="AI271" s="274"/>
      <c r="AJ271" s="274"/>
      <c r="AK271" s="274"/>
    </row>
    <row r="272" spans="2:37" ht="13.2">
      <c r="B272" s="490"/>
      <c r="C272" s="490"/>
      <c r="D272" s="490"/>
      <c r="E272" s="490"/>
      <c r="F272" s="274"/>
      <c r="G272" s="274"/>
      <c r="H272" s="274"/>
      <c r="I272" s="274"/>
      <c r="J272" s="274"/>
      <c r="K272" s="274"/>
      <c r="L272" s="274"/>
      <c r="M272" s="274"/>
      <c r="N272" s="274"/>
      <c r="O272" s="274"/>
      <c r="P272" s="274"/>
      <c r="Q272" s="274"/>
      <c r="R272" s="274"/>
      <c r="S272" s="274"/>
      <c r="T272" s="274"/>
      <c r="U272" s="274"/>
      <c r="V272" s="274"/>
      <c r="W272" s="274"/>
      <c r="X272" s="274"/>
      <c r="Y272" s="274"/>
      <c r="Z272" s="274"/>
      <c r="AA272" s="274"/>
      <c r="AB272" s="274"/>
      <c r="AC272" s="274"/>
      <c r="AD272" s="274"/>
      <c r="AE272" s="274"/>
      <c r="AF272" s="274"/>
      <c r="AG272" s="274"/>
      <c r="AH272" s="274"/>
      <c r="AI272" s="274"/>
      <c r="AJ272" s="274"/>
      <c r="AK272" s="274"/>
    </row>
    <row r="273" spans="2:37" ht="13.2">
      <c r="B273" s="490"/>
      <c r="C273" s="490"/>
      <c r="D273" s="490"/>
      <c r="E273" s="490"/>
      <c r="F273" s="274"/>
      <c r="G273" s="274"/>
      <c r="H273" s="274"/>
      <c r="I273" s="274"/>
      <c r="J273" s="274"/>
      <c r="K273" s="274"/>
      <c r="L273" s="274"/>
      <c r="M273" s="274"/>
      <c r="N273" s="274"/>
      <c r="O273" s="274"/>
      <c r="P273" s="274"/>
      <c r="Q273" s="274"/>
      <c r="R273" s="274"/>
      <c r="S273" s="274"/>
      <c r="T273" s="274"/>
      <c r="U273" s="274"/>
      <c r="V273" s="274"/>
      <c r="W273" s="274"/>
      <c r="X273" s="274"/>
      <c r="Y273" s="274"/>
      <c r="Z273" s="274"/>
      <c r="AA273" s="274"/>
      <c r="AB273" s="274"/>
      <c r="AC273" s="274"/>
      <c r="AD273" s="274"/>
      <c r="AE273" s="274"/>
      <c r="AF273" s="274"/>
      <c r="AG273" s="274"/>
      <c r="AH273" s="274"/>
      <c r="AI273" s="274"/>
      <c r="AJ273" s="274"/>
      <c r="AK273" s="274"/>
    </row>
    <row r="274" spans="2:37" ht="13.2">
      <c r="B274" s="490"/>
      <c r="C274" s="490"/>
      <c r="D274" s="490"/>
      <c r="E274" s="490"/>
      <c r="F274" s="274"/>
      <c r="G274" s="274"/>
      <c r="H274" s="274"/>
      <c r="I274" s="274"/>
      <c r="J274" s="274"/>
      <c r="K274" s="274"/>
      <c r="L274" s="274"/>
      <c r="M274" s="274"/>
      <c r="N274" s="274"/>
      <c r="O274" s="274"/>
      <c r="P274" s="274"/>
      <c r="Q274" s="274"/>
      <c r="R274" s="274"/>
      <c r="S274" s="274"/>
      <c r="T274" s="274"/>
      <c r="U274" s="274"/>
      <c r="V274" s="274"/>
      <c r="W274" s="274"/>
      <c r="X274" s="274"/>
      <c r="Y274" s="274"/>
      <c r="Z274" s="274"/>
      <c r="AA274" s="274"/>
      <c r="AB274" s="274"/>
      <c r="AC274" s="274"/>
      <c r="AD274" s="274"/>
      <c r="AE274" s="274"/>
      <c r="AF274" s="274"/>
      <c r="AG274" s="274"/>
      <c r="AH274" s="274"/>
      <c r="AI274" s="274"/>
      <c r="AJ274" s="274"/>
      <c r="AK274" s="274"/>
    </row>
    <row r="275" spans="2:37" ht="13.2">
      <c r="B275" s="490"/>
      <c r="C275" s="490"/>
      <c r="D275" s="490"/>
      <c r="E275" s="490"/>
      <c r="F275" s="274"/>
      <c r="G275" s="274"/>
      <c r="H275" s="274"/>
      <c r="I275" s="274"/>
      <c r="J275" s="274"/>
      <c r="K275" s="274"/>
      <c r="L275" s="274"/>
      <c r="M275" s="274"/>
      <c r="N275" s="274"/>
      <c r="O275" s="274"/>
      <c r="P275" s="274"/>
      <c r="Q275" s="274"/>
      <c r="R275" s="274"/>
      <c r="S275" s="274"/>
      <c r="T275" s="274"/>
      <c r="U275" s="274"/>
      <c r="V275" s="274"/>
      <c r="W275" s="274"/>
      <c r="X275" s="274"/>
      <c r="Y275" s="274"/>
      <c r="Z275" s="274"/>
      <c r="AA275" s="274"/>
      <c r="AB275" s="274"/>
      <c r="AC275" s="274"/>
      <c r="AD275" s="274"/>
      <c r="AE275" s="274"/>
      <c r="AF275" s="274"/>
      <c r="AG275" s="274"/>
      <c r="AH275" s="274"/>
      <c r="AI275" s="274"/>
      <c r="AJ275" s="274"/>
      <c r="AK275" s="274"/>
    </row>
    <row r="276" spans="2:37" ht="13.2">
      <c r="B276" s="490"/>
      <c r="C276" s="490"/>
      <c r="D276" s="490"/>
      <c r="E276" s="490"/>
      <c r="F276" s="274"/>
      <c r="G276" s="274"/>
      <c r="H276" s="274"/>
      <c r="I276" s="274"/>
      <c r="J276" s="274"/>
      <c r="K276" s="274"/>
      <c r="L276" s="274"/>
      <c r="M276" s="274"/>
      <c r="N276" s="274"/>
      <c r="O276" s="274"/>
      <c r="P276" s="274"/>
      <c r="Q276" s="274"/>
      <c r="R276" s="274"/>
      <c r="S276" s="274"/>
      <c r="T276" s="274"/>
      <c r="U276" s="274"/>
      <c r="V276" s="274"/>
      <c r="W276" s="274"/>
      <c r="X276" s="274"/>
      <c r="Y276" s="274"/>
      <c r="Z276" s="274"/>
      <c r="AA276" s="274"/>
      <c r="AB276" s="274"/>
      <c r="AC276" s="274"/>
      <c r="AD276" s="274"/>
      <c r="AE276" s="274"/>
      <c r="AF276" s="274"/>
      <c r="AG276" s="274"/>
      <c r="AH276" s="274"/>
      <c r="AI276" s="274"/>
      <c r="AJ276" s="274"/>
      <c r="AK276" s="274"/>
    </row>
    <row r="277" spans="2:37" ht="13.2">
      <c r="B277" s="490"/>
      <c r="C277" s="490"/>
      <c r="D277" s="490"/>
      <c r="E277" s="490"/>
      <c r="F277" s="274"/>
      <c r="G277" s="274"/>
      <c r="H277" s="274"/>
      <c r="I277" s="274"/>
      <c r="J277" s="274"/>
      <c r="K277" s="274"/>
      <c r="L277" s="274"/>
      <c r="M277" s="274"/>
      <c r="N277" s="274"/>
      <c r="O277" s="274"/>
      <c r="P277" s="274"/>
      <c r="Q277" s="274"/>
      <c r="R277" s="274"/>
      <c r="S277" s="274"/>
      <c r="T277" s="274"/>
      <c r="U277" s="274"/>
      <c r="V277" s="274"/>
      <c r="W277" s="274"/>
      <c r="X277" s="274"/>
      <c r="Y277" s="274"/>
      <c r="Z277" s="274"/>
      <c r="AA277" s="274"/>
      <c r="AB277" s="274"/>
      <c r="AC277" s="274"/>
      <c r="AD277" s="274"/>
      <c r="AE277" s="274"/>
      <c r="AF277" s="274"/>
      <c r="AG277" s="274"/>
      <c r="AH277" s="274"/>
      <c r="AI277" s="274"/>
      <c r="AJ277" s="274"/>
      <c r="AK277" s="274"/>
    </row>
    <row r="278" spans="2:37" ht="13.2">
      <c r="B278" s="490"/>
      <c r="C278" s="490"/>
      <c r="D278" s="490"/>
      <c r="E278" s="490"/>
      <c r="F278" s="274"/>
      <c r="G278" s="274"/>
      <c r="H278" s="274"/>
      <c r="I278" s="274"/>
      <c r="J278" s="274"/>
      <c r="K278" s="274"/>
      <c r="L278" s="274"/>
      <c r="M278" s="274"/>
      <c r="N278" s="274"/>
      <c r="O278" s="274"/>
      <c r="P278" s="274"/>
      <c r="Q278" s="274"/>
      <c r="R278" s="274"/>
      <c r="S278" s="274"/>
      <c r="T278" s="274"/>
      <c r="U278" s="274"/>
      <c r="V278" s="274"/>
      <c r="W278" s="274"/>
      <c r="X278" s="274"/>
      <c r="Y278" s="274"/>
      <c r="Z278" s="274"/>
      <c r="AA278" s="274"/>
      <c r="AB278" s="274"/>
      <c r="AC278" s="274"/>
      <c r="AD278" s="274"/>
      <c r="AE278" s="274"/>
      <c r="AF278" s="274"/>
      <c r="AG278" s="274"/>
      <c r="AH278" s="274"/>
      <c r="AI278" s="274"/>
      <c r="AJ278" s="274"/>
      <c r="AK278" s="274"/>
    </row>
    <row r="279" spans="2:37" ht="13.2">
      <c r="B279" s="490"/>
      <c r="C279" s="490"/>
      <c r="D279" s="490"/>
      <c r="E279" s="490"/>
      <c r="F279" s="274"/>
      <c r="G279" s="274"/>
      <c r="H279" s="274"/>
      <c r="I279" s="274"/>
      <c r="J279" s="274"/>
      <c r="K279" s="274"/>
      <c r="L279" s="274"/>
      <c r="M279" s="274"/>
      <c r="N279" s="274"/>
      <c r="O279" s="274"/>
      <c r="P279" s="274"/>
      <c r="Q279" s="274"/>
      <c r="R279" s="274"/>
      <c r="S279" s="274"/>
      <c r="T279" s="274"/>
      <c r="U279" s="274"/>
      <c r="V279" s="274"/>
      <c r="W279" s="274"/>
      <c r="X279" s="274"/>
      <c r="Y279" s="274"/>
      <c r="Z279" s="274"/>
      <c r="AA279" s="274"/>
      <c r="AB279" s="274"/>
      <c r="AC279" s="274"/>
      <c r="AD279" s="274"/>
      <c r="AE279" s="274"/>
      <c r="AF279" s="274"/>
      <c r="AG279" s="274"/>
      <c r="AH279" s="274"/>
      <c r="AI279" s="274"/>
      <c r="AJ279" s="274"/>
      <c r="AK279" s="274"/>
    </row>
    <row r="280" spans="2:37" ht="13.2">
      <c r="B280" s="490"/>
      <c r="C280" s="490"/>
      <c r="D280" s="490"/>
      <c r="E280" s="490"/>
      <c r="F280" s="274"/>
      <c r="G280" s="274"/>
      <c r="H280" s="274"/>
      <c r="I280" s="274"/>
      <c r="J280" s="274"/>
      <c r="K280" s="274"/>
      <c r="L280" s="274"/>
      <c r="M280" s="274"/>
      <c r="N280" s="274"/>
      <c r="O280" s="274"/>
      <c r="P280" s="274"/>
      <c r="Q280" s="274"/>
      <c r="R280" s="274"/>
      <c r="S280" s="274"/>
      <c r="T280" s="274"/>
      <c r="U280" s="274"/>
      <c r="V280" s="274"/>
      <c r="W280" s="274"/>
      <c r="X280" s="274"/>
      <c r="Y280" s="274"/>
      <c r="Z280" s="274"/>
      <c r="AA280" s="274"/>
      <c r="AB280" s="274"/>
      <c r="AC280" s="274"/>
      <c r="AD280" s="274"/>
      <c r="AE280" s="274"/>
      <c r="AF280" s="274"/>
      <c r="AG280" s="274"/>
      <c r="AH280" s="274"/>
      <c r="AI280" s="274"/>
      <c r="AJ280" s="274"/>
      <c r="AK280" s="274"/>
    </row>
    <row r="281" spans="2:37" ht="13.2">
      <c r="B281" s="490"/>
      <c r="C281" s="490"/>
      <c r="D281" s="490"/>
      <c r="E281" s="490"/>
      <c r="F281" s="274"/>
      <c r="G281" s="274"/>
      <c r="H281" s="274"/>
      <c r="I281" s="274"/>
      <c r="J281" s="274"/>
      <c r="K281" s="274"/>
      <c r="L281" s="274"/>
      <c r="M281" s="274"/>
      <c r="N281" s="274"/>
      <c r="O281" s="274"/>
      <c r="P281" s="274"/>
      <c r="Q281" s="274"/>
      <c r="R281" s="274"/>
      <c r="S281" s="274"/>
      <c r="T281" s="274"/>
      <c r="U281" s="274"/>
      <c r="V281" s="274"/>
      <c r="W281" s="274"/>
      <c r="X281" s="274"/>
      <c r="Y281" s="274"/>
      <c r="Z281" s="274"/>
      <c r="AA281" s="274"/>
      <c r="AB281" s="274"/>
      <c r="AC281" s="274"/>
      <c r="AD281" s="274"/>
      <c r="AE281" s="274"/>
      <c r="AF281" s="274"/>
      <c r="AG281" s="274"/>
      <c r="AH281" s="274"/>
      <c r="AI281" s="274"/>
      <c r="AJ281" s="274"/>
      <c r="AK281" s="274"/>
    </row>
    <row r="282" spans="2:37" ht="13.2">
      <c r="B282" s="490"/>
      <c r="C282" s="490"/>
      <c r="D282" s="490"/>
      <c r="E282" s="490"/>
      <c r="F282" s="274"/>
      <c r="G282" s="274"/>
      <c r="H282" s="274"/>
      <c r="I282" s="274"/>
      <c r="J282" s="274"/>
      <c r="K282" s="274"/>
      <c r="L282" s="274"/>
      <c r="M282" s="274"/>
      <c r="N282" s="274"/>
      <c r="O282" s="274"/>
      <c r="P282" s="274"/>
      <c r="Q282" s="274"/>
      <c r="R282" s="274"/>
      <c r="S282" s="274"/>
      <c r="T282" s="274"/>
      <c r="U282" s="274"/>
      <c r="V282" s="274"/>
      <c r="W282" s="274"/>
      <c r="X282" s="274"/>
      <c r="Y282" s="274"/>
      <c r="Z282" s="274"/>
      <c r="AA282" s="274"/>
      <c r="AB282" s="274"/>
      <c r="AC282" s="274"/>
      <c r="AD282" s="274"/>
      <c r="AE282" s="274"/>
      <c r="AF282" s="274"/>
      <c r="AG282" s="274"/>
      <c r="AH282" s="274"/>
      <c r="AI282" s="274"/>
      <c r="AJ282" s="274"/>
      <c r="AK282" s="274"/>
    </row>
    <row r="283" spans="2:37" ht="13.2">
      <c r="B283" s="490"/>
      <c r="C283" s="490"/>
      <c r="D283" s="490"/>
      <c r="E283" s="490"/>
      <c r="F283" s="274"/>
      <c r="G283" s="274"/>
      <c r="H283" s="274"/>
      <c r="I283" s="274"/>
      <c r="J283" s="274"/>
      <c r="K283" s="274"/>
      <c r="L283" s="274"/>
      <c r="M283" s="274"/>
      <c r="N283" s="274"/>
      <c r="O283" s="274"/>
      <c r="P283" s="274"/>
      <c r="Q283" s="274"/>
      <c r="R283" s="274"/>
      <c r="S283" s="274"/>
      <c r="T283" s="274"/>
      <c r="U283" s="274"/>
      <c r="V283" s="274"/>
      <c r="W283" s="274"/>
      <c r="X283" s="274"/>
      <c r="Y283" s="274"/>
      <c r="Z283" s="274"/>
      <c r="AA283" s="274"/>
      <c r="AB283" s="274"/>
      <c r="AC283" s="274"/>
      <c r="AD283" s="274"/>
      <c r="AE283" s="274"/>
      <c r="AF283" s="274"/>
      <c r="AG283" s="274"/>
      <c r="AH283" s="274"/>
      <c r="AI283" s="274"/>
      <c r="AJ283" s="274"/>
      <c r="AK283" s="274"/>
    </row>
    <row r="284" spans="2:37" ht="13.2">
      <c r="B284" s="490"/>
      <c r="C284" s="490"/>
      <c r="D284" s="490"/>
      <c r="E284" s="490"/>
      <c r="F284" s="274"/>
      <c r="G284" s="274"/>
      <c r="H284" s="274"/>
      <c r="I284" s="274"/>
      <c r="J284" s="274"/>
      <c r="K284" s="274"/>
      <c r="L284" s="274"/>
      <c r="M284" s="274"/>
      <c r="N284" s="274"/>
      <c r="O284" s="274"/>
      <c r="P284" s="274"/>
      <c r="Q284" s="274"/>
      <c r="R284" s="274"/>
      <c r="S284" s="274"/>
      <c r="T284" s="274"/>
      <c r="U284" s="274"/>
      <c r="V284" s="274"/>
      <c r="W284" s="274"/>
      <c r="X284" s="274"/>
      <c r="Y284" s="274"/>
      <c r="Z284" s="274"/>
      <c r="AA284" s="274"/>
      <c r="AB284" s="274"/>
      <c r="AC284" s="274"/>
      <c r="AD284" s="274"/>
      <c r="AE284" s="274"/>
      <c r="AF284" s="274"/>
      <c r="AG284" s="274"/>
      <c r="AH284" s="274"/>
      <c r="AI284" s="274"/>
      <c r="AJ284" s="274"/>
      <c r="AK284" s="274"/>
    </row>
    <row r="285" spans="2:37" ht="13.2">
      <c r="B285" s="490"/>
      <c r="C285" s="490"/>
      <c r="D285" s="490"/>
      <c r="E285" s="490"/>
      <c r="F285" s="274"/>
      <c r="G285" s="274"/>
      <c r="H285" s="274"/>
      <c r="I285" s="274"/>
      <c r="J285" s="274"/>
      <c r="K285" s="274"/>
      <c r="L285" s="274"/>
      <c r="M285" s="274"/>
      <c r="N285" s="274"/>
      <c r="O285" s="274"/>
      <c r="P285" s="274"/>
      <c r="Q285" s="274"/>
      <c r="R285" s="274"/>
      <c r="S285" s="274"/>
      <c r="T285" s="274"/>
      <c r="U285" s="274"/>
      <c r="V285" s="274"/>
      <c r="W285" s="274"/>
      <c r="X285" s="274"/>
      <c r="Y285" s="274"/>
      <c r="Z285" s="274"/>
      <c r="AA285" s="274"/>
      <c r="AB285" s="274"/>
      <c r="AC285" s="274"/>
      <c r="AD285" s="274"/>
      <c r="AE285" s="274"/>
      <c r="AF285" s="274"/>
      <c r="AG285" s="274"/>
      <c r="AH285" s="274"/>
      <c r="AI285" s="274"/>
      <c r="AJ285" s="274"/>
      <c r="AK285" s="274"/>
    </row>
    <row r="286" spans="2:37" ht="13.2">
      <c r="B286" s="490"/>
      <c r="C286" s="490"/>
      <c r="D286" s="490"/>
      <c r="E286" s="490"/>
      <c r="F286" s="274"/>
      <c r="G286" s="274"/>
      <c r="H286" s="274"/>
      <c r="I286" s="274"/>
      <c r="J286" s="274"/>
      <c r="K286" s="274"/>
      <c r="L286" s="274"/>
      <c r="M286" s="274"/>
      <c r="N286" s="274"/>
      <c r="O286" s="274"/>
      <c r="P286" s="274"/>
      <c r="Q286" s="274"/>
      <c r="R286" s="274"/>
      <c r="S286" s="274"/>
      <c r="T286" s="274"/>
      <c r="U286" s="274"/>
      <c r="V286" s="274"/>
      <c r="W286" s="274"/>
      <c r="X286" s="274"/>
      <c r="Y286" s="274"/>
      <c r="Z286" s="274"/>
      <c r="AA286" s="274"/>
      <c r="AB286" s="274"/>
      <c r="AC286" s="274"/>
      <c r="AD286" s="274"/>
      <c r="AE286" s="274"/>
      <c r="AF286" s="274"/>
      <c r="AG286" s="274"/>
      <c r="AH286" s="274"/>
      <c r="AI286" s="274"/>
      <c r="AJ286" s="274"/>
      <c r="AK286" s="274"/>
    </row>
    <row r="287" spans="2:37" ht="13.2">
      <c r="B287" s="490"/>
      <c r="C287" s="490"/>
      <c r="D287" s="490"/>
      <c r="E287" s="490"/>
      <c r="F287" s="274"/>
      <c r="G287" s="274"/>
      <c r="H287" s="274"/>
      <c r="I287" s="274"/>
      <c r="J287" s="274"/>
      <c r="K287" s="274"/>
      <c r="L287" s="274"/>
      <c r="M287" s="274"/>
      <c r="N287" s="274"/>
      <c r="O287" s="274"/>
      <c r="P287" s="274"/>
      <c r="Q287" s="274"/>
      <c r="R287" s="274"/>
      <c r="S287" s="274"/>
      <c r="T287" s="274"/>
      <c r="U287" s="274"/>
      <c r="V287" s="274"/>
      <c r="W287" s="274"/>
      <c r="X287" s="274"/>
      <c r="Y287" s="274"/>
      <c r="Z287" s="274"/>
      <c r="AA287" s="274"/>
      <c r="AB287" s="274"/>
      <c r="AC287" s="274"/>
      <c r="AD287" s="274"/>
      <c r="AE287" s="274"/>
      <c r="AF287" s="274"/>
      <c r="AG287" s="274"/>
      <c r="AH287" s="274"/>
      <c r="AI287" s="274"/>
      <c r="AJ287" s="274"/>
      <c r="AK287" s="274"/>
    </row>
    <row r="288" spans="2:37" ht="13.2">
      <c r="B288" s="490"/>
      <c r="C288" s="490"/>
      <c r="D288" s="490"/>
      <c r="E288" s="490"/>
      <c r="F288" s="274"/>
      <c r="G288" s="274"/>
      <c r="H288" s="274"/>
      <c r="I288" s="274"/>
      <c r="J288" s="274"/>
      <c r="K288" s="274"/>
      <c r="L288" s="274"/>
      <c r="M288" s="274"/>
      <c r="N288" s="274"/>
      <c r="O288" s="274"/>
      <c r="P288" s="274"/>
      <c r="Q288" s="274"/>
      <c r="R288" s="274"/>
      <c r="S288" s="274"/>
      <c r="T288" s="274"/>
      <c r="U288" s="274"/>
      <c r="V288" s="274"/>
      <c r="W288" s="274"/>
      <c r="X288" s="274"/>
      <c r="Y288" s="274"/>
      <c r="Z288" s="274"/>
      <c r="AA288" s="274"/>
      <c r="AB288" s="274"/>
      <c r="AC288" s="274"/>
      <c r="AD288" s="274"/>
      <c r="AE288" s="274"/>
      <c r="AF288" s="274"/>
      <c r="AG288" s="274"/>
      <c r="AH288" s="274"/>
      <c r="AI288" s="274"/>
      <c r="AJ288" s="274"/>
      <c r="AK288" s="274"/>
    </row>
    <row r="289" spans="2:37" ht="13.2">
      <c r="B289" s="490"/>
      <c r="C289" s="490"/>
      <c r="D289" s="490"/>
      <c r="E289" s="490"/>
      <c r="F289" s="274"/>
      <c r="G289" s="274"/>
      <c r="H289" s="274"/>
      <c r="I289" s="274"/>
      <c r="J289" s="274"/>
      <c r="K289" s="274"/>
      <c r="L289" s="274"/>
      <c r="M289" s="274"/>
      <c r="N289" s="274"/>
      <c r="O289" s="274"/>
      <c r="P289" s="274"/>
      <c r="Q289" s="274"/>
      <c r="R289" s="274"/>
      <c r="S289" s="274"/>
      <c r="T289" s="274"/>
      <c r="U289" s="274"/>
      <c r="V289" s="274"/>
      <c r="W289" s="274"/>
      <c r="X289" s="274"/>
      <c r="Y289" s="274"/>
      <c r="Z289" s="274"/>
      <c r="AA289" s="274"/>
      <c r="AB289" s="274"/>
      <c r="AC289" s="274"/>
      <c r="AD289" s="274"/>
      <c r="AE289" s="274"/>
      <c r="AF289" s="274"/>
      <c r="AG289" s="274"/>
      <c r="AH289" s="274"/>
      <c r="AI289" s="274"/>
      <c r="AJ289" s="274"/>
      <c r="AK289" s="274"/>
    </row>
    <row r="290" spans="2:37" ht="13.2">
      <c r="B290" s="490"/>
      <c r="C290" s="490"/>
      <c r="D290" s="490"/>
      <c r="E290" s="490"/>
      <c r="F290" s="274"/>
      <c r="G290" s="274"/>
      <c r="H290" s="274"/>
      <c r="I290" s="274"/>
      <c r="J290" s="274"/>
      <c r="K290" s="274"/>
      <c r="L290" s="274"/>
      <c r="M290" s="274"/>
      <c r="N290" s="274"/>
      <c r="O290" s="274"/>
      <c r="P290" s="274"/>
      <c r="Q290" s="274"/>
      <c r="R290" s="274"/>
      <c r="S290" s="274"/>
      <c r="T290" s="274"/>
      <c r="U290" s="274"/>
      <c r="V290" s="274"/>
      <c r="W290" s="274"/>
      <c r="X290" s="274"/>
      <c r="Y290" s="274"/>
      <c r="Z290" s="274"/>
      <c r="AA290" s="274"/>
      <c r="AB290" s="274"/>
      <c r="AC290" s="274"/>
      <c r="AD290" s="274"/>
      <c r="AE290" s="274"/>
      <c r="AF290" s="274"/>
      <c r="AG290" s="274"/>
      <c r="AH290" s="274"/>
      <c r="AI290" s="274"/>
      <c r="AJ290" s="274"/>
      <c r="AK290" s="274"/>
    </row>
    <row r="291" spans="2:37" ht="13.2">
      <c r="B291" s="490"/>
      <c r="C291" s="490"/>
      <c r="D291" s="490"/>
      <c r="E291" s="490"/>
      <c r="F291" s="274"/>
      <c r="G291" s="274"/>
      <c r="H291" s="274"/>
      <c r="I291" s="274"/>
      <c r="J291" s="274"/>
      <c r="K291" s="274"/>
      <c r="L291" s="274"/>
      <c r="M291" s="274"/>
      <c r="N291" s="274"/>
      <c r="O291" s="274"/>
      <c r="P291" s="274"/>
      <c r="Q291" s="274"/>
      <c r="R291" s="274"/>
      <c r="S291" s="274"/>
      <c r="T291" s="274"/>
      <c r="U291" s="274"/>
      <c r="V291" s="274"/>
      <c r="W291" s="274"/>
      <c r="X291" s="274"/>
      <c r="Y291" s="274"/>
      <c r="Z291" s="274"/>
      <c r="AA291" s="274"/>
      <c r="AB291" s="274"/>
      <c r="AC291" s="274"/>
      <c r="AD291" s="274"/>
      <c r="AE291" s="274"/>
      <c r="AF291" s="274"/>
      <c r="AG291" s="274"/>
      <c r="AH291" s="274"/>
      <c r="AI291" s="274"/>
      <c r="AJ291" s="274"/>
      <c r="AK291" s="274"/>
    </row>
    <row r="292" spans="2:37" ht="13.2">
      <c r="B292" s="490"/>
      <c r="C292" s="490"/>
      <c r="D292" s="490"/>
      <c r="E292" s="490"/>
      <c r="F292" s="274"/>
      <c r="G292" s="274"/>
      <c r="H292" s="274"/>
      <c r="I292" s="274"/>
      <c r="J292" s="274"/>
      <c r="K292" s="274"/>
      <c r="L292" s="274"/>
      <c r="M292" s="274"/>
      <c r="N292" s="274"/>
      <c r="O292" s="274"/>
      <c r="P292" s="274"/>
      <c r="Q292" s="274"/>
      <c r="R292" s="274"/>
      <c r="S292" s="274"/>
      <c r="T292" s="274"/>
      <c r="U292" s="274"/>
      <c r="V292" s="274"/>
      <c r="W292" s="274"/>
      <c r="X292" s="274"/>
      <c r="Y292" s="274"/>
      <c r="Z292" s="274"/>
      <c r="AA292" s="274"/>
      <c r="AB292" s="274"/>
      <c r="AC292" s="274"/>
      <c r="AD292" s="274"/>
      <c r="AE292" s="274"/>
      <c r="AF292" s="274"/>
      <c r="AG292" s="274"/>
      <c r="AH292" s="274"/>
      <c r="AI292" s="274"/>
      <c r="AJ292" s="274"/>
      <c r="AK292" s="274"/>
    </row>
    <row r="293" spans="2:37" ht="13.2">
      <c r="B293" s="490"/>
      <c r="C293" s="490"/>
      <c r="D293" s="490"/>
      <c r="E293" s="490"/>
      <c r="F293" s="274"/>
      <c r="G293" s="274"/>
      <c r="H293" s="274"/>
      <c r="I293" s="274"/>
      <c r="J293" s="274"/>
      <c r="K293" s="274"/>
      <c r="L293" s="274"/>
      <c r="M293" s="274"/>
      <c r="N293" s="274"/>
      <c r="O293" s="274"/>
      <c r="P293" s="274"/>
      <c r="Q293" s="274"/>
      <c r="R293" s="274"/>
      <c r="S293" s="274"/>
      <c r="T293" s="274"/>
      <c r="U293" s="274"/>
      <c r="V293" s="274"/>
      <c r="W293" s="274"/>
      <c r="X293" s="274"/>
      <c r="Y293" s="274"/>
      <c r="Z293" s="274"/>
      <c r="AA293" s="274"/>
      <c r="AB293" s="274"/>
      <c r="AC293" s="274"/>
      <c r="AD293" s="274"/>
      <c r="AE293" s="274"/>
      <c r="AF293" s="274"/>
      <c r="AG293" s="274"/>
      <c r="AH293" s="274"/>
      <c r="AI293" s="274"/>
      <c r="AJ293" s="274"/>
      <c r="AK293" s="274"/>
    </row>
    <row r="294" spans="2:37" ht="13.2">
      <c r="B294" s="490"/>
      <c r="C294" s="490"/>
      <c r="D294" s="490"/>
      <c r="E294" s="490"/>
      <c r="F294" s="274"/>
      <c r="G294" s="274"/>
      <c r="H294" s="274"/>
      <c r="I294" s="274"/>
      <c r="J294" s="274"/>
      <c r="K294" s="274"/>
      <c r="L294" s="274"/>
      <c r="M294" s="274"/>
      <c r="N294" s="274"/>
      <c r="O294" s="274"/>
      <c r="P294" s="274"/>
      <c r="Q294" s="274"/>
      <c r="R294" s="274"/>
      <c r="S294" s="274"/>
      <c r="T294" s="274"/>
      <c r="U294" s="274"/>
      <c r="V294" s="274"/>
      <c r="W294" s="274"/>
      <c r="X294" s="274"/>
      <c r="Y294" s="274"/>
      <c r="Z294" s="274"/>
      <c r="AA294" s="274"/>
      <c r="AB294" s="274"/>
      <c r="AC294" s="274"/>
      <c r="AD294" s="274"/>
      <c r="AE294" s="274"/>
      <c r="AF294" s="274"/>
      <c r="AG294" s="274"/>
      <c r="AH294" s="274"/>
      <c r="AI294" s="274"/>
      <c r="AJ294" s="274"/>
      <c r="AK294" s="274"/>
    </row>
    <row r="295" spans="2:37" ht="13.2">
      <c r="B295" s="490"/>
      <c r="C295" s="490"/>
      <c r="D295" s="490"/>
      <c r="E295" s="490"/>
      <c r="F295" s="274"/>
      <c r="G295" s="274"/>
      <c r="H295" s="274"/>
      <c r="I295" s="274"/>
      <c r="J295" s="274"/>
      <c r="K295" s="274"/>
      <c r="L295" s="274"/>
      <c r="M295" s="274"/>
      <c r="N295" s="274"/>
      <c r="O295" s="274"/>
      <c r="P295" s="274"/>
      <c r="Q295" s="274"/>
      <c r="R295" s="274"/>
      <c r="S295" s="274"/>
      <c r="T295" s="274"/>
      <c r="U295" s="274"/>
      <c r="V295" s="274"/>
      <c r="W295" s="274"/>
      <c r="X295" s="274"/>
      <c r="Y295" s="274"/>
      <c r="Z295" s="274"/>
      <c r="AA295" s="274"/>
      <c r="AB295" s="274"/>
      <c r="AC295" s="274"/>
      <c r="AD295" s="274"/>
      <c r="AE295" s="274"/>
      <c r="AF295" s="274"/>
      <c r="AG295" s="274"/>
      <c r="AH295" s="274"/>
      <c r="AI295" s="274"/>
      <c r="AJ295" s="274"/>
      <c r="AK295" s="274"/>
    </row>
    <row r="296" spans="2:37" ht="13.2">
      <c r="B296" s="490"/>
      <c r="C296" s="490"/>
      <c r="D296" s="490"/>
      <c r="E296" s="490"/>
      <c r="F296" s="274"/>
      <c r="G296" s="274"/>
      <c r="H296" s="274"/>
      <c r="I296" s="274"/>
      <c r="J296" s="274"/>
      <c r="K296" s="274"/>
      <c r="L296" s="274"/>
      <c r="M296" s="274"/>
      <c r="N296" s="274"/>
      <c r="O296" s="274"/>
      <c r="P296" s="274"/>
      <c r="Q296" s="274"/>
      <c r="R296" s="274"/>
      <c r="S296" s="274"/>
      <c r="T296" s="274"/>
      <c r="U296" s="274"/>
      <c r="V296" s="274"/>
      <c r="W296" s="274"/>
      <c r="X296" s="274"/>
      <c r="Y296" s="274"/>
      <c r="Z296" s="274"/>
      <c r="AA296" s="274"/>
      <c r="AB296" s="274"/>
      <c r="AC296" s="274"/>
      <c r="AD296" s="274"/>
      <c r="AE296" s="274"/>
      <c r="AF296" s="274"/>
      <c r="AG296" s="274"/>
      <c r="AH296" s="274"/>
      <c r="AI296" s="274"/>
      <c r="AJ296" s="274"/>
      <c r="AK296" s="274"/>
    </row>
    <row r="297" spans="2:37" ht="13.2">
      <c r="B297" s="273"/>
      <c r="C297" s="273"/>
      <c r="D297" s="274"/>
      <c r="E297" s="274"/>
      <c r="F297" s="274"/>
      <c r="G297" s="274"/>
      <c r="H297" s="274"/>
      <c r="I297" s="274"/>
      <c r="J297" s="274"/>
      <c r="K297" s="274"/>
      <c r="L297" s="274"/>
      <c r="M297" s="274"/>
      <c r="N297" s="274"/>
      <c r="O297" s="274"/>
      <c r="P297" s="274"/>
      <c r="Q297" s="274"/>
      <c r="R297" s="274"/>
      <c r="S297" s="274"/>
      <c r="T297" s="274"/>
      <c r="U297" s="274"/>
      <c r="V297" s="274"/>
      <c r="W297" s="274"/>
      <c r="X297" s="274"/>
      <c r="Y297" s="274"/>
      <c r="Z297" s="274"/>
      <c r="AA297" s="274"/>
      <c r="AB297" s="274"/>
      <c r="AC297" s="274"/>
      <c r="AD297" s="274"/>
      <c r="AE297" s="274"/>
      <c r="AF297" s="274"/>
      <c r="AG297" s="274"/>
      <c r="AH297" s="274"/>
      <c r="AI297" s="274"/>
      <c r="AJ297" s="274"/>
      <c r="AK297" s="274"/>
    </row>
    <row r="298" spans="2:37" ht="13.2">
      <c r="B298" s="273"/>
      <c r="C298" s="273"/>
      <c r="D298" s="274"/>
      <c r="E298" s="274"/>
      <c r="F298" s="274"/>
      <c r="G298" s="274"/>
      <c r="H298" s="274"/>
      <c r="I298" s="274"/>
      <c r="J298" s="274"/>
      <c r="K298" s="274"/>
      <c r="L298" s="274"/>
      <c r="M298" s="274"/>
      <c r="N298" s="274"/>
      <c r="O298" s="274"/>
      <c r="P298" s="274"/>
      <c r="Q298" s="274"/>
      <c r="R298" s="274"/>
      <c r="S298" s="274"/>
      <c r="T298" s="274"/>
      <c r="U298" s="274"/>
      <c r="V298" s="274"/>
      <c r="W298" s="274"/>
      <c r="X298" s="274"/>
      <c r="Y298" s="274"/>
      <c r="Z298" s="274"/>
      <c r="AA298" s="274"/>
      <c r="AB298" s="274"/>
      <c r="AC298" s="274"/>
      <c r="AD298" s="274"/>
      <c r="AE298" s="274"/>
      <c r="AF298" s="274"/>
      <c r="AG298" s="274"/>
      <c r="AH298" s="274"/>
      <c r="AI298" s="274"/>
      <c r="AJ298" s="274"/>
      <c r="AK298" s="274"/>
    </row>
    <row r="299" spans="2:37" ht="13.2">
      <c r="B299" s="273"/>
      <c r="C299" s="273"/>
      <c r="D299" s="274"/>
      <c r="E299" s="274"/>
      <c r="F299" s="274"/>
      <c r="G299" s="274"/>
      <c r="H299" s="274"/>
      <c r="I299" s="274"/>
      <c r="J299" s="274"/>
      <c r="K299" s="274"/>
      <c r="L299" s="274"/>
      <c r="M299" s="274"/>
      <c r="N299" s="274"/>
      <c r="O299" s="274"/>
      <c r="P299" s="274"/>
      <c r="Q299" s="274"/>
      <c r="R299" s="274"/>
      <c r="S299" s="274"/>
      <c r="T299" s="274"/>
      <c r="U299" s="274"/>
      <c r="V299" s="274"/>
      <c r="W299" s="274"/>
      <c r="X299" s="274"/>
      <c r="Y299" s="274"/>
      <c r="Z299" s="274"/>
      <c r="AA299" s="274"/>
      <c r="AB299" s="274"/>
      <c r="AC299" s="274"/>
      <c r="AD299" s="274"/>
      <c r="AE299" s="274"/>
      <c r="AF299" s="274"/>
      <c r="AG299" s="274"/>
      <c r="AH299" s="274"/>
      <c r="AI299" s="274"/>
      <c r="AJ299" s="274"/>
      <c r="AK299" s="274"/>
    </row>
    <row r="300" spans="2:37" ht="13.2">
      <c r="B300" s="273"/>
      <c r="C300" s="273"/>
      <c r="D300" s="274"/>
      <c r="E300" s="274"/>
      <c r="F300" s="274"/>
      <c r="G300" s="274"/>
      <c r="H300" s="274"/>
      <c r="I300" s="274"/>
      <c r="J300" s="274"/>
      <c r="K300" s="274"/>
      <c r="L300" s="274"/>
      <c r="M300" s="274"/>
      <c r="N300" s="274"/>
      <c r="O300" s="274"/>
      <c r="P300" s="274"/>
      <c r="Q300" s="274"/>
      <c r="R300" s="274"/>
      <c r="S300" s="274"/>
      <c r="T300" s="274"/>
      <c r="U300" s="274"/>
      <c r="V300" s="274"/>
      <c r="W300" s="274"/>
      <c r="X300" s="274"/>
      <c r="Y300" s="274"/>
      <c r="Z300" s="274"/>
      <c r="AA300" s="274"/>
      <c r="AB300" s="274"/>
      <c r="AC300" s="274"/>
      <c r="AD300" s="274"/>
      <c r="AE300" s="274"/>
      <c r="AF300" s="274"/>
      <c r="AG300" s="274"/>
      <c r="AH300" s="274"/>
      <c r="AI300" s="274"/>
      <c r="AJ300" s="274"/>
      <c r="AK300" s="274"/>
    </row>
    <row r="301" spans="2:37" ht="13.2">
      <c r="B301" s="273"/>
      <c r="C301" s="273"/>
      <c r="D301" s="274"/>
      <c r="E301" s="274"/>
      <c r="F301" s="274"/>
      <c r="G301" s="274"/>
      <c r="H301" s="274"/>
      <c r="I301" s="274"/>
      <c r="J301" s="274"/>
      <c r="K301" s="274"/>
      <c r="L301" s="274"/>
      <c r="M301" s="274"/>
      <c r="N301" s="274"/>
      <c r="O301" s="274"/>
      <c r="P301" s="274"/>
      <c r="Q301" s="274"/>
      <c r="R301" s="274"/>
      <c r="S301" s="274"/>
      <c r="T301" s="274"/>
      <c r="U301" s="274"/>
      <c r="V301" s="274"/>
      <c r="W301" s="274"/>
      <c r="X301" s="274"/>
      <c r="Y301" s="274"/>
      <c r="Z301" s="274"/>
      <c r="AA301" s="274"/>
      <c r="AB301" s="274"/>
      <c r="AC301" s="274"/>
      <c r="AD301" s="274"/>
      <c r="AE301" s="274"/>
      <c r="AF301" s="274"/>
      <c r="AG301" s="274"/>
      <c r="AH301" s="274"/>
      <c r="AI301" s="274"/>
      <c r="AJ301" s="274"/>
      <c r="AK301" s="274"/>
    </row>
    <row r="302" spans="2:37" ht="13.2">
      <c r="B302" s="273"/>
      <c r="C302" s="273"/>
      <c r="D302" s="274"/>
      <c r="E302" s="274"/>
      <c r="F302" s="274"/>
      <c r="G302" s="274"/>
      <c r="H302" s="274"/>
      <c r="I302" s="274"/>
      <c r="J302" s="274"/>
      <c r="K302" s="274"/>
      <c r="L302" s="274"/>
      <c r="M302" s="274"/>
      <c r="N302" s="274"/>
      <c r="O302" s="274"/>
      <c r="P302" s="274"/>
      <c r="Q302" s="274"/>
      <c r="R302" s="274"/>
      <c r="S302" s="274"/>
      <c r="T302" s="274"/>
      <c r="U302" s="274"/>
      <c r="V302" s="274"/>
      <c r="W302" s="274"/>
      <c r="X302" s="274"/>
      <c r="Y302" s="274"/>
      <c r="Z302" s="274"/>
      <c r="AA302" s="274"/>
      <c r="AB302" s="274"/>
      <c r="AC302" s="274"/>
      <c r="AD302" s="274"/>
      <c r="AE302" s="274"/>
      <c r="AF302" s="274"/>
      <c r="AG302" s="274"/>
      <c r="AH302" s="274"/>
      <c r="AI302" s="274"/>
      <c r="AJ302" s="274"/>
      <c r="AK302" s="274"/>
    </row>
    <row r="303" spans="2:37" ht="13.2">
      <c r="B303" s="273"/>
      <c r="C303" s="273"/>
      <c r="D303" s="274"/>
      <c r="E303" s="274"/>
      <c r="F303" s="274"/>
      <c r="G303" s="274"/>
      <c r="H303" s="274"/>
      <c r="I303" s="274"/>
      <c r="J303" s="274"/>
      <c r="K303" s="274"/>
      <c r="L303" s="274"/>
      <c r="M303" s="274"/>
      <c r="N303" s="274"/>
      <c r="O303" s="274"/>
      <c r="P303" s="274"/>
      <c r="Q303" s="274"/>
      <c r="R303" s="274"/>
      <c r="S303" s="274"/>
      <c r="T303" s="274"/>
      <c r="U303" s="274"/>
      <c r="V303" s="274"/>
      <c r="W303" s="274"/>
      <c r="X303" s="274"/>
      <c r="Y303" s="274"/>
      <c r="Z303" s="274"/>
      <c r="AA303" s="274"/>
      <c r="AB303" s="274"/>
      <c r="AC303" s="274"/>
      <c r="AD303" s="274"/>
      <c r="AE303" s="274"/>
      <c r="AF303" s="274"/>
      <c r="AG303" s="274"/>
      <c r="AH303" s="274"/>
      <c r="AI303" s="274"/>
      <c r="AJ303" s="274"/>
      <c r="AK303" s="274"/>
    </row>
    <row r="304" spans="2:37" ht="13.2">
      <c r="B304" s="273"/>
      <c r="C304" s="273"/>
      <c r="D304" s="274"/>
      <c r="E304" s="274"/>
      <c r="F304" s="274"/>
      <c r="G304" s="274"/>
      <c r="H304" s="274"/>
      <c r="I304" s="274"/>
      <c r="J304" s="274"/>
      <c r="K304" s="274"/>
      <c r="L304" s="274"/>
      <c r="M304" s="274"/>
      <c r="N304" s="274"/>
      <c r="O304" s="274"/>
      <c r="P304" s="274"/>
      <c r="Q304" s="274"/>
      <c r="R304" s="274"/>
      <c r="S304" s="274"/>
      <c r="T304" s="274"/>
      <c r="U304" s="274"/>
      <c r="V304" s="274"/>
      <c r="W304" s="274"/>
      <c r="X304" s="274"/>
      <c r="Y304" s="274"/>
      <c r="Z304" s="274"/>
      <c r="AA304" s="274"/>
      <c r="AB304" s="274"/>
      <c r="AC304" s="274"/>
      <c r="AD304" s="274"/>
      <c r="AE304" s="274"/>
      <c r="AF304" s="274"/>
      <c r="AG304" s="274"/>
      <c r="AH304" s="274"/>
      <c r="AI304" s="274"/>
      <c r="AJ304" s="274"/>
      <c r="AK304" s="274"/>
    </row>
    <row r="305" spans="2:37" ht="13.2">
      <c r="B305" s="273"/>
      <c r="C305" s="273"/>
      <c r="D305" s="274"/>
      <c r="E305" s="274"/>
      <c r="F305" s="274"/>
      <c r="G305" s="274"/>
      <c r="H305" s="274"/>
      <c r="I305" s="274"/>
      <c r="J305" s="274"/>
      <c r="K305" s="274"/>
      <c r="L305" s="274"/>
      <c r="M305" s="274"/>
      <c r="N305" s="274"/>
      <c r="O305" s="274"/>
      <c r="P305" s="274"/>
      <c r="Q305" s="274"/>
      <c r="R305" s="274"/>
      <c r="S305" s="274"/>
      <c r="T305" s="274"/>
      <c r="U305" s="274"/>
      <c r="V305" s="274"/>
      <c r="W305" s="274"/>
      <c r="X305" s="274"/>
      <c r="Y305" s="274"/>
      <c r="Z305" s="274"/>
      <c r="AA305" s="274"/>
      <c r="AB305" s="274"/>
      <c r="AC305" s="274"/>
      <c r="AD305" s="274"/>
      <c r="AE305" s="274"/>
      <c r="AF305" s="274"/>
      <c r="AG305" s="274"/>
      <c r="AH305" s="274"/>
      <c r="AI305" s="274"/>
      <c r="AJ305" s="274"/>
      <c r="AK305" s="274"/>
    </row>
    <row r="306" spans="2:37" ht="13.2">
      <c r="B306" s="273"/>
      <c r="C306" s="273"/>
      <c r="D306" s="274"/>
      <c r="E306" s="274"/>
      <c r="F306" s="274"/>
      <c r="G306" s="274"/>
      <c r="H306" s="274"/>
      <c r="I306" s="274"/>
      <c r="J306" s="274"/>
      <c r="K306" s="274"/>
      <c r="L306" s="274"/>
      <c r="M306" s="274"/>
      <c r="N306" s="274"/>
      <c r="O306" s="274"/>
      <c r="P306" s="274"/>
      <c r="Q306" s="274"/>
      <c r="R306" s="274"/>
      <c r="S306" s="274"/>
      <c r="T306" s="274"/>
      <c r="U306" s="274"/>
      <c r="V306" s="274"/>
      <c r="W306" s="274"/>
      <c r="X306" s="274"/>
      <c r="Y306" s="274"/>
      <c r="Z306" s="274"/>
      <c r="AA306" s="274"/>
      <c r="AB306" s="274"/>
      <c r="AC306" s="274"/>
      <c r="AD306" s="274"/>
      <c r="AE306" s="274"/>
      <c r="AF306" s="274"/>
      <c r="AG306" s="274"/>
      <c r="AH306" s="274"/>
      <c r="AI306" s="274"/>
      <c r="AJ306" s="274"/>
      <c r="AK306" s="274"/>
    </row>
    <row r="307" spans="2:37" ht="13.2">
      <c r="B307" s="273"/>
      <c r="C307" s="273"/>
      <c r="D307" s="274"/>
      <c r="E307" s="274"/>
      <c r="F307" s="274"/>
      <c r="G307" s="274"/>
      <c r="H307" s="274"/>
      <c r="I307" s="274"/>
      <c r="J307" s="274"/>
      <c r="K307" s="274"/>
      <c r="L307" s="274"/>
      <c r="M307" s="274"/>
      <c r="N307" s="274"/>
      <c r="O307" s="274"/>
      <c r="P307" s="274"/>
      <c r="Q307" s="274"/>
      <c r="R307" s="274"/>
      <c r="S307" s="274"/>
      <c r="T307" s="274"/>
      <c r="U307" s="274"/>
      <c r="V307" s="274"/>
      <c r="W307" s="274"/>
      <c r="X307" s="274"/>
      <c r="Y307" s="274"/>
      <c r="Z307" s="274"/>
      <c r="AA307" s="274"/>
      <c r="AB307" s="274"/>
      <c r="AC307" s="274"/>
      <c r="AD307" s="274"/>
      <c r="AE307" s="274"/>
      <c r="AF307" s="274"/>
      <c r="AG307" s="274"/>
      <c r="AH307" s="274"/>
      <c r="AI307" s="274"/>
      <c r="AJ307" s="274"/>
      <c r="AK307" s="274"/>
    </row>
    <row r="308" spans="2:37" ht="13.2">
      <c r="B308" s="273"/>
      <c r="C308" s="273"/>
      <c r="D308" s="274"/>
      <c r="E308" s="274"/>
      <c r="F308" s="274"/>
      <c r="G308" s="274"/>
      <c r="H308" s="274"/>
      <c r="I308" s="274"/>
      <c r="J308" s="274"/>
      <c r="K308" s="274"/>
      <c r="L308" s="274"/>
      <c r="M308" s="274"/>
      <c r="N308" s="274"/>
      <c r="O308" s="274"/>
      <c r="P308" s="274"/>
      <c r="Q308" s="274"/>
      <c r="R308" s="274"/>
      <c r="S308" s="274"/>
      <c r="T308" s="274"/>
      <c r="U308" s="274"/>
      <c r="V308" s="274"/>
      <c r="W308" s="274"/>
      <c r="X308" s="274"/>
      <c r="Y308" s="274"/>
      <c r="Z308" s="274"/>
      <c r="AA308" s="274"/>
      <c r="AB308" s="274"/>
      <c r="AC308" s="274"/>
      <c r="AD308" s="274"/>
      <c r="AE308" s="274"/>
      <c r="AF308" s="274"/>
      <c r="AG308" s="274"/>
      <c r="AH308" s="274"/>
      <c r="AI308" s="274"/>
      <c r="AJ308" s="274"/>
      <c r="AK308" s="274"/>
    </row>
    <row r="309" spans="2:37" ht="13.2">
      <c r="B309" s="273"/>
      <c r="C309" s="273"/>
      <c r="D309" s="274"/>
      <c r="E309" s="274"/>
      <c r="F309" s="274"/>
      <c r="G309" s="274"/>
      <c r="H309" s="274"/>
      <c r="I309" s="274"/>
      <c r="J309" s="274"/>
      <c r="K309" s="274"/>
      <c r="L309" s="274"/>
      <c r="M309" s="274"/>
      <c r="N309" s="274"/>
      <c r="O309" s="274"/>
      <c r="P309" s="274"/>
      <c r="Q309" s="274"/>
      <c r="R309" s="274"/>
      <c r="S309" s="274"/>
      <c r="T309" s="274"/>
      <c r="U309" s="274"/>
      <c r="V309" s="274"/>
      <c r="W309" s="274"/>
      <c r="X309" s="274"/>
      <c r="Y309" s="274"/>
      <c r="Z309" s="274"/>
      <c r="AA309" s="274"/>
      <c r="AB309" s="274"/>
      <c r="AC309" s="274"/>
      <c r="AD309" s="274"/>
      <c r="AE309" s="274"/>
      <c r="AF309" s="274"/>
      <c r="AG309" s="274"/>
      <c r="AH309" s="274"/>
      <c r="AI309" s="274"/>
      <c r="AJ309" s="274"/>
      <c r="AK309" s="274"/>
    </row>
    <row r="310" spans="2:37" ht="13.2">
      <c r="B310" s="273"/>
      <c r="C310" s="273"/>
      <c r="D310" s="274"/>
      <c r="E310" s="274"/>
      <c r="F310" s="274"/>
      <c r="G310" s="274"/>
      <c r="H310" s="274"/>
      <c r="I310" s="274"/>
      <c r="J310" s="274"/>
      <c r="K310" s="274"/>
      <c r="L310" s="274"/>
      <c r="M310" s="274"/>
      <c r="N310" s="274"/>
      <c r="O310" s="274"/>
      <c r="P310" s="274"/>
      <c r="Q310" s="274"/>
      <c r="R310" s="274"/>
      <c r="S310" s="274"/>
      <c r="T310" s="274"/>
      <c r="U310" s="274"/>
      <c r="V310" s="274"/>
      <c r="W310" s="274"/>
      <c r="X310" s="274"/>
      <c r="Y310" s="274"/>
      <c r="Z310" s="274"/>
      <c r="AA310" s="274"/>
      <c r="AB310" s="274"/>
      <c r="AC310" s="274"/>
      <c r="AD310" s="274"/>
      <c r="AE310" s="274"/>
      <c r="AF310" s="274"/>
      <c r="AG310" s="274"/>
      <c r="AH310" s="274"/>
      <c r="AI310" s="274"/>
      <c r="AJ310" s="274"/>
      <c r="AK310" s="274"/>
    </row>
    <row r="311" spans="2:37" ht="13.2">
      <c r="B311" s="273"/>
      <c r="C311" s="273"/>
      <c r="D311" s="274"/>
      <c r="E311" s="274"/>
      <c r="F311" s="274"/>
      <c r="G311" s="274"/>
      <c r="H311" s="274"/>
      <c r="I311" s="274"/>
      <c r="J311" s="274"/>
      <c r="K311" s="274"/>
      <c r="L311" s="274"/>
      <c r="M311" s="274"/>
      <c r="N311" s="274"/>
      <c r="O311" s="274"/>
      <c r="P311" s="274"/>
      <c r="Q311" s="274"/>
      <c r="R311" s="274"/>
      <c r="S311" s="274"/>
      <c r="T311" s="274"/>
      <c r="U311" s="274"/>
      <c r="V311" s="274"/>
      <c r="W311" s="274"/>
      <c r="X311" s="274"/>
      <c r="Y311" s="274"/>
      <c r="Z311" s="274"/>
      <c r="AA311" s="274"/>
      <c r="AB311" s="274"/>
      <c r="AC311" s="274"/>
      <c r="AD311" s="274"/>
      <c r="AE311" s="274"/>
      <c r="AF311" s="274"/>
      <c r="AG311" s="274"/>
      <c r="AH311" s="274"/>
      <c r="AI311" s="274"/>
      <c r="AJ311" s="274"/>
      <c r="AK311" s="274"/>
    </row>
    <row r="312" spans="2:37" ht="13.2">
      <c r="B312" s="273"/>
      <c r="C312" s="273"/>
      <c r="D312" s="274"/>
      <c r="E312" s="274"/>
      <c r="F312" s="274"/>
      <c r="G312" s="274"/>
      <c r="H312" s="274"/>
      <c r="I312" s="274"/>
      <c r="J312" s="274"/>
      <c r="K312" s="274"/>
      <c r="L312" s="274"/>
      <c r="M312" s="274"/>
      <c r="N312" s="274"/>
      <c r="O312" s="274"/>
      <c r="P312" s="274"/>
      <c r="Q312" s="274"/>
      <c r="R312" s="274"/>
      <c r="S312" s="274"/>
      <c r="T312" s="274"/>
      <c r="U312" s="274"/>
      <c r="V312" s="274"/>
      <c r="W312" s="274"/>
      <c r="X312" s="274"/>
      <c r="Y312" s="274"/>
      <c r="Z312" s="274"/>
      <c r="AA312" s="274"/>
      <c r="AB312" s="274"/>
      <c r="AC312" s="274"/>
      <c r="AD312" s="274"/>
      <c r="AE312" s="274"/>
      <c r="AF312" s="274"/>
      <c r="AG312" s="274"/>
      <c r="AH312" s="274"/>
      <c r="AI312" s="274"/>
      <c r="AJ312" s="274"/>
      <c r="AK312" s="274"/>
    </row>
    <row r="313" spans="2:37" ht="13.2">
      <c r="B313" s="273"/>
      <c r="C313" s="273"/>
      <c r="D313" s="274"/>
      <c r="E313" s="274"/>
      <c r="F313" s="274"/>
      <c r="G313" s="274"/>
      <c r="H313" s="274"/>
      <c r="I313" s="274"/>
      <c r="J313" s="274"/>
      <c r="K313" s="274"/>
      <c r="L313" s="274"/>
      <c r="M313" s="274"/>
      <c r="N313" s="274"/>
      <c r="O313" s="274"/>
      <c r="P313" s="274"/>
      <c r="Q313" s="274"/>
      <c r="R313" s="274"/>
      <c r="S313" s="274"/>
      <c r="T313" s="274"/>
      <c r="U313" s="274"/>
      <c r="V313" s="274"/>
      <c r="W313" s="274"/>
      <c r="X313" s="274"/>
      <c r="Y313" s="274"/>
      <c r="Z313" s="274"/>
      <c r="AA313" s="274"/>
      <c r="AB313" s="274"/>
      <c r="AC313" s="274"/>
      <c r="AD313" s="274"/>
      <c r="AE313" s="274"/>
      <c r="AF313" s="274"/>
      <c r="AG313" s="274"/>
      <c r="AH313" s="274"/>
      <c r="AI313" s="274"/>
      <c r="AJ313" s="274"/>
      <c r="AK313" s="274"/>
    </row>
    <row r="314" spans="2:37" ht="13.2">
      <c r="B314" s="273"/>
      <c r="C314" s="273"/>
      <c r="D314" s="274"/>
      <c r="E314" s="274"/>
      <c r="F314" s="274"/>
      <c r="G314" s="274"/>
      <c r="H314" s="274"/>
      <c r="I314" s="274"/>
      <c r="J314" s="274"/>
      <c r="K314" s="274"/>
      <c r="L314" s="274"/>
      <c r="M314" s="274"/>
      <c r="N314" s="274"/>
      <c r="O314" s="274"/>
      <c r="P314" s="274"/>
      <c r="Q314" s="274"/>
      <c r="R314" s="274"/>
      <c r="S314" s="274"/>
      <c r="T314" s="274"/>
      <c r="U314" s="274"/>
      <c r="V314" s="274"/>
      <c r="W314" s="274"/>
      <c r="X314" s="274"/>
      <c r="Y314" s="274"/>
      <c r="Z314" s="274"/>
      <c r="AA314" s="274"/>
      <c r="AB314" s="274"/>
      <c r="AC314" s="274"/>
      <c r="AD314" s="274"/>
      <c r="AE314" s="274"/>
      <c r="AF314" s="274"/>
      <c r="AG314" s="274"/>
      <c r="AH314" s="274"/>
      <c r="AI314" s="274"/>
      <c r="AJ314" s="274"/>
      <c r="AK314" s="274"/>
    </row>
    <row r="315" spans="2:37" ht="13.2">
      <c r="B315" s="273"/>
      <c r="C315" s="273"/>
      <c r="D315" s="274"/>
      <c r="E315" s="274"/>
      <c r="F315" s="274"/>
      <c r="G315" s="274"/>
      <c r="H315" s="274"/>
      <c r="I315" s="274"/>
      <c r="J315" s="274"/>
      <c r="K315" s="274"/>
      <c r="L315" s="274"/>
      <c r="M315" s="274"/>
      <c r="N315" s="274"/>
      <c r="O315" s="274"/>
      <c r="P315" s="274"/>
      <c r="Q315" s="274"/>
      <c r="R315" s="274"/>
      <c r="S315" s="274"/>
      <c r="T315" s="274"/>
      <c r="U315" s="274"/>
      <c r="V315" s="274"/>
      <c r="W315" s="274"/>
      <c r="X315" s="274"/>
      <c r="Y315" s="274"/>
      <c r="Z315" s="274"/>
      <c r="AA315" s="274"/>
      <c r="AB315" s="274"/>
      <c r="AC315" s="274"/>
      <c r="AD315" s="274"/>
      <c r="AE315" s="274"/>
      <c r="AF315" s="274"/>
      <c r="AG315" s="274"/>
      <c r="AH315" s="274"/>
      <c r="AI315" s="274"/>
      <c r="AJ315" s="274"/>
      <c r="AK315" s="274"/>
    </row>
    <row r="316" spans="2:37" ht="13.2">
      <c r="B316" s="273"/>
      <c r="C316" s="273"/>
      <c r="D316" s="274"/>
      <c r="E316" s="274"/>
      <c r="F316" s="274"/>
      <c r="G316" s="274"/>
      <c r="H316" s="274"/>
      <c r="I316" s="274"/>
      <c r="J316" s="274"/>
      <c r="K316" s="274"/>
      <c r="L316" s="274"/>
      <c r="M316" s="274"/>
      <c r="N316" s="274"/>
      <c r="O316" s="274"/>
      <c r="P316" s="274"/>
      <c r="Q316" s="274"/>
      <c r="R316" s="274"/>
      <c r="S316" s="274"/>
      <c r="T316" s="274"/>
      <c r="U316" s="274"/>
      <c r="V316" s="274"/>
      <c r="W316" s="274"/>
      <c r="X316" s="274"/>
      <c r="Y316" s="274"/>
      <c r="Z316" s="274"/>
      <c r="AA316" s="274"/>
      <c r="AB316" s="274"/>
      <c r="AC316" s="274"/>
      <c r="AD316" s="274"/>
      <c r="AE316" s="274"/>
      <c r="AF316" s="274"/>
      <c r="AG316" s="274"/>
      <c r="AH316" s="274"/>
      <c r="AI316" s="274"/>
      <c r="AJ316" s="274"/>
      <c r="AK316" s="274"/>
    </row>
    <row r="317" spans="2:37" ht="13.2">
      <c r="B317" s="273"/>
      <c r="C317" s="273"/>
      <c r="D317" s="274"/>
      <c r="E317" s="274"/>
      <c r="F317" s="274"/>
      <c r="G317" s="274"/>
      <c r="H317" s="274"/>
      <c r="I317" s="274"/>
      <c r="J317" s="274"/>
      <c r="K317" s="274"/>
      <c r="L317" s="274"/>
      <c r="M317" s="274"/>
      <c r="N317" s="274"/>
      <c r="O317" s="274"/>
      <c r="P317" s="274"/>
      <c r="Q317" s="274"/>
      <c r="R317" s="274"/>
      <c r="S317" s="274"/>
      <c r="T317" s="274"/>
      <c r="U317" s="274"/>
      <c r="V317" s="274"/>
      <c r="W317" s="274"/>
      <c r="X317" s="274"/>
      <c r="Y317" s="274"/>
      <c r="Z317" s="274"/>
      <c r="AA317" s="274"/>
      <c r="AB317" s="274"/>
      <c r="AC317" s="274"/>
      <c r="AD317" s="274"/>
      <c r="AE317" s="274"/>
      <c r="AF317" s="274"/>
      <c r="AG317" s="274"/>
      <c r="AH317" s="274"/>
      <c r="AI317" s="274"/>
      <c r="AJ317" s="274"/>
      <c r="AK317" s="274"/>
    </row>
    <row r="318" spans="2:37" ht="13.2">
      <c r="B318" s="273"/>
      <c r="C318" s="273"/>
      <c r="D318" s="274"/>
      <c r="E318" s="274"/>
      <c r="F318" s="274"/>
      <c r="G318" s="274"/>
      <c r="H318" s="274"/>
      <c r="I318" s="274"/>
      <c r="J318" s="274"/>
      <c r="K318" s="274"/>
      <c r="L318" s="274"/>
      <c r="M318" s="274"/>
      <c r="N318" s="274"/>
      <c r="O318" s="274"/>
      <c r="P318" s="274"/>
      <c r="Q318" s="274"/>
      <c r="R318" s="274"/>
      <c r="S318" s="274"/>
      <c r="T318" s="274"/>
      <c r="U318" s="274"/>
      <c r="V318" s="274"/>
      <c r="W318" s="274"/>
      <c r="X318" s="274"/>
      <c r="Y318" s="274"/>
      <c r="Z318" s="274"/>
      <c r="AA318" s="274"/>
      <c r="AB318" s="274"/>
      <c r="AC318" s="274"/>
      <c r="AD318" s="274"/>
      <c r="AE318" s="274"/>
      <c r="AF318" s="274"/>
      <c r="AG318" s="274"/>
      <c r="AH318" s="274"/>
      <c r="AI318" s="274"/>
      <c r="AJ318" s="274"/>
      <c r="AK318" s="274"/>
    </row>
    <row r="319" spans="2:37" ht="13.2">
      <c r="B319" s="273"/>
      <c r="C319" s="273"/>
      <c r="D319" s="274"/>
      <c r="E319" s="274"/>
      <c r="F319" s="274"/>
      <c r="G319" s="274"/>
      <c r="H319" s="274"/>
      <c r="I319" s="274"/>
      <c r="J319" s="274"/>
      <c r="K319" s="274"/>
      <c r="L319" s="274"/>
      <c r="M319" s="274"/>
      <c r="N319" s="274"/>
      <c r="O319" s="274"/>
      <c r="P319" s="274"/>
      <c r="Q319" s="274"/>
      <c r="R319" s="274"/>
      <c r="S319" s="274"/>
      <c r="T319" s="274"/>
      <c r="U319" s="274"/>
      <c r="V319" s="274"/>
      <c r="W319" s="274"/>
      <c r="X319" s="274"/>
      <c r="Y319" s="274"/>
      <c r="Z319" s="274"/>
      <c r="AA319" s="274"/>
      <c r="AB319" s="274"/>
      <c r="AC319" s="274"/>
      <c r="AD319" s="274"/>
      <c r="AE319" s="274"/>
      <c r="AF319" s="274"/>
      <c r="AG319" s="274"/>
      <c r="AH319" s="274"/>
      <c r="AI319" s="274"/>
      <c r="AJ319" s="274"/>
      <c r="AK319" s="274"/>
    </row>
    <row r="320" spans="2:37" ht="13.2">
      <c r="B320" s="273"/>
      <c r="C320" s="273"/>
      <c r="D320" s="274"/>
      <c r="E320" s="274"/>
      <c r="F320" s="274"/>
      <c r="G320" s="274"/>
      <c r="H320" s="274"/>
      <c r="I320" s="274"/>
      <c r="J320" s="274"/>
      <c r="K320" s="274"/>
      <c r="L320" s="274"/>
      <c r="M320" s="274"/>
      <c r="N320" s="274"/>
      <c r="O320" s="274"/>
      <c r="P320" s="274"/>
      <c r="Q320" s="274"/>
      <c r="R320" s="274"/>
      <c r="S320" s="274"/>
      <c r="T320" s="274"/>
      <c r="U320" s="274"/>
      <c r="V320" s="274"/>
      <c r="W320" s="274"/>
      <c r="X320" s="274"/>
      <c r="Y320" s="274"/>
      <c r="Z320" s="274"/>
      <c r="AA320" s="274"/>
      <c r="AB320" s="274"/>
      <c r="AC320" s="274"/>
      <c r="AD320" s="274"/>
      <c r="AE320" s="274"/>
      <c r="AF320" s="274"/>
      <c r="AG320" s="274"/>
      <c r="AH320" s="274"/>
      <c r="AI320" s="274"/>
      <c r="AJ320" s="274"/>
      <c r="AK320" s="274"/>
    </row>
    <row r="321" spans="2:37" ht="13.2">
      <c r="B321" s="273"/>
      <c r="C321" s="273"/>
      <c r="D321" s="274"/>
      <c r="E321" s="274"/>
      <c r="F321" s="274"/>
      <c r="G321" s="274"/>
      <c r="H321" s="274"/>
      <c r="I321" s="274"/>
      <c r="J321" s="274"/>
      <c r="K321" s="274"/>
      <c r="L321" s="274"/>
      <c r="M321" s="274"/>
      <c r="N321" s="274"/>
      <c r="O321" s="274"/>
      <c r="P321" s="274"/>
      <c r="Q321" s="274"/>
      <c r="R321" s="274"/>
      <c r="S321" s="274"/>
      <c r="T321" s="274"/>
      <c r="U321" s="274"/>
      <c r="V321" s="274"/>
      <c r="W321" s="274"/>
      <c r="X321" s="274"/>
      <c r="Y321" s="274"/>
      <c r="Z321" s="274"/>
      <c r="AA321" s="274"/>
      <c r="AB321" s="274"/>
      <c r="AC321" s="274"/>
      <c r="AD321" s="274"/>
      <c r="AE321" s="274"/>
      <c r="AF321" s="274"/>
      <c r="AG321" s="274"/>
      <c r="AH321" s="274"/>
      <c r="AI321" s="274"/>
      <c r="AJ321" s="274"/>
      <c r="AK321" s="274"/>
    </row>
    <row r="322" spans="2:37" ht="13.2">
      <c r="B322" s="273"/>
      <c r="C322" s="273"/>
      <c r="D322" s="274"/>
      <c r="E322" s="274"/>
      <c r="F322" s="274"/>
      <c r="G322" s="274"/>
      <c r="H322" s="274"/>
      <c r="I322" s="274"/>
      <c r="J322" s="274"/>
      <c r="K322" s="274"/>
      <c r="L322" s="274"/>
      <c r="M322" s="274"/>
      <c r="N322" s="274"/>
      <c r="O322" s="274"/>
      <c r="P322" s="274"/>
      <c r="Q322" s="274"/>
      <c r="R322" s="274"/>
      <c r="S322" s="274"/>
      <c r="T322" s="274"/>
      <c r="U322" s="274"/>
      <c r="V322" s="274"/>
      <c r="W322" s="274"/>
      <c r="X322" s="274"/>
      <c r="Y322" s="274"/>
      <c r="Z322" s="274"/>
      <c r="AA322" s="274"/>
      <c r="AB322" s="274"/>
      <c r="AC322" s="274"/>
      <c r="AD322" s="274"/>
      <c r="AE322" s="274"/>
      <c r="AF322" s="274"/>
      <c r="AG322" s="274"/>
      <c r="AH322" s="274"/>
      <c r="AI322" s="274"/>
      <c r="AJ322" s="274"/>
      <c r="AK322" s="274"/>
    </row>
    <row r="323" spans="2:37" ht="13.2">
      <c r="B323" s="273"/>
      <c r="C323" s="273"/>
      <c r="D323" s="274"/>
      <c r="E323" s="274"/>
      <c r="F323" s="274"/>
      <c r="G323" s="274"/>
      <c r="H323" s="274"/>
      <c r="I323" s="274"/>
      <c r="J323" s="274"/>
      <c r="K323" s="274"/>
      <c r="L323" s="274"/>
      <c r="M323" s="274"/>
      <c r="N323" s="274"/>
      <c r="O323" s="274"/>
      <c r="P323" s="274"/>
      <c r="Q323" s="274"/>
      <c r="R323" s="274"/>
      <c r="S323" s="274"/>
      <c r="T323" s="274"/>
      <c r="U323" s="274"/>
      <c r="V323" s="274"/>
      <c r="W323" s="274"/>
      <c r="X323" s="274"/>
      <c r="Y323" s="274"/>
      <c r="Z323" s="274"/>
      <c r="AA323" s="274"/>
      <c r="AB323" s="274"/>
      <c r="AC323" s="274"/>
      <c r="AD323" s="274"/>
      <c r="AE323" s="274"/>
      <c r="AF323" s="274"/>
      <c r="AG323" s="274"/>
      <c r="AH323" s="274"/>
      <c r="AI323" s="274"/>
      <c r="AJ323" s="274"/>
      <c r="AK323" s="274"/>
    </row>
    <row r="324" spans="2:37" ht="13.2">
      <c r="B324" s="273"/>
      <c r="C324" s="273"/>
      <c r="D324" s="274"/>
      <c r="E324" s="274"/>
      <c r="F324" s="274"/>
      <c r="G324" s="274"/>
      <c r="H324" s="274"/>
      <c r="I324" s="274"/>
      <c r="J324" s="274"/>
      <c r="K324" s="274"/>
      <c r="L324" s="274"/>
      <c r="M324" s="274"/>
      <c r="N324" s="274"/>
      <c r="O324" s="274"/>
      <c r="P324" s="274"/>
      <c r="Q324" s="274"/>
      <c r="R324" s="274"/>
      <c r="S324" s="274"/>
      <c r="T324" s="274"/>
      <c r="U324" s="274"/>
      <c r="V324" s="274"/>
      <c r="W324" s="274"/>
      <c r="X324" s="274"/>
      <c r="Y324" s="274"/>
      <c r="Z324" s="274"/>
      <c r="AA324" s="274"/>
      <c r="AB324" s="274"/>
      <c r="AC324" s="274"/>
      <c r="AD324" s="274"/>
      <c r="AE324" s="274"/>
      <c r="AF324" s="274"/>
      <c r="AG324" s="274"/>
      <c r="AH324" s="274"/>
      <c r="AI324" s="274"/>
      <c r="AJ324" s="274"/>
      <c r="AK324" s="274"/>
    </row>
    <row r="325" spans="2:37" ht="13.2">
      <c r="B325" s="273"/>
      <c r="C325" s="273"/>
      <c r="D325" s="274"/>
      <c r="E325" s="274"/>
      <c r="F325" s="274"/>
      <c r="G325" s="274"/>
      <c r="H325" s="274"/>
      <c r="I325" s="274"/>
      <c r="J325" s="274"/>
      <c r="K325" s="274"/>
      <c r="L325" s="274"/>
      <c r="M325" s="274"/>
      <c r="N325" s="274"/>
      <c r="O325" s="274"/>
      <c r="P325" s="274"/>
      <c r="Q325" s="274"/>
      <c r="R325" s="274"/>
      <c r="S325" s="274"/>
      <c r="T325" s="274"/>
      <c r="U325" s="274"/>
      <c r="V325" s="274"/>
      <c r="W325" s="274"/>
      <c r="X325" s="274"/>
      <c r="Y325" s="274"/>
      <c r="Z325" s="274"/>
      <c r="AA325" s="274"/>
      <c r="AB325" s="274"/>
      <c r="AC325" s="274"/>
      <c r="AD325" s="274"/>
      <c r="AE325" s="274"/>
      <c r="AF325" s="274"/>
      <c r="AG325" s="274"/>
      <c r="AH325" s="274"/>
      <c r="AI325" s="274"/>
      <c r="AJ325" s="274"/>
      <c r="AK325" s="274"/>
    </row>
    <row r="326" spans="2:37" ht="13.2">
      <c r="B326" s="273"/>
      <c r="C326" s="273"/>
      <c r="D326" s="274"/>
      <c r="E326" s="274"/>
      <c r="F326" s="274"/>
      <c r="G326" s="274"/>
      <c r="H326" s="274"/>
      <c r="I326" s="274"/>
      <c r="J326" s="274"/>
      <c r="K326" s="274"/>
      <c r="L326" s="274"/>
      <c r="M326" s="274"/>
      <c r="N326" s="274"/>
      <c r="O326" s="274"/>
      <c r="P326" s="274"/>
      <c r="Q326" s="274"/>
      <c r="R326" s="274"/>
      <c r="S326" s="274"/>
      <c r="T326" s="274"/>
      <c r="U326" s="274"/>
      <c r="V326" s="274"/>
      <c r="W326" s="274"/>
      <c r="X326" s="274"/>
      <c r="Y326" s="274"/>
      <c r="Z326" s="274"/>
      <c r="AA326" s="274"/>
      <c r="AB326" s="274"/>
      <c r="AC326" s="274"/>
      <c r="AD326" s="274"/>
      <c r="AE326" s="274"/>
      <c r="AF326" s="274"/>
      <c r="AG326" s="274"/>
      <c r="AH326" s="274"/>
      <c r="AI326" s="274"/>
      <c r="AJ326" s="274"/>
      <c r="AK326" s="274"/>
    </row>
    <row r="327" spans="2:37" ht="13.2">
      <c r="B327" s="273"/>
      <c r="C327" s="273"/>
      <c r="D327" s="274"/>
      <c r="E327" s="274"/>
      <c r="F327" s="274"/>
      <c r="G327" s="274"/>
      <c r="H327" s="274"/>
      <c r="I327" s="274"/>
      <c r="J327" s="274"/>
      <c r="K327" s="274"/>
      <c r="L327" s="274"/>
      <c r="M327" s="274"/>
      <c r="N327" s="274"/>
      <c r="O327" s="274"/>
      <c r="P327" s="274"/>
      <c r="Q327" s="274"/>
      <c r="R327" s="274"/>
      <c r="S327" s="274"/>
      <c r="T327" s="274"/>
      <c r="U327" s="274"/>
      <c r="V327" s="274"/>
      <c r="W327" s="274"/>
      <c r="X327" s="274"/>
      <c r="Y327" s="274"/>
      <c r="Z327" s="274"/>
      <c r="AA327" s="274"/>
      <c r="AB327" s="274"/>
      <c r="AC327" s="274"/>
      <c r="AD327" s="274"/>
      <c r="AE327" s="274"/>
      <c r="AF327" s="274"/>
      <c r="AG327" s="274"/>
      <c r="AH327" s="274"/>
      <c r="AI327" s="274"/>
      <c r="AJ327" s="274"/>
      <c r="AK327" s="274"/>
    </row>
    <row r="328" spans="2:37" ht="13.2">
      <c r="B328" s="273"/>
      <c r="C328" s="273"/>
      <c r="D328" s="274"/>
      <c r="E328" s="274"/>
      <c r="F328" s="274"/>
      <c r="G328" s="274"/>
      <c r="H328" s="274"/>
      <c r="I328" s="274"/>
      <c r="J328" s="274"/>
      <c r="K328" s="274"/>
      <c r="L328" s="274"/>
      <c r="M328" s="274"/>
      <c r="N328" s="274"/>
      <c r="O328" s="274"/>
      <c r="P328" s="274"/>
      <c r="Q328" s="274"/>
      <c r="R328" s="274"/>
      <c r="S328" s="274"/>
      <c r="T328" s="274"/>
      <c r="U328" s="274"/>
      <c r="V328" s="274"/>
      <c r="W328" s="274"/>
      <c r="X328" s="274"/>
      <c r="Y328" s="274"/>
      <c r="Z328" s="274"/>
      <c r="AA328" s="274"/>
      <c r="AB328" s="274"/>
      <c r="AC328" s="274"/>
      <c r="AD328" s="274"/>
      <c r="AE328" s="274"/>
      <c r="AF328" s="274"/>
      <c r="AG328" s="274"/>
      <c r="AH328" s="274"/>
      <c r="AI328" s="274"/>
      <c r="AJ328" s="274"/>
      <c r="AK328" s="274"/>
    </row>
    <row r="329" spans="2:37" ht="13.2">
      <c r="B329" s="273"/>
      <c r="C329" s="273"/>
      <c r="D329" s="274"/>
      <c r="E329" s="274"/>
      <c r="F329" s="274"/>
      <c r="G329" s="274"/>
      <c r="H329" s="274"/>
      <c r="I329" s="274"/>
      <c r="J329" s="274"/>
      <c r="K329" s="274"/>
      <c r="L329" s="274"/>
      <c r="M329" s="274"/>
      <c r="N329" s="274"/>
      <c r="O329" s="274"/>
      <c r="P329" s="274"/>
      <c r="Q329" s="274"/>
      <c r="R329" s="274"/>
      <c r="S329" s="274"/>
      <c r="T329" s="274"/>
      <c r="U329" s="274"/>
      <c r="V329" s="274"/>
      <c r="W329" s="274"/>
      <c r="X329" s="274"/>
      <c r="Y329" s="274"/>
      <c r="Z329" s="274"/>
      <c r="AA329" s="274"/>
      <c r="AB329" s="274"/>
      <c r="AC329" s="274"/>
      <c r="AD329" s="274"/>
      <c r="AE329" s="274"/>
      <c r="AF329" s="274"/>
      <c r="AG329" s="274"/>
      <c r="AH329" s="274"/>
      <c r="AI329" s="274"/>
      <c r="AJ329" s="274"/>
      <c r="AK329" s="274"/>
    </row>
    <row r="330" spans="2:37" ht="13.2">
      <c r="B330" s="273"/>
      <c r="C330" s="273"/>
      <c r="D330" s="274"/>
      <c r="E330" s="274"/>
      <c r="F330" s="274"/>
      <c r="G330" s="274"/>
      <c r="H330" s="274"/>
      <c r="I330" s="274"/>
      <c r="J330" s="274"/>
      <c r="K330" s="274"/>
      <c r="L330" s="274"/>
      <c r="M330" s="274"/>
      <c r="N330" s="274"/>
      <c r="O330" s="274"/>
      <c r="P330" s="274"/>
      <c r="Q330" s="274"/>
      <c r="R330" s="274"/>
      <c r="S330" s="274"/>
      <c r="T330" s="274"/>
      <c r="U330" s="274"/>
      <c r="V330" s="274"/>
      <c r="W330" s="274"/>
      <c r="X330" s="274"/>
      <c r="Y330" s="274"/>
      <c r="Z330" s="274"/>
      <c r="AA330" s="274"/>
      <c r="AB330" s="274"/>
      <c r="AC330" s="274"/>
      <c r="AD330" s="274"/>
      <c r="AE330" s="274"/>
      <c r="AF330" s="274"/>
      <c r="AG330" s="274"/>
      <c r="AH330" s="274"/>
      <c r="AI330" s="274"/>
      <c r="AJ330" s="274"/>
      <c r="AK330" s="274"/>
    </row>
    <row r="331" spans="2:37" ht="13.2">
      <c r="B331" s="273"/>
      <c r="C331" s="273"/>
      <c r="D331" s="274"/>
      <c r="E331" s="274"/>
      <c r="F331" s="274"/>
      <c r="G331" s="274"/>
      <c r="H331" s="274"/>
      <c r="I331" s="274"/>
      <c r="J331" s="274"/>
      <c r="K331" s="274"/>
      <c r="L331" s="274"/>
      <c r="M331" s="274"/>
      <c r="N331" s="274"/>
      <c r="O331" s="274"/>
      <c r="P331" s="274"/>
      <c r="Q331" s="274"/>
      <c r="R331" s="274"/>
      <c r="S331" s="274"/>
      <c r="T331" s="274"/>
      <c r="U331" s="274"/>
      <c r="V331" s="274"/>
      <c r="W331" s="274"/>
      <c r="X331" s="274"/>
      <c r="Y331" s="274"/>
      <c r="Z331" s="274"/>
      <c r="AA331" s="274"/>
      <c r="AB331" s="274"/>
      <c r="AC331" s="274"/>
      <c r="AD331" s="274"/>
      <c r="AE331" s="274"/>
      <c r="AF331" s="274"/>
      <c r="AG331" s="274"/>
      <c r="AH331" s="274"/>
      <c r="AI331" s="274"/>
      <c r="AJ331" s="274"/>
      <c r="AK331" s="274"/>
    </row>
    <row r="332" spans="2:37" ht="13.2">
      <c r="B332" s="273"/>
      <c r="C332" s="273"/>
      <c r="D332" s="274"/>
      <c r="E332" s="274"/>
      <c r="F332" s="274"/>
      <c r="G332" s="274"/>
      <c r="H332" s="274"/>
      <c r="I332" s="274"/>
      <c r="J332" s="274"/>
      <c r="K332" s="274"/>
      <c r="L332" s="274"/>
      <c r="M332" s="274"/>
      <c r="N332" s="274"/>
      <c r="O332" s="274"/>
      <c r="P332" s="274"/>
      <c r="Q332" s="274"/>
      <c r="R332" s="274"/>
      <c r="S332" s="274"/>
      <c r="T332" s="274"/>
      <c r="U332" s="274"/>
      <c r="V332" s="274"/>
      <c r="W332" s="274"/>
      <c r="X332" s="274"/>
      <c r="Y332" s="274"/>
      <c r="Z332" s="274"/>
      <c r="AA332" s="274"/>
      <c r="AB332" s="274"/>
      <c r="AC332" s="274"/>
      <c r="AD332" s="274"/>
      <c r="AE332" s="274"/>
      <c r="AF332" s="274"/>
      <c r="AG332" s="274"/>
      <c r="AH332" s="274"/>
      <c r="AI332" s="274"/>
      <c r="AJ332" s="274"/>
      <c r="AK332" s="274"/>
    </row>
    <row r="333" spans="2:37" ht="13.2">
      <c r="B333" s="273"/>
      <c r="C333" s="273"/>
      <c r="D333" s="274"/>
      <c r="E333" s="274"/>
      <c r="F333" s="274"/>
      <c r="G333" s="274"/>
      <c r="H333" s="274"/>
      <c r="I333" s="274"/>
      <c r="J333" s="274"/>
      <c r="K333" s="274"/>
      <c r="L333" s="274"/>
      <c r="M333" s="274"/>
      <c r="N333" s="274"/>
      <c r="O333" s="274"/>
      <c r="P333" s="274"/>
      <c r="Q333" s="274"/>
      <c r="R333" s="274"/>
      <c r="S333" s="274"/>
      <c r="T333" s="274"/>
      <c r="U333" s="274"/>
      <c r="V333" s="274"/>
      <c r="W333" s="274"/>
      <c r="X333" s="274"/>
      <c r="Y333" s="274"/>
      <c r="Z333" s="274"/>
      <c r="AA333" s="274"/>
      <c r="AB333" s="274"/>
      <c r="AC333" s="274"/>
      <c r="AD333" s="274"/>
      <c r="AE333" s="274"/>
      <c r="AF333" s="274"/>
      <c r="AG333" s="274"/>
      <c r="AH333" s="274"/>
      <c r="AI333" s="274"/>
      <c r="AJ333" s="274"/>
      <c r="AK333" s="274"/>
    </row>
    <row r="334" spans="2:37" ht="13.2">
      <c r="B334" s="273"/>
      <c r="C334" s="273"/>
      <c r="D334" s="274"/>
      <c r="E334" s="274"/>
      <c r="F334" s="274"/>
      <c r="G334" s="274"/>
      <c r="H334" s="274"/>
      <c r="I334" s="274"/>
      <c r="J334" s="274"/>
      <c r="K334" s="274"/>
      <c r="L334" s="274"/>
      <c r="M334" s="274"/>
      <c r="N334" s="274"/>
      <c r="O334" s="274"/>
      <c r="P334" s="274"/>
      <c r="Q334" s="274"/>
      <c r="R334" s="274"/>
      <c r="S334" s="274"/>
      <c r="T334" s="274"/>
      <c r="U334" s="274"/>
      <c r="V334" s="274"/>
      <c r="W334" s="274"/>
      <c r="X334" s="274"/>
      <c r="Y334" s="274"/>
      <c r="Z334" s="274"/>
      <c r="AA334" s="274"/>
      <c r="AB334" s="274"/>
      <c r="AC334" s="274"/>
      <c r="AD334" s="274"/>
      <c r="AE334" s="274"/>
      <c r="AF334" s="274"/>
      <c r="AG334" s="274"/>
      <c r="AH334" s="274"/>
      <c r="AI334" s="274"/>
      <c r="AJ334" s="274"/>
      <c r="AK334" s="274"/>
    </row>
    <row r="335" spans="2:37" ht="13.2">
      <c r="B335" s="273"/>
      <c r="C335" s="273"/>
      <c r="D335" s="274"/>
      <c r="E335" s="274"/>
      <c r="F335" s="274"/>
      <c r="G335" s="274"/>
      <c r="H335" s="274"/>
      <c r="I335" s="274"/>
      <c r="J335" s="274"/>
      <c r="K335" s="274"/>
      <c r="L335" s="274"/>
      <c r="M335" s="274"/>
      <c r="N335" s="274"/>
      <c r="O335" s="274"/>
      <c r="P335" s="274"/>
      <c r="Q335" s="274"/>
      <c r="R335" s="274"/>
      <c r="S335" s="274"/>
      <c r="T335" s="274"/>
      <c r="U335" s="274"/>
      <c r="V335" s="274"/>
      <c r="W335" s="274"/>
      <c r="X335" s="274"/>
      <c r="Y335" s="274"/>
      <c r="Z335" s="274"/>
      <c r="AA335" s="274"/>
      <c r="AB335" s="274"/>
      <c r="AC335" s="274"/>
      <c r="AD335" s="274"/>
      <c r="AE335" s="274"/>
      <c r="AF335" s="274"/>
      <c r="AG335" s="274"/>
      <c r="AH335" s="274"/>
      <c r="AI335" s="274"/>
      <c r="AJ335" s="274"/>
      <c r="AK335" s="274"/>
    </row>
    <row r="336" spans="2:37" ht="13.2">
      <c r="B336" s="273"/>
      <c r="C336" s="273"/>
      <c r="D336" s="274"/>
      <c r="E336" s="274"/>
      <c r="F336" s="274"/>
      <c r="G336" s="274"/>
      <c r="H336" s="274"/>
      <c r="I336" s="274"/>
      <c r="J336" s="274"/>
      <c r="K336" s="274"/>
      <c r="L336" s="274"/>
      <c r="M336" s="274"/>
      <c r="N336" s="274"/>
      <c r="O336" s="274"/>
      <c r="P336" s="274"/>
      <c r="Q336" s="274"/>
      <c r="R336" s="274"/>
      <c r="S336" s="274"/>
      <c r="T336" s="274"/>
      <c r="U336" s="274"/>
      <c r="V336" s="274"/>
      <c r="W336" s="274"/>
      <c r="X336" s="274"/>
      <c r="Y336" s="274"/>
      <c r="Z336" s="274"/>
      <c r="AA336" s="274"/>
      <c r="AB336" s="274"/>
      <c r="AC336" s="274"/>
      <c r="AD336" s="274"/>
      <c r="AE336" s="274"/>
      <c r="AF336" s="274"/>
      <c r="AG336" s="274"/>
      <c r="AH336" s="274"/>
      <c r="AI336" s="274"/>
      <c r="AJ336" s="274"/>
      <c r="AK336" s="274"/>
    </row>
    <row r="337" spans="2:37" ht="13.2">
      <c r="B337" s="273"/>
      <c r="C337" s="273"/>
      <c r="D337" s="274"/>
      <c r="E337" s="274"/>
      <c r="F337" s="274"/>
      <c r="G337" s="274"/>
      <c r="H337" s="274"/>
      <c r="I337" s="274"/>
      <c r="J337" s="274"/>
      <c r="K337" s="274"/>
      <c r="L337" s="274"/>
      <c r="M337" s="274"/>
      <c r="N337" s="274"/>
      <c r="O337" s="274"/>
      <c r="P337" s="274"/>
      <c r="Q337" s="274"/>
      <c r="R337" s="274"/>
      <c r="S337" s="274"/>
      <c r="T337" s="274"/>
      <c r="U337" s="274"/>
      <c r="V337" s="274"/>
      <c r="W337" s="274"/>
      <c r="X337" s="274"/>
      <c r="Y337" s="274"/>
      <c r="Z337" s="274"/>
      <c r="AA337" s="274"/>
      <c r="AB337" s="274"/>
      <c r="AC337" s="274"/>
      <c r="AD337" s="274"/>
      <c r="AE337" s="274"/>
      <c r="AF337" s="274"/>
      <c r="AG337" s="274"/>
      <c r="AH337" s="274"/>
      <c r="AI337" s="274"/>
      <c r="AJ337" s="274"/>
      <c r="AK337" s="274"/>
    </row>
    <row r="338" spans="2:37" ht="13.2">
      <c r="B338" s="273"/>
      <c r="C338" s="273"/>
      <c r="D338" s="274"/>
      <c r="E338" s="274"/>
      <c r="F338" s="274"/>
      <c r="G338" s="274"/>
      <c r="H338" s="274"/>
      <c r="I338" s="274"/>
      <c r="J338" s="274"/>
      <c r="K338" s="274"/>
      <c r="L338" s="274"/>
      <c r="M338" s="274"/>
      <c r="N338" s="274"/>
      <c r="O338" s="274"/>
      <c r="P338" s="274"/>
      <c r="Q338" s="274"/>
      <c r="R338" s="274"/>
      <c r="S338" s="274"/>
      <c r="T338" s="274"/>
      <c r="U338" s="274"/>
      <c r="V338" s="274"/>
      <c r="W338" s="274"/>
      <c r="X338" s="274"/>
      <c r="Y338" s="274"/>
      <c r="Z338" s="274"/>
      <c r="AA338" s="274"/>
      <c r="AB338" s="274"/>
      <c r="AC338" s="274"/>
      <c r="AD338" s="274"/>
      <c r="AE338" s="274"/>
      <c r="AF338" s="274"/>
      <c r="AG338" s="274"/>
      <c r="AH338" s="274"/>
      <c r="AI338" s="274"/>
      <c r="AJ338" s="274"/>
      <c r="AK338" s="274"/>
    </row>
    <row r="339" spans="2:37" ht="13.2">
      <c r="B339" s="273"/>
      <c r="C339" s="273"/>
      <c r="D339" s="274"/>
      <c r="E339" s="274"/>
      <c r="F339" s="274"/>
      <c r="G339" s="274"/>
      <c r="H339" s="274"/>
      <c r="I339" s="274"/>
      <c r="J339" s="274"/>
      <c r="K339" s="274"/>
      <c r="L339" s="274"/>
      <c r="M339" s="274"/>
      <c r="N339" s="274"/>
      <c r="O339" s="274"/>
      <c r="P339" s="274"/>
      <c r="Q339" s="274"/>
      <c r="R339" s="274"/>
      <c r="S339" s="274"/>
      <c r="T339" s="274"/>
      <c r="U339" s="274"/>
      <c r="V339" s="274"/>
      <c r="W339" s="274"/>
      <c r="X339" s="274"/>
      <c r="Y339" s="274"/>
      <c r="Z339" s="274"/>
      <c r="AA339" s="274"/>
      <c r="AB339" s="274"/>
      <c r="AC339" s="274"/>
      <c r="AD339" s="274"/>
      <c r="AE339" s="274"/>
      <c r="AF339" s="274"/>
      <c r="AG339" s="274"/>
      <c r="AH339" s="274"/>
      <c r="AI339" s="274"/>
      <c r="AJ339" s="274"/>
      <c r="AK339" s="274"/>
    </row>
    <row r="340" spans="2:37" ht="13.2">
      <c r="B340" s="273"/>
      <c r="C340" s="273"/>
      <c r="D340" s="274"/>
      <c r="E340" s="274"/>
      <c r="F340" s="274"/>
      <c r="G340" s="274"/>
      <c r="H340" s="274"/>
      <c r="I340" s="274"/>
      <c r="J340" s="274"/>
      <c r="K340" s="274"/>
      <c r="L340" s="274"/>
      <c r="M340" s="274"/>
      <c r="N340" s="274"/>
      <c r="O340" s="274"/>
      <c r="P340" s="274"/>
      <c r="Q340" s="274"/>
      <c r="R340" s="274"/>
      <c r="S340" s="274"/>
      <c r="T340" s="274"/>
      <c r="U340" s="274"/>
      <c r="V340" s="274"/>
      <c r="W340" s="274"/>
      <c r="X340" s="274"/>
      <c r="Y340" s="274"/>
      <c r="Z340" s="274"/>
      <c r="AA340" s="274"/>
      <c r="AB340" s="274"/>
      <c r="AC340" s="274"/>
      <c r="AD340" s="274"/>
      <c r="AE340" s="274"/>
      <c r="AF340" s="274"/>
      <c r="AG340" s="274"/>
      <c r="AH340" s="274"/>
      <c r="AI340" s="274"/>
      <c r="AJ340" s="274"/>
      <c r="AK340" s="274"/>
    </row>
    <row r="341" spans="2:37" ht="13.2">
      <c r="B341" s="273"/>
      <c r="C341" s="273"/>
      <c r="D341" s="274"/>
      <c r="E341" s="274"/>
      <c r="F341" s="274"/>
      <c r="G341" s="274"/>
      <c r="H341" s="274"/>
      <c r="I341" s="274"/>
      <c r="J341" s="274"/>
      <c r="K341" s="274"/>
      <c r="L341" s="274"/>
      <c r="M341" s="274"/>
      <c r="N341" s="274"/>
      <c r="O341" s="274"/>
      <c r="P341" s="274"/>
      <c r="Q341" s="274"/>
      <c r="R341" s="274"/>
      <c r="S341" s="274"/>
      <c r="T341" s="274"/>
      <c r="U341" s="274"/>
      <c r="V341" s="274"/>
      <c r="W341" s="274"/>
      <c r="X341" s="274"/>
      <c r="Y341" s="274"/>
      <c r="Z341" s="274"/>
      <c r="AA341" s="274"/>
      <c r="AB341" s="274"/>
      <c r="AC341" s="274"/>
      <c r="AD341" s="274"/>
      <c r="AE341" s="274"/>
      <c r="AF341" s="274"/>
      <c r="AG341" s="274"/>
      <c r="AH341" s="274"/>
      <c r="AI341" s="274"/>
      <c r="AJ341" s="274"/>
      <c r="AK341" s="274"/>
    </row>
    <row r="342" spans="2:37" ht="13.2">
      <c r="B342" s="273"/>
      <c r="C342" s="273"/>
      <c r="D342" s="274"/>
      <c r="E342" s="274"/>
      <c r="F342" s="274"/>
      <c r="G342" s="274"/>
      <c r="H342" s="274"/>
      <c r="I342" s="274"/>
      <c r="J342" s="274"/>
      <c r="K342" s="274"/>
      <c r="L342" s="274"/>
      <c r="M342" s="274"/>
      <c r="N342" s="274"/>
      <c r="O342" s="274"/>
      <c r="P342" s="274"/>
      <c r="Q342" s="274"/>
      <c r="R342" s="274"/>
      <c r="S342" s="274"/>
      <c r="T342" s="274"/>
      <c r="U342" s="274"/>
      <c r="V342" s="274"/>
      <c r="W342" s="274"/>
      <c r="X342" s="274"/>
      <c r="Y342" s="274"/>
      <c r="Z342" s="274"/>
      <c r="AA342" s="274"/>
      <c r="AB342" s="274"/>
      <c r="AC342" s="274"/>
      <c r="AD342" s="274"/>
      <c r="AE342" s="274"/>
      <c r="AF342" s="274"/>
      <c r="AG342" s="274"/>
      <c r="AH342" s="274"/>
      <c r="AI342" s="274"/>
      <c r="AJ342" s="274"/>
      <c r="AK342" s="274"/>
    </row>
    <row r="343" spans="2:37" ht="13.2">
      <c r="B343" s="273"/>
      <c r="C343" s="273"/>
      <c r="D343" s="274"/>
      <c r="E343" s="274"/>
      <c r="F343" s="274"/>
      <c r="G343" s="274"/>
      <c r="H343" s="274"/>
      <c r="I343" s="274"/>
      <c r="J343" s="274"/>
      <c r="K343" s="274"/>
      <c r="L343" s="274"/>
      <c r="M343" s="274"/>
      <c r="N343" s="274"/>
      <c r="O343" s="274"/>
      <c r="P343" s="274"/>
      <c r="Q343" s="274"/>
      <c r="R343" s="274"/>
      <c r="S343" s="274"/>
      <c r="T343" s="274"/>
      <c r="U343" s="274"/>
      <c r="V343" s="274"/>
      <c r="W343" s="274"/>
      <c r="X343" s="274"/>
      <c r="Y343" s="274"/>
      <c r="Z343" s="274"/>
      <c r="AA343" s="274"/>
      <c r="AB343" s="274"/>
      <c r="AC343" s="274"/>
      <c r="AD343" s="274"/>
      <c r="AE343" s="274"/>
      <c r="AF343" s="274"/>
      <c r="AG343" s="274"/>
      <c r="AH343" s="274"/>
      <c r="AI343" s="274"/>
      <c r="AJ343" s="274"/>
      <c r="AK343" s="274"/>
    </row>
    <row r="344" spans="2:37" ht="13.2">
      <c r="B344" s="273"/>
      <c r="C344" s="273"/>
      <c r="D344" s="274"/>
      <c r="E344" s="274"/>
      <c r="F344" s="274"/>
      <c r="G344" s="274"/>
      <c r="H344" s="274"/>
      <c r="I344" s="274"/>
      <c r="J344" s="274"/>
      <c r="K344" s="274"/>
      <c r="L344" s="274"/>
      <c r="M344" s="274"/>
      <c r="N344" s="274"/>
      <c r="O344" s="274"/>
      <c r="P344" s="274"/>
      <c r="Q344" s="274"/>
      <c r="R344" s="274"/>
      <c r="S344" s="274"/>
      <c r="T344" s="274"/>
      <c r="U344" s="274"/>
      <c r="V344" s="274"/>
      <c r="W344" s="274"/>
      <c r="X344" s="274"/>
      <c r="Y344" s="274"/>
      <c r="Z344" s="274"/>
      <c r="AA344" s="274"/>
      <c r="AB344" s="274"/>
      <c r="AC344" s="274"/>
      <c r="AD344" s="274"/>
      <c r="AE344" s="274"/>
      <c r="AF344" s="274"/>
      <c r="AG344" s="274"/>
      <c r="AH344" s="274"/>
      <c r="AI344" s="274"/>
      <c r="AJ344" s="274"/>
      <c r="AK344" s="274"/>
    </row>
    <row r="345" spans="2:37" ht="13.2">
      <c r="B345" s="273"/>
      <c r="C345" s="273"/>
      <c r="D345" s="274"/>
      <c r="E345" s="274"/>
      <c r="F345" s="274"/>
      <c r="G345" s="274"/>
      <c r="H345" s="274"/>
      <c r="I345" s="274"/>
      <c r="J345" s="274"/>
      <c r="K345" s="274"/>
      <c r="L345" s="274"/>
      <c r="M345" s="274"/>
      <c r="N345" s="274"/>
      <c r="O345" s="274"/>
      <c r="P345" s="274"/>
      <c r="Q345" s="274"/>
      <c r="R345" s="274"/>
      <c r="S345" s="274"/>
      <c r="T345" s="274"/>
      <c r="U345" s="274"/>
      <c r="V345" s="274"/>
      <c r="W345" s="274"/>
      <c r="X345" s="274"/>
      <c r="Y345" s="274"/>
      <c r="Z345" s="274"/>
      <c r="AA345" s="274"/>
      <c r="AB345" s="274"/>
      <c r="AC345" s="274"/>
      <c r="AD345" s="274"/>
      <c r="AE345" s="274"/>
      <c r="AF345" s="274"/>
      <c r="AG345" s="274"/>
      <c r="AH345" s="274"/>
      <c r="AI345" s="274"/>
      <c r="AJ345" s="274"/>
      <c r="AK345" s="274"/>
    </row>
    <row r="346" spans="2:37" ht="13.2">
      <c r="B346" s="273"/>
      <c r="C346" s="273"/>
      <c r="D346" s="274"/>
      <c r="E346" s="274"/>
      <c r="F346" s="274"/>
      <c r="G346" s="274"/>
      <c r="H346" s="274"/>
      <c r="I346" s="274"/>
      <c r="J346" s="274"/>
      <c r="K346" s="274"/>
      <c r="L346" s="274"/>
      <c r="M346" s="274"/>
      <c r="N346" s="274"/>
      <c r="O346" s="274"/>
      <c r="P346" s="274"/>
      <c r="Q346" s="274"/>
      <c r="R346" s="274"/>
      <c r="S346" s="274"/>
      <c r="T346" s="274"/>
      <c r="U346" s="274"/>
      <c r="V346" s="274"/>
      <c r="W346" s="274"/>
      <c r="X346" s="274"/>
      <c r="Y346" s="274"/>
      <c r="Z346" s="274"/>
      <c r="AA346" s="274"/>
      <c r="AB346" s="274"/>
      <c r="AC346" s="274"/>
      <c r="AD346" s="274"/>
      <c r="AE346" s="274"/>
      <c r="AF346" s="274"/>
      <c r="AG346" s="274"/>
      <c r="AH346" s="274"/>
      <c r="AI346" s="274"/>
      <c r="AJ346" s="274"/>
      <c r="AK346" s="274"/>
    </row>
    <row r="347" spans="2:37" ht="13.2">
      <c r="B347" s="273"/>
      <c r="C347" s="273"/>
      <c r="D347" s="274"/>
      <c r="E347" s="274"/>
      <c r="F347" s="274"/>
      <c r="G347" s="274"/>
      <c r="H347" s="274"/>
      <c r="I347" s="274"/>
      <c r="J347" s="274"/>
      <c r="K347" s="274"/>
      <c r="L347" s="274"/>
      <c r="M347" s="274"/>
      <c r="N347" s="274"/>
      <c r="O347" s="274"/>
      <c r="P347" s="274"/>
      <c r="Q347" s="274"/>
      <c r="R347" s="274"/>
      <c r="S347" s="274"/>
      <c r="T347" s="274"/>
      <c r="U347" s="274"/>
      <c r="V347" s="274"/>
      <c r="W347" s="274"/>
      <c r="X347" s="274"/>
      <c r="Y347" s="274"/>
      <c r="Z347" s="274"/>
      <c r="AA347" s="274"/>
      <c r="AB347" s="274"/>
      <c r="AC347" s="274"/>
      <c r="AD347" s="274"/>
      <c r="AE347" s="274"/>
      <c r="AF347" s="274"/>
      <c r="AG347" s="274"/>
      <c r="AH347" s="274"/>
      <c r="AI347" s="274"/>
      <c r="AJ347" s="274"/>
      <c r="AK347" s="274"/>
    </row>
    <row r="348" spans="2:37" ht="13.2">
      <c r="B348" s="273"/>
      <c r="C348" s="273"/>
      <c r="D348" s="274"/>
      <c r="E348" s="274"/>
      <c r="F348" s="274"/>
      <c r="G348" s="274"/>
      <c r="H348" s="274"/>
      <c r="I348" s="274"/>
      <c r="J348" s="274"/>
      <c r="K348" s="274"/>
      <c r="L348" s="274"/>
      <c r="M348" s="274"/>
      <c r="N348" s="274"/>
      <c r="O348" s="274"/>
      <c r="P348" s="274"/>
      <c r="Q348" s="274"/>
      <c r="R348" s="274"/>
      <c r="S348" s="274"/>
      <c r="T348" s="274"/>
      <c r="U348" s="274"/>
      <c r="V348" s="274"/>
      <c r="W348" s="274"/>
      <c r="X348" s="274"/>
      <c r="Y348" s="274"/>
      <c r="Z348" s="274"/>
      <c r="AA348" s="274"/>
      <c r="AB348" s="274"/>
      <c r="AC348" s="274"/>
      <c r="AD348" s="274"/>
      <c r="AE348" s="274"/>
      <c r="AF348" s="274"/>
      <c r="AG348" s="274"/>
      <c r="AH348" s="274"/>
      <c r="AI348" s="274"/>
      <c r="AJ348" s="274"/>
      <c r="AK348" s="274"/>
    </row>
    <row r="349" spans="2:37" ht="13.2">
      <c r="B349" s="273"/>
      <c r="C349" s="273"/>
      <c r="D349" s="274"/>
      <c r="E349" s="274"/>
      <c r="F349" s="274"/>
      <c r="G349" s="274"/>
      <c r="H349" s="274"/>
      <c r="I349" s="274"/>
      <c r="J349" s="274"/>
      <c r="K349" s="274"/>
      <c r="L349" s="274"/>
      <c r="M349" s="274"/>
      <c r="N349" s="274"/>
      <c r="O349" s="274"/>
      <c r="P349" s="274"/>
      <c r="Q349" s="274"/>
      <c r="R349" s="274"/>
      <c r="S349" s="274"/>
      <c r="T349" s="274"/>
      <c r="U349" s="274"/>
      <c r="V349" s="274"/>
      <c r="W349" s="274"/>
      <c r="X349" s="274"/>
      <c r="Y349" s="274"/>
      <c r="Z349" s="274"/>
      <c r="AA349" s="274"/>
      <c r="AB349" s="274"/>
      <c r="AC349" s="274"/>
      <c r="AD349" s="274"/>
      <c r="AE349" s="274"/>
      <c r="AF349" s="274"/>
      <c r="AG349" s="274"/>
      <c r="AH349" s="274"/>
      <c r="AI349" s="274"/>
      <c r="AJ349" s="274"/>
      <c r="AK349" s="274"/>
    </row>
    <row r="350" spans="2:37" ht="13.2">
      <c r="B350" s="273"/>
      <c r="C350" s="273"/>
      <c r="D350" s="274"/>
      <c r="E350" s="274"/>
      <c r="F350" s="274"/>
      <c r="G350" s="274"/>
      <c r="H350" s="274"/>
      <c r="I350" s="274"/>
      <c r="J350" s="274"/>
      <c r="K350" s="274"/>
      <c r="L350" s="274"/>
      <c r="M350" s="274"/>
      <c r="N350" s="274"/>
      <c r="O350" s="274"/>
      <c r="P350" s="274"/>
      <c r="Q350" s="274"/>
      <c r="R350" s="274"/>
      <c r="S350" s="274"/>
      <c r="T350" s="274"/>
      <c r="U350" s="274"/>
      <c r="V350" s="274"/>
      <c r="W350" s="274"/>
      <c r="X350" s="274"/>
      <c r="Y350" s="274"/>
      <c r="Z350" s="274"/>
      <c r="AA350" s="274"/>
      <c r="AB350" s="274"/>
      <c r="AC350" s="274"/>
      <c r="AD350" s="274"/>
      <c r="AE350" s="274"/>
      <c r="AF350" s="274"/>
      <c r="AG350" s="274"/>
      <c r="AH350" s="274"/>
      <c r="AI350" s="274"/>
      <c r="AJ350" s="274"/>
      <c r="AK350" s="274"/>
    </row>
    <row r="351" spans="2:37" ht="13.2">
      <c r="B351" s="273"/>
      <c r="C351" s="273"/>
      <c r="D351" s="274"/>
      <c r="E351" s="274"/>
      <c r="F351" s="274"/>
      <c r="G351" s="274"/>
      <c r="H351" s="274"/>
      <c r="I351" s="274"/>
      <c r="J351" s="274"/>
      <c r="K351" s="274"/>
      <c r="L351" s="274"/>
      <c r="M351" s="274"/>
      <c r="N351" s="274"/>
      <c r="O351" s="274"/>
      <c r="P351" s="274"/>
      <c r="Q351" s="274"/>
      <c r="R351" s="274"/>
      <c r="S351" s="274"/>
      <c r="T351" s="274"/>
      <c r="U351" s="274"/>
      <c r="V351" s="274"/>
      <c r="W351" s="274"/>
      <c r="X351" s="274"/>
      <c r="Y351" s="274"/>
      <c r="Z351" s="274"/>
      <c r="AA351" s="274"/>
      <c r="AB351" s="274"/>
      <c r="AC351" s="274"/>
      <c r="AD351" s="274"/>
      <c r="AE351" s="274"/>
      <c r="AF351" s="274"/>
      <c r="AG351" s="274"/>
      <c r="AH351" s="274"/>
      <c r="AI351" s="274"/>
      <c r="AJ351" s="274"/>
      <c r="AK351" s="274"/>
    </row>
    <row r="352" spans="2:37" ht="13.2">
      <c r="B352" s="273"/>
      <c r="C352" s="273"/>
      <c r="D352" s="274"/>
      <c r="E352" s="274"/>
      <c r="F352" s="274"/>
      <c r="G352" s="274"/>
      <c r="H352" s="274"/>
      <c r="I352" s="274"/>
      <c r="J352" s="274"/>
      <c r="K352" s="274"/>
      <c r="L352" s="274"/>
      <c r="M352" s="274"/>
      <c r="N352" s="274"/>
      <c r="O352" s="274"/>
      <c r="P352" s="274"/>
      <c r="Q352" s="274"/>
      <c r="R352" s="274"/>
      <c r="S352" s="274"/>
      <c r="T352" s="274"/>
      <c r="U352" s="274"/>
      <c r="V352" s="274"/>
      <c r="W352" s="274"/>
      <c r="X352" s="274"/>
      <c r="Y352" s="274"/>
      <c r="Z352" s="274"/>
      <c r="AA352" s="274"/>
      <c r="AB352" s="274"/>
      <c r="AC352" s="274"/>
      <c r="AD352" s="274"/>
      <c r="AE352" s="274"/>
      <c r="AF352" s="274"/>
      <c r="AG352" s="274"/>
      <c r="AH352" s="274"/>
      <c r="AI352" s="274"/>
      <c r="AJ352" s="274"/>
      <c r="AK352" s="274"/>
    </row>
    <row r="353" spans="2:37" ht="13.2">
      <c r="B353" s="273"/>
      <c r="C353" s="273"/>
      <c r="D353" s="274"/>
      <c r="E353" s="274"/>
      <c r="F353" s="274"/>
      <c r="G353" s="274"/>
      <c r="H353" s="274"/>
      <c r="I353" s="274"/>
      <c r="J353" s="274"/>
      <c r="K353" s="274"/>
      <c r="L353" s="274"/>
      <c r="M353" s="274"/>
      <c r="N353" s="274"/>
      <c r="O353" s="274"/>
      <c r="P353" s="274"/>
      <c r="Q353" s="274"/>
      <c r="R353" s="274"/>
      <c r="S353" s="274"/>
      <c r="T353" s="274"/>
      <c r="U353" s="274"/>
      <c r="V353" s="274"/>
      <c r="W353" s="274"/>
      <c r="X353" s="274"/>
      <c r="Y353" s="274"/>
      <c r="Z353" s="274"/>
      <c r="AA353" s="274"/>
      <c r="AB353" s="274"/>
      <c r="AC353" s="274"/>
      <c r="AD353" s="274"/>
      <c r="AE353" s="274"/>
      <c r="AF353" s="274"/>
      <c r="AG353" s="274"/>
      <c r="AH353" s="274"/>
      <c r="AI353" s="274"/>
      <c r="AJ353" s="274"/>
      <c r="AK353" s="274"/>
    </row>
    <row r="354" spans="2:37" ht="13.2">
      <c r="B354" s="273"/>
      <c r="C354" s="273"/>
      <c r="D354" s="274"/>
      <c r="E354" s="274"/>
      <c r="F354" s="274"/>
      <c r="G354" s="274"/>
      <c r="H354" s="274"/>
      <c r="I354" s="274"/>
      <c r="J354" s="274"/>
      <c r="K354" s="274"/>
      <c r="L354" s="274"/>
      <c r="M354" s="274"/>
      <c r="N354" s="274"/>
      <c r="O354" s="274"/>
      <c r="P354" s="274"/>
      <c r="Q354" s="274"/>
      <c r="R354" s="274"/>
      <c r="S354" s="274"/>
      <c r="T354" s="274"/>
      <c r="U354" s="274"/>
      <c r="V354" s="274"/>
      <c r="W354" s="274"/>
      <c r="X354" s="274"/>
      <c r="Y354" s="274"/>
      <c r="Z354" s="274"/>
      <c r="AA354" s="274"/>
      <c r="AB354" s="274"/>
      <c r="AC354" s="274"/>
      <c r="AD354" s="274"/>
      <c r="AE354" s="274"/>
      <c r="AF354" s="274"/>
      <c r="AG354" s="274"/>
      <c r="AH354" s="274"/>
      <c r="AI354" s="274"/>
      <c r="AJ354" s="274"/>
      <c r="AK354" s="274"/>
    </row>
    <row r="355" spans="2:37" ht="13.2">
      <c r="B355" s="273"/>
      <c r="C355" s="273"/>
      <c r="D355" s="274"/>
      <c r="E355" s="274"/>
      <c r="F355" s="274"/>
      <c r="G355" s="274"/>
      <c r="H355" s="274"/>
      <c r="I355" s="274"/>
      <c r="J355" s="274"/>
      <c r="K355" s="274"/>
      <c r="L355" s="274"/>
      <c r="M355" s="274"/>
      <c r="N355" s="274"/>
      <c r="O355" s="274"/>
      <c r="P355" s="274"/>
      <c r="Q355" s="274"/>
      <c r="R355" s="274"/>
      <c r="S355" s="274"/>
      <c r="T355" s="274"/>
      <c r="U355" s="274"/>
      <c r="V355" s="274"/>
      <c r="W355" s="274"/>
      <c r="X355" s="274"/>
      <c r="Y355" s="274"/>
      <c r="Z355" s="274"/>
      <c r="AA355" s="274"/>
      <c r="AB355" s="274"/>
      <c r="AC355" s="274"/>
      <c r="AD355" s="274"/>
      <c r="AE355" s="274"/>
      <c r="AF355" s="274"/>
      <c r="AG355" s="274"/>
      <c r="AH355" s="274"/>
      <c r="AI355" s="274"/>
      <c r="AJ355" s="274"/>
      <c r="AK355" s="274"/>
    </row>
    <row r="356" spans="2:37" ht="13.2">
      <c r="B356" s="273"/>
      <c r="C356" s="273"/>
      <c r="D356" s="274"/>
      <c r="E356" s="274"/>
      <c r="F356" s="274"/>
      <c r="G356" s="274"/>
      <c r="H356" s="274"/>
      <c r="I356" s="274"/>
      <c r="J356" s="274"/>
      <c r="K356" s="274"/>
      <c r="L356" s="274"/>
      <c r="M356" s="274"/>
      <c r="N356" s="274"/>
      <c r="O356" s="274"/>
      <c r="P356" s="274"/>
      <c r="Q356" s="274"/>
      <c r="R356" s="274"/>
      <c r="S356" s="274"/>
      <c r="T356" s="274"/>
      <c r="U356" s="274"/>
      <c r="V356" s="274"/>
      <c r="W356" s="274"/>
      <c r="X356" s="274"/>
      <c r="Y356" s="274"/>
      <c r="Z356" s="274"/>
      <c r="AA356" s="274"/>
      <c r="AB356" s="274"/>
      <c r="AC356" s="274"/>
      <c r="AD356" s="274"/>
      <c r="AE356" s="274"/>
      <c r="AF356" s="274"/>
      <c r="AG356" s="274"/>
      <c r="AH356" s="274"/>
      <c r="AI356" s="274"/>
      <c r="AJ356" s="274"/>
      <c r="AK356" s="274"/>
    </row>
    <row r="357" spans="2:37" ht="13.2">
      <c r="B357" s="273"/>
      <c r="C357" s="273"/>
      <c r="D357" s="274"/>
      <c r="E357" s="274"/>
      <c r="F357" s="274"/>
      <c r="G357" s="274"/>
      <c r="H357" s="274"/>
      <c r="I357" s="274"/>
      <c r="J357" s="274"/>
      <c r="K357" s="274"/>
      <c r="L357" s="274"/>
      <c r="M357" s="274"/>
      <c r="N357" s="274"/>
      <c r="O357" s="274"/>
      <c r="P357" s="274"/>
      <c r="Q357" s="274"/>
      <c r="R357" s="274"/>
      <c r="S357" s="274"/>
      <c r="T357" s="274"/>
      <c r="U357" s="274"/>
      <c r="V357" s="274"/>
      <c r="W357" s="274"/>
      <c r="X357" s="274"/>
      <c r="Y357" s="274"/>
      <c r="Z357" s="274"/>
      <c r="AA357" s="274"/>
      <c r="AB357" s="274"/>
      <c r="AC357" s="274"/>
      <c r="AD357" s="274"/>
      <c r="AE357" s="274"/>
      <c r="AF357" s="274"/>
      <c r="AG357" s="274"/>
      <c r="AH357" s="274"/>
      <c r="AI357" s="274"/>
      <c r="AJ357" s="274"/>
      <c r="AK357" s="274"/>
    </row>
    <row r="358" spans="2:37" ht="13.2">
      <c r="B358" s="273"/>
      <c r="C358" s="273"/>
      <c r="D358" s="274"/>
      <c r="E358" s="274"/>
      <c r="F358" s="274"/>
      <c r="G358" s="274"/>
      <c r="H358" s="274"/>
      <c r="I358" s="274"/>
      <c r="J358" s="274"/>
      <c r="K358" s="274"/>
      <c r="L358" s="274"/>
      <c r="M358" s="274"/>
      <c r="N358" s="274"/>
      <c r="O358" s="274"/>
      <c r="P358" s="274"/>
      <c r="Q358" s="274"/>
      <c r="R358" s="274"/>
      <c r="S358" s="274"/>
      <c r="T358" s="274"/>
      <c r="U358" s="274"/>
      <c r="V358" s="274"/>
      <c r="W358" s="274"/>
      <c r="X358" s="274"/>
      <c r="Y358" s="274"/>
      <c r="Z358" s="274"/>
      <c r="AA358" s="274"/>
      <c r="AB358" s="274"/>
      <c r="AC358" s="274"/>
      <c r="AD358" s="274"/>
      <c r="AE358" s="274"/>
      <c r="AF358" s="274"/>
      <c r="AG358" s="274"/>
      <c r="AH358" s="274"/>
      <c r="AI358" s="274"/>
      <c r="AJ358" s="274"/>
      <c r="AK358" s="274"/>
    </row>
    <row r="359" spans="2:37" ht="13.2">
      <c r="B359" s="273"/>
      <c r="C359" s="273"/>
      <c r="D359" s="274"/>
      <c r="E359" s="274"/>
      <c r="F359" s="274"/>
      <c r="G359" s="274"/>
      <c r="H359" s="274"/>
      <c r="I359" s="274"/>
      <c r="J359" s="274"/>
      <c r="K359" s="274"/>
      <c r="L359" s="274"/>
      <c r="M359" s="274"/>
      <c r="N359" s="274"/>
      <c r="O359" s="274"/>
      <c r="P359" s="274"/>
      <c r="Q359" s="274"/>
      <c r="R359" s="274"/>
      <c r="S359" s="274"/>
      <c r="T359" s="274"/>
      <c r="U359" s="274"/>
      <c r="V359" s="274"/>
      <c r="W359" s="274"/>
      <c r="X359" s="274"/>
      <c r="Y359" s="274"/>
      <c r="Z359" s="274"/>
      <c r="AA359" s="274"/>
      <c r="AB359" s="274"/>
      <c r="AC359" s="274"/>
      <c r="AD359" s="274"/>
      <c r="AE359" s="274"/>
      <c r="AF359" s="274"/>
      <c r="AG359" s="274"/>
      <c r="AH359" s="274"/>
      <c r="AI359" s="274"/>
      <c r="AJ359" s="274"/>
      <c r="AK359" s="274"/>
    </row>
    <row r="360" spans="2:37" ht="13.2">
      <c r="B360" s="273"/>
      <c r="C360" s="273"/>
      <c r="D360" s="274"/>
      <c r="E360" s="274"/>
      <c r="F360" s="274"/>
      <c r="G360" s="274"/>
      <c r="H360" s="274"/>
      <c r="I360" s="274"/>
      <c r="J360" s="274"/>
      <c r="K360" s="274"/>
      <c r="L360" s="274"/>
      <c r="M360" s="274"/>
      <c r="N360" s="274"/>
      <c r="O360" s="274"/>
      <c r="P360" s="274"/>
      <c r="Q360" s="274"/>
      <c r="R360" s="274"/>
      <c r="S360" s="274"/>
      <c r="T360" s="274"/>
      <c r="U360" s="274"/>
      <c r="V360" s="274"/>
      <c r="W360" s="274"/>
      <c r="X360" s="274"/>
      <c r="Y360" s="274"/>
      <c r="Z360" s="274"/>
      <c r="AA360" s="274"/>
      <c r="AB360" s="274"/>
      <c r="AC360" s="274"/>
      <c r="AD360" s="274"/>
      <c r="AE360" s="274"/>
      <c r="AF360" s="274"/>
      <c r="AG360" s="274"/>
      <c r="AH360" s="274"/>
      <c r="AI360" s="274"/>
      <c r="AJ360" s="274"/>
      <c r="AK360" s="274"/>
    </row>
    <row r="361" spans="2:37" ht="13.2">
      <c r="B361" s="273"/>
      <c r="C361" s="273"/>
      <c r="D361" s="274"/>
      <c r="E361" s="274"/>
      <c r="F361" s="274"/>
      <c r="G361" s="274"/>
      <c r="H361" s="274"/>
      <c r="I361" s="274"/>
      <c r="J361" s="274"/>
      <c r="K361" s="274"/>
      <c r="L361" s="274"/>
      <c r="M361" s="274"/>
      <c r="N361" s="274"/>
      <c r="O361" s="274"/>
      <c r="P361" s="274"/>
      <c r="Q361" s="274"/>
      <c r="R361" s="274"/>
      <c r="S361" s="274"/>
      <c r="T361" s="274"/>
      <c r="U361" s="274"/>
      <c r="V361" s="274"/>
      <c r="W361" s="274"/>
      <c r="X361" s="274"/>
      <c r="Y361" s="274"/>
      <c r="Z361" s="274"/>
      <c r="AA361" s="274"/>
      <c r="AB361" s="274"/>
      <c r="AC361" s="274"/>
      <c r="AD361" s="274"/>
      <c r="AE361" s="274"/>
      <c r="AF361" s="274"/>
      <c r="AG361" s="274"/>
      <c r="AH361" s="274"/>
      <c r="AI361" s="274"/>
      <c r="AJ361" s="274"/>
      <c r="AK361" s="274"/>
    </row>
    <row r="362" spans="2:37" ht="13.2">
      <c r="B362" s="273"/>
      <c r="C362" s="273"/>
      <c r="D362" s="274"/>
      <c r="E362" s="274"/>
      <c r="F362" s="274"/>
      <c r="G362" s="274"/>
      <c r="H362" s="274"/>
      <c r="I362" s="274"/>
      <c r="J362" s="274"/>
      <c r="K362" s="274"/>
      <c r="L362" s="274"/>
      <c r="M362" s="274"/>
      <c r="N362" s="274"/>
      <c r="O362" s="274"/>
      <c r="P362" s="274"/>
      <c r="Q362" s="274"/>
      <c r="R362" s="274"/>
      <c r="S362" s="274"/>
      <c r="T362" s="274"/>
      <c r="U362" s="274"/>
      <c r="V362" s="274"/>
      <c r="W362" s="274"/>
      <c r="X362" s="274"/>
      <c r="Y362" s="274"/>
      <c r="Z362" s="274"/>
      <c r="AA362" s="274"/>
      <c r="AB362" s="274"/>
      <c r="AC362" s="274"/>
      <c r="AD362" s="274"/>
      <c r="AE362" s="274"/>
      <c r="AF362" s="274"/>
      <c r="AG362" s="274"/>
      <c r="AH362" s="274"/>
      <c r="AI362" s="274"/>
      <c r="AJ362" s="274"/>
      <c r="AK362" s="274"/>
    </row>
    <row r="363" spans="2:37" ht="13.2">
      <c r="B363" s="273"/>
      <c r="C363" s="273"/>
      <c r="D363" s="274"/>
      <c r="E363" s="274"/>
      <c r="F363" s="274"/>
      <c r="G363" s="274"/>
      <c r="H363" s="274"/>
      <c r="I363" s="274"/>
      <c r="J363" s="274"/>
      <c r="K363" s="274"/>
      <c r="L363" s="274"/>
      <c r="M363" s="274"/>
      <c r="N363" s="274"/>
      <c r="O363" s="274"/>
      <c r="P363" s="274"/>
      <c r="Q363" s="274"/>
      <c r="R363" s="274"/>
      <c r="S363" s="274"/>
      <c r="T363" s="274"/>
      <c r="U363" s="274"/>
      <c r="V363" s="274"/>
      <c r="W363" s="274"/>
      <c r="X363" s="274"/>
      <c r="Y363" s="274"/>
      <c r="Z363" s="274"/>
      <c r="AA363" s="274"/>
      <c r="AB363" s="274"/>
      <c r="AC363" s="274"/>
      <c r="AD363" s="274"/>
      <c r="AE363" s="274"/>
      <c r="AF363" s="274"/>
      <c r="AG363" s="274"/>
      <c r="AH363" s="274"/>
      <c r="AI363" s="274"/>
      <c r="AJ363" s="274"/>
      <c r="AK363" s="274"/>
    </row>
    <row r="364" spans="2:37" ht="13.2">
      <c r="B364" s="273"/>
      <c r="C364" s="273"/>
      <c r="D364" s="274"/>
      <c r="E364" s="274"/>
      <c r="F364" s="274"/>
      <c r="G364" s="274"/>
      <c r="H364" s="274"/>
      <c r="I364" s="274"/>
      <c r="J364" s="274"/>
      <c r="K364" s="274"/>
      <c r="L364" s="274"/>
      <c r="M364" s="274"/>
      <c r="N364" s="274"/>
      <c r="O364" s="274"/>
      <c r="P364" s="274"/>
      <c r="Q364" s="274"/>
      <c r="R364" s="274"/>
      <c r="S364" s="274"/>
      <c r="T364" s="274"/>
      <c r="U364" s="274"/>
      <c r="V364" s="274"/>
      <c r="W364" s="274"/>
      <c r="X364" s="274"/>
      <c r="Y364" s="274"/>
      <c r="Z364" s="274"/>
      <c r="AA364" s="274"/>
      <c r="AB364" s="274"/>
      <c r="AC364" s="274"/>
      <c r="AD364" s="274"/>
      <c r="AE364" s="274"/>
      <c r="AF364" s="274"/>
      <c r="AG364" s="274"/>
      <c r="AH364" s="274"/>
      <c r="AI364" s="274"/>
      <c r="AJ364" s="274"/>
      <c r="AK364" s="274"/>
    </row>
    <row r="365" spans="2:37" ht="13.2">
      <c r="B365" s="273"/>
      <c r="C365" s="273"/>
      <c r="D365" s="274"/>
      <c r="E365" s="274"/>
      <c r="F365" s="274"/>
      <c r="G365" s="274"/>
      <c r="H365" s="274"/>
      <c r="I365" s="274"/>
      <c r="J365" s="274"/>
      <c r="K365" s="274"/>
      <c r="L365" s="274"/>
      <c r="M365" s="274"/>
      <c r="N365" s="274"/>
      <c r="O365" s="274"/>
      <c r="P365" s="274"/>
      <c r="Q365" s="274"/>
      <c r="R365" s="274"/>
      <c r="S365" s="274"/>
      <c r="T365" s="274"/>
      <c r="U365" s="274"/>
      <c r="V365" s="274"/>
      <c r="W365" s="274"/>
      <c r="X365" s="274"/>
      <c r="Y365" s="274"/>
      <c r="Z365" s="274"/>
      <c r="AA365" s="274"/>
      <c r="AB365" s="274"/>
      <c r="AC365" s="274"/>
      <c r="AD365" s="274"/>
      <c r="AE365" s="274"/>
      <c r="AF365" s="274"/>
      <c r="AG365" s="274"/>
      <c r="AH365" s="274"/>
      <c r="AI365" s="274"/>
      <c r="AJ365" s="274"/>
      <c r="AK365" s="274"/>
    </row>
    <row r="366" spans="2:37" ht="13.2">
      <c r="B366" s="273"/>
      <c r="C366" s="273"/>
      <c r="D366" s="274"/>
      <c r="E366" s="274"/>
      <c r="F366" s="274"/>
      <c r="G366" s="274"/>
      <c r="H366" s="274"/>
      <c r="I366" s="274"/>
      <c r="J366" s="274"/>
      <c r="K366" s="274"/>
      <c r="L366" s="274"/>
      <c r="M366" s="274"/>
      <c r="N366" s="274"/>
      <c r="O366" s="274"/>
      <c r="P366" s="274"/>
      <c r="Q366" s="274"/>
      <c r="R366" s="274"/>
      <c r="S366" s="274"/>
      <c r="T366" s="274"/>
      <c r="U366" s="274"/>
      <c r="V366" s="274"/>
      <c r="W366" s="274"/>
      <c r="X366" s="274"/>
      <c r="Y366" s="274"/>
      <c r="Z366" s="274"/>
      <c r="AA366" s="274"/>
      <c r="AB366" s="274"/>
      <c r="AC366" s="274"/>
      <c r="AD366" s="274"/>
      <c r="AE366" s="274"/>
      <c r="AF366" s="274"/>
      <c r="AG366" s="274"/>
      <c r="AH366" s="274"/>
      <c r="AI366" s="274"/>
      <c r="AJ366" s="274"/>
      <c r="AK366" s="274"/>
    </row>
    <row r="367" spans="2:37" ht="13.2">
      <c r="B367" s="273"/>
      <c r="C367" s="273"/>
      <c r="D367" s="274"/>
      <c r="E367" s="274"/>
      <c r="F367" s="274"/>
      <c r="G367" s="274"/>
      <c r="H367" s="274"/>
      <c r="I367" s="274"/>
      <c r="J367" s="274"/>
      <c r="K367" s="274"/>
      <c r="L367" s="274"/>
      <c r="M367" s="274"/>
      <c r="N367" s="274"/>
      <c r="O367" s="274"/>
      <c r="P367" s="274"/>
      <c r="Q367" s="274"/>
      <c r="R367" s="274"/>
      <c r="S367" s="274"/>
      <c r="T367" s="274"/>
      <c r="U367" s="274"/>
      <c r="V367" s="274"/>
      <c r="W367" s="274"/>
      <c r="X367" s="274"/>
      <c r="Y367" s="274"/>
      <c r="Z367" s="274"/>
      <c r="AA367" s="274"/>
      <c r="AB367" s="274"/>
      <c r="AC367" s="274"/>
      <c r="AD367" s="274"/>
      <c r="AE367" s="274"/>
      <c r="AF367" s="274"/>
      <c r="AG367" s="274"/>
      <c r="AH367" s="274"/>
      <c r="AI367" s="274"/>
      <c r="AJ367" s="274"/>
      <c r="AK367" s="274"/>
    </row>
    <row r="368" spans="2:37" ht="13.2">
      <c r="B368" s="273"/>
      <c r="C368" s="273"/>
      <c r="D368" s="274"/>
      <c r="E368" s="274"/>
      <c r="F368" s="274"/>
      <c r="G368" s="274"/>
      <c r="H368" s="274"/>
      <c r="I368" s="274"/>
      <c r="J368" s="274"/>
      <c r="K368" s="274"/>
      <c r="L368" s="274"/>
      <c r="M368" s="274"/>
      <c r="N368" s="274"/>
      <c r="O368" s="274"/>
      <c r="P368" s="274"/>
      <c r="Q368" s="274"/>
      <c r="R368" s="274"/>
      <c r="S368" s="274"/>
      <c r="T368" s="274"/>
      <c r="U368" s="274"/>
      <c r="V368" s="274"/>
      <c r="W368" s="274"/>
      <c r="X368" s="274"/>
      <c r="Y368" s="274"/>
      <c r="Z368" s="274"/>
      <c r="AA368" s="274"/>
      <c r="AB368" s="274"/>
      <c r="AC368" s="274"/>
      <c r="AD368" s="274"/>
      <c r="AE368" s="274"/>
      <c r="AF368" s="274"/>
      <c r="AG368" s="274"/>
      <c r="AH368" s="274"/>
      <c r="AI368" s="274"/>
      <c r="AJ368" s="274"/>
      <c r="AK368" s="274"/>
    </row>
    <row r="369" spans="2:37" ht="13.2">
      <c r="B369" s="273"/>
      <c r="C369" s="273"/>
      <c r="D369" s="274"/>
      <c r="E369" s="274"/>
      <c r="F369" s="274"/>
      <c r="G369" s="274"/>
      <c r="H369" s="274"/>
      <c r="I369" s="274"/>
      <c r="J369" s="274"/>
      <c r="K369" s="274"/>
      <c r="L369" s="274"/>
      <c r="M369" s="274"/>
      <c r="N369" s="274"/>
      <c r="O369" s="274"/>
      <c r="P369" s="274"/>
      <c r="Q369" s="274"/>
      <c r="R369" s="274"/>
      <c r="S369" s="274"/>
      <c r="T369" s="274"/>
      <c r="U369" s="274"/>
      <c r="V369" s="274"/>
      <c r="W369" s="274"/>
      <c r="X369" s="274"/>
      <c r="Y369" s="274"/>
      <c r="Z369" s="274"/>
      <c r="AA369" s="274"/>
      <c r="AB369" s="274"/>
      <c r="AC369" s="274"/>
      <c r="AD369" s="274"/>
      <c r="AE369" s="274"/>
      <c r="AF369" s="274"/>
      <c r="AG369" s="274"/>
      <c r="AH369" s="274"/>
      <c r="AI369" s="274"/>
      <c r="AJ369" s="274"/>
      <c r="AK369" s="274"/>
    </row>
    <row r="370" spans="2:37" ht="13.2">
      <c r="B370" s="273"/>
      <c r="C370" s="273"/>
      <c r="D370" s="274"/>
      <c r="E370" s="274"/>
      <c r="F370" s="274"/>
      <c r="G370" s="274"/>
      <c r="H370" s="274"/>
      <c r="I370" s="274"/>
      <c r="J370" s="274"/>
      <c r="K370" s="274"/>
      <c r="L370" s="274"/>
      <c r="M370" s="274"/>
      <c r="N370" s="274"/>
      <c r="O370" s="274"/>
      <c r="P370" s="274"/>
      <c r="Q370" s="274"/>
      <c r="R370" s="274"/>
      <c r="S370" s="274"/>
      <c r="T370" s="274"/>
      <c r="U370" s="274"/>
      <c r="V370" s="274"/>
      <c r="W370" s="274"/>
      <c r="X370" s="274"/>
      <c r="Y370" s="274"/>
      <c r="Z370" s="274"/>
      <c r="AA370" s="274"/>
      <c r="AB370" s="274"/>
      <c r="AC370" s="274"/>
      <c r="AD370" s="274"/>
      <c r="AE370" s="274"/>
      <c r="AF370" s="274"/>
      <c r="AG370" s="274"/>
      <c r="AH370" s="274"/>
      <c r="AI370" s="274"/>
      <c r="AJ370" s="274"/>
      <c r="AK370" s="274"/>
    </row>
    <row r="371" spans="2:37" ht="13.2">
      <c r="B371" s="273"/>
      <c r="C371" s="273"/>
      <c r="D371" s="274"/>
      <c r="E371" s="274"/>
      <c r="F371" s="274"/>
      <c r="G371" s="274"/>
      <c r="H371" s="274"/>
      <c r="I371" s="274"/>
      <c r="J371" s="274"/>
      <c r="K371" s="274"/>
      <c r="L371" s="274"/>
      <c r="M371" s="274"/>
      <c r="N371" s="274"/>
      <c r="O371" s="274"/>
      <c r="P371" s="274"/>
      <c r="Q371" s="274"/>
      <c r="R371" s="274"/>
      <c r="S371" s="274"/>
      <c r="T371" s="274"/>
      <c r="U371" s="274"/>
      <c r="V371" s="274"/>
      <c r="W371" s="274"/>
      <c r="X371" s="274"/>
      <c r="Y371" s="274"/>
      <c r="Z371" s="274"/>
      <c r="AA371" s="274"/>
      <c r="AB371" s="274"/>
      <c r="AC371" s="274"/>
      <c r="AD371" s="274"/>
      <c r="AE371" s="274"/>
      <c r="AF371" s="274"/>
      <c r="AG371" s="274"/>
      <c r="AH371" s="274"/>
      <c r="AI371" s="274"/>
      <c r="AJ371" s="274"/>
      <c r="AK371" s="274"/>
    </row>
    <row r="372" spans="2:37" ht="13.2">
      <c r="B372" s="273"/>
      <c r="C372" s="273"/>
      <c r="D372" s="274"/>
      <c r="E372" s="274"/>
      <c r="F372" s="274"/>
      <c r="G372" s="274"/>
      <c r="H372" s="274"/>
      <c r="I372" s="274"/>
      <c r="J372" s="274"/>
      <c r="K372" s="274"/>
      <c r="L372" s="274"/>
      <c r="M372" s="274"/>
      <c r="N372" s="274"/>
      <c r="O372" s="274"/>
      <c r="P372" s="274"/>
      <c r="Q372" s="274"/>
      <c r="R372" s="274"/>
      <c r="S372" s="274"/>
      <c r="T372" s="274"/>
      <c r="U372" s="274"/>
      <c r="V372" s="274"/>
      <c r="W372" s="274"/>
      <c r="X372" s="274"/>
      <c r="Y372" s="274"/>
      <c r="Z372" s="274"/>
      <c r="AA372" s="274"/>
      <c r="AB372" s="274"/>
      <c r="AC372" s="274"/>
      <c r="AD372" s="274"/>
      <c r="AE372" s="274"/>
      <c r="AF372" s="274"/>
      <c r="AG372" s="274"/>
      <c r="AH372" s="274"/>
      <c r="AI372" s="274"/>
      <c r="AJ372" s="274"/>
      <c r="AK372" s="274"/>
    </row>
    <row r="373" spans="2:37" ht="13.2">
      <c r="B373" s="273"/>
      <c r="C373" s="273"/>
      <c r="D373" s="274"/>
      <c r="E373" s="274"/>
      <c r="F373" s="274"/>
      <c r="G373" s="274"/>
      <c r="H373" s="274"/>
      <c r="I373" s="274"/>
      <c r="J373" s="274"/>
      <c r="K373" s="274"/>
      <c r="L373" s="274"/>
      <c r="M373" s="274"/>
      <c r="N373" s="274"/>
      <c r="O373" s="274"/>
      <c r="P373" s="274"/>
      <c r="Q373" s="274"/>
      <c r="R373" s="274"/>
      <c r="S373" s="274"/>
      <c r="T373" s="274"/>
      <c r="U373" s="274"/>
      <c r="V373" s="274"/>
      <c r="W373" s="274"/>
      <c r="X373" s="274"/>
      <c r="Y373" s="274"/>
      <c r="Z373" s="274"/>
      <c r="AA373" s="274"/>
      <c r="AB373" s="274"/>
      <c r="AC373" s="274"/>
      <c r="AD373" s="274"/>
      <c r="AE373" s="274"/>
      <c r="AF373" s="274"/>
      <c r="AG373" s="274"/>
      <c r="AH373" s="274"/>
      <c r="AI373" s="274"/>
      <c r="AJ373" s="274"/>
      <c r="AK373" s="274"/>
    </row>
    <row r="374" spans="2:37" ht="13.2">
      <c r="B374" s="273"/>
      <c r="C374" s="273"/>
      <c r="D374" s="274"/>
      <c r="E374" s="274"/>
      <c r="F374" s="274"/>
      <c r="G374" s="274"/>
      <c r="H374" s="274"/>
      <c r="I374" s="274"/>
      <c r="J374" s="274"/>
      <c r="K374" s="274"/>
      <c r="L374" s="274"/>
      <c r="M374" s="274"/>
      <c r="N374" s="274"/>
      <c r="O374" s="274"/>
      <c r="P374" s="274"/>
      <c r="Q374" s="274"/>
      <c r="R374" s="274"/>
      <c r="S374" s="274"/>
      <c r="T374" s="274"/>
      <c r="U374" s="274"/>
      <c r="V374" s="274"/>
      <c r="W374" s="274"/>
      <c r="X374" s="274"/>
      <c r="Y374" s="274"/>
      <c r="Z374" s="274"/>
      <c r="AA374" s="274"/>
      <c r="AB374" s="274"/>
      <c r="AC374" s="274"/>
      <c r="AD374" s="274"/>
      <c r="AE374" s="274"/>
      <c r="AF374" s="274"/>
      <c r="AG374" s="274"/>
      <c r="AH374" s="274"/>
      <c r="AI374" s="274"/>
      <c r="AJ374" s="274"/>
      <c r="AK374" s="274"/>
    </row>
    <row r="375" spans="2:37" ht="13.2">
      <c r="B375" s="273"/>
      <c r="C375" s="273"/>
      <c r="D375" s="274"/>
      <c r="E375" s="274"/>
      <c r="F375" s="274"/>
      <c r="G375" s="274"/>
      <c r="H375" s="274"/>
      <c r="I375" s="274"/>
      <c r="J375" s="274"/>
      <c r="K375" s="274"/>
      <c r="L375" s="274"/>
      <c r="M375" s="274"/>
      <c r="N375" s="274"/>
      <c r="O375" s="274"/>
      <c r="P375" s="274"/>
      <c r="Q375" s="274"/>
      <c r="R375" s="274"/>
      <c r="S375" s="274"/>
      <c r="T375" s="274"/>
      <c r="U375" s="274"/>
      <c r="V375" s="274"/>
      <c r="W375" s="274"/>
      <c r="X375" s="274"/>
      <c r="Y375" s="274"/>
      <c r="Z375" s="274"/>
      <c r="AA375" s="274"/>
      <c r="AB375" s="274"/>
      <c r="AC375" s="274"/>
      <c r="AD375" s="274"/>
      <c r="AE375" s="274"/>
      <c r="AF375" s="274"/>
      <c r="AG375" s="274"/>
      <c r="AH375" s="274"/>
      <c r="AI375" s="274"/>
      <c r="AJ375" s="274"/>
      <c r="AK375" s="274"/>
    </row>
    <row r="376" spans="2:37" ht="13.2">
      <c r="B376" s="273"/>
      <c r="C376" s="273"/>
      <c r="D376" s="274"/>
      <c r="E376" s="274"/>
      <c r="F376" s="274"/>
      <c r="G376" s="274"/>
      <c r="H376" s="274"/>
      <c r="I376" s="274"/>
      <c r="J376" s="274"/>
      <c r="K376" s="274"/>
      <c r="L376" s="274"/>
      <c r="M376" s="274"/>
      <c r="N376" s="274"/>
      <c r="O376" s="274"/>
      <c r="P376" s="274"/>
      <c r="Q376" s="274"/>
      <c r="R376" s="274"/>
      <c r="S376" s="274"/>
      <c r="T376" s="274"/>
      <c r="U376" s="274"/>
      <c r="V376" s="274"/>
      <c r="W376" s="274"/>
      <c r="X376" s="274"/>
      <c r="Y376" s="274"/>
      <c r="Z376" s="274"/>
      <c r="AA376" s="274"/>
      <c r="AB376" s="274"/>
      <c r="AC376" s="274"/>
      <c r="AD376" s="274"/>
      <c r="AE376" s="274"/>
      <c r="AF376" s="274"/>
      <c r="AG376" s="274"/>
      <c r="AH376" s="274"/>
      <c r="AI376" s="274"/>
      <c r="AJ376" s="274"/>
      <c r="AK376" s="274"/>
    </row>
    <row r="377" spans="2:37" ht="13.2">
      <c r="B377" s="273"/>
      <c r="C377" s="273"/>
      <c r="D377" s="274"/>
      <c r="E377" s="274"/>
      <c r="F377" s="274"/>
      <c r="G377" s="274"/>
      <c r="H377" s="274"/>
      <c r="I377" s="274"/>
      <c r="J377" s="274"/>
      <c r="K377" s="274"/>
      <c r="L377" s="274"/>
      <c r="M377" s="274"/>
      <c r="N377" s="274"/>
      <c r="O377" s="274"/>
      <c r="P377" s="274"/>
      <c r="Q377" s="274"/>
      <c r="R377" s="274"/>
      <c r="S377" s="274"/>
      <c r="T377" s="274"/>
      <c r="U377" s="274"/>
      <c r="V377" s="274"/>
      <c r="W377" s="274"/>
      <c r="X377" s="274"/>
      <c r="Y377" s="274"/>
      <c r="Z377" s="274"/>
      <c r="AA377" s="274"/>
      <c r="AB377" s="274"/>
      <c r="AC377" s="274"/>
      <c r="AD377" s="274"/>
      <c r="AE377" s="274"/>
      <c r="AF377" s="274"/>
      <c r="AG377" s="274"/>
      <c r="AH377" s="274"/>
      <c r="AI377" s="274"/>
      <c r="AJ377" s="274"/>
      <c r="AK377" s="274"/>
    </row>
    <row r="378" spans="2:37" ht="13.2">
      <c r="B378" s="273"/>
      <c r="C378" s="273"/>
      <c r="D378" s="274"/>
      <c r="E378" s="274"/>
      <c r="F378" s="274"/>
      <c r="G378" s="274"/>
      <c r="H378" s="274"/>
      <c r="I378" s="274"/>
      <c r="J378" s="274"/>
      <c r="K378" s="274"/>
      <c r="L378" s="274"/>
      <c r="M378" s="274"/>
      <c r="N378" s="274"/>
      <c r="O378" s="274"/>
      <c r="P378" s="274"/>
      <c r="Q378" s="274"/>
      <c r="R378" s="274"/>
      <c r="S378" s="274"/>
      <c r="T378" s="274"/>
      <c r="U378" s="274"/>
      <c r="V378" s="274"/>
      <c r="W378" s="274"/>
      <c r="X378" s="274"/>
      <c r="Y378" s="274"/>
      <c r="Z378" s="274"/>
      <c r="AA378" s="274"/>
      <c r="AB378" s="274"/>
      <c r="AC378" s="274"/>
      <c r="AD378" s="274"/>
      <c r="AE378" s="274"/>
      <c r="AF378" s="274"/>
      <c r="AG378" s="274"/>
      <c r="AH378" s="274"/>
      <c r="AI378" s="274"/>
      <c r="AJ378" s="274"/>
      <c r="AK378" s="274"/>
    </row>
    <row r="379" spans="2:37" ht="13.2">
      <c r="B379" s="273"/>
      <c r="C379" s="273"/>
      <c r="D379" s="274"/>
      <c r="E379" s="274"/>
      <c r="F379" s="274"/>
      <c r="G379" s="274"/>
      <c r="H379" s="274"/>
      <c r="I379" s="274"/>
      <c r="J379" s="274"/>
      <c r="K379" s="274"/>
      <c r="L379" s="274"/>
      <c r="M379" s="274"/>
      <c r="N379" s="274"/>
      <c r="O379" s="274"/>
      <c r="P379" s="274"/>
      <c r="Q379" s="274"/>
      <c r="R379" s="274"/>
      <c r="S379" s="274"/>
      <c r="T379" s="274"/>
      <c r="U379" s="274"/>
      <c r="V379" s="274"/>
      <c r="W379" s="274"/>
      <c r="X379" s="274"/>
      <c r="Y379" s="274"/>
      <c r="Z379" s="274"/>
      <c r="AA379" s="274"/>
      <c r="AB379" s="274"/>
      <c r="AC379" s="274"/>
      <c r="AD379" s="274"/>
      <c r="AE379" s="274"/>
      <c r="AF379" s="274"/>
      <c r="AG379" s="274"/>
      <c r="AH379" s="274"/>
      <c r="AI379" s="274"/>
      <c r="AJ379" s="274"/>
      <c r="AK379" s="274"/>
    </row>
    <row r="380" spans="2:37" ht="13.2">
      <c r="B380" s="273"/>
      <c r="C380" s="273"/>
      <c r="D380" s="274"/>
      <c r="E380" s="274"/>
      <c r="F380" s="274"/>
      <c r="G380" s="274"/>
      <c r="H380" s="274"/>
      <c r="I380" s="274"/>
      <c r="J380" s="274"/>
      <c r="K380" s="274"/>
      <c r="L380" s="274"/>
      <c r="M380" s="274"/>
      <c r="N380" s="274"/>
      <c r="O380" s="274"/>
      <c r="P380" s="274"/>
      <c r="Q380" s="274"/>
      <c r="R380" s="274"/>
      <c r="S380" s="274"/>
      <c r="T380" s="274"/>
      <c r="U380" s="274"/>
      <c r="V380" s="274"/>
      <c r="W380" s="274"/>
      <c r="X380" s="274"/>
      <c r="Y380" s="274"/>
      <c r="Z380" s="274"/>
      <c r="AA380" s="274"/>
      <c r="AB380" s="274"/>
      <c r="AC380" s="274"/>
      <c r="AD380" s="274"/>
      <c r="AE380" s="274"/>
      <c r="AF380" s="274"/>
      <c r="AG380" s="274"/>
      <c r="AH380" s="274"/>
      <c r="AI380" s="274"/>
      <c r="AJ380" s="274"/>
      <c r="AK380" s="274"/>
    </row>
    <row r="381" spans="2:37" ht="13.2">
      <c r="B381" s="273"/>
      <c r="C381" s="273"/>
      <c r="D381" s="274"/>
      <c r="E381" s="274"/>
      <c r="F381" s="274"/>
      <c r="G381" s="274"/>
      <c r="H381" s="274"/>
      <c r="I381" s="274"/>
      <c r="J381" s="274"/>
      <c r="K381" s="274"/>
      <c r="L381" s="274"/>
      <c r="M381" s="274"/>
      <c r="N381" s="274"/>
      <c r="O381" s="274"/>
      <c r="P381" s="274"/>
      <c r="Q381" s="274"/>
      <c r="R381" s="274"/>
      <c r="S381" s="274"/>
      <c r="T381" s="274"/>
      <c r="U381" s="274"/>
      <c r="V381" s="274"/>
      <c r="W381" s="274"/>
      <c r="X381" s="274"/>
      <c r="Y381" s="274"/>
      <c r="Z381" s="274"/>
      <c r="AA381" s="274"/>
      <c r="AB381" s="274"/>
      <c r="AC381" s="274"/>
      <c r="AD381" s="274"/>
      <c r="AE381" s="274"/>
      <c r="AF381" s="274"/>
      <c r="AG381" s="274"/>
      <c r="AH381" s="274"/>
      <c r="AI381" s="274"/>
      <c r="AJ381" s="274"/>
      <c r="AK381" s="274"/>
    </row>
    <row r="382" spans="2:37" ht="13.2">
      <c r="B382" s="273"/>
      <c r="C382" s="273"/>
      <c r="D382" s="274"/>
      <c r="E382" s="274"/>
      <c r="F382" s="274"/>
      <c r="G382" s="274"/>
      <c r="H382" s="274"/>
      <c r="I382" s="274"/>
      <c r="J382" s="274"/>
      <c r="K382" s="274"/>
      <c r="L382" s="274"/>
      <c r="M382" s="274"/>
      <c r="N382" s="274"/>
      <c r="O382" s="274"/>
      <c r="P382" s="274"/>
      <c r="Q382" s="274"/>
      <c r="R382" s="274"/>
      <c r="S382" s="274"/>
      <c r="T382" s="274"/>
      <c r="U382" s="274"/>
      <c r="V382" s="274"/>
      <c r="W382" s="274"/>
      <c r="X382" s="274"/>
      <c r="Y382" s="274"/>
      <c r="Z382" s="274"/>
      <c r="AA382" s="274"/>
      <c r="AB382" s="274"/>
      <c r="AC382" s="274"/>
      <c r="AD382" s="274"/>
      <c r="AE382" s="274"/>
      <c r="AF382" s="274"/>
      <c r="AG382" s="274"/>
      <c r="AH382" s="274"/>
      <c r="AI382" s="274"/>
      <c r="AJ382" s="274"/>
      <c r="AK382" s="274"/>
    </row>
    <row r="383" spans="2:37" ht="13.2">
      <c r="B383" s="273"/>
      <c r="C383" s="273"/>
      <c r="D383" s="274"/>
      <c r="E383" s="274"/>
      <c r="F383" s="274"/>
      <c r="G383" s="274"/>
      <c r="H383" s="274"/>
      <c r="I383" s="274"/>
      <c r="J383" s="274"/>
      <c r="K383" s="274"/>
      <c r="L383" s="274"/>
      <c r="M383" s="274"/>
      <c r="N383" s="274"/>
      <c r="O383" s="274"/>
      <c r="P383" s="274"/>
      <c r="Q383" s="274"/>
      <c r="R383" s="274"/>
      <c r="S383" s="274"/>
      <c r="T383" s="274"/>
      <c r="U383" s="274"/>
      <c r="V383" s="274"/>
      <c r="W383" s="274"/>
      <c r="X383" s="274"/>
      <c r="Y383" s="274"/>
      <c r="Z383" s="274"/>
      <c r="AA383" s="274"/>
      <c r="AB383" s="274"/>
      <c r="AC383" s="274"/>
      <c r="AD383" s="274"/>
      <c r="AE383" s="274"/>
      <c r="AF383" s="274"/>
      <c r="AG383" s="274"/>
      <c r="AH383" s="274"/>
      <c r="AI383" s="274"/>
      <c r="AJ383" s="274"/>
      <c r="AK383" s="274"/>
    </row>
    <row r="384" spans="2:37" ht="13.2">
      <c r="B384" s="273"/>
      <c r="C384" s="273"/>
      <c r="D384" s="274"/>
      <c r="E384" s="274"/>
      <c r="F384" s="274"/>
      <c r="G384" s="274"/>
      <c r="H384" s="274"/>
      <c r="I384" s="274"/>
      <c r="J384" s="274"/>
      <c r="K384" s="274"/>
      <c r="L384" s="274"/>
      <c r="M384" s="274"/>
      <c r="N384" s="274"/>
      <c r="O384" s="274"/>
      <c r="P384" s="274"/>
      <c r="Q384" s="274"/>
      <c r="R384" s="274"/>
      <c r="S384" s="274"/>
      <c r="T384" s="274"/>
      <c r="U384" s="274"/>
      <c r="V384" s="274"/>
      <c r="W384" s="274"/>
      <c r="X384" s="274"/>
      <c r="Y384" s="274"/>
      <c r="Z384" s="274"/>
      <c r="AA384" s="274"/>
      <c r="AB384" s="274"/>
      <c r="AC384" s="274"/>
      <c r="AD384" s="274"/>
      <c r="AE384" s="274"/>
      <c r="AF384" s="274"/>
      <c r="AG384" s="274"/>
      <c r="AH384" s="274"/>
      <c r="AI384" s="274"/>
      <c r="AJ384" s="274"/>
      <c r="AK384" s="274"/>
    </row>
    <row r="385" spans="2:37" ht="13.2">
      <c r="B385" s="273"/>
      <c r="C385" s="273"/>
      <c r="D385" s="274"/>
      <c r="E385" s="274"/>
      <c r="F385" s="274"/>
      <c r="G385" s="274"/>
      <c r="H385" s="274"/>
      <c r="I385" s="274"/>
      <c r="J385" s="274"/>
      <c r="K385" s="274"/>
      <c r="L385" s="274"/>
      <c r="M385" s="274"/>
      <c r="N385" s="274"/>
      <c r="O385" s="274"/>
      <c r="P385" s="274"/>
      <c r="Q385" s="274"/>
      <c r="R385" s="274"/>
      <c r="S385" s="274"/>
      <c r="T385" s="274"/>
      <c r="U385" s="274"/>
      <c r="V385" s="274"/>
      <c r="W385" s="274"/>
      <c r="X385" s="274"/>
      <c r="Y385" s="274"/>
      <c r="Z385" s="274"/>
      <c r="AA385" s="274"/>
      <c r="AB385" s="274"/>
      <c r="AC385" s="274"/>
      <c r="AD385" s="274"/>
      <c r="AE385" s="274"/>
      <c r="AF385" s="274"/>
      <c r="AG385" s="274"/>
      <c r="AH385" s="274"/>
      <c r="AI385" s="274"/>
      <c r="AJ385" s="274"/>
      <c r="AK385" s="274"/>
    </row>
    <row r="386" spans="2:37" ht="13.2">
      <c r="B386" s="273"/>
      <c r="C386" s="273"/>
      <c r="D386" s="274"/>
      <c r="E386" s="274"/>
      <c r="F386" s="274"/>
      <c r="G386" s="274"/>
      <c r="H386" s="274"/>
      <c r="I386" s="274"/>
      <c r="J386" s="274"/>
      <c r="K386" s="274"/>
      <c r="L386" s="274"/>
      <c r="M386" s="274"/>
      <c r="N386" s="274"/>
      <c r="O386" s="274"/>
      <c r="P386" s="274"/>
      <c r="Q386" s="274"/>
      <c r="R386" s="274"/>
      <c r="S386" s="274"/>
      <c r="T386" s="274"/>
      <c r="U386" s="274"/>
      <c r="V386" s="274"/>
      <c r="W386" s="274"/>
      <c r="X386" s="274"/>
      <c r="Y386" s="274"/>
      <c r="Z386" s="274"/>
      <c r="AA386" s="274"/>
      <c r="AB386" s="274"/>
      <c r="AC386" s="274"/>
      <c r="AD386" s="274"/>
      <c r="AE386" s="274"/>
      <c r="AF386" s="274"/>
      <c r="AG386" s="274"/>
      <c r="AH386" s="274"/>
      <c r="AI386" s="274"/>
      <c r="AJ386" s="274"/>
      <c r="AK386" s="274"/>
    </row>
    <row r="387" spans="2:37" ht="13.2">
      <c r="B387" s="273"/>
      <c r="C387" s="273"/>
      <c r="D387" s="274"/>
      <c r="E387" s="274"/>
      <c r="F387" s="274"/>
      <c r="G387" s="274"/>
      <c r="H387" s="274"/>
      <c r="I387" s="274"/>
      <c r="J387" s="274"/>
      <c r="K387" s="274"/>
      <c r="L387" s="274"/>
      <c r="M387" s="274"/>
      <c r="N387" s="274"/>
      <c r="O387" s="274"/>
      <c r="P387" s="274"/>
      <c r="Q387" s="274"/>
      <c r="R387" s="274"/>
      <c r="S387" s="274"/>
      <c r="T387" s="274"/>
      <c r="U387" s="274"/>
      <c r="V387" s="274"/>
      <c r="W387" s="274"/>
      <c r="X387" s="274"/>
      <c r="Y387" s="274"/>
      <c r="Z387" s="274"/>
      <c r="AA387" s="274"/>
      <c r="AB387" s="274"/>
      <c r="AC387" s="274"/>
      <c r="AD387" s="274"/>
      <c r="AE387" s="274"/>
      <c r="AF387" s="274"/>
      <c r="AG387" s="274"/>
      <c r="AH387" s="274"/>
      <c r="AI387" s="274"/>
      <c r="AJ387" s="274"/>
      <c r="AK387" s="274"/>
    </row>
    <row r="388" spans="2:37" ht="13.2">
      <c r="B388" s="273"/>
      <c r="C388" s="273"/>
      <c r="D388" s="274"/>
      <c r="E388" s="274"/>
      <c r="F388" s="274"/>
      <c r="G388" s="274"/>
      <c r="H388" s="274"/>
      <c r="I388" s="274"/>
      <c r="J388" s="274"/>
      <c r="K388" s="274"/>
      <c r="L388" s="274"/>
      <c r="M388" s="274"/>
      <c r="N388" s="274"/>
      <c r="O388" s="274"/>
      <c r="P388" s="274"/>
      <c r="Q388" s="274"/>
      <c r="R388" s="274"/>
      <c r="S388" s="274"/>
      <c r="T388" s="274"/>
      <c r="U388" s="274"/>
      <c r="V388" s="274"/>
      <c r="W388" s="274"/>
      <c r="X388" s="274"/>
      <c r="Y388" s="274"/>
      <c r="Z388" s="274"/>
      <c r="AA388" s="274"/>
      <c r="AB388" s="274"/>
      <c r="AC388" s="274"/>
      <c r="AD388" s="274"/>
      <c r="AE388" s="274"/>
      <c r="AF388" s="274"/>
      <c r="AG388" s="274"/>
      <c r="AH388" s="274"/>
      <c r="AI388" s="274"/>
      <c r="AJ388" s="274"/>
      <c r="AK388" s="274"/>
    </row>
    <row r="389" spans="2:37" ht="13.2">
      <c r="B389" s="273"/>
      <c r="C389" s="273"/>
      <c r="D389" s="274"/>
      <c r="E389" s="274"/>
      <c r="F389" s="274"/>
      <c r="G389" s="274"/>
      <c r="H389" s="274"/>
      <c r="I389" s="274"/>
      <c r="J389" s="274"/>
      <c r="K389" s="274"/>
      <c r="L389" s="274"/>
      <c r="M389" s="274"/>
      <c r="N389" s="274"/>
      <c r="O389" s="274"/>
      <c r="P389" s="274"/>
      <c r="Q389" s="274"/>
      <c r="R389" s="274"/>
      <c r="S389" s="274"/>
      <c r="T389" s="274"/>
      <c r="U389" s="274"/>
      <c r="V389" s="274"/>
      <c r="W389" s="274"/>
      <c r="X389" s="274"/>
      <c r="Y389" s="274"/>
      <c r="Z389" s="274"/>
      <c r="AA389" s="274"/>
      <c r="AB389" s="274"/>
      <c r="AC389" s="274"/>
      <c r="AD389" s="274"/>
      <c r="AE389" s="274"/>
      <c r="AF389" s="274"/>
      <c r="AG389" s="274"/>
      <c r="AH389" s="274"/>
      <c r="AI389" s="274"/>
      <c r="AJ389" s="274"/>
      <c r="AK389" s="274"/>
    </row>
    <row r="390" spans="2:37" ht="13.2">
      <c r="B390" s="273"/>
      <c r="C390" s="273"/>
      <c r="D390" s="274"/>
      <c r="E390" s="274"/>
      <c r="F390" s="274"/>
      <c r="G390" s="274"/>
      <c r="H390" s="274"/>
      <c r="I390" s="274"/>
      <c r="J390" s="274"/>
      <c r="K390" s="274"/>
      <c r="L390" s="274"/>
      <c r="M390" s="274"/>
      <c r="N390" s="274"/>
      <c r="O390" s="274"/>
      <c r="P390" s="274"/>
      <c r="Q390" s="274"/>
      <c r="R390" s="274"/>
      <c r="S390" s="274"/>
      <c r="T390" s="274"/>
      <c r="U390" s="274"/>
      <c r="V390" s="274"/>
      <c r="W390" s="274"/>
      <c r="X390" s="274"/>
      <c r="Y390" s="274"/>
      <c r="Z390" s="274"/>
      <c r="AA390" s="274"/>
      <c r="AB390" s="274"/>
      <c r="AC390" s="274"/>
      <c r="AD390" s="274"/>
      <c r="AE390" s="274"/>
      <c r="AF390" s="274"/>
      <c r="AG390" s="274"/>
      <c r="AH390" s="274"/>
      <c r="AI390" s="274"/>
      <c r="AJ390" s="274"/>
      <c r="AK390" s="274"/>
    </row>
    <row r="391" spans="2:37" ht="13.2">
      <c r="B391" s="273"/>
      <c r="C391" s="273"/>
      <c r="D391" s="274"/>
      <c r="E391" s="274"/>
      <c r="F391" s="274"/>
      <c r="G391" s="274"/>
      <c r="H391" s="274"/>
      <c r="I391" s="274"/>
      <c r="J391" s="274"/>
      <c r="K391" s="274"/>
      <c r="L391" s="274"/>
      <c r="M391" s="274"/>
      <c r="N391" s="274"/>
      <c r="O391" s="274"/>
      <c r="P391" s="274"/>
      <c r="Q391" s="274"/>
      <c r="R391" s="274"/>
      <c r="S391" s="274"/>
      <c r="T391" s="274"/>
      <c r="U391" s="274"/>
      <c r="V391" s="274"/>
      <c r="W391" s="274"/>
      <c r="X391" s="274"/>
      <c r="Y391" s="274"/>
      <c r="Z391" s="274"/>
      <c r="AA391" s="274"/>
      <c r="AB391" s="274"/>
      <c r="AC391" s="274"/>
      <c r="AD391" s="274"/>
      <c r="AE391" s="274"/>
      <c r="AF391" s="274"/>
      <c r="AG391" s="274"/>
      <c r="AH391" s="274"/>
      <c r="AI391" s="274"/>
      <c r="AJ391" s="274"/>
      <c r="AK391" s="274"/>
    </row>
    <row r="392" spans="2:37" ht="13.2">
      <c r="B392" s="273"/>
      <c r="C392" s="273"/>
      <c r="D392" s="274"/>
      <c r="E392" s="274"/>
      <c r="F392" s="274"/>
      <c r="G392" s="274"/>
      <c r="H392" s="274"/>
      <c r="I392" s="274"/>
      <c r="J392" s="274"/>
      <c r="K392" s="274"/>
      <c r="L392" s="274"/>
      <c r="M392" s="274"/>
      <c r="N392" s="274"/>
      <c r="O392" s="274"/>
      <c r="P392" s="274"/>
      <c r="Q392" s="274"/>
      <c r="R392" s="274"/>
      <c r="S392" s="274"/>
      <c r="T392" s="274"/>
      <c r="U392" s="274"/>
      <c r="V392" s="274"/>
      <c r="W392" s="274"/>
      <c r="X392" s="274"/>
      <c r="Y392" s="274"/>
      <c r="Z392" s="274"/>
      <c r="AA392" s="274"/>
      <c r="AB392" s="274"/>
      <c r="AC392" s="274"/>
      <c r="AD392" s="274"/>
      <c r="AE392" s="274"/>
      <c r="AF392" s="274"/>
      <c r="AG392" s="274"/>
      <c r="AH392" s="274"/>
      <c r="AI392" s="274"/>
      <c r="AJ392" s="274"/>
      <c r="AK392" s="274"/>
    </row>
    <row r="393" spans="2:37" ht="13.2">
      <c r="B393" s="273"/>
      <c r="C393" s="273"/>
      <c r="D393" s="274"/>
      <c r="E393" s="274"/>
      <c r="F393" s="274"/>
      <c r="G393" s="274"/>
      <c r="H393" s="274"/>
      <c r="I393" s="274"/>
      <c r="J393" s="274"/>
      <c r="K393" s="274"/>
      <c r="L393" s="274"/>
      <c r="M393" s="274"/>
      <c r="N393" s="274"/>
      <c r="O393" s="274"/>
      <c r="P393" s="274"/>
      <c r="Q393" s="274"/>
      <c r="R393" s="274"/>
      <c r="S393" s="274"/>
      <c r="T393" s="274"/>
      <c r="U393" s="274"/>
      <c r="V393" s="274"/>
      <c r="W393" s="274"/>
      <c r="X393" s="274"/>
      <c r="Y393" s="274"/>
      <c r="Z393" s="274"/>
      <c r="AA393" s="274"/>
      <c r="AB393" s="274"/>
      <c r="AC393" s="274"/>
      <c r="AD393" s="274"/>
      <c r="AE393" s="274"/>
      <c r="AF393" s="274"/>
      <c r="AG393" s="274"/>
      <c r="AH393" s="274"/>
      <c r="AI393" s="274"/>
      <c r="AJ393" s="274"/>
      <c r="AK393" s="274"/>
    </row>
    <row r="394" spans="2:37" ht="13.2">
      <c r="B394" s="273"/>
      <c r="C394" s="273"/>
      <c r="D394" s="274"/>
      <c r="E394" s="274"/>
      <c r="F394" s="274"/>
      <c r="G394" s="274"/>
      <c r="H394" s="274"/>
      <c r="I394" s="274"/>
      <c r="J394" s="274"/>
      <c r="K394" s="274"/>
      <c r="L394" s="274"/>
      <c r="M394" s="274"/>
      <c r="N394" s="274"/>
      <c r="O394" s="274"/>
      <c r="P394" s="274"/>
      <c r="Q394" s="274"/>
      <c r="R394" s="274"/>
      <c r="S394" s="274"/>
      <c r="T394" s="274"/>
      <c r="U394" s="274"/>
      <c r="V394" s="274"/>
      <c r="W394" s="274"/>
      <c r="X394" s="274"/>
      <c r="Y394" s="274"/>
      <c r="Z394" s="274"/>
      <c r="AA394" s="274"/>
      <c r="AB394" s="274"/>
      <c r="AC394" s="274"/>
      <c r="AD394" s="274"/>
      <c r="AE394" s="274"/>
      <c r="AF394" s="274"/>
      <c r="AG394" s="274"/>
      <c r="AH394" s="274"/>
      <c r="AI394" s="274"/>
      <c r="AJ394" s="274"/>
      <c r="AK394" s="274"/>
    </row>
    <row r="395" spans="2:37" ht="13.2">
      <c r="B395" s="273"/>
      <c r="C395" s="273"/>
      <c r="D395" s="274"/>
      <c r="E395" s="274"/>
      <c r="F395" s="274"/>
      <c r="G395" s="274"/>
      <c r="H395" s="274"/>
      <c r="I395" s="274"/>
      <c r="J395" s="274"/>
      <c r="K395" s="274"/>
      <c r="L395" s="274"/>
      <c r="M395" s="274"/>
      <c r="N395" s="274"/>
      <c r="O395" s="274"/>
      <c r="P395" s="274"/>
      <c r="Q395" s="274"/>
      <c r="R395" s="274"/>
      <c r="S395" s="274"/>
      <c r="T395" s="274"/>
      <c r="U395" s="274"/>
      <c r="V395" s="274"/>
      <c r="W395" s="274"/>
      <c r="X395" s="274"/>
      <c r="Y395" s="274"/>
      <c r="Z395" s="274"/>
      <c r="AA395" s="274"/>
      <c r="AB395" s="274"/>
      <c r="AC395" s="274"/>
      <c r="AD395" s="274"/>
      <c r="AE395" s="274"/>
      <c r="AF395" s="274"/>
      <c r="AG395" s="274"/>
      <c r="AH395" s="274"/>
      <c r="AI395" s="274"/>
      <c r="AJ395" s="274"/>
      <c r="AK395" s="274"/>
    </row>
    <row r="396" spans="2:37" ht="13.2">
      <c r="B396" s="273"/>
      <c r="C396" s="273"/>
      <c r="D396" s="274"/>
      <c r="E396" s="274"/>
      <c r="F396" s="274"/>
      <c r="G396" s="274"/>
      <c r="H396" s="274"/>
      <c r="I396" s="274"/>
      <c r="J396" s="274"/>
      <c r="K396" s="274"/>
      <c r="L396" s="274"/>
      <c r="M396" s="274"/>
      <c r="N396" s="274"/>
      <c r="O396" s="274"/>
      <c r="P396" s="274"/>
      <c r="Q396" s="274"/>
      <c r="R396" s="274"/>
      <c r="S396" s="274"/>
      <c r="T396" s="274"/>
      <c r="U396" s="274"/>
      <c r="V396" s="274"/>
      <c r="W396" s="274"/>
      <c r="X396" s="274"/>
      <c r="Y396" s="274"/>
      <c r="Z396" s="274"/>
      <c r="AA396" s="274"/>
      <c r="AB396" s="274"/>
      <c r="AC396" s="274"/>
      <c r="AD396" s="274"/>
      <c r="AE396" s="274"/>
      <c r="AF396" s="274"/>
      <c r="AG396" s="274"/>
      <c r="AH396" s="274"/>
      <c r="AI396" s="274"/>
      <c r="AJ396" s="274"/>
      <c r="AK396" s="274"/>
    </row>
    <row r="397" spans="2:37" ht="13.2">
      <c r="B397" s="273"/>
      <c r="C397" s="273"/>
      <c r="D397" s="274"/>
      <c r="E397" s="274"/>
      <c r="F397" s="274"/>
      <c r="G397" s="274"/>
      <c r="H397" s="274"/>
      <c r="I397" s="274"/>
      <c r="J397" s="274"/>
      <c r="K397" s="274"/>
      <c r="L397" s="274"/>
      <c r="M397" s="274"/>
      <c r="N397" s="274"/>
      <c r="O397" s="274"/>
      <c r="P397" s="274"/>
      <c r="Q397" s="274"/>
      <c r="R397" s="274"/>
      <c r="S397" s="274"/>
      <c r="T397" s="274"/>
      <c r="U397" s="274"/>
      <c r="V397" s="274"/>
      <c r="W397" s="274"/>
      <c r="X397" s="274"/>
      <c r="Y397" s="274"/>
      <c r="Z397" s="274"/>
      <c r="AA397" s="274"/>
      <c r="AB397" s="274"/>
      <c r="AC397" s="274"/>
      <c r="AD397" s="274"/>
      <c r="AE397" s="274"/>
      <c r="AF397" s="274"/>
      <c r="AG397" s="274"/>
      <c r="AH397" s="274"/>
      <c r="AI397" s="274"/>
      <c r="AJ397" s="274"/>
      <c r="AK397" s="274"/>
    </row>
    <row r="398" spans="2:37" ht="13.2">
      <c r="B398" s="273"/>
      <c r="C398" s="273"/>
      <c r="D398" s="274"/>
      <c r="E398" s="274"/>
      <c r="F398" s="274"/>
      <c r="G398" s="274"/>
      <c r="H398" s="274"/>
      <c r="I398" s="274"/>
      <c r="J398" s="274"/>
      <c r="K398" s="274"/>
      <c r="L398" s="274"/>
      <c r="M398" s="274"/>
      <c r="N398" s="274"/>
      <c r="O398" s="274"/>
      <c r="P398" s="274"/>
      <c r="Q398" s="274"/>
      <c r="R398" s="274"/>
      <c r="S398" s="274"/>
      <c r="T398" s="274"/>
      <c r="U398" s="274"/>
      <c r="V398" s="274"/>
      <c r="W398" s="274"/>
      <c r="X398" s="274"/>
      <c r="Y398" s="274"/>
      <c r="Z398" s="274"/>
      <c r="AA398" s="274"/>
      <c r="AB398" s="274"/>
      <c r="AC398" s="274"/>
      <c r="AD398" s="274"/>
      <c r="AE398" s="274"/>
      <c r="AF398" s="274"/>
      <c r="AG398" s="274"/>
      <c r="AH398" s="274"/>
      <c r="AI398" s="274"/>
      <c r="AJ398" s="274"/>
      <c r="AK398" s="274"/>
    </row>
    <row r="399" spans="2:37" ht="13.2">
      <c r="B399" s="273"/>
      <c r="C399" s="273"/>
      <c r="D399" s="274"/>
      <c r="E399" s="274"/>
      <c r="F399" s="274"/>
      <c r="G399" s="274"/>
      <c r="H399" s="274"/>
      <c r="I399" s="274"/>
      <c r="J399" s="274"/>
      <c r="K399" s="274"/>
      <c r="L399" s="274"/>
      <c r="M399" s="274"/>
      <c r="N399" s="274"/>
      <c r="O399" s="274"/>
      <c r="P399" s="274"/>
      <c r="Q399" s="274"/>
      <c r="R399" s="274"/>
      <c r="S399" s="274"/>
      <c r="T399" s="274"/>
      <c r="U399" s="274"/>
      <c r="V399" s="274"/>
      <c r="W399" s="274"/>
      <c r="X399" s="274"/>
      <c r="Y399" s="274"/>
      <c r="Z399" s="274"/>
      <c r="AA399" s="274"/>
      <c r="AB399" s="274"/>
      <c r="AC399" s="274"/>
      <c r="AD399" s="274"/>
      <c r="AE399" s="274"/>
      <c r="AF399" s="274"/>
      <c r="AG399" s="274"/>
      <c r="AH399" s="274"/>
      <c r="AI399" s="274"/>
      <c r="AJ399" s="274"/>
      <c r="AK399" s="274"/>
    </row>
    <row r="400" spans="2:37" ht="13.2">
      <c r="B400" s="273"/>
      <c r="C400" s="273"/>
      <c r="D400" s="274"/>
      <c r="E400" s="274"/>
      <c r="F400" s="274"/>
      <c r="G400" s="274"/>
      <c r="H400" s="274"/>
      <c r="I400" s="274"/>
      <c r="J400" s="274"/>
      <c r="K400" s="274"/>
      <c r="L400" s="274"/>
      <c r="M400" s="274"/>
      <c r="N400" s="274"/>
      <c r="O400" s="274"/>
      <c r="P400" s="274"/>
      <c r="Q400" s="274"/>
      <c r="R400" s="274"/>
      <c r="S400" s="274"/>
      <c r="T400" s="274"/>
      <c r="U400" s="274"/>
      <c r="V400" s="274"/>
      <c r="W400" s="274"/>
      <c r="X400" s="274"/>
      <c r="Y400" s="274"/>
      <c r="Z400" s="274"/>
      <c r="AA400" s="274"/>
      <c r="AB400" s="274"/>
      <c r="AC400" s="274"/>
      <c r="AD400" s="274"/>
      <c r="AE400" s="274"/>
      <c r="AF400" s="274"/>
      <c r="AG400" s="274"/>
      <c r="AH400" s="274"/>
      <c r="AI400" s="274"/>
      <c r="AJ400" s="274"/>
      <c r="AK400" s="274"/>
    </row>
    <row r="401" spans="2:37" ht="13.2">
      <c r="B401" s="273"/>
      <c r="C401" s="273"/>
      <c r="D401" s="274"/>
      <c r="E401" s="274"/>
      <c r="F401" s="274"/>
      <c r="G401" s="274"/>
      <c r="H401" s="274"/>
      <c r="I401" s="274"/>
      <c r="J401" s="274"/>
      <c r="K401" s="274"/>
      <c r="L401" s="274"/>
      <c r="M401" s="274"/>
      <c r="N401" s="274"/>
      <c r="O401" s="274"/>
      <c r="P401" s="274"/>
      <c r="Q401" s="274"/>
      <c r="R401" s="274"/>
      <c r="S401" s="274"/>
      <c r="T401" s="274"/>
      <c r="U401" s="274"/>
      <c r="V401" s="274"/>
      <c r="W401" s="274"/>
      <c r="X401" s="274"/>
      <c r="Y401" s="274"/>
      <c r="Z401" s="274"/>
      <c r="AA401" s="274"/>
      <c r="AB401" s="274"/>
      <c r="AC401" s="274"/>
      <c r="AD401" s="274"/>
      <c r="AE401" s="274"/>
      <c r="AF401" s="274"/>
      <c r="AG401" s="274"/>
      <c r="AH401" s="274"/>
      <c r="AI401" s="274"/>
      <c r="AJ401" s="274"/>
      <c r="AK401" s="274"/>
    </row>
    <row r="402" spans="2:37" ht="13.2">
      <c r="B402" s="273"/>
      <c r="C402" s="273"/>
      <c r="D402" s="274"/>
      <c r="E402" s="274"/>
      <c r="F402" s="274"/>
      <c r="G402" s="274"/>
      <c r="H402" s="274"/>
      <c r="I402" s="274"/>
      <c r="J402" s="274"/>
      <c r="K402" s="274"/>
      <c r="L402" s="274"/>
      <c r="M402" s="274"/>
      <c r="N402" s="274"/>
      <c r="O402" s="274"/>
      <c r="P402" s="274"/>
      <c r="Q402" s="274"/>
      <c r="R402" s="274"/>
      <c r="S402" s="274"/>
      <c r="T402" s="274"/>
      <c r="U402" s="274"/>
      <c r="V402" s="274"/>
      <c r="W402" s="274"/>
      <c r="X402" s="274"/>
      <c r="Y402" s="274"/>
      <c r="Z402" s="274"/>
      <c r="AA402" s="274"/>
      <c r="AB402" s="274"/>
      <c r="AC402" s="274"/>
      <c r="AD402" s="274"/>
      <c r="AE402" s="274"/>
      <c r="AF402" s="274"/>
      <c r="AG402" s="274"/>
      <c r="AH402" s="274"/>
      <c r="AI402" s="274"/>
      <c r="AJ402" s="274"/>
      <c r="AK402" s="274"/>
    </row>
    <row r="403" spans="2:37" ht="13.2">
      <c r="B403" s="273"/>
      <c r="C403" s="273"/>
      <c r="D403" s="274"/>
      <c r="E403" s="274"/>
      <c r="F403" s="274"/>
      <c r="G403" s="274"/>
      <c r="H403" s="274"/>
      <c r="I403" s="274"/>
      <c r="J403" s="274"/>
      <c r="K403" s="274"/>
      <c r="L403" s="274"/>
      <c r="M403" s="274"/>
      <c r="N403" s="274"/>
      <c r="O403" s="274"/>
      <c r="P403" s="274"/>
      <c r="Q403" s="274"/>
      <c r="R403" s="274"/>
      <c r="S403" s="274"/>
      <c r="T403" s="274"/>
      <c r="U403" s="274"/>
      <c r="V403" s="274"/>
      <c r="W403" s="274"/>
      <c r="X403" s="274"/>
      <c r="Y403" s="274"/>
      <c r="Z403" s="274"/>
      <c r="AA403" s="274"/>
      <c r="AB403" s="274"/>
      <c r="AC403" s="274"/>
      <c r="AD403" s="274"/>
      <c r="AE403" s="274"/>
      <c r="AF403" s="274"/>
      <c r="AG403" s="274"/>
      <c r="AH403" s="274"/>
      <c r="AI403" s="274"/>
      <c r="AJ403" s="274"/>
      <c r="AK403" s="274"/>
    </row>
    <row r="404" spans="2:37" ht="13.2">
      <c r="B404" s="273"/>
      <c r="C404" s="273"/>
      <c r="D404" s="274"/>
      <c r="E404" s="274"/>
      <c r="F404" s="274"/>
      <c r="G404" s="274"/>
      <c r="H404" s="274"/>
      <c r="I404" s="274"/>
      <c r="J404" s="274"/>
      <c r="K404" s="274"/>
      <c r="L404" s="274"/>
      <c r="M404" s="274"/>
      <c r="N404" s="274"/>
      <c r="O404" s="274"/>
      <c r="P404" s="274"/>
      <c r="Q404" s="274"/>
      <c r="R404" s="274"/>
      <c r="S404" s="274"/>
      <c r="T404" s="274"/>
      <c r="U404" s="274"/>
      <c r="V404" s="274"/>
      <c r="W404" s="274"/>
      <c r="X404" s="274"/>
      <c r="Y404" s="274"/>
      <c r="Z404" s="274"/>
      <c r="AA404" s="274"/>
      <c r="AB404" s="274"/>
      <c r="AC404" s="274"/>
      <c r="AD404" s="274"/>
      <c r="AE404" s="274"/>
      <c r="AF404" s="274"/>
      <c r="AG404" s="274"/>
      <c r="AH404" s="274"/>
      <c r="AI404" s="274"/>
      <c r="AJ404" s="274"/>
      <c r="AK404" s="274"/>
    </row>
    <row r="405" spans="2:37" ht="13.2">
      <c r="B405" s="273"/>
      <c r="C405" s="273"/>
      <c r="D405" s="274"/>
      <c r="E405" s="274"/>
      <c r="F405" s="274"/>
      <c r="G405" s="274"/>
      <c r="H405" s="274"/>
      <c r="I405" s="274"/>
      <c r="J405" s="274"/>
      <c r="K405" s="274"/>
      <c r="L405" s="274"/>
      <c r="M405" s="274"/>
      <c r="N405" s="274"/>
      <c r="O405" s="274"/>
      <c r="P405" s="274"/>
      <c r="Q405" s="274"/>
      <c r="R405" s="274"/>
      <c r="S405" s="274"/>
      <c r="T405" s="274"/>
      <c r="U405" s="274"/>
      <c r="V405" s="274"/>
      <c r="W405" s="274"/>
      <c r="X405" s="274"/>
      <c r="Y405" s="274"/>
      <c r="Z405" s="274"/>
      <c r="AA405" s="274"/>
      <c r="AB405" s="274"/>
      <c r="AC405" s="274"/>
      <c r="AD405" s="274"/>
      <c r="AE405" s="274"/>
      <c r="AF405" s="274"/>
      <c r="AG405" s="274"/>
      <c r="AH405" s="274"/>
      <c r="AI405" s="274"/>
      <c r="AJ405" s="274"/>
      <c r="AK405" s="274"/>
    </row>
    <row r="406" spans="2:37" ht="13.2">
      <c r="B406" s="273"/>
      <c r="C406" s="273"/>
      <c r="D406" s="274"/>
      <c r="E406" s="274"/>
      <c r="F406" s="274"/>
      <c r="G406" s="274"/>
      <c r="H406" s="274"/>
      <c r="I406" s="274"/>
      <c r="J406" s="274"/>
      <c r="K406" s="274"/>
      <c r="L406" s="274"/>
      <c r="M406" s="274"/>
      <c r="N406" s="274"/>
      <c r="O406" s="274"/>
      <c r="P406" s="274"/>
      <c r="Q406" s="274"/>
      <c r="R406" s="274"/>
      <c r="S406" s="274"/>
      <c r="T406" s="274"/>
      <c r="U406" s="274"/>
      <c r="V406" s="274"/>
      <c r="W406" s="274"/>
      <c r="X406" s="274"/>
      <c r="Y406" s="274"/>
      <c r="Z406" s="274"/>
      <c r="AA406" s="274"/>
      <c r="AB406" s="274"/>
      <c r="AC406" s="274"/>
      <c r="AD406" s="274"/>
      <c r="AE406" s="274"/>
      <c r="AF406" s="274"/>
      <c r="AG406" s="274"/>
      <c r="AH406" s="274"/>
      <c r="AI406" s="274"/>
      <c r="AJ406" s="274"/>
      <c r="AK406" s="274"/>
    </row>
    <row r="407" spans="2:37" ht="13.2">
      <c r="B407" s="273"/>
      <c r="C407" s="273"/>
      <c r="D407" s="274"/>
      <c r="E407" s="274"/>
      <c r="F407" s="274"/>
      <c r="G407" s="274"/>
      <c r="H407" s="274"/>
      <c r="I407" s="274"/>
      <c r="J407" s="274"/>
      <c r="K407" s="274"/>
      <c r="L407" s="274"/>
      <c r="M407" s="274"/>
      <c r="N407" s="274"/>
      <c r="O407" s="274"/>
      <c r="P407" s="274"/>
      <c r="Q407" s="274"/>
      <c r="R407" s="274"/>
      <c r="S407" s="274"/>
      <c r="T407" s="274"/>
      <c r="U407" s="274"/>
      <c r="V407" s="274"/>
      <c r="W407" s="274"/>
      <c r="X407" s="274"/>
      <c r="Y407" s="274"/>
      <c r="Z407" s="274"/>
      <c r="AA407" s="274"/>
      <c r="AB407" s="274"/>
      <c r="AC407" s="274"/>
      <c r="AD407" s="274"/>
      <c r="AE407" s="274"/>
      <c r="AF407" s="274"/>
      <c r="AG407" s="274"/>
      <c r="AH407" s="274"/>
      <c r="AI407" s="274"/>
      <c r="AJ407" s="274"/>
      <c r="AK407" s="274"/>
    </row>
    <row r="408" spans="2:37" ht="13.2">
      <c r="B408" s="273"/>
      <c r="C408" s="273"/>
      <c r="D408" s="274"/>
      <c r="E408" s="274"/>
      <c r="F408" s="274"/>
      <c r="G408" s="274"/>
      <c r="H408" s="274"/>
      <c r="I408" s="274"/>
      <c r="J408" s="274"/>
      <c r="K408" s="274"/>
      <c r="L408" s="274"/>
      <c r="M408" s="274"/>
      <c r="N408" s="274"/>
      <c r="O408" s="274"/>
      <c r="P408" s="274"/>
      <c r="Q408" s="274"/>
      <c r="R408" s="274"/>
      <c r="S408" s="274"/>
      <c r="T408" s="274"/>
      <c r="U408" s="274"/>
      <c r="V408" s="274"/>
      <c r="W408" s="274"/>
      <c r="X408" s="274"/>
      <c r="Y408" s="274"/>
      <c r="Z408" s="274"/>
      <c r="AA408" s="274"/>
      <c r="AB408" s="274"/>
      <c r="AC408" s="274"/>
      <c r="AD408" s="274"/>
      <c r="AE408" s="274"/>
      <c r="AF408" s="274"/>
      <c r="AG408" s="274"/>
      <c r="AH408" s="274"/>
      <c r="AI408" s="274"/>
      <c r="AJ408" s="274"/>
      <c r="AK408" s="274"/>
    </row>
    <row r="409" spans="2:37" ht="13.2">
      <c r="B409" s="273"/>
      <c r="C409" s="273"/>
      <c r="D409" s="274"/>
      <c r="E409" s="274"/>
      <c r="F409" s="274"/>
      <c r="G409" s="274"/>
      <c r="H409" s="274"/>
      <c r="I409" s="274"/>
      <c r="J409" s="274"/>
      <c r="K409" s="274"/>
      <c r="L409" s="274"/>
      <c r="M409" s="274"/>
      <c r="N409" s="274"/>
      <c r="O409" s="274"/>
      <c r="P409" s="274"/>
      <c r="Q409" s="274"/>
      <c r="R409" s="274"/>
      <c r="S409" s="274"/>
      <c r="T409" s="274"/>
      <c r="U409" s="274"/>
      <c r="V409" s="274"/>
      <c r="W409" s="274"/>
      <c r="X409" s="274"/>
      <c r="Y409" s="274"/>
      <c r="Z409" s="274"/>
      <c r="AA409" s="274"/>
      <c r="AB409" s="274"/>
      <c r="AC409" s="274"/>
      <c r="AD409" s="274"/>
      <c r="AE409" s="274"/>
      <c r="AF409" s="274"/>
      <c r="AG409" s="274"/>
      <c r="AH409" s="274"/>
      <c r="AI409" s="274"/>
      <c r="AJ409" s="274"/>
      <c r="AK409" s="274"/>
    </row>
    <row r="410" spans="2:37" ht="13.2">
      <c r="B410" s="273"/>
      <c r="C410" s="273"/>
      <c r="D410" s="274"/>
      <c r="E410" s="274"/>
      <c r="F410" s="274"/>
      <c r="G410" s="274"/>
      <c r="H410" s="274"/>
      <c r="I410" s="274"/>
      <c r="J410" s="274"/>
      <c r="K410" s="274"/>
      <c r="L410" s="274"/>
      <c r="M410" s="274"/>
      <c r="N410" s="274"/>
      <c r="O410" s="274"/>
      <c r="P410" s="274"/>
      <c r="Q410" s="274"/>
      <c r="R410" s="274"/>
      <c r="S410" s="274"/>
      <c r="T410" s="274"/>
      <c r="U410" s="274"/>
      <c r="V410" s="274"/>
      <c r="W410" s="274"/>
      <c r="X410" s="274"/>
      <c r="Y410" s="274"/>
      <c r="Z410" s="274"/>
      <c r="AA410" s="274"/>
      <c r="AB410" s="274"/>
      <c r="AC410" s="274"/>
      <c r="AD410" s="274"/>
      <c r="AE410" s="274"/>
      <c r="AF410" s="274"/>
      <c r="AG410" s="274"/>
      <c r="AH410" s="274"/>
      <c r="AI410" s="274"/>
      <c r="AJ410" s="274"/>
      <c r="AK410" s="274"/>
    </row>
    <row r="411" spans="2:37" ht="13.2">
      <c r="B411" s="273"/>
      <c r="C411" s="273"/>
      <c r="D411" s="274"/>
      <c r="E411" s="274"/>
      <c r="F411" s="274"/>
      <c r="G411" s="274"/>
      <c r="H411" s="274"/>
      <c r="I411" s="274"/>
      <c r="J411" s="274"/>
      <c r="K411" s="274"/>
      <c r="L411" s="274"/>
      <c r="M411" s="274"/>
      <c r="N411" s="274"/>
      <c r="O411" s="274"/>
      <c r="P411" s="274"/>
      <c r="Q411" s="274"/>
      <c r="R411" s="274"/>
      <c r="S411" s="274"/>
      <c r="T411" s="274"/>
      <c r="U411" s="274"/>
      <c r="V411" s="274"/>
      <c r="W411" s="274"/>
      <c r="X411" s="274"/>
      <c r="Y411" s="274"/>
      <c r="Z411" s="274"/>
      <c r="AA411" s="274"/>
      <c r="AB411" s="274"/>
      <c r="AC411" s="274"/>
      <c r="AD411" s="274"/>
      <c r="AE411" s="274"/>
      <c r="AF411" s="274"/>
      <c r="AG411" s="274"/>
      <c r="AH411" s="274"/>
      <c r="AI411" s="274"/>
      <c r="AJ411" s="274"/>
      <c r="AK411" s="274"/>
    </row>
    <row r="412" spans="2:37" ht="13.2">
      <c r="B412" s="273"/>
      <c r="C412" s="273"/>
      <c r="D412" s="274"/>
      <c r="E412" s="274"/>
      <c r="F412" s="274"/>
      <c r="G412" s="274"/>
      <c r="H412" s="274"/>
      <c r="I412" s="274"/>
      <c r="J412" s="274"/>
      <c r="K412" s="274"/>
      <c r="L412" s="274"/>
      <c r="M412" s="274"/>
      <c r="N412" s="274"/>
      <c r="O412" s="274"/>
      <c r="P412" s="274"/>
      <c r="Q412" s="274"/>
      <c r="R412" s="274"/>
      <c r="S412" s="274"/>
      <c r="T412" s="274"/>
      <c r="U412" s="274"/>
      <c r="V412" s="274"/>
      <c r="W412" s="274"/>
      <c r="X412" s="274"/>
      <c r="Y412" s="274"/>
      <c r="Z412" s="274"/>
      <c r="AA412" s="274"/>
      <c r="AB412" s="274"/>
      <c r="AC412" s="274"/>
      <c r="AD412" s="274"/>
      <c r="AE412" s="274"/>
      <c r="AF412" s="274"/>
      <c r="AG412" s="274"/>
      <c r="AH412" s="274"/>
      <c r="AI412" s="274"/>
      <c r="AJ412" s="274"/>
      <c r="AK412" s="274"/>
    </row>
    <row r="413" spans="2:37" ht="13.2">
      <c r="B413" s="273"/>
      <c r="C413" s="273"/>
      <c r="D413" s="274"/>
      <c r="E413" s="274"/>
      <c r="F413" s="274"/>
      <c r="G413" s="274"/>
      <c r="H413" s="274"/>
      <c r="I413" s="274"/>
      <c r="J413" s="274"/>
      <c r="K413" s="274"/>
      <c r="L413" s="274"/>
      <c r="M413" s="274"/>
      <c r="N413" s="274"/>
      <c r="O413" s="274"/>
      <c r="P413" s="274"/>
      <c r="Q413" s="274"/>
      <c r="R413" s="274"/>
      <c r="S413" s="274"/>
      <c r="T413" s="274"/>
      <c r="U413" s="274"/>
      <c r="V413" s="274"/>
      <c r="W413" s="274"/>
      <c r="X413" s="274"/>
      <c r="Y413" s="274"/>
      <c r="Z413" s="274"/>
      <c r="AA413" s="274"/>
      <c r="AB413" s="274"/>
      <c r="AC413" s="274"/>
      <c r="AD413" s="274"/>
      <c r="AE413" s="274"/>
      <c r="AF413" s="274"/>
      <c r="AG413" s="274"/>
      <c r="AH413" s="274"/>
      <c r="AI413" s="274"/>
      <c r="AJ413" s="274"/>
      <c r="AK413" s="274"/>
    </row>
    <row r="414" spans="2:37" ht="13.2">
      <c r="B414" s="273"/>
      <c r="C414" s="273"/>
      <c r="D414" s="274"/>
      <c r="E414" s="274"/>
      <c r="F414" s="274"/>
      <c r="G414" s="274"/>
      <c r="H414" s="274"/>
      <c r="I414" s="274"/>
      <c r="J414" s="274"/>
      <c r="K414" s="274"/>
      <c r="L414" s="274"/>
      <c r="M414" s="274"/>
      <c r="N414" s="274"/>
      <c r="O414" s="274"/>
      <c r="P414" s="274"/>
      <c r="Q414" s="274"/>
      <c r="R414" s="274"/>
      <c r="S414" s="274"/>
      <c r="T414" s="274"/>
      <c r="U414" s="274"/>
      <c r="V414" s="274"/>
      <c r="W414" s="274"/>
      <c r="X414" s="274"/>
      <c r="Y414" s="274"/>
      <c r="Z414" s="274"/>
      <c r="AA414" s="274"/>
      <c r="AB414" s="274"/>
      <c r="AC414" s="274"/>
      <c r="AD414" s="274"/>
      <c r="AE414" s="274"/>
      <c r="AF414" s="274"/>
      <c r="AG414" s="274"/>
      <c r="AH414" s="274"/>
      <c r="AI414" s="274"/>
      <c r="AJ414" s="274"/>
      <c r="AK414" s="274"/>
    </row>
    <row r="415" spans="2:37" ht="13.2">
      <c r="B415" s="273"/>
      <c r="C415" s="273"/>
      <c r="D415" s="274"/>
      <c r="E415" s="274"/>
      <c r="F415" s="274"/>
      <c r="G415" s="274"/>
      <c r="H415" s="274"/>
      <c r="I415" s="274"/>
      <c r="J415" s="274"/>
      <c r="K415" s="274"/>
      <c r="L415" s="274"/>
      <c r="M415" s="274"/>
      <c r="N415" s="274"/>
      <c r="O415" s="274"/>
      <c r="P415" s="274"/>
      <c r="Q415" s="274"/>
      <c r="R415" s="274"/>
      <c r="S415" s="274"/>
      <c r="T415" s="274"/>
      <c r="U415" s="274"/>
      <c r="V415" s="274"/>
      <c r="W415" s="274"/>
      <c r="X415" s="274"/>
      <c r="Y415" s="274"/>
      <c r="Z415" s="274"/>
      <c r="AA415" s="274"/>
      <c r="AB415" s="274"/>
      <c r="AC415" s="274"/>
      <c r="AD415" s="274"/>
      <c r="AE415" s="274"/>
      <c r="AF415" s="274"/>
      <c r="AG415" s="274"/>
      <c r="AH415" s="274"/>
      <c r="AI415" s="274"/>
      <c r="AJ415" s="274"/>
      <c r="AK415" s="274"/>
    </row>
    <row r="416" spans="2:37" ht="13.2">
      <c r="B416" s="273"/>
      <c r="C416" s="273"/>
      <c r="D416" s="274"/>
      <c r="E416" s="274"/>
      <c r="F416" s="274"/>
      <c r="G416" s="274"/>
      <c r="H416" s="274"/>
      <c r="I416" s="274"/>
      <c r="J416" s="274"/>
      <c r="K416" s="274"/>
      <c r="L416" s="274"/>
      <c r="M416" s="274"/>
      <c r="N416" s="274"/>
      <c r="O416" s="274"/>
      <c r="P416" s="274"/>
      <c r="Q416" s="274"/>
      <c r="R416" s="274"/>
      <c r="S416" s="274"/>
      <c r="T416" s="274"/>
      <c r="U416" s="274"/>
      <c r="V416" s="274"/>
      <c r="W416" s="274"/>
      <c r="X416" s="274"/>
      <c r="Y416" s="274"/>
      <c r="Z416" s="274"/>
      <c r="AA416" s="274"/>
      <c r="AB416" s="274"/>
      <c r="AC416" s="274"/>
      <c r="AD416" s="274"/>
      <c r="AE416" s="274"/>
      <c r="AF416" s="274"/>
      <c r="AG416" s="274"/>
      <c r="AH416" s="274"/>
      <c r="AI416" s="274"/>
      <c r="AJ416" s="274"/>
      <c r="AK416" s="274"/>
    </row>
    <row r="417" spans="2:37" ht="13.2">
      <c r="B417" s="273"/>
      <c r="C417" s="273"/>
      <c r="D417" s="274"/>
      <c r="E417" s="274"/>
      <c r="F417" s="274"/>
      <c r="G417" s="274"/>
      <c r="H417" s="274"/>
      <c r="I417" s="274"/>
      <c r="J417" s="274"/>
      <c r="K417" s="274"/>
      <c r="L417" s="274"/>
      <c r="M417" s="274"/>
      <c r="N417" s="274"/>
      <c r="O417" s="274"/>
      <c r="P417" s="274"/>
      <c r="Q417" s="274"/>
      <c r="R417" s="274"/>
      <c r="S417" s="274"/>
      <c r="T417" s="274"/>
      <c r="U417" s="274"/>
      <c r="V417" s="274"/>
      <c r="W417" s="274"/>
      <c r="X417" s="274"/>
      <c r="Y417" s="274"/>
      <c r="Z417" s="274"/>
      <c r="AA417" s="274"/>
      <c r="AB417" s="274"/>
      <c r="AC417" s="274"/>
      <c r="AD417" s="274"/>
      <c r="AE417" s="274"/>
      <c r="AF417" s="274"/>
      <c r="AG417" s="274"/>
      <c r="AH417" s="274"/>
      <c r="AI417" s="274"/>
      <c r="AJ417" s="274"/>
      <c r="AK417" s="274"/>
    </row>
    <row r="418" spans="2:37" ht="13.2">
      <c r="B418" s="273"/>
      <c r="C418" s="273"/>
      <c r="D418" s="274"/>
      <c r="E418" s="274"/>
      <c r="F418" s="274"/>
      <c r="G418" s="274"/>
      <c r="H418" s="274"/>
      <c r="I418" s="274"/>
      <c r="J418" s="274"/>
      <c r="K418" s="274"/>
      <c r="L418" s="274"/>
      <c r="M418" s="274"/>
      <c r="N418" s="274"/>
      <c r="O418" s="274"/>
      <c r="P418" s="274"/>
      <c r="Q418" s="274"/>
      <c r="R418" s="274"/>
      <c r="S418" s="274"/>
      <c r="T418" s="274"/>
      <c r="U418" s="274"/>
      <c r="V418" s="274"/>
      <c r="W418" s="274"/>
      <c r="X418" s="274"/>
      <c r="Y418" s="274"/>
      <c r="Z418" s="274"/>
      <c r="AA418" s="274"/>
      <c r="AB418" s="274"/>
      <c r="AC418" s="274"/>
      <c r="AD418" s="274"/>
      <c r="AE418" s="274"/>
      <c r="AF418" s="274"/>
      <c r="AG418" s="274"/>
      <c r="AH418" s="274"/>
      <c r="AI418" s="274"/>
      <c r="AJ418" s="274"/>
      <c r="AK418" s="274"/>
    </row>
    <row r="419" spans="2:37" ht="13.2">
      <c r="B419" s="273"/>
      <c r="C419" s="273"/>
      <c r="D419" s="274"/>
      <c r="E419" s="274"/>
      <c r="F419" s="274"/>
      <c r="G419" s="274"/>
      <c r="H419" s="274"/>
      <c r="I419" s="274"/>
      <c r="J419" s="274"/>
      <c r="K419" s="274"/>
      <c r="L419" s="274"/>
      <c r="M419" s="274"/>
      <c r="N419" s="274"/>
      <c r="O419" s="274"/>
      <c r="P419" s="274"/>
      <c r="Q419" s="274"/>
      <c r="R419" s="274"/>
      <c r="S419" s="274"/>
      <c r="T419" s="274"/>
      <c r="U419" s="274"/>
      <c r="V419" s="274"/>
      <c r="W419" s="274"/>
      <c r="X419" s="274"/>
      <c r="Y419" s="274"/>
      <c r="Z419" s="274"/>
      <c r="AA419" s="274"/>
      <c r="AB419" s="274"/>
      <c r="AC419" s="274"/>
      <c r="AD419" s="274"/>
      <c r="AE419" s="274"/>
      <c r="AF419" s="274"/>
      <c r="AG419" s="274"/>
      <c r="AH419" s="274"/>
      <c r="AI419" s="274"/>
      <c r="AJ419" s="274"/>
      <c r="AK419" s="274"/>
    </row>
    <row r="420" spans="2:37" ht="13.2">
      <c r="B420" s="273"/>
      <c r="C420" s="273"/>
      <c r="D420" s="274"/>
      <c r="E420" s="274"/>
      <c r="F420" s="274"/>
      <c r="G420" s="274"/>
      <c r="H420" s="274"/>
      <c r="I420" s="274"/>
      <c r="J420" s="274"/>
      <c r="K420" s="274"/>
      <c r="L420" s="274"/>
      <c r="M420" s="274"/>
      <c r="N420" s="274"/>
      <c r="O420" s="274"/>
      <c r="P420" s="274"/>
      <c r="Q420" s="274"/>
      <c r="R420" s="274"/>
      <c r="S420" s="274"/>
      <c r="T420" s="274"/>
      <c r="U420" s="274"/>
      <c r="V420" s="274"/>
      <c r="W420" s="274"/>
      <c r="X420" s="274"/>
      <c r="Y420" s="274"/>
      <c r="Z420" s="274"/>
      <c r="AA420" s="274"/>
      <c r="AB420" s="274"/>
      <c r="AC420" s="274"/>
      <c r="AD420" s="274"/>
      <c r="AE420" s="274"/>
      <c r="AF420" s="274"/>
      <c r="AG420" s="274"/>
      <c r="AH420" s="274"/>
      <c r="AI420" s="274"/>
      <c r="AJ420" s="274"/>
      <c r="AK420" s="274"/>
    </row>
    <row r="421" spans="2:37" ht="13.2">
      <c r="B421" s="273"/>
      <c r="C421" s="273"/>
      <c r="D421" s="274"/>
      <c r="E421" s="274"/>
      <c r="F421" s="274"/>
      <c r="G421" s="274"/>
      <c r="H421" s="274"/>
      <c r="I421" s="274"/>
      <c r="J421" s="274"/>
      <c r="K421" s="274"/>
      <c r="L421" s="274"/>
      <c r="M421" s="274"/>
      <c r="N421" s="274"/>
      <c r="O421" s="274"/>
      <c r="P421" s="274"/>
      <c r="Q421" s="274"/>
      <c r="R421" s="274"/>
      <c r="S421" s="274"/>
      <c r="T421" s="274"/>
      <c r="U421" s="274"/>
      <c r="V421" s="274"/>
      <c r="W421" s="274"/>
      <c r="X421" s="274"/>
      <c r="Y421" s="274"/>
      <c r="Z421" s="274"/>
      <c r="AA421" s="274"/>
      <c r="AB421" s="274"/>
      <c r="AC421" s="274"/>
      <c r="AD421" s="274"/>
      <c r="AE421" s="274"/>
      <c r="AF421" s="274"/>
      <c r="AG421" s="274"/>
      <c r="AH421" s="274"/>
      <c r="AI421" s="274"/>
      <c r="AJ421" s="274"/>
      <c r="AK421" s="274"/>
    </row>
    <row r="422" spans="2:37" ht="13.2">
      <c r="B422" s="273"/>
      <c r="C422" s="273"/>
      <c r="D422" s="274"/>
      <c r="E422" s="274"/>
      <c r="F422" s="274"/>
      <c r="G422" s="274"/>
      <c r="H422" s="274"/>
      <c r="I422" s="274"/>
      <c r="J422" s="274"/>
      <c r="K422" s="274"/>
      <c r="L422" s="274"/>
      <c r="M422" s="274"/>
      <c r="N422" s="274"/>
      <c r="O422" s="274"/>
      <c r="P422" s="274"/>
      <c r="Q422" s="274"/>
      <c r="R422" s="274"/>
      <c r="S422" s="274"/>
      <c r="T422" s="274"/>
      <c r="U422" s="274"/>
      <c r="V422" s="274"/>
      <c r="W422" s="274"/>
      <c r="X422" s="274"/>
      <c r="Y422" s="274"/>
      <c r="Z422" s="274"/>
      <c r="AA422" s="274"/>
      <c r="AB422" s="274"/>
      <c r="AC422" s="274"/>
      <c r="AD422" s="274"/>
      <c r="AE422" s="274"/>
      <c r="AF422" s="274"/>
      <c r="AG422" s="274"/>
      <c r="AH422" s="274"/>
      <c r="AI422" s="274"/>
      <c r="AJ422" s="274"/>
      <c r="AK422" s="274"/>
    </row>
    <row r="423" spans="2:37" ht="13.2">
      <c r="B423" s="273"/>
      <c r="C423" s="273"/>
      <c r="D423" s="274"/>
      <c r="E423" s="274"/>
      <c r="F423" s="274"/>
      <c r="G423" s="274"/>
      <c r="H423" s="274"/>
      <c r="I423" s="274"/>
      <c r="J423" s="274"/>
      <c r="K423" s="274"/>
      <c r="L423" s="274"/>
      <c r="M423" s="274"/>
      <c r="N423" s="274"/>
      <c r="O423" s="274"/>
      <c r="P423" s="274"/>
      <c r="Q423" s="274"/>
      <c r="R423" s="274"/>
      <c r="S423" s="274"/>
      <c r="T423" s="274"/>
      <c r="U423" s="274"/>
      <c r="V423" s="274"/>
      <c r="W423" s="274"/>
      <c r="X423" s="274"/>
      <c r="Y423" s="274"/>
      <c r="Z423" s="274"/>
      <c r="AA423" s="274"/>
      <c r="AB423" s="274"/>
      <c r="AC423" s="274"/>
      <c r="AD423" s="274"/>
      <c r="AE423" s="274"/>
      <c r="AF423" s="274"/>
      <c r="AG423" s="274"/>
      <c r="AH423" s="274"/>
      <c r="AI423" s="274"/>
      <c r="AJ423" s="274"/>
      <c r="AK423" s="274"/>
    </row>
    <row r="424" spans="2:37" ht="13.2">
      <c r="B424" s="273"/>
      <c r="C424" s="273"/>
      <c r="D424" s="274"/>
      <c r="E424" s="274"/>
      <c r="F424" s="274"/>
      <c r="G424" s="274"/>
      <c r="H424" s="274"/>
      <c r="I424" s="274"/>
      <c r="J424" s="274"/>
      <c r="K424" s="274"/>
      <c r="L424" s="274"/>
      <c r="M424" s="274"/>
      <c r="N424" s="274"/>
      <c r="O424" s="274"/>
      <c r="P424" s="274"/>
      <c r="Q424" s="274"/>
      <c r="R424" s="274"/>
      <c r="S424" s="274"/>
      <c r="T424" s="274"/>
      <c r="U424" s="274"/>
      <c r="V424" s="274"/>
      <c r="W424" s="274"/>
      <c r="X424" s="274"/>
      <c r="Y424" s="274"/>
      <c r="Z424" s="274"/>
      <c r="AA424" s="274"/>
      <c r="AB424" s="274"/>
      <c r="AC424" s="274"/>
      <c r="AD424" s="274"/>
      <c r="AE424" s="274"/>
      <c r="AF424" s="274"/>
      <c r="AG424" s="274"/>
      <c r="AH424" s="274"/>
      <c r="AI424" s="274"/>
      <c r="AJ424" s="274"/>
      <c r="AK424" s="274"/>
    </row>
    <row r="425" spans="2:37" ht="13.2">
      <c r="B425" s="273"/>
      <c r="C425" s="273"/>
      <c r="D425" s="274"/>
      <c r="E425" s="274"/>
      <c r="F425" s="274"/>
      <c r="G425" s="274"/>
      <c r="H425" s="274"/>
      <c r="I425" s="274"/>
      <c r="J425" s="274"/>
      <c r="K425" s="274"/>
      <c r="L425" s="274"/>
      <c r="M425" s="274"/>
      <c r="N425" s="274"/>
      <c r="O425" s="274"/>
      <c r="P425" s="274"/>
      <c r="Q425" s="274"/>
      <c r="R425" s="274"/>
      <c r="S425" s="274"/>
      <c r="T425" s="274"/>
      <c r="U425" s="274"/>
      <c r="V425" s="274"/>
      <c r="W425" s="274"/>
      <c r="X425" s="274"/>
      <c r="Y425" s="274"/>
      <c r="Z425" s="274"/>
      <c r="AA425" s="274"/>
      <c r="AB425" s="274"/>
      <c r="AC425" s="274"/>
      <c r="AD425" s="274"/>
      <c r="AE425" s="274"/>
      <c r="AF425" s="274"/>
      <c r="AG425" s="274"/>
      <c r="AH425" s="274"/>
      <c r="AI425" s="274"/>
      <c r="AJ425" s="274"/>
      <c r="AK425" s="274"/>
    </row>
    <row r="426" spans="2:37" ht="13.2">
      <c r="B426" s="273"/>
      <c r="C426" s="273"/>
      <c r="D426" s="274"/>
      <c r="E426" s="274"/>
      <c r="F426" s="274"/>
      <c r="G426" s="274"/>
      <c r="H426" s="274"/>
      <c r="I426" s="274"/>
      <c r="J426" s="274"/>
      <c r="K426" s="274"/>
      <c r="L426" s="274"/>
      <c r="M426" s="274"/>
      <c r="N426" s="274"/>
      <c r="O426" s="274"/>
      <c r="P426" s="274"/>
      <c r="Q426" s="274"/>
      <c r="R426" s="274"/>
      <c r="S426" s="274"/>
      <c r="T426" s="274"/>
      <c r="U426" s="274"/>
      <c r="V426" s="274"/>
      <c r="W426" s="274"/>
      <c r="X426" s="274"/>
      <c r="Y426" s="274"/>
      <c r="Z426" s="274"/>
      <c r="AA426" s="274"/>
      <c r="AB426" s="274"/>
      <c r="AC426" s="274"/>
      <c r="AD426" s="274"/>
      <c r="AE426" s="274"/>
      <c r="AF426" s="274"/>
      <c r="AG426" s="274"/>
      <c r="AH426" s="274"/>
      <c r="AI426" s="274"/>
      <c r="AJ426" s="274"/>
      <c r="AK426" s="274"/>
    </row>
    <row r="427" spans="2:37" ht="13.2">
      <c r="B427" s="273"/>
      <c r="C427" s="273"/>
      <c r="D427" s="274"/>
      <c r="E427" s="274"/>
      <c r="F427" s="274"/>
      <c r="G427" s="274"/>
      <c r="H427" s="274"/>
      <c r="I427" s="274"/>
      <c r="J427" s="274"/>
      <c r="K427" s="274"/>
      <c r="L427" s="274"/>
      <c r="M427" s="274"/>
      <c r="N427" s="274"/>
      <c r="O427" s="274"/>
      <c r="P427" s="274"/>
      <c r="Q427" s="274"/>
      <c r="R427" s="274"/>
      <c r="S427" s="274"/>
      <c r="T427" s="274"/>
      <c r="U427" s="274"/>
      <c r="V427" s="274"/>
      <c r="W427" s="274"/>
      <c r="X427" s="274"/>
      <c r="Y427" s="274"/>
      <c r="Z427" s="274"/>
      <c r="AA427" s="274"/>
      <c r="AB427" s="274"/>
      <c r="AC427" s="274"/>
      <c r="AD427" s="274"/>
      <c r="AE427" s="274"/>
      <c r="AF427" s="274"/>
      <c r="AG427" s="274"/>
      <c r="AH427" s="274"/>
      <c r="AI427" s="274"/>
      <c r="AJ427" s="274"/>
      <c r="AK427" s="274"/>
    </row>
    <row r="428" spans="2:37" ht="13.2">
      <c r="B428" s="273"/>
      <c r="C428" s="273"/>
      <c r="D428" s="274"/>
      <c r="E428" s="274"/>
      <c r="F428" s="274"/>
      <c r="G428" s="274"/>
      <c r="H428" s="274"/>
      <c r="I428" s="274"/>
      <c r="J428" s="274"/>
      <c r="K428" s="274"/>
      <c r="L428" s="274"/>
      <c r="M428" s="274"/>
      <c r="N428" s="274"/>
      <c r="O428" s="274"/>
      <c r="P428" s="274"/>
      <c r="Q428" s="274"/>
      <c r="R428" s="274"/>
      <c r="S428" s="274"/>
      <c r="T428" s="274"/>
      <c r="U428" s="274"/>
      <c r="V428" s="274"/>
      <c r="W428" s="274"/>
      <c r="X428" s="274"/>
      <c r="Y428" s="274"/>
      <c r="Z428" s="274"/>
      <c r="AA428" s="274"/>
      <c r="AB428" s="274"/>
      <c r="AC428" s="274"/>
      <c r="AD428" s="274"/>
      <c r="AE428" s="274"/>
      <c r="AF428" s="274"/>
      <c r="AG428" s="274"/>
      <c r="AH428" s="274"/>
      <c r="AI428" s="274"/>
      <c r="AJ428" s="274"/>
      <c r="AK428" s="274"/>
    </row>
    <row r="429" spans="2:37" ht="13.2">
      <c r="B429" s="273"/>
      <c r="C429" s="273"/>
      <c r="D429" s="274"/>
      <c r="E429" s="274"/>
      <c r="F429" s="274"/>
      <c r="G429" s="274"/>
      <c r="H429" s="274"/>
      <c r="I429" s="274"/>
      <c r="J429" s="274"/>
      <c r="K429" s="274"/>
      <c r="L429" s="274"/>
      <c r="M429" s="274"/>
      <c r="N429" s="274"/>
      <c r="O429" s="274"/>
      <c r="P429" s="274"/>
      <c r="Q429" s="274"/>
      <c r="R429" s="274"/>
      <c r="S429" s="274"/>
      <c r="T429" s="274"/>
      <c r="U429" s="274"/>
      <c r="V429" s="274"/>
      <c r="W429" s="274"/>
      <c r="X429" s="274"/>
      <c r="Y429" s="274"/>
      <c r="Z429" s="274"/>
      <c r="AA429" s="274"/>
      <c r="AB429" s="274"/>
      <c r="AC429" s="274"/>
      <c r="AD429" s="274"/>
      <c r="AE429" s="274"/>
      <c r="AF429" s="274"/>
      <c r="AG429" s="274"/>
      <c r="AH429" s="274"/>
      <c r="AI429" s="274"/>
      <c r="AJ429" s="274"/>
      <c r="AK429" s="274"/>
    </row>
    <row r="430" spans="2:37" ht="13.2">
      <c r="B430" s="273"/>
      <c r="C430" s="273"/>
      <c r="D430" s="274"/>
      <c r="E430" s="274"/>
      <c r="F430" s="274"/>
      <c r="G430" s="274"/>
      <c r="H430" s="274"/>
      <c r="I430" s="274"/>
      <c r="J430" s="274"/>
      <c r="K430" s="274"/>
      <c r="L430" s="274"/>
      <c r="M430" s="274"/>
      <c r="N430" s="274"/>
      <c r="O430" s="274"/>
      <c r="P430" s="274"/>
      <c r="Q430" s="274"/>
      <c r="R430" s="274"/>
      <c r="S430" s="274"/>
      <c r="T430" s="274"/>
      <c r="U430" s="274"/>
      <c r="V430" s="274"/>
      <c r="W430" s="274"/>
      <c r="X430" s="274"/>
      <c r="Y430" s="274"/>
      <c r="Z430" s="274"/>
      <c r="AA430" s="274"/>
      <c r="AB430" s="274"/>
      <c r="AC430" s="274"/>
      <c r="AD430" s="274"/>
      <c r="AE430" s="274"/>
      <c r="AF430" s="274"/>
      <c r="AG430" s="274"/>
      <c r="AH430" s="274"/>
      <c r="AI430" s="274"/>
      <c r="AJ430" s="274"/>
      <c r="AK430" s="274"/>
    </row>
    <row r="431" spans="2:37" ht="13.2">
      <c r="B431" s="273"/>
      <c r="C431" s="273"/>
      <c r="D431" s="274"/>
      <c r="E431" s="274"/>
      <c r="F431" s="274"/>
      <c r="G431" s="274"/>
      <c r="H431" s="274"/>
      <c r="I431" s="274"/>
      <c r="J431" s="274"/>
      <c r="K431" s="274"/>
      <c r="L431" s="274"/>
      <c r="M431" s="274"/>
      <c r="N431" s="274"/>
      <c r="O431" s="274"/>
      <c r="P431" s="274"/>
      <c r="Q431" s="274"/>
      <c r="R431" s="274"/>
      <c r="S431" s="274"/>
      <c r="T431" s="274"/>
      <c r="U431" s="274"/>
      <c r="V431" s="274"/>
      <c r="W431" s="274"/>
      <c r="X431" s="274"/>
      <c r="Y431" s="274"/>
      <c r="Z431" s="274"/>
      <c r="AA431" s="274"/>
      <c r="AB431" s="274"/>
      <c r="AC431" s="274"/>
      <c r="AD431" s="274"/>
      <c r="AE431" s="274"/>
      <c r="AF431" s="274"/>
      <c r="AG431" s="274"/>
      <c r="AH431" s="274"/>
      <c r="AI431" s="274"/>
      <c r="AJ431" s="274"/>
      <c r="AK431" s="274"/>
    </row>
    <row r="432" spans="2:37" ht="13.2">
      <c r="B432" s="273"/>
      <c r="C432" s="273"/>
      <c r="D432" s="274"/>
      <c r="E432" s="274"/>
      <c r="F432" s="274"/>
      <c r="G432" s="274"/>
      <c r="H432" s="274"/>
      <c r="I432" s="274"/>
      <c r="J432" s="274"/>
      <c r="K432" s="274"/>
      <c r="L432" s="274"/>
      <c r="M432" s="274"/>
      <c r="N432" s="274"/>
      <c r="O432" s="274"/>
      <c r="P432" s="274"/>
      <c r="Q432" s="274"/>
      <c r="R432" s="274"/>
      <c r="S432" s="274"/>
      <c r="T432" s="274"/>
      <c r="U432" s="274"/>
      <c r="V432" s="274"/>
      <c r="W432" s="274"/>
      <c r="X432" s="274"/>
      <c r="Y432" s="274"/>
      <c r="Z432" s="274"/>
      <c r="AA432" s="274"/>
      <c r="AB432" s="274"/>
      <c r="AC432" s="274"/>
      <c r="AD432" s="274"/>
      <c r="AE432" s="274"/>
      <c r="AF432" s="274"/>
      <c r="AG432" s="274"/>
      <c r="AH432" s="274"/>
      <c r="AI432" s="274"/>
      <c r="AJ432" s="274"/>
      <c r="AK432" s="274"/>
    </row>
    <row r="433" spans="2:37" ht="13.2">
      <c r="B433" s="273"/>
      <c r="C433" s="273"/>
      <c r="D433" s="274"/>
      <c r="E433" s="274"/>
      <c r="F433" s="274"/>
      <c r="G433" s="274"/>
      <c r="H433" s="274"/>
      <c r="I433" s="274"/>
      <c r="J433" s="274"/>
      <c r="K433" s="274"/>
      <c r="L433" s="274"/>
      <c r="M433" s="274"/>
      <c r="N433" s="274"/>
      <c r="O433" s="274"/>
      <c r="P433" s="274"/>
      <c r="Q433" s="274"/>
      <c r="R433" s="274"/>
      <c r="S433" s="274"/>
      <c r="T433" s="274"/>
      <c r="U433" s="274"/>
      <c r="V433" s="274"/>
      <c r="W433" s="274"/>
      <c r="X433" s="274"/>
      <c r="Y433" s="274"/>
      <c r="Z433" s="274"/>
      <c r="AA433" s="274"/>
      <c r="AB433" s="274"/>
      <c r="AC433" s="274"/>
      <c r="AD433" s="274"/>
      <c r="AE433" s="274"/>
      <c r="AF433" s="274"/>
      <c r="AG433" s="274"/>
      <c r="AH433" s="274"/>
      <c r="AI433" s="274"/>
      <c r="AJ433" s="274"/>
      <c r="AK433" s="274"/>
    </row>
    <row r="434" spans="2:37" ht="13.2">
      <c r="B434" s="273"/>
      <c r="C434" s="273"/>
      <c r="D434" s="274"/>
      <c r="E434" s="274"/>
      <c r="F434" s="274"/>
      <c r="G434" s="274"/>
      <c r="H434" s="274"/>
      <c r="I434" s="274"/>
      <c r="J434" s="274"/>
      <c r="K434" s="274"/>
      <c r="L434" s="274"/>
      <c r="M434" s="274"/>
      <c r="N434" s="274"/>
      <c r="O434" s="274"/>
      <c r="P434" s="274"/>
      <c r="Q434" s="274"/>
      <c r="R434" s="274"/>
      <c r="S434" s="274"/>
      <c r="T434" s="274"/>
      <c r="U434" s="274"/>
      <c r="V434" s="274"/>
      <c r="W434" s="274"/>
      <c r="X434" s="274"/>
      <c r="Y434" s="274"/>
      <c r="Z434" s="274"/>
      <c r="AA434" s="274"/>
      <c r="AB434" s="274"/>
      <c r="AC434" s="274"/>
      <c r="AD434" s="274"/>
      <c r="AE434" s="274"/>
      <c r="AF434" s="274"/>
      <c r="AG434" s="274"/>
      <c r="AH434" s="274"/>
      <c r="AI434" s="274"/>
      <c r="AJ434" s="274"/>
      <c r="AK434" s="274"/>
    </row>
    <row r="435" spans="2:37" ht="13.2">
      <c r="B435" s="273"/>
      <c r="C435" s="273"/>
      <c r="D435" s="274"/>
      <c r="E435" s="274"/>
      <c r="F435" s="274"/>
      <c r="G435" s="274"/>
      <c r="H435" s="274"/>
      <c r="I435" s="274"/>
      <c r="J435" s="274"/>
      <c r="K435" s="274"/>
      <c r="L435" s="274"/>
      <c r="M435" s="274"/>
      <c r="N435" s="274"/>
      <c r="O435" s="274"/>
      <c r="P435" s="274"/>
      <c r="Q435" s="274"/>
      <c r="R435" s="274"/>
      <c r="S435" s="274"/>
      <c r="T435" s="274"/>
      <c r="U435" s="274"/>
      <c r="V435" s="274"/>
      <c r="W435" s="274"/>
      <c r="X435" s="274"/>
      <c r="Y435" s="274"/>
      <c r="Z435" s="274"/>
      <c r="AA435" s="274"/>
      <c r="AB435" s="274"/>
      <c r="AC435" s="274"/>
      <c r="AD435" s="274"/>
      <c r="AE435" s="274"/>
      <c r="AF435" s="274"/>
      <c r="AG435" s="274"/>
      <c r="AH435" s="274"/>
      <c r="AI435" s="274"/>
      <c r="AJ435" s="274"/>
      <c r="AK435" s="274"/>
    </row>
    <row r="436" spans="2:37" ht="13.2">
      <c r="B436" s="273"/>
      <c r="C436" s="273"/>
      <c r="D436" s="274"/>
      <c r="E436" s="274"/>
      <c r="F436" s="274"/>
      <c r="G436" s="274"/>
      <c r="H436" s="274"/>
      <c r="I436" s="274"/>
      <c r="J436" s="274"/>
      <c r="K436" s="274"/>
      <c r="L436" s="274"/>
      <c r="M436" s="274"/>
      <c r="N436" s="274"/>
      <c r="O436" s="274"/>
      <c r="P436" s="274"/>
      <c r="Q436" s="274"/>
      <c r="R436" s="274"/>
      <c r="S436" s="274"/>
      <c r="T436" s="274"/>
      <c r="U436" s="274"/>
      <c r="V436" s="274"/>
      <c r="W436" s="274"/>
      <c r="X436" s="274"/>
      <c r="Y436" s="274"/>
      <c r="Z436" s="274"/>
      <c r="AA436" s="274"/>
      <c r="AB436" s="274"/>
      <c r="AC436" s="274"/>
      <c r="AD436" s="274"/>
      <c r="AE436" s="274"/>
      <c r="AF436" s="274"/>
      <c r="AG436" s="274"/>
      <c r="AH436" s="274"/>
      <c r="AI436" s="274"/>
      <c r="AJ436" s="274"/>
      <c r="AK436" s="274"/>
    </row>
    <row r="437" spans="2:37" ht="13.2">
      <c r="B437" s="273"/>
      <c r="C437" s="273"/>
      <c r="D437" s="274"/>
      <c r="E437" s="274"/>
      <c r="F437" s="274"/>
      <c r="G437" s="274"/>
      <c r="H437" s="274"/>
      <c r="I437" s="274"/>
      <c r="J437" s="274"/>
      <c r="K437" s="274"/>
      <c r="L437" s="274"/>
      <c r="M437" s="274"/>
      <c r="N437" s="274"/>
      <c r="O437" s="274"/>
      <c r="P437" s="274"/>
      <c r="Q437" s="274"/>
      <c r="R437" s="274"/>
      <c r="S437" s="274"/>
      <c r="T437" s="274"/>
      <c r="U437" s="274"/>
      <c r="V437" s="274"/>
      <c r="W437" s="274"/>
      <c r="X437" s="274"/>
      <c r="Y437" s="274"/>
      <c r="Z437" s="274"/>
      <c r="AA437" s="274"/>
      <c r="AB437" s="274"/>
      <c r="AC437" s="274"/>
      <c r="AD437" s="274"/>
      <c r="AE437" s="274"/>
      <c r="AF437" s="274"/>
      <c r="AG437" s="274"/>
      <c r="AH437" s="274"/>
      <c r="AI437" s="274"/>
      <c r="AJ437" s="274"/>
      <c r="AK437" s="274"/>
    </row>
    <row r="438" spans="2:37" ht="13.2">
      <c r="B438" s="273"/>
      <c r="C438" s="273"/>
      <c r="D438" s="274"/>
      <c r="E438" s="274"/>
      <c r="F438" s="274"/>
      <c r="G438" s="274"/>
      <c r="H438" s="274"/>
      <c r="I438" s="274"/>
      <c r="J438" s="274"/>
      <c r="K438" s="274"/>
      <c r="L438" s="274"/>
      <c r="M438" s="274"/>
      <c r="N438" s="274"/>
      <c r="O438" s="274"/>
      <c r="P438" s="274"/>
      <c r="Q438" s="274"/>
      <c r="R438" s="274"/>
      <c r="S438" s="274"/>
      <c r="T438" s="274"/>
      <c r="U438" s="274"/>
      <c r="V438" s="274"/>
      <c r="W438" s="274"/>
      <c r="X438" s="274"/>
      <c r="Y438" s="274"/>
      <c r="Z438" s="274"/>
      <c r="AA438" s="274"/>
      <c r="AB438" s="274"/>
      <c r="AC438" s="274"/>
      <c r="AD438" s="274"/>
      <c r="AE438" s="274"/>
      <c r="AF438" s="274"/>
      <c r="AG438" s="274"/>
      <c r="AH438" s="274"/>
      <c r="AI438" s="274"/>
      <c r="AJ438" s="274"/>
      <c r="AK438" s="274"/>
    </row>
    <row r="439" spans="2:37" ht="13.2">
      <c r="B439" s="273"/>
      <c r="C439" s="273"/>
      <c r="D439" s="274"/>
      <c r="E439" s="274"/>
      <c r="F439" s="274"/>
      <c r="G439" s="274"/>
      <c r="H439" s="274"/>
      <c r="I439" s="274"/>
      <c r="J439" s="274"/>
      <c r="K439" s="274"/>
      <c r="L439" s="274"/>
      <c r="M439" s="274"/>
      <c r="N439" s="274"/>
      <c r="O439" s="274"/>
      <c r="P439" s="274"/>
      <c r="Q439" s="274"/>
      <c r="R439" s="274"/>
      <c r="S439" s="274"/>
      <c r="T439" s="274"/>
      <c r="U439" s="274"/>
      <c r="V439" s="274"/>
      <c r="W439" s="274"/>
      <c r="X439" s="274"/>
      <c r="Y439" s="274"/>
      <c r="Z439" s="274"/>
      <c r="AA439" s="274"/>
      <c r="AB439" s="274"/>
      <c r="AC439" s="274"/>
      <c r="AD439" s="274"/>
      <c r="AE439" s="274"/>
      <c r="AF439" s="274"/>
      <c r="AG439" s="274"/>
      <c r="AH439" s="274"/>
      <c r="AI439" s="274"/>
      <c r="AJ439" s="274"/>
      <c r="AK439" s="274"/>
    </row>
    <row r="440" spans="2:37" ht="13.2">
      <c r="B440" s="273"/>
      <c r="C440" s="273"/>
      <c r="D440" s="274"/>
      <c r="E440" s="274"/>
      <c r="F440" s="274"/>
      <c r="G440" s="274"/>
      <c r="H440" s="274"/>
      <c r="I440" s="274"/>
      <c r="J440" s="274"/>
      <c r="K440" s="274"/>
      <c r="L440" s="274"/>
      <c r="M440" s="274"/>
      <c r="N440" s="274"/>
      <c r="O440" s="274"/>
      <c r="P440" s="274"/>
      <c r="Q440" s="274"/>
      <c r="R440" s="274"/>
      <c r="S440" s="274"/>
      <c r="T440" s="274"/>
      <c r="U440" s="274"/>
      <c r="V440" s="274"/>
      <c r="W440" s="274"/>
      <c r="X440" s="274"/>
      <c r="Y440" s="274"/>
      <c r="Z440" s="274"/>
      <c r="AA440" s="274"/>
      <c r="AB440" s="274"/>
      <c r="AC440" s="274"/>
      <c r="AD440" s="274"/>
      <c r="AE440" s="274"/>
      <c r="AF440" s="274"/>
      <c r="AG440" s="274"/>
      <c r="AH440" s="274"/>
      <c r="AI440" s="274"/>
      <c r="AJ440" s="274"/>
      <c r="AK440" s="274"/>
    </row>
    <row r="441" spans="2:37" ht="13.2">
      <c r="B441" s="273"/>
      <c r="C441" s="273"/>
      <c r="D441" s="274"/>
      <c r="E441" s="274"/>
      <c r="F441" s="274"/>
      <c r="G441" s="274"/>
      <c r="H441" s="274"/>
      <c r="I441" s="274"/>
      <c r="J441" s="274"/>
      <c r="K441" s="274"/>
      <c r="L441" s="274"/>
      <c r="M441" s="274"/>
      <c r="N441" s="274"/>
      <c r="O441" s="274"/>
      <c r="P441" s="274"/>
      <c r="Q441" s="274"/>
      <c r="R441" s="274"/>
      <c r="S441" s="274"/>
      <c r="T441" s="274"/>
      <c r="U441" s="274"/>
      <c r="V441" s="274"/>
      <c r="W441" s="274"/>
      <c r="X441" s="274"/>
      <c r="Y441" s="274"/>
      <c r="Z441" s="274"/>
      <c r="AA441" s="274"/>
      <c r="AB441" s="274"/>
      <c r="AC441" s="274"/>
      <c r="AD441" s="274"/>
      <c r="AE441" s="274"/>
      <c r="AF441" s="274"/>
      <c r="AG441" s="274"/>
      <c r="AH441" s="274"/>
      <c r="AI441" s="274"/>
      <c r="AJ441" s="274"/>
      <c r="AK441" s="274"/>
    </row>
    <row r="442" spans="2:37" ht="13.2">
      <c r="B442" s="273"/>
      <c r="C442" s="273"/>
      <c r="D442" s="274"/>
      <c r="E442" s="274"/>
      <c r="F442" s="274"/>
      <c r="G442" s="274"/>
      <c r="H442" s="274"/>
      <c r="I442" s="274"/>
      <c r="J442" s="274"/>
      <c r="K442" s="274"/>
      <c r="L442" s="274"/>
      <c r="M442" s="274"/>
      <c r="N442" s="274"/>
      <c r="O442" s="274"/>
      <c r="P442" s="274"/>
      <c r="Q442" s="274"/>
      <c r="R442" s="274"/>
      <c r="S442" s="274"/>
      <c r="T442" s="274"/>
      <c r="U442" s="274"/>
      <c r="V442" s="274"/>
      <c r="W442" s="274"/>
      <c r="X442" s="274"/>
      <c r="Y442" s="274"/>
      <c r="Z442" s="274"/>
      <c r="AA442" s="274"/>
      <c r="AB442" s="274"/>
      <c r="AC442" s="274"/>
      <c r="AD442" s="274"/>
      <c r="AE442" s="274"/>
      <c r="AF442" s="274"/>
      <c r="AG442" s="274"/>
      <c r="AH442" s="274"/>
      <c r="AI442" s="274"/>
      <c r="AJ442" s="274"/>
      <c r="AK442" s="274"/>
    </row>
    <row r="443" spans="2:37" ht="13.2">
      <c r="B443" s="273"/>
      <c r="C443" s="273"/>
      <c r="D443" s="274"/>
      <c r="E443" s="274"/>
      <c r="F443" s="274"/>
      <c r="G443" s="274"/>
      <c r="H443" s="274"/>
      <c r="I443" s="274"/>
      <c r="J443" s="274"/>
      <c r="K443" s="274"/>
      <c r="L443" s="274"/>
      <c r="M443" s="274"/>
      <c r="N443" s="274"/>
      <c r="O443" s="274"/>
      <c r="P443" s="274"/>
      <c r="Q443" s="274"/>
      <c r="R443" s="274"/>
      <c r="S443" s="274"/>
      <c r="T443" s="274"/>
      <c r="U443" s="274"/>
      <c r="V443" s="274"/>
      <c r="W443" s="274"/>
      <c r="X443" s="274"/>
      <c r="Y443" s="274"/>
      <c r="Z443" s="274"/>
      <c r="AA443" s="274"/>
      <c r="AB443" s="274"/>
      <c r="AC443" s="274"/>
      <c r="AD443" s="274"/>
      <c r="AE443" s="274"/>
      <c r="AF443" s="274"/>
      <c r="AG443" s="274"/>
      <c r="AH443" s="274"/>
      <c r="AI443" s="274"/>
      <c r="AJ443" s="274"/>
      <c r="AK443" s="274"/>
    </row>
    <row r="444" spans="2:37" ht="13.2">
      <c r="B444" s="273"/>
      <c r="C444" s="273"/>
      <c r="D444" s="274"/>
      <c r="E444" s="274"/>
      <c r="F444" s="274"/>
      <c r="G444" s="274"/>
      <c r="H444" s="274"/>
      <c r="I444" s="274"/>
      <c r="J444" s="274"/>
      <c r="K444" s="274"/>
      <c r="L444" s="274"/>
      <c r="M444" s="274"/>
      <c r="N444" s="274"/>
      <c r="O444" s="274"/>
      <c r="P444" s="274"/>
      <c r="Q444" s="274"/>
      <c r="R444" s="274"/>
      <c r="S444" s="274"/>
      <c r="T444" s="274"/>
      <c r="U444" s="274"/>
      <c r="V444" s="274"/>
      <c r="W444" s="274"/>
      <c r="X444" s="274"/>
      <c r="Y444" s="274"/>
      <c r="Z444" s="274"/>
      <c r="AA444" s="274"/>
      <c r="AB444" s="274"/>
      <c r="AC444" s="274"/>
      <c r="AD444" s="274"/>
      <c r="AE444" s="274"/>
      <c r="AF444" s="274"/>
      <c r="AG444" s="274"/>
      <c r="AH444" s="274"/>
      <c r="AI444" s="274"/>
      <c r="AJ444" s="274"/>
      <c r="AK444" s="274"/>
    </row>
    <row r="445" spans="2:37" ht="13.2">
      <c r="B445" s="273"/>
      <c r="C445" s="273"/>
      <c r="D445" s="274"/>
      <c r="E445" s="274"/>
      <c r="F445" s="274"/>
      <c r="G445" s="274"/>
      <c r="H445" s="274"/>
      <c r="I445" s="274"/>
      <c r="J445" s="274"/>
      <c r="K445" s="274"/>
      <c r="L445" s="274"/>
      <c r="M445" s="274"/>
      <c r="N445" s="274"/>
      <c r="O445" s="274"/>
      <c r="P445" s="274"/>
      <c r="Q445" s="274"/>
      <c r="R445" s="274"/>
      <c r="S445" s="274"/>
      <c r="T445" s="274"/>
      <c r="U445" s="274"/>
      <c r="V445" s="274"/>
      <c r="W445" s="274"/>
      <c r="X445" s="274"/>
      <c r="Y445" s="274"/>
      <c r="Z445" s="274"/>
      <c r="AA445" s="274"/>
      <c r="AB445" s="274"/>
      <c r="AC445" s="274"/>
      <c r="AD445" s="274"/>
      <c r="AE445" s="274"/>
      <c r="AF445" s="274"/>
      <c r="AG445" s="274"/>
      <c r="AH445" s="274"/>
      <c r="AI445" s="274"/>
      <c r="AJ445" s="274"/>
      <c r="AK445" s="274"/>
    </row>
    <row r="446" spans="2:37" ht="13.2">
      <c r="B446" s="273"/>
      <c r="C446" s="273"/>
      <c r="D446" s="274"/>
      <c r="E446" s="274"/>
      <c r="F446" s="274"/>
      <c r="G446" s="274"/>
      <c r="H446" s="274"/>
      <c r="I446" s="274"/>
      <c r="J446" s="274"/>
      <c r="K446" s="274"/>
      <c r="L446" s="274"/>
      <c r="M446" s="274"/>
      <c r="N446" s="274"/>
      <c r="O446" s="274"/>
      <c r="P446" s="274"/>
      <c r="Q446" s="274"/>
      <c r="R446" s="274"/>
      <c r="S446" s="274"/>
      <c r="T446" s="274"/>
      <c r="U446" s="274"/>
      <c r="V446" s="274"/>
      <c r="W446" s="274"/>
      <c r="X446" s="274"/>
      <c r="Y446" s="274"/>
      <c r="Z446" s="274"/>
      <c r="AA446" s="274"/>
      <c r="AB446" s="274"/>
      <c r="AC446" s="274"/>
      <c r="AD446" s="274"/>
      <c r="AE446" s="274"/>
      <c r="AF446" s="274"/>
      <c r="AG446" s="274"/>
      <c r="AH446" s="274"/>
      <c r="AI446" s="274"/>
      <c r="AJ446" s="274"/>
      <c r="AK446" s="274"/>
    </row>
    <row r="447" spans="2:37" ht="13.2">
      <c r="B447" s="273"/>
      <c r="C447" s="273"/>
      <c r="D447" s="274"/>
      <c r="E447" s="274"/>
      <c r="F447" s="274"/>
      <c r="G447" s="274"/>
      <c r="H447" s="274"/>
      <c r="I447" s="274"/>
      <c r="J447" s="274"/>
      <c r="K447" s="274"/>
      <c r="L447" s="274"/>
      <c r="M447" s="274"/>
      <c r="N447" s="274"/>
      <c r="O447" s="274"/>
      <c r="P447" s="274"/>
      <c r="Q447" s="274"/>
      <c r="R447" s="274"/>
      <c r="S447" s="274"/>
      <c r="T447" s="274"/>
      <c r="U447" s="274"/>
      <c r="V447" s="274"/>
      <c r="W447" s="274"/>
      <c r="X447" s="274"/>
      <c r="Y447" s="274"/>
      <c r="Z447" s="274"/>
      <c r="AA447" s="274"/>
      <c r="AB447" s="274"/>
      <c r="AC447" s="274"/>
      <c r="AD447" s="274"/>
      <c r="AE447" s="274"/>
      <c r="AF447" s="274"/>
      <c r="AG447" s="274"/>
      <c r="AH447" s="274"/>
      <c r="AI447" s="274"/>
      <c r="AJ447" s="274"/>
      <c r="AK447" s="274"/>
    </row>
    <row r="448" spans="2:37" ht="13.2">
      <c r="B448" s="273"/>
      <c r="C448" s="273"/>
      <c r="D448" s="274"/>
      <c r="E448" s="274"/>
      <c r="F448" s="274"/>
      <c r="G448" s="274"/>
      <c r="H448" s="274"/>
      <c r="I448" s="274"/>
      <c r="J448" s="274"/>
      <c r="K448" s="274"/>
      <c r="L448" s="274"/>
      <c r="M448" s="274"/>
      <c r="N448" s="274"/>
      <c r="O448" s="274"/>
      <c r="P448" s="274"/>
      <c r="Q448" s="274"/>
      <c r="R448" s="274"/>
      <c r="S448" s="274"/>
      <c r="T448" s="274"/>
      <c r="U448" s="274"/>
      <c r="V448" s="274"/>
      <c r="W448" s="274"/>
      <c r="X448" s="274"/>
      <c r="Y448" s="274"/>
      <c r="Z448" s="274"/>
      <c r="AA448" s="274"/>
      <c r="AB448" s="274"/>
      <c r="AC448" s="274"/>
      <c r="AD448" s="274"/>
      <c r="AE448" s="274"/>
      <c r="AF448" s="274"/>
      <c r="AG448" s="274"/>
      <c r="AH448" s="274"/>
      <c r="AI448" s="274"/>
      <c r="AJ448" s="274"/>
      <c r="AK448" s="274"/>
    </row>
    <row r="449" spans="2:37" ht="13.2">
      <c r="B449" s="273"/>
      <c r="C449" s="273"/>
      <c r="D449" s="274"/>
      <c r="E449" s="274"/>
      <c r="F449" s="274"/>
      <c r="G449" s="274"/>
      <c r="H449" s="274"/>
      <c r="I449" s="274"/>
      <c r="J449" s="274"/>
      <c r="K449" s="274"/>
      <c r="L449" s="274"/>
      <c r="M449" s="274"/>
      <c r="N449" s="274"/>
      <c r="O449" s="274"/>
      <c r="P449" s="274"/>
      <c r="Q449" s="274"/>
      <c r="R449" s="274"/>
      <c r="S449" s="274"/>
      <c r="T449" s="274"/>
      <c r="U449" s="274"/>
      <c r="V449" s="274"/>
      <c r="W449" s="274"/>
      <c r="X449" s="274"/>
      <c r="Y449" s="274"/>
      <c r="Z449" s="274"/>
      <c r="AA449" s="274"/>
      <c r="AB449" s="274"/>
      <c r="AC449" s="274"/>
      <c r="AD449" s="274"/>
      <c r="AE449" s="274"/>
      <c r="AF449" s="274"/>
      <c r="AG449" s="274"/>
      <c r="AH449" s="274"/>
      <c r="AI449" s="274"/>
      <c r="AJ449" s="274"/>
      <c r="AK449" s="274"/>
    </row>
    <row r="450" spans="2:37" ht="13.2">
      <c r="B450" s="273"/>
      <c r="C450" s="273"/>
      <c r="D450" s="274"/>
      <c r="E450" s="274"/>
      <c r="F450" s="274"/>
      <c r="G450" s="274"/>
      <c r="H450" s="274"/>
      <c r="I450" s="274"/>
      <c r="J450" s="274"/>
      <c r="K450" s="274"/>
      <c r="L450" s="274"/>
      <c r="M450" s="274"/>
      <c r="N450" s="274"/>
      <c r="O450" s="274"/>
      <c r="P450" s="274"/>
      <c r="Q450" s="274"/>
      <c r="R450" s="274"/>
      <c r="S450" s="274"/>
      <c r="T450" s="274"/>
      <c r="U450" s="274"/>
      <c r="V450" s="274"/>
      <c r="W450" s="274"/>
      <c r="X450" s="274"/>
      <c r="Y450" s="274"/>
      <c r="Z450" s="274"/>
      <c r="AA450" s="274"/>
      <c r="AB450" s="274"/>
      <c r="AC450" s="274"/>
      <c r="AD450" s="274"/>
      <c r="AE450" s="274"/>
      <c r="AF450" s="274"/>
      <c r="AG450" s="274"/>
      <c r="AH450" s="274"/>
      <c r="AI450" s="274"/>
      <c r="AJ450" s="274"/>
      <c r="AK450" s="274"/>
    </row>
    <row r="451" spans="2:37" ht="13.2">
      <c r="B451" s="273"/>
      <c r="C451" s="273"/>
      <c r="D451" s="274"/>
      <c r="E451" s="274"/>
      <c r="F451" s="274"/>
      <c r="G451" s="274"/>
      <c r="H451" s="274"/>
      <c r="I451" s="274"/>
      <c r="J451" s="274"/>
      <c r="K451" s="274"/>
      <c r="L451" s="274"/>
      <c r="M451" s="274"/>
      <c r="N451" s="274"/>
      <c r="O451" s="274"/>
      <c r="P451" s="274"/>
      <c r="Q451" s="274"/>
      <c r="R451" s="274"/>
      <c r="S451" s="274"/>
      <c r="T451" s="274"/>
      <c r="U451" s="274"/>
      <c r="V451" s="274"/>
      <c r="W451" s="274"/>
      <c r="X451" s="274"/>
      <c r="Y451" s="274"/>
      <c r="Z451" s="274"/>
      <c r="AA451" s="274"/>
      <c r="AB451" s="274"/>
      <c r="AC451" s="274"/>
      <c r="AD451" s="274"/>
      <c r="AE451" s="274"/>
      <c r="AF451" s="274"/>
      <c r="AG451" s="274"/>
      <c r="AH451" s="274"/>
      <c r="AI451" s="274"/>
      <c r="AJ451" s="274"/>
      <c r="AK451" s="274"/>
    </row>
    <row r="452" spans="2:37" ht="13.2">
      <c r="B452" s="273"/>
      <c r="C452" s="273"/>
      <c r="D452" s="274"/>
      <c r="E452" s="274"/>
      <c r="F452" s="274"/>
      <c r="G452" s="274"/>
      <c r="H452" s="274"/>
      <c r="I452" s="274"/>
      <c r="J452" s="274"/>
      <c r="K452" s="274"/>
      <c r="L452" s="274"/>
      <c r="M452" s="274"/>
      <c r="N452" s="274"/>
      <c r="O452" s="274"/>
      <c r="P452" s="274"/>
      <c r="Q452" s="274"/>
      <c r="R452" s="274"/>
      <c r="S452" s="274"/>
      <c r="T452" s="274"/>
      <c r="U452" s="274"/>
      <c r="V452" s="274"/>
      <c r="W452" s="274"/>
      <c r="X452" s="274"/>
      <c r="Y452" s="274"/>
      <c r="Z452" s="274"/>
      <c r="AA452" s="274"/>
      <c r="AB452" s="274"/>
      <c r="AC452" s="274"/>
      <c r="AD452" s="274"/>
      <c r="AE452" s="274"/>
      <c r="AF452" s="274"/>
      <c r="AG452" s="274"/>
      <c r="AH452" s="274"/>
      <c r="AI452" s="274"/>
      <c r="AJ452" s="274"/>
      <c r="AK452" s="274"/>
    </row>
    <row r="453" spans="2:37" ht="13.2">
      <c r="B453" s="273"/>
      <c r="C453" s="273"/>
      <c r="D453" s="274"/>
      <c r="E453" s="274"/>
      <c r="F453" s="274"/>
      <c r="G453" s="274"/>
      <c r="H453" s="274"/>
      <c r="I453" s="274"/>
      <c r="J453" s="274"/>
      <c r="K453" s="274"/>
      <c r="L453" s="274"/>
      <c r="M453" s="274"/>
      <c r="N453" s="274"/>
      <c r="O453" s="274"/>
      <c r="P453" s="274"/>
      <c r="Q453" s="274"/>
      <c r="R453" s="274"/>
      <c r="S453" s="274"/>
      <c r="T453" s="274"/>
      <c r="U453" s="274"/>
      <c r="V453" s="274"/>
      <c r="W453" s="274"/>
      <c r="X453" s="274"/>
      <c r="Y453" s="274"/>
      <c r="Z453" s="274"/>
      <c r="AA453" s="274"/>
      <c r="AB453" s="274"/>
      <c r="AC453" s="274"/>
      <c r="AD453" s="274"/>
      <c r="AE453" s="274"/>
      <c r="AF453" s="274"/>
      <c r="AG453" s="274"/>
      <c r="AH453" s="274"/>
      <c r="AI453" s="274"/>
      <c r="AJ453" s="274"/>
      <c r="AK453" s="274"/>
    </row>
    <row r="454" spans="2:37" ht="13.2">
      <c r="B454" s="273"/>
      <c r="C454" s="273"/>
      <c r="D454" s="274"/>
      <c r="E454" s="274"/>
      <c r="F454" s="274"/>
      <c r="G454" s="274"/>
      <c r="H454" s="274"/>
      <c r="I454" s="274"/>
      <c r="J454" s="274"/>
      <c r="K454" s="274"/>
      <c r="L454" s="274"/>
      <c r="M454" s="274"/>
      <c r="N454" s="274"/>
      <c r="O454" s="274"/>
      <c r="P454" s="274"/>
      <c r="Q454" s="274"/>
      <c r="R454" s="274"/>
      <c r="S454" s="274"/>
      <c r="T454" s="274"/>
      <c r="U454" s="274"/>
      <c r="V454" s="274"/>
      <c r="W454" s="274"/>
      <c r="X454" s="274"/>
      <c r="Y454" s="274"/>
      <c r="Z454" s="274"/>
      <c r="AA454" s="274"/>
      <c r="AB454" s="274"/>
      <c r="AC454" s="274"/>
      <c r="AD454" s="274"/>
      <c r="AE454" s="274"/>
      <c r="AF454" s="274"/>
      <c r="AG454" s="274"/>
      <c r="AH454" s="274"/>
      <c r="AI454" s="274"/>
      <c r="AJ454" s="274"/>
      <c r="AK454" s="274"/>
    </row>
    <row r="455" spans="2:37" ht="13.2">
      <c r="B455" s="273"/>
      <c r="C455" s="273"/>
      <c r="D455" s="274"/>
      <c r="E455" s="274"/>
      <c r="F455" s="274"/>
      <c r="G455" s="274"/>
      <c r="H455" s="274"/>
      <c r="I455" s="274"/>
      <c r="J455" s="274"/>
      <c r="K455" s="274"/>
      <c r="L455" s="274"/>
      <c r="M455" s="274"/>
      <c r="N455" s="274"/>
      <c r="O455" s="274"/>
      <c r="P455" s="274"/>
      <c r="Q455" s="274"/>
      <c r="R455" s="274"/>
      <c r="S455" s="274"/>
      <c r="T455" s="274"/>
      <c r="U455" s="274"/>
      <c r="V455" s="274"/>
      <c r="W455" s="274"/>
      <c r="X455" s="274"/>
      <c r="Y455" s="274"/>
      <c r="Z455" s="274"/>
      <c r="AA455" s="274"/>
      <c r="AB455" s="274"/>
      <c r="AC455" s="274"/>
      <c r="AD455" s="274"/>
      <c r="AE455" s="274"/>
      <c r="AF455" s="274"/>
      <c r="AG455" s="274"/>
      <c r="AH455" s="274"/>
      <c r="AI455" s="274"/>
      <c r="AJ455" s="274"/>
      <c r="AK455" s="274"/>
    </row>
    <row r="456" spans="2:37" ht="13.2">
      <c r="B456" s="273"/>
      <c r="C456" s="273"/>
      <c r="D456" s="274"/>
      <c r="E456" s="274"/>
      <c r="F456" s="274"/>
      <c r="G456" s="274"/>
      <c r="H456" s="274"/>
      <c r="I456" s="274"/>
      <c r="J456" s="274"/>
      <c r="K456" s="274"/>
      <c r="L456" s="274"/>
      <c r="M456" s="274"/>
      <c r="N456" s="274"/>
      <c r="O456" s="274"/>
      <c r="P456" s="274"/>
      <c r="Q456" s="274"/>
      <c r="R456" s="274"/>
      <c r="S456" s="274"/>
      <c r="T456" s="274"/>
      <c r="U456" s="274"/>
      <c r="V456" s="274"/>
      <c r="W456" s="274"/>
      <c r="X456" s="274"/>
      <c r="Y456" s="274"/>
      <c r="Z456" s="274"/>
      <c r="AA456" s="274"/>
      <c r="AB456" s="274"/>
      <c r="AC456" s="274"/>
      <c r="AD456" s="274"/>
      <c r="AE456" s="274"/>
      <c r="AF456" s="274"/>
      <c r="AG456" s="274"/>
      <c r="AH456" s="274"/>
      <c r="AI456" s="274"/>
      <c r="AJ456" s="274"/>
      <c r="AK456" s="274"/>
    </row>
    <row r="457" spans="2:37" ht="13.2">
      <c r="B457" s="273"/>
      <c r="C457" s="273"/>
      <c r="D457" s="274"/>
      <c r="E457" s="274"/>
      <c r="F457" s="274"/>
      <c r="G457" s="274"/>
      <c r="H457" s="274"/>
      <c r="I457" s="274"/>
      <c r="J457" s="274"/>
      <c r="K457" s="274"/>
      <c r="L457" s="274"/>
      <c r="M457" s="274"/>
      <c r="N457" s="274"/>
      <c r="O457" s="274"/>
      <c r="P457" s="274"/>
      <c r="Q457" s="274"/>
      <c r="R457" s="274"/>
      <c r="S457" s="274"/>
      <c r="T457" s="274"/>
      <c r="U457" s="274"/>
      <c r="V457" s="274"/>
      <c r="W457" s="274"/>
      <c r="X457" s="274"/>
      <c r="Y457" s="274"/>
      <c r="Z457" s="274"/>
      <c r="AA457" s="274"/>
      <c r="AB457" s="274"/>
      <c r="AC457" s="274"/>
      <c r="AD457" s="274"/>
      <c r="AE457" s="274"/>
      <c r="AF457" s="274"/>
      <c r="AG457" s="274"/>
      <c r="AH457" s="274"/>
      <c r="AI457" s="274"/>
      <c r="AJ457" s="274"/>
      <c r="AK457" s="274"/>
    </row>
    <row r="458" spans="2:37" ht="13.2">
      <c r="B458" s="273"/>
      <c r="C458" s="273"/>
      <c r="D458" s="274"/>
      <c r="E458" s="274"/>
      <c r="F458" s="274"/>
      <c r="G458" s="274"/>
      <c r="H458" s="274"/>
      <c r="I458" s="274"/>
      <c r="J458" s="274"/>
      <c r="K458" s="274"/>
      <c r="L458" s="274"/>
      <c r="M458" s="274"/>
      <c r="N458" s="274"/>
      <c r="O458" s="274"/>
      <c r="P458" s="274"/>
      <c r="Q458" s="274"/>
      <c r="R458" s="274"/>
      <c r="S458" s="274"/>
      <c r="T458" s="274"/>
      <c r="U458" s="274"/>
      <c r="V458" s="274"/>
      <c r="W458" s="274"/>
      <c r="X458" s="274"/>
      <c r="Y458" s="274"/>
      <c r="Z458" s="274"/>
      <c r="AA458" s="274"/>
      <c r="AB458" s="274"/>
      <c r="AC458" s="274"/>
      <c r="AD458" s="274"/>
      <c r="AE458" s="274"/>
      <c r="AF458" s="274"/>
      <c r="AG458" s="274"/>
      <c r="AH458" s="274"/>
      <c r="AI458" s="274"/>
      <c r="AJ458" s="274"/>
      <c r="AK458" s="274"/>
    </row>
    <row r="459" spans="2:37" ht="13.2">
      <c r="B459" s="273"/>
      <c r="C459" s="273"/>
      <c r="D459" s="274"/>
      <c r="E459" s="274"/>
      <c r="F459" s="274"/>
      <c r="G459" s="274"/>
      <c r="H459" s="274"/>
      <c r="I459" s="274"/>
      <c r="J459" s="274"/>
      <c r="K459" s="274"/>
      <c r="L459" s="274"/>
      <c r="M459" s="274"/>
      <c r="N459" s="274"/>
      <c r="O459" s="274"/>
      <c r="P459" s="274"/>
      <c r="Q459" s="274"/>
      <c r="R459" s="274"/>
      <c r="S459" s="274"/>
      <c r="T459" s="274"/>
      <c r="U459" s="274"/>
      <c r="V459" s="274"/>
      <c r="W459" s="274"/>
      <c r="X459" s="274"/>
      <c r="Y459" s="274"/>
      <c r="Z459" s="274"/>
      <c r="AA459" s="274"/>
      <c r="AB459" s="274"/>
      <c r="AC459" s="274"/>
      <c r="AD459" s="274"/>
      <c r="AE459" s="274"/>
      <c r="AF459" s="274"/>
      <c r="AG459" s="274"/>
      <c r="AH459" s="274"/>
      <c r="AI459" s="274"/>
      <c r="AJ459" s="274"/>
      <c r="AK459" s="274"/>
    </row>
    <row r="460" spans="2:37" ht="13.2">
      <c r="B460" s="273"/>
      <c r="C460" s="273"/>
      <c r="D460" s="274"/>
      <c r="E460" s="274"/>
      <c r="F460" s="274"/>
      <c r="G460" s="274"/>
      <c r="H460" s="274"/>
      <c r="I460" s="274"/>
      <c r="J460" s="274"/>
      <c r="K460" s="274"/>
      <c r="L460" s="274"/>
      <c r="M460" s="274"/>
      <c r="N460" s="274"/>
      <c r="O460" s="274"/>
      <c r="P460" s="274"/>
      <c r="Q460" s="274"/>
      <c r="R460" s="274"/>
      <c r="S460" s="274"/>
      <c r="T460" s="274"/>
      <c r="U460" s="274"/>
      <c r="V460" s="274"/>
      <c r="W460" s="274"/>
      <c r="X460" s="274"/>
      <c r="Y460" s="274"/>
      <c r="Z460" s="274"/>
      <c r="AA460" s="274"/>
      <c r="AB460" s="274"/>
      <c r="AC460" s="274"/>
      <c r="AD460" s="274"/>
      <c r="AE460" s="274"/>
      <c r="AF460" s="274"/>
      <c r="AG460" s="274"/>
      <c r="AH460" s="274"/>
      <c r="AI460" s="274"/>
      <c r="AJ460" s="274"/>
      <c r="AK460" s="274"/>
    </row>
    <row r="461" spans="2:37" ht="13.2">
      <c r="B461" s="273"/>
      <c r="C461" s="273"/>
      <c r="D461" s="274"/>
      <c r="E461" s="274"/>
      <c r="F461" s="274"/>
      <c r="G461" s="274"/>
      <c r="H461" s="274"/>
      <c r="I461" s="274"/>
      <c r="J461" s="274"/>
      <c r="K461" s="274"/>
      <c r="L461" s="274"/>
      <c r="M461" s="274"/>
      <c r="N461" s="274"/>
      <c r="O461" s="274"/>
      <c r="P461" s="274"/>
      <c r="Q461" s="274"/>
      <c r="R461" s="274"/>
      <c r="S461" s="274"/>
      <c r="T461" s="274"/>
      <c r="U461" s="274"/>
      <c r="V461" s="274"/>
      <c r="W461" s="274"/>
      <c r="X461" s="274"/>
      <c r="Y461" s="274"/>
      <c r="Z461" s="274"/>
      <c r="AA461" s="274"/>
      <c r="AB461" s="274"/>
      <c r="AC461" s="274"/>
      <c r="AD461" s="274"/>
      <c r="AE461" s="274"/>
      <c r="AF461" s="274"/>
      <c r="AG461" s="274"/>
      <c r="AH461" s="274"/>
      <c r="AI461" s="274"/>
      <c r="AJ461" s="274"/>
      <c r="AK461" s="274"/>
    </row>
    <row r="462" spans="2:37" ht="13.2">
      <c r="B462" s="273"/>
      <c r="C462" s="273"/>
      <c r="D462" s="274"/>
      <c r="E462" s="274"/>
      <c r="F462" s="274"/>
      <c r="G462" s="274"/>
      <c r="H462" s="274"/>
      <c r="I462" s="274"/>
      <c r="J462" s="274"/>
      <c r="K462" s="274"/>
      <c r="L462" s="274"/>
      <c r="M462" s="274"/>
      <c r="N462" s="274"/>
      <c r="O462" s="274"/>
      <c r="P462" s="274"/>
      <c r="Q462" s="274"/>
      <c r="R462" s="274"/>
      <c r="S462" s="274"/>
      <c r="T462" s="274"/>
      <c r="U462" s="274"/>
      <c r="V462" s="274"/>
      <c r="W462" s="274"/>
      <c r="X462" s="274"/>
      <c r="Y462" s="274"/>
      <c r="Z462" s="274"/>
      <c r="AA462" s="274"/>
      <c r="AB462" s="274"/>
      <c r="AC462" s="274"/>
      <c r="AD462" s="274"/>
      <c r="AE462" s="274"/>
      <c r="AF462" s="274"/>
      <c r="AG462" s="274"/>
      <c r="AH462" s="274"/>
      <c r="AI462" s="274"/>
      <c r="AJ462" s="274"/>
      <c r="AK462" s="274"/>
    </row>
    <row r="463" spans="2:37" ht="13.2">
      <c r="B463" s="273"/>
      <c r="C463" s="273"/>
      <c r="D463" s="274"/>
      <c r="E463" s="274"/>
      <c r="F463" s="274"/>
      <c r="G463" s="274"/>
      <c r="H463" s="274"/>
      <c r="I463" s="274"/>
      <c r="J463" s="274"/>
      <c r="K463" s="274"/>
      <c r="L463" s="274"/>
      <c r="M463" s="274"/>
      <c r="N463" s="274"/>
      <c r="O463" s="274"/>
      <c r="P463" s="274"/>
      <c r="Q463" s="274"/>
      <c r="R463" s="274"/>
      <c r="S463" s="274"/>
      <c r="T463" s="274"/>
      <c r="U463" s="274"/>
      <c r="V463" s="274"/>
      <c r="W463" s="274"/>
      <c r="X463" s="274"/>
      <c r="Y463" s="274"/>
      <c r="Z463" s="274"/>
      <c r="AA463" s="274"/>
      <c r="AB463" s="274"/>
      <c r="AC463" s="274"/>
      <c r="AD463" s="274"/>
      <c r="AE463" s="274"/>
      <c r="AF463" s="274"/>
      <c r="AG463" s="274"/>
      <c r="AH463" s="274"/>
      <c r="AI463" s="274"/>
      <c r="AJ463" s="274"/>
      <c r="AK463" s="274"/>
    </row>
    <row r="464" spans="2:37" ht="13.2">
      <c r="B464" s="273"/>
      <c r="C464" s="273"/>
      <c r="D464" s="274"/>
      <c r="E464" s="274"/>
      <c r="F464" s="274"/>
      <c r="G464" s="274"/>
      <c r="H464" s="274"/>
      <c r="I464" s="274"/>
      <c r="J464" s="274"/>
      <c r="K464" s="274"/>
      <c r="L464" s="274"/>
      <c r="M464" s="274"/>
      <c r="N464" s="274"/>
      <c r="O464" s="274"/>
      <c r="P464" s="274"/>
      <c r="Q464" s="274"/>
      <c r="R464" s="274"/>
      <c r="S464" s="274"/>
      <c r="T464" s="274"/>
      <c r="U464" s="274"/>
      <c r="V464" s="274"/>
      <c r="W464" s="274"/>
      <c r="X464" s="274"/>
      <c r="Y464" s="274"/>
      <c r="Z464" s="274"/>
      <c r="AA464" s="274"/>
      <c r="AB464" s="274"/>
      <c r="AC464" s="274"/>
      <c r="AD464" s="274"/>
      <c r="AE464" s="274"/>
      <c r="AF464" s="274"/>
      <c r="AG464" s="274"/>
      <c r="AH464" s="274"/>
      <c r="AI464" s="274"/>
      <c r="AJ464" s="274"/>
      <c r="AK464" s="274"/>
    </row>
    <row r="465" spans="2:37" ht="13.2">
      <c r="B465" s="273"/>
      <c r="C465" s="273"/>
      <c r="D465" s="274"/>
      <c r="E465" s="274"/>
      <c r="F465" s="274"/>
      <c r="G465" s="274"/>
      <c r="H465" s="274"/>
      <c r="I465" s="274"/>
      <c r="J465" s="274"/>
      <c r="K465" s="274"/>
      <c r="L465" s="274"/>
      <c r="M465" s="274"/>
      <c r="N465" s="274"/>
      <c r="O465" s="274"/>
      <c r="P465" s="274"/>
      <c r="Q465" s="274"/>
      <c r="R465" s="274"/>
      <c r="S465" s="274"/>
      <c r="T465" s="274"/>
      <c r="U465" s="274"/>
      <c r="V465" s="274"/>
      <c r="W465" s="274"/>
      <c r="X465" s="274"/>
      <c r="Y465" s="274"/>
      <c r="Z465" s="274"/>
      <c r="AA465" s="274"/>
      <c r="AB465" s="274"/>
      <c r="AC465" s="274"/>
      <c r="AD465" s="274"/>
      <c r="AE465" s="274"/>
      <c r="AF465" s="274"/>
      <c r="AG465" s="274"/>
      <c r="AH465" s="274"/>
      <c r="AI465" s="274"/>
      <c r="AJ465" s="274"/>
      <c r="AK465" s="274"/>
    </row>
    <row r="466" spans="2:37" ht="13.2">
      <c r="B466" s="273"/>
      <c r="C466" s="273"/>
      <c r="D466" s="274"/>
      <c r="E466" s="274"/>
      <c r="F466" s="274"/>
      <c r="G466" s="274"/>
      <c r="H466" s="274"/>
      <c r="I466" s="274"/>
      <c r="J466" s="274"/>
      <c r="K466" s="274"/>
      <c r="L466" s="274"/>
      <c r="M466" s="274"/>
      <c r="N466" s="274"/>
      <c r="O466" s="274"/>
      <c r="P466" s="274"/>
      <c r="Q466" s="274"/>
      <c r="R466" s="274"/>
      <c r="S466" s="274"/>
      <c r="T466" s="274"/>
      <c r="U466" s="274"/>
      <c r="V466" s="274"/>
      <c r="W466" s="274"/>
      <c r="X466" s="274"/>
      <c r="Y466" s="274"/>
      <c r="Z466" s="274"/>
      <c r="AA466" s="274"/>
      <c r="AB466" s="274"/>
      <c r="AC466" s="274"/>
      <c r="AD466" s="274"/>
      <c r="AE466" s="274"/>
      <c r="AF466" s="274"/>
      <c r="AG466" s="274"/>
      <c r="AH466" s="274"/>
      <c r="AI466" s="274"/>
      <c r="AJ466" s="274"/>
      <c r="AK466" s="274"/>
    </row>
    <row r="467" spans="2:37" ht="13.2">
      <c r="B467" s="273"/>
      <c r="C467" s="273"/>
      <c r="D467" s="274"/>
      <c r="E467" s="274"/>
      <c r="F467" s="274"/>
      <c r="G467" s="274"/>
      <c r="H467" s="274"/>
      <c r="I467" s="274"/>
      <c r="J467" s="274"/>
      <c r="K467" s="274"/>
      <c r="L467" s="274"/>
      <c r="M467" s="274"/>
      <c r="N467" s="274"/>
      <c r="O467" s="274"/>
      <c r="P467" s="274"/>
      <c r="Q467" s="274"/>
      <c r="R467" s="274"/>
      <c r="S467" s="274"/>
      <c r="T467" s="274"/>
      <c r="U467" s="274"/>
      <c r="V467" s="274"/>
      <c r="W467" s="274"/>
      <c r="X467" s="274"/>
      <c r="Y467" s="274"/>
      <c r="Z467" s="274"/>
      <c r="AA467" s="274"/>
      <c r="AB467" s="274"/>
      <c r="AC467" s="274"/>
      <c r="AD467" s="274"/>
      <c r="AE467" s="274"/>
      <c r="AF467" s="274"/>
      <c r="AG467" s="274"/>
      <c r="AH467" s="274"/>
      <c r="AI467" s="274"/>
      <c r="AJ467" s="274"/>
      <c r="AK467" s="274"/>
    </row>
    <row r="468" spans="2:37" ht="13.2">
      <c r="B468" s="273"/>
      <c r="C468" s="273"/>
      <c r="D468" s="274"/>
      <c r="E468" s="274"/>
      <c r="F468" s="274"/>
      <c r="G468" s="274"/>
      <c r="H468" s="274"/>
      <c r="I468" s="274"/>
      <c r="J468" s="274"/>
      <c r="K468" s="274"/>
      <c r="L468" s="274"/>
      <c r="M468" s="274"/>
      <c r="N468" s="274"/>
      <c r="O468" s="274"/>
      <c r="P468" s="274"/>
      <c r="Q468" s="274"/>
      <c r="R468" s="274"/>
      <c r="S468" s="274"/>
      <c r="T468" s="274"/>
      <c r="U468" s="274"/>
      <c r="V468" s="274"/>
      <c r="W468" s="274"/>
      <c r="X468" s="274"/>
      <c r="Y468" s="274"/>
      <c r="Z468" s="274"/>
      <c r="AA468" s="274"/>
      <c r="AB468" s="274"/>
      <c r="AC468" s="274"/>
      <c r="AD468" s="274"/>
      <c r="AE468" s="274"/>
      <c r="AF468" s="274"/>
      <c r="AG468" s="274"/>
      <c r="AH468" s="274"/>
      <c r="AI468" s="274"/>
      <c r="AJ468" s="274"/>
      <c r="AK468" s="274"/>
    </row>
    <row r="469" spans="2:37" ht="13.2">
      <c r="B469" s="273"/>
      <c r="C469" s="273"/>
      <c r="D469" s="274"/>
      <c r="E469" s="274"/>
      <c r="F469" s="274"/>
      <c r="G469" s="274"/>
      <c r="H469" s="274"/>
      <c r="I469" s="274"/>
      <c r="J469" s="274"/>
      <c r="K469" s="274"/>
      <c r="L469" s="274"/>
      <c r="M469" s="274"/>
      <c r="N469" s="274"/>
      <c r="O469" s="274"/>
      <c r="P469" s="274"/>
      <c r="Q469" s="274"/>
      <c r="R469" s="274"/>
      <c r="S469" s="274"/>
      <c r="T469" s="274"/>
      <c r="U469" s="274"/>
      <c r="V469" s="274"/>
      <c r="W469" s="274"/>
      <c r="X469" s="274"/>
      <c r="Y469" s="274"/>
      <c r="Z469" s="274"/>
      <c r="AA469" s="274"/>
      <c r="AB469" s="274"/>
      <c r="AC469" s="274"/>
      <c r="AD469" s="274"/>
      <c r="AE469" s="274"/>
      <c r="AF469" s="274"/>
      <c r="AG469" s="274"/>
      <c r="AH469" s="274"/>
      <c r="AI469" s="274"/>
      <c r="AJ469" s="274"/>
      <c r="AK469" s="274"/>
    </row>
    <row r="470" spans="2:37" ht="13.2">
      <c r="B470" s="273"/>
      <c r="C470" s="273"/>
      <c r="D470" s="274"/>
      <c r="E470" s="274"/>
      <c r="F470" s="274"/>
      <c r="G470" s="274"/>
      <c r="H470" s="274"/>
      <c r="I470" s="274"/>
      <c r="J470" s="274"/>
      <c r="K470" s="274"/>
      <c r="L470" s="274"/>
      <c r="M470" s="274"/>
      <c r="N470" s="274"/>
      <c r="O470" s="274"/>
      <c r="P470" s="274"/>
      <c r="Q470" s="274"/>
      <c r="R470" s="274"/>
      <c r="S470" s="274"/>
      <c r="T470" s="274"/>
      <c r="U470" s="274"/>
      <c r="V470" s="274"/>
      <c r="W470" s="274"/>
      <c r="X470" s="274"/>
      <c r="Y470" s="274"/>
      <c r="Z470" s="274"/>
      <c r="AA470" s="274"/>
      <c r="AB470" s="274"/>
      <c r="AC470" s="274"/>
      <c r="AD470" s="274"/>
      <c r="AE470" s="274"/>
      <c r="AF470" s="274"/>
      <c r="AG470" s="274"/>
      <c r="AH470" s="274"/>
      <c r="AI470" s="274"/>
      <c r="AJ470" s="274"/>
      <c r="AK470" s="274"/>
    </row>
    <row r="471" spans="2:37" ht="13.2">
      <c r="B471" s="273"/>
      <c r="C471" s="273"/>
      <c r="D471" s="274"/>
      <c r="E471" s="274"/>
      <c r="F471" s="274"/>
      <c r="G471" s="274"/>
      <c r="H471" s="274"/>
      <c r="I471" s="274"/>
      <c r="J471" s="274"/>
      <c r="K471" s="274"/>
      <c r="L471" s="274"/>
      <c r="M471" s="274"/>
      <c r="N471" s="274"/>
      <c r="O471" s="274"/>
      <c r="P471" s="274"/>
      <c r="Q471" s="274"/>
      <c r="R471" s="274"/>
      <c r="S471" s="274"/>
      <c r="T471" s="274"/>
      <c r="U471" s="274"/>
      <c r="V471" s="274"/>
      <c r="W471" s="274"/>
      <c r="X471" s="274"/>
      <c r="Y471" s="274"/>
      <c r="Z471" s="274"/>
      <c r="AA471" s="274"/>
      <c r="AB471" s="274"/>
      <c r="AC471" s="274"/>
      <c r="AD471" s="274"/>
      <c r="AE471" s="274"/>
      <c r="AF471" s="274"/>
      <c r="AG471" s="274"/>
      <c r="AH471" s="274"/>
      <c r="AI471" s="274"/>
      <c r="AJ471" s="274"/>
      <c r="AK471" s="274"/>
    </row>
    <row r="472" spans="2:37" ht="13.2">
      <c r="B472" s="273"/>
      <c r="C472" s="273"/>
      <c r="D472" s="274"/>
      <c r="E472" s="274"/>
      <c r="F472" s="274"/>
      <c r="G472" s="274"/>
      <c r="H472" s="274"/>
      <c r="I472" s="274"/>
      <c r="J472" s="274"/>
      <c r="K472" s="274"/>
      <c r="L472" s="274"/>
      <c r="M472" s="274"/>
      <c r="N472" s="274"/>
      <c r="O472" s="274"/>
      <c r="P472" s="274"/>
      <c r="Q472" s="274"/>
      <c r="R472" s="274"/>
      <c r="S472" s="274"/>
      <c r="T472" s="274"/>
      <c r="U472" s="274"/>
      <c r="V472" s="274"/>
      <c r="W472" s="274"/>
      <c r="X472" s="274"/>
      <c r="Y472" s="274"/>
      <c r="Z472" s="274"/>
      <c r="AA472" s="274"/>
      <c r="AB472" s="274"/>
      <c r="AC472" s="274"/>
      <c r="AD472" s="274"/>
      <c r="AE472" s="274"/>
      <c r="AF472" s="274"/>
      <c r="AG472" s="274"/>
      <c r="AH472" s="274"/>
      <c r="AI472" s="274"/>
      <c r="AJ472" s="274"/>
      <c r="AK472" s="274"/>
    </row>
    <row r="473" spans="2:37" ht="13.2">
      <c r="B473" s="273"/>
      <c r="C473" s="273"/>
      <c r="D473" s="274"/>
      <c r="E473" s="274"/>
      <c r="F473" s="274"/>
      <c r="G473" s="274"/>
      <c r="H473" s="274"/>
      <c r="I473" s="274"/>
      <c r="J473" s="274"/>
      <c r="K473" s="274"/>
      <c r="L473" s="274"/>
      <c r="M473" s="274"/>
      <c r="N473" s="274"/>
      <c r="O473" s="274"/>
      <c r="P473" s="274"/>
      <c r="Q473" s="274"/>
      <c r="R473" s="274"/>
      <c r="S473" s="274"/>
      <c r="T473" s="274"/>
      <c r="U473" s="274"/>
      <c r="V473" s="274"/>
      <c r="W473" s="274"/>
      <c r="X473" s="274"/>
      <c r="Y473" s="274"/>
      <c r="Z473" s="274"/>
      <c r="AA473" s="274"/>
      <c r="AB473" s="274"/>
      <c r="AC473" s="274"/>
      <c r="AD473" s="274"/>
      <c r="AE473" s="274"/>
      <c r="AF473" s="274"/>
      <c r="AG473" s="274"/>
      <c r="AH473" s="274"/>
      <c r="AI473" s="274"/>
      <c r="AJ473" s="274"/>
      <c r="AK473" s="274"/>
    </row>
    <row r="474" spans="2:37" ht="13.2">
      <c r="B474" s="273"/>
      <c r="C474" s="273"/>
      <c r="D474" s="274"/>
      <c r="E474" s="274"/>
      <c r="F474" s="274"/>
      <c r="G474" s="274"/>
      <c r="H474" s="274"/>
      <c r="I474" s="274"/>
      <c r="J474" s="274"/>
      <c r="K474" s="274"/>
      <c r="L474" s="274"/>
      <c r="M474" s="274"/>
      <c r="N474" s="274"/>
      <c r="O474" s="274"/>
      <c r="P474" s="274"/>
      <c r="Q474" s="274"/>
      <c r="R474" s="274"/>
      <c r="S474" s="274"/>
      <c r="T474" s="274"/>
      <c r="U474" s="274"/>
      <c r="V474" s="274"/>
      <c r="W474" s="274"/>
      <c r="X474" s="274"/>
      <c r="Y474" s="274"/>
      <c r="Z474" s="274"/>
      <c r="AA474" s="274"/>
      <c r="AB474" s="274"/>
      <c r="AC474" s="274"/>
      <c r="AD474" s="274"/>
      <c r="AE474" s="274"/>
      <c r="AF474" s="274"/>
      <c r="AG474" s="274"/>
      <c r="AH474" s="274"/>
      <c r="AI474" s="274"/>
      <c r="AJ474" s="274"/>
      <c r="AK474" s="274"/>
    </row>
    <row r="475" spans="2:37" ht="13.2">
      <c r="B475" s="273"/>
      <c r="C475" s="273"/>
      <c r="D475" s="274"/>
      <c r="E475" s="274"/>
      <c r="F475" s="274"/>
      <c r="G475" s="274"/>
      <c r="H475" s="274"/>
      <c r="I475" s="274"/>
      <c r="J475" s="274"/>
      <c r="K475" s="274"/>
      <c r="L475" s="274"/>
      <c r="M475" s="274"/>
      <c r="N475" s="274"/>
      <c r="O475" s="274"/>
      <c r="P475" s="274"/>
      <c r="Q475" s="274"/>
      <c r="R475" s="274"/>
      <c r="S475" s="274"/>
      <c r="T475" s="274"/>
      <c r="U475" s="274"/>
      <c r="V475" s="274"/>
      <c r="W475" s="274"/>
      <c r="X475" s="274"/>
      <c r="Y475" s="274"/>
      <c r="Z475" s="274"/>
      <c r="AA475" s="274"/>
      <c r="AB475" s="274"/>
      <c r="AC475" s="274"/>
      <c r="AD475" s="274"/>
      <c r="AE475" s="274"/>
      <c r="AF475" s="274"/>
      <c r="AG475" s="274"/>
      <c r="AH475" s="274"/>
      <c r="AI475" s="274"/>
      <c r="AJ475" s="274"/>
      <c r="AK475" s="274"/>
    </row>
    <row r="476" spans="2:37" ht="13.2">
      <c r="B476" s="273"/>
      <c r="C476" s="273"/>
      <c r="D476" s="274"/>
      <c r="E476" s="274"/>
      <c r="F476" s="274"/>
      <c r="G476" s="274"/>
      <c r="H476" s="274"/>
      <c r="I476" s="274"/>
      <c r="J476" s="274"/>
      <c r="K476" s="274"/>
      <c r="L476" s="274"/>
      <c r="M476" s="274"/>
      <c r="N476" s="274"/>
      <c r="O476" s="274"/>
      <c r="P476" s="274"/>
      <c r="Q476" s="274"/>
      <c r="R476" s="274"/>
      <c r="S476" s="274"/>
      <c r="T476" s="274"/>
      <c r="U476" s="274"/>
      <c r="V476" s="274"/>
      <c r="W476" s="274"/>
      <c r="X476" s="274"/>
      <c r="Y476" s="274"/>
      <c r="Z476" s="274"/>
      <c r="AA476" s="274"/>
      <c r="AB476" s="274"/>
      <c r="AC476" s="274"/>
      <c r="AD476" s="274"/>
      <c r="AE476" s="274"/>
      <c r="AF476" s="274"/>
      <c r="AG476" s="274"/>
      <c r="AH476" s="274"/>
      <c r="AI476" s="274"/>
      <c r="AJ476" s="274"/>
      <c r="AK476" s="274"/>
    </row>
    <row r="477" spans="2:37" ht="13.2">
      <c r="B477" s="273"/>
      <c r="C477" s="273"/>
      <c r="D477" s="274"/>
      <c r="E477" s="274"/>
      <c r="F477" s="274"/>
      <c r="G477" s="274"/>
      <c r="H477" s="274"/>
      <c r="I477" s="274"/>
      <c r="J477" s="274"/>
      <c r="K477" s="274"/>
      <c r="L477" s="274"/>
      <c r="M477" s="274"/>
      <c r="N477" s="274"/>
      <c r="O477" s="274"/>
      <c r="P477" s="274"/>
      <c r="Q477" s="274"/>
      <c r="R477" s="274"/>
      <c r="S477" s="274"/>
      <c r="T477" s="274"/>
      <c r="U477" s="274"/>
      <c r="V477" s="274"/>
      <c r="W477" s="274"/>
      <c r="X477" s="274"/>
      <c r="Y477" s="274"/>
      <c r="Z477" s="274"/>
      <c r="AA477" s="274"/>
      <c r="AB477" s="274"/>
      <c r="AC477" s="274"/>
      <c r="AD477" s="274"/>
      <c r="AE477" s="274"/>
      <c r="AF477" s="274"/>
      <c r="AG477" s="274"/>
      <c r="AH477" s="274"/>
      <c r="AI477" s="274"/>
      <c r="AJ477" s="274"/>
      <c r="AK477" s="274"/>
    </row>
    <row r="478" spans="2:37" ht="13.2">
      <c r="B478" s="273"/>
      <c r="C478" s="273"/>
      <c r="D478" s="274"/>
      <c r="E478" s="274"/>
      <c r="F478" s="274"/>
      <c r="G478" s="274"/>
      <c r="H478" s="274"/>
      <c r="I478" s="274"/>
      <c r="J478" s="274"/>
      <c r="K478" s="274"/>
      <c r="L478" s="274"/>
      <c r="M478" s="274"/>
      <c r="N478" s="274"/>
      <c r="O478" s="274"/>
      <c r="P478" s="274"/>
      <c r="Q478" s="274"/>
      <c r="R478" s="274"/>
      <c r="S478" s="274"/>
      <c r="T478" s="274"/>
      <c r="U478" s="274"/>
      <c r="V478" s="274"/>
      <c r="W478" s="274"/>
      <c r="X478" s="274"/>
      <c r="Y478" s="274"/>
      <c r="Z478" s="274"/>
      <c r="AA478" s="274"/>
      <c r="AB478" s="274"/>
      <c r="AC478" s="274"/>
      <c r="AD478" s="274"/>
      <c r="AE478" s="274"/>
      <c r="AF478" s="274"/>
      <c r="AG478" s="274"/>
      <c r="AH478" s="274"/>
      <c r="AI478" s="274"/>
      <c r="AJ478" s="274"/>
      <c r="AK478" s="274"/>
    </row>
    <row r="479" spans="2:37" ht="13.2">
      <c r="B479" s="273"/>
      <c r="C479" s="273"/>
      <c r="D479" s="274"/>
      <c r="E479" s="274"/>
      <c r="F479" s="274"/>
      <c r="G479" s="274"/>
      <c r="H479" s="274"/>
      <c r="I479" s="274"/>
      <c r="J479" s="274"/>
      <c r="K479" s="274"/>
      <c r="L479" s="274"/>
      <c r="M479" s="274"/>
      <c r="N479" s="274"/>
      <c r="O479" s="274"/>
      <c r="P479" s="274"/>
      <c r="Q479" s="274"/>
      <c r="R479" s="274"/>
      <c r="S479" s="274"/>
      <c r="T479" s="274"/>
      <c r="U479" s="274"/>
      <c r="V479" s="274"/>
      <c r="W479" s="274"/>
      <c r="X479" s="274"/>
      <c r="Y479" s="274"/>
      <c r="Z479" s="274"/>
      <c r="AA479" s="274"/>
      <c r="AB479" s="274"/>
      <c r="AC479" s="274"/>
      <c r="AD479" s="274"/>
      <c r="AE479" s="274"/>
      <c r="AF479" s="274"/>
      <c r="AG479" s="274"/>
      <c r="AH479" s="274"/>
      <c r="AI479" s="274"/>
      <c r="AJ479" s="274"/>
      <c r="AK479" s="274"/>
    </row>
    <row r="480" spans="2:37" ht="13.2">
      <c r="B480" s="273"/>
      <c r="C480" s="273"/>
      <c r="D480" s="274"/>
      <c r="E480" s="274"/>
      <c r="F480" s="274"/>
      <c r="G480" s="274"/>
      <c r="H480" s="274"/>
      <c r="I480" s="274"/>
      <c r="J480" s="274"/>
      <c r="K480" s="274"/>
      <c r="L480" s="274"/>
      <c r="M480" s="274"/>
      <c r="N480" s="274"/>
      <c r="O480" s="274"/>
      <c r="P480" s="274"/>
      <c r="Q480" s="274"/>
      <c r="R480" s="274"/>
      <c r="S480" s="274"/>
      <c r="T480" s="274"/>
      <c r="U480" s="274"/>
      <c r="V480" s="274"/>
      <c r="W480" s="274"/>
      <c r="X480" s="274"/>
      <c r="Y480" s="274"/>
      <c r="Z480" s="274"/>
      <c r="AA480" s="274"/>
      <c r="AB480" s="274"/>
      <c r="AC480" s="274"/>
      <c r="AD480" s="274"/>
      <c r="AE480" s="274"/>
      <c r="AF480" s="274"/>
      <c r="AG480" s="274"/>
      <c r="AH480" s="274"/>
      <c r="AI480" s="274"/>
      <c r="AJ480" s="274"/>
      <c r="AK480" s="274"/>
    </row>
    <row r="481" spans="2:37" ht="13.2">
      <c r="B481" s="273"/>
      <c r="C481" s="273"/>
      <c r="D481" s="274"/>
      <c r="E481" s="274"/>
      <c r="F481" s="274"/>
      <c r="G481" s="274"/>
      <c r="H481" s="274"/>
      <c r="I481" s="274"/>
      <c r="J481" s="274"/>
      <c r="K481" s="274"/>
      <c r="L481" s="274"/>
      <c r="M481" s="274"/>
      <c r="N481" s="274"/>
      <c r="O481" s="274"/>
      <c r="P481" s="274"/>
      <c r="Q481" s="274"/>
      <c r="R481" s="274"/>
      <c r="S481" s="274"/>
      <c r="T481" s="274"/>
      <c r="U481" s="274"/>
      <c r="V481" s="274"/>
      <c r="W481" s="274"/>
      <c r="X481" s="274"/>
      <c r="Y481" s="274"/>
      <c r="Z481" s="274"/>
      <c r="AA481" s="274"/>
      <c r="AB481" s="274"/>
      <c r="AC481" s="274"/>
      <c r="AD481" s="274"/>
      <c r="AE481" s="274"/>
      <c r="AF481" s="274"/>
      <c r="AG481" s="274"/>
      <c r="AH481" s="274"/>
      <c r="AI481" s="274"/>
      <c r="AJ481" s="274"/>
      <c r="AK481" s="274"/>
    </row>
    <row r="482" spans="2:37" ht="13.2">
      <c r="B482" s="273"/>
      <c r="C482" s="273"/>
      <c r="D482" s="274"/>
      <c r="E482" s="274"/>
      <c r="F482" s="274"/>
      <c r="G482" s="274"/>
      <c r="H482" s="274"/>
      <c r="I482" s="274"/>
      <c r="J482" s="274"/>
      <c r="K482" s="274"/>
      <c r="L482" s="274"/>
      <c r="M482" s="274"/>
      <c r="N482" s="274"/>
      <c r="O482" s="274"/>
      <c r="P482" s="274"/>
      <c r="Q482" s="274"/>
      <c r="R482" s="274"/>
      <c r="S482" s="274"/>
      <c r="T482" s="274"/>
      <c r="U482" s="274"/>
      <c r="V482" s="274"/>
      <c r="W482" s="274"/>
      <c r="X482" s="274"/>
      <c r="Y482" s="274"/>
      <c r="Z482" s="274"/>
      <c r="AA482" s="274"/>
      <c r="AB482" s="274"/>
      <c r="AC482" s="274"/>
      <c r="AD482" s="274"/>
      <c r="AE482" s="274"/>
      <c r="AF482" s="274"/>
      <c r="AG482" s="274"/>
      <c r="AH482" s="274"/>
      <c r="AI482" s="274"/>
      <c r="AJ482" s="274"/>
      <c r="AK482" s="274"/>
    </row>
    <row r="483" spans="2:37" ht="13.2">
      <c r="B483" s="273"/>
      <c r="C483" s="273"/>
      <c r="D483" s="274"/>
      <c r="E483" s="274"/>
      <c r="F483" s="274"/>
      <c r="G483" s="274"/>
      <c r="H483" s="274"/>
      <c r="I483" s="274"/>
      <c r="J483" s="274"/>
      <c r="K483" s="274"/>
      <c r="L483" s="274"/>
      <c r="M483" s="274"/>
      <c r="N483" s="274"/>
      <c r="O483" s="274"/>
      <c r="P483" s="274"/>
      <c r="Q483" s="274"/>
      <c r="R483" s="274"/>
      <c r="S483" s="274"/>
      <c r="T483" s="274"/>
      <c r="U483" s="274"/>
      <c r="V483" s="274"/>
      <c r="W483" s="274"/>
      <c r="X483" s="274"/>
      <c r="Y483" s="274"/>
      <c r="Z483" s="274"/>
      <c r="AA483" s="274"/>
      <c r="AB483" s="274"/>
      <c r="AC483" s="274"/>
      <c r="AD483" s="274"/>
      <c r="AE483" s="274"/>
      <c r="AF483" s="274"/>
      <c r="AG483" s="274"/>
      <c r="AH483" s="274"/>
      <c r="AI483" s="274"/>
      <c r="AJ483" s="274"/>
      <c r="AK483" s="274"/>
    </row>
    <row r="484" spans="2:37" ht="13.2">
      <c r="B484" s="273"/>
      <c r="C484" s="273"/>
      <c r="D484" s="274"/>
      <c r="E484" s="274"/>
      <c r="F484" s="274"/>
      <c r="G484" s="274"/>
      <c r="H484" s="274"/>
      <c r="I484" s="274"/>
      <c r="J484" s="274"/>
      <c r="K484" s="274"/>
      <c r="L484" s="274"/>
      <c r="M484" s="274"/>
      <c r="N484" s="274"/>
      <c r="O484" s="274"/>
      <c r="P484" s="274"/>
      <c r="Q484" s="274"/>
      <c r="R484" s="274"/>
      <c r="S484" s="274"/>
      <c r="T484" s="274"/>
      <c r="U484" s="274"/>
      <c r="V484" s="274"/>
      <c r="W484" s="274"/>
      <c r="X484" s="274"/>
      <c r="Y484" s="274"/>
      <c r="Z484" s="274"/>
      <c r="AA484" s="274"/>
      <c r="AB484" s="274"/>
      <c r="AC484" s="274"/>
      <c r="AD484" s="274"/>
      <c r="AE484" s="274"/>
      <c r="AF484" s="274"/>
      <c r="AG484" s="274"/>
      <c r="AH484" s="274"/>
      <c r="AI484" s="274"/>
      <c r="AJ484" s="274"/>
      <c r="AK484" s="274"/>
    </row>
    <row r="485" spans="2:37" ht="13.2">
      <c r="B485" s="273"/>
      <c r="C485" s="273"/>
      <c r="D485" s="274"/>
      <c r="E485" s="274"/>
      <c r="F485" s="274"/>
      <c r="G485" s="274"/>
      <c r="H485" s="274"/>
      <c r="I485" s="274"/>
      <c r="J485" s="274"/>
      <c r="K485" s="274"/>
      <c r="L485" s="274"/>
      <c r="M485" s="274"/>
      <c r="N485" s="274"/>
      <c r="O485" s="274"/>
      <c r="P485" s="274"/>
      <c r="Q485" s="274"/>
      <c r="R485" s="274"/>
      <c r="S485" s="274"/>
      <c r="T485" s="274"/>
      <c r="U485" s="274"/>
      <c r="V485" s="274"/>
      <c r="W485" s="274"/>
      <c r="X485" s="274"/>
      <c r="Y485" s="274"/>
      <c r="Z485" s="274"/>
      <c r="AA485" s="274"/>
      <c r="AB485" s="274"/>
      <c r="AC485" s="274"/>
      <c r="AD485" s="274"/>
      <c r="AE485" s="274"/>
      <c r="AF485" s="274"/>
      <c r="AG485" s="274"/>
      <c r="AH485" s="274"/>
      <c r="AI485" s="274"/>
      <c r="AJ485" s="274"/>
      <c r="AK485" s="274"/>
    </row>
    <row r="486" spans="2:37" ht="13.2">
      <c r="B486" s="273"/>
      <c r="C486" s="273"/>
      <c r="D486" s="274"/>
      <c r="E486" s="274"/>
      <c r="F486" s="274"/>
      <c r="G486" s="274"/>
      <c r="H486" s="274"/>
      <c r="I486" s="274"/>
      <c r="J486" s="274"/>
      <c r="K486" s="274"/>
      <c r="L486" s="274"/>
      <c r="M486" s="274"/>
      <c r="N486" s="274"/>
      <c r="O486" s="274"/>
      <c r="P486" s="274"/>
      <c r="Q486" s="274"/>
      <c r="R486" s="274"/>
      <c r="S486" s="274"/>
      <c r="T486" s="274"/>
      <c r="U486" s="274"/>
      <c r="V486" s="274"/>
      <c r="W486" s="274"/>
      <c r="X486" s="274"/>
      <c r="Y486" s="274"/>
      <c r="Z486" s="274"/>
      <c r="AA486" s="274"/>
      <c r="AB486" s="274"/>
      <c r="AC486" s="274"/>
      <c r="AD486" s="274"/>
      <c r="AE486" s="274"/>
      <c r="AF486" s="274"/>
      <c r="AG486" s="274"/>
      <c r="AH486" s="274"/>
      <c r="AI486" s="274"/>
      <c r="AJ486" s="274"/>
      <c r="AK486" s="274"/>
    </row>
    <row r="487" spans="2:37" ht="13.2">
      <c r="B487" s="273"/>
      <c r="C487" s="273"/>
      <c r="D487" s="274"/>
      <c r="E487" s="274"/>
      <c r="F487" s="274"/>
      <c r="G487" s="274"/>
      <c r="H487" s="274"/>
      <c r="I487" s="274"/>
      <c r="J487" s="274"/>
      <c r="K487" s="274"/>
      <c r="L487" s="274"/>
      <c r="M487" s="274"/>
      <c r="N487" s="274"/>
      <c r="O487" s="274"/>
      <c r="P487" s="274"/>
      <c r="Q487" s="274"/>
      <c r="R487" s="274"/>
      <c r="S487" s="274"/>
      <c r="T487" s="274"/>
      <c r="U487" s="274"/>
      <c r="V487" s="274"/>
      <c r="W487" s="274"/>
      <c r="X487" s="274"/>
      <c r="Y487" s="274"/>
      <c r="Z487" s="274"/>
      <c r="AA487" s="274"/>
      <c r="AB487" s="274"/>
      <c r="AC487" s="274"/>
      <c r="AD487" s="274"/>
      <c r="AE487" s="274"/>
      <c r="AF487" s="274"/>
      <c r="AG487" s="274"/>
      <c r="AH487" s="274"/>
      <c r="AI487" s="274"/>
      <c r="AJ487" s="274"/>
      <c r="AK487" s="274"/>
    </row>
    <row r="488" spans="2:37" ht="13.2">
      <c r="B488" s="273"/>
      <c r="C488" s="273"/>
      <c r="D488" s="274"/>
      <c r="E488" s="274"/>
      <c r="F488" s="274"/>
      <c r="G488" s="274"/>
      <c r="H488" s="274"/>
      <c r="I488" s="274"/>
      <c r="J488" s="274"/>
      <c r="K488" s="274"/>
      <c r="L488" s="274"/>
      <c r="M488" s="274"/>
      <c r="N488" s="274"/>
      <c r="O488" s="274"/>
      <c r="P488" s="274"/>
      <c r="Q488" s="274"/>
      <c r="R488" s="274"/>
      <c r="S488" s="274"/>
      <c r="T488" s="274"/>
      <c r="U488" s="274"/>
      <c r="V488" s="274"/>
      <c r="W488" s="274"/>
      <c r="X488" s="274"/>
      <c r="Y488" s="274"/>
      <c r="Z488" s="274"/>
      <c r="AA488" s="274"/>
      <c r="AB488" s="274"/>
      <c r="AC488" s="274"/>
      <c r="AD488" s="274"/>
      <c r="AE488" s="274"/>
      <c r="AF488" s="274"/>
      <c r="AG488" s="274"/>
      <c r="AH488" s="274"/>
      <c r="AI488" s="274"/>
      <c r="AJ488" s="274"/>
      <c r="AK488" s="274"/>
    </row>
    <row r="489" spans="2:37" ht="13.2">
      <c r="B489" s="273"/>
      <c r="C489" s="273"/>
      <c r="D489" s="274"/>
      <c r="E489" s="274"/>
      <c r="F489" s="274"/>
      <c r="G489" s="274"/>
      <c r="H489" s="274"/>
      <c r="I489" s="274"/>
      <c r="J489" s="274"/>
      <c r="K489" s="274"/>
      <c r="L489" s="274"/>
      <c r="M489" s="274"/>
      <c r="N489" s="274"/>
      <c r="O489" s="274"/>
      <c r="P489" s="274"/>
      <c r="Q489" s="274"/>
      <c r="R489" s="274"/>
      <c r="S489" s="274"/>
      <c r="T489" s="274"/>
      <c r="U489" s="274"/>
      <c r="V489" s="274"/>
      <c r="W489" s="274"/>
      <c r="X489" s="274"/>
      <c r="Y489" s="274"/>
      <c r="Z489" s="274"/>
      <c r="AA489" s="274"/>
      <c r="AB489" s="274"/>
      <c r="AC489" s="274"/>
      <c r="AD489" s="274"/>
      <c r="AE489" s="274"/>
      <c r="AF489" s="274"/>
      <c r="AG489" s="274"/>
      <c r="AH489" s="274"/>
      <c r="AI489" s="274"/>
      <c r="AJ489" s="274"/>
      <c r="AK489" s="274"/>
    </row>
    <row r="490" spans="2:37" ht="13.2">
      <c r="B490" s="273"/>
      <c r="C490" s="273"/>
      <c r="D490" s="274"/>
      <c r="E490" s="274"/>
      <c r="F490" s="274"/>
      <c r="G490" s="274"/>
      <c r="H490" s="274"/>
      <c r="I490" s="274"/>
      <c r="J490" s="274"/>
      <c r="K490" s="274"/>
      <c r="L490" s="274"/>
      <c r="M490" s="274"/>
      <c r="N490" s="274"/>
      <c r="O490" s="274"/>
      <c r="P490" s="274"/>
      <c r="Q490" s="274"/>
      <c r="R490" s="274"/>
      <c r="S490" s="274"/>
      <c r="T490" s="274"/>
      <c r="U490" s="274"/>
      <c r="V490" s="274"/>
      <c r="W490" s="274"/>
      <c r="X490" s="274"/>
      <c r="Y490" s="274"/>
      <c r="Z490" s="274"/>
      <c r="AA490" s="274"/>
      <c r="AB490" s="274"/>
      <c r="AC490" s="274"/>
      <c r="AD490" s="274"/>
      <c r="AE490" s="274"/>
      <c r="AF490" s="274"/>
      <c r="AG490" s="274"/>
      <c r="AH490" s="274"/>
      <c r="AI490" s="274"/>
      <c r="AJ490" s="274"/>
      <c r="AK490" s="274"/>
    </row>
    <row r="491" spans="2:37" ht="13.2">
      <c r="B491" s="273"/>
      <c r="C491" s="273"/>
      <c r="D491" s="274"/>
      <c r="E491" s="274"/>
      <c r="F491" s="274"/>
      <c r="G491" s="274"/>
      <c r="H491" s="274"/>
      <c r="I491" s="274"/>
      <c r="J491" s="274"/>
      <c r="K491" s="274"/>
      <c r="L491" s="274"/>
      <c r="M491" s="274"/>
      <c r="N491" s="274"/>
      <c r="O491" s="274"/>
      <c r="P491" s="274"/>
      <c r="Q491" s="274"/>
      <c r="R491" s="274"/>
      <c r="S491" s="274"/>
      <c r="T491" s="274"/>
      <c r="U491" s="274"/>
      <c r="V491" s="274"/>
      <c r="W491" s="274"/>
      <c r="X491" s="274"/>
      <c r="Y491" s="274"/>
      <c r="Z491" s="274"/>
      <c r="AA491" s="274"/>
      <c r="AB491" s="274"/>
      <c r="AC491" s="274"/>
      <c r="AD491" s="274"/>
      <c r="AE491" s="274"/>
      <c r="AF491" s="274"/>
      <c r="AG491" s="274"/>
      <c r="AH491" s="274"/>
      <c r="AI491" s="274"/>
      <c r="AJ491" s="274"/>
      <c r="AK491" s="274"/>
    </row>
    <row r="492" spans="2:37" ht="13.2">
      <c r="B492" s="273"/>
      <c r="C492" s="273"/>
      <c r="D492" s="274"/>
      <c r="E492" s="274"/>
      <c r="F492" s="274"/>
      <c r="G492" s="274"/>
      <c r="H492" s="274"/>
      <c r="I492" s="274"/>
      <c r="J492" s="274"/>
      <c r="K492" s="274"/>
      <c r="L492" s="274"/>
      <c r="M492" s="274"/>
      <c r="N492" s="274"/>
      <c r="O492" s="274"/>
      <c r="P492" s="274"/>
      <c r="Q492" s="274"/>
      <c r="R492" s="274"/>
      <c r="S492" s="274"/>
      <c r="T492" s="274"/>
      <c r="U492" s="274"/>
      <c r="V492" s="274"/>
      <c r="W492" s="274"/>
      <c r="X492" s="274"/>
      <c r="Y492" s="274"/>
      <c r="Z492" s="274"/>
      <c r="AA492" s="274"/>
      <c r="AB492" s="274"/>
      <c r="AC492" s="274"/>
      <c r="AD492" s="274"/>
      <c r="AE492" s="274"/>
      <c r="AF492" s="274"/>
      <c r="AG492" s="274"/>
      <c r="AH492" s="274"/>
      <c r="AI492" s="274"/>
      <c r="AJ492" s="274"/>
      <c r="AK492" s="274"/>
    </row>
    <row r="493" spans="2:37" ht="13.2">
      <c r="B493" s="273"/>
      <c r="C493" s="273"/>
      <c r="D493" s="274"/>
      <c r="E493" s="274"/>
      <c r="F493" s="274"/>
      <c r="G493" s="274"/>
      <c r="H493" s="274"/>
      <c r="I493" s="274"/>
      <c r="J493" s="274"/>
      <c r="K493" s="274"/>
      <c r="L493" s="274"/>
      <c r="M493" s="274"/>
      <c r="N493" s="274"/>
      <c r="O493" s="274"/>
      <c r="P493" s="274"/>
      <c r="Q493" s="274"/>
      <c r="R493" s="274"/>
      <c r="S493" s="274"/>
      <c r="T493" s="274"/>
      <c r="U493" s="274"/>
      <c r="V493" s="274"/>
      <c r="W493" s="274"/>
      <c r="X493" s="274"/>
      <c r="Y493" s="274"/>
      <c r="Z493" s="274"/>
      <c r="AA493" s="274"/>
      <c r="AB493" s="274"/>
      <c r="AC493" s="274"/>
      <c r="AD493" s="274"/>
      <c r="AE493" s="274"/>
      <c r="AF493" s="274"/>
      <c r="AG493" s="274"/>
      <c r="AH493" s="274"/>
      <c r="AI493" s="274"/>
      <c r="AJ493" s="274"/>
      <c r="AK493" s="274"/>
    </row>
    <row r="494" spans="2:37" ht="13.2">
      <c r="B494" s="273"/>
      <c r="C494" s="273"/>
      <c r="D494" s="274"/>
      <c r="E494" s="274"/>
      <c r="F494" s="274"/>
      <c r="G494" s="274"/>
      <c r="H494" s="274"/>
      <c r="I494" s="274"/>
      <c r="J494" s="274"/>
      <c r="K494" s="274"/>
      <c r="L494" s="274"/>
      <c r="M494" s="274"/>
      <c r="N494" s="274"/>
      <c r="O494" s="274"/>
      <c r="P494" s="274"/>
      <c r="Q494" s="274"/>
      <c r="R494" s="274"/>
      <c r="S494" s="274"/>
      <c r="T494" s="274"/>
      <c r="U494" s="274"/>
      <c r="V494" s="274"/>
      <c r="W494" s="274"/>
      <c r="X494" s="274"/>
      <c r="Y494" s="274"/>
      <c r="Z494" s="274"/>
      <c r="AA494" s="274"/>
      <c r="AB494" s="274"/>
      <c r="AC494" s="274"/>
      <c r="AD494" s="274"/>
      <c r="AE494" s="274"/>
      <c r="AF494" s="274"/>
      <c r="AG494" s="274"/>
      <c r="AH494" s="274"/>
      <c r="AI494" s="274"/>
      <c r="AJ494" s="274"/>
      <c r="AK494" s="274"/>
    </row>
    <row r="495" spans="2:37" ht="13.2">
      <c r="B495" s="273"/>
      <c r="C495" s="273"/>
      <c r="D495" s="274"/>
      <c r="E495" s="274"/>
      <c r="F495" s="274"/>
      <c r="G495" s="274"/>
      <c r="H495" s="274"/>
      <c r="I495" s="274"/>
      <c r="J495" s="274"/>
      <c r="K495" s="274"/>
      <c r="L495" s="274"/>
      <c r="M495" s="274"/>
      <c r="N495" s="274"/>
      <c r="O495" s="274"/>
      <c r="P495" s="274"/>
      <c r="Q495" s="274"/>
      <c r="R495" s="274"/>
      <c r="S495" s="274"/>
      <c r="T495" s="274"/>
      <c r="U495" s="274"/>
      <c r="V495" s="274"/>
      <c r="W495" s="274"/>
      <c r="X495" s="274"/>
      <c r="Y495" s="274"/>
      <c r="Z495" s="274"/>
      <c r="AA495" s="274"/>
      <c r="AB495" s="274"/>
      <c r="AC495" s="274"/>
      <c r="AD495" s="274"/>
      <c r="AE495" s="274"/>
      <c r="AF495" s="274"/>
      <c r="AG495" s="274"/>
      <c r="AH495" s="274"/>
      <c r="AI495" s="274"/>
      <c r="AJ495" s="274"/>
      <c r="AK495" s="274"/>
    </row>
    <row r="496" spans="2:37" ht="13.2">
      <c r="B496" s="273"/>
      <c r="C496" s="273"/>
      <c r="D496" s="274"/>
      <c r="E496" s="274"/>
      <c r="F496" s="274"/>
      <c r="G496" s="274"/>
      <c r="H496" s="274"/>
      <c r="I496" s="274"/>
      <c r="J496" s="274"/>
      <c r="K496" s="274"/>
      <c r="L496" s="274"/>
      <c r="M496" s="274"/>
      <c r="N496" s="274"/>
      <c r="O496" s="274"/>
      <c r="P496" s="274"/>
      <c r="Q496" s="274"/>
      <c r="R496" s="274"/>
      <c r="S496" s="274"/>
      <c r="T496" s="274"/>
      <c r="U496" s="274"/>
      <c r="V496" s="274"/>
      <c r="W496" s="274"/>
      <c r="X496" s="274"/>
      <c r="Y496" s="274"/>
      <c r="Z496" s="274"/>
      <c r="AA496" s="274"/>
      <c r="AB496" s="274"/>
      <c r="AC496" s="274"/>
      <c r="AD496" s="274"/>
      <c r="AE496" s="274"/>
      <c r="AF496" s="274"/>
      <c r="AG496" s="274"/>
      <c r="AH496" s="274"/>
      <c r="AI496" s="274"/>
      <c r="AJ496" s="274"/>
      <c r="AK496" s="274"/>
    </row>
    <row r="497" spans="2:37" ht="13.2">
      <c r="B497" s="273"/>
      <c r="C497" s="273"/>
      <c r="D497" s="274"/>
      <c r="E497" s="274"/>
      <c r="F497" s="274"/>
      <c r="G497" s="274"/>
      <c r="H497" s="274"/>
      <c r="I497" s="274"/>
      <c r="J497" s="274"/>
      <c r="K497" s="274"/>
      <c r="L497" s="274"/>
      <c r="M497" s="274"/>
      <c r="N497" s="274"/>
      <c r="O497" s="274"/>
      <c r="P497" s="274"/>
      <c r="Q497" s="274"/>
      <c r="R497" s="274"/>
      <c r="S497" s="274"/>
      <c r="T497" s="274"/>
      <c r="U497" s="274"/>
      <c r="V497" s="274"/>
      <c r="W497" s="274"/>
      <c r="X497" s="274"/>
      <c r="Y497" s="274"/>
      <c r="Z497" s="274"/>
      <c r="AA497" s="274"/>
      <c r="AB497" s="274"/>
      <c r="AC497" s="274"/>
      <c r="AD497" s="274"/>
      <c r="AE497" s="274"/>
      <c r="AF497" s="274"/>
      <c r="AG497" s="274"/>
      <c r="AH497" s="274"/>
      <c r="AI497" s="274"/>
      <c r="AJ497" s="274"/>
      <c r="AK497" s="274"/>
    </row>
    <row r="498" spans="2:37" ht="13.2">
      <c r="B498" s="273"/>
      <c r="C498" s="273"/>
      <c r="D498" s="274"/>
      <c r="E498" s="274"/>
      <c r="F498" s="274"/>
      <c r="G498" s="274"/>
      <c r="H498" s="274"/>
      <c r="I498" s="274"/>
      <c r="J498" s="274"/>
      <c r="K498" s="274"/>
      <c r="L498" s="274"/>
      <c r="M498" s="274"/>
      <c r="N498" s="274"/>
      <c r="O498" s="274"/>
      <c r="P498" s="274"/>
      <c r="Q498" s="274"/>
      <c r="R498" s="274"/>
      <c r="S498" s="274"/>
      <c r="T498" s="274"/>
      <c r="U498" s="274"/>
      <c r="V498" s="274"/>
      <c r="W498" s="274"/>
      <c r="X498" s="274"/>
      <c r="Y498" s="274"/>
      <c r="Z498" s="274"/>
      <c r="AA498" s="274"/>
      <c r="AB498" s="274"/>
      <c r="AC498" s="274"/>
      <c r="AD498" s="274"/>
      <c r="AE498" s="274"/>
      <c r="AF498" s="274"/>
      <c r="AG498" s="274"/>
      <c r="AH498" s="274"/>
      <c r="AI498" s="274"/>
      <c r="AJ498" s="274"/>
      <c r="AK498" s="274"/>
    </row>
    <row r="499" spans="2:37" ht="13.2">
      <c r="B499" s="273"/>
      <c r="C499" s="273"/>
      <c r="D499" s="274"/>
      <c r="E499" s="274"/>
      <c r="F499" s="274"/>
      <c r="G499" s="274"/>
      <c r="H499" s="274"/>
      <c r="I499" s="274"/>
      <c r="J499" s="274"/>
      <c r="K499" s="274"/>
      <c r="L499" s="274"/>
      <c r="M499" s="274"/>
      <c r="N499" s="274"/>
      <c r="O499" s="274"/>
      <c r="P499" s="274"/>
      <c r="Q499" s="274"/>
      <c r="R499" s="274"/>
      <c r="S499" s="274"/>
      <c r="T499" s="274"/>
      <c r="U499" s="274"/>
      <c r="V499" s="274"/>
      <c r="W499" s="274"/>
      <c r="X499" s="274"/>
      <c r="Y499" s="274"/>
      <c r="Z499" s="274"/>
      <c r="AA499" s="274"/>
      <c r="AB499" s="274"/>
      <c r="AC499" s="274"/>
      <c r="AD499" s="274"/>
      <c r="AE499" s="274"/>
      <c r="AF499" s="274"/>
      <c r="AG499" s="274"/>
      <c r="AH499" s="274"/>
      <c r="AI499" s="274"/>
      <c r="AJ499" s="274"/>
      <c r="AK499" s="274"/>
    </row>
    <row r="500" spans="2:37" ht="13.2">
      <c r="B500" s="273"/>
      <c r="C500" s="273"/>
      <c r="D500" s="274"/>
      <c r="E500" s="274"/>
      <c r="F500" s="274"/>
      <c r="G500" s="274"/>
      <c r="H500" s="274"/>
      <c r="I500" s="274"/>
      <c r="J500" s="274"/>
      <c r="K500" s="274"/>
      <c r="L500" s="274"/>
      <c r="M500" s="274"/>
      <c r="N500" s="274"/>
      <c r="O500" s="274"/>
      <c r="P500" s="274"/>
      <c r="Q500" s="274"/>
      <c r="R500" s="274"/>
      <c r="S500" s="274"/>
      <c r="T500" s="274"/>
      <c r="U500" s="274"/>
      <c r="V500" s="274"/>
      <c r="W500" s="274"/>
      <c r="X500" s="274"/>
      <c r="Y500" s="274"/>
      <c r="Z500" s="274"/>
      <c r="AA500" s="274"/>
      <c r="AB500" s="274"/>
      <c r="AC500" s="274"/>
      <c r="AD500" s="274"/>
      <c r="AE500" s="274"/>
      <c r="AF500" s="274"/>
      <c r="AG500" s="274"/>
      <c r="AH500" s="274"/>
      <c r="AI500" s="274"/>
      <c r="AJ500" s="274"/>
      <c r="AK500" s="274"/>
    </row>
    <row r="501" spans="2:37" ht="13.2">
      <c r="B501" s="273"/>
      <c r="C501" s="273"/>
      <c r="D501" s="274"/>
      <c r="E501" s="274"/>
      <c r="F501" s="274"/>
      <c r="G501" s="274"/>
      <c r="H501" s="274"/>
      <c r="I501" s="274"/>
      <c r="J501" s="274"/>
      <c r="K501" s="274"/>
      <c r="L501" s="274"/>
      <c r="M501" s="274"/>
      <c r="N501" s="274"/>
      <c r="O501" s="274"/>
      <c r="P501" s="274"/>
      <c r="Q501" s="274"/>
      <c r="R501" s="274"/>
      <c r="S501" s="274"/>
      <c r="T501" s="274"/>
      <c r="U501" s="274"/>
      <c r="V501" s="274"/>
      <c r="W501" s="274"/>
      <c r="X501" s="274"/>
      <c r="Y501" s="274"/>
      <c r="Z501" s="274"/>
      <c r="AA501" s="274"/>
      <c r="AB501" s="274"/>
      <c r="AC501" s="274"/>
      <c r="AD501" s="274"/>
      <c r="AE501" s="274"/>
      <c r="AF501" s="274"/>
      <c r="AG501" s="274"/>
      <c r="AH501" s="274"/>
      <c r="AI501" s="274"/>
      <c r="AJ501" s="274"/>
      <c r="AK501" s="274"/>
    </row>
    <row r="502" spans="2:37" ht="13.2">
      <c r="B502" s="273"/>
      <c r="C502" s="273"/>
      <c r="D502" s="274"/>
      <c r="E502" s="274"/>
      <c r="F502" s="274"/>
      <c r="G502" s="274"/>
      <c r="H502" s="274"/>
      <c r="I502" s="274"/>
      <c r="J502" s="274"/>
      <c r="K502" s="274"/>
      <c r="L502" s="274"/>
      <c r="M502" s="274"/>
      <c r="N502" s="274"/>
      <c r="O502" s="274"/>
      <c r="P502" s="274"/>
      <c r="Q502" s="274"/>
      <c r="R502" s="274"/>
      <c r="S502" s="274"/>
      <c r="T502" s="274"/>
      <c r="U502" s="274"/>
      <c r="V502" s="274"/>
      <c r="W502" s="274"/>
      <c r="X502" s="274"/>
      <c r="Y502" s="274"/>
      <c r="Z502" s="274"/>
      <c r="AA502" s="274"/>
      <c r="AB502" s="274"/>
      <c r="AC502" s="274"/>
      <c r="AD502" s="274"/>
      <c r="AE502" s="274"/>
      <c r="AF502" s="274"/>
      <c r="AG502" s="274"/>
      <c r="AH502" s="274"/>
      <c r="AI502" s="274"/>
      <c r="AJ502" s="274"/>
      <c r="AK502" s="274"/>
    </row>
    <row r="503" spans="2:37" ht="13.2">
      <c r="B503" s="273"/>
      <c r="C503" s="273"/>
      <c r="D503" s="274"/>
      <c r="E503" s="274"/>
      <c r="F503" s="274"/>
      <c r="G503" s="274"/>
      <c r="H503" s="274"/>
      <c r="I503" s="274"/>
      <c r="J503" s="274"/>
      <c r="K503" s="274"/>
      <c r="L503" s="274"/>
      <c r="M503" s="274"/>
      <c r="N503" s="274"/>
      <c r="O503" s="274"/>
      <c r="P503" s="274"/>
      <c r="Q503" s="274"/>
      <c r="R503" s="274"/>
      <c r="S503" s="274"/>
      <c r="T503" s="274"/>
      <c r="U503" s="274"/>
      <c r="V503" s="274"/>
      <c r="W503" s="274"/>
      <c r="X503" s="274"/>
      <c r="Y503" s="274"/>
      <c r="Z503" s="274"/>
      <c r="AA503" s="274"/>
      <c r="AB503" s="274"/>
      <c r="AC503" s="274"/>
      <c r="AD503" s="274"/>
      <c r="AE503" s="274"/>
      <c r="AF503" s="274"/>
      <c r="AG503" s="274"/>
      <c r="AH503" s="274"/>
      <c r="AI503" s="274"/>
      <c r="AJ503" s="274"/>
      <c r="AK503" s="274"/>
    </row>
    <row r="504" spans="2:37" ht="13.2">
      <c r="B504" s="273"/>
      <c r="C504" s="273"/>
      <c r="D504" s="274"/>
      <c r="E504" s="274"/>
      <c r="F504" s="274"/>
      <c r="G504" s="274"/>
      <c r="H504" s="274"/>
      <c r="I504" s="274"/>
      <c r="J504" s="274"/>
      <c r="K504" s="274"/>
      <c r="L504" s="274"/>
      <c r="M504" s="274"/>
      <c r="N504" s="274"/>
      <c r="O504" s="274"/>
      <c r="P504" s="274"/>
      <c r="Q504" s="274"/>
      <c r="R504" s="274"/>
      <c r="S504" s="274"/>
      <c r="T504" s="274"/>
      <c r="U504" s="274"/>
      <c r="V504" s="274"/>
      <c r="W504" s="274"/>
      <c r="X504" s="274"/>
      <c r="Y504" s="274"/>
      <c r="Z504" s="274"/>
      <c r="AA504" s="274"/>
      <c r="AB504" s="274"/>
      <c r="AC504" s="274"/>
      <c r="AD504" s="274"/>
      <c r="AE504" s="274"/>
      <c r="AF504" s="274"/>
      <c r="AG504" s="274"/>
      <c r="AH504" s="274"/>
      <c r="AI504" s="274"/>
      <c r="AJ504" s="274"/>
      <c r="AK504" s="274"/>
    </row>
    <row r="505" spans="2:37" ht="13.2">
      <c r="B505" s="273"/>
      <c r="C505" s="273"/>
      <c r="D505" s="274"/>
      <c r="E505" s="274"/>
      <c r="F505" s="274"/>
      <c r="G505" s="274"/>
      <c r="H505" s="274"/>
      <c r="I505" s="274"/>
      <c r="J505" s="274"/>
      <c r="K505" s="274"/>
      <c r="L505" s="274"/>
      <c r="M505" s="274"/>
      <c r="N505" s="274"/>
      <c r="O505" s="274"/>
      <c r="P505" s="274"/>
      <c r="Q505" s="274"/>
      <c r="R505" s="274"/>
      <c r="S505" s="274"/>
      <c r="T505" s="274"/>
      <c r="U505" s="274"/>
      <c r="V505" s="274"/>
      <c r="W505" s="274"/>
      <c r="X505" s="274"/>
      <c r="Y505" s="274"/>
      <c r="Z505" s="274"/>
      <c r="AA505" s="274"/>
      <c r="AB505" s="274"/>
      <c r="AC505" s="274"/>
      <c r="AD505" s="274"/>
      <c r="AE505" s="274"/>
      <c r="AF505" s="274"/>
      <c r="AG505" s="274"/>
      <c r="AH505" s="274"/>
      <c r="AI505" s="274"/>
      <c r="AJ505" s="274"/>
      <c r="AK505" s="274"/>
    </row>
    <row r="506" spans="2:37" ht="13.2">
      <c r="B506" s="273"/>
      <c r="C506" s="273"/>
      <c r="D506" s="274"/>
      <c r="E506" s="274"/>
      <c r="F506" s="274"/>
      <c r="G506" s="274"/>
      <c r="H506" s="274"/>
      <c r="I506" s="274"/>
      <c r="J506" s="274"/>
      <c r="K506" s="274"/>
      <c r="L506" s="274"/>
      <c r="M506" s="274"/>
      <c r="N506" s="274"/>
      <c r="O506" s="274"/>
      <c r="P506" s="274"/>
      <c r="Q506" s="274"/>
      <c r="R506" s="274"/>
      <c r="S506" s="274"/>
      <c r="T506" s="274"/>
      <c r="U506" s="274"/>
      <c r="V506" s="274"/>
      <c r="W506" s="274"/>
      <c r="X506" s="274"/>
      <c r="Y506" s="274"/>
      <c r="Z506" s="274"/>
      <c r="AA506" s="274"/>
      <c r="AB506" s="274"/>
      <c r="AC506" s="274"/>
      <c r="AD506" s="274"/>
      <c r="AE506" s="274"/>
      <c r="AF506" s="274"/>
      <c r="AG506" s="274"/>
      <c r="AH506" s="274"/>
      <c r="AI506" s="274"/>
      <c r="AJ506" s="274"/>
      <c r="AK506" s="274"/>
    </row>
    <row r="507" spans="2:37" ht="13.2">
      <c r="B507" s="273"/>
      <c r="C507" s="273"/>
      <c r="D507" s="274"/>
      <c r="E507" s="274"/>
      <c r="F507" s="274"/>
      <c r="G507" s="274"/>
      <c r="H507" s="274"/>
      <c r="I507" s="274"/>
      <c r="J507" s="274"/>
      <c r="K507" s="274"/>
      <c r="L507" s="274"/>
      <c r="M507" s="274"/>
      <c r="N507" s="274"/>
      <c r="O507" s="274"/>
      <c r="P507" s="274"/>
      <c r="Q507" s="274"/>
      <c r="R507" s="274"/>
      <c r="S507" s="274"/>
      <c r="T507" s="274"/>
      <c r="U507" s="274"/>
      <c r="V507" s="274"/>
      <c r="W507" s="274"/>
      <c r="X507" s="274"/>
      <c r="Y507" s="274"/>
      <c r="Z507" s="274"/>
      <c r="AA507" s="274"/>
      <c r="AB507" s="274"/>
      <c r="AC507" s="274"/>
      <c r="AD507" s="274"/>
      <c r="AE507" s="274"/>
      <c r="AF507" s="274"/>
      <c r="AG507" s="274"/>
      <c r="AH507" s="274"/>
      <c r="AI507" s="274"/>
      <c r="AJ507" s="274"/>
      <c r="AK507" s="274"/>
    </row>
    <row r="508" spans="2:37" ht="13.2">
      <c r="B508" s="273"/>
      <c r="C508" s="273"/>
      <c r="D508" s="274"/>
      <c r="E508" s="274"/>
      <c r="F508" s="274"/>
      <c r="G508" s="274"/>
      <c r="H508" s="274"/>
      <c r="I508" s="274"/>
      <c r="J508" s="274"/>
      <c r="K508" s="274"/>
      <c r="L508" s="274"/>
      <c r="M508" s="274"/>
      <c r="N508" s="274"/>
      <c r="O508" s="274"/>
      <c r="P508" s="274"/>
      <c r="Q508" s="274"/>
      <c r="R508" s="274"/>
      <c r="S508" s="274"/>
      <c r="T508" s="274"/>
      <c r="U508" s="274"/>
      <c r="V508" s="274"/>
      <c r="W508" s="274"/>
      <c r="X508" s="274"/>
      <c r="Y508" s="274"/>
      <c r="Z508" s="274"/>
      <c r="AA508" s="274"/>
      <c r="AB508" s="274"/>
      <c r="AC508" s="274"/>
      <c r="AD508" s="274"/>
      <c r="AE508" s="274"/>
      <c r="AF508" s="274"/>
      <c r="AG508" s="274"/>
      <c r="AH508" s="274"/>
      <c r="AI508" s="274"/>
      <c r="AJ508" s="274"/>
      <c r="AK508" s="274"/>
    </row>
    <row r="509" spans="2:37" ht="13.2">
      <c r="B509" s="273"/>
      <c r="C509" s="273"/>
      <c r="D509" s="274"/>
      <c r="E509" s="274"/>
      <c r="F509" s="274"/>
      <c r="G509" s="274"/>
      <c r="H509" s="274"/>
      <c r="I509" s="274"/>
      <c r="J509" s="274"/>
      <c r="K509" s="274"/>
      <c r="L509" s="274"/>
      <c r="M509" s="274"/>
      <c r="N509" s="274"/>
      <c r="O509" s="274"/>
      <c r="P509" s="274"/>
      <c r="Q509" s="274"/>
      <c r="R509" s="274"/>
      <c r="S509" s="274"/>
      <c r="T509" s="274"/>
      <c r="U509" s="274"/>
      <c r="V509" s="274"/>
      <c r="W509" s="274"/>
      <c r="X509" s="274"/>
      <c r="Y509" s="274"/>
      <c r="Z509" s="274"/>
      <c r="AA509" s="274"/>
      <c r="AB509" s="274"/>
      <c r="AC509" s="274"/>
      <c r="AD509" s="274"/>
      <c r="AE509" s="274"/>
      <c r="AF509" s="274"/>
      <c r="AG509" s="274"/>
      <c r="AH509" s="274"/>
      <c r="AI509" s="274"/>
      <c r="AJ509" s="274"/>
      <c r="AK509" s="274"/>
    </row>
    <row r="510" spans="2:37" ht="13.2">
      <c r="B510" s="273"/>
      <c r="C510" s="273"/>
      <c r="D510" s="274"/>
      <c r="E510" s="274"/>
      <c r="F510" s="274"/>
      <c r="G510" s="274"/>
      <c r="H510" s="274"/>
      <c r="I510" s="274"/>
      <c r="J510" s="274"/>
      <c r="K510" s="274"/>
      <c r="L510" s="274"/>
      <c r="M510" s="274"/>
      <c r="N510" s="274"/>
      <c r="O510" s="274"/>
      <c r="P510" s="274"/>
      <c r="Q510" s="274"/>
      <c r="R510" s="274"/>
      <c r="S510" s="274"/>
      <c r="T510" s="274"/>
      <c r="U510" s="274"/>
      <c r="V510" s="274"/>
      <c r="W510" s="274"/>
      <c r="X510" s="274"/>
      <c r="Y510" s="274"/>
      <c r="Z510" s="274"/>
      <c r="AA510" s="274"/>
      <c r="AB510" s="274"/>
      <c r="AC510" s="274"/>
      <c r="AD510" s="274"/>
      <c r="AE510" s="274"/>
      <c r="AF510" s="274"/>
      <c r="AG510" s="274"/>
      <c r="AH510" s="274"/>
      <c r="AI510" s="274"/>
      <c r="AJ510" s="274"/>
      <c r="AK510" s="274"/>
    </row>
    <row r="511" spans="2:37" ht="13.2">
      <c r="B511" s="273"/>
      <c r="C511" s="273"/>
      <c r="D511" s="274"/>
      <c r="E511" s="274"/>
      <c r="F511" s="274"/>
      <c r="G511" s="274"/>
      <c r="H511" s="274"/>
      <c r="I511" s="274"/>
      <c r="J511" s="274"/>
      <c r="K511" s="274"/>
      <c r="L511" s="274"/>
      <c r="M511" s="274"/>
      <c r="N511" s="274"/>
      <c r="O511" s="274"/>
      <c r="P511" s="274"/>
      <c r="Q511" s="274"/>
      <c r="R511" s="274"/>
      <c r="S511" s="274"/>
      <c r="T511" s="274"/>
      <c r="U511" s="274"/>
      <c r="V511" s="274"/>
      <c r="W511" s="274"/>
      <c r="X511" s="274"/>
      <c r="Y511" s="274"/>
      <c r="Z511" s="274"/>
      <c r="AA511" s="274"/>
      <c r="AB511" s="274"/>
      <c r="AC511" s="274"/>
      <c r="AD511" s="274"/>
      <c r="AE511" s="274"/>
      <c r="AF511" s="274"/>
      <c r="AG511" s="274"/>
      <c r="AH511" s="274"/>
      <c r="AI511" s="274"/>
      <c r="AJ511" s="274"/>
      <c r="AK511" s="274"/>
    </row>
    <row r="512" spans="2:37" ht="13.2">
      <c r="B512" s="273"/>
      <c r="C512" s="273"/>
      <c r="D512" s="274"/>
      <c r="E512" s="274"/>
      <c r="F512" s="274"/>
      <c r="G512" s="274"/>
      <c r="H512" s="274"/>
      <c r="I512" s="274"/>
      <c r="J512" s="274"/>
      <c r="K512" s="274"/>
      <c r="L512" s="274"/>
      <c r="M512" s="274"/>
      <c r="N512" s="274"/>
      <c r="O512" s="274"/>
      <c r="P512" s="274"/>
      <c r="Q512" s="274"/>
      <c r="R512" s="274"/>
      <c r="S512" s="274"/>
      <c r="T512" s="274"/>
      <c r="U512" s="274"/>
      <c r="V512" s="274"/>
      <c r="W512" s="274"/>
      <c r="X512" s="274"/>
      <c r="Y512" s="274"/>
      <c r="Z512" s="274"/>
      <c r="AA512" s="274"/>
      <c r="AB512" s="274"/>
      <c r="AC512" s="274"/>
      <c r="AD512" s="274"/>
      <c r="AE512" s="274"/>
      <c r="AF512" s="274"/>
      <c r="AG512" s="274"/>
      <c r="AH512" s="274"/>
      <c r="AI512" s="274"/>
      <c r="AJ512" s="274"/>
      <c r="AK512" s="274"/>
    </row>
    <row r="513" spans="2:37" ht="13.2">
      <c r="B513" s="273"/>
      <c r="C513" s="273"/>
      <c r="D513" s="274"/>
      <c r="E513" s="274"/>
      <c r="F513" s="274"/>
      <c r="G513" s="274"/>
      <c r="H513" s="274"/>
      <c r="I513" s="274"/>
      <c r="J513" s="274"/>
      <c r="K513" s="274"/>
      <c r="L513" s="274"/>
      <c r="M513" s="274"/>
      <c r="N513" s="274"/>
      <c r="O513" s="274"/>
      <c r="P513" s="274"/>
      <c r="Q513" s="274"/>
      <c r="R513" s="274"/>
      <c r="S513" s="274"/>
      <c r="T513" s="274"/>
      <c r="U513" s="274"/>
      <c r="V513" s="274"/>
      <c r="W513" s="274"/>
      <c r="X513" s="274"/>
      <c r="Y513" s="274"/>
      <c r="Z513" s="274"/>
      <c r="AA513" s="274"/>
      <c r="AB513" s="274"/>
      <c r="AC513" s="274"/>
      <c r="AD513" s="274"/>
      <c r="AE513" s="274"/>
      <c r="AF513" s="274"/>
      <c r="AG513" s="274"/>
      <c r="AH513" s="274"/>
      <c r="AI513" s="274"/>
      <c r="AJ513" s="274"/>
      <c r="AK513" s="274"/>
    </row>
    <row r="514" spans="2:37" ht="13.2">
      <c r="B514" s="273"/>
      <c r="C514" s="273"/>
      <c r="D514" s="274"/>
      <c r="E514" s="274"/>
      <c r="F514" s="274"/>
      <c r="G514" s="274"/>
      <c r="H514" s="274"/>
      <c r="I514" s="274"/>
      <c r="J514" s="274"/>
      <c r="K514" s="274"/>
      <c r="L514" s="274"/>
      <c r="M514" s="274"/>
      <c r="N514" s="274"/>
      <c r="O514" s="274"/>
      <c r="P514" s="274"/>
      <c r="Q514" s="274"/>
      <c r="R514" s="274"/>
      <c r="S514" s="274"/>
      <c r="T514" s="274"/>
      <c r="U514" s="274"/>
      <c r="V514" s="274"/>
      <c r="W514" s="274"/>
      <c r="X514" s="274"/>
      <c r="Y514" s="274"/>
      <c r="Z514" s="274"/>
      <c r="AA514" s="274"/>
      <c r="AB514" s="274"/>
      <c r="AC514" s="274"/>
      <c r="AD514" s="274"/>
      <c r="AE514" s="274"/>
      <c r="AF514" s="274"/>
      <c r="AG514" s="274"/>
      <c r="AH514" s="274"/>
      <c r="AI514" s="274"/>
      <c r="AJ514" s="274"/>
      <c r="AK514" s="274"/>
    </row>
    <row r="515" spans="2:37" ht="13.2">
      <c r="B515" s="273"/>
      <c r="C515" s="273"/>
      <c r="D515" s="274"/>
      <c r="E515" s="274"/>
      <c r="F515" s="274"/>
      <c r="G515" s="274"/>
      <c r="H515" s="274"/>
      <c r="I515" s="274"/>
      <c r="J515" s="274"/>
      <c r="K515" s="274"/>
      <c r="L515" s="274"/>
      <c r="M515" s="274"/>
      <c r="N515" s="274"/>
      <c r="O515" s="274"/>
      <c r="P515" s="274"/>
      <c r="Q515" s="274"/>
      <c r="R515" s="274"/>
      <c r="S515" s="274"/>
      <c r="T515" s="274"/>
      <c r="U515" s="274"/>
      <c r="V515" s="274"/>
      <c r="W515" s="274"/>
      <c r="X515" s="274"/>
      <c r="Y515" s="274"/>
      <c r="Z515" s="274"/>
      <c r="AA515" s="274"/>
      <c r="AB515" s="274"/>
      <c r="AC515" s="274"/>
      <c r="AD515" s="274"/>
      <c r="AE515" s="274"/>
      <c r="AF515" s="274"/>
      <c r="AG515" s="274"/>
      <c r="AH515" s="274"/>
      <c r="AI515" s="274"/>
      <c r="AJ515" s="274"/>
      <c r="AK515" s="274"/>
    </row>
    <row r="516" spans="2:37" ht="13.2">
      <c r="B516" s="273"/>
      <c r="C516" s="273"/>
      <c r="D516" s="274"/>
      <c r="E516" s="274"/>
      <c r="F516" s="274"/>
      <c r="G516" s="274"/>
      <c r="H516" s="274"/>
      <c r="I516" s="274"/>
      <c r="J516" s="274"/>
      <c r="K516" s="274"/>
      <c r="L516" s="274"/>
      <c r="M516" s="274"/>
      <c r="N516" s="274"/>
      <c r="O516" s="274"/>
      <c r="P516" s="274"/>
      <c r="Q516" s="274"/>
      <c r="R516" s="274"/>
      <c r="S516" s="274"/>
      <c r="T516" s="274"/>
      <c r="U516" s="274"/>
      <c r="V516" s="274"/>
      <c r="W516" s="274"/>
      <c r="X516" s="274"/>
      <c r="Y516" s="274"/>
      <c r="Z516" s="274"/>
      <c r="AA516" s="274"/>
      <c r="AB516" s="274"/>
      <c r="AC516" s="274"/>
      <c r="AD516" s="274"/>
      <c r="AE516" s="274"/>
      <c r="AF516" s="274"/>
      <c r="AG516" s="274"/>
      <c r="AH516" s="274"/>
      <c r="AI516" s="274"/>
      <c r="AJ516" s="274"/>
      <c r="AK516" s="274"/>
    </row>
    <row r="517" spans="2:37" ht="13.2">
      <c r="B517" s="273"/>
      <c r="C517" s="273"/>
      <c r="D517" s="274"/>
      <c r="E517" s="274"/>
      <c r="F517" s="274"/>
      <c r="G517" s="274"/>
      <c r="H517" s="274"/>
      <c r="I517" s="274"/>
      <c r="J517" s="274"/>
      <c r="K517" s="274"/>
      <c r="L517" s="274"/>
      <c r="M517" s="274"/>
      <c r="N517" s="274"/>
      <c r="O517" s="274"/>
      <c r="P517" s="274"/>
      <c r="Q517" s="274"/>
      <c r="R517" s="274"/>
      <c r="S517" s="274"/>
      <c r="T517" s="274"/>
      <c r="U517" s="274"/>
      <c r="V517" s="274"/>
      <c r="W517" s="274"/>
      <c r="X517" s="274"/>
      <c r="Y517" s="274"/>
      <c r="Z517" s="274"/>
      <c r="AA517" s="274"/>
      <c r="AB517" s="274"/>
      <c r="AC517" s="274"/>
      <c r="AD517" s="274"/>
      <c r="AE517" s="274"/>
      <c r="AF517" s="274"/>
      <c r="AG517" s="274"/>
      <c r="AH517" s="274"/>
      <c r="AI517" s="274"/>
      <c r="AJ517" s="274"/>
      <c r="AK517" s="274"/>
    </row>
    <row r="518" spans="2:37" ht="13.2">
      <c r="B518" s="273"/>
      <c r="C518" s="273"/>
      <c r="D518" s="274"/>
      <c r="E518" s="274"/>
      <c r="F518" s="274"/>
      <c r="G518" s="274"/>
      <c r="H518" s="274"/>
      <c r="I518" s="274"/>
      <c r="J518" s="274"/>
      <c r="K518" s="274"/>
      <c r="L518" s="274"/>
      <c r="M518" s="274"/>
      <c r="N518" s="274"/>
      <c r="O518" s="274"/>
      <c r="P518" s="274"/>
      <c r="Q518" s="274"/>
      <c r="R518" s="274"/>
      <c r="S518" s="274"/>
      <c r="T518" s="274"/>
      <c r="U518" s="274"/>
      <c r="V518" s="274"/>
      <c r="W518" s="274"/>
      <c r="X518" s="274"/>
      <c r="Y518" s="274"/>
      <c r="Z518" s="274"/>
      <c r="AA518" s="274"/>
      <c r="AB518" s="274"/>
      <c r="AC518" s="274"/>
      <c r="AD518" s="274"/>
      <c r="AE518" s="274"/>
      <c r="AF518" s="274"/>
      <c r="AG518" s="274"/>
      <c r="AH518" s="274"/>
      <c r="AI518" s="274"/>
      <c r="AJ518" s="274"/>
      <c r="AK518" s="274"/>
    </row>
    <row r="519" spans="2:37" ht="13.2">
      <c r="B519" s="273"/>
      <c r="C519" s="273"/>
      <c r="D519" s="274"/>
      <c r="E519" s="274"/>
      <c r="F519" s="274"/>
      <c r="G519" s="274"/>
      <c r="H519" s="274"/>
      <c r="I519" s="274"/>
      <c r="J519" s="274"/>
      <c r="K519" s="274"/>
      <c r="L519" s="274"/>
      <c r="M519" s="274"/>
      <c r="N519" s="274"/>
      <c r="O519" s="274"/>
      <c r="P519" s="274"/>
      <c r="Q519" s="274"/>
      <c r="R519" s="274"/>
      <c r="S519" s="274"/>
      <c r="T519" s="274"/>
      <c r="U519" s="274"/>
      <c r="V519" s="274"/>
      <c r="W519" s="274"/>
      <c r="X519" s="274"/>
      <c r="Y519" s="274"/>
      <c r="Z519" s="274"/>
      <c r="AA519" s="274"/>
      <c r="AB519" s="274"/>
      <c r="AC519" s="274"/>
      <c r="AD519" s="274"/>
      <c r="AE519" s="274"/>
      <c r="AF519" s="274"/>
      <c r="AG519" s="274"/>
      <c r="AH519" s="274"/>
      <c r="AI519" s="274"/>
      <c r="AJ519" s="274"/>
      <c r="AK519" s="274"/>
    </row>
    <row r="520" spans="2:37" ht="13.2">
      <c r="B520" s="273"/>
      <c r="C520" s="273"/>
      <c r="D520" s="274"/>
      <c r="E520" s="274"/>
      <c r="F520" s="274"/>
      <c r="G520" s="274"/>
      <c r="H520" s="274"/>
      <c r="I520" s="274"/>
      <c r="J520" s="274"/>
      <c r="K520" s="274"/>
      <c r="L520" s="274"/>
      <c r="M520" s="274"/>
      <c r="N520" s="274"/>
      <c r="O520" s="274"/>
      <c r="P520" s="274"/>
      <c r="Q520" s="274"/>
      <c r="R520" s="274"/>
      <c r="S520" s="274"/>
      <c r="T520" s="274"/>
      <c r="U520" s="274"/>
      <c r="V520" s="274"/>
      <c r="W520" s="274"/>
      <c r="X520" s="274"/>
      <c r="Y520" s="274"/>
      <c r="Z520" s="274"/>
      <c r="AA520" s="274"/>
      <c r="AB520" s="274"/>
      <c r="AC520" s="274"/>
      <c r="AD520" s="274"/>
      <c r="AE520" s="274"/>
      <c r="AF520" s="274"/>
      <c r="AG520" s="274"/>
      <c r="AH520" s="274"/>
      <c r="AI520" s="274"/>
      <c r="AJ520" s="274"/>
      <c r="AK520" s="274"/>
    </row>
    <row r="521" spans="2:37" ht="13.2">
      <c r="B521" s="273"/>
      <c r="C521" s="273"/>
      <c r="D521" s="274"/>
      <c r="E521" s="274"/>
      <c r="F521" s="274"/>
      <c r="G521" s="274"/>
      <c r="H521" s="274"/>
      <c r="I521" s="274"/>
      <c r="J521" s="274"/>
      <c r="K521" s="274"/>
      <c r="L521" s="274"/>
      <c r="M521" s="274"/>
      <c r="N521" s="274"/>
      <c r="O521" s="274"/>
      <c r="P521" s="274"/>
      <c r="Q521" s="274"/>
      <c r="R521" s="274"/>
      <c r="S521" s="274"/>
      <c r="T521" s="274"/>
      <c r="U521" s="274"/>
      <c r="V521" s="274"/>
      <c r="W521" s="274"/>
      <c r="X521" s="274"/>
      <c r="Y521" s="274"/>
      <c r="Z521" s="274"/>
      <c r="AA521" s="274"/>
      <c r="AB521" s="274"/>
      <c r="AC521" s="274"/>
      <c r="AD521" s="274"/>
      <c r="AE521" s="274"/>
      <c r="AF521" s="274"/>
      <c r="AG521" s="274"/>
      <c r="AH521" s="274"/>
      <c r="AI521" s="274"/>
      <c r="AJ521" s="274"/>
      <c r="AK521" s="274"/>
    </row>
    <row r="522" spans="2:37" ht="13.2">
      <c r="B522" s="273"/>
      <c r="C522" s="273"/>
      <c r="D522" s="274"/>
      <c r="E522" s="274"/>
      <c r="F522" s="274"/>
      <c r="G522" s="274"/>
      <c r="H522" s="274"/>
      <c r="I522" s="274"/>
      <c r="J522" s="274"/>
      <c r="K522" s="274"/>
      <c r="L522" s="274"/>
      <c r="M522" s="274"/>
      <c r="N522" s="274"/>
      <c r="O522" s="274"/>
      <c r="P522" s="274"/>
      <c r="Q522" s="274"/>
      <c r="R522" s="274"/>
      <c r="S522" s="274"/>
      <c r="T522" s="274"/>
      <c r="U522" s="274"/>
      <c r="V522" s="274"/>
      <c r="W522" s="274"/>
      <c r="X522" s="274"/>
      <c r="Y522" s="274"/>
      <c r="Z522" s="274"/>
      <c r="AA522" s="274"/>
      <c r="AB522" s="274"/>
      <c r="AC522" s="274"/>
      <c r="AD522" s="274"/>
      <c r="AE522" s="274"/>
      <c r="AF522" s="274"/>
      <c r="AG522" s="274"/>
      <c r="AH522" s="274"/>
      <c r="AI522" s="274"/>
      <c r="AJ522" s="274"/>
      <c r="AK522" s="274"/>
    </row>
    <row r="523" spans="2:37" ht="13.2">
      <c r="B523" s="273"/>
      <c r="C523" s="273"/>
      <c r="D523" s="274"/>
      <c r="E523" s="274"/>
      <c r="F523" s="274"/>
      <c r="G523" s="274"/>
      <c r="H523" s="274"/>
      <c r="I523" s="274"/>
      <c r="J523" s="274"/>
      <c r="K523" s="274"/>
      <c r="L523" s="274"/>
      <c r="M523" s="274"/>
      <c r="N523" s="274"/>
      <c r="O523" s="274"/>
      <c r="P523" s="274"/>
      <c r="Q523" s="274"/>
      <c r="R523" s="274"/>
      <c r="S523" s="274"/>
      <c r="T523" s="274"/>
      <c r="U523" s="274"/>
      <c r="V523" s="274"/>
      <c r="W523" s="274"/>
      <c r="X523" s="274"/>
      <c r="Y523" s="274"/>
      <c r="Z523" s="274"/>
      <c r="AA523" s="274"/>
      <c r="AB523" s="274"/>
      <c r="AC523" s="274"/>
      <c r="AD523" s="274"/>
      <c r="AE523" s="274"/>
      <c r="AF523" s="274"/>
      <c r="AG523" s="274"/>
      <c r="AH523" s="274"/>
      <c r="AI523" s="274"/>
      <c r="AJ523" s="274"/>
      <c r="AK523" s="274"/>
    </row>
    <row r="524" spans="2:37" ht="13.2">
      <c r="B524" s="273"/>
      <c r="C524" s="273"/>
      <c r="D524" s="274"/>
      <c r="E524" s="274"/>
      <c r="F524" s="274"/>
      <c r="G524" s="274"/>
      <c r="H524" s="274"/>
      <c r="I524" s="274"/>
      <c r="J524" s="274"/>
      <c r="K524" s="274"/>
      <c r="L524" s="274"/>
      <c r="M524" s="274"/>
      <c r="N524" s="274"/>
      <c r="O524" s="274"/>
      <c r="P524" s="274"/>
      <c r="Q524" s="274"/>
      <c r="R524" s="274"/>
      <c r="S524" s="274"/>
      <c r="T524" s="274"/>
      <c r="U524" s="274"/>
      <c r="V524" s="274"/>
      <c r="W524" s="274"/>
      <c r="X524" s="274"/>
      <c r="Y524" s="274"/>
      <c r="Z524" s="274"/>
      <c r="AA524" s="274"/>
      <c r="AB524" s="274"/>
      <c r="AC524" s="274"/>
      <c r="AD524" s="274"/>
      <c r="AE524" s="274"/>
      <c r="AF524" s="274"/>
      <c r="AG524" s="274"/>
      <c r="AH524" s="274"/>
      <c r="AI524" s="274"/>
      <c r="AJ524" s="274"/>
      <c r="AK524" s="274"/>
    </row>
    <row r="525" spans="2:37" ht="13.2">
      <c r="B525" s="273"/>
      <c r="C525" s="273"/>
      <c r="D525" s="274"/>
      <c r="E525" s="274"/>
      <c r="F525" s="274"/>
      <c r="G525" s="274"/>
      <c r="H525" s="274"/>
      <c r="I525" s="274"/>
      <c r="J525" s="274"/>
      <c r="K525" s="274"/>
      <c r="L525" s="274"/>
      <c r="M525" s="274"/>
      <c r="N525" s="274"/>
      <c r="O525" s="274"/>
      <c r="P525" s="274"/>
      <c r="Q525" s="274"/>
      <c r="R525" s="274"/>
      <c r="S525" s="274"/>
      <c r="T525" s="274"/>
      <c r="U525" s="274"/>
      <c r="V525" s="274"/>
      <c r="W525" s="274"/>
      <c r="X525" s="274"/>
      <c r="Y525" s="274"/>
      <c r="Z525" s="274"/>
      <c r="AA525" s="274"/>
      <c r="AB525" s="274"/>
      <c r="AC525" s="274"/>
      <c r="AD525" s="274"/>
      <c r="AE525" s="274"/>
      <c r="AF525" s="274"/>
      <c r="AG525" s="274"/>
      <c r="AH525" s="274"/>
      <c r="AI525" s="274"/>
      <c r="AJ525" s="274"/>
      <c r="AK525" s="274"/>
    </row>
    <row r="526" spans="2:37" ht="13.2">
      <c r="B526" s="273"/>
      <c r="C526" s="273"/>
      <c r="D526" s="274"/>
      <c r="E526" s="274"/>
      <c r="F526" s="274"/>
      <c r="G526" s="274"/>
      <c r="H526" s="274"/>
      <c r="I526" s="274"/>
      <c r="J526" s="274"/>
      <c r="K526" s="274"/>
      <c r="L526" s="274"/>
      <c r="M526" s="274"/>
      <c r="N526" s="274"/>
      <c r="O526" s="274"/>
      <c r="P526" s="274"/>
      <c r="Q526" s="274"/>
      <c r="R526" s="274"/>
      <c r="S526" s="274"/>
      <c r="T526" s="274"/>
      <c r="U526" s="274"/>
      <c r="V526" s="274"/>
      <c r="W526" s="274"/>
      <c r="X526" s="274"/>
      <c r="Y526" s="274"/>
      <c r="Z526" s="274"/>
      <c r="AA526" s="274"/>
      <c r="AB526" s="274"/>
      <c r="AC526" s="274"/>
      <c r="AD526" s="274"/>
      <c r="AE526" s="274"/>
      <c r="AF526" s="274"/>
      <c r="AG526" s="274"/>
      <c r="AH526" s="274"/>
      <c r="AI526" s="274"/>
      <c r="AJ526" s="274"/>
      <c r="AK526" s="274"/>
    </row>
    <row r="527" spans="2:37" ht="13.2">
      <c r="B527" s="273"/>
      <c r="C527" s="273"/>
      <c r="D527" s="274"/>
      <c r="E527" s="274"/>
      <c r="F527" s="274"/>
      <c r="G527" s="274"/>
      <c r="H527" s="274"/>
      <c r="I527" s="274"/>
      <c r="J527" s="274"/>
      <c r="K527" s="274"/>
      <c r="L527" s="274"/>
      <c r="M527" s="274"/>
      <c r="N527" s="274"/>
      <c r="O527" s="274"/>
      <c r="P527" s="274"/>
      <c r="Q527" s="274"/>
      <c r="R527" s="274"/>
      <c r="S527" s="274"/>
      <c r="T527" s="274"/>
      <c r="U527" s="274"/>
      <c r="V527" s="274"/>
      <c r="W527" s="274"/>
      <c r="X527" s="274"/>
      <c r="Y527" s="274"/>
      <c r="Z527" s="274"/>
      <c r="AA527" s="274"/>
      <c r="AB527" s="274"/>
      <c r="AC527" s="274"/>
      <c r="AD527" s="274"/>
      <c r="AE527" s="274"/>
      <c r="AF527" s="274"/>
      <c r="AG527" s="274"/>
      <c r="AH527" s="274"/>
      <c r="AI527" s="274"/>
      <c r="AJ527" s="274"/>
      <c r="AK527" s="274"/>
    </row>
    <row r="528" spans="2:37" ht="13.2">
      <c r="B528" s="273"/>
      <c r="C528" s="273"/>
      <c r="D528" s="274"/>
      <c r="E528" s="274"/>
      <c r="F528" s="274"/>
      <c r="G528" s="274"/>
      <c r="H528" s="274"/>
      <c r="I528" s="274"/>
      <c r="J528" s="274"/>
      <c r="K528" s="274"/>
      <c r="L528" s="274"/>
      <c r="M528" s="274"/>
      <c r="N528" s="274"/>
      <c r="O528" s="274"/>
      <c r="P528" s="274"/>
      <c r="Q528" s="274"/>
      <c r="R528" s="274"/>
      <c r="S528" s="274"/>
      <c r="T528" s="274"/>
      <c r="U528" s="274"/>
      <c r="V528" s="274"/>
      <c r="W528" s="274"/>
      <c r="X528" s="274"/>
      <c r="Y528" s="274"/>
      <c r="Z528" s="274"/>
      <c r="AA528" s="274"/>
      <c r="AB528" s="274"/>
      <c r="AC528" s="274"/>
      <c r="AD528" s="274"/>
      <c r="AE528" s="274"/>
      <c r="AF528" s="274"/>
      <c r="AG528" s="274"/>
      <c r="AH528" s="274"/>
      <c r="AI528" s="274"/>
      <c r="AJ528" s="274"/>
      <c r="AK528" s="274"/>
    </row>
    <row r="529" spans="2:37" ht="13.2">
      <c r="B529" s="273"/>
      <c r="C529" s="273"/>
      <c r="D529" s="274"/>
      <c r="E529" s="274"/>
      <c r="F529" s="274"/>
      <c r="G529" s="274"/>
      <c r="H529" s="274"/>
      <c r="I529" s="274"/>
      <c r="J529" s="274"/>
      <c r="K529" s="274"/>
      <c r="L529" s="274"/>
      <c r="M529" s="274"/>
      <c r="N529" s="274"/>
      <c r="O529" s="274"/>
      <c r="P529" s="274"/>
      <c r="Q529" s="274"/>
      <c r="R529" s="274"/>
      <c r="S529" s="274"/>
      <c r="T529" s="274"/>
      <c r="U529" s="274"/>
      <c r="V529" s="274"/>
      <c r="W529" s="274"/>
      <c r="X529" s="274"/>
      <c r="Y529" s="274"/>
      <c r="Z529" s="274"/>
      <c r="AA529" s="274"/>
      <c r="AB529" s="274"/>
      <c r="AC529" s="274"/>
      <c r="AD529" s="274"/>
      <c r="AE529" s="274"/>
      <c r="AF529" s="274"/>
      <c r="AG529" s="274"/>
      <c r="AH529" s="274"/>
      <c r="AI529" s="274"/>
      <c r="AJ529" s="274"/>
      <c r="AK529" s="274"/>
    </row>
    <row r="530" spans="2:37" ht="13.2">
      <c r="B530" s="273"/>
      <c r="C530" s="273"/>
      <c r="D530" s="274"/>
      <c r="E530" s="274"/>
      <c r="F530" s="274"/>
      <c r="G530" s="274"/>
      <c r="H530" s="274"/>
      <c r="I530" s="274"/>
      <c r="J530" s="274"/>
      <c r="K530" s="274"/>
      <c r="L530" s="274"/>
      <c r="M530" s="274"/>
      <c r="N530" s="274"/>
      <c r="O530" s="274"/>
      <c r="P530" s="274"/>
      <c r="Q530" s="274"/>
      <c r="R530" s="274"/>
      <c r="S530" s="274"/>
      <c r="T530" s="274"/>
      <c r="U530" s="274"/>
      <c r="V530" s="274"/>
      <c r="W530" s="274"/>
      <c r="X530" s="274"/>
      <c r="Y530" s="274"/>
      <c r="Z530" s="274"/>
      <c r="AA530" s="274"/>
      <c r="AB530" s="274"/>
      <c r="AC530" s="274"/>
      <c r="AD530" s="274"/>
      <c r="AE530" s="274"/>
      <c r="AF530" s="274"/>
      <c r="AG530" s="274"/>
      <c r="AH530" s="274"/>
      <c r="AI530" s="274"/>
      <c r="AJ530" s="274"/>
      <c r="AK530" s="274"/>
    </row>
    <row r="531" spans="2:37" ht="13.2">
      <c r="B531" s="273"/>
      <c r="C531" s="273"/>
      <c r="D531" s="274"/>
      <c r="E531" s="274"/>
      <c r="F531" s="274"/>
      <c r="G531" s="274"/>
      <c r="H531" s="274"/>
      <c r="I531" s="274"/>
      <c r="J531" s="274"/>
      <c r="K531" s="274"/>
      <c r="L531" s="274"/>
      <c r="M531" s="274"/>
      <c r="N531" s="274"/>
      <c r="O531" s="274"/>
      <c r="P531" s="274"/>
      <c r="Q531" s="274"/>
      <c r="R531" s="274"/>
      <c r="S531" s="274"/>
      <c r="T531" s="274"/>
      <c r="U531" s="274"/>
      <c r="V531" s="274"/>
      <c r="W531" s="274"/>
      <c r="X531" s="274"/>
      <c r="Y531" s="274"/>
      <c r="Z531" s="274"/>
      <c r="AA531" s="274"/>
      <c r="AB531" s="274"/>
      <c r="AC531" s="274"/>
      <c r="AD531" s="274"/>
      <c r="AE531" s="274"/>
      <c r="AF531" s="274"/>
      <c r="AG531" s="274"/>
      <c r="AH531" s="274"/>
      <c r="AI531" s="274"/>
      <c r="AJ531" s="274"/>
      <c r="AK531" s="274"/>
    </row>
    <row r="532" spans="2:37" ht="13.2">
      <c r="B532" s="273"/>
      <c r="C532" s="273"/>
      <c r="D532" s="274"/>
      <c r="E532" s="274"/>
      <c r="F532" s="274"/>
      <c r="G532" s="274"/>
      <c r="H532" s="274"/>
      <c r="I532" s="274"/>
      <c r="J532" s="274"/>
      <c r="K532" s="274"/>
      <c r="L532" s="274"/>
      <c r="M532" s="274"/>
      <c r="N532" s="274"/>
      <c r="O532" s="274"/>
      <c r="P532" s="274"/>
      <c r="Q532" s="274"/>
      <c r="R532" s="274"/>
      <c r="S532" s="274"/>
      <c r="T532" s="274"/>
      <c r="U532" s="274"/>
      <c r="V532" s="274"/>
      <c r="W532" s="274"/>
      <c r="X532" s="274"/>
      <c r="Y532" s="274"/>
      <c r="Z532" s="274"/>
      <c r="AA532" s="274"/>
      <c r="AB532" s="274"/>
      <c r="AC532" s="274"/>
      <c r="AD532" s="274"/>
      <c r="AE532" s="274"/>
      <c r="AF532" s="274"/>
      <c r="AG532" s="274"/>
      <c r="AH532" s="274"/>
      <c r="AI532" s="274"/>
      <c r="AJ532" s="274"/>
      <c r="AK532" s="274"/>
    </row>
    <row r="533" spans="2:37" ht="13.2">
      <c r="B533" s="273"/>
      <c r="C533" s="273"/>
      <c r="D533" s="274"/>
      <c r="E533" s="274"/>
      <c r="F533" s="274"/>
      <c r="G533" s="274"/>
      <c r="H533" s="274"/>
      <c r="I533" s="274"/>
      <c r="J533" s="274"/>
      <c r="K533" s="274"/>
      <c r="L533" s="274"/>
      <c r="M533" s="274"/>
      <c r="N533" s="274"/>
      <c r="O533" s="274"/>
      <c r="P533" s="274"/>
      <c r="Q533" s="274"/>
      <c r="R533" s="274"/>
      <c r="S533" s="274"/>
      <c r="T533" s="274"/>
      <c r="U533" s="274"/>
      <c r="V533" s="274"/>
      <c r="W533" s="274"/>
      <c r="X533" s="274"/>
      <c r="Y533" s="274"/>
      <c r="Z533" s="274"/>
      <c r="AA533" s="274"/>
      <c r="AB533" s="274"/>
      <c r="AC533" s="274"/>
      <c r="AD533" s="274"/>
      <c r="AE533" s="274"/>
      <c r="AF533" s="274"/>
      <c r="AG533" s="274"/>
      <c r="AH533" s="274"/>
      <c r="AI533" s="274"/>
      <c r="AJ533" s="274"/>
      <c r="AK533" s="274"/>
    </row>
    <row r="534" spans="2:37" ht="13.2">
      <c r="B534" s="273"/>
      <c r="C534" s="273"/>
      <c r="D534" s="274"/>
      <c r="E534" s="274"/>
      <c r="F534" s="274"/>
      <c r="G534" s="274"/>
      <c r="H534" s="274"/>
      <c r="I534" s="274"/>
      <c r="J534" s="274"/>
      <c r="K534" s="274"/>
      <c r="L534" s="274"/>
      <c r="M534" s="274"/>
      <c r="N534" s="274"/>
      <c r="O534" s="274"/>
      <c r="P534" s="274"/>
      <c r="Q534" s="274"/>
      <c r="R534" s="274"/>
      <c r="S534" s="274"/>
      <c r="T534" s="274"/>
      <c r="U534" s="274"/>
      <c r="V534" s="274"/>
      <c r="W534" s="274"/>
      <c r="X534" s="274"/>
      <c r="Y534" s="274"/>
      <c r="Z534" s="274"/>
      <c r="AA534" s="274"/>
      <c r="AB534" s="274"/>
      <c r="AC534" s="274"/>
      <c r="AD534" s="274"/>
      <c r="AE534" s="274"/>
      <c r="AF534" s="274"/>
      <c r="AG534" s="274"/>
      <c r="AH534" s="274"/>
      <c r="AI534" s="274"/>
      <c r="AJ534" s="274"/>
      <c r="AK534" s="274"/>
    </row>
    <row r="535" spans="2:37" ht="13.2">
      <c r="B535" s="273"/>
      <c r="C535" s="273"/>
      <c r="D535" s="274"/>
      <c r="E535" s="274"/>
      <c r="F535" s="274"/>
      <c r="G535" s="274"/>
      <c r="H535" s="274"/>
      <c r="I535" s="274"/>
      <c r="J535" s="274"/>
      <c r="K535" s="274"/>
      <c r="L535" s="274"/>
      <c r="M535" s="274"/>
      <c r="N535" s="274"/>
      <c r="O535" s="274"/>
      <c r="P535" s="274"/>
      <c r="Q535" s="274"/>
      <c r="R535" s="274"/>
      <c r="S535" s="274"/>
      <c r="T535" s="274"/>
      <c r="U535" s="274"/>
      <c r="V535" s="274"/>
      <c r="W535" s="274"/>
      <c r="X535" s="274"/>
      <c r="Y535" s="274"/>
      <c r="Z535" s="274"/>
      <c r="AA535" s="274"/>
      <c r="AB535" s="274"/>
      <c r="AC535" s="274"/>
      <c r="AD535" s="274"/>
      <c r="AE535" s="274"/>
      <c r="AF535" s="274"/>
      <c r="AG535" s="274"/>
      <c r="AH535" s="274"/>
      <c r="AI535" s="274"/>
      <c r="AJ535" s="274"/>
      <c r="AK535" s="274"/>
    </row>
    <row r="536" spans="2:37" ht="13.2">
      <c r="B536" s="273"/>
      <c r="C536" s="273"/>
      <c r="D536" s="274"/>
      <c r="E536" s="274"/>
      <c r="F536" s="274"/>
      <c r="G536" s="274"/>
      <c r="H536" s="274"/>
      <c r="I536" s="274"/>
      <c r="J536" s="274"/>
      <c r="K536" s="274"/>
      <c r="L536" s="274"/>
      <c r="M536" s="274"/>
      <c r="N536" s="274"/>
      <c r="O536" s="274"/>
      <c r="P536" s="274"/>
      <c r="Q536" s="274"/>
      <c r="R536" s="274"/>
      <c r="S536" s="274"/>
      <c r="T536" s="274"/>
      <c r="U536" s="274"/>
      <c r="V536" s="274"/>
      <c r="W536" s="274"/>
      <c r="X536" s="274"/>
      <c r="Y536" s="274"/>
      <c r="Z536" s="274"/>
      <c r="AA536" s="274"/>
      <c r="AB536" s="274"/>
      <c r="AC536" s="274"/>
      <c r="AD536" s="274"/>
      <c r="AE536" s="274"/>
      <c r="AF536" s="274"/>
      <c r="AG536" s="274"/>
      <c r="AH536" s="274"/>
      <c r="AI536" s="274"/>
      <c r="AJ536" s="274"/>
      <c r="AK536" s="274"/>
    </row>
    <row r="537" spans="2:37" ht="13.2">
      <c r="B537" s="273"/>
      <c r="C537" s="273"/>
      <c r="D537" s="274"/>
      <c r="E537" s="274"/>
      <c r="F537" s="274"/>
      <c r="G537" s="274"/>
      <c r="H537" s="274"/>
      <c r="I537" s="274"/>
      <c r="J537" s="274"/>
      <c r="K537" s="274"/>
      <c r="L537" s="274"/>
      <c r="M537" s="274"/>
      <c r="N537" s="274"/>
      <c r="O537" s="274"/>
      <c r="P537" s="274"/>
      <c r="Q537" s="274"/>
      <c r="R537" s="274"/>
      <c r="S537" s="274"/>
      <c r="T537" s="274"/>
      <c r="U537" s="274"/>
      <c r="V537" s="274"/>
      <c r="W537" s="274"/>
      <c r="X537" s="274"/>
      <c r="Y537" s="274"/>
      <c r="Z537" s="274"/>
      <c r="AA537" s="274"/>
      <c r="AB537" s="274"/>
      <c r="AC537" s="274"/>
      <c r="AD537" s="274"/>
      <c r="AE537" s="274"/>
      <c r="AF537" s="274"/>
      <c r="AG537" s="274"/>
      <c r="AH537" s="274"/>
      <c r="AI537" s="274"/>
      <c r="AJ537" s="274"/>
      <c r="AK537" s="274"/>
    </row>
    <row r="538" spans="2:37" ht="13.2"/>
    <row r="539" spans="2:37" ht="13.2"/>
    <row r="540" spans="2:37" ht="13.2"/>
    <row r="541" spans="2:37" ht="13.2"/>
    <row r="542" spans="2:37" ht="13.2"/>
    <row r="543" spans="2:37" ht="13.2"/>
    <row r="544" spans="2:37" ht="13.2"/>
    <row r="545" ht="13.2"/>
    <row r="546" ht="13.2"/>
    <row r="547" ht="13.2"/>
    <row r="548" ht="13.2"/>
    <row r="549" ht="13.2"/>
    <row r="550" ht="13.2"/>
    <row r="551" ht="13.2"/>
    <row r="552" ht="13.2"/>
    <row r="553" ht="13.2"/>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sheetData>
  <mergeCells count="211">
    <mergeCell ref="AA28:AC28"/>
    <mergeCell ref="AA44:AC44"/>
    <mergeCell ref="AA50:AC50"/>
    <mergeCell ref="AA56:AC56"/>
    <mergeCell ref="AE71:AH71"/>
    <mergeCell ref="B60:AK60"/>
    <mergeCell ref="B62:AK62"/>
    <mergeCell ref="B64:AK64"/>
    <mergeCell ref="B71:D71"/>
    <mergeCell ref="G71:L71"/>
    <mergeCell ref="V71:Y71"/>
    <mergeCell ref="B52:AF52"/>
    <mergeCell ref="AG52:AK52"/>
    <mergeCell ref="B54:T54"/>
    <mergeCell ref="U54:AK54"/>
    <mergeCell ref="B56:I56"/>
    <mergeCell ref="J56:P56"/>
    <mergeCell ref="Q56:U56"/>
    <mergeCell ref="V56:Z56"/>
    <mergeCell ref="AD56:AG56"/>
    <mergeCell ref="B46:AF46"/>
    <mergeCell ref="J50:P50"/>
    <mergeCell ref="Q50:U50"/>
    <mergeCell ref="V50:Z50"/>
    <mergeCell ref="AD50:AG50"/>
    <mergeCell ref="B32:AK32"/>
    <mergeCell ref="B34:AK34"/>
    <mergeCell ref="B36:AK36"/>
    <mergeCell ref="B40:AF40"/>
    <mergeCell ref="AG40:AK40"/>
    <mergeCell ref="B42:T42"/>
    <mergeCell ref="U42:AK42"/>
    <mergeCell ref="B44:I44"/>
    <mergeCell ref="J44:P44"/>
    <mergeCell ref="Q44:U44"/>
    <mergeCell ref="V44:Z44"/>
    <mergeCell ref="AD44:AG44"/>
    <mergeCell ref="L250:AA250"/>
    <mergeCell ref="L253:AA253"/>
    <mergeCell ref="L240:AA240"/>
    <mergeCell ref="L241:AA241"/>
    <mergeCell ref="O244:W244"/>
    <mergeCell ref="H245:AC245"/>
    <mergeCell ref="O246:W246"/>
    <mergeCell ref="L249:AA249"/>
    <mergeCell ref="M230:Y230"/>
    <mergeCell ref="L232:AA232"/>
    <mergeCell ref="L233:AA233"/>
    <mergeCell ref="L236:AA236"/>
    <mergeCell ref="L237:AA237"/>
    <mergeCell ref="L252:AA252"/>
    <mergeCell ref="B214:AK214"/>
    <mergeCell ref="O217:X217"/>
    <mergeCell ref="L219:AA219"/>
    <mergeCell ref="L220:AA220"/>
    <mergeCell ref="L223:AA223"/>
    <mergeCell ref="L224:AA224"/>
    <mergeCell ref="B202:AK202"/>
    <mergeCell ref="B204:AK204"/>
    <mergeCell ref="B205:AK205"/>
    <mergeCell ref="B207:AK207"/>
    <mergeCell ref="B209:AK209"/>
    <mergeCell ref="B212:AK212"/>
    <mergeCell ref="G194:P196"/>
    <mergeCell ref="Q194:AG194"/>
    <mergeCell ref="Q195:AG195"/>
    <mergeCell ref="Q196:AG196"/>
    <mergeCell ref="G197:P200"/>
    <mergeCell ref="Q197:AG197"/>
    <mergeCell ref="Q198:AG198"/>
    <mergeCell ref="Q199:AG200"/>
    <mergeCell ref="G188:P188"/>
    <mergeCell ref="Q188:AG188"/>
    <mergeCell ref="G189:P189"/>
    <mergeCell ref="Q189:AG189"/>
    <mergeCell ref="G190:P193"/>
    <mergeCell ref="Q190:AG190"/>
    <mergeCell ref="Q191:AG193"/>
    <mergeCell ref="B180:AK180"/>
    <mergeCell ref="B181:AK181"/>
    <mergeCell ref="B182:AK182"/>
    <mergeCell ref="B184:AK184"/>
    <mergeCell ref="B186:AK186"/>
    <mergeCell ref="B187:AK187"/>
    <mergeCell ref="B170:AK170"/>
    <mergeCell ref="B172:AK172"/>
    <mergeCell ref="B174:AK174"/>
    <mergeCell ref="B176:AK176"/>
    <mergeCell ref="B177:AK177"/>
    <mergeCell ref="B179:AK179"/>
    <mergeCell ref="B158:AK158"/>
    <mergeCell ref="B160:AK160"/>
    <mergeCell ref="B162:AK162"/>
    <mergeCell ref="B164:AK164"/>
    <mergeCell ref="B166:AK166"/>
    <mergeCell ref="B168:AK168"/>
    <mergeCell ref="B149:AK149"/>
    <mergeCell ref="B150:AK150"/>
    <mergeCell ref="B152:AK152"/>
    <mergeCell ref="B154:AK154"/>
    <mergeCell ref="B155:AK155"/>
    <mergeCell ref="B156:AK156"/>
    <mergeCell ref="B138:AK138"/>
    <mergeCell ref="B139:AK139"/>
    <mergeCell ref="B141:AK141"/>
    <mergeCell ref="B143:AK143"/>
    <mergeCell ref="B145:AK145"/>
    <mergeCell ref="B147:AK147"/>
    <mergeCell ref="B130:AK130"/>
    <mergeCell ref="B131:AK131"/>
    <mergeCell ref="B132:AK132"/>
    <mergeCell ref="B133:AK133"/>
    <mergeCell ref="B134:AK134"/>
    <mergeCell ref="B136:AK136"/>
    <mergeCell ref="B119:AK119"/>
    <mergeCell ref="B120:AK120"/>
    <mergeCell ref="B122:AK122"/>
    <mergeCell ref="B124:AK124"/>
    <mergeCell ref="B126:AK126"/>
    <mergeCell ref="B128:AK128"/>
    <mergeCell ref="B108:AK108"/>
    <mergeCell ref="C110:AK110"/>
    <mergeCell ref="B112:AK112"/>
    <mergeCell ref="B114:AK114"/>
    <mergeCell ref="B116:AK116"/>
    <mergeCell ref="B118:AK118"/>
    <mergeCell ref="B100:AK100"/>
    <mergeCell ref="B101:AK101"/>
    <mergeCell ref="B102:AK102"/>
    <mergeCell ref="B103:AK103"/>
    <mergeCell ref="B104:AK104"/>
    <mergeCell ref="B106:AK106"/>
    <mergeCell ref="B94:AK94"/>
    <mergeCell ref="B95:AK95"/>
    <mergeCell ref="B96:AK96"/>
    <mergeCell ref="B97:AK97"/>
    <mergeCell ref="B98:AK98"/>
    <mergeCell ref="B99:AK99"/>
    <mergeCell ref="B28:I28"/>
    <mergeCell ref="J28:P28"/>
    <mergeCell ref="Q28:U28"/>
    <mergeCell ref="V28:Z28"/>
    <mergeCell ref="AD28:AG28"/>
    <mergeCell ref="B87:AK87"/>
    <mergeCell ref="B89:AK89"/>
    <mergeCell ref="B91:AK91"/>
    <mergeCell ref="B93:AK93"/>
    <mergeCell ref="M71:Q71"/>
    <mergeCell ref="Z71:AD71"/>
    <mergeCell ref="B74:AK75"/>
    <mergeCell ref="B76:P76"/>
    <mergeCell ref="Q76:V76"/>
    <mergeCell ref="W76:AB76"/>
    <mergeCell ref="AC76:AE76"/>
    <mergeCell ref="AF76:AH76"/>
    <mergeCell ref="AI76:AK76"/>
    <mergeCell ref="B77:P78"/>
    <mergeCell ref="B79:P80"/>
    <mergeCell ref="AG46:AK46"/>
    <mergeCell ref="B48:T48"/>
    <mergeCell ref="U48:AK48"/>
    <mergeCell ref="B50:I50"/>
    <mergeCell ref="B22:I22"/>
    <mergeCell ref="J22:P22"/>
    <mergeCell ref="Q22:U22"/>
    <mergeCell ref="V22:Z22"/>
    <mergeCell ref="AD22:AG22"/>
    <mergeCell ref="B24:AF24"/>
    <mergeCell ref="AG24:AK24"/>
    <mergeCell ref="B26:W26"/>
    <mergeCell ref="X26:AK26"/>
    <mergeCell ref="AA22:AC22"/>
    <mergeCell ref="AB4:AK4"/>
    <mergeCell ref="AA5:AK5"/>
    <mergeCell ref="AC6:AK6"/>
    <mergeCell ref="B8:F8"/>
    <mergeCell ref="B9:F9"/>
    <mergeCell ref="B10:F10"/>
    <mergeCell ref="Z69:AD69"/>
    <mergeCell ref="AE69:AH69"/>
    <mergeCell ref="G10:U10"/>
    <mergeCell ref="V10:AK10"/>
    <mergeCell ref="B14:L14"/>
    <mergeCell ref="M14:S14"/>
    <mergeCell ref="T14:Z14"/>
    <mergeCell ref="AA14:AG14"/>
    <mergeCell ref="AH14:AK14"/>
    <mergeCell ref="B18:AF18"/>
    <mergeCell ref="AG18:AK18"/>
    <mergeCell ref="B20:W20"/>
    <mergeCell ref="X20:AK20"/>
    <mergeCell ref="AH22:AK22"/>
    <mergeCell ref="AH28:AK28"/>
    <mergeCell ref="AH44:AK44"/>
    <mergeCell ref="AH50:AK50"/>
    <mergeCell ref="AH56:AK56"/>
    <mergeCell ref="B68:L68"/>
    <mergeCell ref="M68:AK68"/>
    <mergeCell ref="R71:U71"/>
    <mergeCell ref="AI69:AK69"/>
    <mergeCell ref="AJ71:AK71"/>
    <mergeCell ref="B69:F69"/>
    <mergeCell ref="G69:L69"/>
    <mergeCell ref="M69:Q69"/>
    <mergeCell ref="R69:U69"/>
    <mergeCell ref="V69:Y69"/>
    <mergeCell ref="G70:L70"/>
    <mergeCell ref="R70:U70"/>
    <mergeCell ref="V70:Y70"/>
    <mergeCell ref="Z70:AD70"/>
    <mergeCell ref="AE70:AH70"/>
  </mergeCells>
  <printOptions horizontalCentered="1"/>
  <pageMargins left="0" right="0" top="0" bottom="0" header="0" footer="0"/>
  <pageSetup scale="90" orientation="portrait" r:id="rId1"/>
  <headerFooter alignWithMargins="0"/>
  <rowBreaks count="1" manualBreakCount="1">
    <brk id="86" max="38"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
  <sheetViews>
    <sheetView workbookViewId="0"/>
  </sheetViews>
  <sheetFormatPr defaultColWidth="11.5546875"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186</vt:i4>
      </vt:variant>
    </vt:vector>
  </HeadingPairs>
  <TitlesOfParts>
    <vt:vector size="206" baseType="lpstr">
      <vt:lpstr>CA_Consola</vt:lpstr>
      <vt:lpstr>CA_Servicios</vt:lpstr>
      <vt:lpstr>Menu Principal</vt:lpstr>
      <vt:lpstr>Tabla</vt:lpstr>
      <vt:lpstr>Combos</vt:lpstr>
      <vt:lpstr>Validaciones</vt:lpstr>
      <vt:lpstr>Captura</vt:lpstr>
      <vt:lpstr>Parámetros</vt:lpstr>
      <vt:lpstr>CAT</vt:lpstr>
      <vt:lpstr>LogDeCierres</vt:lpstr>
      <vt:lpstr>ACS</vt:lpstr>
      <vt:lpstr>ACCC</vt:lpstr>
      <vt:lpstr>ACS PROGR APOYO</vt:lpstr>
      <vt:lpstr>ACS DLLS</vt:lpstr>
      <vt:lpstr>ACCC DLLS</vt:lpstr>
      <vt:lpstr>CREDILINEA</vt:lpstr>
      <vt:lpstr>COMB. DE MEDIOS</vt:lpstr>
      <vt:lpstr>ACS COMP. GOB.</vt:lpstr>
      <vt:lpstr>ACCC COMP. GOB.</vt:lpstr>
      <vt:lpstr>Hoja1</vt:lpstr>
      <vt:lpstr>AA_001_GENERALES_CONTRATO</vt:lpstr>
      <vt:lpstr>AA_002_GENERALES_FECHA</vt:lpstr>
      <vt:lpstr>AA_003_GENERALES_DIA</vt:lpstr>
      <vt:lpstr>AA_007_GENERALES_NOMBRE_Y_NÚMERO_DE_SUCURSAL</vt:lpstr>
      <vt:lpstr>AA_008_DATOS_DE_BANCO_DOMICILIO_CALLE_NÚMERO</vt:lpstr>
      <vt:lpstr>AA_009_DATOS_DE_BANCO_COLONIA</vt:lpstr>
      <vt:lpstr>AA_010_DATOS_DE_BANCO_POBLACIÓN</vt:lpstr>
      <vt:lpstr>AA_011_DATOS_DE_BANCO_ESTADO</vt:lpstr>
      <vt:lpstr>AA_012_DATOS_DE_BANCO_CODIGO_POSTAL</vt:lpstr>
      <vt:lpstr>AA_013_DATOS_DE_LA_PARTE_ACREDITADA_NOMBRE_DEL_ACREDITADO</vt:lpstr>
      <vt:lpstr>AA_014_DATOS_DE_LA_PARTE_ACREDITADA_R_F_C_</vt:lpstr>
      <vt:lpstr>AA_015_DATOS_DE_LA_PARTE_ACREDITADA_DOMICILIO_CALLE_NÚMERO</vt:lpstr>
      <vt:lpstr>AA_016_DATOS_DE_LA_PARTE_ACREDITADA_COLONIA</vt:lpstr>
      <vt:lpstr>AA_017_DATOS_DE_LA_PARTE_ACREDITADA_POBLACION</vt:lpstr>
      <vt:lpstr>AA_018_DATOS_DE_LA_PARTE_ACREDITADA_ESTADO</vt:lpstr>
      <vt:lpstr>AA_019_DATOS_DE_LA_PARTE_ACREDITADA_NACIONALIDAD</vt:lpstr>
      <vt:lpstr>AA_020_DATOS_DE_LA_PARTE_ACREDITADA_ORIGINARIO</vt:lpstr>
      <vt:lpstr>AA_021_DATOS_DE_LA_PARTE_ACREDITADA_EDAD</vt:lpstr>
      <vt:lpstr>AA_022_DATOS_DE_LA_PARTE_ACREDITADA_ESTADO_CIVIL</vt:lpstr>
      <vt:lpstr>AA_023_DATOS_DE_LA_PARTE_ACREDITADA_TELEFONO</vt:lpstr>
      <vt:lpstr>AA_024_DATOS_DE_LA_PARTE_ACREDITADA_NOMBRE_DEL_ACREDITADO_2</vt:lpstr>
      <vt:lpstr>AA_025_DATOS_DE_LA_PARTE_ACREDITADA_R_F_C_</vt:lpstr>
      <vt:lpstr>AA_026_DATOS_DE_LA_PARTE_ACREDITADA_DOMICILIO_CALLE_NÚMERO</vt:lpstr>
      <vt:lpstr>AA_027_DATOS_DE_LA_PARTE_ACREDITADA_COLONIA</vt:lpstr>
      <vt:lpstr>AA_028_DATOS_DE_LA_PARTE_ACREDITADA_POBLACION</vt:lpstr>
      <vt:lpstr>AA_029_DATOS_DE_LA_PARTE_ACREDITADA_ESTADO</vt:lpstr>
      <vt:lpstr>AA_030_DATOS_DE_LA_PARTE_ACREDITADA_NACIONALIDAD</vt:lpstr>
      <vt:lpstr>AA_031_DATOS_DE_LA_PARTE_ACREDITADA_ORIGINARIO</vt:lpstr>
      <vt:lpstr>AA_032_DATOS_DE_LA_PARTE_ACREDITADA_EDAD</vt:lpstr>
      <vt:lpstr>AA_033_DATOS_DE_LA_PARTE_ACREDITADA_ESTADO_CIVIL</vt:lpstr>
      <vt:lpstr>AA_034_DATOS_DE_LA_PARTE_ACREDITADA_TELEFONO</vt:lpstr>
      <vt:lpstr>AA_035_DATOS_APODERADOS_ACREDITADO_NOMBRE_APODERADO_DEL_ACREDITADO_UNO</vt:lpstr>
      <vt:lpstr>AA_036_DATOS_APODERADOS_ACREDITADO_NOMBRE_APODERADO_DEL_ACREDITADO_DOS</vt:lpstr>
      <vt:lpstr>AA_036a_DATOS_APODERADOS_ACREDITADO_NOMBRE_APODERADO_DEL_ACREDITADO_TRES</vt:lpstr>
      <vt:lpstr>AA_037_DATOS_FIADORES_NOMBRE_DEL_FIADOR_SOLIDARIO_UNO</vt:lpstr>
      <vt:lpstr>AA_038_DATOS_FIADORES_RFC</vt:lpstr>
      <vt:lpstr>AA_039_DATOS_FIADORES_DOMICILIO_CALLE_NÚMERO</vt:lpstr>
      <vt:lpstr>AA_040_DATOS_FIADORES_COLONIA</vt:lpstr>
      <vt:lpstr>AA_041_DATOS_FIADORES_POBLACIÓN</vt:lpstr>
      <vt:lpstr>AA_042_DATOS_FIADORES_ESTADO</vt:lpstr>
      <vt:lpstr>AA_043_DATOS_FIADORES_NACIONALIDAD</vt:lpstr>
      <vt:lpstr>AA_044_DATOS_FIADORES_ORIGINARIO</vt:lpstr>
      <vt:lpstr>AA_045_DATOS_FIADORES_EDAD</vt:lpstr>
      <vt:lpstr>AA_046_DATOS_FIADORES_ESTADO_CIVIL</vt:lpstr>
      <vt:lpstr>AA_047_DATOS_FIADORES_TELEFONO</vt:lpstr>
      <vt:lpstr>AA_048_DATOS_FIADORES_NOMBRE_DEL_FIADOR_SOLIDARIO_DOS</vt:lpstr>
      <vt:lpstr>AA_049_DATOS_FIADORES_RFC</vt:lpstr>
      <vt:lpstr>AA_050_DATOS_FIADORES_DOMICILIO_CALLE_NÚMERO</vt:lpstr>
      <vt:lpstr>AA_051_DATOS_FIADORES_COLONIA</vt:lpstr>
      <vt:lpstr>AA_052_DATOS_FIADORES_POBLACIÓN</vt:lpstr>
      <vt:lpstr>AA_053_DATOS_FIADORES_ESTADO</vt:lpstr>
      <vt:lpstr>AA_054_DATOS_FIADORES_NACIONALIDAD</vt:lpstr>
      <vt:lpstr>AA_055_DATOS_FIADORES_ORIGINARIO</vt:lpstr>
      <vt:lpstr>AA_056_DATOS_FIADORES_EDAD</vt:lpstr>
      <vt:lpstr>AA_057_DATOS_FIADORES_ESTADO_CIVIL</vt:lpstr>
      <vt:lpstr>AA_058_DATOS_FIADORES_TELEFONO</vt:lpstr>
      <vt:lpstr>AA_059_DATOS_FIADORES_NOMBRE_DEL_FIADOR_SOLIDARIO_TRES</vt:lpstr>
      <vt:lpstr>AA_060_DATOS_FIADORES_RFC</vt:lpstr>
      <vt:lpstr>AA_061_DATOS_FIADORES_DOMICILIO_CALLE_NÚMERO</vt:lpstr>
      <vt:lpstr>AA_062_DATOS_FIADORES_COLONIA</vt:lpstr>
      <vt:lpstr>AA_063_DATOS_FIADORES_POBLACIÓN</vt:lpstr>
      <vt:lpstr>AA_064_DATOS_FIADORES_ESTADO</vt:lpstr>
      <vt:lpstr>AA_065_DATOS_FIADORES_NACIONALIDAD</vt:lpstr>
      <vt:lpstr>AA_066_DATOS_FIADORES_ORIGINARIO</vt:lpstr>
      <vt:lpstr>AA_067_DATOS_FIADORES_EDAD</vt:lpstr>
      <vt:lpstr>AA_068_DATOS_FIADORES_ESTADO_CIVIL</vt:lpstr>
      <vt:lpstr>AA_069_DATOS_FIADORES_TELEFONO</vt:lpstr>
      <vt:lpstr>AA_070_DATOS_APODERADOS_FIADOR_NOMBRE_APODERADO_DEL_FIADOR_SOLIDARIO_UNO</vt:lpstr>
      <vt:lpstr>AA_071_DATOS_APODERADOS_FIADOR_NOMBRE_APODERADO_DEL_FIADOR_SOLIDARIO_DOS</vt:lpstr>
      <vt:lpstr>AA_072_DATOS_APODERADOS_FIADOR_NOMBRE_APODERADO_DEL_FIADOR_SOLIDARIO_TRES</vt:lpstr>
      <vt:lpstr>AA_073_CARACTERISTICAS_CREDITO_IMPORTE_NÚMERO_LETRA</vt:lpstr>
      <vt:lpstr>AA_074_CARACTERISTICAS_CREDITO_PLAZO_DEL_CRÉDITO_MESES</vt:lpstr>
      <vt:lpstr>AA_075_CARACTERISTICAS_CREDITO_FECHA_DE_VENCIMIENTO</vt:lpstr>
      <vt:lpstr>AA_076_CARACTERISTICAS_CREDITO_CUENTA_DE_CHEQUES</vt:lpstr>
      <vt:lpstr>AA_077_CARACTERISTICAS_CREDITO_COMISIÓN_POR_APERTURA</vt:lpstr>
      <vt:lpstr>AA_078_CARACTERISTICAS_CREDITO_CAT_SIN_IVA</vt:lpstr>
      <vt:lpstr>AA_079_CARACTERISTICAS_CREDITO_PORCENTAJE_DE_INTERÉS_TASA_FIJA</vt:lpstr>
      <vt:lpstr>AA_080_CARACTERISTICAS_CREDITO_DIFERENCIAL_TASA_VARIABLE_TIIE</vt:lpstr>
      <vt:lpstr>AA_081_CARACTERISTICAS_CREDITO_MESES_DE_GRACIA_DE_CAPITAL</vt:lpstr>
      <vt:lpstr>AA_082_CARACTERISTICAS_CREDITO_DÍA_DE_PAGO_DE_CAPITAL_E_INTERESES_ORDINARIOS</vt:lpstr>
      <vt:lpstr>AA_083_CARACTERISTICAS_CREDITO_DESTINO_DEL_CRÉDITO</vt:lpstr>
      <vt:lpstr>AA_084_CARACTERISTICAS_CREDITO_PORCENTAJE_DE_COMISIÓN_POR_PAGOS_ANTICIPADOS</vt:lpstr>
      <vt:lpstr>AA_085_CARACTERISTICAS_CREDITO_DIFERENCIAL_PUNTOS_PORCENTUALES_LIBOR</vt:lpstr>
      <vt:lpstr>AA_086_CARACTERISTICAS_CREDITO_FECHA_DE_PRIMER_PAGO</vt:lpstr>
      <vt:lpstr>AA_087_CARACTERISTICAS_CREDITO_FECHA_DE_SEGUNDO_PAGO</vt:lpstr>
      <vt:lpstr>AA_088_CARACTERISTICAS_CREDITO_FECHA_DE_TERCER_PAGO</vt:lpstr>
      <vt:lpstr>AA_089_DATOS_APODERADOS_BANCO_NOMBRE_APODERADO_DEL_BANCO_UNO</vt:lpstr>
      <vt:lpstr>AA_090_DATOS_APODERADOS_BANCO_NOMBRE_APODERADO_DEL_BANCO_DOS</vt:lpstr>
      <vt:lpstr>AA_091_ANEXO_ACS_REESTRUCTURA_TIPO_DE_CONTRATO_DE_CRÉDITO</vt:lpstr>
      <vt:lpstr>AA_092_ANEXO_ACS_REESTRUCTURA_FECHA_DE_CELEBRACIÓN</vt:lpstr>
      <vt:lpstr>AA_093_ANEXO_ACS_REESTRUCTURA_IMPORTE</vt:lpstr>
      <vt:lpstr>AA_094_ANEXO_ACS_REESTRUCTURA_NÚMERO_DE_CRÉDITO</vt:lpstr>
      <vt:lpstr>AA_095_ANEXO_ACS_REESTRUCTURA_TIPO_DE_CONTRATO_DE_CRÉDITO</vt:lpstr>
      <vt:lpstr>AA_096_ANEXO_ACS_REESTRUCTURA_FECHA_DE_CELEBRACIÓN</vt:lpstr>
      <vt:lpstr>AA_097_ANEXO_ACS_REESTRUCTURA_IMPORTE</vt:lpstr>
      <vt:lpstr>AA_098_ANEXO_ACS_REESTRUCTURA_NÚMERO_DE_CRÉDITO</vt:lpstr>
      <vt:lpstr>AA_099_ANEXO_ACS_REESTRUCTURA_ACREDITADO_UNO</vt:lpstr>
      <vt:lpstr>AA_100_ANEXO_ACS_REESTRUCTURA_ACREDITADO_DOS</vt:lpstr>
      <vt:lpstr>AA_101_ANEXO_ACS_REESTRUCTURA_FIADOR_UNO</vt:lpstr>
      <vt:lpstr>AA_102_ANEXO_ACS_REESTRUCTURA_FIADOR_DOS</vt:lpstr>
      <vt:lpstr>AA_103_ANEXO_ACS_REESTRUCTURA_FIADOR_TRES</vt:lpstr>
      <vt:lpstr>AA_104_ANEXO_ACS_REESTRUCTURA_APODERADO_BANCO_UNO</vt:lpstr>
      <vt:lpstr>AA_105_ANEXO_ACS_REESTRUCTURA_APODERADO_BANCO_DOS</vt:lpstr>
      <vt:lpstr>AA_106_CARACTERISTICAS_CREDITO_IMPORTE_NÚMERO_LETRA</vt:lpstr>
      <vt:lpstr>AA_107_CARACTERISTICAS_CREDITO_VALOR_DE_TIIE</vt:lpstr>
      <vt:lpstr>AA_108_CARACTERISTICAS_CREDITO_FECHA_DE_TIIE</vt:lpstr>
      <vt:lpstr>AA_109_CARACTERISTICAS_CREDITO_TIPO_DE_TASA</vt:lpstr>
      <vt:lpstr>ACCC</vt:lpstr>
      <vt:lpstr>ACCC_COMPRAS_DE_GOBIERNO</vt:lpstr>
      <vt:lpstr>ACCC_DLLS</vt:lpstr>
      <vt:lpstr>ACS</vt:lpstr>
      <vt:lpstr>ACS_COMPRAS_DE_GOBIERNO</vt:lpstr>
      <vt:lpstr>ACS_DLLS</vt:lpstr>
      <vt:lpstr>ACS_PROGRAMAS_DE_APOYO</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CAT_AmortCrecientes</vt:lpstr>
      <vt:lpstr>CAT_AmortIguales</vt:lpstr>
      <vt:lpstr>Com_por_apertura</vt:lpstr>
      <vt:lpstr>Com_por_avalúo</vt:lpstr>
      <vt:lpstr>COMBINACIÓN_DE_MEDIOS</vt:lpstr>
      <vt:lpstr>CREDILINEA</vt:lpstr>
      <vt:lpstr>Días</vt:lpstr>
      <vt:lpstr>Fecha_TIIE</vt:lpstr>
      <vt:lpstr>Fecha_Tipo_de_Cambio</vt:lpstr>
      <vt:lpstr>FF_004_GENERALES_FECHA</vt:lpstr>
      <vt:lpstr>Frecuencia</vt:lpstr>
      <vt:lpstr>Garantía_Hipotecaria</vt:lpstr>
      <vt:lpstr>I.V.A.</vt:lpstr>
      <vt:lpstr>Márgen</vt:lpstr>
      <vt:lpstr>Máximo_Crédito</vt:lpstr>
      <vt:lpstr>Mínimo_Crédito</vt:lpstr>
      <vt:lpstr>MONTERREY__N.L.</vt:lpstr>
      <vt:lpstr>Monto_Crédito</vt:lpstr>
      <vt:lpstr>Monto_Mínimo_Crédito</vt:lpstr>
      <vt:lpstr>No._de_Pagos</vt:lpstr>
      <vt:lpstr>No._De_Pagos_con_periodo_de_gracia</vt:lpstr>
      <vt:lpstr>No_De_Pagos_con_periodo_gracia</vt:lpstr>
      <vt:lpstr>Pagos_por_año</vt:lpstr>
      <vt:lpstr>Periodos_Gracia</vt:lpstr>
      <vt:lpstr>Plazo_en_Años</vt:lpstr>
      <vt:lpstr>ACCC!Print_Area</vt:lpstr>
      <vt:lpstr>'ACCC COMP. GOB.'!Print_Area</vt:lpstr>
      <vt:lpstr>'ACCC DLLS'!Print_Area</vt:lpstr>
      <vt:lpstr>ACS!Print_Area</vt:lpstr>
      <vt:lpstr>'ACS COMP. GOB.'!Print_Area</vt:lpstr>
      <vt:lpstr>'ACS DLLS'!Print_Area</vt:lpstr>
      <vt:lpstr>'ACS PROGR APOYO'!Print_Area</vt:lpstr>
      <vt:lpstr>Captura!Print_Area</vt:lpstr>
      <vt:lpstr>'COMB. DE MEDIOS'!Print_Area</vt:lpstr>
      <vt:lpstr>CREDILINEA!Print_Area</vt:lpstr>
      <vt:lpstr>Tabla!Print_Area</vt:lpstr>
      <vt:lpstr>Tabla!Print_Titles</vt:lpstr>
      <vt:lpstr>Seguro_Anual</vt:lpstr>
      <vt:lpstr>Seguro_Anual_CAT</vt:lpstr>
      <vt:lpstr>Seguro_Anual_Dólares</vt:lpstr>
      <vt:lpstr>Seguro_Anual_para_CAT_Dólares</vt:lpstr>
      <vt:lpstr>Simulación_crediactivo</vt:lpstr>
      <vt:lpstr>Tasa_Anual</vt:lpstr>
      <vt:lpstr>Tasa_según_rango_y_plazo</vt:lpstr>
      <vt:lpstr>TasaFija</vt:lpstr>
      <vt:lpstr>TasaVariable</vt:lpstr>
      <vt:lpstr>TIIE</vt:lpstr>
      <vt:lpstr>Tipo_de_cambio</vt:lpstr>
      <vt:lpstr>TipoContrato</vt:lpstr>
      <vt:lpstr>TipoTasa</vt:lpstr>
      <vt:lpstr>'Menu Principal'!UltimaCelda</vt:lpstr>
      <vt:lpstr>Tabla!UltimaCelda</vt:lpstr>
      <vt:lpstr>Valor_Propiedad</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A1928937</dc:creator>
  <cp:lastModifiedBy>El Servas</cp:lastModifiedBy>
  <cp:lastPrinted>2015-10-15T20:42:15Z</cp:lastPrinted>
  <dcterms:created xsi:type="dcterms:W3CDTF">2009-05-06T18:22:05Z</dcterms:created>
  <dcterms:modified xsi:type="dcterms:W3CDTF">2016-09-12T20:39:41Z</dcterms:modified>
</cp:coreProperties>
</file>