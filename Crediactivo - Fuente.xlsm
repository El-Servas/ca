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rvas\Documents\Repos\Crediactivo\"/>
    </mc:Choice>
  </mc:AlternateContent>
  <bookViews>
    <workbookView xWindow="-12" yWindow="-12" windowWidth="7656" windowHeight="8940" tabRatio="905"/>
  </bookViews>
  <sheets>
    <sheet name="CA_Consola" sheetId="30" r:id="rId1"/>
    <sheet name="CA_Servicios" sheetId="29" r:id="rId2"/>
    <sheet name="Menu Principal" sheetId="11" r:id="rId3"/>
    <sheet name="Tabla" sheetId="1" r:id="rId4"/>
    <sheet name="Combos" sheetId="25" r:id="rId5"/>
    <sheet name="Validaciones" sheetId="27" r:id="rId6"/>
    <sheet name="Parámetros" sheetId="9" r:id="rId7"/>
    <sheet name="CAT" sheetId="10" r:id="rId8"/>
    <sheet name="LogDeCierres" sheetId="14" r:id="rId9"/>
  </sheets>
  <functionGroups builtInGroupCount="18"/>
  <definedNames>
    <definedName name="ACCC">Combos!$A$3</definedName>
    <definedName name="ACCC_COMPRAS_DE_GOBIERNO">Combos!$A$10</definedName>
    <definedName name="ACCC_DLLS">Combos!$A$6</definedName>
    <definedName name="ACS">Combos!$A$2</definedName>
    <definedName name="ACS_COMPRAS_DE_GOBIERNO">Combos!$A$9</definedName>
    <definedName name="ACS_DLLS">Combos!$A$5</definedName>
    <definedName name="ACS_PROGRAMAS_DE_APOYO">Combos!$A$4</definedName>
    <definedName name="CA.ArchivosExtra" localSheetId="1">CA_Servicios!$B$19</definedName>
    <definedName name="CA.Branding" localSheetId="1">CA_Servicios!$C$5</definedName>
    <definedName name="CA.HojasInteractivas" localSheetId="0">CA_Consola!$B$5:$B$22</definedName>
    <definedName name="CA.MensajeDeCierre" localSheetId="0">CA_Consola!$D$5</definedName>
    <definedName name="CA.ModoMantenimiento" localSheetId="1">CA_Servicios!$C$4</definedName>
    <definedName name="CA.NumHojasIntValidas" localSheetId="0">CA_Consola!$B$4</definedName>
    <definedName name="CA.Op.GenerarVariantes" localSheetId="0">CA_Consola!$D$21</definedName>
    <definedName name="CA.Op.NoEsconderPestañas" localSheetId="0">CA_Consola!$D$20</definedName>
    <definedName name="CA.Op.NombreParaCierre" localSheetId="0">CA_Consola!$G$20</definedName>
    <definedName name="CA.Op.ProtegerContraseña" localSheetId="0">CA_Consola!$D$17</definedName>
    <definedName name="CA.Op.RegistrarMensaje" localSheetId="0">CA_Consola!$D$18</definedName>
    <definedName name="CA.Op.UsarContraseñaEnHojas" localSheetId="0">CA_Consola!$D$19</definedName>
    <definedName name="CA.PseudoCierreStatus" localSheetId="0">CA_Consola!$K$11</definedName>
    <definedName name="CA.RespaldoOpciones" localSheetId="0">CA_Consola!$D$17:$H$22</definedName>
    <definedName name="CA.Stamp_Mensaje" localSheetId="1">CA_Servicios!$B$11</definedName>
    <definedName name="CA.Stamp_Sufijo" localSheetId="1">CA_Servicios!$B$10</definedName>
    <definedName name="CA.Stamp_Version_MCA" localSheetId="1">CA_Servicios!$C$10</definedName>
    <definedName name="CA.UsarContraseñaEnHojasRT" comment="Contiene el setting persistente después del cierre. Es necesario pegarlo como valor al cerrar. (RT: Runtime)" localSheetId="1">CA_Servicios!$C$6</definedName>
    <definedName name="CA.Version" localSheetId="0">CA_Consola!$K$2</definedName>
    <definedName name="CAT_AmortCrecientes">CAT!$C$9</definedName>
    <definedName name="CAT_AmortIguales">CAT!$G$9</definedName>
    <definedName name="Com_por_apertura">Parámetros!$B$37</definedName>
    <definedName name="Com_por_avalúo">Parámetros!$B$38</definedName>
    <definedName name="COMBINACIÓN_DE_MEDIOS">Combos!$A$8</definedName>
    <definedName name="CREDILINEA">Combos!$A$7</definedName>
    <definedName name="Días">Parámetros!$C$6</definedName>
    <definedName name="Fecha_TIIE">Parámetros!$B$45</definedName>
    <definedName name="Fecha_Tipo_de_Cambio">Parámetros!$B$42</definedName>
    <definedName name="Frecuencia">Parámetros!$A$5</definedName>
    <definedName name="Garantía_Hipotecaria">'Menu Principal'!$E$17</definedName>
    <definedName name="I.V.A.">Parámetros!$B$30</definedName>
    <definedName name="Márgen">Parámetros!$B$46</definedName>
    <definedName name="Máximo_Crédito">Validaciones!$B$3</definedName>
    <definedName name="Mínimo_Crédito">Validaciones!$B$2</definedName>
    <definedName name="Monto_Crédito">'Menu Principal'!$E$9</definedName>
    <definedName name="No._de_Pagos">Parámetros!$E$6</definedName>
    <definedName name="No._De_Pagos_con_periodo_de_gracia">Parámetros!$G$6</definedName>
    <definedName name="No_De_Pagos_con_periodo_gracia">Parámetros!$G$5</definedName>
    <definedName name="Pagos_por_año">Parámetros!$D$6</definedName>
    <definedName name="Periodos_Gracia">Parámetros!$B$22</definedName>
    <definedName name="Plazo_en_Años">Parámetros!$B$11</definedName>
    <definedName name="_xlnm.Print_Area" localSheetId="3">Tabla!$A$1:$O$258</definedName>
    <definedName name="_xlnm.Print_Titles" localSheetId="3">Tabla!$1:$16</definedName>
    <definedName name="Seguro_Anual">Parámetros!$B$39</definedName>
    <definedName name="Seguro_Anual_CAT">Parámetros!$B$40</definedName>
    <definedName name="Seguro_Anual_Dólares">Parámetros!$D$39</definedName>
    <definedName name="Seguro_Anual_para_CAT_Dólares">Parámetros!$D$40</definedName>
    <definedName name="Simulación_crediactivo">Parámetros!$B$1</definedName>
    <definedName name="Tasa_Anual">Parámetros!$B$43</definedName>
    <definedName name="Tasa_según_rango_y_plazo">Parámetros!$B$47</definedName>
    <definedName name="TasaFija">Combos!$A$23</definedName>
    <definedName name="TasaVariable">Combos!$A$24</definedName>
    <definedName name="TIIE">Parámetros!$B$44</definedName>
    <definedName name="Tipo_de_cambio">Parámetros!$B$41</definedName>
    <definedName name="TipoContrato">Combos!$C$1</definedName>
    <definedName name="TipoTasa">Combos!$C$22</definedName>
    <definedName name="UltimaCelda" localSheetId="3">Tabla!$P$261</definedName>
    <definedName name="ÚltimaCelda" localSheetId="2">'Menu Principal'!$L$18</definedName>
    <definedName name="Valor_Propiedad">'Menu Principal'!$E$15</definedName>
  </definedNames>
  <calcPr calcId="171027"/>
</workbook>
</file>

<file path=xl/calcChain.xml><?xml version="1.0" encoding="utf-8"?>
<calcChain xmlns="http://schemas.openxmlformats.org/spreadsheetml/2006/main">
  <c r="I7" i="11" l="1"/>
  <c r="M16" i="10" l="1"/>
  <c r="I16" i="10"/>
  <c r="E16" i="10"/>
  <c r="A16" i="10"/>
  <c r="M15" i="10"/>
  <c r="I15" i="10"/>
  <c r="E15" i="10"/>
  <c r="A15" i="10"/>
  <c r="O6" i="10" l="1"/>
  <c r="K6" i="10"/>
  <c r="H6" i="10"/>
  <c r="G6" i="10"/>
  <c r="D6" i="10"/>
  <c r="C6" i="10"/>
  <c r="H5" i="10"/>
  <c r="G5" i="10"/>
  <c r="D5" i="10"/>
  <c r="C5" i="10"/>
  <c r="H4" i="10"/>
  <c r="D4" i="10"/>
  <c r="J3" i="10"/>
  <c r="H3" i="10"/>
  <c r="D3" i="10"/>
  <c r="B3" i="10"/>
  <c r="B43" i="9"/>
  <c r="D40" i="9"/>
  <c r="D39" i="9"/>
  <c r="B33" i="9" l="1"/>
  <c r="B30" i="9"/>
  <c r="O5" i="10" s="1"/>
  <c r="K5" i="10" s="1"/>
  <c r="B22" i="9"/>
  <c r="E10" i="9"/>
  <c r="E9" i="9"/>
  <c r="E8" i="9"/>
  <c r="E6" i="9" s="1"/>
  <c r="E12" i="9" s="1"/>
  <c r="E7" i="9"/>
  <c r="D6" i="9"/>
  <c r="B19" i="9" s="1"/>
  <c r="C6" i="9"/>
  <c r="G6" i="9" l="1"/>
  <c r="B14" i="9"/>
  <c r="B18" i="9"/>
  <c r="B13" i="9"/>
  <c r="B17" i="9"/>
  <c r="B16" i="9"/>
  <c r="B21" i="9"/>
  <c r="B20" i="9" s="1"/>
  <c r="B12" i="9"/>
  <c r="B15" i="9"/>
  <c r="B20" i="25" l="1"/>
  <c r="B19" i="25"/>
  <c r="B18" i="25"/>
  <c r="B17" i="25"/>
  <c r="O258" i="1"/>
  <c r="AE258" i="1" s="1"/>
  <c r="AE257" i="1" l="1"/>
  <c r="U257" i="1" l="1"/>
  <c r="AE256" i="1" l="1"/>
  <c r="U256" i="1"/>
  <c r="AE255" i="1" l="1"/>
  <c r="U255" i="1"/>
  <c r="AE254" i="1"/>
  <c r="U254" i="1" l="1"/>
  <c r="AE253" i="1" l="1"/>
  <c r="U253" i="1"/>
  <c r="AE252" i="1" l="1"/>
  <c r="U252" i="1"/>
  <c r="AE251" i="1"/>
  <c r="U251" i="1" l="1"/>
  <c r="AE250" i="1" l="1"/>
  <c r="U250" i="1" l="1"/>
  <c r="AE249" i="1" l="1"/>
  <c r="U249" i="1"/>
  <c r="AE248" i="1"/>
  <c r="U248" i="1" l="1"/>
  <c r="AE247" i="1" l="1"/>
  <c r="U247" i="1"/>
  <c r="AE246" i="1"/>
  <c r="U246" i="1"/>
  <c r="AE245" i="1" l="1"/>
  <c r="U245" i="1"/>
  <c r="AE244" i="1" l="1"/>
  <c r="U244" i="1"/>
  <c r="AE243" i="1" l="1"/>
  <c r="U243" i="1"/>
  <c r="AE242" i="1" l="1"/>
  <c r="U242" i="1" l="1"/>
  <c r="AE241" i="1" l="1"/>
  <c r="U241" i="1" l="1"/>
  <c r="AE240" i="1" l="1"/>
  <c r="U240" i="1" l="1"/>
  <c r="AE239" i="1"/>
  <c r="U239" i="1"/>
  <c r="AE238" i="1" l="1"/>
  <c r="U238" i="1" l="1"/>
  <c r="AE237" i="1" l="1"/>
  <c r="U237" i="1" l="1"/>
  <c r="AE236" i="1" l="1"/>
  <c r="U236" i="1" l="1"/>
  <c r="AE235" i="1"/>
  <c r="U235" i="1" l="1"/>
  <c r="AE234" i="1"/>
  <c r="U234" i="1"/>
  <c r="AE233" i="1" l="1"/>
  <c r="U233" i="1"/>
  <c r="AE232" i="1" l="1"/>
  <c r="U232" i="1" l="1"/>
  <c r="AE231" i="1" l="1"/>
  <c r="U231" i="1" l="1"/>
  <c r="AE230" i="1"/>
  <c r="U230" i="1"/>
  <c r="AE229" i="1" l="1"/>
  <c r="U229" i="1" l="1"/>
  <c r="AE228" i="1" l="1"/>
  <c r="U228" i="1"/>
  <c r="AE227" i="1" l="1"/>
  <c r="U227" i="1"/>
  <c r="AE226" i="1" l="1"/>
  <c r="U226" i="1"/>
  <c r="AE225" i="1"/>
  <c r="U225" i="1"/>
  <c r="AE224" i="1" l="1"/>
  <c r="U224" i="1" l="1"/>
  <c r="AE223" i="1" l="1"/>
  <c r="U223" i="1" l="1"/>
  <c r="AE222" i="1" l="1"/>
  <c r="U222" i="1" l="1"/>
  <c r="AE221" i="1" l="1"/>
  <c r="U221" i="1"/>
  <c r="AE220" i="1" l="1"/>
  <c r="U220" i="1"/>
  <c r="AE219" i="1" l="1"/>
  <c r="U219" i="1" l="1"/>
  <c r="AE218" i="1" l="1"/>
  <c r="U218" i="1" l="1"/>
  <c r="AE217" i="1" l="1"/>
  <c r="U217" i="1" l="1"/>
  <c r="AE216" i="1" l="1"/>
  <c r="U216" i="1"/>
  <c r="AE215" i="1" l="1"/>
  <c r="U215" i="1"/>
  <c r="AE214" i="1"/>
  <c r="U214" i="1"/>
  <c r="AE213" i="1" l="1"/>
  <c r="U213" i="1"/>
  <c r="AE212" i="1" l="1"/>
  <c r="U212" i="1" l="1"/>
  <c r="AE211" i="1"/>
  <c r="U211" i="1"/>
  <c r="AE210" i="1"/>
  <c r="U210" i="1"/>
  <c r="AE209" i="1"/>
  <c r="U209" i="1" l="1"/>
  <c r="AE208" i="1" l="1"/>
  <c r="U208" i="1"/>
  <c r="AE207" i="1"/>
  <c r="U207" i="1" l="1"/>
  <c r="AE206" i="1" l="1"/>
  <c r="U206" i="1"/>
  <c r="AE205" i="1"/>
  <c r="U205" i="1" l="1"/>
  <c r="AE204" i="1"/>
  <c r="U204" i="1" l="1"/>
  <c r="AE203" i="1" l="1"/>
  <c r="U203" i="1"/>
  <c r="AE202" i="1"/>
  <c r="U202" i="1"/>
  <c r="AE201" i="1"/>
  <c r="U201" i="1" l="1"/>
  <c r="AE200" i="1" l="1"/>
  <c r="U200" i="1"/>
  <c r="AE199" i="1"/>
  <c r="U199" i="1"/>
  <c r="AE198" i="1" l="1"/>
  <c r="U198" i="1"/>
  <c r="AE197" i="1" l="1"/>
  <c r="U197" i="1" l="1"/>
  <c r="AE196" i="1" l="1"/>
  <c r="U196" i="1"/>
  <c r="AE195" i="1" l="1"/>
  <c r="U195" i="1" l="1"/>
  <c r="AE194" i="1"/>
  <c r="U194" i="1"/>
  <c r="AE193" i="1"/>
  <c r="U193" i="1"/>
  <c r="AE192" i="1" l="1"/>
  <c r="U192" i="1"/>
  <c r="AE191" i="1"/>
  <c r="U191" i="1"/>
  <c r="AE190" i="1" l="1"/>
  <c r="U190" i="1"/>
  <c r="AE189" i="1" l="1"/>
  <c r="U189" i="1"/>
  <c r="AE188" i="1"/>
  <c r="U188" i="1"/>
  <c r="AE187" i="1" l="1"/>
  <c r="U187" i="1"/>
  <c r="AE186" i="1"/>
  <c r="U186" i="1" l="1"/>
  <c r="AE185" i="1" l="1"/>
  <c r="U185" i="1" l="1"/>
  <c r="AE184" i="1" l="1"/>
  <c r="U184" i="1"/>
  <c r="AE183" i="1" l="1"/>
  <c r="U183" i="1"/>
  <c r="AE182" i="1"/>
  <c r="U182" i="1"/>
  <c r="AE181" i="1"/>
  <c r="U181" i="1"/>
  <c r="AE180" i="1"/>
  <c r="U180" i="1" l="1"/>
  <c r="AE179" i="1"/>
  <c r="U179" i="1"/>
  <c r="AE178" i="1"/>
  <c r="U178" i="1"/>
  <c r="AE177" i="1" l="1"/>
  <c r="U177" i="1"/>
  <c r="AE176" i="1"/>
  <c r="U176" i="1" l="1"/>
  <c r="AE175" i="1" l="1"/>
  <c r="U175" i="1"/>
  <c r="AE174" i="1" l="1"/>
  <c r="U174" i="1" l="1"/>
  <c r="AE173" i="1" l="1"/>
  <c r="U173" i="1"/>
  <c r="AE172" i="1" l="1"/>
  <c r="U172" i="1"/>
  <c r="AE171" i="1" l="1"/>
  <c r="U171" i="1"/>
  <c r="AE170" i="1"/>
  <c r="U170" i="1" l="1"/>
  <c r="AE169" i="1"/>
  <c r="U169" i="1"/>
  <c r="AE168" i="1" l="1"/>
  <c r="U168" i="1" l="1"/>
  <c r="AE167" i="1"/>
  <c r="U167" i="1"/>
  <c r="AE166" i="1" l="1"/>
  <c r="U166" i="1" l="1"/>
  <c r="AE165" i="1" l="1"/>
  <c r="U165" i="1"/>
  <c r="AE164" i="1" l="1"/>
  <c r="U164" i="1"/>
  <c r="AE163" i="1" l="1"/>
  <c r="U163" i="1"/>
  <c r="AE162" i="1" l="1"/>
  <c r="U162" i="1"/>
  <c r="AE161" i="1"/>
  <c r="U161" i="1"/>
  <c r="AE160" i="1" l="1"/>
  <c r="U160" i="1"/>
  <c r="AE159" i="1" l="1"/>
  <c r="U159" i="1"/>
  <c r="AE158" i="1" l="1"/>
  <c r="U158" i="1"/>
  <c r="AE157" i="1"/>
  <c r="U157" i="1"/>
  <c r="AE156" i="1" l="1"/>
  <c r="U156" i="1"/>
  <c r="AE155" i="1" l="1"/>
  <c r="U155" i="1" l="1"/>
  <c r="AE154" i="1" l="1"/>
  <c r="U154" i="1" l="1"/>
  <c r="AE153" i="1" l="1"/>
  <c r="U153" i="1" l="1"/>
  <c r="AE152" i="1"/>
  <c r="U152" i="1"/>
  <c r="AE151" i="1" l="1"/>
  <c r="U151" i="1"/>
  <c r="AE150" i="1" l="1"/>
  <c r="U150" i="1" l="1"/>
  <c r="AE149" i="1" l="1"/>
  <c r="U149" i="1" l="1"/>
  <c r="AE148" i="1"/>
  <c r="U148" i="1"/>
  <c r="AE147" i="1"/>
  <c r="U147" i="1"/>
  <c r="AE146" i="1"/>
  <c r="U146" i="1"/>
  <c r="AE145" i="1" l="1"/>
  <c r="U145" i="1"/>
  <c r="AE144" i="1"/>
  <c r="U144" i="1"/>
  <c r="AE143" i="1" l="1"/>
  <c r="U143" i="1"/>
  <c r="AE142" i="1" l="1"/>
  <c r="U142" i="1"/>
  <c r="AE141" i="1" l="1"/>
  <c r="U141" i="1" l="1"/>
  <c r="AE140" i="1" l="1"/>
  <c r="U140" i="1"/>
  <c r="AE139" i="1" l="1"/>
  <c r="U139" i="1"/>
  <c r="AE138" i="1"/>
  <c r="U138" i="1"/>
  <c r="AE137" i="1" l="1"/>
  <c r="U137" i="1" l="1"/>
  <c r="AE136" i="1" l="1"/>
  <c r="U136" i="1"/>
  <c r="AE135" i="1"/>
  <c r="U135" i="1"/>
  <c r="AE134" i="1" l="1"/>
  <c r="U134" i="1" l="1"/>
  <c r="AE133" i="1"/>
  <c r="U133" i="1"/>
  <c r="AE132" i="1" l="1"/>
  <c r="U132" i="1"/>
  <c r="AE131" i="1"/>
  <c r="U131" i="1"/>
  <c r="AE130" i="1" l="1"/>
  <c r="U130" i="1"/>
  <c r="AE129" i="1" l="1"/>
  <c r="U129" i="1"/>
  <c r="AE128" i="1" l="1"/>
  <c r="U128" i="1" l="1"/>
  <c r="AE127" i="1" l="1"/>
  <c r="U127" i="1" l="1"/>
  <c r="AE126" i="1"/>
  <c r="U126" i="1"/>
  <c r="AE125" i="1"/>
  <c r="U125" i="1"/>
  <c r="AE124" i="1" l="1"/>
  <c r="U124" i="1"/>
  <c r="AE123" i="1" l="1"/>
  <c r="U123" i="1"/>
  <c r="AE122" i="1"/>
  <c r="U122" i="1"/>
  <c r="AE121" i="1"/>
  <c r="U121" i="1"/>
  <c r="AE120" i="1" l="1"/>
  <c r="U120" i="1" l="1"/>
  <c r="AE119" i="1" l="1"/>
  <c r="U119" i="1"/>
  <c r="AE118" i="1" l="1"/>
  <c r="U118" i="1" l="1"/>
  <c r="AE117" i="1" l="1"/>
  <c r="U117" i="1"/>
  <c r="AE116" i="1" l="1"/>
  <c r="U116" i="1" l="1"/>
  <c r="AE115" i="1" l="1"/>
  <c r="U115" i="1"/>
  <c r="AE114" i="1" l="1"/>
  <c r="U114" i="1" l="1"/>
  <c r="AE113" i="1"/>
  <c r="U113" i="1" l="1"/>
  <c r="AE112" i="1"/>
  <c r="U112" i="1"/>
  <c r="AE111" i="1" l="1"/>
  <c r="U111" i="1"/>
  <c r="AE110" i="1" l="1"/>
  <c r="U110" i="1"/>
  <c r="AE109" i="1"/>
  <c r="U109" i="1"/>
  <c r="AE108" i="1" l="1"/>
  <c r="U108" i="1"/>
  <c r="AE107" i="1" l="1"/>
  <c r="U107" i="1"/>
  <c r="AE106" i="1" l="1"/>
  <c r="U106" i="1"/>
  <c r="AE105" i="1"/>
  <c r="U105" i="1"/>
  <c r="AE104" i="1" l="1"/>
  <c r="U104" i="1"/>
  <c r="AE103" i="1"/>
  <c r="U103" i="1" l="1"/>
  <c r="AE102" i="1" l="1"/>
  <c r="U102" i="1" l="1"/>
  <c r="AE101" i="1" l="1"/>
  <c r="U101" i="1" l="1"/>
  <c r="AE100" i="1" l="1"/>
  <c r="U100" i="1" l="1"/>
  <c r="AE99" i="1"/>
  <c r="U99" i="1"/>
  <c r="AE98" i="1" l="1"/>
  <c r="U98" i="1" l="1"/>
  <c r="AE97" i="1"/>
  <c r="U97" i="1"/>
  <c r="AE96" i="1" l="1"/>
  <c r="U96" i="1" l="1"/>
  <c r="AE95" i="1" l="1"/>
  <c r="U95" i="1" l="1"/>
  <c r="AE94" i="1" l="1"/>
  <c r="U94" i="1"/>
  <c r="AE93" i="1" l="1"/>
  <c r="U93" i="1" l="1"/>
  <c r="AE92" i="1"/>
  <c r="U92" i="1"/>
  <c r="AE91" i="1" l="1"/>
  <c r="U91" i="1"/>
  <c r="AE90" i="1"/>
  <c r="U90" i="1" l="1"/>
  <c r="AE89" i="1" l="1"/>
  <c r="U89" i="1" l="1"/>
  <c r="AE88" i="1" l="1"/>
  <c r="U88" i="1" l="1"/>
  <c r="AE87" i="1" l="1"/>
  <c r="U87" i="1" l="1"/>
  <c r="AE86" i="1" l="1"/>
  <c r="U86" i="1"/>
  <c r="AE85" i="1"/>
  <c r="U85" i="1"/>
  <c r="AE84" i="1" l="1"/>
  <c r="U84" i="1"/>
  <c r="AE83" i="1"/>
  <c r="U83" i="1"/>
  <c r="AE82" i="1" l="1"/>
  <c r="U82" i="1"/>
  <c r="AE81" i="1" l="1"/>
  <c r="U81" i="1"/>
  <c r="AE80" i="1" l="1"/>
  <c r="U80" i="1"/>
  <c r="AE79" i="1" l="1"/>
  <c r="U79" i="1" l="1"/>
  <c r="AE78" i="1"/>
  <c r="U78" i="1"/>
  <c r="AE77" i="1"/>
  <c r="U77" i="1" l="1"/>
  <c r="AE76" i="1"/>
  <c r="U76" i="1"/>
  <c r="AE75" i="1"/>
  <c r="U75" i="1" l="1"/>
  <c r="AE74" i="1" l="1"/>
  <c r="U74" i="1" l="1"/>
  <c r="AE73" i="1" l="1"/>
  <c r="U73" i="1"/>
  <c r="AE72" i="1" l="1"/>
  <c r="U72" i="1"/>
  <c r="AE71" i="1" l="1"/>
  <c r="U71" i="1" l="1"/>
  <c r="AE70" i="1" l="1"/>
  <c r="U70" i="1"/>
  <c r="AE69" i="1"/>
  <c r="U69" i="1" l="1"/>
  <c r="AE68" i="1"/>
  <c r="U68" i="1"/>
  <c r="AE67" i="1"/>
  <c r="U67" i="1" l="1"/>
  <c r="AE66" i="1"/>
  <c r="U66" i="1" l="1"/>
  <c r="AE65" i="1"/>
  <c r="U65" i="1" l="1"/>
  <c r="AE64" i="1"/>
  <c r="U64" i="1"/>
  <c r="AE63" i="1"/>
  <c r="U63" i="1"/>
  <c r="AE62" i="1"/>
  <c r="U62" i="1"/>
  <c r="AE61" i="1" l="1"/>
  <c r="U61" i="1" l="1"/>
  <c r="AE60" i="1"/>
  <c r="U60" i="1" l="1"/>
  <c r="AE59" i="1"/>
  <c r="U59" i="1"/>
  <c r="AE58" i="1" l="1"/>
  <c r="U58" i="1"/>
  <c r="AE57" i="1" l="1"/>
  <c r="U57" i="1"/>
  <c r="AE56" i="1"/>
  <c r="U56" i="1" l="1"/>
  <c r="AE55" i="1" l="1"/>
  <c r="U55" i="1"/>
  <c r="AE54" i="1"/>
  <c r="U54" i="1"/>
  <c r="AE53" i="1"/>
  <c r="U53" i="1"/>
  <c r="AE52" i="1" l="1"/>
  <c r="U52" i="1"/>
  <c r="AE51" i="1"/>
  <c r="U51" i="1"/>
  <c r="AE50" i="1"/>
  <c r="U50" i="1"/>
  <c r="AE49" i="1" l="1"/>
  <c r="U49" i="1"/>
  <c r="AE48" i="1" l="1"/>
  <c r="U48" i="1" l="1"/>
  <c r="AE47" i="1" l="1"/>
  <c r="U47" i="1" l="1"/>
  <c r="AE46" i="1" l="1"/>
  <c r="U46" i="1" l="1"/>
  <c r="AE45" i="1"/>
  <c r="U45" i="1"/>
  <c r="AE44" i="1" l="1"/>
  <c r="U44" i="1" l="1"/>
  <c r="AE43" i="1"/>
  <c r="U43" i="1"/>
  <c r="AE42" i="1"/>
  <c r="U42" i="1" l="1"/>
  <c r="AE41" i="1"/>
  <c r="U41" i="1" l="1"/>
  <c r="AE40" i="1" l="1"/>
  <c r="U40" i="1"/>
  <c r="AE39" i="1" l="1"/>
  <c r="U39" i="1" l="1"/>
  <c r="AE38" i="1" l="1"/>
  <c r="U38" i="1"/>
  <c r="AE37" i="1"/>
  <c r="U37" i="1" l="1"/>
  <c r="AE36" i="1"/>
  <c r="U36" i="1"/>
  <c r="AE35" i="1" l="1"/>
  <c r="U35" i="1"/>
  <c r="AE34" i="1"/>
  <c r="U34" i="1"/>
  <c r="AE33" i="1" l="1"/>
  <c r="U33" i="1" l="1"/>
  <c r="AE32" i="1"/>
  <c r="U32" i="1" l="1"/>
  <c r="AE31" i="1"/>
  <c r="U31" i="1" l="1"/>
  <c r="AE30" i="1"/>
  <c r="U30" i="1"/>
  <c r="AE29" i="1" l="1"/>
  <c r="U29" i="1"/>
  <c r="AE28" i="1"/>
  <c r="U28" i="1" l="1"/>
  <c r="AE27" i="1"/>
  <c r="U27" i="1"/>
  <c r="AE26" i="1" l="1"/>
  <c r="U26" i="1"/>
  <c r="AE25" i="1" l="1"/>
  <c r="U25" i="1" l="1"/>
  <c r="AE24" i="1" l="1"/>
  <c r="U24" i="1"/>
  <c r="AE23" i="1" l="1"/>
  <c r="U23" i="1"/>
  <c r="AE22" i="1" l="1"/>
  <c r="U22" i="1"/>
  <c r="AE21" i="1"/>
  <c r="U21" i="1"/>
  <c r="AE20" i="1" l="1"/>
  <c r="U20" i="1"/>
  <c r="AE19" i="1"/>
  <c r="U19" i="1"/>
  <c r="AE18" i="1" l="1"/>
  <c r="Z18" i="1"/>
  <c r="U18" i="1"/>
  <c r="U258" i="1" s="1"/>
  <c r="N12" i="1"/>
  <c r="G12" i="1"/>
  <c r="L11" i="1"/>
  <c r="E11" i="1"/>
  <c r="D10" i="1"/>
  <c r="C10" i="1"/>
  <c r="J9" i="1"/>
  <c r="D9" i="1"/>
  <c r="C9" i="1"/>
  <c r="L8" i="1"/>
  <c r="D8" i="1"/>
  <c r="C8" i="1"/>
  <c r="K7" i="1"/>
  <c r="C7" i="1"/>
  <c r="L6" i="1"/>
  <c r="K6" i="1"/>
  <c r="C6" i="1"/>
  <c r="K5" i="1"/>
  <c r="C5" i="1"/>
  <c r="L4" i="1"/>
  <c r="D2" i="1"/>
  <c r="G15" i="11"/>
  <c r="B15" i="11"/>
  <c r="E12" i="11" s="1"/>
  <c r="G9" i="11"/>
  <c r="A2" i="1" l="1"/>
  <c r="J7" i="1"/>
  <c r="C4" i="1" l="1"/>
  <c r="K4" i="10"/>
  <c r="C4" i="10"/>
  <c r="O4" i="10"/>
  <c r="C3" i="10"/>
  <c r="G4" i="10"/>
  <c r="K3" i="10"/>
  <c r="O3" i="10"/>
  <c r="G3" i="10"/>
  <c r="F3" i="10" s="1"/>
  <c r="B18" i="1"/>
  <c r="K8" i="1"/>
  <c r="I18" i="1"/>
  <c r="W17" i="1"/>
  <c r="K4" i="1"/>
  <c r="V18" i="1"/>
  <c r="AG17" i="1"/>
  <c r="AM18" i="1" l="1"/>
  <c r="Y18" i="1"/>
  <c r="C18" i="1"/>
  <c r="N3" i="10"/>
  <c r="O7" i="10"/>
  <c r="K7" i="10" s="1"/>
  <c r="G7" i="10" s="1"/>
  <c r="C7" i="10" s="1"/>
  <c r="K18" i="1"/>
  <c r="L18" i="1" s="1"/>
  <c r="AB18" i="1"/>
  <c r="AC18" i="1" s="1"/>
  <c r="J18" i="1"/>
  <c r="H18" i="1"/>
  <c r="D18" i="1"/>
  <c r="G18" i="1" l="1"/>
  <c r="E18" i="1"/>
  <c r="F18" i="1" s="1"/>
  <c r="AD18" i="1"/>
  <c r="AO18" i="1"/>
  <c r="W18" i="1" l="1"/>
  <c r="X18" i="1" s="1"/>
  <c r="A19" i="1"/>
  <c r="AM19" i="1" s="1"/>
  <c r="V19" i="1" s="1"/>
  <c r="W19" i="1" s="1"/>
  <c r="X19" i="1" s="1"/>
  <c r="K9" i="1"/>
  <c r="L9" i="1" s="1"/>
  <c r="R18" i="1"/>
  <c r="S18" i="1" s="1"/>
  <c r="P18" i="1"/>
  <c r="AF18" i="1"/>
  <c r="AG18" i="1" s="1"/>
  <c r="AH18" i="1" s="1"/>
  <c r="N18" i="1"/>
  <c r="F15" i="10"/>
  <c r="B15" i="10"/>
  <c r="M18" i="1"/>
  <c r="N15" i="10"/>
  <c r="J15" i="10"/>
  <c r="I17" i="10" l="1"/>
  <c r="M17" i="10"/>
  <c r="A17" i="10"/>
  <c r="Z19" i="1"/>
  <c r="R19" i="1"/>
  <c r="S19" i="1" s="1"/>
  <c r="T19" i="1" s="1"/>
  <c r="AA19" i="1" s="1"/>
  <c r="J17" i="10" s="1"/>
  <c r="I19" i="1"/>
  <c r="P19" i="1" s="1"/>
  <c r="E17" i="10"/>
  <c r="AF19" i="1"/>
  <c r="AG19" i="1" s="1"/>
  <c r="AH19" i="1" s="1"/>
  <c r="B19" i="1"/>
  <c r="D19" i="1" s="1"/>
  <c r="E19" i="1" s="1"/>
  <c r="AB19" i="1"/>
  <c r="AC19" i="1" s="1"/>
  <c r="AO19" i="1" s="1"/>
  <c r="A20" i="1"/>
  <c r="AI18" i="1"/>
  <c r="N16" i="10" s="1"/>
  <c r="AL18" i="1"/>
  <c r="F16" i="10" s="1"/>
  <c r="J19" i="1"/>
  <c r="N19" i="1" s="1"/>
  <c r="T18" i="1"/>
  <c r="AA18" i="1" s="1"/>
  <c r="J16" i="10" s="1"/>
  <c r="AN18" i="1"/>
  <c r="AK18" i="1"/>
  <c r="B16" i="10" s="1"/>
  <c r="Y19" i="1"/>
  <c r="AN19" i="1" l="1"/>
  <c r="C19" i="1"/>
  <c r="F19" i="1" s="1"/>
  <c r="AK19" i="1"/>
  <c r="B17" i="10" s="1"/>
  <c r="K19" i="1"/>
  <c r="L19" i="1" s="1"/>
  <c r="AB20" i="1"/>
  <c r="AC20" i="1" s="1"/>
  <c r="AD20" i="1" s="1"/>
  <c r="H19" i="1"/>
  <c r="R20" i="1"/>
  <c r="AM20" i="1"/>
  <c r="V20" i="1" s="1"/>
  <c r="W20" i="1" s="1"/>
  <c r="X20" i="1" s="1"/>
  <c r="A21" i="1"/>
  <c r="AF20" i="1"/>
  <c r="AG20" i="1" s="1"/>
  <c r="AH20" i="1" s="1"/>
  <c r="M18" i="10"/>
  <c r="I18" i="10"/>
  <c r="E18" i="10"/>
  <c r="A18" i="10"/>
  <c r="Z20" i="1"/>
  <c r="I20" i="1"/>
  <c r="J20" i="1" s="1"/>
  <c r="N20" i="1" s="1"/>
  <c r="I21" i="1" s="1"/>
  <c r="AO20" i="1"/>
  <c r="AD19" i="1"/>
  <c r="AI19" i="1" s="1"/>
  <c r="N17" i="10" s="1"/>
  <c r="AL19" i="1"/>
  <c r="F17" i="10" s="1"/>
  <c r="M19" i="1"/>
  <c r="G19" i="1" l="1"/>
  <c r="B20" i="1" s="1"/>
  <c r="C20" i="1" s="1"/>
  <c r="G20" i="1" s="1"/>
  <c r="B21" i="1" s="1"/>
  <c r="AM21" i="1"/>
  <c r="Y20" i="1"/>
  <c r="R21" i="1"/>
  <c r="S20" i="1"/>
  <c r="T20" i="1" s="1"/>
  <c r="AA20" i="1" s="1"/>
  <c r="J18" i="10" s="1"/>
  <c r="AI20" i="1"/>
  <c r="N18" i="10" s="1"/>
  <c r="AL20" i="1"/>
  <c r="F18" i="10" s="1"/>
  <c r="K20" i="1"/>
  <c r="L20" i="1" s="1"/>
  <c r="P20" i="1"/>
  <c r="A22" i="1"/>
  <c r="AF21" i="1"/>
  <c r="AG21" i="1" s="1"/>
  <c r="AH21" i="1" s="1"/>
  <c r="M19" i="10"/>
  <c r="I19" i="10"/>
  <c r="E19" i="10"/>
  <c r="Z21" i="1"/>
  <c r="A19" i="10"/>
  <c r="AB21" i="1"/>
  <c r="AC21" i="1" s="1"/>
  <c r="AD21" i="1" s="1"/>
  <c r="J21" i="1"/>
  <c r="N21" i="1" s="1"/>
  <c r="I22" i="1" s="1"/>
  <c r="K21" i="1"/>
  <c r="L21" i="1" s="1"/>
  <c r="P21" i="1"/>
  <c r="AO21" i="1"/>
  <c r="V21" i="1"/>
  <c r="W21" i="1" s="1"/>
  <c r="X21" i="1" s="1"/>
  <c r="D20" i="1"/>
  <c r="S21" i="1"/>
  <c r="H20" i="1" l="1"/>
  <c r="AN20" i="1"/>
  <c r="AK20" i="1" s="1"/>
  <c r="B18" i="10" s="1"/>
  <c r="AI21" i="1"/>
  <c r="N19" i="10" s="1"/>
  <c r="AL21" i="1"/>
  <c r="F19" i="10" s="1"/>
  <c r="A23" i="1"/>
  <c r="AF22" i="1"/>
  <c r="AG22" i="1" s="1"/>
  <c r="AH22" i="1" s="1"/>
  <c r="M20" i="10"/>
  <c r="I20" i="10"/>
  <c r="A20" i="10"/>
  <c r="E20" i="10"/>
  <c r="Z22" i="1"/>
  <c r="AB22" i="1"/>
  <c r="AC22" i="1" s="1"/>
  <c r="AO22" i="1" s="1"/>
  <c r="AM22" i="1"/>
  <c r="V22" i="1" s="1"/>
  <c r="Y22" i="1" s="1"/>
  <c r="J22" i="1"/>
  <c r="N22" i="1" s="1"/>
  <c r="I23" i="1" s="1"/>
  <c r="P22" i="1"/>
  <c r="K22" i="1"/>
  <c r="M20" i="1"/>
  <c r="M21" i="1"/>
  <c r="Y21" i="1"/>
  <c r="R22" i="1"/>
  <c r="D21" i="1"/>
  <c r="E21" i="1" s="1"/>
  <c r="H21" i="1"/>
  <c r="E20" i="1"/>
  <c r="T21" i="1"/>
  <c r="AA21" i="1" s="1"/>
  <c r="J19" i="10" s="1"/>
  <c r="AN21" i="1"/>
  <c r="AK21" i="1" s="1"/>
  <c r="B19" i="10" s="1"/>
  <c r="C21" i="1"/>
  <c r="AD22" i="1" l="1"/>
  <c r="AI22" i="1" s="1"/>
  <c r="N20" i="10" s="1"/>
  <c r="W22" i="1"/>
  <c r="X22" i="1" s="1"/>
  <c r="AL22" i="1"/>
  <c r="F20" i="10" s="1"/>
  <c r="A24" i="1"/>
  <c r="AF23" i="1"/>
  <c r="AG23" i="1" s="1"/>
  <c r="AH23" i="1" s="1"/>
  <c r="I21" i="10"/>
  <c r="A21" i="10"/>
  <c r="Z23" i="1"/>
  <c r="M21" i="10"/>
  <c r="E21" i="10"/>
  <c r="AB23" i="1"/>
  <c r="AC23" i="1" s="1"/>
  <c r="AD23" i="1" s="1"/>
  <c r="AM23" i="1"/>
  <c r="V23" i="1" s="1"/>
  <c r="Y23" i="1" s="1"/>
  <c r="R23" i="1"/>
  <c r="J23" i="1"/>
  <c r="N23" i="1" s="1"/>
  <c r="P23" i="1"/>
  <c r="K23" i="1"/>
  <c r="L23" i="1" s="1"/>
  <c r="L22" i="1"/>
  <c r="S22" i="1"/>
  <c r="F21" i="1"/>
  <c r="F20" i="1"/>
  <c r="G21" i="1"/>
  <c r="B22" i="1" s="1"/>
  <c r="I24" i="1" l="1"/>
  <c r="J24" i="1" s="1"/>
  <c r="N24" i="1" s="1"/>
  <c r="AO23" i="1"/>
  <c r="R24" i="1"/>
  <c r="S24" i="1" s="1"/>
  <c r="W23" i="1"/>
  <c r="X23" i="1" s="1"/>
  <c r="S23" i="1"/>
  <c r="T23" i="1" s="1"/>
  <c r="AA23" i="1" s="1"/>
  <c r="J21" i="10" s="1"/>
  <c r="AL23" i="1"/>
  <c r="F21" i="10" s="1"/>
  <c r="AI23" i="1"/>
  <c r="N21" i="10" s="1"/>
  <c r="A25" i="1"/>
  <c r="AF24" i="1"/>
  <c r="AG24" i="1" s="1"/>
  <c r="AH24" i="1" s="1"/>
  <c r="M22" i="10"/>
  <c r="I22" i="10"/>
  <c r="E22" i="10"/>
  <c r="Z24" i="1"/>
  <c r="A22" i="10"/>
  <c r="AB24" i="1"/>
  <c r="AC24" i="1" s="1"/>
  <c r="AD24" i="1" s="1"/>
  <c r="AM24" i="1"/>
  <c r="V24" i="1" s="1"/>
  <c r="Y24" i="1" s="1"/>
  <c r="K24" i="1"/>
  <c r="P24" i="1"/>
  <c r="M22" i="1"/>
  <c r="M23" i="1"/>
  <c r="AN22" i="1"/>
  <c r="AK22" i="1" s="1"/>
  <c r="B20" i="10" s="1"/>
  <c r="T22" i="1"/>
  <c r="AA22" i="1" s="1"/>
  <c r="J20" i="10" s="1"/>
  <c r="H22" i="1"/>
  <c r="D22" i="1"/>
  <c r="C22" i="1"/>
  <c r="G22" i="1" s="1"/>
  <c r="B23" i="1" s="1"/>
  <c r="R25" i="1" l="1"/>
  <c r="S25" i="1" s="1"/>
  <c r="AN23" i="1"/>
  <c r="AK23" i="1" s="1"/>
  <c r="B21" i="10" s="1"/>
  <c r="AI24" i="1"/>
  <c r="N22" i="10" s="1"/>
  <c r="AL24" i="1"/>
  <c r="F22" i="10" s="1"/>
  <c r="W24" i="1"/>
  <c r="X24" i="1" s="1"/>
  <c r="AO24" i="1"/>
  <c r="A26" i="1"/>
  <c r="AF25" i="1"/>
  <c r="AG25" i="1" s="1"/>
  <c r="AH25" i="1" s="1"/>
  <c r="M23" i="10"/>
  <c r="I23" i="10"/>
  <c r="E23" i="10"/>
  <c r="Z25" i="1"/>
  <c r="A23" i="10"/>
  <c r="AM25" i="1"/>
  <c r="V25" i="1" s="1"/>
  <c r="Y25" i="1" s="1"/>
  <c r="AB25" i="1"/>
  <c r="AC25" i="1" s="1"/>
  <c r="AD25" i="1" s="1"/>
  <c r="I25" i="1"/>
  <c r="J25" i="1" s="1"/>
  <c r="N25" i="1" s="1"/>
  <c r="I26" i="1" s="1"/>
  <c r="L24" i="1"/>
  <c r="T24" i="1"/>
  <c r="AA24" i="1" s="1"/>
  <c r="J22" i="10" s="1"/>
  <c r="AN24" i="1"/>
  <c r="AK24" i="1" s="1"/>
  <c r="B22" i="10" s="1"/>
  <c r="D23" i="1"/>
  <c r="E23" i="1" s="1"/>
  <c r="H23" i="1"/>
  <c r="C23" i="1"/>
  <c r="G23" i="1" s="1"/>
  <c r="B24" i="1" s="1"/>
  <c r="E22" i="1"/>
  <c r="F22" i="1" s="1"/>
  <c r="AI25" i="1" l="1"/>
  <c r="N23" i="10" s="1"/>
  <c r="AL25" i="1"/>
  <c r="F23" i="10" s="1"/>
  <c r="K25" i="1"/>
  <c r="L25" i="1" s="1"/>
  <c r="R26" i="1"/>
  <c r="S26" i="1" s="1"/>
  <c r="W25" i="1"/>
  <c r="X25" i="1" s="1"/>
  <c r="P25" i="1"/>
  <c r="AO25" i="1"/>
  <c r="A27" i="1"/>
  <c r="AF26" i="1"/>
  <c r="AG26" i="1" s="1"/>
  <c r="AH26" i="1" s="1"/>
  <c r="M24" i="10"/>
  <c r="I24" i="10"/>
  <c r="A24" i="10"/>
  <c r="E24" i="10"/>
  <c r="Z26" i="1"/>
  <c r="AM26" i="1"/>
  <c r="V26" i="1" s="1"/>
  <c r="AB26" i="1"/>
  <c r="AC26" i="1" s="1"/>
  <c r="AD26" i="1" s="1"/>
  <c r="J26" i="1"/>
  <c r="N26" i="1" s="1"/>
  <c r="P26" i="1"/>
  <c r="K26" i="1"/>
  <c r="L26" i="1" s="1"/>
  <c r="M24" i="1"/>
  <c r="D24" i="1"/>
  <c r="H24" i="1"/>
  <c r="C24" i="1"/>
  <c r="G24" i="1" s="1"/>
  <c r="B25" i="1" s="1"/>
  <c r="T25" i="1"/>
  <c r="AA25" i="1" s="1"/>
  <c r="J23" i="10" s="1"/>
  <c r="AN25" i="1"/>
  <c r="AK25" i="1" s="1"/>
  <c r="B23" i="10" s="1"/>
  <c r="F23" i="1"/>
  <c r="AO26" i="1" l="1"/>
  <c r="R27" i="1"/>
  <c r="W26" i="1"/>
  <c r="X26" i="1" s="1"/>
  <c r="M25" i="1"/>
  <c r="AI26" i="1"/>
  <c r="N24" i="10" s="1"/>
  <c r="Y26" i="1"/>
  <c r="I27" i="1"/>
  <c r="J27" i="1" s="1"/>
  <c r="N27" i="1" s="1"/>
  <c r="AL26" i="1"/>
  <c r="F24" i="10" s="1"/>
  <c r="A28" i="1"/>
  <c r="AF27" i="1"/>
  <c r="AG27" i="1" s="1"/>
  <c r="AH27" i="1" s="1"/>
  <c r="M25" i="10"/>
  <c r="A25" i="10"/>
  <c r="Z27" i="1"/>
  <c r="I25" i="10"/>
  <c r="E25" i="10"/>
  <c r="AB27" i="1"/>
  <c r="AC27" i="1" s="1"/>
  <c r="AD27" i="1" s="1"/>
  <c r="AM27" i="1"/>
  <c r="V27" i="1" s="1"/>
  <c r="M26" i="1"/>
  <c r="D25" i="1"/>
  <c r="E25" i="1" s="1"/>
  <c r="H25" i="1"/>
  <c r="C25" i="1"/>
  <c r="G25" i="1" s="1"/>
  <c r="B26" i="1" s="1"/>
  <c r="S27" i="1"/>
  <c r="E24" i="1"/>
  <c r="F24" i="1" s="1"/>
  <c r="T26" i="1"/>
  <c r="AA26" i="1" s="1"/>
  <c r="J24" i="10" s="1"/>
  <c r="AN26" i="1"/>
  <c r="AK26" i="1" s="1"/>
  <c r="B24" i="10" s="1"/>
  <c r="P27" i="1" l="1"/>
  <c r="K27" i="1"/>
  <c r="L27" i="1" s="1"/>
  <c r="AL27" i="1"/>
  <c r="F25" i="10" s="1"/>
  <c r="AI27" i="1"/>
  <c r="N25" i="10" s="1"/>
  <c r="AO27" i="1"/>
  <c r="Y27" i="1"/>
  <c r="W27" i="1"/>
  <c r="X27" i="1" s="1"/>
  <c r="A29" i="1"/>
  <c r="AF28" i="1"/>
  <c r="AG28" i="1" s="1"/>
  <c r="AH28" i="1" s="1"/>
  <c r="M26" i="10"/>
  <c r="I26" i="10"/>
  <c r="E26" i="10"/>
  <c r="A26" i="10"/>
  <c r="Z28" i="1"/>
  <c r="AM28" i="1"/>
  <c r="V28" i="1" s="1"/>
  <c r="W28" i="1" s="1"/>
  <c r="X28" i="1" s="1"/>
  <c r="AB28" i="1"/>
  <c r="AC28" i="1" s="1"/>
  <c r="AD28" i="1" s="1"/>
  <c r="R28" i="1"/>
  <c r="S28" i="1" s="1"/>
  <c r="I28" i="1"/>
  <c r="J28" i="1" s="1"/>
  <c r="N28" i="1" s="1"/>
  <c r="F25" i="1"/>
  <c r="H26" i="1"/>
  <c r="D26" i="1"/>
  <c r="C26" i="1"/>
  <c r="G26" i="1" s="1"/>
  <c r="B27" i="1" s="1"/>
  <c r="T27" i="1"/>
  <c r="AA27" i="1" s="1"/>
  <c r="J25" i="10" s="1"/>
  <c r="AN27" i="1"/>
  <c r="AK27" i="1" s="1"/>
  <c r="B25" i="10" s="1"/>
  <c r="K28" i="1" l="1"/>
  <c r="L28" i="1" s="1"/>
  <c r="I29" i="1"/>
  <c r="K29" i="1" s="1"/>
  <c r="M27" i="1"/>
  <c r="Y28" i="1"/>
  <c r="P28" i="1"/>
  <c r="AI28" i="1"/>
  <c r="N26" i="10" s="1"/>
  <c r="A30" i="1"/>
  <c r="AF29" i="1"/>
  <c r="AG29" i="1" s="1"/>
  <c r="AH29" i="1" s="1"/>
  <c r="M27" i="10"/>
  <c r="I27" i="10"/>
  <c r="E27" i="10"/>
  <c r="Z29" i="1"/>
  <c r="A27" i="10"/>
  <c r="AM29" i="1"/>
  <c r="V29" i="1" s="1"/>
  <c r="W29" i="1" s="1"/>
  <c r="X29" i="1" s="1"/>
  <c r="AB29" i="1"/>
  <c r="AC29" i="1" s="1"/>
  <c r="R29" i="1"/>
  <c r="S29" i="1" s="1"/>
  <c r="T29" i="1" s="1"/>
  <c r="AO28" i="1"/>
  <c r="AL28" i="1" s="1"/>
  <c r="F26" i="10" s="1"/>
  <c r="P29" i="1"/>
  <c r="D27" i="1"/>
  <c r="E27" i="1" s="1"/>
  <c r="H27" i="1"/>
  <c r="C27" i="1"/>
  <c r="G27" i="1" s="1"/>
  <c r="B28" i="1" s="1"/>
  <c r="E26" i="1"/>
  <c r="F26" i="1" s="1"/>
  <c r="T28" i="1"/>
  <c r="AA28" i="1" s="1"/>
  <c r="J26" i="10" s="1"/>
  <c r="AN28" i="1"/>
  <c r="AK28" i="1" s="1"/>
  <c r="B26" i="10" s="1"/>
  <c r="M28" i="1" l="1"/>
  <c r="J29" i="1"/>
  <c r="N29" i="1" s="1"/>
  <c r="I30" i="1" s="1"/>
  <c r="AN29" i="1"/>
  <c r="AK29" i="1"/>
  <c r="B27" i="10" s="1"/>
  <c r="AA29" i="1"/>
  <c r="J27" i="10" s="1"/>
  <c r="Y29" i="1"/>
  <c r="AD29" i="1"/>
  <c r="AI29" i="1" s="1"/>
  <c r="N27" i="10" s="1"/>
  <c r="AO29" i="1"/>
  <c r="AL29" i="1" s="1"/>
  <c r="F27" i="10" s="1"/>
  <c r="A31" i="1"/>
  <c r="AF30" i="1"/>
  <c r="AG30" i="1" s="1"/>
  <c r="AH30" i="1" s="1"/>
  <c r="R30" i="1"/>
  <c r="S30" i="1" s="1"/>
  <c r="T30" i="1" s="1"/>
  <c r="A28" i="10"/>
  <c r="I28" i="10"/>
  <c r="Z30" i="1"/>
  <c r="AM30" i="1"/>
  <c r="V30" i="1" s="1"/>
  <c r="M28" i="10"/>
  <c r="E28" i="10"/>
  <c r="AB30" i="1"/>
  <c r="AC30" i="1" s="1"/>
  <c r="AD30" i="1" s="1"/>
  <c r="L29" i="1"/>
  <c r="D28" i="1"/>
  <c r="E28" i="1" s="1"/>
  <c r="H28" i="1"/>
  <c r="C28" i="1"/>
  <c r="G28" i="1" s="1"/>
  <c r="B29" i="1" s="1"/>
  <c r="F27" i="1"/>
  <c r="AO30" i="1" l="1"/>
  <c r="AA30" i="1"/>
  <c r="J28" i="10" s="1"/>
  <c r="AK30" i="1"/>
  <c r="B28" i="10" s="1"/>
  <c r="P30" i="1"/>
  <c r="J30" i="1"/>
  <c r="N30" i="1" s="1"/>
  <c r="I31" i="1" s="1"/>
  <c r="K30" i="1"/>
  <c r="L30" i="1" s="1"/>
  <c r="AN30" i="1"/>
  <c r="AI30" i="1"/>
  <c r="N28" i="10" s="1"/>
  <c r="AL30" i="1"/>
  <c r="F28" i="10" s="1"/>
  <c r="A32" i="1"/>
  <c r="AB31" i="1"/>
  <c r="AC31" i="1" s="1"/>
  <c r="AD31" i="1" s="1"/>
  <c r="R31" i="1"/>
  <c r="S31" i="1" s="1"/>
  <c r="T31" i="1" s="1"/>
  <c r="A29" i="10"/>
  <c r="AM31" i="1"/>
  <c r="AN31" i="1" s="1"/>
  <c r="I29" i="10"/>
  <c r="M29" i="10"/>
  <c r="E29" i="10"/>
  <c r="Z31" i="1"/>
  <c r="AF31" i="1"/>
  <c r="AG31" i="1" s="1"/>
  <c r="AH31" i="1" s="1"/>
  <c r="Y30" i="1"/>
  <c r="W30" i="1"/>
  <c r="X30" i="1" s="1"/>
  <c r="M29" i="1"/>
  <c r="D29" i="1"/>
  <c r="H29" i="1"/>
  <c r="C29" i="1"/>
  <c r="F28" i="1"/>
  <c r="AO31" i="1" l="1"/>
  <c r="P31" i="1"/>
  <c r="J31" i="1"/>
  <c r="N31" i="1" s="1"/>
  <c r="I32" i="1" s="1"/>
  <c r="M30" i="1"/>
  <c r="V31" i="1"/>
  <c r="R32" i="1" s="1"/>
  <c r="S32" i="1" s="1"/>
  <c r="T32" i="1" s="1"/>
  <c r="AI31" i="1"/>
  <c r="N29" i="10" s="1"/>
  <c r="AL31" i="1"/>
  <c r="F29" i="10" s="1"/>
  <c r="K31" i="1"/>
  <c r="A33" i="1"/>
  <c r="AB32" i="1"/>
  <c r="AC32" i="1" s="1"/>
  <c r="AD32" i="1" s="1"/>
  <c r="M30" i="10"/>
  <c r="AM32" i="1"/>
  <c r="V32" i="1" s="1"/>
  <c r="A30" i="10"/>
  <c r="AF32" i="1"/>
  <c r="AG32" i="1" s="1"/>
  <c r="AH32" i="1" s="1"/>
  <c r="E30" i="10"/>
  <c r="I30" i="10"/>
  <c r="Z32" i="1"/>
  <c r="G29" i="1"/>
  <c r="B30" i="1" s="1"/>
  <c r="E29" i="1"/>
  <c r="W31" i="1" l="1"/>
  <c r="X31" i="1" s="1"/>
  <c r="Y31" i="1"/>
  <c r="P32" i="1"/>
  <c r="J32" i="1"/>
  <c r="N32" i="1" s="1"/>
  <c r="I33" i="1" s="1"/>
  <c r="K32" i="1"/>
  <c r="L32" i="1" s="1"/>
  <c r="AO32" i="1"/>
  <c r="AA32" i="1"/>
  <c r="J30" i="10" s="1"/>
  <c r="AK32" i="1"/>
  <c r="B30" i="10" s="1"/>
  <c r="AA31" i="1"/>
  <c r="J29" i="10" s="1"/>
  <c r="AK31" i="1"/>
  <c r="B29" i="10" s="1"/>
  <c r="AN32" i="1"/>
  <c r="AI32" i="1"/>
  <c r="N30" i="10" s="1"/>
  <c r="H30" i="1"/>
  <c r="D30" i="1"/>
  <c r="E30" i="1" s="1"/>
  <c r="C30" i="1"/>
  <c r="G30" i="1" s="1"/>
  <c r="B31" i="1" s="1"/>
  <c r="AL32" i="1"/>
  <c r="F30" i="10" s="1"/>
  <c r="L31" i="1"/>
  <c r="M31" i="1" s="1"/>
  <c r="Y32" i="1"/>
  <c r="W32" i="1"/>
  <c r="X32" i="1" s="1"/>
  <c r="A34" i="1"/>
  <c r="AB33" i="1"/>
  <c r="AC33" i="1" s="1"/>
  <c r="AD33" i="1" s="1"/>
  <c r="Z33" i="1"/>
  <c r="M31" i="10"/>
  <c r="AM33" i="1"/>
  <c r="V33" i="1" s="1"/>
  <c r="A31" i="10"/>
  <c r="R33" i="1"/>
  <c r="S33" i="1" s="1"/>
  <c r="AF33" i="1"/>
  <c r="AG33" i="1" s="1"/>
  <c r="AH33" i="1" s="1"/>
  <c r="E31" i="10"/>
  <c r="AO33" i="1"/>
  <c r="I31" i="10"/>
  <c r="F29" i="1"/>
  <c r="P33" i="1" l="1"/>
  <c r="J33" i="1"/>
  <c r="N33" i="1" s="1"/>
  <c r="I34" i="1" s="1"/>
  <c r="K33" i="1"/>
  <c r="L33" i="1" s="1"/>
  <c r="M32" i="1"/>
  <c r="T33" i="1"/>
  <c r="AN33" i="1"/>
  <c r="H31" i="1"/>
  <c r="D31" i="1"/>
  <c r="E31" i="1" s="1"/>
  <c r="C31" i="1"/>
  <c r="G31" i="1" s="1"/>
  <c r="B32" i="1" s="1"/>
  <c r="AK33" i="1"/>
  <c r="B31" i="10" s="1"/>
  <c r="AA33" i="1"/>
  <c r="J31" i="10" s="1"/>
  <c r="AL33" i="1"/>
  <c r="F31" i="10" s="1"/>
  <c r="F30" i="1"/>
  <c r="AI33" i="1"/>
  <c r="N31" i="10" s="1"/>
  <c r="Y33" i="1"/>
  <c r="W33" i="1"/>
  <c r="X33" i="1" s="1"/>
  <c r="A35" i="1"/>
  <c r="AB34" i="1"/>
  <c r="AC34" i="1" s="1"/>
  <c r="AD34" i="1" s="1"/>
  <c r="R34" i="1"/>
  <c r="S34" i="1" s="1"/>
  <c r="E32" i="10"/>
  <c r="AF34" i="1"/>
  <c r="AG34" i="1" s="1"/>
  <c r="AH34" i="1" s="1"/>
  <c r="Z34" i="1"/>
  <c r="M32" i="10"/>
  <c r="I32" i="10"/>
  <c r="AM34" i="1"/>
  <c r="V34" i="1" s="1"/>
  <c r="A32" i="10"/>
  <c r="AO34" i="1" l="1"/>
  <c r="P34" i="1"/>
  <c r="J34" i="1"/>
  <c r="N34" i="1" s="1"/>
  <c r="I35" i="1" s="1"/>
  <c r="P35" i="1" s="1"/>
  <c r="T34" i="1"/>
  <c r="AA34" i="1" s="1"/>
  <c r="J32" i="10" s="1"/>
  <c r="AN34" i="1"/>
  <c r="AL34" i="1"/>
  <c r="F32" i="10" s="1"/>
  <c r="AI34" i="1"/>
  <c r="N32" i="10" s="1"/>
  <c r="M33" i="1"/>
  <c r="F31" i="1"/>
  <c r="AK34" i="1"/>
  <c r="B32" i="10" s="1"/>
  <c r="H32" i="1"/>
  <c r="D32" i="1"/>
  <c r="E32" i="1" s="1"/>
  <c r="C32" i="1"/>
  <c r="G32" i="1" s="1"/>
  <c r="B33" i="1" s="1"/>
  <c r="K34" i="1"/>
  <c r="L34" i="1" s="1"/>
  <c r="Y34" i="1"/>
  <c r="W34" i="1"/>
  <c r="X34" i="1" s="1"/>
  <c r="A36" i="1"/>
  <c r="AB35" i="1"/>
  <c r="AC35" i="1" s="1"/>
  <c r="AD35" i="1" s="1"/>
  <c r="Z35" i="1"/>
  <c r="A33" i="10"/>
  <c r="AF35" i="1"/>
  <c r="AG35" i="1" s="1"/>
  <c r="AH35" i="1" s="1"/>
  <c r="AM35" i="1"/>
  <c r="V35" i="1" s="1"/>
  <c r="I33" i="10"/>
  <c r="R35" i="1"/>
  <c r="S35" i="1" s="1"/>
  <c r="T35" i="1" s="1"/>
  <c r="M33" i="10"/>
  <c r="E33" i="10"/>
  <c r="AO35" i="1" l="1"/>
  <c r="AI35" i="1"/>
  <c r="N33" i="10" s="1"/>
  <c r="K35" i="1"/>
  <c r="L35" i="1" s="1"/>
  <c r="M34" i="1"/>
  <c r="J35" i="1"/>
  <c r="AL35" i="1"/>
  <c r="F33" i="10" s="1"/>
  <c r="AK35" i="1"/>
  <c r="B33" i="10" s="1"/>
  <c r="AA35" i="1"/>
  <c r="J33" i="10" s="1"/>
  <c r="H33" i="1"/>
  <c r="D33" i="1"/>
  <c r="E33" i="1" s="1"/>
  <c r="C33" i="1"/>
  <c r="AN35" i="1"/>
  <c r="F32" i="1"/>
  <c r="A37" i="1"/>
  <c r="AB36" i="1"/>
  <c r="AC36" i="1" s="1"/>
  <c r="AD36" i="1" s="1"/>
  <c r="R36" i="1"/>
  <c r="S36" i="1" s="1"/>
  <c r="T36" i="1" s="1"/>
  <c r="E34" i="10"/>
  <c r="Z36" i="1"/>
  <c r="M34" i="10"/>
  <c r="AM36" i="1"/>
  <c r="V36" i="1" s="1"/>
  <c r="I34" i="10"/>
  <c r="A34" i="10"/>
  <c r="AF36" i="1"/>
  <c r="AG36" i="1" s="1"/>
  <c r="AH36" i="1" s="1"/>
  <c r="W35" i="1"/>
  <c r="X35" i="1" s="1"/>
  <c r="Y35" i="1"/>
  <c r="AO36" i="1" l="1"/>
  <c r="AN36" i="1"/>
  <c r="AI36" i="1"/>
  <c r="N34" i="10" s="1"/>
  <c r="F33" i="1"/>
  <c r="N35" i="1"/>
  <c r="I36" i="1" s="1"/>
  <c r="M35" i="1"/>
  <c r="G33" i="1"/>
  <c r="B34" i="1" s="1"/>
  <c r="H34" i="1" s="1"/>
  <c r="AA36" i="1"/>
  <c r="J34" i="10" s="1"/>
  <c r="AK36" i="1"/>
  <c r="B34" i="10" s="1"/>
  <c r="AL36" i="1"/>
  <c r="F34" i="10" s="1"/>
  <c r="W36" i="1"/>
  <c r="X36" i="1" s="1"/>
  <c r="Y36" i="1"/>
  <c r="A38" i="1"/>
  <c r="AB37" i="1"/>
  <c r="AC37" i="1" s="1"/>
  <c r="AD37" i="1" s="1"/>
  <c r="E35" i="10"/>
  <c r="R37" i="1"/>
  <c r="S37" i="1" s="1"/>
  <c r="AF37" i="1"/>
  <c r="AG37" i="1" s="1"/>
  <c r="AH37" i="1" s="1"/>
  <c r="M35" i="10"/>
  <c r="Z37" i="1"/>
  <c r="A35" i="10"/>
  <c r="I35" i="10"/>
  <c r="AM37" i="1"/>
  <c r="V37" i="1" s="1"/>
  <c r="D34" i="1" l="1"/>
  <c r="E34" i="1" s="1"/>
  <c r="AO37" i="1"/>
  <c r="C34" i="1"/>
  <c r="G34" i="1" s="1"/>
  <c r="B35" i="1" s="1"/>
  <c r="H35" i="1" s="1"/>
  <c r="P36" i="1"/>
  <c r="K36" i="1"/>
  <c r="L36" i="1" s="1"/>
  <c r="J36" i="1"/>
  <c r="N36" i="1" s="1"/>
  <c r="I37" i="1" s="1"/>
  <c r="AI37" i="1"/>
  <c r="N35" i="10" s="1"/>
  <c r="T37" i="1"/>
  <c r="AA37" i="1" s="1"/>
  <c r="J35" i="10" s="1"/>
  <c r="AN37" i="1"/>
  <c r="AK37" i="1"/>
  <c r="B35" i="10" s="1"/>
  <c r="AL37" i="1"/>
  <c r="F35" i="10" s="1"/>
  <c r="A39" i="1"/>
  <c r="AB38" i="1"/>
  <c r="AC38" i="1" s="1"/>
  <c r="AD38" i="1" s="1"/>
  <c r="R38" i="1"/>
  <c r="S38" i="1" s="1"/>
  <c r="A36" i="10"/>
  <c r="AF38" i="1"/>
  <c r="AG38" i="1" s="1"/>
  <c r="AH38" i="1" s="1"/>
  <c r="AM38" i="1"/>
  <c r="V38" i="1" s="1"/>
  <c r="E36" i="10"/>
  <c r="AO38" i="1"/>
  <c r="I36" i="10"/>
  <c r="Z38" i="1"/>
  <c r="M36" i="10"/>
  <c r="W37" i="1"/>
  <c r="X37" i="1" s="1"/>
  <c r="Y37" i="1"/>
  <c r="D35" i="1" l="1"/>
  <c r="E35" i="1" s="1"/>
  <c r="F34" i="1"/>
  <c r="C35" i="1"/>
  <c r="G35" i="1" s="1"/>
  <c r="B36" i="1" s="1"/>
  <c r="H36" i="1" s="1"/>
  <c r="P37" i="1"/>
  <c r="K37" i="1"/>
  <c r="L37" i="1" s="1"/>
  <c r="J37" i="1"/>
  <c r="F35" i="1"/>
  <c r="M36" i="1"/>
  <c r="AK38" i="1"/>
  <c r="B36" i="10" s="1"/>
  <c r="T38" i="1"/>
  <c r="AA38" i="1" s="1"/>
  <c r="J36" i="10" s="1"/>
  <c r="AN38" i="1"/>
  <c r="AI38" i="1"/>
  <c r="N36" i="10" s="1"/>
  <c r="AL38" i="1"/>
  <c r="F36" i="10" s="1"/>
  <c r="N37" i="1"/>
  <c r="I38" i="1" s="1"/>
  <c r="Y38" i="1"/>
  <c r="W38" i="1"/>
  <c r="X38" i="1" s="1"/>
  <c r="A40" i="1"/>
  <c r="AB39" i="1"/>
  <c r="AC39" i="1" s="1"/>
  <c r="AD39" i="1" s="1"/>
  <c r="Z39" i="1"/>
  <c r="R39" i="1"/>
  <c r="S39" i="1" s="1"/>
  <c r="T39" i="1" s="1"/>
  <c r="I37" i="10"/>
  <c r="AF39" i="1"/>
  <c r="AG39" i="1" s="1"/>
  <c r="AH39" i="1" s="1"/>
  <c r="E37" i="10"/>
  <c r="AO39" i="1"/>
  <c r="A37" i="10"/>
  <c r="AM39" i="1"/>
  <c r="AN39" i="1" s="1"/>
  <c r="M37" i="10"/>
  <c r="D36" i="1" l="1"/>
  <c r="E36" i="1" s="1"/>
  <c r="C36" i="1"/>
  <c r="G36" i="1" s="1"/>
  <c r="B37" i="1" s="1"/>
  <c r="D37" i="1" s="1"/>
  <c r="E37" i="1" s="1"/>
  <c r="M37" i="1"/>
  <c r="H37" i="1"/>
  <c r="AI39" i="1"/>
  <c r="N37" i="10" s="1"/>
  <c r="P38" i="1"/>
  <c r="J38" i="1"/>
  <c r="K38" i="1"/>
  <c r="L38" i="1" s="1"/>
  <c r="V39" i="1"/>
  <c r="R40" i="1" s="1"/>
  <c r="S40" i="1" s="1"/>
  <c r="AL39" i="1"/>
  <c r="F37" i="10" s="1"/>
  <c r="A41" i="1"/>
  <c r="AB40" i="1"/>
  <c r="AC40" i="1" s="1"/>
  <c r="AD40" i="1" s="1"/>
  <c r="Z40" i="1"/>
  <c r="A38" i="10"/>
  <c r="AM40" i="1"/>
  <c r="V40" i="1" s="1"/>
  <c r="AO40" i="1"/>
  <c r="I38" i="10"/>
  <c r="AF40" i="1"/>
  <c r="AG40" i="1" s="1"/>
  <c r="AH40" i="1" s="1"/>
  <c r="M38" i="10"/>
  <c r="E38" i="10"/>
  <c r="C37" i="1" l="1"/>
  <c r="G37" i="1" s="1"/>
  <c r="B38" i="1" s="1"/>
  <c r="H38" i="1" s="1"/>
  <c r="F36" i="1"/>
  <c r="M38" i="1"/>
  <c r="T40" i="1"/>
  <c r="AA40" i="1" s="1"/>
  <c r="J38" i="10" s="1"/>
  <c r="AN40" i="1"/>
  <c r="AK40" i="1"/>
  <c r="B38" i="10" s="1"/>
  <c r="AK39" i="1"/>
  <c r="B37" i="10" s="1"/>
  <c r="AA39" i="1"/>
  <c r="J37" i="10" s="1"/>
  <c r="AI40" i="1"/>
  <c r="N38" i="10" s="1"/>
  <c r="N38" i="1"/>
  <c r="I39" i="1" s="1"/>
  <c r="AL40" i="1"/>
  <c r="F38" i="10" s="1"/>
  <c r="Y39" i="1"/>
  <c r="W39" i="1"/>
  <c r="X39" i="1" s="1"/>
  <c r="A42" i="1"/>
  <c r="AB41" i="1"/>
  <c r="AC41" i="1" s="1"/>
  <c r="AD41" i="1" s="1"/>
  <c r="M39" i="10"/>
  <c r="R41" i="1"/>
  <c r="S41" i="1" s="1"/>
  <c r="T41" i="1" s="1"/>
  <c r="A39" i="10"/>
  <c r="AF41" i="1"/>
  <c r="AG41" i="1" s="1"/>
  <c r="AH41" i="1" s="1"/>
  <c r="E39" i="10"/>
  <c r="AM41" i="1"/>
  <c r="AN41" i="1" s="1"/>
  <c r="I39" i="10"/>
  <c r="Z41" i="1"/>
  <c r="Y40" i="1"/>
  <c r="W40" i="1"/>
  <c r="X40" i="1" s="1"/>
  <c r="F37" i="1" l="1"/>
  <c r="C38" i="1"/>
  <c r="G38" i="1" s="1"/>
  <c r="B39" i="1" s="1"/>
  <c r="H39" i="1" s="1"/>
  <c r="D38" i="1"/>
  <c r="E38" i="1" s="1"/>
  <c r="AI41" i="1"/>
  <c r="N39" i="10" s="1"/>
  <c r="P39" i="1"/>
  <c r="K39" i="1"/>
  <c r="L39" i="1" s="1"/>
  <c r="J39" i="1"/>
  <c r="N39" i="1" s="1"/>
  <c r="I40" i="1" s="1"/>
  <c r="AO41" i="1"/>
  <c r="V41" i="1"/>
  <c r="W41" i="1" s="1"/>
  <c r="X41" i="1" s="1"/>
  <c r="AL41" i="1"/>
  <c r="F39" i="10" s="1"/>
  <c r="A43" i="1"/>
  <c r="AB42" i="1"/>
  <c r="AC42" i="1" s="1"/>
  <c r="AD42" i="1" s="1"/>
  <c r="E40" i="10"/>
  <c r="AF42" i="1"/>
  <c r="AG42" i="1" s="1"/>
  <c r="AH42" i="1" s="1"/>
  <c r="M40" i="10"/>
  <c r="Z42" i="1"/>
  <c r="I40" i="10"/>
  <c r="A40" i="10"/>
  <c r="AM42" i="1"/>
  <c r="F38" i="1" l="1"/>
  <c r="C39" i="1"/>
  <c r="G39" i="1" s="1"/>
  <c r="B40" i="1" s="1"/>
  <c r="H40" i="1" s="1"/>
  <c r="D39" i="1"/>
  <c r="E39" i="1" s="1"/>
  <c r="R42" i="1"/>
  <c r="S42" i="1" s="1"/>
  <c r="T42" i="1" s="1"/>
  <c r="Y41" i="1"/>
  <c r="P40" i="1"/>
  <c r="K40" i="1"/>
  <c r="L40" i="1" s="1"/>
  <c r="J40" i="1"/>
  <c r="N40" i="1" s="1"/>
  <c r="I41" i="1" s="1"/>
  <c r="D40" i="1"/>
  <c r="E40" i="1" s="1"/>
  <c r="V42" i="1"/>
  <c r="Y42" i="1" s="1"/>
  <c r="AI42" i="1"/>
  <c r="N40" i="10" s="1"/>
  <c r="M39" i="1"/>
  <c r="AK41" i="1"/>
  <c r="B39" i="10" s="1"/>
  <c r="AA41" i="1"/>
  <c r="J39" i="10" s="1"/>
  <c r="AL42" i="1"/>
  <c r="F40" i="10" s="1"/>
  <c r="AO42" i="1"/>
  <c r="A44" i="1"/>
  <c r="AB43" i="1"/>
  <c r="AC43" i="1" s="1"/>
  <c r="AD43" i="1" s="1"/>
  <c r="E41" i="10"/>
  <c r="AF43" i="1"/>
  <c r="AG43" i="1" s="1"/>
  <c r="AH43" i="1" s="1"/>
  <c r="M41" i="10"/>
  <c r="Z43" i="1"/>
  <c r="I41" i="10"/>
  <c r="AO43" i="1"/>
  <c r="AM43" i="1"/>
  <c r="V43" i="1" s="1"/>
  <c r="A41" i="10"/>
  <c r="F39" i="1" l="1"/>
  <c r="C40" i="1"/>
  <c r="F40" i="1" s="1"/>
  <c r="W42" i="1"/>
  <c r="X42" i="1" s="1"/>
  <c r="AN42" i="1"/>
  <c r="R43" i="1"/>
  <c r="S43" i="1" s="1"/>
  <c r="T43" i="1" s="1"/>
  <c r="AL43" i="1"/>
  <c r="F41" i="10" s="1"/>
  <c r="M40" i="1"/>
  <c r="AK42" i="1"/>
  <c r="B40" i="10" s="1"/>
  <c r="AA42" i="1"/>
  <c r="J40" i="10" s="1"/>
  <c r="P41" i="1"/>
  <c r="K41" i="1"/>
  <c r="L41" i="1" s="1"/>
  <c r="J41" i="1"/>
  <c r="N41" i="1" s="1"/>
  <c r="I42" i="1" s="1"/>
  <c r="AI43" i="1"/>
  <c r="N41" i="10" s="1"/>
  <c r="A45" i="1"/>
  <c r="AB44" i="1"/>
  <c r="AC44" i="1" s="1"/>
  <c r="AD44" i="1" s="1"/>
  <c r="I42" i="10"/>
  <c r="AF44" i="1"/>
  <c r="AG44" i="1" s="1"/>
  <c r="AH44" i="1" s="1"/>
  <c r="E42" i="10"/>
  <c r="AM44" i="1"/>
  <c r="V44" i="1" s="1"/>
  <c r="A42" i="10"/>
  <c r="Z44" i="1"/>
  <c r="M42" i="10"/>
  <c r="W43" i="1"/>
  <c r="X43" i="1" s="1"/>
  <c r="Y43" i="1"/>
  <c r="G40" i="1" l="1"/>
  <c r="B41" i="1" s="1"/>
  <c r="AA43" i="1"/>
  <c r="J41" i="10" s="1"/>
  <c r="R44" i="1"/>
  <c r="S44" i="1" s="1"/>
  <c r="T44" i="1" s="1"/>
  <c r="AO44" i="1"/>
  <c r="AN43" i="1"/>
  <c r="AK43" i="1"/>
  <c r="B41" i="10" s="1"/>
  <c r="AK44" i="1"/>
  <c r="B42" i="10" s="1"/>
  <c r="P42" i="1"/>
  <c r="K42" i="1"/>
  <c r="L42" i="1" s="1"/>
  <c r="J42" i="1"/>
  <c r="N42" i="1" s="1"/>
  <c r="I43" i="1" s="1"/>
  <c r="H41" i="1"/>
  <c r="D41" i="1"/>
  <c r="E41" i="1" s="1"/>
  <c r="C41" i="1"/>
  <c r="G41" i="1" s="1"/>
  <c r="B42" i="1" s="1"/>
  <c r="AL44" i="1"/>
  <c r="F42" i="10" s="1"/>
  <c r="M41" i="1"/>
  <c r="AI44" i="1"/>
  <c r="N42" i="10" s="1"/>
  <c r="W44" i="1"/>
  <c r="X44" i="1" s="1"/>
  <c r="Y44" i="1"/>
  <c r="A46" i="1"/>
  <c r="AB45" i="1"/>
  <c r="AC45" i="1" s="1"/>
  <c r="AD45" i="1" s="1"/>
  <c r="A43" i="10"/>
  <c r="Z45" i="1"/>
  <c r="I43" i="10"/>
  <c r="AF45" i="1"/>
  <c r="AG45" i="1" s="1"/>
  <c r="AH45" i="1" s="1"/>
  <c r="M43" i="10"/>
  <c r="AM45" i="1"/>
  <c r="V45" i="1" s="1"/>
  <c r="E43" i="10"/>
  <c r="R45" i="1" l="1"/>
  <c r="S45" i="1" s="1"/>
  <c r="T45" i="1" s="1"/>
  <c r="AN44" i="1"/>
  <c r="AA44" i="1"/>
  <c r="J42" i="10" s="1"/>
  <c r="H42" i="1"/>
  <c r="D42" i="1"/>
  <c r="E42" i="1" s="1"/>
  <c r="C42" i="1"/>
  <c r="G42" i="1" s="1"/>
  <c r="B43" i="1" s="1"/>
  <c r="P43" i="1"/>
  <c r="J43" i="1"/>
  <c r="K43" i="1"/>
  <c r="L43" i="1" s="1"/>
  <c r="AL45" i="1"/>
  <c r="F43" i="10" s="1"/>
  <c r="AI45" i="1"/>
  <c r="N43" i="10" s="1"/>
  <c r="AN45" i="1"/>
  <c r="M42" i="1"/>
  <c r="AO45" i="1"/>
  <c r="F41" i="1"/>
  <c r="A47" i="1"/>
  <c r="AB46" i="1"/>
  <c r="AC46" i="1" s="1"/>
  <c r="AD46" i="1" s="1"/>
  <c r="Z46" i="1"/>
  <c r="AO46" i="1"/>
  <c r="A44" i="10"/>
  <c r="I44" i="10"/>
  <c r="R46" i="1"/>
  <c r="AM46" i="1"/>
  <c r="V46" i="1" s="1"/>
  <c r="M44" i="10"/>
  <c r="E44" i="10"/>
  <c r="S46" i="1"/>
  <c r="AF46" i="1"/>
  <c r="AG46" i="1" s="1"/>
  <c r="AH46" i="1" s="1"/>
  <c r="W45" i="1"/>
  <c r="X45" i="1" s="1"/>
  <c r="Y45" i="1"/>
  <c r="AK45" i="1" l="1"/>
  <c r="B43" i="10" s="1"/>
  <c r="AA45" i="1"/>
  <c r="J43" i="10" s="1"/>
  <c r="AK46" i="1"/>
  <c r="B44" i="10" s="1"/>
  <c r="F42" i="1"/>
  <c r="M43" i="1"/>
  <c r="AN46" i="1"/>
  <c r="H43" i="1"/>
  <c r="D43" i="1"/>
  <c r="E43" i="1" s="1"/>
  <c r="C43" i="1"/>
  <c r="G43" i="1" s="1"/>
  <c r="B44" i="1" s="1"/>
  <c r="T46" i="1"/>
  <c r="AA46" i="1" s="1"/>
  <c r="J44" i="10" s="1"/>
  <c r="N43" i="1"/>
  <c r="I44" i="1" s="1"/>
  <c r="AL46" i="1"/>
  <c r="F44" i="10" s="1"/>
  <c r="AI46" i="1"/>
  <c r="N44" i="10" s="1"/>
  <c r="Y46" i="1"/>
  <c r="W46" i="1"/>
  <c r="X46" i="1" s="1"/>
  <c r="A48" i="1"/>
  <c r="AB47" i="1"/>
  <c r="AC47" i="1" s="1"/>
  <c r="AD47" i="1" s="1"/>
  <c r="A45" i="10"/>
  <c r="R47" i="1"/>
  <c r="S47" i="1" s="1"/>
  <c r="AM47" i="1"/>
  <c r="V47" i="1" s="1"/>
  <c r="I45" i="10"/>
  <c r="M45" i="10"/>
  <c r="Z47" i="1"/>
  <c r="AF47" i="1"/>
  <c r="AG47" i="1" s="1"/>
  <c r="AH47" i="1" s="1"/>
  <c r="E45" i="10"/>
  <c r="AN47" i="1" l="1"/>
  <c r="AO47" i="1"/>
  <c r="H44" i="1"/>
  <c r="D44" i="1"/>
  <c r="E44" i="1" s="1"/>
  <c r="C44" i="1"/>
  <c r="G44" i="1" s="1"/>
  <c r="B45" i="1" s="1"/>
  <c r="AI47" i="1"/>
  <c r="N45" i="10" s="1"/>
  <c r="AL47" i="1"/>
  <c r="F45" i="10" s="1"/>
  <c r="P44" i="1"/>
  <c r="J44" i="1"/>
  <c r="N44" i="1" s="1"/>
  <c r="I45" i="1" s="1"/>
  <c r="K44" i="1"/>
  <c r="L44" i="1" s="1"/>
  <c r="AK47" i="1"/>
  <c r="B45" i="10" s="1"/>
  <c r="T47" i="1"/>
  <c r="F43" i="1"/>
  <c r="AA47" i="1"/>
  <c r="J45" i="10" s="1"/>
  <c r="W47" i="1"/>
  <c r="X47" i="1" s="1"/>
  <c r="Y47" i="1"/>
  <c r="A49" i="1"/>
  <c r="AB48" i="1"/>
  <c r="AC48" i="1" s="1"/>
  <c r="AD48" i="1" s="1"/>
  <c r="M46" i="10"/>
  <c r="AM48" i="1"/>
  <c r="A46" i="10"/>
  <c r="V48" i="1"/>
  <c r="AF48" i="1"/>
  <c r="AG48" i="1" s="1"/>
  <c r="AH48" i="1" s="1"/>
  <c r="E46" i="10"/>
  <c r="Z48" i="1"/>
  <c r="R48" i="1"/>
  <c r="S48" i="1" s="1"/>
  <c r="T48" i="1" s="1"/>
  <c r="I46" i="10"/>
  <c r="AO48" i="1" l="1"/>
  <c r="AK48" i="1"/>
  <c r="B46" i="10" s="1"/>
  <c r="H45" i="1"/>
  <c r="D45" i="1"/>
  <c r="E45" i="1" s="1"/>
  <c r="C45" i="1"/>
  <c r="AN48" i="1"/>
  <c r="AI48" i="1"/>
  <c r="N46" i="10" s="1"/>
  <c r="AL48" i="1"/>
  <c r="F46" i="10" s="1"/>
  <c r="F44" i="1"/>
  <c r="P45" i="1"/>
  <c r="K45" i="1"/>
  <c r="L45" i="1" s="1"/>
  <c r="J45" i="1"/>
  <c r="M44" i="1"/>
  <c r="AA48" i="1"/>
  <c r="J46" i="10" s="1"/>
  <c r="A50" i="1"/>
  <c r="AB49" i="1"/>
  <c r="AC49" i="1" s="1"/>
  <c r="AD49" i="1" s="1"/>
  <c r="R49" i="1"/>
  <c r="S49" i="1" s="1"/>
  <c r="T49" i="1" s="1"/>
  <c r="I47" i="10"/>
  <c r="AF49" i="1"/>
  <c r="AG49" i="1" s="1"/>
  <c r="AH49" i="1" s="1"/>
  <c r="E47" i="10"/>
  <c r="AM49" i="1"/>
  <c r="V49" i="1" s="1"/>
  <c r="M47" i="10"/>
  <c r="Z49" i="1"/>
  <c r="AO49" i="1"/>
  <c r="A47" i="10"/>
  <c r="W48" i="1"/>
  <c r="X48" i="1" s="1"/>
  <c r="Y48" i="1"/>
  <c r="F45" i="1" l="1"/>
  <c r="M45" i="1"/>
  <c r="G45" i="1"/>
  <c r="B46" i="1" s="1"/>
  <c r="H46" i="1" s="1"/>
  <c r="N45" i="1"/>
  <c r="I46" i="1" s="1"/>
  <c r="P46" i="1" s="1"/>
  <c r="AK49" i="1"/>
  <c r="B47" i="10" s="1"/>
  <c r="AA49" i="1"/>
  <c r="J47" i="10" s="1"/>
  <c r="AL49" i="1"/>
  <c r="F47" i="10" s="1"/>
  <c r="AI49" i="1"/>
  <c r="N47" i="10" s="1"/>
  <c r="AN49" i="1"/>
  <c r="A51" i="1"/>
  <c r="AB50" i="1"/>
  <c r="AC50" i="1" s="1"/>
  <c r="AD50" i="1" s="1"/>
  <c r="AM50" i="1"/>
  <c r="V50" i="1" s="1"/>
  <c r="I48" i="10"/>
  <c r="E48" i="10"/>
  <c r="Z50" i="1"/>
  <c r="R50" i="1"/>
  <c r="S50" i="1" s="1"/>
  <c r="A48" i="10"/>
  <c r="AF50" i="1"/>
  <c r="AG50" i="1" s="1"/>
  <c r="AH50" i="1" s="1"/>
  <c r="M48" i="10"/>
  <c r="W49" i="1"/>
  <c r="X49" i="1" s="1"/>
  <c r="Y49" i="1"/>
  <c r="D46" i="1" l="1"/>
  <c r="E46" i="1" s="1"/>
  <c r="C46" i="1"/>
  <c r="G46" i="1" s="1"/>
  <c r="B47" i="1" s="1"/>
  <c r="K46" i="1"/>
  <c r="L46" i="1" s="1"/>
  <c r="AO50" i="1"/>
  <c r="J46" i="1"/>
  <c r="T50" i="1"/>
  <c r="AA50" i="1" s="1"/>
  <c r="J48" i="10" s="1"/>
  <c r="AN50" i="1"/>
  <c r="AK50" i="1"/>
  <c r="B48" i="10" s="1"/>
  <c r="AL50" i="1"/>
  <c r="F48" i="10" s="1"/>
  <c r="AI50" i="1"/>
  <c r="N48" i="10" s="1"/>
  <c r="Y50" i="1"/>
  <c r="W50" i="1"/>
  <c r="X50" i="1" s="1"/>
  <c r="A52" i="1"/>
  <c r="AB51" i="1"/>
  <c r="AC51" i="1" s="1"/>
  <c r="AD51" i="1" s="1"/>
  <c r="R51" i="1"/>
  <c r="S51" i="1" s="1"/>
  <c r="T51" i="1" s="1"/>
  <c r="Z51" i="1"/>
  <c r="E49" i="10"/>
  <c r="AF51" i="1"/>
  <c r="AG51" i="1" s="1"/>
  <c r="AH51" i="1" s="1"/>
  <c r="AM51" i="1"/>
  <c r="AN51" i="1" s="1"/>
  <c r="M49" i="10"/>
  <c r="I49" i="10"/>
  <c r="A49" i="10"/>
  <c r="M46" i="1" l="1"/>
  <c r="F46" i="1"/>
  <c r="AO51" i="1"/>
  <c r="V51" i="1"/>
  <c r="AK51" i="1" s="1"/>
  <c r="B49" i="10" s="1"/>
  <c r="N46" i="1"/>
  <c r="I47" i="1" s="1"/>
  <c r="AL51" i="1"/>
  <c r="F49" i="10" s="1"/>
  <c r="H47" i="1"/>
  <c r="D47" i="1"/>
  <c r="E47" i="1" s="1"/>
  <c r="C47" i="1"/>
  <c r="G47" i="1" s="1"/>
  <c r="B48" i="1" s="1"/>
  <c r="AI51" i="1"/>
  <c r="N49" i="10" s="1"/>
  <c r="A53" i="1"/>
  <c r="AB52" i="1"/>
  <c r="AC52" i="1" s="1"/>
  <c r="AD52" i="1" s="1"/>
  <c r="AM52" i="1"/>
  <c r="V52" i="1" s="1"/>
  <c r="A50" i="10"/>
  <c r="Z52" i="1"/>
  <c r="I50" i="10"/>
  <c r="AF52" i="1"/>
  <c r="AG52" i="1" s="1"/>
  <c r="AH52" i="1" s="1"/>
  <c r="M50" i="10"/>
  <c r="E50" i="10"/>
  <c r="AA51" i="1" l="1"/>
  <c r="J49" i="10" s="1"/>
  <c r="W51" i="1"/>
  <c r="X51" i="1" s="1"/>
  <c r="Y51" i="1"/>
  <c r="R52" i="1"/>
  <c r="S52" i="1" s="1"/>
  <c r="T52" i="1" s="1"/>
  <c r="AA52" i="1" s="1"/>
  <c r="J50" i="10" s="1"/>
  <c r="F47" i="1"/>
  <c r="AO52" i="1"/>
  <c r="K47" i="1"/>
  <c r="L47" i="1" s="1"/>
  <c r="J47" i="1"/>
  <c r="P47" i="1"/>
  <c r="AN52" i="1"/>
  <c r="AL52" i="1"/>
  <c r="F50" i="10" s="1"/>
  <c r="H48" i="1"/>
  <c r="D48" i="1"/>
  <c r="E48" i="1" s="1"/>
  <c r="C48" i="1"/>
  <c r="AI52" i="1"/>
  <c r="N50" i="10" s="1"/>
  <c r="W52" i="1"/>
  <c r="X52" i="1" s="1"/>
  <c r="Y52" i="1"/>
  <c r="A54" i="1"/>
  <c r="AB53" i="1"/>
  <c r="AC53" i="1" s="1"/>
  <c r="AD53" i="1" s="1"/>
  <c r="AF53" i="1"/>
  <c r="AG53" i="1" s="1"/>
  <c r="AH53" i="1" s="1"/>
  <c r="I51" i="10"/>
  <c r="Z53" i="1"/>
  <c r="E51" i="10"/>
  <c r="R53" i="1"/>
  <c r="S53" i="1" s="1"/>
  <c r="A51" i="10"/>
  <c r="M51" i="10"/>
  <c r="AM53" i="1"/>
  <c r="V53" i="1" s="1"/>
  <c r="AK52" i="1" l="1"/>
  <c r="B50" i="10" s="1"/>
  <c r="AO53" i="1"/>
  <c r="F48" i="1"/>
  <c r="M47" i="1"/>
  <c r="G48" i="1"/>
  <c r="B49" i="1" s="1"/>
  <c r="D49" i="1" s="1"/>
  <c r="E49" i="1" s="1"/>
  <c r="N47" i="1"/>
  <c r="I48" i="1" s="1"/>
  <c r="AK53" i="1"/>
  <c r="B51" i="10" s="1"/>
  <c r="AN53" i="1"/>
  <c r="T53" i="1"/>
  <c r="AA53" i="1" s="1"/>
  <c r="J51" i="10" s="1"/>
  <c r="AI53" i="1"/>
  <c r="N51" i="10" s="1"/>
  <c r="AL53" i="1"/>
  <c r="F51" i="10" s="1"/>
  <c r="W53" i="1"/>
  <c r="X53" i="1" s="1"/>
  <c r="Y53" i="1"/>
  <c r="A55" i="1"/>
  <c r="AB54" i="1"/>
  <c r="AC54" i="1" s="1"/>
  <c r="AD54" i="1" s="1"/>
  <c r="Z54" i="1"/>
  <c r="A52" i="10"/>
  <c r="I52" i="10"/>
  <c r="AF54" i="1"/>
  <c r="AG54" i="1" s="1"/>
  <c r="AH54" i="1" s="1"/>
  <c r="M52" i="10"/>
  <c r="E52" i="10"/>
  <c r="R54" i="1"/>
  <c r="S54" i="1" s="1"/>
  <c r="T54" i="1" s="1"/>
  <c r="AM54" i="1"/>
  <c r="V54" i="1" s="1"/>
  <c r="C49" i="1" l="1"/>
  <c r="G49" i="1" s="1"/>
  <c r="B50" i="1" s="1"/>
  <c r="D50" i="1" s="1"/>
  <c r="E50" i="1" s="1"/>
  <c r="AO54" i="1"/>
  <c r="H49" i="1"/>
  <c r="K48" i="1"/>
  <c r="L48" i="1" s="1"/>
  <c r="P48" i="1"/>
  <c r="J48" i="1"/>
  <c r="N48" i="1" s="1"/>
  <c r="I49" i="1" s="1"/>
  <c r="AK54" i="1"/>
  <c r="B52" i="10" s="1"/>
  <c r="AA54" i="1"/>
  <c r="J52" i="10" s="1"/>
  <c r="H50" i="1"/>
  <c r="AN54" i="1"/>
  <c r="AI54" i="1"/>
  <c r="N52" i="10" s="1"/>
  <c r="AL54" i="1"/>
  <c r="F52" i="10" s="1"/>
  <c r="A56" i="1"/>
  <c r="AB55" i="1"/>
  <c r="AC55" i="1" s="1"/>
  <c r="AD55" i="1" s="1"/>
  <c r="M53" i="10"/>
  <c r="Z55" i="1"/>
  <c r="AM55" i="1"/>
  <c r="V55" i="1" s="1"/>
  <c r="A53" i="10"/>
  <c r="AF55" i="1"/>
  <c r="AG55" i="1" s="1"/>
  <c r="AH55" i="1" s="1"/>
  <c r="E53" i="10"/>
  <c r="I53" i="10"/>
  <c r="R55" i="1"/>
  <c r="S55" i="1" s="1"/>
  <c r="Y54" i="1"/>
  <c r="W54" i="1"/>
  <c r="X54" i="1" s="1"/>
  <c r="F49" i="1" l="1"/>
  <c r="C50" i="1"/>
  <c r="M48" i="1"/>
  <c r="P49" i="1"/>
  <c r="K49" i="1"/>
  <c r="L49" i="1" s="1"/>
  <c r="J49" i="1"/>
  <c r="AL55" i="1"/>
  <c r="F53" i="10" s="1"/>
  <c r="F50" i="1"/>
  <c r="AO55" i="1"/>
  <c r="G50" i="1"/>
  <c r="B51" i="1" s="1"/>
  <c r="H51" i="1" s="1"/>
  <c r="AI55" i="1"/>
  <c r="N53" i="10" s="1"/>
  <c r="AN55" i="1"/>
  <c r="T55" i="1"/>
  <c r="AA55" i="1" s="1"/>
  <c r="J53" i="10" s="1"/>
  <c r="AK55" i="1"/>
  <c r="B53" i="10" s="1"/>
  <c r="Y55" i="1"/>
  <c r="W55" i="1"/>
  <c r="X55" i="1" s="1"/>
  <c r="A57" i="1"/>
  <c r="AB56" i="1"/>
  <c r="AC56" i="1" s="1"/>
  <c r="AD56" i="1" s="1"/>
  <c r="A54" i="10"/>
  <c r="Z56" i="1"/>
  <c r="R56" i="1"/>
  <c r="S56" i="1" s="1"/>
  <c r="T56" i="1" s="1"/>
  <c r="I54" i="10"/>
  <c r="AF56" i="1"/>
  <c r="AG56" i="1" s="1"/>
  <c r="AH56" i="1" s="1"/>
  <c r="M54" i="10"/>
  <c r="E54" i="10"/>
  <c r="AM56" i="1"/>
  <c r="V56" i="1" s="1"/>
  <c r="D51" i="1" l="1"/>
  <c r="E51" i="1" s="1"/>
  <c r="M49" i="1"/>
  <c r="N49" i="1"/>
  <c r="I50" i="1" s="1"/>
  <c r="C51" i="1"/>
  <c r="AA56" i="1"/>
  <c r="J54" i="10" s="1"/>
  <c r="AK56" i="1"/>
  <c r="B54" i="10" s="1"/>
  <c r="AL56" i="1"/>
  <c r="F54" i="10" s="1"/>
  <c r="AI56" i="1"/>
  <c r="N54" i="10" s="1"/>
  <c r="AN56" i="1"/>
  <c r="AO56" i="1"/>
  <c r="A58" i="1"/>
  <c r="AB57" i="1"/>
  <c r="AC57" i="1" s="1"/>
  <c r="AD57" i="1" s="1"/>
  <c r="Z57" i="1"/>
  <c r="E55" i="10"/>
  <c r="M55" i="10"/>
  <c r="AF57" i="1"/>
  <c r="AG57" i="1" s="1"/>
  <c r="AH57" i="1" s="1"/>
  <c r="R57" i="1"/>
  <c r="S57" i="1" s="1"/>
  <c r="I55" i="10"/>
  <c r="AM57" i="1"/>
  <c r="V57" i="1" s="1"/>
  <c r="A55" i="10"/>
  <c r="Y56" i="1"/>
  <c r="W56" i="1"/>
  <c r="X56" i="1" s="1"/>
  <c r="AI57" i="1" l="1"/>
  <c r="N55" i="10" s="1"/>
  <c r="AO57" i="1"/>
  <c r="K50" i="1"/>
  <c r="L50" i="1" s="1"/>
  <c r="J50" i="1"/>
  <c r="N50" i="1" s="1"/>
  <c r="I51" i="1" s="1"/>
  <c r="P50" i="1"/>
  <c r="F51" i="1"/>
  <c r="G51" i="1"/>
  <c r="B52" i="1" s="1"/>
  <c r="AK57" i="1"/>
  <c r="B55" i="10" s="1"/>
  <c r="AN57" i="1"/>
  <c r="T57" i="1"/>
  <c r="AA57" i="1" s="1"/>
  <c r="J55" i="10" s="1"/>
  <c r="AL57" i="1"/>
  <c r="F55" i="10" s="1"/>
  <c r="W57" i="1"/>
  <c r="X57" i="1" s="1"/>
  <c r="Y57" i="1"/>
  <c r="A59" i="1"/>
  <c r="AB58" i="1"/>
  <c r="AC58" i="1" s="1"/>
  <c r="AD58" i="1" s="1"/>
  <c r="AF58" i="1"/>
  <c r="AG58" i="1" s="1"/>
  <c r="AH58" i="1" s="1"/>
  <c r="AM58" i="1"/>
  <c r="V58" i="1" s="1"/>
  <c r="I56" i="10"/>
  <c r="Z58" i="1"/>
  <c r="E56" i="10"/>
  <c r="R58" i="1"/>
  <c r="S58" i="1" s="1"/>
  <c r="T58" i="1" s="1"/>
  <c r="A56" i="10"/>
  <c r="M56" i="10"/>
  <c r="AO58" i="1" l="1"/>
  <c r="M50" i="1"/>
  <c r="C52" i="1"/>
  <c r="D52" i="1"/>
  <c r="E52" i="1" s="1"/>
  <c r="H52" i="1"/>
  <c r="J51" i="1"/>
  <c r="K51" i="1"/>
  <c r="L51" i="1" s="1"/>
  <c r="P51" i="1"/>
  <c r="AN58" i="1"/>
  <c r="N51" i="1"/>
  <c r="I52" i="1" s="1"/>
  <c r="P52" i="1" s="1"/>
  <c r="AL58" i="1"/>
  <c r="F56" i="10" s="1"/>
  <c r="AA58" i="1"/>
  <c r="J56" i="10" s="1"/>
  <c r="AK58" i="1"/>
  <c r="B56" i="10" s="1"/>
  <c r="AI58" i="1"/>
  <c r="N56" i="10" s="1"/>
  <c r="W58" i="1"/>
  <c r="X58" i="1" s="1"/>
  <c r="Y58" i="1"/>
  <c r="A60" i="1"/>
  <c r="AB59" i="1"/>
  <c r="AC59" i="1" s="1"/>
  <c r="AD59" i="1" s="1"/>
  <c r="I57" i="10"/>
  <c r="AM59" i="1"/>
  <c r="V59" i="1" s="1"/>
  <c r="Z59" i="1"/>
  <c r="E57" i="10"/>
  <c r="AF59" i="1"/>
  <c r="AG59" i="1" s="1"/>
  <c r="AH59" i="1" s="1"/>
  <c r="A57" i="10"/>
  <c r="M57" i="10"/>
  <c r="R59" i="1"/>
  <c r="S59" i="1" s="1"/>
  <c r="K52" i="1" l="1"/>
  <c r="L52" i="1" s="1"/>
  <c r="J52" i="1"/>
  <c r="N52" i="1" s="1"/>
  <c r="I53" i="1" s="1"/>
  <c r="J53" i="1" s="1"/>
  <c r="N53" i="1" s="1"/>
  <c r="I54" i="1" s="1"/>
  <c r="M51" i="1"/>
  <c r="G52" i="1"/>
  <c r="B53" i="1" s="1"/>
  <c r="F52" i="1"/>
  <c r="AN59" i="1"/>
  <c r="T59" i="1"/>
  <c r="AA59" i="1" s="1"/>
  <c r="J57" i="10" s="1"/>
  <c r="P53" i="1"/>
  <c r="AK59" i="1"/>
  <c r="B57" i="10" s="1"/>
  <c r="AO59" i="1"/>
  <c r="AI59" i="1"/>
  <c r="N57" i="10" s="1"/>
  <c r="AL59" i="1"/>
  <c r="F57" i="10" s="1"/>
  <c r="A61" i="1"/>
  <c r="AB60" i="1"/>
  <c r="AC60" i="1" s="1"/>
  <c r="AD60" i="1" s="1"/>
  <c r="A58" i="10"/>
  <c r="I58" i="10"/>
  <c r="Z60" i="1"/>
  <c r="AF60" i="1"/>
  <c r="AG60" i="1" s="1"/>
  <c r="AH60" i="1" s="1"/>
  <c r="M58" i="10"/>
  <c r="E58" i="10"/>
  <c r="R60" i="1"/>
  <c r="S60" i="1" s="1"/>
  <c r="AM60" i="1"/>
  <c r="V60" i="1" s="1"/>
  <c r="W59" i="1"/>
  <c r="X59" i="1" s="1"/>
  <c r="Y59" i="1"/>
  <c r="M52" i="1" l="1"/>
  <c r="K53" i="1"/>
  <c r="L53" i="1" s="1"/>
  <c r="AO60" i="1"/>
  <c r="H53" i="1"/>
  <c r="C53" i="1"/>
  <c r="G53" i="1" s="1"/>
  <c r="B54" i="1" s="1"/>
  <c r="D53" i="1"/>
  <c r="E53" i="1" s="1"/>
  <c r="AK60" i="1"/>
  <c r="B58" i="10" s="1"/>
  <c r="AN60" i="1"/>
  <c r="T60" i="1"/>
  <c r="AA60" i="1" s="1"/>
  <c r="J58" i="10" s="1"/>
  <c r="P54" i="1"/>
  <c r="J54" i="1"/>
  <c r="N54" i="1" s="1"/>
  <c r="I55" i="1" s="1"/>
  <c r="K54" i="1"/>
  <c r="L54" i="1" s="1"/>
  <c r="AI60" i="1"/>
  <c r="N58" i="10" s="1"/>
  <c r="M53" i="1"/>
  <c r="AL60" i="1"/>
  <c r="F58" i="10" s="1"/>
  <c r="W60" i="1"/>
  <c r="X60" i="1" s="1"/>
  <c r="Y60" i="1"/>
  <c r="A62" i="1"/>
  <c r="AB61" i="1"/>
  <c r="AC61" i="1" s="1"/>
  <c r="AD61" i="1" s="1"/>
  <c r="M59" i="10"/>
  <c r="R61" i="1"/>
  <c r="S61" i="1" s="1"/>
  <c r="T61" i="1" s="1"/>
  <c r="A59" i="10"/>
  <c r="AF61" i="1"/>
  <c r="AG61" i="1" s="1"/>
  <c r="AH61" i="1" s="1"/>
  <c r="E59" i="10"/>
  <c r="I59" i="10"/>
  <c r="Z61" i="1"/>
  <c r="AM61" i="1"/>
  <c r="V61" i="1" s="1"/>
  <c r="M54" i="1" l="1"/>
  <c r="AO61" i="1"/>
  <c r="F53" i="1"/>
  <c r="D54" i="1"/>
  <c r="E54" i="1" s="1"/>
  <c r="C54" i="1"/>
  <c r="G54" i="1" s="1"/>
  <c r="B55" i="1" s="1"/>
  <c r="H54" i="1"/>
  <c r="AA61" i="1"/>
  <c r="J59" i="10" s="1"/>
  <c r="AK61" i="1"/>
  <c r="B59" i="10" s="1"/>
  <c r="AL61" i="1"/>
  <c r="F59" i="10" s="1"/>
  <c r="P55" i="1"/>
  <c r="J55" i="1"/>
  <c r="K55" i="1"/>
  <c r="L55" i="1" s="1"/>
  <c r="AI61" i="1"/>
  <c r="N59" i="10" s="1"/>
  <c r="AN61" i="1"/>
  <c r="A63" i="1"/>
  <c r="AB62" i="1"/>
  <c r="AC62" i="1" s="1"/>
  <c r="AD62" i="1" s="1"/>
  <c r="Z62" i="1"/>
  <c r="M60" i="10"/>
  <c r="AF62" i="1"/>
  <c r="AG62" i="1" s="1"/>
  <c r="AH62" i="1" s="1"/>
  <c r="A60" i="10"/>
  <c r="E60" i="10"/>
  <c r="I60" i="10"/>
  <c r="R62" i="1"/>
  <c r="S62" i="1" s="1"/>
  <c r="T62" i="1" s="1"/>
  <c r="AM62" i="1"/>
  <c r="Y61" i="1"/>
  <c r="W61" i="1"/>
  <c r="X61" i="1" s="1"/>
  <c r="AN62" i="1" l="1"/>
  <c r="AO62" i="1"/>
  <c r="F54" i="1"/>
  <c r="M55" i="1"/>
  <c r="C55" i="1"/>
  <c r="G55" i="1" s="1"/>
  <c r="B56" i="1" s="1"/>
  <c r="D55" i="1"/>
  <c r="E55" i="1" s="1"/>
  <c r="H55" i="1"/>
  <c r="N55" i="1"/>
  <c r="I56" i="1" s="1"/>
  <c r="V62" i="1"/>
  <c r="W62" i="1" s="1"/>
  <c r="X62" i="1" s="1"/>
  <c r="AI62" i="1"/>
  <c r="N60" i="10" s="1"/>
  <c r="AL62" i="1"/>
  <c r="F60" i="10" s="1"/>
  <c r="A64" i="1"/>
  <c r="AB63" i="1"/>
  <c r="AC63" i="1" s="1"/>
  <c r="AD63" i="1" s="1"/>
  <c r="AF63" i="1"/>
  <c r="AG63" i="1" s="1"/>
  <c r="AH63" i="1" s="1"/>
  <c r="E61" i="10"/>
  <c r="AM63" i="1"/>
  <c r="V63" i="1" s="1"/>
  <c r="I61" i="10"/>
  <c r="Z63" i="1"/>
  <c r="M61" i="10"/>
  <c r="A61" i="10"/>
  <c r="D56" i="1" l="1"/>
  <c r="E56" i="1" s="1"/>
  <c r="H56" i="1"/>
  <c r="C56" i="1"/>
  <c r="G56" i="1" s="1"/>
  <c r="B57" i="1" s="1"/>
  <c r="F55" i="1"/>
  <c r="P56" i="1"/>
  <c r="K56" i="1"/>
  <c r="L56" i="1" s="1"/>
  <c r="J56" i="1"/>
  <c r="AL63" i="1"/>
  <c r="F61" i="10" s="1"/>
  <c r="AK62" i="1"/>
  <c r="B60" i="10" s="1"/>
  <c r="AA62" i="1"/>
  <c r="J60" i="10" s="1"/>
  <c r="Y62" i="1"/>
  <c r="AO63" i="1"/>
  <c r="R63" i="1"/>
  <c r="S63" i="1" s="1"/>
  <c r="AK63" i="1" s="1"/>
  <c r="B61" i="10" s="1"/>
  <c r="AI63" i="1"/>
  <c r="N61" i="10" s="1"/>
  <c r="Y63" i="1"/>
  <c r="W63" i="1"/>
  <c r="X63" i="1" s="1"/>
  <c r="A65" i="1"/>
  <c r="AB64" i="1"/>
  <c r="AC64" i="1" s="1"/>
  <c r="AD64" i="1" s="1"/>
  <c r="AF64" i="1"/>
  <c r="AG64" i="1" s="1"/>
  <c r="AH64" i="1" s="1"/>
  <c r="M62" i="10"/>
  <c r="AM64" i="1"/>
  <c r="V64" i="1" s="1"/>
  <c r="A62" i="10"/>
  <c r="Z64" i="1"/>
  <c r="E62" i="10"/>
  <c r="I62" i="10"/>
  <c r="M56" i="1" l="1"/>
  <c r="D57" i="1"/>
  <c r="E57" i="1" s="1"/>
  <c r="H57" i="1"/>
  <c r="C57" i="1"/>
  <c r="F57" i="1" s="1"/>
  <c r="F56" i="1"/>
  <c r="AL64" i="1"/>
  <c r="F62" i="10" s="1"/>
  <c r="AI64" i="1"/>
  <c r="N62" i="10" s="1"/>
  <c r="T63" i="1"/>
  <c r="AA63" i="1" s="1"/>
  <c r="J61" i="10" s="1"/>
  <c r="AN63" i="1"/>
  <c r="R64" i="1"/>
  <c r="S64" i="1" s="1"/>
  <c r="AO64" i="1"/>
  <c r="N56" i="1"/>
  <c r="I57" i="1" s="1"/>
  <c r="W64" i="1"/>
  <c r="X64" i="1" s="1"/>
  <c r="Y64" i="1"/>
  <c r="A66" i="1"/>
  <c r="AB65" i="1"/>
  <c r="AC65" i="1" s="1"/>
  <c r="AD65" i="1" s="1"/>
  <c r="AF65" i="1"/>
  <c r="AG65" i="1" s="1"/>
  <c r="AH65" i="1" s="1"/>
  <c r="E63" i="10"/>
  <c r="Z65" i="1"/>
  <c r="I63" i="10"/>
  <c r="A63" i="10"/>
  <c r="AM65" i="1"/>
  <c r="M63" i="10"/>
  <c r="R65" i="1" l="1"/>
  <c r="S65" i="1" s="1"/>
  <c r="T65" i="1" s="1"/>
  <c r="AO65" i="1"/>
  <c r="G57" i="1"/>
  <c r="B58" i="1" s="1"/>
  <c r="D58" i="1" s="1"/>
  <c r="E58" i="1" s="1"/>
  <c r="AN64" i="1"/>
  <c r="T64" i="1"/>
  <c r="V65" i="1"/>
  <c r="Y65" i="1" s="1"/>
  <c r="AK64" i="1"/>
  <c r="B62" i="10" s="1"/>
  <c r="AI65" i="1"/>
  <c r="N63" i="10" s="1"/>
  <c r="AA64" i="1"/>
  <c r="J62" i="10" s="1"/>
  <c r="P57" i="1"/>
  <c r="J57" i="1"/>
  <c r="K57" i="1"/>
  <c r="L57" i="1" s="1"/>
  <c r="AL65" i="1"/>
  <c r="F63" i="10" s="1"/>
  <c r="A67" i="1"/>
  <c r="AB66" i="1"/>
  <c r="AC66" i="1" s="1"/>
  <c r="AD66" i="1" s="1"/>
  <c r="M64" i="10"/>
  <c r="Z66" i="1"/>
  <c r="AM66" i="1"/>
  <c r="V66" i="1" s="1"/>
  <c r="A64" i="10"/>
  <c r="AF66" i="1"/>
  <c r="AG66" i="1" s="1"/>
  <c r="AH66" i="1" s="1"/>
  <c r="E64" i="10"/>
  <c r="I64" i="10"/>
  <c r="AN65" i="1" l="1"/>
  <c r="C58" i="1"/>
  <c r="G58" i="1" s="1"/>
  <c r="B59" i="1" s="1"/>
  <c r="H59" i="1" s="1"/>
  <c r="AO66" i="1"/>
  <c r="H58" i="1"/>
  <c r="M57" i="1"/>
  <c r="R66" i="1"/>
  <c r="S66" i="1" s="1"/>
  <c r="AN66" i="1" s="1"/>
  <c r="W65" i="1"/>
  <c r="X65" i="1" s="1"/>
  <c r="AI66" i="1"/>
  <c r="N64" i="10" s="1"/>
  <c r="N57" i="1"/>
  <c r="I58" i="1" s="1"/>
  <c r="AL66" i="1"/>
  <c r="F64" i="10" s="1"/>
  <c r="AK65" i="1"/>
  <c r="B63" i="10" s="1"/>
  <c r="AA65" i="1"/>
  <c r="J63" i="10" s="1"/>
  <c r="A68" i="1"/>
  <c r="AB67" i="1"/>
  <c r="AC67" i="1" s="1"/>
  <c r="AD67" i="1" s="1"/>
  <c r="M65" i="10"/>
  <c r="AF67" i="1"/>
  <c r="AG67" i="1" s="1"/>
  <c r="AH67" i="1" s="1"/>
  <c r="E65" i="10"/>
  <c r="I65" i="10"/>
  <c r="AM67" i="1"/>
  <c r="A65" i="10"/>
  <c r="Z67" i="1"/>
  <c r="W66" i="1"/>
  <c r="X66" i="1" s="1"/>
  <c r="Y66" i="1"/>
  <c r="F58" i="1" l="1"/>
  <c r="C59" i="1"/>
  <c r="G59" i="1" s="1"/>
  <c r="B60" i="1" s="1"/>
  <c r="C60" i="1" s="1"/>
  <c r="G60" i="1" s="1"/>
  <c r="B61" i="1" s="1"/>
  <c r="T66" i="1"/>
  <c r="AA66" i="1" s="1"/>
  <c r="J64" i="10" s="1"/>
  <c r="D59" i="1"/>
  <c r="AO67" i="1"/>
  <c r="R67" i="1"/>
  <c r="S67" i="1" s="1"/>
  <c r="T67" i="1" s="1"/>
  <c r="AK66" i="1"/>
  <c r="B64" i="10" s="1"/>
  <c r="H60" i="1"/>
  <c r="V67" i="1"/>
  <c r="Y67" i="1" s="1"/>
  <c r="P58" i="1"/>
  <c r="J58" i="1"/>
  <c r="K58" i="1"/>
  <c r="L58" i="1" s="1"/>
  <c r="AI67" i="1"/>
  <c r="N65" i="10" s="1"/>
  <c r="AL67" i="1"/>
  <c r="F65" i="10" s="1"/>
  <c r="A69" i="1"/>
  <c r="AB68" i="1"/>
  <c r="AC68" i="1" s="1"/>
  <c r="AD68" i="1" s="1"/>
  <c r="AF68" i="1"/>
  <c r="AG68" i="1" s="1"/>
  <c r="AH68" i="1" s="1"/>
  <c r="E66" i="10"/>
  <c r="Z68" i="1"/>
  <c r="M66" i="10"/>
  <c r="AM68" i="1"/>
  <c r="V68" i="1" s="1"/>
  <c r="A66" i="10"/>
  <c r="I66" i="10"/>
  <c r="D60" i="1" l="1"/>
  <c r="E60" i="1" s="1"/>
  <c r="F60" i="1" s="1"/>
  <c r="AK67" i="1"/>
  <c r="B65" i="10" s="1"/>
  <c r="E59" i="1"/>
  <c r="F59" i="1" s="1"/>
  <c r="R68" i="1"/>
  <c r="S68" i="1" s="1"/>
  <c r="T68" i="1" s="1"/>
  <c r="AA68" i="1" s="1"/>
  <c r="J66" i="10" s="1"/>
  <c r="AN67" i="1"/>
  <c r="W67" i="1"/>
  <c r="X67" i="1" s="1"/>
  <c r="AA67" i="1"/>
  <c r="J65" i="10" s="1"/>
  <c r="M58" i="1"/>
  <c r="C61" i="1"/>
  <c r="G61" i="1" s="1"/>
  <c r="B62" i="1" s="1"/>
  <c r="D61" i="1"/>
  <c r="E61" i="1" s="1"/>
  <c r="H61" i="1"/>
  <c r="AK68" i="1"/>
  <c r="B66" i="10" s="1"/>
  <c r="AO68" i="1"/>
  <c r="N58" i="1"/>
  <c r="I59" i="1" s="1"/>
  <c r="AL68" i="1"/>
  <c r="F66" i="10" s="1"/>
  <c r="AI68" i="1"/>
  <c r="N66" i="10" s="1"/>
  <c r="Y68" i="1"/>
  <c r="W68" i="1"/>
  <c r="X68" i="1" s="1"/>
  <c r="A70" i="1"/>
  <c r="AB69" i="1"/>
  <c r="AC69" i="1" s="1"/>
  <c r="AD69" i="1" s="1"/>
  <c r="E67" i="10"/>
  <c r="AF69" i="1"/>
  <c r="AG69" i="1" s="1"/>
  <c r="AH69" i="1" s="1"/>
  <c r="M67" i="10"/>
  <c r="AM69" i="1"/>
  <c r="V69" i="1" s="1"/>
  <c r="A67" i="10"/>
  <c r="Z69" i="1"/>
  <c r="I67" i="10"/>
  <c r="R69" i="1" l="1"/>
  <c r="S69" i="1" s="1"/>
  <c r="T69" i="1" s="1"/>
  <c r="AA69" i="1" s="1"/>
  <c r="J67" i="10" s="1"/>
  <c r="AN68" i="1"/>
  <c r="F61" i="1"/>
  <c r="D62" i="1"/>
  <c r="E62" i="1" s="1"/>
  <c r="H62" i="1"/>
  <c r="C62" i="1"/>
  <c r="G62" i="1" s="1"/>
  <c r="B63" i="1" s="1"/>
  <c r="AK69" i="1"/>
  <c r="B67" i="10" s="1"/>
  <c r="P59" i="1"/>
  <c r="J59" i="1"/>
  <c r="N59" i="1" s="1"/>
  <c r="I60" i="1" s="1"/>
  <c r="K59" i="1"/>
  <c r="L59" i="1" s="1"/>
  <c r="AI69" i="1"/>
  <c r="N67" i="10" s="1"/>
  <c r="AO69" i="1"/>
  <c r="AL69" i="1"/>
  <c r="F67" i="10" s="1"/>
  <c r="A71" i="1"/>
  <c r="AB70" i="1"/>
  <c r="AC70" i="1" s="1"/>
  <c r="AD70" i="1" s="1"/>
  <c r="R70" i="1"/>
  <c r="S70" i="1" s="1"/>
  <c r="T70" i="1" s="1"/>
  <c r="AM70" i="1"/>
  <c r="V70" i="1" s="1"/>
  <c r="I68" i="10"/>
  <c r="AF70" i="1"/>
  <c r="AG70" i="1" s="1"/>
  <c r="AH70" i="1" s="1"/>
  <c r="E68" i="10"/>
  <c r="Z70" i="1"/>
  <c r="M68" i="10"/>
  <c r="AO70" i="1"/>
  <c r="A68" i="10"/>
  <c r="W69" i="1"/>
  <c r="X69" i="1" s="1"/>
  <c r="Y69" i="1"/>
  <c r="AN69" i="1" l="1"/>
  <c r="AI70" i="1"/>
  <c r="N68" i="10" s="1"/>
  <c r="F62" i="1"/>
  <c r="H63" i="1"/>
  <c r="C63" i="1"/>
  <c r="G63" i="1" s="1"/>
  <c r="B64" i="1" s="1"/>
  <c r="D63" i="1"/>
  <c r="E63" i="1" s="1"/>
  <c r="P60" i="1"/>
  <c r="K60" i="1"/>
  <c r="L60" i="1" s="1"/>
  <c r="J60" i="1"/>
  <c r="AK70" i="1"/>
  <c r="B68" i="10" s="1"/>
  <c r="AA70" i="1"/>
  <c r="J68" i="10" s="1"/>
  <c r="AN70" i="1"/>
  <c r="M59" i="1"/>
  <c r="AL70" i="1"/>
  <c r="F68" i="10" s="1"/>
  <c r="Y70" i="1"/>
  <c r="W70" i="1"/>
  <c r="X70" i="1" s="1"/>
  <c r="A72" i="1"/>
  <c r="AB71" i="1"/>
  <c r="AC71" i="1" s="1"/>
  <c r="AD71" i="1" s="1"/>
  <c r="A69" i="10"/>
  <c r="AM71" i="1"/>
  <c r="V71" i="1" s="1"/>
  <c r="I69" i="10"/>
  <c r="AF71" i="1"/>
  <c r="AG71" i="1" s="1"/>
  <c r="AH71" i="1" s="1"/>
  <c r="R71" i="1"/>
  <c r="S71" i="1" s="1"/>
  <c r="T71" i="1" s="1"/>
  <c r="Z71" i="1"/>
  <c r="M69" i="10"/>
  <c r="E69" i="10"/>
  <c r="M60" i="1" l="1"/>
  <c r="D64" i="1"/>
  <c r="E64" i="1" s="1"/>
  <c r="H64" i="1"/>
  <c r="C64" i="1"/>
  <c r="G64" i="1" s="1"/>
  <c r="B65" i="1" s="1"/>
  <c r="F63" i="1"/>
  <c r="AO71" i="1"/>
  <c r="AA71" i="1"/>
  <c r="J69" i="10" s="1"/>
  <c r="AK71" i="1"/>
  <c r="B69" i="10" s="1"/>
  <c r="N60" i="1"/>
  <c r="I61" i="1" s="1"/>
  <c r="AN71" i="1"/>
  <c r="AL71" i="1"/>
  <c r="F69" i="10" s="1"/>
  <c r="AI71" i="1"/>
  <c r="N69" i="10" s="1"/>
  <c r="W71" i="1"/>
  <c r="X71" i="1" s="1"/>
  <c r="Y71" i="1"/>
  <c r="A73" i="1"/>
  <c r="AB72" i="1"/>
  <c r="AC72" i="1" s="1"/>
  <c r="AD72" i="1" s="1"/>
  <c r="Z72" i="1"/>
  <c r="M70" i="10"/>
  <c r="AM72" i="1"/>
  <c r="V72" i="1" s="1"/>
  <c r="A70" i="10"/>
  <c r="E70" i="10"/>
  <c r="R72" i="1"/>
  <c r="S72" i="1" s="1"/>
  <c r="T72" i="1" s="1"/>
  <c r="AF72" i="1"/>
  <c r="AG72" i="1" s="1"/>
  <c r="AH72" i="1" s="1"/>
  <c r="I70" i="10"/>
  <c r="H65" i="1" l="1"/>
  <c r="C65" i="1"/>
  <c r="G65" i="1" s="1"/>
  <c r="B66" i="1" s="1"/>
  <c r="D65" i="1"/>
  <c r="E65" i="1" s="1"/>
  <c r="F64" i="1"/>
  <c r="AK72" i="1"/>
  <c r="B70" i="10" s="1"/>
  <c r="AA72" i="1"/>
  <c r="J70" i="10" s="1"/>
  <c r="AN72" i="1"/>
  <c r="AL72" i="1"/>
  <c r="F70" i="10" s="1"/>
  <c r="AI72" i="1"/>
  <c r="N70" i="10" s="1"/>
  <c r="P61" i="1"/>
  <c r="K61" i="1"/>
  <c r="L61" i="1" s="1"/>
  <c r="J61" i="1"/>
  <c r="N61" i="1" s="1"/>
  <c r="I62" i="1" s="1"/>
  <c r="AO72" i="1"/>
  <c r="W72" i="1"/>
  <c r="X72" i="1" s="1"/>
  <c r="Y72" i="1"/>
  <c r="A74" i="1"/>
  <c r="AB73" i="1"/>
  <c r="AC73" i="1" s="1"/>
  <c r="AD73" i="1" s="1"/>
  <c r="AF73" i="1"/>
  <c r="AG73" i="1" s="1"/>
  <c r="AH73" i="1" s="1"/>
  <c r="E71" i="10"/>
  <c r="R73" i="1"/>
  <c r="S73" i="1" s="1"/>
  <c r="T73" i="1" s="1"/>
  <c r="M71" i="10"/>
  <c r="A71" i="10"/>
  <c r="AM73" i="1"/>
  <c r="Z73" i="1"/>
  <c r="I71" i="10"/>
  <c r="AO73" i="1" l="1"/>
  <c r="AN73" i="1"/>
  <c r="D66" i="1"/>
  <c r="E66" i="1" s="1"/>
  <c r="H66" i="1"/>
  <c r="C66" i="1"/>
  <c r="G66" i="1" s="1"/>
  <c r="B67" i="1" s="1"/>
  <c r="F65" i="1"/>
  <c r="P62" i="1"/>
  <c r="K62" i="1"/>
  <c r="L62" i="1" s="1"/>
  <c r="J62" i="1"/>
  <c r="V73" i="1"/>
  <c r="Y73" i="1" s="1"/>
  <c r="AI73" i="1"/>
  <c r="N71" i="10" s="1"/>
  <c r="AL73" i="1"/>
  <c r="F71" i="10" s="1"/>
  <c r="M61" i="1"/>
  <c r="A75" i="1"/>
  <c r="AB74" i="1"/>
  <c r="AC74" i="1" s="1"/>
  <c r="AD74" i="1" s="1"/>
  <c r="Z74" i="1"/>
  <c r="E72" i="10"/>
  <c r="AM74" i="1"/>
  <c r="M72" i="10"/>
  <c r="AF74" i="1"/>
  <c r="AG74" i="1" s="1"/>
  <c r="AH74" i="1" s="1"/>
  <c r="A72" i="10"/>
  <c r="R74" i="1"/>
  <c r="S74" i="1" s="1"/>
  <c r="T74" i="1" s="1"/>
  <c r="I72" i="10"/>
  <c r="W73" i="1"/>
  <c r="X73" i="1" s="1"/>
  <c r="M62" i="1" l="1"/>
  <c r="AN74" i="1"/>
  <c r="F66" i="1"/>
  <c r="H67" i="1"/>
  <c r="C67" i="1"/>
  <c r="D67" i="1"/>
  <c r="E67" i="1" s="1"/>
  <c r="AO74" i="1"/>
  <c r="AA73" i="1"/>
  <c r="J71" i="10" s="1"/>
  <c r="AK73" i="1"/>
  <c r="B71" i="10" s="1"/>
  <c r="N62" i="1"/>
  <c r="I63" i="1" s="1"/>
  <c r="V74" i="1"/>
  <c r="R75" i="1" s="1"/>
  <c r="S75" i="1" s="1"/>
  <c r="T75" i="1" s="1"/>
  <c r="AI74" i="1"/>
  <c r="N72" i="10" s="1"/>
  <c r="AL74" i="1"/>
  <c r="F72" i="10" s="1"/>
  <c r="A76" i="1"/>
  <c r="AB75" i="1"/>
  <c r="AC75" i="1" s="1"/>
  <c r="AD75" i="1" s="1"/>
  <c r="Z75" i="1"/>
  <c r="I73" i="10"/>
  <c r="AF75" i="1"/>
  <c r="AG75" i="1" s="1"/>
  <c r="AH75" i="1" s="1"/>
  <c r="E73" i="10"/>
  <c r="M73" i="10"/>
  <c r="A73" i="10"/>
  <c r="AM75" i="1"/>
  <c r="V75" i="1" s="1"/>
  <c r="AI75" i="1" l="1"/>
  <c r="N73" i="10" s="1"/>
  <c r="G67" i="1"/>
  <c r="B68" i="1" s="1"/>
  <c r="F67" i="1"/>
  <c r="AA75" i="1"/>
  <c r="J73" i="10" s="1"/>
  <c r="AK75" i="1"/>
  <c r="B73" i="10" s="1"/>
  <c r="AK74" i="1"/>
  <c r="B72" i="10" s="1"/>
  <c r="AA74" i="1"/>
  <c r="J72" i="10" s="1"/>
  <c r="AO75" i="1"/>
  <c r="AL75" i="1"/>
  <c r="F73" i="10" s="1"/>
  <c r="Y74" i="1"/>
  <c r="P63" i="1"/>
  <c r="J63" i="1"/>
  <c r="K63" i="1"/>
  <c r="L63" i="1" s="1"/>
  <c r="AN75" i="1"/>
  <c r="W74" i="1"/>
  <c r="X74" i="1" s="1"/>
  <c r="A77" i="1"/>
  <c r="AB76" i="1"/>
  <c r="AC76" i="1" s="1"/>
  <c r="AD76" i="1" s="1"/>
  <c r="A74" i="10"/>
  <c r="Z76" i="1"/>
  <c r="R76" i="1"/>
  <c r="S76" i="1" s="1"/>
  <c r="T76" i="1" s="1"/>
  <c r="I74" i="10"/>
  <c r="AM76" i="1"/>
  <c r="V76" i="1" s="1"/>
  <c r="AF76" i="1"/>
  <c r="AG76" i="1" s="1"/>
  <c r="AH76" i="1" s="1"/>
  <c r="M74" i="10"/>
  <c r="E74" i="10"/>
  <c r="Y75" i="1"/>
  <c r="W75" i="1"/>
  <c r="X75" i="1" s="1"/>
  <c r="M63" i="1" l="1"/>
  <c r="AN76" i="1"/>
  <c r="C68" i="1"/>
  <c r="G68" i="1" s="1"/>
  <c r="B69" i="1" s="1"/>
  <c r="D68" i="1"/>
  <c r="E68" i="1" s="1"/>
  <c r="H68" i="1"/>
  <c r="N63" i="1"/>
  <c r="I64" i="1" s="1"/>
  <c r="P64" i="1" s="1"/>
  <c r="AK76" i="1"/>
  <c r="B74" i="10" s="1"/>
  <c r="AA76" i="1"/>
  <c r="J74" i="10" s="1"/>
  <c r="AI76" i="1"/>
  <c r="N74" i="10" s="1"/>
  <c r="AO76" i="1"/>
  <c r="AL76" i="1"/>
  <c r="F74" i="10" s="1"/>
  <c r="Y76" i="1"/>
  <c r="W76" i="1"/>
  <c r="X76" i="1" s="1"/>
  <c r="A78" i="1"/>
  <c r="AB77" i="1"/>
  <c r="AC77" i="1" s="1"/>
  <c r="AD77" i="1" s="1"/>
  <c r="Z77" i="1"/>
  <c r="AO77" i="1"/>
  <c r="M75" i="10"/>
  <c r="AF77" i="1"/>
  <c r="AG77" i="1" s="1"/>
  <c r="AH77" i="1" s="1"/>
  <c r="A75" i="10"/>
  <c r="AM77" i="1"/>
  <c r="V77" i="1" s="1"/>
  <c r="R77" i="1"/>
  <c r="S77" i="1" s="1"/>
  <c r="E75" i="10"/>
  <c r="I75" i="10"/>
  <c r="K64" i="1" l="1"/>
  <c r="L64" i="1" s="1"/>
  <c r="J64" i="1"/>
  <c r="AK77" i="1"/>
  <c r="B75" i="10" s="1"/>
  <c r="N64" i="1"/>
  <c r="I65" i="1" s="1"/>
  <c r="J65" i="1" s="1"/>
  <c r="F68" i="1"/>
  <c r="C69" i="1"/>
  <c r="D69" i="1"/>
  <c r="E69" i="1" s="1"/>
  <c r="H69" i="1"/>
  <c r="AI77" i="1"/>
  <c r="N75" i="10" s="1"/>
  <c r="T77" i="1"/>
  <c r="AA77" i="1" s="1"/>
  <c r="J75" i="10" s="1"/>
  <c r="AN77" i="1"/>
  <c r="P65" i="1"/>
  <c r="AL77" i="1"/>
  <c r="F75" i="10" s="1"/>
  <c r="A79" i="1"/>
  <c r="AB78" i="1"/>
  <c r="AC78" i="1" s="1"/>
  <c r="AD78" i="1" s="1"/>
  <c r="AM78" i="1"/>
  <c r="V78" i="1" s="1"/>
  <c r="AF78" i="1"/>
  <c r="AG78" i="1" s="1"/>
  <c r="AH78" i="1" s="1"/>
  <c r="M76" i="10"/>
  <c r="Z78" i="1"/>
  <c r="A76" i="10"/>
  <c r="I76" i="10"/>
  <c r="R78" i="1"/>
  <c r="S78" i="1" s="1"/>
  <c r="E76" i="10"/>
  <c r="Y77" i="1"/>
  <c r="W77" i="1"/>
  <c r="X77" i="1" s="1"/>
  <c r="AO78" i="1" l="1"/>
  <c r="M64" i="1"/>
  <c r="AK78" i="1"/>
  <c r="B76" i="10" s="1"/>
  <c r="T78" i="1"/>
  <c r="AA78" i="1" s="1"/>
  <c r="J76" i="10" s="1"/>
  <c r="AN78" i="1"/>
  <c r="AI78" i="1"/>
  <c r="N76" i="10" s="1"/>
  <c r="AL78" i="1"/>
  <c r="F76" i="10" s="1"/>
  <c r="K65" i="1"/>
  <c r="L65" i="1" s="1"/>
  <c r="F69" i="1"/>
  <c r="M65" i="1"/>
  <c r="N65" i="1"/>
  <c r="I66" i="1" s="1"/>
  <c r="P66" i="1" s="1"/>
  <c r="G69" i="1"/>
  <c r="B70" i="1" s="1"/>
  <c r="J66" i="1"/>
  <c r="N66" i="1" s="1"/>
  <c r="I67" i="1" s="1"/>
  <c r="W78" i="1"/>
  <c r="X78" i="1" s="1"/>
  <c r="Y78" i="1"/>
  <c r="A80" i="1"/>
  <c r="AB79" i="1"/>
  <c r="AC79" i="1" s="1"/>
  <c r="AD79" i="1" s="1"/>
  <c r="R79" i="1"/>
  <c r="S79" i="1" s="1"/>
  <c r="T79" i="1" s="1"/>
  <c r="AF79" i="1"/>
  <c r="AG79" i="1" s="1"/>
  <c r="AH79" i="1" s="1"/>
  <c r="E77" i="10"/>
  <c r="M77" i="10"/>
  <c r="Z79" i="1"/>
  <c r="A77" i="10"/>
  <c r="I77" i="10"/>
  <c r="AM79" i="1"/>
  <c r="V79" i="1" s="1"/>
  <c r="AA79" i="1" l="1"/>
  <c r="J77" i="10" s="1"/>
  <c r="AK79" i="1"/>
  <c r="B77" i="10" s="1"/>
  <c r="AN79" i="1"/>
  <c r="AO79" i="1"/>
  <c r="AI79" i="1"/>
  <c r="N77" i="10" s="1"/>
  <c r="AL79" i="1"/>
  <c r="F77" i="10" s="1"/>
  <c r="K66" i="1"/>
  <c r="L66" i="1" s="1"/>
  <c r="C70" i="1"/>
  <c r="D70" i="1"/>
  <c r="E70" i="1" s="1"/>
  <c r="H70" i="1"/>
  <c r="P67" i="1"/>
  <c r="J67" i="1"/>
  <c r="N67" i="1" s="1"/>
  <c r="I68" i="1" s="1"/>
  <c r="K67" i="1"/>
  <c r="L67" i="1" s="1"/>
  <c r="W79" i="1"/>
  <c r="X79" i="1" s="1"/>
  <c r="Y79" i="1"/>
  <c r="A81" i="1"/>
  <c r="AB80" i="1"/>
  <c r="AC80" i="1" s="1"/>
  <c r="AD80" i="1" s="1"/>
  <c r="AM80" i="1"/>
  <c r="V80" i="1" s="1"/>
  <c r="E78" i="10"/>
  <c r="R80" i="1"/>
  <c r="M78" i="10"/>
  <c r="S80" i="1"/>
  <c r="T80" i="1" s="1"/>
  <c r="A78" i="10"/>
  <c r="Z80" i="1"/>
  <c r="I78" i="10"/>
  <c r="AF80" i="1"/>
  <c r="AG80" i="1" s="1"/>
  <c r="AH80" i="1" s="1"/>
  <c r="AN80" i="1" l="1"/>
  <c r="AO80" i="1"/>
  <c r="AI80" i="1"/>
  <c r="N78" i="10" s="1"/>
  <c r="AL80" i="1"/>
  <c r="F78" i="10" s="1"/>
  <c r="AK80" i="1"/>
  <c r="B78" i="10" s="1"/>
  <c r="AA80" i="1"/>
  <c r="J78" i="10" s="1"/>
  <c r="M66" i="1"/>
  <c r="F70" i="1"/>
  <c r="G70" i="1"/>
  <c r="B71" i="1" s="1"/>
  <c r="P68" i="1"/>
  <c r="K68" i="1"/>
  <c r="L68" i="1" s="1"/>
  <c r="J68" i="1"/>
  <c r="M67" i="1"/>
  <c r="A82" i="1"/>
  <c r="AB81" i="1"/>
  <c r="AC81" i="1" s="1"/>
  <c r="AD81" i="1" s="1"/>
  <c r="AM81" i="1"/>
  <c r="V81" i="1" s="1"/>
  <c r="I79" i="10"/>
  <c r="R81" i="1"/>
  <c r="S81" i="1" s="1"/>
  <c r="E79" i="10"/>
  <c r="Z81" i="1"/>
  <c r="M79" i="10"/>
  <c r="AF81" i="1"/>
  <c r="AG81" i="1" s="1"/>
  <c r="AH81" i="1" s="1"/>
  <c r="A79" i="10"/>
  <c r="Y80" i="1"/>
  <c r="W80" i="1"/>
  <c r="X80" i="1" s="1"/>
  <c r="AO81" i="1" l="1"/>
  <c r="T81" i="1"/>
  <c r="AN81" i="1"/>
  <c r="AA81" i="1"/>
  <c r="J79" i="10" s="1"/>
  <c r="AI81" i="1"/>
  <c r="N79" i="10" s="1"/>
  <c r="AK81" i="1"/>
  <c r="B79" i="10" s="1"/>
  <c r="AL81" i="1"/>
  <c r="F79" i="10" s="1"/>
  <c r="M68" i="1"/>
  <c r="D71" i="1"/>
  <c r="E71" i="1" s="1"/>
  <c r="H71" i="1"/>
  <c r="C71" i="1"/>
  <c r="F71" i="1" s="1"/>
  <c r="N68" i="1"/>
  <c r="I69" i="1" s="1"/>
  <c r="P69" i="1" s="1"/>
  <c r="Y81" i="1"/>
  <c r="W81" i="1"/>
  <c r="X81" i="1" s="1"/>
  <c r="A83" i="1"/>
  <c r="AB82" i="1"/>
  <c r="AC82" i="1" s="1"/>
  <c r="AD82" i="1" s="1"/>
  <c r="R82" i="1"/>
  <c r="Z82" i="1"/>
  <c r="A80" i="10"/>
  <c r="I80" i="10"/>
  <c r="AM82" i="1"/>
  <c r="E80" i="10"/>
  <c r="S82" i="1"/>
  <c r="T82" i="1" s="1"/>
  <c r="M80" i="10"/>
  <c r="AF82" i="1"/>
  <c r="AG82" i="1" s="1"/>
  <c r="AH82" i="1" s="1"/>
  <c r="AO82" i="1" l="1"/>
  <c r="AN82" i="1"/>
  <c r="V82" i="1"/>
  <c r="AA82" i="1" s="1"/>
  <c r="J80" i="10" s="1"/>
  <c r="AL82" i="1"/>
  <c r="F80" i="10" s="1"/>
  <c r="AI82" i="1"/>
  <c r="N80" i="10" s="1"/>
  <c r="K69" i="1"/>
  <c r="L69" i="1" s="1"/>
  <c r="J69" i="1"/>
  <c r="N69" i="1" s="1"/>
  <c r="I70" i="1" s="1"/>
  <c r="K70" i="1" s="1"/>
  <c r="L70" i="1" s="1"/>
  <c r="G71" i="1"/>
  <c r="B72" i="1" s="1"/>
  <c r="C72" i="1" s="1"/>
  <c r="G72" i="1" s="1"/>
  <c r="B73" i="1" s="1"/>
  <c r="Y82" i="1"/>
  <c r="A84" i="1"/>
  <c r="AB83" i="1"/>
  <c r="AC83" i="1" s="1"/>
  <c r="AD83" i="1" s="1"/>
  <c r="M81" i="10"/>
  <c r="Z83" i="1"/>
  <c r="A81" i="10"/>
  <c r="I81" i="10"/>
  <c r="AF83" i="1"/>
  <c r="AG83" i="1" s="1"/>
  <c r="AH83" i="1" s="1"/>
  <c r="AM83" i="1"/>
  <c r="V83" i="1" s="1"/>
  <c r="E81" i="10"/>
  <c r="R83" i="1" l="1"/>
  <c r="S83" i="1" s="1"/>
  <c r="T83" i="1" s="1"/>
  <c r="W82" i="1"/>
  <c r="X82" i="1" s="1"/>
  <c r="AK82" i="1"/>
  <c r="B80" i="10" s="1"/>
  <c r="AO83" i="1"/>
  <c r="AK83" i="1"/>
  <c r="B81" i="10" s="1"/>
  <c r="AI83" i="1"/>
  <c r="N81" i="10" s="1"/>
  <c r="AL83" i="1"/>
  <c r="F81" i="10" s="1"/>
  <c r="D72" i="1"/>
  <c r="E72" i="1" s="1"/>
  <c r="J70" i="1"/>
  <c r="M69" i="1"/>
  <c r="P70" i="1"/>
  <c r="H72" i="1"/>
  <c r="M70" i="1"/>
  <c r="D73" i="1"/>
  <c r="E73" i="1" s="1"/>
  <c r="H73" i="1"/>
  <c r="C73" i="1"/>
  <c r="F73" i="1" s="1"/>
  <c r="N70" i="1"/>
  <c r="I71" i="1" s="1"/>
  <c r="A85" i="1"/>
  <c r="AB84" i="1"/>
  <c r="AC84" i="1" s="1"/>
  <c r="AD84" i="1" s="1"/>
  <c r="AF84" i="1"/>
  <c r="AG84" i="1" s="1"/>
  <c r="AH84" i="1" s="1"/>
  <c r="E82" i="10"/>
  <c r="R84" i="1"/>
  <c r="S84" i="1" s="1"/>
  <c r="T84" i="1" s="1"/>
  <c r="M82" i="10"/>
  <c r="A82" i="10"/>
  <c r="Z84" i="1"/>
  <c r="AM84" i="1"/>
  <c r="I82" i="10"/>
  <c r="Y83" i="1"/>
  <c r="W83" i="1"/>
  <c r="X83" i="1" s="1"/>
  <c r="AN83" i="1" l="1"/>
  <c r="AA83" i="1"/>
  <c r="J81" i="10" s="1"/>
  <c r="AN84" i="1"/>
  <c r="AO84" i="1"/>
  <c r="AI84" i="1"/>
  <c r="N82" i="10" s="1"/>
  <c r="V84" i="1"/>
  <c r="W84" i="1" s="1"/>
  <c r="X84" i="1" s="1"/>
  <c r="AL84" i="1"/>
  <c r="F82" i="10" s="1"/>
  <c r="F72" i="1"/>
  <c r="G73" i="1"/>
  <c r="B74" i="1" s="1"/>
  <c r="P71" i="1"/>
  <c r="J71" i="1"/>
  <c r="N71" i="1" s="1"/>
  <c r="I72" i="1" s="1"/>
  <c r="K71" i="1"/>
  <c r="L71" i="1" s="1"/>
  <c r="A86" i="1"/>
  <c r="AB85" i="1"/>
  <c r="AC85" i="1" s="1"/>
  <c r="AD85" i="1" s="1"/>
  <c r="AF85" i="1"/>
  <c r="AG85" i="1" s="1"/>
  <c r="AH85" i="1" s="1"/>
  <c r="I83" i="10"/>
  <c r="E83" i="10"/>
  <c r="M83" i="10"/>
  <c r="AM85" i="1"/>
  <c r="V85" i="1" s="1"/>
  <c r="A83" i="10"/>
  <c r="Z85" i="1"/>
  <c r="AO85" i="1"/>
  <c r="AI85" i="1" l="1"/>
  <c r="N83" i="10" s="1"/>
  <c r="AA84" i="1"/>
  <c r="J82" i="10" s="1"/>
  <c r="AK84" i="1"/>
  <c r="B82" i="10" s="1"/>
  <c r="R85" i="1"/>
  <c r="S85" i="1" s="1"/>
  <c r="T85" i="1" s="1"/>
  <c r="AL85" i="1"/>
  <c r="F83" i="10" s="1"/>
  <c r="Y84" i="1"/>
  <c r="H74" i="1"/>
  <c r="C74" i="1"/>
  <c r="G74" i="1" s="1"/>
  <c r="B75" i="1" s="1"/>
  <c r="D74" i="1"/>
  <c r="E74" i="1" s="1"/>
  <c r="P72" i="1"/>
  <c r="J72" i="1"/>
  <c r="K72" i="1"/>
  <c r="L72" i="1" s="1"/>
  <c r="M71" i="1"/>
  <c r="A87" i="1"/>
  <c r="AB86" i="1"/>
  <c r="AC86" i="1" s="1"/>
  <c r="AD86" i="1" s="1"/>
  <c r="R86" i="1"/>
  <c r="A84" i="10"/>
  <c r="AF86" i="1"/>
  <c r="AG86" i="1" s="1"/>
  <c r="AH86" i="1" s="1"/>
  <c r="I84" i="10"/>
  <c r="S86" i="1"/>
  <c r="T86" i="1" s="1"/>
  <c r="Z86" i="1"/>
  <c r="AM86" i="1"/>
  <c r="V86" i="1" s="1"/>
  <c r="M84" i="10"/>
  <c r="E84" i="10"/>
  <c r="Y85" i="1"/>
  <c r="W85" i="1"/>
  <c r="X85" i="1" s="1"/>
  <c r="AO86" i="1" l="1"/>
  <c r="AN85" i="1"/>
  <c r="AK85" i="1"/>
  <c r="B83" i="10" s="1"/>
  <c r="AN86" i="1"/>
  <c r="AI86" i="1"/>
  <c r="N84" i="10" s="1"/>
  <c r="AA86" i="1"/>
  <c r="J84" i="10" s="1"/>
  <c r="AK86" i="1"/>
  <c r="B84" i="10" s="1"/>
  <c r="AL86" i="1"/>
  <c r="F84" i="10" s="1"/>
  <c r="AA85" i="1"/>
  <c r="J83" i="10" s="1"/>
  <c r="M72" i="1"/>
  <c r="D75" i="1"/>
  <c r="E75" i="1" s="1"/>
  <c r="H75" i="1"/>
  <c r="C75" i="1"/>
  <c r="G75" i="1" s="1"/>
  <c r="B76" i="1" s="1"/>
  <c r="F74" i="1"/>
  <c r="N72" i="1"/>
  <c r="I73" i="1" s="1"/>
  <c r="Y86" i="1"/>
  <c r="W86" i="1"/>
  <c r="X86" i="1" s="1"/>
  <c r="A88" i="1"/>
  <c r="AB87" i="1"/>
  <c r="AC87" i="1" s="1"/>
  <c r="AD87" i="1" s="1"/>
  <c r="AF87" i="1"/>
  <c r="AG87" i="1" s="1"/>
  <c r="AH87" i="1" s="1"/>
  <c r="E85" i="10"/>
  <c r="M85" i="10"/>
  <c r="AM87" i="1"/>
  <c r="V87" i="1" s="1"/>
  <c r="A85" i="10"/>
  <c r="Z87" i="1"/>
  <c r="R87" i="1"/>
  <c r="S87" i="1" s="1"/>
  <c r="I85" i="10"/>
  <c r="AO87" i="1" l="1"/>
  <c r="AI87" i="1"/>
  <c r="N85" i="10" s="1"/>
  <c r="T87" i="1"/>
  <c r="AN87" i="1"/>
  <c r="AA87" i="1"/>
  <c r="J85" i="10" s="1"/>
  <c r="AK87" i="1"/>
  <c r="B85" i="10" s="1"/>
  <c r="AL87" i="1"/>
  <c r="F85" i="10" s="1"/>
  <c r="D76" i="1"/>
  <c r="E76" i="1" s="1"/>
  <c r="H76" i="1"/>
  <c r="C76" i="1"/>
  <c r="G76" i="1" s="1"/>
  <c r="B77" i="1" s="1"/>
  <c r="F75" i="1"/>
  <c r="P73" i="1"/>
  <c r="J73" i="1"/>
  <c r="K73" i="1"/>
  <c r="L73" i="1" s="1"/>
  <c r="A89" i="1"/>
  <c r="AB88" i="1"/>
  <c r="AC88" i="1" s="1"/>
  <c r="AD88" i="1" s="1"/>
  <c r="R88" i="1"/>
  <c r="AO88" i="1"/>
  <c r="I86" i="10"/>
  <c r="Z88" i="1"/>
  <c r="E86" i="10"/>
  <c r="M86" i="10"/>
  <c r="S88" i="1"/>
  <c r="T88" i="1" s="1"/>
  <c r="A86" i="10"/>
  <c r="AF88" i="1"/>
  <c r="AG88" i="1" s="1"/>
  <c r="AH88" i="1" s="1"/>
  <c r="AM88" i="1"/>
  <c r="V88" i="1" s="1"/>
  <c r="Y87" i="1"/>
  <c r="W87" i="1"/>
  <c r="X87" i="1" s="1"/>
  <c r="AK88" i="1" l="1"/>
  <c r="B86" i="10" s="1"/>
  <c r="AA88" i="1"/>
  <c r="J86" i="10" s="1"/>
  <c r="AN88" i="1"/>
  <c r="AI88" i="1"/>
  <c r="N86" i="10" s="1"/>
  <c r="AL88" i="1"/>
  <c r="F86" i="10" s="1"/>
  <c r="M73" i="1"/>
  <c r="C77" i="1"/>
  <c r="G77" i="1" s="1"/>
  <c r="B78" i="1" s="1"/>
  <c r="H77" i="1"/>
  <c r="D77" i="1"/>
  <c r="E77" i="1" s="1"/>
  <c r="F76" i="1"/>
  <c r="N73" i="1"/>
  <c r="I74" i="1" s="1"/>
  <c r="W88" i="1"/>
  <c r="X88" i="1" s="1"/>
  <c r="Y88" i="1"/>
  <c r="A90" i="1"/>
  <c r="AB89" i="1"/>
  <c r="AC89" i="1" s="1"/>
  <c r="AD89" i="1" s="1"/>
  <c r="E87" i="10"/>
  <c r="M87" i="10"/>
  <c r="R89" i="1"/>
  <c r="S89" i="1" s="1"/>
  <c r="T89" i="1" s="1"/>
  <c r="A87" i="10"/>
  <c r="AM89" i="1"/>
  <c r="V89" i="1" s="1"/>
  <c r="AF89" i="1"/>
  <c r="AG89" i="1" s="1"/>
  <c r="AH89" i="1" s="1"/>
  <c r="I87" i="10"/>
  <c r="Z89" i="1"/>
  <c r="AK89" i="1" l="1"/>
  <c r="B87" i="10" s="1"/>
  <c r="AA89" i="1"/>
  <c r="J87" i="10" s="1"/>
  <c r="AL89" i="1"/>
  <c r="F87" i="10" s="1"/>
  <c r="AN89" i="1"/>
  <c r="AO89" i="1"/>
  <c r="AI89" i="1"/>
  <c r="N87" i="10" s="1"/>
  <c r="H78" i="1"/>
  <c r="D78" i="1"/>
  <c r="E78" i="1" s="1"/>
  <c r="C78" i="1"/>
  <c r="F77" i="1"/>
  <c r="P74" i="1"/>
  <c r="J74" i="1"/>
  <c r="N74" i="1" s="1"/>
  <c r="I75" i="1" s="1"/>
  <c r="K74" i="1"/>
  <c r="L74" i="1" s="1"/>
  <c r="A91" i="1"/>
  <c r="AB90" i="1"/>
  <c r="AC90" i="1" s="1"/>
  <c r="AD90" i="1" s="1"/>
  <c r="R90" i="1"/>
  <c r="S90" i="1" s="1"/>
  <c r="T90" i="1" s="1"/>
  <c r="AM90" i="1"/>
  <c r="I88" i="10"/>
  <c r="Z90" i="1"/>
  <c r="AF90" i="1"/>
  <c r="AG90" i="1" s="1"/>
  <c r="AH90" i="1" s="1"/>
  <c r="E88" i="10"/>
  <c r="M88" i="10"/>
  <c r="A88" i="10"/>
  <c r="Y89" i="1"/>
  <c r="W89" i="1"/>
  <c r="X89" i="1" s="1"/>
  <c r="F78" i="1" l="1"/>
  <c r="G78" i="1"/>
  <c r="B79" i="1" s="1"/>
  <c r="D79" i="1" s="1"/>
  <c r="E79" i="1" s="1"/>
  <c r="AN90" i="1"/>
  <c r="V90" i="1"/>
  <c r="Y90" i="1" s="1"/>
  <c r="AO90" i="1"/>
  <c r="AI90" i="1"/>
  <c r="N88" i="10" s="1"/>
  <c r="AL90" i="1"/>
  <c r="F88" i="10" s="1"/>
  <c r="H79" i="1"/>
  <c r="P75" i="1"/>
  <c r="J75" i="1"/>
  <c r="K75" i="1"/>
  <c r="L75" i="1" s="1"/>
  <c r="M74" i="1"/>
  <c r="W90" i="1"/>
  <c r="X90" i="1" s="1"/>
  <c r="A92" i="1"/>
  <c r="AB91" i="1"/>
  <c r="AC91" i="1" s="1"/>
  <c r="AD91" i="1" s="1"/>
  <c r="A89" i="10"/>
  <c r="R91" i="1"/>
  <c r="S91" i="1" s="1"/>
  <c r="T91" i="1" s="1"/>
  <c r="AF91" i="1"/>
  <c r="AG91" i="1" s="1"/>
  <c r="AH91" i="1" s="1"/>
  <c r="I89" i="10"/>
  <c r="E89" i="10"/>
  <c r="M89" i="10"/>
  <c r="Z91" i="1"/>
  <c r="AM91" i="1"/>
  <c r="V91" i="1" s="1"/>
  <c r="C79" i="1" l="1"/>
  <c r="G79" i="1" s="1"/>
  <c r="B80" i="1" s="1"/>
  <c r="AO91" i="1"/>
  <c r="AK91" i="1"/>
  <c r="B89" i="10" s="1"/>
  <c r="AA91" i="1"/>
  <c r="J89" i="10" s="1"/>
  <c r="H80" i="1"/>
  <c r="D80" i="1"/>
  <c r="E80" i="1" s="1"/>
  <c r="C80" i="1"/>
  <c r="AI91" i="1"/>
  <c r="N89" i="10" s="1"/>
  <c r="AL91" i="1"/>
  <c r="F89" i="10" s="1"/>
  <c r="F79" i="1"/>
  <c r="AN91" i="1"/>
  <c r="AK90" i="1"/>
  <c r="B88" i="10" s="1"/>
  <c r="AA90" i="1"/>
  <c r="J88" i="10" s="1"/>
  <c r="M75" i="1"/>
  <c r="N75" i="1"/>
  <c r="I76" i="1" s="1"/>
  <c r="Y91" i="1"/>
  <c r="W91" i="1"/>
  <c r="X91" i="1" s="1"/>
  <c r="A93" i="1"/>
  <c r="AB92" i="1"/>
  <c r="AC92" i="1" s="1"/>
  <c r="AD92" i="1" s="1"/>
  <c r="R92" i="1"/>
  <c r="S92" i="1" s="1"/>
  <c r="T92" i="1" s="1"/>
  <c r="A90" i="10"/>
  <c r="I90" i="10"/>
  <c r="AM92" i="1"/>
  <c r="V92" i="1" s="1"/>
  <c r="E90" i="10"/>
  <c r="AF92" i="1"/>
  <c r="AG92" i="1" s="1"/>
  <c r="AH92" i="1" s="1"/>
  <c r="M90" i="10"/>
  <c r="Z92" i="1"/>
  <c r="F80" i="1" l="1"/>
  <c r="AI92" i="1"/>
  <c r="N90" i="10" s="1"/>
  <c r="AK92" i="1"/>
  <c r="B90" i="10" s="1"/>
  <c r="AA92" i="1"/>
  <c r="J90" i="10" s="1"/>
  <c r="AO92" i="1"/>
  <c r="AN92" i="1"/>
  <c r="G80" i="1"/>
  <c r="B81" i="1" s="1"/>
  <c r="AL92" i="1"/>
  <c r="F90" i="10" s="1"/>
  <c r="P76" i="1"/>
  <c r="K76" i="1"/>
  <c r="L76" i="1" s="1"/>
  <c r="J76" i="1"/>
  <c r="A94" i="1"/>
  <c r="AB93" i="1"/>
  <c r="AC93" i="1" s="1"/>
  <c r="AD93" i="1" s="1"/>
  <c r="Z93" i="1"/>
  <c r="AO93" i="1"/>
  <c r="M91" i="10"/>
  <c r="A91" i="10"/>
  <c r="AM93" i="1"/>
  <c r="V93" i="1" s="1"/>
  <c r="I91" i="10"/>
  <c r="R93" i="1"/>
  <c r="S93" i="1" s="1"/>
  <c r="T93" i="1" s="1"/>
  <c r="E91" i="10"/>
  <c r="AF93" i="1"/>
  <c r="AG93" i="1" s="1"/>
  <c r="AH93" i="1" s="1"/>
  <c r="W92" i="1"/>
  <c r="X92" i="1" s="1"/>
  <c r="Y92" i="1"/>
  <c r="AN93" i="1" l="1"/>
  <c r="AK93" i="1"/>
  <c r="B91" i="10" s="1"/>
  <c r="AA93" i="1"/>
  <c r="J91" i="10" s="1"/>
  <c r="AI93" i="1"/>
  <c r="N91" i="10" s="1"/>
  <c r="H81" i="1"/>
  <c r="D81" i="1"/>
  <c r="E81" i="1" s="1"/>
  <c r="C81" i="1"/>
  <c r="G81" i="1" s="1"/>
  <c r="B82" i="1" s="1"/>
  <c r="AL93" i="1"/>
  <c r="F91" i="10" s="1"/>
  <c r="M76" i="1"/>
  <c r="N76" i="1"/>
  <c r="I77" i="1" s="1"/>
  <c r="A95" i="1"/>
  <c r="AB94" i="1"/>
  <c r="AC94" i="1" s="1"/>
  <c r="AD94" i="1" s="1"/>
  <c r="R94" i="1"/>
  <c r="S94" i="1" s="1"/>
  <c r="I92" i="10"/>
  <c r="AM94" i="1"/>
  <c r="V94" i="1" s="1"/>
  <c r="E92" i="10"/>
  <c r="AF94" i="1"/>
  <c r="AG94" i="1" s="1"/>
  <c r="AH94" i="1" s="1"/>
  <c r="M92" i="10"/>
  <c r="A92" i="10"/>
  <c r="Z94" i="1"/>
  <c r="W93" i="1"/>
  <c r="X93" i="1" s="1"/>
  <c r="Y93" i="1"/>
  <c r="AO94" i="1" l="1"/>
  <c r="T94" i="1"/>
  <c r="AA94" i="1" s="1"/>
  <c r="J92" i="10" s="1"/>
  <c r="AN94" i="1"/>
  <c r="AK94" i="1"/>
  <c r="B92" i="10" s="1"/>
  <c r="H82" i="1"/>
  <c r="D82" i="1"/>
  <c r="E82" i="1" s="1"/>
  <c r="C82" i="1"/>
  <c r="AI94" i="1"/>
  <c r="N92" i="10" s="1"/>
  <c r="F81" i="1"/>
  <c r="AL94" i="1"/>
  <c r="F92" i="10" s="1"/>
  <c r="P77" i="1"/>
  <c r="J77" i="1"/>
  <c r="K77" i="1"/>
  <c r="L77" i="1" s="1"/>
  <c r="W94" i="1"/>
  <c r="X94" i="1" s="1"/>
  <c r="Y94" i="1"/>
  <c r="A96" i="1"/>
  <c r="AB95" i="1"/>
  <c r="AC95" i="1" s="1"/>
  <c r="AD95" i="1" s="1"/>
  <c r="AM95" i="1"/>
  <c r="V95" i="1" s="1"/>
  <c r="A93" i="10"/>
  <c r="R95" i="1"/>
  <c r="S95" i="1" s="1"/>
  <c r="AO95" i="1"/>
  <c r="I93" i="10"/>
  <c r="AF95" i="1"/>
  <c r="AG95" i="1" s="1"/>
  <c r="AH95" i="1" s="1"/>
  <c r="Z95" i="1"/>
  <c r="E93" i="10"/>
  <c r="M93" i="10"/>
  <c r="F82" i="1" l="1"/>
  <c r="AK95" i="1"/>
  <c r="B93" i="10" s="1"/>
  <c r="AN95" i="1"/>
  <c r="T95" i="1"/>
  <c r="AA95" i="1" s="1"/>
  <c r="J93" i="10" s="1"/>
  <c r="AL95" i="1"/>
  <c r="F93" i="10" s="1"/>
  <c r="G82" i="1"/>
  <c r="B83" i="1" s="1"/>
  <c r="AI95" i="1"/>
  <c r="N93" i="10" s="1"/>
  <c r="M77" i="1"/>
  <c r="N77" i="1"/>
  <c r="I78" i="1" s="1"/>
  <c r="Y95" i="1"/>
  <c r="W95" i="1"/>
  <c r="X95" i="1" s="1"/>
  <c r="A97" i="1"/>
  <c r="AB96" i="1"/>
  <c r="AC96" i="1" s="1"/>
  <c r="AD96" i="1" s="1"/>
  <c r="AM96" i="1"/>
  <c r="V96" i="1" s="1"/>
  <c r="E94" i="10"/>
  <c r="AF96" i="1"/>
  <c r="AG96" i="1" s="1"/>
  <c r="AH96" i="1" s="1"/>
  <c r="M94" i="10"/>
  <c r="A94" i="10"/>
  <c r="Z96" i="1"/>
  <c r="I94" i="10"/>
  <c r="R96" i="1"/>
  <c r="S96" i="1" s="1"/>
  <c r="AO96" i="1" l="1"/>
  <c r="AK96" i="1"/>
  <c r="B94" i="10" s="1"/>
  <c r="AN96" i="1"/>
  <c r="T96" i="1"/>
  <c r="AA96" i="1" s="1"/>
  <c r="J94" i="10" s="1"/>
  <c r="AI96" i="1"/>
  <c r="N94" i="10" s="1"/>
  <c r="AL96" i="1"/>
  <c r="F94" i="10" s="1"/>
  <c r="P78" i="1"/>
  <c r="K78" i="1"/>
  <c r="L78" i="1" s="1"/>
  <c r="J78" i="1"/>
  <c r="H83" i="1"/>
  <c r="D83" i="1"/>
  <c r="E83" i="1" s="1"/>
  <c r="C83" i="1"/>
  <c r="G83" i="1" s="1"/>
  <c r="B84" i="1" s="1"/>
  <c r="A98" i="1"/>
  <c r="AB97" i="1"/>
  <c r="AC97" i="1" s="1"/>
  <c r="AD97" i="1" s="1"/>
  <c r="R97" i="1"/>
  <c r="S97" i="1" s="1"/>
  <c r="AO97" i="1"/>
  <c r="AM97" i="1"/>
  <c r="V97" i="1" s="1"/>
  <c r="I95" i="10"/>
  <c r="AF97" i="1"/>
  <c r="AG97" i="1" s="1"/>
  <c r="AH97" i="1" s="1"/>
  <c r="E95" i="10"/>
  <c r="M95" i="10"/>
  <c r="Z97" i="1"/>
  <c r="A95" i="10"/>
  <c r="W96" i="1"/>
  <c r="X96" i="1" s="1"/>
  <c r="Y96" i="1"/>
  <c r="M78" i="1" l="1"/>
  <c r="T97" i="1"/>
  <c r="AA97" i="1" s="1"/>
  <c r="J95" i="10" s="1"/>
  <c r="AN97" i="1"/>
  <c r="AK97" i="1"/>
  <c r="B95" i="10" s="1"/>
  <c r="H84" i="1"/>
  <c r="D84" i="1"/>
  <c r="E84" i="1" s="1"/>
  <c r="C84" i="1"/>
  <c r="AL97" i="1"/>
  <c r="F95" i="10" s="1"/>
  <c r="F83" i="1"/>
  <c r="N78" i="1"/>
  <c r="I79" i="1" s="1"/>
  <c r="AI97" i="1"/>
  <c r="N95" i="10" s="1"/>
  <c r="A99" i="1"/>
  <c r="AB98" i="1"/>
  <c r="AC98" i="1" s="1"/>
  <c r="AD98" i="1" s="1"/>
  <c r="R98" i="1"/>
  <c r="A96" i="10"/>
  <c r="Z98" i="1"/>
  <c r="AO98" i="1"/>
  <c r="I96" i="10"/>
  <c r="AM98" i="1"/>
  <c r="E96" i="10"/>
  <c r="AF98" i="1"/>
  <c r="AG98" i="1" s="1"/>
  <c r="AH98" i="1" s="1"/>
  <c r="S98" i="1"/>
  <c r="T98" i="1" s="1"/>
  <c r="M96" i="10"/>
  <c r="W97" i="1"/>
  <c r="X97" i="1" s="1"/>
  <c r="Y97" i="1"/>
  <c r="AN98" i="1" l="1"/>
  <c r="F84" i="1"/>
  <c r="V98" i="1"/>
  <c r="W98" i="1" s="1"/>
  <c r="X98" i="1" s="1"/>
  <c r="AL98" i="1"/>
  <c r="F96" i="10" s="1"/>
  <c r="P79" i="1"/>
  <c r="N79" i="1"/>
  <c r="I80" i="1" s="1"/>
  <c r="K79" i="1"/>
  <c r="L79" i="1" s="1"/>
  <c r="J79" i="1"/>
  <c r="AI98" i="1"/>
  <c r="N96" i="10" s="1"/>
  <c r="G84" i="1"/>
  <c r="B85" i="1" s="1"/>
  <c r="A100" i="1"/>
  <c r="AB99" i="1"/>
  <c r="AC99" i="1" s="1"/>
  <c r="AD99" i="1" s="1"/>
  <c r="AF99" i="1"/>
  <c r="AG99" i="1" s="1"/>
  <c r="AH99" i="1" s="1"/>
  <c r="M97" i="10"/>
  <c r="AM99" i="1"/>
  <c r="V99" i="1" s="1"/>
  <c r="A97" i="10"/>
  <c r="Z99" i="1"/>
  <c r="E97" i="10"/>
  <c r="I97" i="10"/>
  <c r="R99" i="1" l="1"/>
  <c r="S99" i="1" s="1"/>
  <c r="AN99" i="1" s="1"/>
  <c r="Y98" i="1"/>
  <c r="M79" i="1"/>
  <c r="AL99" i="1"/>
  <c r="F97" i="10" s="1"/>
  <c r="AO99" i="1"/>
  <c r="AI99" i="1"/>
  <c r="N97" i="10" s="1"/>
  <c r="AK99" i="1"/>
  <c r="B97" i="10" s="1"/>
  <c r="H85" i="1"/>
  <c r="D85" i="1"/>
  <c r="E85" i="1" s="1"/>
  <c r="C85" i="1"/>
  <c r="P80" i="1"/>
  <c r="K80" i="1"/>
  <c r="L80" i="1" s="1"/>
  <c r="J80" i="1"/>
  <c r="AA98" i="1"/>
  <c r="J96" i="10" s="1"/>
  <c r="AK98" i="1"/>
  <c r="B96" i="10" s="1"/>
  <c r="A101" i="1"/>
  <c r="AB100" i="1"/>
  <c r="AC100" i="1" s="1"/>
  <c r="AD100" i="1" s="1"/>
  <c r="AM100" i="1"/>
  <c r="E98" i="10"/>
  <c r="Z100" i="1"/>
  <c r="AF100" i="1"/>
  <c r="AG100" i="1" s="1"/>
  <c r="AH100" i="1" s="1"/>
  <c r="M98" i="10"/>
  <c r="A98" i="10"/>
  <c r="I98" i="10"/>
  <c r="Y99" i="1"/>
  <c r="W99" i="1"/>
  <c r="X99" i="1" s="1"/>
  <c r="R100" i="1" l="1"/>
  <c r="S100" i="1" s="1"/>
  <c r="T100" i="1" s="1"/>
  <c r="T99" i="1"/>
  <c r="AA99" i="1" s="1"/>
  <c r="J97" i="10" s="1"/>
  <c r="AO100" i="1"/>
  <c r="AL100" i="1"/>
  <c r="F98" i="10" s="1"/>
  <c r="M80" i="1"/>
  <c r="AN100" i="1"/>
  <c r="F85" i="1"/>
  <c r="V100" i="1"/>
  <c r="W100" i="1" s="1"/>
  <c r="X100" i="1" s="1"/>
  <c r="AI100" i="1"/>
  <c r="N98" i="10" s="1"/>
  <c r="N80" i="1"/>
  <c r="I81" i="1" s="1"/>
  <c r="G85" i="1"/>
  <c r="B86" i="1" s="1"/>
  <c r="A102" i="1"/>
  <c r="AB101" i="1"/>
  <c r="AC101" i="1" s="1"/>
  <c r="AD101" i="1" s="1"/>
  <c r="AM101" i="1"/>
  <c r="V101" i="1" s="1"/>
  <c r="M99" i="10"/>
  <c r="Z101" i="1"/>
  <c r="AF101" i="1"/>
  <c r="AG101" i="1" s="1"/>
  <c r="AH101" i="1" s="1"/>
  <c r="A99" i="10"/>
  <c r="AO101" i="1"/>
  <c r="I99" i="10"/>
  <c r="E99" i="10"/>
  <c r="R101" i="1" l="1"/>
  <c r="S101" i="1" s="1"/>
  <c r="T101" i="1" s="1"/>
  <c r="Y100" i="1"/>
  <c r="AL101" i="1"/>
  <c r="F99" i="10" s="1"/>
  <c r="H86" i="1"/>
  <c r="D86" i="1"/>
  <c r="E86" i="1" s="1"/>
  <c r="C86" i="1"/>
  <c r="AK100" i="1"/>
  <c r="B98" i="10" s="1"/>
  <c r="AA100" i="1"/>
  <c r="J98" i="10" s="1"/>
  <c r="AI101" i="1"/>
  <c r="N99" i="10" s="1"/>
  <c r="P81" i="1"/>
  <c r="J81" i="1"/>
  <c r="N81" i="1" s="1"/>
  <c r="I82" i="1" s="1"/>
  <c r="K81" i="1"/>
  <c r="L81" i="1" s="1"/>
  <c r="W101" i="1"/>
  <c r="X101" i="1" s="1"/>
  <c r="Y101" i="1"/>
  <c r="A103" i="1"/>
  <c r="AB102" i="1"/>
  <c r="AC102" i="1" s="1"/>
  <c r="AD102" i="1" s="1"/>
  <c r="Z102" i="1"/>
  <c r="A100" i="10"/>
  <c r="I100" i="10"/>
  <c r="AM102" i="1"/>
  <c r="V102" i="1" s="1"/>
  <c r="E100" i="10"/>
  <c r="AF102" i="1"/>
  <c r="AG102" i="1" s="1"/>
  <c r="AH102" i="1" s="1"/>
  <c r="M100" i="10"/>
  <c r="AO102" i="1" l="1"/>
  <c r="R102" i="1"/>
  <c r="S102" i="1" s="1"/>
  <c r="T102" i="1" s="1"/>
  <c r="AK101" i="1"/>
  <c r="B99" i="10" s="1"/>
  <c r="F86" i="1"/>
  <c r="AN101" i="1"/>
  <c r="AA101" i="1"/>
  <c r="J99" i="10" s="1"/>
  <c r="P82" i="1"/>
  <c r="K82" i="1"/>
  <c r="L82" i="1" s="1"/>
  <c r="J82" i="1"/>
  <c r="N82" i="1" s="1"/>
  <c r="I83" i="1" s="1"/>
  <c r="AA102" i="1"/>
  <c r="J100" i="10" s="1"/>
  <c r="M81" i="1"/>
  <c r="G86" i="1"/>
  <c r="B87" i="1" s="1"/>
  <c r="AI102" i="1"/>
  <c r="N100" i="10" s="1"/>
  <c r="AL102" i="1"/>
  <c r="F100" i="10" s="1"/>
  <c r="A104" i="1"/>
  <c r="AB103" i="1"/>
  <c r="AC103" i="1" s="1"/>
  <c r="AD103" i="1" s="1"/>
  <c r="A101" i="10"/>
  <c r="I101" i="10"/>
  <c r="Z103" i="1"/>
  <c r="E101" i="10"/>
  <c r="M101" i="10"/>
  <c r="AF103" i="1"/>
  <c r="AG103" i="1" s="1"/>
  <c r="AH103" i="1" s="1"/>
  <c r="AM103" i="1"/>
  <c r="V103" i="1" s="1"/>
  <c r="W102" i="1"/>
  <c r="X102" i="1" s="1"/>
  <c r="Y102" i="1"/>
  <c r="R103" i="1" l="1"/>
  <c r="S103" i="1" s="1"/>
  <c r="T103" i="1" s="1"/>
  <c r="AN102" i="1"/>
  <c r="AK102" i="1"/>
  <c r="B100" i="10" s="1"/>
  <c r="AO103" i="1"/>
  <c r="AK103" i="1"/>
  <c r="B101" i="10" s="1"/>
  <c r="AA103" i="1"/>
  <c r="J101" i="10" s="1"/>
  <c r="P83" i="1"/>
  <c r="K83" i="1"/>
  <c r="L83" i="1" s="1"/>
  <c r="J83" i="1"/>
  <c r="N83" i="1" s="1"/>
  <c r="I84" i="1" s="1"/>
  <c r="AI103" i="1"/>
  <c r="N101" i="10" s="1"/>
  <c r="AL103" i="1"/>
  <c r="F101" i="10" s="1"/>
  <c r="H87" i="1"/>
  <c r="D87" i="1"/>
  <c r="E87" i="1" s="1"/>
  <c r="C87" i="1"/>
  <c r="F87" i="1" s="1"/>
  <c r="M82" i="1"/>
  <c r="AN103" i="1"/>
  <c r="Y103" i="1"/>
  <c r="W103" i="1"/>
  <c r="X103" i="1" s="1"/>
  <c r="A105" i="1"/>
  <c r="AB104" i="1"/>
  <c r="AC104" i="1" s="1"/>
  <c r="AD104" i="1" s="1"/>
  <c r="AM104" i="1"/>
  <c r="V104" i="1" s="1"/>
  <c r="AO104" i="1"/>
  <c r="A102" i="10"/>
  <c r="R104" i="1"/>
  <c r="S104" i="1" s="1"/>
  <c r="I102" i="10"/>
  <c r="AF104" i="1"/>
  <c r="AG104" i="1" s="1"/>
  <c r="AH104" i="1" s="1"/>
  <c r="E102" i="10"/>
  <c r="Z104" i="1"/>
  <c r="M102" i="10"/>
  <c r="G87" i="1" l="1"/>
  <c r="B88" i="1" s="1"/>
  <c r="D88" i="1" s="1"/>
  <c r="E88" i="1" s="1"/>
  <c r="T104" i="1"/>
  <c r="AN104" i="1"/>
  <c r="AA104" i="1"/>
  <c r="J102" i="10" s="1"/>
  <c r="P84" i="1"/>
  <c r="N84" i="1"/>
  <c r="I85" i="1" s="1"/>
  <c r="J84" i="1"/>
  <c r="K84" i="1"/>
  <c r="L84" i="1" s="1"/>
  <c r="AL104" i="1"/>
  <c r="F102" i="10" s="1"/>
  <c r="AK104" i="1"/>
  <c r="B102" i="10" s="1"/>
  <c r="M83" i="1"/>
  <c r="AI104" i="1"/>
  <c r="N102" i="10" s="1"/>
  <c r="H88" i="1"/>
  <c r="W104" i="1"/>
  <c r="X104" i="1" s="1"/>
  <c r="Y104" i="1"/>
  <c r="A106" i="1"/>
  <c r="AB105" i="1"/>
  <c r="AC105" i="1" s="1"/>
  <c r="AD105" i="1" s="1"/>
  <c r="Z105" i="1"/>
  <c r="A103" i="10"/>
  <c r="I103" i="10"/>
  <c r="AF105" i="1"/>
  <c r="AG105" i="1" s="1"/>
  <c r="AH105" i="1" s="1"/>
  <c r="E103" i="10"/>
  <c r="M103" i="10"/>
  <c r="AM105" i="1"/>
  <c r="V105" i="1" s="1"/>
  <c r="R105" i="1"/>
  <c r="S105" i="1" s="1"/>
  <c r="T105" i="1" s="1"/>
  <c r="C88" i="1" l="1"/>
  <c r="F88" i="1" s="1"/>
  <c r="M84" i="1"/>
  <c r="AO105" i="1"/>
  <c r="AK105" i="1"/>
  <c r="B103" i="10" s="1"/>
  <c r="AA105" i="1"/>
  <c r="J103" i="10" s="1"/>
  <c r="AN105" i="1"/>
  <c r="AI105" i="1"/>
  <c r="N103" i="10" s="1"/>
  <c r="AL105" i="1"/>
  <c r="F103" i="10" s="1"/>
  <c r="P85" i="1"/>
  <c r="J85" i="1"/>
  <c r="K85" i="1"/>
  <c r="L85" i="1" s="1"/>
  <c r="A107" i="1"/>
  <c r="AB106" i="1"/>
  <c r="AC106" i="1" s="1"/>
  <c r="AD106" i="1" s="1"/>
  <c r="Z106" i="1"/>
  <c r="E104" i="10"/>
  <c r="AF106" i="1"/>
  <c r="AG106" i="1" s="1"/>
  <c r="AH106" i="1" s="1"/>
  <c r="M104" i="10"/>
  <c r="A104" i="10"/>
  <c r="I104" i="10"/>
  <c r="AM106" i="1"/>
  <c r="V106" i="1" s="1"/>
  <c r="R106" i="1"/>
  <c r="S106" i="1" s="1"/>
  <c r="T106" i="1" s="1"/>
  <c r="W105" i="1"/>
  <c r="X105" i="1" s="1"/>
  <c r="Y105" i="1"/>
  <c r="G88" i="1" l="1"/>
  <c r="B89" i="1" s="1"/>
  <c r="M85" i="1"/>
  <c r="C89" i="1"/>
  <c r="G89" i="1" s="1"/>
  <c r="B90" i="1" s="1"/>
  <c r="AK106" i="1"/>
  <c r="B104" i="10" s="1"/>
  <c r="AA106" i="1"/>
  <c r="J104" i="10" s="1"/>
  <c r="AO106" i="1"/>
  <c r="AN106" i="1"/>
  <c r="N85" i="1"/>
  <c r="I86" i="1" s="1"/>
  <c r="AI106" i="1"/>
  <c r="N104" i="10" s="1"/>
  <c r="AL106" i="1"/>
  <c r="F104" i="10" s="1"/>
  <c r="Y106" i="1"/>
  <c r="W106" i="1"/>
  <c r="X106" i="1" s="1"/>
  <c r="A108" i="1"/>
  <c r="AB107" i="1"/>
  <c r="AC107" i="1" s="1"/>
  <c r="AD107" i="1" s="1"/>
  <c r="AM107" i="1"/>
  <c r="I105" i="10"/>
  <c r="R107" i="1"/>
  <c r="E105" i="10"/>
  <c r="AF107" i="1"/>
  <c r="AG107" i="1" s="1"/>
  <c r="AH107" i="1" s="1"/>
  <c r="M105" i="10"/>
  <c r="Z107" i="1"/>
  <c r="A105" i="10"/>
  <c r="S107" i="1"/>
  <c r="T107" i="1" s="1"/>
  <c r="D90" i="1" l="1"/>
  <c r="E90" i="1" s="1"/>
  <c r="H90" i="1"/>
  <c r="D89" i="1"/>
  <c r="E89" i="1" s="1"/>
  <c r="H89" i="1"/>
  <c r="AN107" i="1"/>
  <c r="AO107" i="1"/>
  <c r="V107" i="1"/>
  <c r="AK107" i="1" s="1"/>
  <c r="B105" i="10" s="1"/>
  <c r="C90" i="1"/>
  <c r="AI107" i="1"/>
  <c r="N105" i="10" s="1"/>
  <c r="AL107" i="1"/>
  <c r="F105" i="10" s="1"/>
  <c r="P86" i="1"/>
  <c r="J86" i="1"/>
  <c r="K86" i="1"/>
  <c r="L86" i="1" s="1"/>
  <c r="A109" i="1"/>
  <c r="AB108" i="1"/>
  <c r="AC108" i="1" s="1"/>
  <c r="AD108" i="1" s="1"/>
  <c r="AF108" i="1"/>
  <c r="AG108" i="1" s="1"/>
  <c r="AH108" i="1" s="1"/>
  <c r="A106" i="10"/>
  <c r="Z108" i="1"/>
  <c r="I106" i="10"/>
  <c r="AM108" i="1"/>
  <c r="V108" i="1" s="1"/>
  <c r="E106" i="10"/>
  <c r="M106" i="10"/>
  <c r="Y107" i="1" l="1"/>
  <c r="F89" i="1"/>
  <c r="AA107" i="1"/>
  <c r="J105" i="10" s="1"/>
  <c r="R108" i="1"/>
  <c r="S108" i="1" s="1"/>
  <c r="T108" i="1" s="1"/>
  <c r="W107" i="1"/>
  <c r="X107" i="1" s="1"/>
  <c r="M86" i="1"/>
  <c r="F90" i="1"/>
  <c r="G90" i="1"/>
  <c r="B91" i="1" s="1"/>
  <c r="AO108" i="1"/>
  <c r="AK108" i="1"/>
  <c r="B106" i="10" s="1"/>
  <c r="N86" i="1"/>
  <c r="I87" i="1" s="1"/>
  <c r="AI108" i="1"/>
  <c r="N106" i="10" s="1"/>
  <c r="AL108" i="1"/>
  <c r="F106" i="10" s="1"/>
  <c r="A110" i="1"/>
  <c r="AB109" i="1"/>
  <c r="AC109" i="1" s="1"/>
  <c r="AD109" i="1" s="1"/>
  <c r="AM109" i="1"/>
  <c r="V109" i="1" s="1"/>
  <c r="Z109" i="1"/>
  <c r="E107" i="10"/>
  <c r="M107" i="10"/>
  <c r="AF109" i="1"/>
  <c r="AG109" i="1" s="1"/>
  <c r="AH109" i="1" s="1"/>
  <c r="A107" i="10"/>
  <c r="I107" i="10"/>
  <c r="Y108" i="1"/>
  <c r="W108" i="1"/>
  <c r="X108" i="1" s="1"/>
  <c r="R109" i="1" l="1"/>
  <c r="S109" i="1" s="1"/>
  <c r="T109" i="1" s="1"/>
  <c r="AA108" i="1"/>
  <c r="J106" i="10" s="1"/>
  <c r="AN108" i="1"/>
  <c r="D91" i="1"/>
  <c r="E91" i="1" s="1"/>
  <c r="H91" i="1"/>
  <c r="C91" i="1"/>
  <c r="AK109" i="1"/>
  <c r="B107" i="10" s="1"/>
  <c r="AA109" i="1"/>
  <c r="J107" i="10" s="1"/>
  <c r="AI109" i="1"/>
  <c r="N107" i="10" s="1"/>
  <c r="AO109" i="1"/>
  <c r="AL109" i="1"/>
  <c r="F107" i="10" s="1"/>
  <c r="P87" i="1"/>
  <c r="K87" i="1"/>
  <c r="L87" i="1" s="1"/>
  <c r="M87" i="1" s="1"/>
  <c r="J87" i="1"/>
  <c r="N87" i="1"/>
  <c r="I88" i="1" s="1"/>
  <c r="AN109" i="1"/>
  <c r="A111" i="1"/>
  <c r="AB110" i="1"/>
  <c r="AC110" i="1" s="1"/>
  <c r="AD110" i="1" s="1"/>
  <c r="I108" i="10"/>
  <c r="Z110" i="1"/>
  <c r="E108" i="10"/>
  <c r="AM110" i="1"/>
  <c r="V110" i="1" s="1"/>
  <c r="R110" i="1"/>
  <c r="S110" i="1" s="1"/>
  <c r="M108" i="10"/>
  <c r="A108" i="10"/>
  <c r="AF110" i="1"/>
  <c r="AG110" i="1" s="1"/>
  <c r="AH110" i="1" s="1"/>
  <c r="Y109" i="1"/>
  <c r="W109" i="1"/>
  <c r="X109" i="1" s="1"/>
  <c r="AO110" i="1" l="1"/>
  <c r="G91" i="1"/>
  <c r="B92" i="1" s="1"/>
  <c r="F91" i="1"/>
  <c r="AK110" i="1"/>
  <c r="B108" i="10" s="1"/>
  <c r="T110" i="1"/>
  <c r="AA110" i="1" s="1"/>
  <c r="J108" i="10" s="1"/>
  <c r="AN110" i="1"/>
  <c r="AI110" i="1"/>
  <c r="N108" i="10" s="1"/>
  <c r="P88" i="1"/>
  <c r="K88" i="1"/>
  <c r="L88" i="1" s="1"/>
  <c r="N88" i="1"/>
  <c r="I89" i="1" s="1"/>
  <c r="J88" i="1"/>
  <c r="AL110" i="1"/>
  <c r="F108" i="10" s="1"/>
  <c r="W110" i="1"/>
  <c r="X110" i="1" s="1"/>
  <c r="Y110" i="1"/>
  <c r="A112" i="1"/>
  <c r="AB111" i="1"/>
  <c r="AC111" i="1" s="1"/>
  <c r="AD111" i="1" s="1"/>
  <c r="AM111" i="1"/>
  <c r="V111" i="1" s="1"/>
  <c r="A109" i="10"/>
  <c r="R111" i="1"/>
  <c r="S111" i="1" s="1"/>
  <c r="I109" i="10"/>
  <c r="E109" i="10"/>
  <c r="AF111" i="1"/>
  <c r="AG111" i="1" s="1"/>
  <c r="AH111" i="1" s="1"/>
  <c r="M109" i="10"/>
  <c r="Z111" i="1"/>
  <c r="M88" i="1" l="1"/>
  <c r="H92" i="1"/>
  <c r="D92" i="1"/>
  <c r="E92" i="1" s="1"/>
  <c r="C92" i="1"/>
  <c r="AN111" i="1"/>
  <c r="T111" i="1"/>
  <c r="AK111" i="1"/>
  <c r="B109" i="10" s="1"/>
  <c r="AA111" i="1"/>
  <c r="J109" i="10" s="1"/>
  <c r="AO111" i="1"/>
  <c r="AI111" i="1"/>
  <c r="N109" i="10" s="1"/>
  <c r="AL111" i="1"/>
  <c r="F109" i="10" s="1"/>
  <c r="P89" i="1"/>
  <c r="J89" i="1"/>
  <c r="K89" i="1"/>
  <c r="L89" i="1" s="1"/>
  <c r="N89" i="1"/>
  <c r="I90" i="1" s="1"/>
  <c r="Y111" i="1"/>
  <c r="W111" i="1"/>
  <c r="X111" i="1" s="1"/>
  <c r="A113" i="1"/>
  <c r="AB112" i="1"/>
  <c r="AC112" i="1" s="1"/>
  <c r="AD112" i="1" s="1"/>
  <c r="R112" i="1"/>
  <c r="S112" i="1" s="1"/>
  <c r="T112" i="1" s="1"/>
  <c r="A110" i="10"/>
  <c r="I110" i="10"/>
  <c r="AM112" i="1"/>
  <c r="V112" i="1" s="1"/>
  <c r="E110" i="10"/>
  <c r="Z112" i="1"/>
  <c r="M110" i="10"/>
  <c r="AF112" i="1"/>
  <c r="AG112" i="1" s="1"/>
  <c r="AH112" i="1" s="1"/>
  <c r="AO112" i="1" l="1"/>
  <c r="F92" i="1"/>
  <c r="G92" i="1"/>
  <c r="B93" i="1" s="1"/>
  <c r="AK112" i="1"/>
  <c r="B110" i="10" s="1"/>
  <c r="AA112" i="1"/>
  <c r="J110" i="10" s="1"/>
  <c r="AN112" i="1"/>
  <c r="AI112" i="1"/>
  <c r="N110" i="10" s="1"/>
  <c r="AL112" i="1"/>
  <c r="F110" i="10" s="1"/>
  <c r="P90" i="1"/>
  <c r="J90" i="1"/>
  <c r="N90" i="1" s="1"/>
  <c r="I91" i="1" s="1"/>
  <c r="K90" i="1"/>
  <c r="L90" i="1" s="1"/>
  <c r="M89" i="1"/>
  <c r="W112" i="1"/>
  <c r="X112" i="1" s="1"/>
  <c r="Y112" i="1"/>
  <c r="A114" i="1"/>
  <c r="AB113" i="1"/>
  <c r="AC113" i="1" s="1"/>
  <c r="AD113" i="1" s="1"/>
  <c r="R113" i="1"/>
  <c r="A111" i="10"/>
  <c r="AM113" i="1"/>
  <c r="V113" i="1" s="1"/>
  <c r="I111" i="10"/>
  <c r="Z113" i="1"/>
  <c r="E111" i="10"/>
  <c r="S113" i="1"/>
  <c r="T113" i="1" s="1"/>
  <c r="M111" i="10"/>
  <c r="AF113" i="1"/>
  <c r="AG113" i="1" s="1"/>
  <c r="AH113" i="1" s="1"/>
  <c r="AO113" i="1"/>
  <c r="H93" i="1" l="1"/>
  <c r="C93" i="1"/>
  <c r="D93" i="1"/>
  <c r="E93" i="1" s="1"/>
  <c r="G93" i="1"/>
  <c r="B94" i="1" s="1"/>
  <c r="AA113" i="1"/>
  <c r="J111" i="10" s="1"/>
  <c r="AK113" i="1"/>
  <c r="B111" i="10" s="1"/>
  <c r="P91" i="1"/>
  <c r="J91" i="1"/>
  <c r="N91" i="1"/>
  <c r="I92" i="1" s="1"/>
  <c r="K91" i="1"/>
  <c r="L91" i="1" s="1"/>
  <c r="AN113" i="1"/>
  <c r="AL113" i="1"/>
  <c r="F111" i="10" s="1"/>
  <c r="M90" i="1"/>
  <c r="AI113" i="1"/>
  <c r="N111" i="10" s="1"/>
  <c r="A115" i="1"/>
  <c r="AB114" i="1"/>
  <c r="AC114" i="1" s="1"/>
  <c r="AD114" i="1" s="1"/>
  <c r="M112" i="10"/>
  <c r="A112" i="10"/>
  <c r="R114" i="1"/>
  <c r="S114" i="1" s="1"/>
  <c r="T114" i="1" s="1"/>
  <c r="I112" i="10"/>
  <c r="AM114" i="1"/>
  <c r="V114" i="1" s="1"/>
  <c r="AF114" i="1"/>
  <c r="AG114" i="1" s="1"/>
  <c r="AH114" i="1" s="1"/>
  <c r="E112" i="10"/>
  <c r="Z114" i="1"/>
  <c r="W113" i="1"/>
  <c r="X113" i="1" s="1"/>
  <c r="Y113" i="1"/>
  <c r="M91" i="1" l="1"/>
  <c r="H94" i="1"/>
  <c r="C94" i="1"/>
  <c r="D94" i="1"/>
  <c r="E94" i="1" s="1"/>
  <c r="G94" i="1"/>
  <c r="B95" i="1" s="1"/>
  <c r="F93" i="1"/>
  <c r="AK114" i="1"/>
  <c r="B112" i="10" s="1"/>
  <c r="AA114" i="1"/>
  <c r="J112" i="10" s="1"/>
  <c r="AN114" i="1"/>
  <c r="AI114" i="1"/>
  <c r="N112" i="10" s="1"/>
  <c r="AO114" i="1"/>
  <c r="AL114" i="1"/>
  <c r="F112" i="10" s="1"/>
  <c r="P92" i="1"/>
  <c r="N92" i="1"/>
  <c r="I93" i="1" s="1"/>
  <c r="K92" i="1"/>
  <c r="L92" i="1" s="1"/>
  <c r="J92" i="1"/>
  <c r="Y114" i="1"/>
  <c r="W114" i="1"/>
  <c r="X114" i="1" s="1"/>
  <c r="A116" i="1"/>
  <c r="AB115" i="1"/>
  <c r="AC115" i="1" s="1"/>
  <c r="AD115" i="1" s="1"/>
  <c r="Z115" i="1"/>
  <c r="M113" i="10"/>
  <c r="R115" i="1"/>
  <c r="S115" i="1" s="1"/>
  <c r="T115" i="1" s="1"/>
  <c r="A113" i="10"/>
  <c r="AM115" i="1"/>
  <c r="V115" i="1" s="1"/>
  <c r="E113" i="10"/>
  <c r="I113" i="10"/>
  <c r="AF115" i="1"/>
  <c r="AG115" i="1" s="1"/>
  <c r="AH115" i="1" s="1"/>
  <c r="AO115" i="1" l="1"/>
  <c r="M92" i="1"/>
  <c r="D95" i="1"/>
  <c r="E95" i="1" s="1"/>
  <c r="H95" i="1"/>
  <c r="C95" i="1"/>
  <c r="F94" i="1"/>
  <c r="AK115" i="1"/>
  <c r="B113" i="10" s="1"/>
  <c r="AA115" i="1"/>
  <c r="J113" i="10" s="1"/>
  <c r="AN115" i="1"/>
  <c r="AI115" i="1"/>
  <c r="N113" i="10" s="1"/>
  <c r="AL115" i="1"/>
  <c r="F113" i="10" s="1"/>
  <c r="P93" i="1"/>
  <c r="N93" i="1"/>
  <c r="I94" i="1" s="1"/>
  <c r="J93" i="1"/>
  <c r="K93" i="1"/>
  <c r="L93" i="1" s="1"/>
  <c r="A117" i="1"/>
  <c r="AB116" i="1"/>
  <c r="AC116" i="1" s="1"/>
  <c r="AD116" i="1" s="1"/>
  <c r="Z116" i="1"/>
  <c r="R116" i="1"/>
  <c r="S116" i="1" s="1"/>
  <c r="T116" i="1" s="1"/>
  <c r="I114" i="10"/>
  <c r="E114" i="10"/>
  <c r="M114" i="10"/>
  <c r="AM116" i="1"/>
  <c r="A114" i="10"/>
  <c r="AF116" i="1"/>
  <c r="AG116" i="1" s="1"/>
  <c r="AH116" i="1" s="1"/>
  <c r="W115" i="1"/>
  <c r="X115" i="1" s="1"/>
  <c r="Y115" i="1"/>
  <c r="AO116" i="1" l="1"/>
  <c r="AI116" i="1"/>
  <c r="N114" i="10" s="1"/>
  <c r="AN116" i="1"/>
  <c r="M93" i="1"/>
  <c r="V116" i="1"/>
  <c r="AA116" i="1" s="1"/>
  <c r="J114" i="10" s="1"/>
  <c r="G95" i="1"/>
  <c r="B96" i="1" s="1"/>
  <c r="F95" i="1"/>
  <c r="AL116" i="1"/>
  <c r="F114" i="10" s="1"/>
  <c r="P94" i="1"/>
  <c r="J94" i="1"/>
  <c r="N94" i="1" s="1"/>
  <c r="I95" i="1" s="1"/>
  <c r="K94" i="1"/>
  <c r="L94" i="1" s="1"/>
  <c r="A118" i="1"/>
  <c r="AB117" i="1"/>
  <c r="AC117" i="1" s="1"/>
  <c r="AD117" i="1" s="1"/>
  <c r="AF117" i="1"/>
  <c r="AG117" i="1" s="1"/>
  <c r="AH117" i="1" s="1"/>
  <c r="AM117" i="1"/>
  <c r="V117" i="1" s="1"/>
  <c r="A115" i="10"/>
  <c r="Z117" i="1"/>
  <c r="I115" i="10"/>
  <c r="AO117" i="1"/>
  <c r="E115" i="10"/>
  <c r="R117" i="1"/>
  <c r="S117" i="1" s="1"/>
  <c r="M115" i="10"/>
  <c r="AK116" i="1" l="1"/>
  <c r="B114" i="10" s="1"/>
  <c r="Y116" i="1"/>
  <c r="W116" i="1"/>
  <c r="X116" i="1" s="1"/>
  <c r="H96" i="1"/>
  <c r="C96" i="1"/>
  <c r="G96" i="1" s="1"/>
  <c r="B97" i="1" s="1"/>
  <c r="D96" i="1"/>
  <c r="E96" i="1" s="1"/>
  <c r="T117" i="1"/>
  <c r="AA117" i="1" s="1"/>
  <c r="J115" i="10" s="1"/>
  <c r="AN117" i="1"/>
  <c r="AK117" i="1"/>
  <c r="B115" i="10" s="1"/>
  <c r="P95" i="1"/>
  <c r="N95" i="1"/>
  <c r="I96" i="1" s="1"/>
  <c r="K95" i="1"/>
  <c r="L95" i="1" s="1"/>
  <c r="J95" i="1"/>
  <c r="AI117" i="1"/>
  <c r="N115" i="10" s="1"/>
  <c r="AL117" i="1"/>
  <c r="F115" i="10" s="1"/>
  <c r="M94" i="1"/>
  <c r="A119" i="1"/>
  <c r="AB118" i="1"/>
  <c r="AC118" i="1" s="1"/>
  <c r="AD118" i="1" s="1"/>
  <c r="M116" i="10"/>
  <c r="R118" i="1"/>
  <c r="S118" i="1" s="1"/>
  <c r="AM118" i="1"/>
  <c r="V118" i="1" s="1"/>
  <c r="A116" i="10"/>
  <c r="I116" i="10"/>
  <c r="E116" i="10"/>
  <c r="Z118" i="1"/>
  <c r="AF118" i="1"/>
  <c r="AG118" i="1" s="1"/>
  <c r="AH118" i="1" s="1"/>
  <c r="W117" i="1"/>
  <c r="X117" i="1" s="1"/>
  <c r="Y117" i="1"/>
  <c r="AO118" i="1" l="1"/>
  <c r="M95" i="1"/>
  <c r="F96" i="1"/>
  <c r="H97" i="1"/>
  <c r="D97" i="1"/>
  <c r="E97" i="1" s="1"/>
  <c r="C97" i="1"/>
  <c r="AN118" i="1"/>
  <c r="T118" i="1"/>
  <c r="AK118" i="1"/>
  <c r="B116" i="10" s="1"/>
  <c r="AA118" i="1"/>
  <c r="J116" i="10" s="1"/>
  <c r="AI118" i="1"/>
  <c r="N116" i="10" s="1"/>
  <c r="P96" i="1"/>
  <c r="K96" i="1"/>
  <c r="L96" i="1" s="1"/>
  <c r="J96" i="1"/>
  <c r="N96" i="1"/>
  <c r="I97" i="1" s="1"/>
  <c r="AL118" i="1"/>
  <c r="F116" i="10" s="1"/>
  <c r="W118" i="1"/>
  <c r="X118" i="1" s="1"/>
  <c r="Y118" i="1"/>
  <c r="A120" i="1"/>
  <c r="AB119" i="1"/>
  <c r="AC119" i="1" s="1"/>
  <c r="AD119" i="1" s="1"/>
  <c r="AI119" i="1" s="1"/>
  <c r="N117" i="10" s="1"/>
  <c r="AF119" i="1"/>
  <c r="AG119" i="1" s="1"/>
  <c r="AH119" i="1" s="1"/>
  <c r="AM119" i="1"/>
  <c r="V119" i="1" s="1"/>
  <c r="E117" i="10"/>
  <c r="AO119" i="1"/>
  <c r="M117" i="10"/>
  <c r="A117" i="10"/>
  <c r="I117" i="10"/>
  <c r="Z119" i="1"/>
  <c r="R119" i="1"/>
  <c r="S119" i="1" s="1"/>
  <c r="M96" i="1" l="1"/>
  <c r="AL119" i="1"/>
  <c r="F117" i="10" s="1"/>
  <c r="F97" i="1"/>
  <c r="G97" i="1"/>
  <c r="B98" i="1" s="1"/>
  <c r="T119" i="1"/>
  <c r="AA119" i="1" s="1"/>
  <c r="J117" i="10" s="1"/>
  <c r="AN119" i="1"/>
  <c r="AK119" i="1"/>
  <c r="B117" i="10" s="1"/>
  <c r="P97" i="1"/>
  <c r="N97" i="1"/>
  <c r="I98" i="1" s="1"/>
  <c r="K97" i="1"/>
  <c r="L97" i="1" s="1"/>
  <c r="J97" i="1"/>
  <c r="Y119" i="1"/>
  <c r="W119" i="1"/>
  <c r="X119" i="1" s="1"/>
  <c r="A121" i="1"/>
  <c r="AB120" i="1"/>
  <c r="AC120" i="1" s="1"/>
  <c r="AD120" i="1" s="1"/>
  <c r="Z120" i="1"/>
  <c r="R120" i="1"/>
  <c r="S120" i="1" s="1"/>
  <c r="T120" i="1" s="1"/>
  <c r="I118" i="10"/>
  <c r="AM120" i="1"/>
  <c r="V120" i="1" s="1"/>
  <c r="E118" i="10"/>
  <c r="AF120" i="1"/>
  <c r="AG120" i="1" s="1"/>
  <c r="AH120" i="1" s="1"/>
  <c r="M118" i="10"/>
  <c r="A118" i="10"/>
  <c r="AO120" i="1" l="1"/>
  <c r="M97" i="1"/>
  <c r="H98" i="1"/>
  <c r="C98" i="1"/>
  <c r="G98" i="1" s="1"/>
  <c r="B99" i="1" s="1"/>
  <c r="D98" i="1"/>
  <c r="E98" i="1" s="1"/>
  <c r="AK120" i="1"/>
  <c r="B118" i="10" s="1"/>
  <c r="AA120" i="1"/>
  <c r="J118" i="10" s="1"/>
  <c r="AN120" i="1"/>
  <c r="AI120" i="1"/>
  <c r="N118" i="10" s="1"/>
  <c r="AL120" i="1"/>
  <c r="F118" i="10" s="1"/>
  <c r="P98" i="1"/>
  <c r="J98" i="1"/>
  <c r="N98" i="1" s="1"/>
  <c r="I99" i="1" s="1"/>
  <c r="K98" i="1"/>
  <c r="L98" i="1" s="1"/>
  <c r="A122" i="1"/>
  <c r="AB121" i="1"/>
  <c r="AC121" i="1" s="1"/>
  <c r="AD121" i="1" s="1"/>
  <c r="Z121" i="1"/>
  <c r="I119" i="10"/>
  <c r="AM121" i="1"/>
  <c r="V121" i="1" s="1"/>
  <c r="E119" i="10"/>
  <c r="M119" i="10"/>
  <c r="R121" i="1"/>
  <c r="S121" i="1" s="1"/>
  <c r="T121" i="1" s="1"/>
  <c r="AF121" i="1"/>
  <c r="AG121" i="1" s="1"/>
  <c r="AH121" i="1" s="1"/>
  <c r="A119" i="10"/>
  <c r="W120" i="1"/>
  <c r="X120" i="1" s="1"/>
  <c r="Y120" i="1"/>
  <c r="F98" i="1" l="1"/>
  <c r="AO121" i="1"/>
  <c r="H99" i="1"/>
  <c r="D99" i="1"/>
  <c r="E99" i="1" s="1"/>
  <c r="C99" i="1"/>
  <c r="G99" i="1" s="1"/>
  <c r="B100" i="1" s="1"/>
  <c r="AK121" i="1"/>
  <c r="B119" i="10" s="1"/>
  <c r="AA121" i="1"/>
  <c r="J119" i="10" s="1"/>
  <c r="P99" i="1"/>
  <c r="K99" i="1"/>
  <c r="L99" i="1" s="1"/>
  <c r="J99" i="1"/>
  <c r="AN121" i="1"/>
  <c r="AI121" i="1"/>
  <c r="N119" i="10" s="1"/>
  <c r="AL121" i="1"/>
  <c r="F119" i="10" s="1"/>
  <c r="M98" i="1"/>
  <c r="W121" i="1"/>
  <c r="X121" i="1" s="1"/>
  <c r="Y121" i="1"/>
  <c r="A123" i="1"/>
  <c r="AB122" i="1"/>
  <c r="AC122" i="1" s="1"/>
  <c r="AD122" i="1" s="1"/>
  <c r="AM122" i="1"/>
  <c r="V122" i="1" s="1"/>
  <c r="I120" i="10"/>
  <c r="R122" i="1"/>
  <c r="E120" i="10"/>
  <c r="S122" i="1"/>
  <c r="T122" i="1" s="1"/>
  <c r="M120" i="10"/>
  <c r="AF122" i="1"/>
  <c r="AG122" i="1" s="1"/>
  <c r="AH122" i="1" s="1"/>
  <c r="A120" i="10"/>
  <c r="Z122" i="1"/>
  <c r="M99" i="1" l="1"/>
  <c r="C100" i="1"/>
  <c r="D100" i="1"/>
  <c r="E100" i="1" s="1"/>
  <c r="H100" i="1"/>
  <c r="F99" i="1"/>
  <c r="AK122" i="1"/>
  <c r="B120" i="10" s="1"/>
  <c r="AA122" i="1"/>
  <c r="J120" i="10" s="1"/>
  <c r="AN122" i="1"/>
  <c r="AO122" i="1"/>
  <c r="AI122" i="1"/>
  <c r="N120" i="10" s="1"/>
  <c r="N99" i="1"/>
  <c r="I100" i="1" s="1"/>
  <c r="AL122" i="1"/>
  <c r="F120" i="10" s="1"/>
  <c r="W122" i="1"/>
  <c r="X122" i="1" s="1"/>
  <c r="Y122" i="1"/>
  <c r="A124" i="1"/>
  <c r="AB123" i="1"/>
  <c r="AC123" i="1" s="1"/>
  <c r="AD123" i="1" s="1"/>
  <c r="Z123" i="1"/>
  <c r="AM123" i="1"/>
  <c r="V123" i="1" s="1"/>
  <c r="M121" i="10"/>
  <c r="R123" i="1"/>
  <c r="S123" i="1" s="1"/>
  <c r="A121" i="10"/>
  <c r="AF123" i="1"/>
  <c r="AG123" i="1" s="1"/>
  <c r="AH123" i="1" s="1"/>
  <c r="E121" i="10"/>
  <c r="I121" i="10"/>
  <c r="F100" i="1" l="1"/>
  <c r="AO123" i="1"/>
  <c r="G100" i="1"/>
  <c r="B101" i="1" s="1"/>
  <c r="AN123" i="1"/>
  <c r="T123" i="1"/>
  <c r="AA123" i="1" s="1"/>
  <c r="J121" i="10" s="1"/>
  <c r="AI123" i="1"/>
  <c r="N121" i="10" s="1"/>
  <c r="AK123" i="1"/>
  <c r="B121" i="10" s="1"/>
  <c r="AL123" i="1"/>
  <c r="F121" i="10" s="1"/>
  <c r="P100" i="1"/>
  <c r="K100" i="1"/>
  <c r="L100" i="1" s="1"/>
  <c r="J100" i="1"/>
  <c r="N100" i="1" s="1"/>
  <c r="I101" i="1" s="1"/>
  <c r="M100" i="1"/>
  <c r="A125" i="1"/>
  <c r="AB124" i="1"/>
  <c r="AC124" i="1" s="1"/>
  <c r="AD124" i="1" s="1"/>
  <c r="AF124" i="1"/>
  <c r="AG124" i="1" s="1"/>
  <c r="AH124" i="1" s="1"/>
  <c r="E122" i="10"/>
  <c r="AM124" i="1"/>
  <c r="V124" i="1" s="1"/>
  <c r="M122" i="10"/>
  <c r="A122" i="10"/>
  <c r="Z124" i="1"/>
  <c r="R124" i="1"/>
  <c r="S124" i="1" s="1"/>
  <c r="I122" i="10"/>
  <c r="Y123" i="1"/>
  <c r="W123" i="1"/>
  <c r="X123" i="1" s="1"/>
  <c r="AO124" i="1" l="1"/>
  <c r="AI124" i="1"/>
  <c r="N122" i="10" s="1"/>
  <c r="AL124" i="1"/>
  <c r="F122" i="10" s="1"/>
  <c r="H101" i="1"/>
  <c r="C101" i="1"/>
  <c r="G101" i="1" s="1"/>
  <c r="B102" i="1" s="1"/>
  <c r="D101" i="1"/>
  <c r="E101" i="1" s="1"/>
  <c r="P101" i="1"/>
  <c r="K101" i="1"/>
  <c r="L101" i="1" s="1"/>
  <c r="J101" i="1"/>
  <c r="T124" i="1"/>
  <c r="AN124" i="1"/>
  <c r="AA124" i="1"/>
  <c r="J122" i="10" s="1"/>
  <c r="AK124" i="1"/>
  <c r="B122" i="10" s="1"/>
  <c r="Y124" i="1"/>
  <c r="W124" i="1"/>
  <c r="X124" i="1" s="1"/>
  <c r="A126" i="1"/>
  <c r="AB125" i="1"/>
  <c r="AC125" i="1" s="1"/>
  <c r="AD125" i="1" s="1"/>
  <c r="AF125" i="1"/>
  <c r="AG125" i="1" s="1"/>
  <c r="AH125" i="1" s="1"/>
  <c r="M123" i="10"/>
  <c r="AM125" i="1"/>
  <c r="V125" i="1" s="1"/>
  <c r="E123" i="10"/>
  <c r="Z125" i="1"/>
  <c r="R125" i="1"/>
  <c r="S125" i="1" s="1"/>
  <c r="T125" i="1" s="1"/>
  <c r="I123" i="10"/>
  <c r="A123" i="10"/>
  <c r="M101" i="1" l="1"/>
  <c r="AO125" i="1"/>
  <c r="F101" i="1"/>
  <c r="D102" i="1"/>
  <c r="E102" i="1" s="1"/>
  <c r="H102" i="1"/>
  <c r="C102" i="1"/>
  <c r="G102" i="1" s="1"/>
  <c r="B103" i="1" s="1"/>
  <c r="AA125" i="1"/>
  <c r="J123" i="10" s="1"/>
  <c r="AN125" i="1"/>
  <c r="AI125" i="1"/>
  <c r="N123" i="10" s="1"/>
  <c r="AK125" i="1"/>
  <c r="B123" i="10" s="1"/>
  <c r="N101" i="1"/>
  <c r="I102" i="1" s="1"/>
  <c r="AL125" i="1"/>
  <c r="F123" i="10" s="1"/>
  <c r="A127" i="1"/>
  <c r="AB126" i="1"/>
  <c r="AC126" i="1" s="1"/>
  <c r="AD126" i="1" s="1"/>
  <c r="AM126" i="1"/>
  <c r="V126" i="1" s="1"/>
  <c r="R126" i="1"/>
  <c r="S126" i="1" s="1"/>
  <c r="T126" i="1" s="1"/>
  <c r="I124" i="10"/>
  <c r="Z126" i="1"/>
  <c r="E124" i="10"/>
  <c r="AF126" i="1"/>
  <c r="AG126" i="1" s="1"/>
  <c r="AH126" i="1" s="1"/>
  <c r="A124" i="10"/>
  <c r="M124" i="10"/>
  <c r="W125" i="1"/>
  <c r="X125" i="1" s="1"/>
  <c r="Y125" i="1"/>
  <c r="AO126" i="1" l="1"/>
  <c r="F102" i="1"/>
  <c r="AN126" i="1"/>
  <c r="D103" i="1"/>
  <c r="E103" i="1" s="1"/>
  <c r="C103" i="1"/>
  <c r="H103" i="1"/>
  <c r="G103" i="1"/>
  <c r="B104" i="1" s="1"/>
  <c r="AK126" i="1"/>
  <c r="B124" i="10" s="1"/>
  <c r="AA126" i="1"/>
  <c r="J124" i="10" s="1"/>
  <c r="AI126" i="1"/>
  <c r="N124" i="10" s="1"/>
  <c r="AL126" i="1"/>
  <c r="F124" i="10" s="1"/>
  <c r="P102" i="1"/>
  <c r="J102" i="1"/>
  <c r="N102" i="1" s="1"/>
  <c r="I103" i="1" s="1"/>
  <c r="K102" i="1"/>
  <c r="L102" i="1" s="1"/>
  <c r="W126" i="1"/>
  <c r="X126" i="1" s="1"/>
  <c r="Y126" i="1"/>
  <c r="A128" i="1"/>
  <c r="AB127" i="1"/>
  <c r="AC127" i="1" s="1"/>
  <c r="AD127" i="1" s="1"/>
  <c r="M125" i="10"/>
  <c r="A125" i="10"/>
  <c r="R127" i="1"/>
  <c r="S127" i="1" s="1"/>
  <c r="T127" i="1" s="1"/>
  <c r="I125" i="10"/>
  <c r="AM127" i="1"/>
  <c r="V127" i="1" s="1"/>
  <c r="Z127" i="1"/>
  <c r="E125" i="10"/>
  <c r="AF127" i="1"/>
  <c r="AG127" i="1" s="1"/>
  <c r="AH127" i="1" s="1"/>
  <c r="AO127" i="1" l="1"/>
  <c r="F103" i="1"/>
  <c r="M102" i="1"/>
  <c r="C104" i="1"/>
  <c r="G104" i="1" s="1"/>
  <c r="B105" i="1" s="1"/>
  <c r="H104" i="1"/>
  <c r="D104" i="1"/>
  <c r="E104" i="1" s="1"/>
  <c r="P103" i="1"/>
  <c r="K103" i="1"/>
  <c r="L103" i="1" s="1"/>
  <c r="J103" i="1"/>
  <c r="N103" i="1" s="1"/>
  <c r="I104" i="1" s="1"/>
  <c r="AK127" i="1"/>
  <c r="B125" i="10" s="1"/>
  <c r="AA127" i="1"/>
  <c r="J125" i="10" s="1"/>
  <c r="AN127" i="1"/>
  <c r="AI127" i="1"/>
  <c r="N125" i="10" s="1"/>
  <c r="AL127" i="1"/>
  <c r="F125" i="10" s="1"/>
  <c r="Y127" i="1"/>
  <c r="W127" i="1"/>
  <c r="X127" i="1" s="1"/>
  <c r="A129" i="1"/>
  <c r="AB128" i="1"/>
  <c r="AC128" i="1" s="1"/>
  <c r="AD128" i="1" s="1"/>
  <c r="AF128" i="1"/>
  <c r="AG128" i="1" s="1"/>
  <c r="AH128" i="1" s="1"/>
  <c r="E126" i="10"/>
  <c r="R128" i="1"/>
  <c r="S128" i="1" s="1"/>
  <c r="AO128" i="1"/>
  <c r="M126" i="10"/>
  <c r="A126" i="10"/>
  <c r="AM128" i="1"/>
  <c r="V128" i="1" s="1"/>
  <c r="Z128" i="1"/>
  <c r="I126" i="10"/>
  <c r="F104" i="1" l="1"/>
  <c r="D105" i="1"/>
  <c r="E105" i="1" s="1"/>
  <c r="H105" i="1"/>
  <c r="C105" i="1"/>
  <c r="F105" i="1" s="1"/>
  <c r="AN128" i="1"/>
  <c r="T128" i="1"/>
  <c r="AA128" i="1" s="1"/>
  <c r="J126" i="10" s="1"/>
  <c r="P104" i="1"/>
  <c r="K104" i="1"/>
  <c r="L104" i="1" s="1"/>
  <c r="J104" i="1"/>
  <c r="N104" i="1"/>
  <c r="I105" i="1" s="1"/>
  <c r="AK128" i="1"/>
  <c r="B126" i="10" s="1"/>
  <c r="AI128" i="1"/>
  <c r="N126" i="10" s="1"/>
  <c r="AL128" i="1"/>
  <c r="F126" i="10" s="1"/>
  <c r="M103" i="1"/>
  <c r="A130" i="1"/>
  <c r="AB129" i="1"/>
  <c r="AC129" i="1" s="1"/>
  <c r="AD129" i="1" s="1"/>
  <c r="AM129" i="1"/>
  <c r="V129" i="1" s="1"/>
  <c r="M127" i="10"/>
  <c r="Z129" i="1"/>
  <c r="A127" i="10"/>
  <c r="R129" i="1"/>
  <c r="S129" i="1" s="1"/>
  <c r="I127" i="10"/>
  <c r="E127" i="10"/>
  <c r="AF129" i="1"/>
  <c r="AG129" i="1" s="1"/>
  <c r="AH129" i="1" s="1"/>
  <c r="Y128" i="1"/>
  <c r="W128" i="1"/>
  <c r="X128" i="1" s="1"/>
  <c r="AO129" i="1" l="1"/>
  <c r="G105" i="1"/>
  <c r="B106" i="1" s="1"/>
  <c r="H106" i="1" s="1"/>
  <c r="T129" i="1"/>
  <c r="AA129" i="1" s="1"/>
  <c r="J127" i="10" s="1"/>
  <c r="AN129" i="1"/>
  <c r="AK129" i="1"/>
  <c r="B127" i="10" s="1"/>
  <c r="AI129" i="1"/>
  <c r="N127" i="10" s="1"/>
  <c r="M104" i="1"/>
  <c r="AL129" i="1"/>
  <c r="F127" i="10" s="1"/>
  <c r="P105" i="1"/>
  <c r="J105" i="1"/>
  <c r="K105" i="1"/>
  <c r="L105" i="1" s="1"/>
  <c r="N105" i="1"/>
  <c r="I106" i="1" s="1"/>
  <c r="A131" i="1"/>
  <c r="AB130" i="1"/>
  <c r="AC130" i="1" s="1"/>
  <c r="AD130" i="1" s="1"/>
  <c r="AM130" i="1"/>
  <c r="V130" i="1" s="1"/>
  <c r="I128" i="10"/>
  <c r="R130" i="1"/>
  <c r="S130" i="1" s="1"/>
  <c r="E128" i="10"/>
  <c r="Z130" i="1"/>
  <c r="A128" i="10"/>
  <c r="M128" i="10"/>
  <c r="AO130" i="1"/>
  <c r="AF130" i="1"/>
  <c r="AG130" i="1" s="1"/>
  <c r="AH130" i="1" s="1"/>
  <c r="Y129" i="1"/>
  <c r="W129" i="1"/>
  <c r="X129" i="1" s="1"/>
  <c r="C106" i="1" l="1"/>
  <c r="G106" i="1" s="1"/>
  <c r="B107" i="1" s="1"/>
  <c r="C107" i="1" s="1"/>
  <c r="D106" i="1"/>
  <c r="E106" i="1" s="1"/>
  <c r="T130" i="1"/>
  <c r="AA130" i="1" s="1"/>
  <c r="J128" i="10" s="1"/>
  <c r="AN130" i="1"/>
  <c r="D107" i="1"/>
  <c r="E107" i="1" s="1"/>
  <c r="AK130" i="1"/>
  <c r="B128" i="10" s="1"/>
  <c r="AI130" i="1"/>
  <c r="N128" i="10" s="1"/>
  <c r="AL130" i="1"/>
  <c r="F128" i="10" s="1"/>
  <c r="P106" i="1"/>
  <c r="J106" i="1"/>
  <c r="K106" i="1"/>
  <c r="L106" i="1" s="1"/>
  <c r="M105" i="1"/>
  <c r="W130" i="1"/>
  <c r="X130" i="1" s="1"/>
  <c r="Y130" i="1"/>
  <c r="A132" i="1"/>
  <c r="AB131" i="1"/>
  <c r="AC131" i="1" s="1"/>
  <c r="AD131" i="1" s="1"/>
  <c r="M129" i="10"/>
  <c r="AF131" i="1"/>
  <c r="AG131" i="1" s="1"/>
  <c r="AH131" i="1" s="1"/>
  <c r="Z131" i="1"/>
  <c r="A129" i="10"/>
  <c r="AM131" i="1"/>
  <c r="V131" i="1" s="1"/>
  <c r="R131" i="1"/>
  <c r="S131" i="1" s="1"/>
  <c r="E129" i="10"/>
  <c r="I129" i="10"/>
  <c r="H107" i="1" l="1"/>
  <c r="G107" i="1"/>
  <c r="B108" i="1" s="1"/>
  <c r="H108" i="1" s="1"/>
  <c r="AO131" i="1"/>
  <c r="F106" i="1"/>
  <c r="M106" i="1"/>
  <c r="D108" i="1"/>
  <c r="E108" i="1" s="1"/>
  <c r="F107" i="1"/>
  <c r="AK131" i="1"/>
  <c r="B129" i="10" s="1"/>
  <c r="T131" i="1"/>
  <c r="AA131" i="1" s="1"/>
  <c r="J129" i="10" s="1"/>
  <c r="AN131" i="1"/>
  <c r="AL131" i="1"/>
  <c r="F129" i="10" s="1"/>
  <c r="N106" i="1"/>
  <c r="I107" i="1" s="1"/>
  <c r="AI131" i="1"/>
  <c r="N129" i="10" s="1"/>
  <c r="A133" i="1"/>
  <c r="AB132" i="1"/>
  <c r="AC132" i="1" s="1"/>
  <c r="AD132" i="1" s="1"/>
  <c r="A130" i="10"/>
  <c r="I130" i="10"/>
  <c r="AF132" i="1"/>
  <c r="AG132" i="1" s="1"/>
  <c r="AH132" i="1" s="1"/>
  <c r="E130" i="10"/>
  <c r="R132" i="1"/>
  <c r="S132" i="1" s="1"/>
  <c r="T132" i="1" s="1"/>
  <c r="AO132" i="1"/>
  <c r="M130" i="10"/>
  <c r="Z132" i="1"/>
  <c r="AM132" i="1"/>
  <c r="V132" i="1" s="1"/>
  <c r="W131" i="1"/>
  <c r="X131" i="1" s="1"/>
  <c r="Y131" i="1"/>
  <c r="C108" i="1" l="1"/>
  <c r="AN132" i="1"/>
  <c r="F108" i="1"/>
  <c r="G108" i="1"/>
  <c r="B109" i="1" s="1"/>
  <c r="AA132" i="1"/>
  <c r="J130" i="10" s="1"/>
  <c r="AI132" i="1"/>
  <c r="N130" i="10" s="1"/>
  <c r="AK132" i="1"/>
  <c r="B130" i="10" s="1"/>
  <c r="AL132" i="1"/>
  <c r="F130" i="10" s="1"/>
  <c r="P107" i="1"/>
  <c r="K107" i="1"/>
  <c r="L107" i="1" s="1"/>
  <c r="N107" i="1"/>
  <c r="I108" i="1" s="1"/>
  <c r="J107" i="1"/>
  <c r="W132" i="1"/>
  <c r="X132" i="1" s="1"/>
  <c r="Y132" i="1"/>
  <c r="A134" i="1"/>
  <c r="AB133" i="1"/>
  <c r="AC133" i="1" s="1"/>
  <c r="AD133" i="1" s="1"/>
  <c r="AM133" i="1"/>
  <c r="V133" i="1" s="1"/>
  <c r="M131" i="10"/>
  <c r="Z133" i="1"/>
  <c r="A131" i="10"/>
  <c r="AF133" i="1"/>
  <c r="AG133" i="1" s="1"/>
  <c r="AH133" i="1" s="1"/>
  <c r="R133" i="1"/>
  <c r="S133" i="1" s="1"/>
  <c r="T133" i="1" s="1"/>
  <c r="I131" i="10"/>
  <c r="E131" i="10"/>
  <c r="M107" i="1" l="1"/>
  <c r="D109" i="1"/>
  <c r="E109" i="1" s="1"/>
  <c r="H109" i="1"/>
  <c r="C109" i="1"/>
  <c r="AA133" i="1"/>
  <c r="J131" i="10" s="1"/>
  <c r="AK133" i="1"/>
  <c r="B131" i="10" s="1"/>
  <c r="AN133" i="1"/>
  <c r="AO133" i="1"/>
  <c r="AI133" i="1"/>
  <c r="N131" i="10" s="1"/>
  <c r="AL133" i="1"/>
  <c r="F131" i="10" s="1"/>
  <c r="P108" i="1"/>
  <c r="K108" i="1"/>
  <c r="L108" i="1" s="1"/>
  <c r="J108" i="1"/>
  <c r="N108" i="1" s="1"/>
  <c r="I109" i="1" s="1"/>
  <c r="A135" i="1"/>
  <c r="AB134" i="1"/>
  <c r="AC134" i="1" s="1"/>
  <c r="AD134" i="1" s="1"/>
  <c r="AM134" i="1"/>
  <c r="V134" i="1" s="1"/>
  <c r="M132" i="10"/>
  <c r="A132" i="10"/>
  <c r="R134" i="1"/>
  <c r="S134" i="1" s="1"/>
  <c r="I132" i="10"/>
  <c r="Z134" i="1"/>
  <c r="E132" i="10"/>
  <c r="AF134" i="1"/>
  <c r="AG134" i="1" s="1"/>
  <c r="AH134" i="1" s="1"/>
  <c r="W133" i="1"/>
  <c r="X133" i="1" s="1"/>
  <c r="Y133" i="1"/>
  <c r="AO134" i="1" l="1"/>
  <c r="M108" i="1"/>
  <c r="F109" i="1"/>
  <c r="G109" i="1"/>
  <c r="B110" i="1" s="1"/>
  <c r="AK134" i="1"/>
  <c r="B132" i="10" s="1"/>
  <c r="T134" i="1"/>
  <c r="AA134" i="1" s="1"/>
  <c r="J132" i="10" s="1"/>
  <c r="AN134" i="1"/>
  <c r="P109" i="1"/>
  <c r="J109" i="1"/>
  <c r="K109" i="1"/>
  <c r="L109" i="1" s="1"/>
  <c r="N109" i="1"/>
  <c r="I110" i="1" s="1"/>
  <c r="M109" i="1"/>
  <c r="AI134" i="1"/>
  <c r="N132" i="10" s="1"/>
  <c r="AL134" i="1"/>
  <c r="F132" i="10" s="1"/>
  <c r="W134" i="1"/>
  <c r="X134" i="1" s="1"/>
  <c r="Y134" i="1"/>
  <c r="A136" i="1"/>
  <c r="AB135" i="1"/>
  <c r="AC135" i="1" s="1"/>
  <c r="AD135" i="1" s="1"/>
  <c r="R135" i="1"/>
  <c r="E133" i="10"/>
  <c r="AF135" i="1"/>
  <c r="AG135" i="1" s="1"/>
  <c r="AH135" i="1" s="1"/>
  <c r="M133" i="10"/>
  <c r="S135" i="1"/>
  <c r="T135" i="1" s="1"/>
  <c r="Z135" i="1"/>
  <c r="AM135" i="1"/>
  <c r="V135" i="1" s="1"/>
  <c r="AO135" i="1"/>
  <c r="I133" i="10"/>
  <c r="A133" i="10"/>
  <c r="D110" i="1" l="1"/>
  <c r="E110" i="1" s="1"/>
  <c r="C110" i="1"/>
  <c r="G110" i="1" s="1"/>
  <c r="B111" i="1" s="1"/>
  <c r="H110" i="1"/>
  <c r="AK135" i="1"/>
  <c r="B133" i="10" s="1"/>
  <c r="AA135" i="1"/>
  <c r="J133" i="10" s="1"/>
  <c r="AN135" i="1"/>
  <c r="AI135" i="1"/>
  <c r="N133" i="10" s="1"/>
  <c r="P110" i="1"/>
  <c r="K110" i="1"/>
  <c r="L110" i="1" s="1"/>
  <c r="J110" i="1"/>
  <c r="AL135" i="1"/>
  <c r="F133" i="10" s="1"/>
  <c r="W135" i="1"/>
  <c r="X135" i="1" s="1"/>
  <c r="Y135" i="1"/>
  <c r="A137" i="1"/>
  <c r="AB136" i="1"/>
  <c r="AC136" i="1" s="1"/>
  <c r="AD136" i="1" s="1"/>
  <c r="I134" i="10"/>
  <c r="Z136" i="1"/>
  <c r="AM136" i="1"/>
  <c r="V136" i="1" s="1"/>
  <c r="E134" i="10"/>
  <c r="AF136" i="1"/>
  <c r="AG136" i="1" s="1"/>
  <c r="AH136" i="1" s="1"/>
  <c r="M134" i="10"/>
  <c r="R136" i="1"/>
  <c r="S136" i="1" s="1"/>
  <c r="A134" i="10"/>
  <c r="AO136" i="1" l="1"/>
  <c r="M110" i="1"/>
  <c r="F110" i="1"/>
  <c r="H111" i="1"/>
  <c r="C111" i="1"/>
  <c r="D111" i="1"/>
  <c r="E111" i="1" s="1"/>
  <c r="AK136" i="1"/>
  <c r="B134" i="10" s="1"/>
  <c r="AN136" i="1"/>
  <c r="T136" i="1"/>
  <c r="AA136" i="1" s="1"/>
  <c r="J134" i="10" s="1"/>
  <c r="N110" i="1"/>
  <c r="I111" i="1" s="1"/>
  <c r="AI136" i="1"/>
  <c r="N134" i="10" s="1"/>
  <c r="AL136" i="1"/>
  <c r="F134" i="10" s="1"/>
  <c r="Y136" i="1"/>
  <c r="W136" i="1"/>
  <c r="X136" i="1" s="1"/>
  <c r="A138" i="1"/>
  <c r="AB137" i="1"/>
  <c r="AC137" i="1" s="1"/>
  <c r="AD137" i="1" s="1"/>
  <c r="I135" i="10"/>
  <c r="E135" i="10"/>
  <c r="R137" i="1"/>
  <c r="S137" i="1" s="1"/>
  <c r="T137" i="1" s="1"/>
  <c r="M135" i="10"/>
  <c r="AF137" i="1"/>
  <c r="AG137" i="1" s="1"/>
  <c r="AH137" i="1" s="1"/>
  <c r="Z137" i="1"/>
  <c r="A135" i="10"/>
  <c r="AM137" i="1"/>
  <c r="AO137" i="1" l="1"/>
  <c r="G111" i="1"/>
  <c r="B112" i="1" s="1"/>
  <c r="F111" i="1"/>
  <c r="AN137" i="1"/>
  <c r="AI137" i="1"/>
  <c r="N135" i="10" s="1"/>
  <c r="V137" i="1"/>
  <c r="W137" i="1" s="1"/>
  <c r="X137" i="1" s="1"/>
  <c r="AL137" i="1"/>
  <c r="F135" i="10" s="1"/>
  <c r="P111" i="1"/>
  <c r="K111" i="1"/>
  <c r="L111" i="1" s="1"/>
  <c r="N111" i="1"/>
  <c r="I112" i="1" s="1"/>
  <c r="J111" i="1"/>
  <c r="M111" i="1" s="1"/>
  <c r="Y137" i="1"/>
  <c r="A139" i="1"/>
  <c r="D138" i="1"/>
  <c r="C138" i="1"/>
  <c r="I138" i="1"/>
  <c r="P138" i="1" s="1"/>
  <c r="AL138" i="1"/>
  <c r="F136" i="10" s="1"/>
  <c r="B138" i="1"/>
  <c r="H138" i="1" s="1"/>
  <c r="F138" i="1"/>
  <c r="E138" i="1"/>
  <c r="N138" i="1"/>
  <c r="AA138" i="1"/>
  <c r="J136" i="10" s="1"/>
  <c r="M138" i="1"/>
  <c r="V138" i="1"/>
  <c r="AK138" i="1"/>
  <c r="B136" i="10" s="1"/>
  <c r="L138" i="1"/>
  <c r="K138" i="1"/>
  <c r="J138" i="1"/>
  <c r="O136" i="10"/>
  <c r="K136" i="10"/>
  <c r="AB138" i="1"/>
  <c r="AC138" i="1" s="1"/>
  <c r="AD138" i="1" s="1"/>
  <c r="AI138" i="1"/>
  <c r="N136" i="10" s="1"/>
  <c r="C136" i="10"/>
  <c r="G136" i="10"/>
  <c r="S138" i="1"/>
  <c r="Z138" i="1"/>
  <c r="A136" i="10"/>
  <c r="R138" i="1"/>
  <c r="AN138" i="1"/>
  <c r="I136" i="10"/>
  <c r="AM138" i="1"/>
  <c r="E136" i="10"/>
  <c r="G138" i="1"/>
  <c r="T138" i="1"/>
  <c r="AF138" i="1"/>
  <c r="AG138" i="1" s="1"/>
  <c r="AH138" i="1" s="1"/>
  <c r="AO138" i="1"/>
  <c r="M136" i="10"/>
  <c r="H112" i="1" l="1"/>
  <c r="D112" i="1"/>
  <c r="E112" i="1" s="1"/>
  <c r="C112" i="1"/>
  <c r="G112" i="1" s="1"/>
  <c r="B113" i="1" s="1"/>
  <c r="P112" i="1"/>
  <c r="J112" i="1"/>
  <c r="N112" i="1" s="1"/>
  <c r="I113" i="1" s="1"/>
  <c r="K112" i="1"/>
  <c r="L112" i="1" s="1"/>
  <c r="AA137" i="1"/>
  <c r="J135" i="10" s="1"/>
  <c r="AK137" i="1"/>
  <c r="B135" i="10" s="1"/>
  <c r="D139" i="1"/>
  <c r="A140" i="1"/>
  <c r="C139" i="1"/>
  <c r="I139" i="1"/>
  <c r="P139" i="1" s="1"/>
  <c r="B139" i="1"/>
  <c r="H139" i="1" s="1"/>
  <c r="AL139" i="1"/>
  <c r="F137" i="10" s="1"/>
  <c r="F139" i="1"/>
  <c r="E139" i="1"/>
  <c r="AK139" i="1"/>
  <c r="B137" i="10" s="1"/>
  <c r="L139" i="1"/>
  <c r="K139" i="1"/>
  <c r="N139" i="1"/>
  <c r="M139" i="1"/>
  <c r="V139" i="1"/>
  <c r="AI139" i="1"/>
  <c r="N137" i="10" s="1"/>
  <c r="AA139" i="1"/>
  <c r="J137" i="10" s="1"/>
  <c r="O137" i="10"/>
  <c r="AB139" i="1"/>
  <c r="AC139" i="1" s="1"/>
  <c r="AD139" i="1" s="1"/>
  <c r="C137" i="10"/>
  <c r="K137" i="10"/>
  <c r="AF139" i="1"/>
  <c r="AG139" i="1" s="1"/>
  <c r="AH139" i="1" s="1"/>
  <c r="Z139" i="1"/>
  <c r="G139" i="1"/>
  <c r="M137" i="10"/>
  <c r="G137" i="10"/>
  <c r="T139" i="1"/>
  <c r="AM139" i="1"/>
  <c r="A137" i="10"/>
  <c r="S139" i="1"/>
  <c r="I137" i="10"/>
  <c r="AO139" i="1"/>
  <c r="E137" i="10"/>
  <c r="J139" i="1"/>
  <c r="AN139" i="1"/>
  <c r="R139" i="1"/>
  <c r="W138" i="1"/>
  <c r="X138" i="1" s="1"/>
  <c r="Y138" i="1"/>
  <c r="M112" i="1" l="1"/>
  <c r="F112" i="1"/>
  <c r="D113" i="1"/>
  <c r="E113" i="1" s="1"/>
  <c r="H113" i="1"/>
  <c r="C113" i="1"/>
  <c r="G113" i="1" s="1"/>
  <c r="B114" i="1" s="1"/>
  <c r="P113" i="1"/>
  <c r="J113" i="1"/>
  <c r="N113" i="1" s="1"/>
  <c r="I114" i="1" s="1"/>
  <c r="K113" i="1"/>
  <c r="L113" i="1" s="1"/>
  <c r="W139" i="1"/>
  <c r="X139" i="1" s="1"/>
  <c r="Y139" i="1"/>
  <c r="A141" i="1"/>
  <c r="D140" i="1"/>
  <c r="I140" i="1"/>
  <c r="P140" i="1" s="1"/>
  <c r="C140" i="1"/>
  <c r="B140" i="1"/>
  <c r="H140" i="1" s="1"/>
  <c r="AL140" i="1"/>
  <c r="F138" i="10" s="1"/>
  <c r="F140" i="1"/>
  <c r="E140" i="1"/>
  <c r="AK140" i="1"/>
  <c r="B138" i="10" s="1"/>
  <c r="N140" i="1"/>
  <c r="AA140" i="1"/>
  <c r="J138" i="10" s="1"/>
  <c r="V140" i="1"/>
  <c r="L140" i="1"/>
  <c r="K140" i="1"/>
  <c r="G140" i="1"/>
  <c r="M140" i="1"/>
  <c r="AI140" i="1"/>
  <c r="N138" i="10" s="1"/>
  <c r="AB140" i="1"/>
  <c r="AC140" i="1" s="1"/>
  <c r="AD140" i="1" s="1"/>
  <c r="J140" i="1"/>
  <c r="O138" i="10"/>
  <c r="K138" i="10"/>
  <c r="G138" i="10"/>
  <c r="AM140" i="1"/>
  <c r="AN140" i="1"/>
  <c r="M138" i="10"/>
  <c r="R140" i="1"/>
  <c r="T140" i="1"/>
  <c r="A138" i="10"/>
  <c r="S140" i="1"/>
  <c r="AF140" i="1"/>
  <c r="AG140" i="1" s="1"/>
  <c r="AH140" i="1" s="1"/>
  <c r="AO140" i="1"/>
  <c r="C138" i="10"/>
  <c r="I138" i="10"/>
  <c r="Z140" i="1"/>
  <c r="E138" i="10"/>
  <c r="F113" i="1" l="1"/>
  <c r="H114" i="1"/>
  <c r="C114" i="1"/>
  <c r="G114" i="1" s="1"/>
  <c r="B115" i="1" s="1"/>
  <c r="D114" i="1"/>
  <c r="E114" i="1" s="1"/>
  <c r="P114" i="1"/>
  <c r="J114" i="1"/>
  <c r="K114" i="1"/>
  <c r="L114" i="1" s="1"/>
  <c r="M113" i="1"/>
  <c r="D141" i="1"/>
  <c r="A142" i="1"/>
  <c r="I141" i="1"/>
  <c r="P141" i="1" s="1"/>
  <c r="C141" i="1"/>
  <c r="AL141" i="1"/>
  <c r="F139" i="10" s="1"/>
  <c r="B141" i="1"/>
  <c r="H141" i="1" s="1"/>
  <c r="F141" i="1"/>
  <c r="E141" i="1"/>
  <c r="AK141" i="1"/>
  <c r="B139" i="10" s="1"/>
  <c r="AB141" i="1"/>
  <c r="AC141" i="1" s="1"/>
  <c r="AD141" i="1" s="1"/>
  <c r="N141" i="1"/>
  <c r="G141" i="1"/>
  <c r="M141" i="1"/>
  <c r="J141" i="1"/>
  <c r="O139" i="10"/>
  <c r="K139" i="10"/>
  <c r="L141" i="1"/>
  <c r="AI141" i="1"/>
  <c r="N139" i="10" s="1"/>
  <c r="AA141" i="1"/>
  <c r="J139" i="10" s="1"/>
  <c r="G139" i="10"/>
  <c r="C139" i="10"/>
  <c r="V141" i="1"/>
  <c r="K141" i="1"/>
  <c r="R141" i="1"/>
  <c r="AM141" i="1"/>
  <c r="M139" i="10"/>
  <c r="Z141" i="1"/>
  <c r="AO141" i="1"/>
  <c r="A139" i="10"/>
  <c r="T141" i="1"/>
  <c r="I139" i="10"/>
  <c r="S141" i="1"/>
  <c r="E139" i="10"/>
  <c r="AN141" i="1"/>
  <c r="AF141" i="1"/>
  <c r="AG141" i="1" s="1"/>
  <c r="AH141" i="1" s="1"/>
  <c r="W140" i="1"/>
  <c r="X140" i="1" s="1"/>
  <c r="Y140" i="1"/>
  <c r="M114" i="1" l="1"/>
  <c r="F114" i="1"/>
  <c r="D115" i="1"/>
  <c r="E115" i="1" s="1"/>
  <c r="H115" i="1"/>
  <c r="C115" i="1"/>
  <c r="F115" i="1" s="1"/>
  <c r="N114" i="1"/>
  <c r="I115" i="1" s="1"/>
  <c r="W141" i="1"/>
  <c r="X141" i="1" s="1"/>
  <c r="Y141" i="1"/>
  <c r="A143" i="1"/>
  <c r="D142" i="1"/>
  <c r="C142" i="1"/>
  <c r="AL142" i="1"/>
  <c r="F140" i="10" s="1"/>
  <c r="I142" i="1"/>
  <c r="P142" i="1" s="1"/>
  <c r="B142" i="1"/>
  <c r="H142" i="1" s="1"/>
  <c r="F142" i="1"/>
  <c r="E142" i="1"/>
  <c r="AK142" i="1"/>
  <c r="B140" i="10" s="1"/>
  <c r="AA142" i="1"/>
  <c r="J140" i="10" s="1"/>
  <c r="M142" i="1"/>
  <c r="G142" i="1"/>
  <c r="AB142" i="1"/>
  <c r="AC142" i="1" s="1"/>
  <c r="AD142" i="1" s="1"/>
  <c r="L142" i="1"/>
  <c r="K142" i="1"/>
  <c r="V142" i="1"/>
  <c r="J142" i="1"/>
  <c r="O140" i="10"/>
  <c r="K140" i="10"/>
  <c r="C140" i="10"/>
  <c r="AI142" i="1"/>
  <c r="N140" i="10" s="1"/>
  <c r="G140" i="10"/>
  <c r="AF142" i="1"/>
  <c r="AG142" i="1" s="1"/>
  <c r="AH142" i="1" s="1"/>
  <c r="S142" i="1"/>
  <c r="E140" i="10"/>
  <c r="N142" i="1"/>
  <c r="Z142" i="1"/>
  <c r="R142" i="1"/>
  <c r="M140" i="10"/>
  <c r="AO142" i="1"/>
  <c r="AN142" i="1"/>
  <c r="T142" i="1"/>
  <c r="A140" i="10"/>
  <c r="AM142" i="1"/>
  <c r="I140" i="10"/>
  <c r="G115" i="1" l="1"/>
  <c r="B116" i="1" s="1"/>
  <c r="P115" i="1"/>
  <c r="K115" i="1"/>
  <c r="L115" i="1" s="1"/>
  <c r="J115" i="1"/>
  <c r="N115" i="1" s="1"/>
  <c r="I116" i="1" s="1"/>
  <c r="D143" i="1"/>
  <c r="C143" i="1"/>
  <c r="A144" i="1"/>
  <c r="I143" i="1"/>
  <c r="P143" i="1" s="1"/>
  <c r="B143" i="1"/>
  <c r="H143" i="1" s="1"/>
  <c r="AL143" i="1"/>
  <c r="F141" i="10" s="1"/>
  <c r="F143" i="1"/>
  <c r="E143" i="1"/>
  <c r="AK143" i="1"/>
  <c r="B141" i="10" s="1"/>
  <c r="V143" i="1"/>
  <c r="L143" i="1"/>
  <c r="K143" i="1"/>
  <c r="AB143" i="1"/>
  <c r="AC143" i="1" s="1"/>
  <c r="AD143" i="1" s="1"/>
  <c r="M143" i="1"/>
  <c r="N143" i="1"/>
  <c r="AI143" i="1"/>
  <c r="N141" i="10" s="1"/>
  <c r="AA143" i="1"/>
  <c r="J141" i="10" s="1"/>
  <c r="O141" i="10"/>
  <c r="C141" i="10"/>
  <c r="J143" i="1"/>
  <c r="K141" i="10"/>
  <c r="S143" i="1"/>
  <c r="Z143" i="1"/>
  <c r="A141" i="10"/>
  <c r="R143" i="1"/>
  <c r="AN143" i="1"/>
  <c r="I141" i="10"/>
  <c r="G141" i="10"/>
  <c r="AF143" i="1"/>
  <c r="AG143" i="1" s="1"/>
  <c r="AH143" i="1" s="1"/>
  <c r="G143" i="1"/>
  <c r="E141" i="10"/>
  <c r="AM143" i="1"/>
  <c r="T143" i="1"/>
  <c r="AO143" i="1"/>
  <c r="M141" i="10"/>
  <c r="W142" i="1"/>
  <c r="X142" i="1" s="1"/>
  <c r="Y142" i="1"/>
  <c r="D116" i="1" l="1"/>
  <c r="E116" i="1" s="1"/>
  <c r="C116" i="1"/>
  <c r="G116" i="1" s="1"/>
  <c r="B117" i="1" s="1"/>
  <c r="H116" i="1"/>
  <c r="P116" i="1"/>
  <c r="J116" i="1"/>
  <c r="K116" i="1"/>
  <c r="L116" i="1" s="1"/>
  <c r="N116" i="1"/>
  <c r="I117" i="1" s="1"/>
  <c r="M115" i="1"/>
  <c r="A145" i="1"/>
  <c r="D144" i="1"/>
  <c r="I144" i="1"/>
  <c r="P144" i="1" s="1"/>
  <c r="C144" i="1"/>
  <c r="B144" i="1"/>
  <c r="H144" i="1" s="1"/>
  <c r="AL144" i="1"/>
  <c r="F142" i="10" s="1"/>
  <c r="F144" i="1"/>
  <c r="E144" i="1"/>
  <c r="AK144" i="1"/>
  <c r="B142" i="10" s="1"/>
  <c r="G144" i="1"/>
  <c r="AB144" i="1"/>
  <c r="AC144" i="1" s="1"/>
  <c r="AD144" i="1" s="1"/>
  <c r="N144" i="1"/>
  <c r="L144" i="1"/>
  <c r="K144" i="1"/>
  <c r="AI144" i="1"/>
  <c r="N142" i="10" s="1"/>
  <c r="M144" i="1"/>
  <c r="J144" i="1"/>
  <c r="O142" i="10"/>
  <c r="AA144" i="1"/>
  <c r="J142" i="10" s="1"/>
  <c r="K142" i="10"/>
  <c r="V144" i="1"/>
  <c r="G142" i="10"/>
  <c r="AM144" i="1"/>
  <c r="T144" i="1"/>
  <c r="A142" i="10"/>
  <c r="Z144" i="1"/>
  <c r="AN144" i="1"/>
  <c r="I142" i="10"/>
  <c r="AF144" i="1"/>
  <c r="AG144" i="1" s="1"/>
  <c r="AH144" i="1" s="1"/>
  <c r="E142" i="10"/>
  <c r="AO144" i="1"/>
  <c r="M142" i="10"/>
  <c r="S144" i="1"/>
  <c r="C142" i="10"/>
  <c r="R144" i="1"/>
  <c r="W143" i="1"/>
  <c r="X143" i="1" s="1"/>
  <c r="Y143" i="1"/>
  <c r="F116" i="1" l="1"/>
  <c r="H117" i="1"/>
  <c r="C117" i="1"/>
  <c r="D117" i="1"/>
  <c r="E117" i="1" s="1"/>
  <c r="G117" i="1"/>
  <c r="B118" i="1" s="1"/>
  <c r="M116" i="1"/>
  <c r="P117" i="1"/>
  <c r="J117" i="1"/>
  <c r="K117" i="1"/>
  <c r="L117" i="1" s="1"/>
  <c r="N117" i="1"/>
  <c r="I118" i="1" s="1"/>
  <c r="Y144" i="1"/>
  <c r="W144" i="1"/>
  <c r="X144" i="1" s="1"/>
  <c r="D145" i="1"/>
  <c r="A146" i="1"/>
  <c r="C145" i="1"/>
  <c r="I145" i="1"/>
  <c r="P145" i="1" s="1"/>
  <c r="AL145" i="1"/>
  <c r="F143" i="10" s="1"/>
  <c r="B145" i="1"/>
  <c r="H145" i="1" s="1"/>
  <c r="F145" i="1"/>
  <c r="E145" i="1"/>
  <c r="AK145" i="1"/>
  <c r="B143" i="10" s="1"/>
  <c r="N145" i="1"/>
  <c r="AA145" i="1"/>
  <c r="J143" i="10" s="1"/>
  <c r="V145" i="1"/>
  <c r="G145" i="1"/>
  <c r="M145" i="1"/>
  <c r="J145" i="1"/>
  <c r="O143" i="10"/>
  <c r="K143" i="10"/>
  <c r="AB145" i="1"/>
  <c r="AC145" i="1" s="1"/>
  <c r="AD145" i="1" s="1"/>
  <c r="AI145" i="1"/>
  <c r="N143" i="10" s="1"/>
  <c r="K145" i="1"/>
  <c r="L145" i="1"/>
  <c r="G143" i="10"/>
  <c r="C143" i="10"/>
  <c r="T145" i="1"/>
  <c r="R145" i="1"/>
  <c r="AO145" i="1"/>
  <c r="M143" i="10"/>
  <c r="AN145" i="1"/>
  <c r="AF145" i="1"/>
  <c r="AG145" i="1" s="1"/>
  <c r="AH145" i="1" s="1"/>
  <c r="A143" i="10"/>
  <c r="S145" i="1"/>
  <c r="Z145" i="1"/>
  <c r="AM145" i="1"/>
  <c r="E143" i="10"/>
  <c r="I143" i="10"/>
  <c r="F117" i="1" l="1"/>
  <c r="M117" i="1"/>
  <c r="H118" i="1"/>
  <c r="C118" i="1"/>
  <c r="G118" i="1" s="1"/>
  <c r="B119" i="1" s="1"/>
  <c r="D118" i="1"/>
  <c r="E118" i="1" s="1"/>
  <c r="P118" i="1"/>
  <c r="K118" i="1"/>
  <c r="L118" i="1" s="1"/>
  <c r="J118" i="1"/>
  <c r="A147" i="1"/>
  <c r="D146" i="1"/>
  <c r="C146" i="1"/>
  <c r="AL146" i="1"/>
  <c r="F144" i="10" s="1"/>
  <c r="I146" i="1"/>
  <c r="P146" i="1" s="1"/>
  <c r="B146" i="1"/>
  <c r="H146" i="1" s="1"/>
  <c r="E146" i="1"/>
  <c r="M146" i="1"/>
  <c r="AK146" i="1"/>
  <c r="B144" i="10" s="1"/>
  <c r="AB146" i="1"/>
  <c r="AC146" i="1" s="1"/>
  <c r="AD146" i="1" s="1"/>
  <c r="V146" i="1"/>
  <c r="L146" i="1"/>
  <c r="K146" i="1"/>
  <c r="F146" i="1"/>
  <c r="AA146" i="1"/>
  <c r="J144" i="10" s="1"/>
  <c r="J146" i="1"/>
  <c r="O144" i="10"/>
  <c r="K144" i="10"/>
  <c r="G146" i="1"/>
  <c r="C144" i="10"/>
  <c r="G144" i="10"/>
  <c r="AN146" i="1"/>
  <c r="AM146" i="1"/>
  <c r="E144" i="10"/>
  <c r="R146" i="1"/>
  <c r="Z146" i="1"/>
  <c r="S146" i="1"/>
  <c r="M144" i="10"/>
  <c r="AF146" i="1"/>
  <c r="AG146" i="1" s="1"/>
  <c r="AH146" i="1" s="1"/>
  <c r="A144" i="10"/>
  <c r="AO146" i="1"/>
  <c r="I144" i="10"/>
  <c r="N146" i="1"/>
  <c r="AI146" i="1"/>
  <c r="N144" i="10" s="1"/>
  <c r="T146" i="1"/>
  <c r="Y145" i="1"/>
  <c r="W145" i="1"/>
  <c r="X145" i="1" s="1"/>
  <c r="M118" i="1" l="1"/>
  <c r="D119" i="1"/>
  <c r="E119" i="1" s="1"/>
  <c r="H119" i="1"/>
  <c r="C119" i="1"/>
  <c r="F118" i="1"/>
  <c r="N118" i="1"/>
  <c r="I119" i="1" s="1"/>
  <c r="Y146" i="1"/>
  <c r="W146" i="1"/>
  <c r="X146" i="1" s="1"/>
  <c r="D147" i="1"/>
  <c r="A148" i="1"/>
  <c r="C147" i="1"/>
  <c r="I147" i="1"/>
  <c r="P147" i="1" s="1"/>
  <c r="B147" i="1"/>
  <c r="H147" i="1" s="1"/>
  <c r="AL147" i="1"/>
  <c r="F145" i="10" s="1"/>
  <c r="F147" i="1"/>
  <c r="E147" i="1"/>
  <c r="AK147" i="1"/>
  <c r="B145" i="10" s="1"/>
  <c r="G147" i="1"/>
  <c r="L147" i="1"/>
  <c r="K147" i="1"/>
  <c r="M147" i="1"/>
  <c r="AB147" i="1"/>
  <c r="AC147" i="1" s="1"/>
  <c r="AD147" i="1" s="1"/>
  <c r="V147" i="1"/>
  <c r="AA147" i="1"/>
  <c r="J145" i="10" s="1"/>
  <c r="AI147" i="1"/>
  <c r="N145" i="10" s="1"/>
  <c r="J147" i="1"/>
  <c r="K145" i="10"/>
  <c r="C145" i="10"/>
  <c r="S147" i="1"/>
  <c r="AO147" i="1"/>
  <c r="I145" i="10"/>
  <c r="AM147" i="1"/>
  <c r="R147" i="1"/>
  <c r="E145" i="10"/>
  <c r="AF147" i="1"/>
  <c r="AG147" i="1" s="1"/>
  <c r="AH147" i="1" s="1"/>
  <c r="M145" i="10"/>
  <c r="O145" i="10"/>
  <c r="N147" i="1"/>
  <c r="T147" i="1"/>
  <c r="G145" i="10"/>
  <c r="Z147" i="1"/>
  <c r="AN147" i="1"/>
  <c r="A145" i="10"/>
  <c r="F119" i="1" l="1"/>
  <c r="G119" i="1"/>
  <c r="B120" i="1" s="1"/>
  <c r="P119" i="1"/>
  <c r="J119" i="1"/>
  <c r="N119" i="1" s="1"/>
  <c r="I120" i="1" s="1"/>
  <c r="K119" i="1"/>
  <c r="L119" i="1" s="1"/>
  <c r="A149" i="1"/>
  <c r="D148" i="1"/>
  <c r="I148" i="1"/>
  <c r="P148" i="1" s="1"/>
  <c r="C148" i="1"/>
  <c r="B148" i="1"/>
  <c r="H148" i="1" s="1"/>
  <c r="AL148" i="1"/>
  <c r="F146" i="10" s="1"/>
  <c r="F148" i="1"/>
  <c r="E148" i="1"/>
  <c r="AK148" i="1"/>
  <c r="B146" i="10" s="1"/>
  <c r="V148" i="1"/>
  <c r="AB148" i="1"/>
  <c r="AC148" i="1" s="1"/>
  <c r="AD148" i="1" s="1"/>
  <c r="L148" i="1"/>
  <c r="K148" i="1"/>
  <c r="AI148" i="1"/>
  <c r="N146" i="10" s="1"/>
  <c r="J148" i="1"/>
  <c r="O146" i="10"/>
  <c r="K146" i="10"/>
  <c r="AA148" i="1"/>
  <c r="J146" i="10" s="1"/>
  <c r="G146" i="10"/>
  <c r="C146" i="10"/>
  <c r="AN148" i="1"/>
  <c r="G148" i="1"/>
  <c r="AO148" i="1"/>
  <c r="M146" i="10"/>
  <c r="M148" i="1"/>
  <c r="N148" i="1"/>
  <c r="S148" i="1"/>
  <c r="A146" i="10"/>
  <c r="R148" i="1"/>
  <c r="Z148" i="1"/>
  <c r="AF148" i="1"/>
  <c r="AG148" i="1" s="1"/>
  <c r="AH148" i="1" s="1"/>
  <c r="I146" i="10"/>
  <c r="AM148" i="1"/>
  <c r="E146" i="10"/>
  <c r="T148" i="1"/>
  <c r="Y147" i="1"/>
  <c r="W147" i="1"/>
  <c r="X147" i="1" s="1"/>
  <c r="D120" i="1" l="1"/>
  <c r="E120" i="1" s="1"/>
  <c r="H120" i="1"/>
  <c r="C120" i="1"/>
  <c r="P120" i="1"/>
  <c r="K120" i="1"/>
  <c r="L120" i="1" s="1"/>
  <c r="J120" i="1"/>
  <c r="N120" i="1"/>
  <c r="I121" i="1" s="1"/>
  <c r="M119" i="1"/>
  <c r="W148" i="1"/>
  <c r="X148" i="1" s="1"/>
  <c r="Y148" i="1"/>
  <c r="D149" i="1"/>
  <c r="A150" i="1"/>
  <c r="I149" i="1"/>
  <c r="P149" i="1" s="1"/>
  <c r="AL149" i="1"/>
  <c r="F147" i="10" s="1"/>
  <c r="C149" i="1"/>
  <c r="B149" i="1"/>
  <c r="H149" i="1" s="1"/>
  <c r="F149" i="1"/>
  <c r="E149" i="1"/>
  <c r="AK149" i="1"/>
  <c r="B147" i="10" s="1"/>
  <c r="V149" i="1"/>
  <c r="M149" i="1"/>
  <c r="K149" i="1"/>
  <c r="J149" i="1"/>
  <c r="O147" i="10"/>
  <c r="K147" i="10"/>
  <c r="N149" i="1"/>
  <c r="AI149" i="1"/>
  <c r="N147" i="10" s="1"/>
  <c r="L149" i="1"/>
  <c r="AA149" i="1"/>
  <c r="J147" i="10" s="1"/>
  <c r="AB149" i="1"/>
  <c r="AC149" i="1" s="1"/>
  <c r="AD149" i="1" s="1"/>
  <c r="G147" i="10"/>
  <c r="C147" i="10"/>
  <c r="G149" i="1"/>
  <c r="AF149" i="1"/>
  <c r="AG149" i="1" s="1"/>
  <c r="AH149" i="1" s="1"/>
  <c r="E147" i="10"/>
  <c r="S149" i="1"/>
  <c r="T149" i="1"/>
  <c r="AO149" i="1"/>
  <c r="M147" i="10"/>
  <c r="R149" i="1"/>
  <c r="A147" i="10"/>
  <c r="AN149" i="1"/>
  <c r="Z149" i="1"/>
  <c r="I147" i="10"/>
  <c r="AM149" i="1"/>
  <c r="M120" i="1" l="1"/>
  <c r="G120" i="1"/>
  <c r="B121" i="1" s="1"/>
  <c r="F120" i="1"/>
  <c r="P121" i="1"/>
  <c r="J121" i="1"/>
  <c r="N121" i="1" s="1"/>
  <c r="I122" i="1" s="1"/>
  <c r="K121" i="1"/>
  <c r="L121" i="1" s="1"/>
  <c r="Y149" i="1"/>
  <c r="W149" i="1"/>
  <c r="X149" i="1" s="1"/>
  <c r="A151" i="1"/>
  <c r="D150" i="1"/>
  <c r="C150" i="1"/>
  <c r="I150" i="1"/>
  <c r="P150" i="1" s="1"/>
  <c r="AL150" i="1"/>
  <c r="F148" i="10" s="1"/>
  <c r="B150" i="1"/>
  <c r="H150" i="1" s="1"/>
  <c r="E150" i="1"/>
  <c r="F150" i="1"/>
  <c r="AB150" i="1"/>
  <c r="AC150" i="1" s="1"/>
  <c r="AD150" i="1" s="1"/>
  <c r="M150" i="1"/>
  <c r="V150" i="1"/>
  <c r="L150" i="1"/>
  <c r="K150" i="1"/>
  <c r="J150" i="1"/>
  <c r="O148" i="10"/>
  <c r="K148" i="10"/>
  <c r="AK150" i="1"/>
  <c r="B148" i="10" s="1"/>
  <c r="AA150" i="1"/>
  <c r="J148" i="10" s="1"/>
  <c r="C148" i="10"/>
  <c r="G148" i="10"/>
  <c r="AI150" i="1"/>
  <c r="N148" i="10" s="1"/>
  <c r="N150" i="1"/>
  <c r="AM150" i="1"/>
  <c r="A148" i="10"/>
  <c r="T150" i="1"/>
  <c r="AF150" i="1"/>
  <c r="AG150" i="1" s="1"/>
  <c r="AH150" i="1" s="1"/>
  <c r="I148" i="10"/>
  <c r="S150" i="1"/>
  <c r="E148" i="10"/>
  <c r="AO150" i="1"/>
  <c r="R150" i="1"/>
  <c r="M148" i="10"/>
  <c r="G150" i="1"/>
  <c r="Z150" i="1"/>
  <c r="AN150" i="1"/>
  <c r="H121" i="1" l="1"/>
  <c r="C121" i="1"/>
  <c r="D121" i="1"/>
  <c r="E121" i="1" s="1"/>
  <c r="G121" i="1"/>
  <c r="B122" i="1" s="1"/>
  <c r="P122" i="1"/>
  <c r="K122" i="1"/>
  <c r="L122" i="1" s="1"/>
  <c r="J122" i="1"/>
  <c r="N122" i="1" s="1"/>
  <c r="I123" i="1" s="1"/>
  <c r="M121" i="1"/>
  <c r="D151" i="1"/>
  <c r="C151" i="1"/>
  <c r="I151" i="1"/>
  <c r="P151" i="1" s="1"/>
  <c r="B151" i="1"/>
  <c r="H151" i="1" s="1"/>
  <c r="A152" i="1"/>
  <c r="F151" i="1"/>
  <c r="E151" i="1"/>
  <c r="AL151" i="1"/>
  <c r="F149" i="10" s="1"/>
  <c r="AK151" i="1"/>
  <c r="B149" i="10" s="1"/>
  <c r="V151" i="1"/>
  <c r="L151" i="1"/>
  <c r="K151" i="1"/>
  <c r="G151" i="1"/>
  <c r="AA151" i="1"/>
  <c r="J149" i="10" s="1"/>
  <c r="M151" i="1"/>
  <c r="AB151" i="1"/>
  <c r="AC151" i="1" s="1"/>
  <c r="AD151" i="1" s="1"/>
  <c r="AI151" i="1"/>
  <c r="N149" i="10" s="1"/>
  <c r="J151" i="1"/>
  <c r="K149" i="10"/>
  <c r="C149" i="10"/>
  <c r="O149" i="10"/>
  <c r="G149" i="10"/>
  <c r="R151" i="1"/>
  <c r="T151" i="1"/>
  <c r="Z151" i="1"/>
  <c r="M149" i="10"/>
  <c r="N151" i="1"/>
  <c r="S151" i="1"/>
  <c r="A149" i="10"/>
  <c r="AF151" i="1"/>
  <c r="AG151" i="1" s="1"/>
  <c r="AH151" i="1" s="1"/>
  <c r="AO151" i="1"/>
  <c r="I149" i="10"/>
  <c r="AM151" i="1"/>
  <c r="E149" i="10"/>
  <c r="AN151" i="1"/>
  <c r="W150" i="1"/>
  <c r="X150" i="1" s="1"/>
  <c r="Y150" i="1"/>
  <c r="D122" i="1" l="1"/>
  <c r="E122" i="1" s="1"/>
  <c r="H122" i="1"/>
  <c r="C122" i="1"/>
  <c r="F121" i="1"/>
  <c r="P123" i="1"/>
  <c r="J123" i="1"/>
  <c r="K123" i="1"/>
  <c r="L123" i="1" s="1"/>
  <c r="N123" i="1"/>
  <c r="I124" i="1" s="1"/>
  <c r="M122" i="1"/>
  <c r="W151" i="1"/>
  <c r="X151" i="1" s="1"/>
  <c r="Y151" i="1"/>
  <c r="A153" i="1"/>
  <c r="D152" i="1"/>
  <c r="I152" i="1"/>
  <c r="P152" i="1" s="1"/>
  <c r="C152" i="1"/>
  <c r="B152" i="1"/>
  <c r="H152" i="1" s="1"/>
  <c r="AL152" i="1"/>
  <c r="F150" i="10" s="1"/>
  <c r="F152" i="1"/>
  <c r="E152" i="1"/>
  <c r="AK152" i="1"/>
  <c r="B150" i="10" s="1"/>
  <c r="V152" i="1"/>
  <c r="L152" i="1"/>
  <c r="K152" i="1"/>
  <c r="AB152" i="1"/>
  <c r="AC152" i="1" s="1"/>
  <c r="AD152" i="1" s="1"/>
  <c r="AI152" i="1"/>
  <c r="N150" i="10" s="1"/>
  <c r="AA152" i="1"/>
  <c r="J150" i="10" s="1"/>
  <c r="M152" i="1"/>
  <c r="J152" i="1"/>
  <c r="O150" i="10"/>
  <c r="K150" i="10"/>
  <c r="G150" i="10"/>
  <c r="S152" i="1"/>
  <c r="Z152" i="1"/>
  <c r="I150" i="10"/>
  <c r="C150" i="10"/>
  <c r="G152" i="1"/>
  <c r="AM152" i="1"/>
  <c r="T152" i="1"/>
  <c r="E150" i="10"/>
  <c r="AO152" i="1"/>
  <c r="AN152" i="1"/>
  <c r="R152" i="1"/>
  <c r="N152" i="1"/>
  <c r="A150" i="10"/>
  <c r="AF152" i="1"/>
  <c r="AG152" i="1" s="1"/>
  <c r="AH152" i="1" s="1"/>
  <c r="M150" i="10"/>
  <c r="M123" i="1" l="1"/>
  <c r="G122" i="1"/>
  <c r="B123" i="1" s="1"/>
  <c r="F122" i="1"/>
  <c r="P124" i="1"/>
  <c r="J124" i="1"/>
  <c r="N124" i="1" s="1"/>
  <c r="I125" i="1" s="1"/>
  <c r="K124" i="1"/>
  <c r="L124" i="1" s="1"/>
  <c r="Y152" i="1"/>
  <c r="W152" i="1"/>
  <c r="X152" i="1" s="1"/>
  <c r="D153" i="1"/>
  <c r="A154" i="1"/>
  <c r="C153" i="1"/>
  <c r="I153" i="1"/>
  <c r="P153" i="1" s="1"/>
  <c r="AL153" i="1"/>
  <c r="F151" i="10" s="1"/>
  <c r="B153" i="1"/>
  <c r="H153" i="1" s="1"/>
  <c r="F153" i="1"/>
  <c r="E153" i="1"/>
  <c r="AK153" i="1"/>
  <c r="B151" i="10" s="1"/>
  <c r="G153" i="1"/>
  <c r="AA153" i="1"/>
  <c r="J151" i="10" s="1"/>
  <c r="AB153" i="1"/>
  <c r="AC153" i="1" s="1"/>
  <c r="AD153" i="1" s="1"/>
  <c r="M153" i="1"/>
  <c r="N153" i="1"/>
  <c r="L153" i="1"/>
  <c r="J153" i="1"/>
  <c r="O151" i="10"/>
  <c r="K151" i="10"/>
  <c r="V153" i="1"/>
  <c r="K153" i="1"/>
  <c r="AI153" i="1"/>
  <c r="N151" i="10" s="1"/>
  <c r="G151" i="10"/>
  <c r="C151" i="10"/>
  <c r="R153" i="1"/>
  <c r="AF153" i="1"/>
  <c r="AG153" i="1" s="1"/>
  <c r="AH153" i="1" s="1"/>
  <c r="I151" i="10"/>
  <c r="Z153" i="1"/>
  <c r="AO153" i="1"/>
  <c r="E151" i="10"/>
  <c r="T153" i="1"/>
  <c r="M151" i="10"/>
  <c r="AN153" i="1"/>
  <c r="AM153" i="1"/>
  <c r="S153" i="1"/>
  <c r="A151" i="10"/>
  <c r="D123" i="1" l="1"/>
  <c r="E123" i="1" s="1"/>
  <c r="C123" i="1"/>
  <c r="H123" i="1"/>
  <c r="G123" i="1"/>
  <c r="B124" i="1" s="1"/>
  <c r="M124" i="1"/>
  <c r="P125" i="1"/>
  <c r="K125" i="1"/>
  <c r="L125" i="1" s="1"/>
  <c r="J125" i="1"/>
  <c r="A155" i="1"/>
  <c r="D154" i="1"/>
  <c r="C154" i="1"/>
  <c r="I154" i="1"/>
  <c r="P154" i="1" s="1"/>
  <c r="AL154" i="1"/>
  <c r="F152" i="10" s="1"/>
  <c r="B154" i="1"/>
  <c r="H154" i="1" s="1"/>
  <c r="F154" i="1"/>
  <c r="E154" i="1"/>
  <c r="AB154" i="1"/>
  <c r="AC154" i="1" s="1"/>
  <c r="AD154" i="1" s="1"/>
  <c r="M154" i="1"/>
  <c r="G154" i="1"/>
  <c r="AA154" i="1"/>
  <c r="J152" i="10" s="1"/>
  <c r="AK154" i="1"/>
  <c r="B152" i="10" s="1"/>
  <c r="V154" i="1"/>
  <c r="L154" i="1"/>
  <c r="K154" i="1"/>
  <c r="J154" i="1"/>
  <c r="O152" i="10"/>
  <c r="K152" i="10"/>
  <c r="AI154" i="1"/>
  <c r="N152" i="10" s="1"/>
  <c r="C152" i="10"/>
  <c r="N154" i="1"/>
  <c r="G152" i="10"/>
  <c r="T154" i="1"/>
  <c r="AO154" i="1"/>
  <c r="I152" i="10"/>
  <c r="S154" i="1"/>
  <c r="AN154" i="1"/>
  <c r="E152" i="10"/>
  <c r="AM154" i="1"/>
  <c r="M152" i="10"/>
  <c r="Z154" i="1"/>
  <c r="A152" i="10"/>
  <c r="R154" i="1"/>
  <c r="AF154" i="1"/>
  <c r="AG154" i="1" s="1"/>
  <c r="AH154" i="1" s="1"/>
  <c r="Y153" i="1"/>
  <c r="W153" i="1"/>
  <c r="X153" i="1" s="1"/>
  <c r="M125" i="1" l="1"/>
  <c r="D124" i="1"/>
  <c r="E124" i="1" s="1"/>
  <c r="H124" i="1"/>
  <c r="C124" i="1"/>
  <c r="F124" i="1" s="1"/>
  <c r="F123" i="1"/>
  <c r="N125" i="1"/>
  <c r="I126" i="1" s="1"/>
  <c r="W154" i="1"/>
  <c r="X154" i="1" s="1"/>
  <c r="Y154" i="1"/>
  <c r="D155" i="1"/>
  <c r="A156" i="1"/>
  <c r="C155" i="1"/>
  <c r="I155" i="1"/>
  <c r="P155" i="1" s="1"/>
  <c r="B155" i="1"/>
  <c r="H155" i="1" s="1"/>
  <c r="AL155" i="1"/>
  <c r="F153" i="10" s="1"/>
  <c r="F155" i="1"/>
  <c r="E155" i="1"/>
  <c r="AK155" i="1"/>
  <c r="B153" i="10" s="1"/>
  <c r="AB155" i="1"/>
  <c r="AC155" i="1" s="1"/>
  <c r="AD155" i="1" s="1"/>
  <c r="L155" i="1"/>
  <c r="K155" i="1"/>
  <c r="M155" i="1"/>
  <c r="V155" i="1"/>
  <c r="N155" i="1"/>
  <c r="AI155" i="1"/>
  <c r="N153" i="10" s="1"/>
  <c r="O153" i="10"/>
  <c r="C153" i="10"/>
  <c r="J155" i="1"/>
  <c r="Z155" i="1"/>
  <c r="AF155" i="1"/>
  <c r="AG155" i="1" s="1"/>
  <c r="AH155" i="1" s="1"/>
  <c r="A153" i="10"/>
  <c r="K153" i="10"/>
  <c r="G153" i="10"/>
  <c r="T155" i="1"/>
  <c r="AO155" i="1"/>
  <c r="I153" i="10"/>
  <c r="S155" i="1"/>
  <c r="E153" i="10"/>
  <c r="R155" i="1"/>
  <c r="M153" i="10"/>
  <c r="G155" i="1"/>
  <c r="AM155" i="1"/>
  <c r="AA155" i="1"/>
  <c r="J153" i="10" s="1"/>
  <c r="AN155" i="1"/>
  <c r="G124" i="1" l="1"/>
  <c r="B125" i="1" s="1"/>
  <c r="P126" i="1"/>
  <c r="K126" i="1"/>
  <c r="L126" i="1" s="1"/>
  <c r="J126" i="1"/>
  <c r="N126" i="1" s="1"/>
  <c r="I127" i="1" s="1"/>
  <c r="Y155" i="1"/>
  <c r="W155" i="1"/>
  <c r="X155" i="1" s="1"/>
  <c r="A157" i="1"/>
  <c r="D156" i="1"/>
  <c r="I156" i="1"/>
  <c r="P156" i="1" s="1"/>
  <c r="C156" i="1"/>
  <c r="B156" i="1"/>
  <c r="H156" i="1" s="1"/>
  <c r="AL156" i="1"/>
  <c r="F154" i="10" s="1"/>
  <c r="F156" i="1"/>
  <c r="E156" i="1"/>
  <c r="AK156" i="1"/>
  <c r="B154" i="10" s="1"/>
  <c r="N156" i="1"/>
  <c r="V156" i="1"/>
  <c r="L156" i="1"/>
  <c r="K156" i="1"/>
  <c r="AA156" i="1"/>
  <c r="J154" i="10" s="1"/>
  <c r="AB156" i="1"/>
  <c r="AC156" i="1" s="1"/>
  <c r="AD156" i="1" s="1"/>
  <c r="M156" i="1"/>
  <c r="AI156" i="1"/>
  <c r="N154" i="10" s="1"/>
  <c r="J156" i="1"/>
  <c r="O154" i="10"/>
  <c r="K154" i="10"/>
  <c r="G154" i="10"/>
  <c r="G156" i="1"/>
  <c r="AF156" i="1"/>
  <c r="AG156" i="1" s="1"/>
  <c r="AH156" i="1" s="1"/>
  <c r="T156" i="1"/>
  <c r="M154" i="10"/>
  <c r="Z156" i="1"/>
  <c r="R156" i="1"/>
  <c r="A154" i="10"/>
  <c r="C154" i="10"/>
  <c r="AO156" i="1"/>
  <c r="I154" i="10"/>
  <c r="AN156" i="1"/>
  <c r="AM156" i="1"/>
  <c r="S156" i="1"/>
  <c r="E154" i="10"/>
  <c r="H125" i="1" l="1"/>
  <c r="C125" i="1"/>
  <c r="G125" i="1" s="1"/>
  <c r="B126" i="1" s="1"/>
  <c r="D125" i="1"/>
  <c r="E125" i="1" s="1"/>
  <c r="P127" i="1"/>
  <c r="K127" i="1"/>
  <c r="L127" i="1" s="1"/>
  <c r="J127" i="1"/>
  <c r="M126" i="1"/>
  <c r="W156" i="1"/>
  <c r="X156" i="1" s="1"/>
  <c r="Y156" i="1"/>
  <c r="D157" i="1"/>
  <c r="A158" i="1"/>
  <c r="I157" i="1"/>
  <c r="P157" i="1" s="1"/>
  <c r="AL157" i="1"/>
  <c r="F155" i="10" s="1"/>
  <c r="B157" i="1"/>
  <c r="H157" i="1" s="1"/>
  <c r="C157" i="1"/>
  <c r="F157" i="1"/>
  <c r="E157" i="1"/>
  <c r="AK157" i="1"/>
  <c r="B155" i="10" s="1"/>
  <c r="G157" i="1"/>
  <c r="AB157" i="1"/>
  <c r="AC157" i="1" s="1"/>
  <c r="AD157" i="1" s="1"/>
  <c r="N157" i="1"/>
  <c r="M157" i="1"/>
  <c r="J157" i="1"/>
  <c r="O155" i="10"/>
  <c r="K155" i="10"/>
  <c r="L157" i="1"/>
  <c r="AI157" i="1"/>
  <c r="N155" i="10" s="1"/>
  <c r="AA157" i="1"/>
  <c r="J155" i="10" s="1"/>
  <c r="G155" i="10"/>
  <c r="K157" i="1"/>
  <c r="C155" i="10"/>
  <c r="AN157" i="1"/>
  <c r="AF157" i="1"/>
  <c r="AG157" i="1" s="1"/>
  <c r="AH157" i="1" s="1"/>
  <c r="M155" i="10"/>
  <c r="V157" i="1"/>
  <c r="Z157" i="1"/>
  <c r="AM157" i="1"/>
  <c r="A155" i="10"/>
  <c r="AO157" i="1"/>
  <c r="I155" i="10"/>
  <c r="T157" i="1"/>
  <c r="E155" i="10"/>
  <c r="R157" i="1"/>
  <c r="S157" i="1"/>
  <c r="M127" i="1" l="1"/>
  <c r="F125" i="1"/>
  <c r="H126" i="1"/>
  <c r="C126" i="1"/>
  <c r="D126" i="1"/>
  <c r="E126" i="1" s="1"/>
  <c r="G126" i="1"/>
  <c r="B127" i="1" s="1"/>
  <c r="N127" i="1"/>
  <c r="I128" i="1" s="1"/>
  <c r="W157" i="1"/>
  <c r="X157" i="1" s="1"/>
  <c r="Y157" i="1"/>
  <c r="A159" i="1"/>
  <c r="D158" i="1"/>
  <c r="C158" i="1"/>
  <c r="AL158" i="1"/>
  <c r="F156" i="10" s="1"/>
  <c r="I158" i="1"/>
  <c r="P158" i="1" s="1"/>
  <c r="B158" i="1"/>
  <c r="H158" i="1" s="1"/>
  <c r="F158" i="1"/>
  <c r="AK158" i="1"/>
  <c r="B156" i="10" s="1"/>
  <c r="AB158" i="1"/>
  <c r="AC158" i="1" s="1"/>
  <c r="AD158" i="1" s="1"/>
  <c r="M158" i="1"/>
  <c r="E158" i="1"/>
  <c r="AA158" i="1"/>
  <c r="J156" i="10" s="1"/>
  <c r="V158" i="1"/>
  <c r="N158" i="1"/>
  <c r="L158" i="1"/>
  <c r="K158" i="1"/>
  <c r="G158" i="1"/>
  <c r="J158" i="1"/>
  <c r="O156" i="10"/>
  <c r="K156" i="10"/>
  <c r="C156" i="10"/>
  <c r="AI158" i="1"/>
  <c r="N156" i="10" s="1"/>
  <c r="G156" i="10"/>
  <c r="AO158" i="1"/>
  <c r="AM158" i="1"/>
  <c r="M156" i="10"/>
  <c r="T158" i="1"/>
  <c r="R158" i="1"/>
  <c r="A156" i="10"/>
  <c r="AN158" i="1"/>
  <c r="S158" i="1"/>
  <c r="Z158" i="1"/>
  <c r="I156" i="10"/>
  <c r="AF158" i="1"/>
  <c r="AG158" i="1" s="1"/>
  <c r="AH158" i="1" s="1"/>
  <c r="E156" i="10"/>
  <c r="F126" i="1" l="1"/>
  <c r="D127" i="1"/>
  <c r="E127" i="1" s="1"/>
  <c r="C127" i="1"/>
  <c r="H127" i="1"/>
  <c r="G127" i="1"/>
  <c r="B128" i="1" s="1"/>
  <c r="P128" i="1"/>
  <c r="K128" i="1"/>
  <c r="L128" i="1" s="1"/>
  <c r="J128" i="1"/>
  <c r="N128" i="1" s="1"/>
  <c r="I129" i="1" s="1"/>
  <c r="M128" i="1"/>
  <c r="Y158" i="1"/>
  <c r="W158" i="1"/>
  <c r="X158" i="1" s="1"/>
  <c r="D159" i="1"/>
  <c r="C159" i="1"/>
  <c r="A160" i="1"/>
  <c r="I159" i="1"/>
  <c r="P159" i="1" s="1"/>
  <c r="B159" i="1"/>
  <c r="H159" i="1" s="1"/>
  <c r="AL159" i="1"/>
  <c r="F157" i="10" s="1"/>
  <c r="F159" i="1"/>
  <c r="E159" i="1"/>
  <c r="AK159" i="1"/>
  <c r="B157" i="10" s="1"/>
  <c r="V159" i="1"/>
  <c r="L159" i="1"/>
  <c r="K159" i="1"/>
  <c r="AB159" i="1"/>
  <c r="AC159" i="1" s="1"/>
  <c r="AD159" i="1" s="1"/>
  <c r="M159" i="1"/>
  <c r="N159" i="1"/>
  <c r="AA159" i="1"/>
  <c r="J157" i="10" s="1"/>
  <c r="G159" i="1"/>
  <c r="AI159" i="1"/>
  <c r="N157" i="10" s="1"/>
  <c r="O157" i="10"/>
  <c r="C157" i="10"/>
  <c r="J159" i="1"/>
  <c r="K157" i="10"/>
  <c r="AO159" i="1"/>
  <c r="S159" i="1"/>
  <c r="M157" i="10"/>
  <c r="AF159" i="1"/>
  <c r="AG159" i="1" s="1"/>
  <c r="AH159" i="1" s="1"/>
  <c r="Z159" i="1"/>
  <c r="A157" i="10"/>
  <c r="AM159" i="1"/>
  <c r="I157" i="10"/>
  <c r="G157" i="10"/>
  <c r="AN159" i="1"/>
  <c r="R159" i="1"/>
  <c r="E157" i="10"/>
  <c r="T159" i="1"/>
  <c r="H128" i="1" l="1"/>
  <c r="C128" i="1"/>
  <c r="D128" i="1"/>
  <c r="E128" i="1" s="1"/>
  <c r="F127" i="1"/>
  <c r="P129" i="1"/>
  <c r="K129" i="1"/>
  <c r="L129" i="1" s="1"/>
  <c r="J129" i="1"/>
  <c r="W159" i="1"/>
  <c r="X159" i="1" s="1"/>
  <c r="Y159" i="1"/>
  <c r="A161" i="1"/>
  <c r="D160" i="1"/>
  <c r="I160" i="1"/>
  <c r="P160" i="1" s="1"/>
  <c r="C160" i="1"/>
  <c r="B160" i="1"/>
  <c r="H160" i="1" s="1"/>
  <c r="AL160" i="1"/>
  <c r="F158" i="10" s="1"/>
  <c r="F160" i="1"/>
  <c r="E160" i="1"/>
  <c r="AK160" i="1"/>
  <c r="B158" i="10" s="1"/>
  <c r="AB160" i="1"/>
  <c r="AC160" i="1" s="1"/>
  <c r="AD160" i="1" s="1"/>
  <c r="N160" i="1"/>
  <c r="L160" i="1"/>
  <c r="K160" i="1"/>
  <c r="V160" i="1"/>
  <c r="G160" i="1"/>
  <c r="AI160" i="1"/>
  <c r="N158" i="10" s="1"/>
  <c r="M160" i="1"/>
  <c r="AA160" i="1"/>
  <c r="J158" i="10" s="1"/>
  <c r="J160" i="1"/>
  <c r="O158" i="10"/>
  <c r="K158" i="10"/>
  <c r="G158" i="10"/>
  <c r="AF160" i="1"/>
  <c r="AG160" i="1" s="1"/>
  <c r="AH160" i="1" s="1"/>
  <c r="E158" i="10"/>
  <c r="T160" i="1"/>
  <c r="S160" i="1"/>
  <c r="AO160" i="1"/>
  <c r="M158" i="10"/>
  <c r="AN160" i="1"/>
  <c r="C158" i="10"/>
  <c r="AM160" i="1"/>
  <c r="R160" i="1"/>
  <c r="Z160" i="1"/>
  <c r="I158" i="10"/>
  <c r="A158" i="10"/>
  <c r="M129" i="1" l="1"/>
  <c r="G128" i="1"/>
  <c r="B129" i="1" s="1"/>
  <c r="F128" i="1"/>
  <c r="N129" i="1"/>
  <c r="I130" i="1" s="1"/>
  <c r="W160" i="1"/>
  <c r="X160" i="1" s="1"/>
  <c r="Y160" i="1"/>
  <c r="D161" i="1"/>
  <c r="A162" i="1"/>
  <c r="I161" i="1"/>
  <c r="P161" i="1" s="1"/>
  <c r="AL161" i="1"/>
  <c r="F159" i="10" s="1"/>
  <c r="B161" i="1"/>
  <c r="H161" i="1" s="1"/>
  <c r="C161" i="1"/>
  <c r="F161" i="1"/>
  <c r="E161" i="1"/>
  <c r="AK161" i="1"/>
  <c r="B159" i="10" s="1"/>
  <c r="V161" i="1"/>
  <c r="AA161" i="1"/>
  <c r="J159" i="10" s="1"/>
  <c r="G161" i="1"/>
  <c r="M161" i="1"/>
  <c r="J161" i="1"/>
  <c r="O159" i="10"/>
  <c r="K159" i="10"/>
  <c r="AB161" i="1"/>
  <c r="AC161" i="1" s="1"/>
  <c r="AD161" i="1" s="1"/>
  <c r="AI161" i="1"/>
  <c r="N159" i="10" s="1"/>
  <c r="K161" i="1"/>
  <c r="G159" i="10"/>
  <c r="L161" i="1"/>
  <c r="C159" i="10"/>
  <c r="N161" i="1"/>
  <c r="AF161" i="1"/>
  <c r="AG161" i="1" s="1"/>
  <c r="AH161" i="1" s="1"/>
  <c r="I159" i="10"/>
  <c r="T161" i="1"/>
  <c r="Z161" i="1"/>
  <c r="E159" i="10"/>
  <c r="R161" i="1"/>
  <c r="AN161" i="1"/>
  <c r="AM161" i="1"/>
  <c r="AO161" i="1"/>
  <c r="A159" i="10"/>
  <c r="M159" i="10"/>
  <c r="S161" i="1"/>
  <c r="H129" i="1" l="1"/>
  <c r="C129" i="1"/>
  <c r="D129" i="1"/>
  <c r="E129" i="1" s="1"/>
  <c r="G129" i="1"/>
  <c r="B130" i="1" s="1"/>
  <c r="P130" i="1"/>
  <c r="K130" i="1"/>
  <c r="L130" i="1" s="1"/>
  <c r="N130" i="1"/>
  <c r="I131" i="1" s="1"/>
  <c r="J130" i="1"/>
  <c r="Y161" i="1"/>
  <c r="W161" i="1"/>
  <c r="X161" i="1" s="1"/>
  <c r="A163" i="1"/>
  <c r="D162" i="1"/>
  <c r="C162" i="1"/>
  <c r="AL162" i="1"/>
  <c r="F160" i="10" s="1"/>
  <c r="I162" i="1"/>
  <c r="P162" i="1" s="1"/>
  <c r="E162" i="1"/>
  <c r="V162" i="1"/>
  <c r="M162" i="1"/>
  <c r="AK162" i="1"/>
  <c r="B160" i="10" s="1"/>
  <c r="G162" i="1"/>
  <c r="AB162" i="1"/>
  <c r="AC162" i="1" s="1"/>
  <c r="AD162" i="1" s="1"/>
  <c r="B162" i="1"/>
  <c r="H162" i="1" s="1"/>
  <c r="F162" i="1"/>
  <c r="L162" i="1"/>
  <c r="K162" i="1"/>
  <c r="J162" i="1"/>
  <c r="O160" i="10"/>
  <c r="K160" i="10"/>
  <c r="C160" i="10"/>
  <c r="G160" i="10"/>
  <c r="N162" i="1"/>
  <c r="AA162" i="1"/>
  <c r="J160" i="10" s="1"/>
  <c r="AI162" i="1"/>
  <c r="N160" i="10" s="1"/>
  <c r="AF162" i="1"/>
  <c r="AG162" i="1" s="1"/>
  <c r="AH162" i="1" s="1"/>
  <c r="AN162" i="1"/>
  <c r="I160" i="10"/>
  <c r="Z162" i="1"/>
  <c r="S162" i="1"/>
  <c r="E160" i="10"/>
  <c r="AO162" i="1"/>
  <c r="M160" i="10"/>
  <c r="T162" i="1"/>
  <c r="R162" i="1"/>
  <c r="A160" i="10"/>
  <c r="AM162" i="1"/>
  <c r="M130" i="1" l="1"/>
  <c r="H130" i="1"/>
  <c r="C130" i="1"/>
  <c r="D130" i="1"/>
  <c r="E130" i="1" s="1"/>
  <c r="F129" i="1"/>
  <c r="P131" i="1"/>
  <c r="K131" i="1"/>
  <c r="L131" i="1" s="1"/>
  <c r="N131" i="1"/>
  <c r="I132" i="1" s="1"/>
  <c r="J131" i="1"/>
  <c r="M131" i="1" s="1"/>
  <c r="D163" i="1"/>
  <c r="A164" i="1"/>
  <c r="C163" i="1"/>
  <c r="I163" i="1"/>
  <c r="P163" i="1" s="1"/>
  <c r="B163" i="1"/>
  <c r="H163" i="1" s="1"/>
  <c r="AL163" i="1"/>
  <c r="F161" i="10" s="1"/>
  <c r="F163" i="1"/>
  <c r="E163" i="1"/>
  <c r="AK163" i="1"/>
  <c r="B161" i="10" s="1"/>
  <c r="AB163" i="1"/>
  <c r="AC163" i="1" s="1"/>
  <c r="AD163" i="1" s="1"/>
  <c r="L163" i="1"/>
  <c r="K163" i="1"/>
  <c r="M163" i="1"/>
  <c r="V163" i="1"/>
  <c r="N163" i="1"/>
  <c r="AI163" i="1"/>
  <c r="N161" i="10" s="1"/>
  <c r="AA163" i="1"/>
  <c r="J161" i="10" s="1"/>
  <c r="J163" i="1"/>
  <c r="K161" i="10"/>
  <c r="C161" i="10"/>
  <c r="G163" i="1"/>
  <c r="R163" i="1"/>
  <c r="A161" i="10"/>
  <c r="T163" i="1"/>
  <c r="Z163" i="1"/>
  <c r="I161" i="10"/>
  <c r="AO163" i="1"/>
  <c r="S163" i="1"/>
  <c r="AF163" i="1"/>
  <c r="AG163" i="1" s="1"/>
  <c r="AH163" i="1" s="1"/>
  <c r="AN163" i="1"/>
  <c r="O161" i="10"/>
  <c r="G161" i="10"/>
  <c r="AM163" i="1"/>
  <c r="M161" i="10"/>
  <c r="E161" i="10"/>
  <c r="Y162" i="1"/>
  <c r="W162" i="1"/>
  <c r="X162" i="1" s="1"/>
  <c r="G130" i="1" l="1"/>
  <c r="B131" i="1" s="1"/>
  <c r="F130" i="1"/>
  <c r="P132" i="1"/>
  <c r="K132" i="1"/>
  <c r="L132" i="1" s="1"/>
  <c r="J132" i="1"/>
  <c r="Y163" i="1"/>
  <c r="W163" i="1"/>
  <c r="X163" i="1" s="1"/>
  <c r="A165" i="1"/>
  <c r="D164" i="1"/>
  <c r="I164" i="1"/>
  <c r="P164" i="1" s="1"/>
  <c r="C164" i="1"/>
  <c r="B164" i="1"/>
  <c r="H164" i="1" s="1"/>
  <c r="AL164" i="1"/>
  <c r="F162" i="10" s="1"/>
  <c r="F164" i="1"/>
  <c r="E164" i="1"/>
  <c r="AK164" i="1"/>
  <c r="B162" i="10" s="1"/>
  <c r="V164" i="1"/>
  <c r="N164" i="1"/>
  <c r="AA164" i="1"/>
  <c r="J162" i="10" s="1"/>
  <c r="L164" i="1"/>
  <c r="K164" i="1"/>
  <c r="AB164" i="1"/>
  <c r="AC164" i="1" s="1"/>
  <c r="AD164" i="1" s="1"/>
  <c r="AI164" i="1"/>
  <c r="N162" i="10" s="1"/>
  <c r="J164" i="1"/>
  <c r="O162" i="10"/>
  <c r="K162" i="10"/>
  <c r="M164" i="1"/>
  <c r="G162" i="10"/>
  <c r="C162" i="10"/>
  <c r="G164" i="1"/>
  <c r="S164" i="1"/>
  <c r="Z164" i="1"/>
  <c r="E162" i="10"/>
  <c r="AF164" i="1"/>
  <c r="AG164" i="1" s="1"/>
  <c r="AH164" i="1" s="1"/>
  <c r="AN164" i="1"/>
  <c r="M162" i="10"/>
  <c r="T164" i="1"/>
  <c r="A162" i="10"/>
  <c r="R164" i="1"/>
  <c r="AM164" i="1"/>
  <c r="I162" i="10"/>
  <c r="AO164" i="1"/>
  <c r="M132" i="1" l="1"/>
  <c r="H131" i="1"/>
  <c r="C131" i="1"/>
  <c r="D131" i="1"/>
  <c r="E131" i="1" s="1"/>
  <c r="G131" i="1"/>
  <c r="B132" i="1" s="1"/>
  <c r="N132" i="1"/>
  <c r="I133" i="1" s="1"/>
  <c r="D165" i="1"/>
  <c r="A166" i="1"/>
  <c r="I165" i="1"/>
  <c r="P165" i="1" s="1"/>
  <c r="C165" i="1"/>
  <c r="AL165" i="1"/>
  <c r="F163" i="10" s="1"/>
  <c r="B165" i="1"/>
  <c r="H165" i="1" s="1"/>
  <c r="F165" i="1"/>
  <c r="E165" i="1"/>
  <c r="AK165" i="1"/>
  <c r="B163" i="10" s="1"/>
  <c r="AB165" i="1"/>
  <c r="AC165" i="1" s="1"/>
  <c r="AD165" i="1" s="1"/>
  <c r="M165" i="1"/>
  <c r="K165" i="1"/>
  <c r="J165" i="1"/>
  <c r="O163" i="10"/>
  <c r="AA165" i="1"/>
  <c r="J163" i="10" s="1"/>
  <c r="K163" i="10"/>
  <c r="V165" i="1"/>
  <c r="AI165" i="1"/>
  <c r="N163" i="10" s="1"/>
  <c r="L165" i="1"/>
  <c r="G163" i="10"/>
  <c r="C163" i="10"/>
  <c r="AO165" i="1"/>
  <c r="AF165" i="1"/>
  <c r="AG165" i="1" s="1"/>
  <c r="AH165" i="1" s="1"/>
  <c r="A163" i="10"/>
  <c r="T165" i="1"/>
  <c r="AN165" i="1"/>
  <c r="I163" i="10"/>
  <c r="AM165" i="1"/>
  <c r="E163" i="10"/>
  <c r="N165" i="1"/>
  <c r="R165" i="1"/>
  <c r="M163" i="10"/>
  <c r="G165" i="1"/>
  <c r="Z165" i="1"/>
  <c r="S165" i="1"/>
  <c r="W164" i="1"/>
  <c r="X164" i="1" s="1"/>
  <c r="Y164" i="1"/>
  <c r="D132" i="1" l="1"/>
  <c r="E132" i="1" s="1"/>
  <c r="H132" i="1"/>
  <c r="C132" i="1"/>
  <c r="F131" i="1"/>
  <c r="P133" i="1"/>
  <c r="J133" i="1"/>
  <c r="K133" i="1"/>
  <c r="L133" i="1" s="1"/>
  <c r="A167" i="1"/>
  <c r="D166" i="1"/>
  <c r="C166" i="1"/>
  <c r="I166" i="1"/>
  <c r="P166" i="1" s="1"/>
  <c r="AL166" i="1"/>
  <c r="F164" i="10" s="1"/>
  <c r="B166" i="1"/>
  <c r="H166" i="1" s="1"/>
  <c r="E166" i="1"/>
  <c r="F166" i="1"/>
  <c r="G166" i="1"/>
  <c r="M166" i="1"/>
  <c r="N166" i="1"/>
  <c r="AB166" i="1"/>
  <c r="AC166" i="1" s="1"/>
  <c r="AD166" i="1" s="1"/>
  <c r="L166" i="1"/>
  <c r="K166" i="1"/>
  <c r="AK166" i="1"/>
  <c r="B164" i="10" s="1"/>
  <c r="J166" i="1"/>
  <c r="O164" i="10"/>
  <c r="AA166" i="1"/>
  <c r="J164" i="10" s="1"/>
  <c r="K164" i="10"/>
  <c r="V166" i="1"/>
  <c r="C164" i="10"/>
  <c r="G164" i="10"/>
  <c r="AI166" i="1"/>
  <c r="N164" i="10" s="1"/>
  <c r="Z166" i="1"/>
  <c r="AF166" i="1"/>
  <c r="AG166" i="1" s="1"/>
  <c r="AH166" i="1" s="1"/>
  <c r="A164" i="10"/>
  <c r="T166" i="1"/>
  <c r="AN166" i="1"/>
  <c r="I164" i="10"/>
  <c r="AM166" i="1"/>
  <c r="AO166" i="1"/>
  <c r="E164" i="10"/>
  <c r="R166" i="1"/>
  <c r="M164" i="10"/>
  <c r="S166" i="1"/>
  <c r="Y165" i="1"/>
  <c r="W165" i="1"/>
  <c r="X165" i="1" s="1"/>
  <c r="M133" i="1" l="1"/>
  <c r="G132" i="1"/>
  <c r="B133" i="1" s="1"/>
  <c r="F132" i="1"/>
  <c r="N133" i="1"/>
  <c r="I134" i="1" s="1"/>
  <c r="W166" i="1"/>
  <c r="X166" i="1" s="1"/>
  <c r="Y166" i="1"/>
  <c r="D167" i="1"/>
  <c r="A168" i="1"/>
  <c r="C167" i="1"/>
  <c r="I167" i="1"/>
  <c r="P167" i="1" s="1"/>
  <c r="B167" i="1"/>
  <c r="H167" i="1" s="1"/>
  <c r="F167" i="1"/>
  <c r="E167" i="1"/>
  <c r="AL167" i="1"/>
  <c r="F165" i="10" s="1"/>
  <c r="AK167" i="1"/>
  <c r="B165" i="10" s="1"/>
  <c r="AB167" i="1"/>
  <c r="AC167" i="1" s="1"/>
  <c r="AD167" i="1" s="1"/>
  <c r="G167" i="1"/>
  <c r="L167" i="1"/>
  <c r="K167" i="1"/>
  <c r="M167" i="1"/>
  <c r="V167" i="1"/>
  <c r="AI167" i="1"/>
  <c r="N165" i="10" s="1"/>
  <c r="AA167" i="1"/>
  <c r="J165" i="10" s="1"/>
  <c r="J167" i="1"/>
  <c r="K165" i="10"/>
  <c r="C165" i="10"/>
  <c r="O165" i="10"/>
  <c r="G165" i="10"/>
  <c r="AM167" i="1"/>
  <c r="N167" i="1"/>
  <c r="R167" i="1"/>
  <c r="M165" i="10"/>
  <c r="Z167" i="1"/>
  <c r="T167" i="1"/>
  <c r="A165" i="10"/>
  <c r="AF167" i="1"/>
  <c r="AG167" i="1" s="1"/>
  <c r="AH167" i="1" s="1"/>
  <c r="I165" i="10"/>
  <c r="AN167" i="1"/>
  <c r="AO167" i="1"/>
  <c r="E165" i="10"/>
  <c r="S167" i="1"/>
  <c r="H133" i="1" l="1"/>
  <c r="C133" i="1"/>
  <c r="D133" i="1"/>
  <c r="E133" i="1" s="1"/>
  <c r="G133" i="1"/>
  <c r="B134" i="1" s="1"/>
  <c r="P134" i="1"/>
  <c r="J134" i="1"/>
  <c r="N134" i="1"/>
  <c r="I135" i="1" s="1"/>
  <c r="K134" i="1"/>
  <c r="L134" i="1" s="1"/>
  <c r="A169" i="1"/>
  <c r="D168" i="1"/>
  <c r="I168" i="1"/>
  <c r="P168" i="1" s="1"/>
  <c r="C168" i="1"/>
  <c r="B168" i="1"/>
  <c r="H168" i="1" s="1"/>
  <c r="AL168" i="1"/>
  <c r="F166" i="10" s="1"/>
  <c r="F168" i="1"/>
  <c r="E168" i="1"/>
  <c r="AK168" i="1"/>
  <c r="B166" i="10" s="1"/>
  <c r="G168" i="1"/>
  <c r="AB168" i="1"/>
  <c r="AC168" i="1" s="1"/>
  <c r="AD168" i="1" s="1"/>
  <c r="L168" i="1"/>
  <c r="K168" i="1"/>
  <c r="AI168" i="1"/>
  <c r="N166" i="10" s="1"/>
  <c r="V168" i="1"/>
  <c r="M168" i="1"/>
  <c r="J168" i="1"/>
  <c r="O166" i="10"/>
  <c r="AA168" i="1"/>
  <c r="J166" i="10" s="1"/>
  <c r="K166" i="10"/>
  <c r="G166" i="10"/>
  <c r="T168" i="1"/>
  <c r="AN168" i="1"/>
  <c r="I166" i="10"/>
  <c r="C166" i="10"/>
  <c r="R168" i="1"/>
  <c r="S168" i="1"/>
  <c r="AM168" i="1"/>
  <c r="E166" i="10"/>
  <c r="AF168" i="1"/>
  <c r="AG168" i="1" s="1"/>
  <c r="AH168" i="1" s="1"/>
  <c r="M166" i="10"/>
  <c r="AO168" i="1"/>
  <c r="N168" i="1"/>
  <c r="A166" i="10"/>
  <c r="Z168" i="1"/>
  <c r="Y167" i="1"/>
  <c r="W167" i="1"/>
  <c r="X167" i="1" s="1"/>
  <c r="M134" i="1" l="1"/>
  <c r="D134" i="1"/>
  <c r="E134" i="1" s="1"/>
  <c r="H134" i="1"/>
  <c r="C134" i="1"/>
  <c r="F133" i="1"/>
  <c r="P135" i="1"/>
  <c r="N135" i="1"/>
  <c r="I136" i="1" s="1"/>
  <c r="J135" i="1"/>
  <c r="K135" i="1"/>
  <c r="L135" i="1" s="1"/>
  <c r="W168" i="1"/>
  <c r="X168" i="1" s="1"/>
  <c r="Y168" i="1"/>
  <c r="D169" i="1"/>
  <c r="A170" i="1"/>
  <c r="I169" i="1"/>
  <c r="P169" i="1" s="1"/>
  <c r="AL169" i="1"/>
  <c r="F167" i="10" s="1"/>
  <c r="C169" i="1"/>
  <c r="B169" i="1"/>
  <c r="H169" i="1" s="1"/>
  <c r="F169" i="1"/>
  <c r="E169" i="1"/>
  <c r="AK169" i="1"/>
  <c r="B167" i="10" s="1"/>
  <c r="V169" i="1"/>
  <c r="AA169" i="1"/>
  <c r="J167" i="10" s="1"/>
  <c r="M169" i="1"/>
  <c r="AB169" i="1"/>
  <c r="AC169" i="1" s="1"/>
  <c r="AD169" i="1" s="1"/>
  <c r="L169" i="1"/>
  <c r="J169" i="1"/>
  <c r="O167" i="10"/>
  <c r="K167" i="10"/>
  <c r="K169" i="1"/>
  <c r="AI169" i="1"/>
  <c r="N167" i="10" s="1"/>
  <c r="G167" i="10"/>
  <c r="C167" i="10"/>
  <c r="T169" i="1"/>
  <c r="AO169" i="1"/>
  <c r="S169" i="1"/>
  <c r="M167" i="10"/>
  <c r="AM169" i="1"/>
  <c r="Z169" i="1"/>
  <c r="A167" i="10"/>
  <c r="AN169" i="1"/>
  <c r="G169" i="1"/>
  <c r="N169" i="1"/>
  <c r="R169" i="1"/>
  <c r="AF169" i="1"/>
  <c r="AG169" i="1" s="1"/>
  <c r="AH169" i="1" s="1"/>
  <c r="E167" i="10"/>
  <c r="I167" i="10"/>
  <c r="G134" i="1" l="1"/>
  <c r="B135" i="1" s="1"/>
  <c r="F134" i="1"/>
  <c r="P136" i="1"/>
  <c r="N136" i="1"/>
  <c r="I137" i="1" s="1"/>
  <c r="J136" i="1"/>
  <c r="K136" i="1"/>
  <c r="L136" i="1" s="1"/>
  <c r="M135" i="1"/>
  <c r="Y169" i="1"/>
  <c r="W169" i="1"/>
  <c r="X169" i="1" s="1"/>
  <c r="A171" i="1"/>
  <c r="D170" i="1"/>
  <c r="C170" i="1"/>
  <c r="I170" i="1"/>
  <c r="P170" i="1" s="1"/>
  <c r="AL170" i="1"/>
  <c r="F168" i="10" s="1"/>
  <c r="B170" i="1"/>
  <c r="H170" i="1" s="1"/>
  <c r="F170" i="1"/>
  <c r="E170" i="1"/>
  <c r="V170" i="1"/>
  <c r="AB170" i="1"/>
  <c r="AC170" i="1" s="1"/>
  <c r="AD170" i="1" s="1"/>
  <c r="M170" i="1"/>
  <c r="AK170" i="1"/>
  <c r="B168" i="10" s="1"/>
  <c r="N170" i="1"/>
  <c r="L170" i="1"/>
  <c r="K170" i="1"/>
  <c r="AA170" i="1"/>
  <c r="J168" i="10" s="1"/>
  <c r="G170" i="1"/>
  <c r="J170" i="1"/>
  <c r="O168" i="10"/>
  <c r="K168" i="10"/>
  <c r="AI170" i="1"/>
  <c r="N168" i="10" s="1"/>
  <c r="C168" i="10"/>
  <c r="G168" i="10"/>
  <c r="Z170" i="1"/>
  <c r="AO170" i="1"/>
  <c r="M168" i="10"/>
  <c r="T170" i="1"/>
  <c r="AF170" i="1"/>
  <c r="AG170" i="1" s="1"/>
  <c r="AH170" i="1" s="1"/>
  <c r="A168" i="10"/>
  <c r="S170" i="1"/>
  <c r="I168" i="10"/>
  <c r="R170" i="1"/>
  <c r="E168" i="10"/>
  <c r="AN170" i="1"/>
  <c r="AM170" i="1"/>
  <c r="M136" i="1" l="1"/>
  <c r="H135" i="1"/>
  <c r="D135" i="1"/>
  <c r="E135" i="1" s="1"/>
  <c r="C135" i="1"/>
  <c r="G135" i="1" s="1"/>
  <c r="B136" i="1" s="1"/>
  <c r="P137" i="1"/>
  <c r="J137" i="1"/>
  <c r="K137" i="1"/>
  <c r="L137" i="1" s="1"/>
  <c r="N137" i="1"/>
  <c r="W170" i="1"/>
  <c r="X170" i="1" s="1"/>
  <c r="Y170" i="1"/>
  <c r="D171" i="1"/>
  <c r="A172" i="1"/>
  <c r="C171" i="1"/>
  <c r="I171" i="1"/>
  <c r="P171" i="1" s="1"/>
  <c r="B171" i="1"/>
  <c r="H171" i="1" s="1"/>
  <c r="AL171" i="1"/>
  <c r="F169" i="10" s="1"/>
  <c r="F171" i="1"/>
  <c r="E171" i="1"/>
  <c r="AK171" i="1"/>
  <c r="B169" i="10" s="1"/>
  <c r="G171" i="1"/>
  <c r="L171" i="1"/>
  <c r="K171" i="1"/>
  <c r="AB171" i="1"/>
  <c r="AC171" i="1" s="1"/>
  <c r="AD171" i="1" s="1"/>
  <c r="N171" i="1"/>
  <c r="M171" i="1"/>
  <c r="V171" i="1"/>
  <c r="AI171" i="1"/>
  <c r="N169" i="10" s="1"/>
  <c r="O169" i="10"/>
  <c r="AA171" i="1"/>
  <c r="J169" i="10" s="1"/>
  <c r="C169" i="10"/>
  <c r="R171" i="1"/>
  <c r="AM171" i="1"/>
  <c r="M169" i="10"/>
  <c r="J171" i="1"/>
  <c r="G169" i="10"/>
  <c r="Z171" i="1"/>
  <c r="AO171" i="1"/>
  <c r="A169" i="10"/>
  <c r="AN171" i="1"/>
  <c r="I169" i="10"/>
  <c r="T171" i="1"/>
  <c r="K169" i="10"/>
  <c r="AF171" i="1"/>
  <c r="AG171" i="1" s="1"/>
  <c r="AH171" i="1" s="1"/>
  <c r="E169" i="10"/>
  <c r="S171" i="1"/>
  <c r="F135" i="1" l="1"/>
  <c r="D136" i="1"/>
  <c r="E136" i="1" s="1"/>
  <c r="H136" i="1"/>
  <c r="C136" i="1"/>
  <c r="G136" i="1" s="1"/>
  <c r="B137" i="1" s="1"/>
  <c r="M137" i="1"/>
  <c r="A173" i="1"/>
  <c r="D172" i="1"/>
  <c r="I172" i="1"/>
  <c r="P172" i="1" s="1"/>
  <c r="C172" i="1"/>
  <c r="B172" i="1"/>
  <c r="H172" i="1" s="1"/>
  <c r="AL172" i="1"/>
  <c r="F170" i="10" s="1"/>
  <c r="F172" i="1"/>
  <c r="E172" i="1"/>
  <c r="AK172" i="1"/>
  <c r="B170" i="10" s="1"/>
  <c r="AB172" i="1"/>
  <c r="AC172" i="1" s="1"/>
  <c r="AD172" i="1" s="1"/>
  <c r="AA172" i="1"/>
  <c r="J170" i="10" s="1"/>
  <c r="L172" i="1"/>
  <c r="K172" i="1"/>
  <c r="G172" i="1"/>
  <c r="V172" i="1"/>
  <c r="M172" i="1"/>
  <c r="AI172" i="1"/>
  <c r="N170" i="10" s="1"/>
  <c r="J172" i="1"/>
  <c r="O170" i="10"/>
  <c r="K170" i="10"/>
  <c r="G170" i="10"/>
  <c r="AM172" i="1"/>
  <c r="N172" i="1"/>
  <c r="I170" i="10"/>
  <c r="Z172" i="1"/>
  <c r="R172" i="1"/>
  <c r="AN172" i="1"/>
  <c r="E170" i="10"/>
  <c r="AF172" i="1"/>
  <c r="AG172" i="1" s="1"/>
  <c r="AH172" i="1" s="1"/>
  <c r="S172" i="1"/>
  <c r="T172" i="1"/>
  <c r="A170" i="10"/>
  <c r="AO172" i="1"/>
  <c r="C170" i="10"/>
  <c r="M170" i="10"/>
  <c r="Y171" i="1"/>
  <c r="W171" i="1"/>
  <c r="X171" i="1" s="1"/>
  <c r="F136" i="1" l="1"/>
  <c r="H137" i="1"/>
  <c r="D137" i="1"/>
  <c r="E137" i="1" s="1"/>
  <c r="C137" i="1"/>
  <c r="Y172" i="1"/>
  <c r="W172" i="1"/>
  <c r="X172" i="1" s="1"/>
  <c r="D173" i="1"/>
  <c r="A174" i="1"/>
  <c r="I173" i="1"/>
  <c r="P173" i="1" s="1"/>
  <c r="AL173" i="1"/>
  <c r="F171" i="10" s="1"/>
  <c r="B173" i="1"/>
  <c r="H173" i="1" s="1"/>
  <c r="C173" i="1"/>
  <c r="F173" i="1"/>
  <c r="E173" i="1"/>
  <c r="AK173" i="1"/>
  <c r="B171" i="10" s="1"/>
  <c r="V173" i="1"/>
  <c r="AA173" i="1"/>
  <c r="J171" i="10" s="1"/>
  <c r="M173" i="1"/>
  <c r="AB173" i="1"/>
  <c r="AC173" i="1" s="1"/>
  <c r="AD173" i="1" s="1"/>
  <c r="J173" i="1"/>
  <c r="O171" i="10"/>
  <c r="K171" i="10"/>
  <c r="L173" i="1"/>
  <c r="AI173" i="1"/>
  <c r="N171" i="10" s="1"/>
  <c r="K173" i="1"/>
  <c r="G171" i="10"/>
  <c r="C171" i="10"/>
  <c r="AF173" i="1"/>
  <c r="AG173" i="1" s="1"/>
  <c r="AH173" i="1" s="1"/>
  <c r="S173" i="1"/>
  <c r="AO173" i="1"/>
  <c r="M171" i="10"/>
  <c r="Z173" i="1"/>
  <c r="AM173" i="1"/>
  <c r="A171" i="10"/>
  <c r="T173" i="1"/>
  <c r="I171" i="10"/>
  <c r="R173" i="1"/>
  <c r="AN173" i="1"/>
  <c r="E171" i="10"/>
  <c r="G173" i="1"/>
  <c r="N173" i="1"/>
  <c r="F137" i="1" l="1"/>
  <c r="G137" i="1"/>
  <c r="W173" i="1"/>
  <c r="X173" i="1" s="1"/>
  <c r="Y173" i="1"/>
  <c r="A175" i="1"/>
  <c r="D174" i="1"/>
  <c r="C174" i="1"/>
  <c r="AL174" i="1"/>
  <c r="F172" i="10" s="1"/>
  <c r="B174" i="1"/>
  <c r="H174" i="1" s="1"/>
  <c r="F174" i="1"/>
  <c r="AK174" i="1"/>
  <c r="B172" i="10" s="1"/>
  <c r="V174" i="1"/>
  <c r="M174" i="1"/>
  <c r="I174" i="1"/>
  <c r="P174" i="1" s="1"/>
  <c r="AB174" i="1"/>
  <c r="AC174" i="1" s="1"/>
  <c r="AD174" i="1" s="1"/>
  <c r="N174" i="1"/>
  <c r="L174" i="1"/>
  <c r="K174" i="1"/>
  <c r="E174" i="1"/>
  <c r="G174" i="1"/>
  <c r="J174" i="1"/>
  <c r="O172" i="10"/>
  <c r="K172" i="10"/>
  <c r="AA174" i="1"/>
  <c r="J172" i="10" s="1"/>
  <c r="C172" i="10"/>
  <c r="AI174" i="1"/>
  <c r="N172" i="10" s="1"/>
  <c r="G172" i="10"/>
  <c r="Z174" i="1"/>
  <c r="AM174" i="1"/>
  <c r="M172" i="10"/>
  <c r="T174" i="1"/>
  <c r="AF174" i="1"/>
  <c r="AG174" i="1" s="1"/>
  <c r="AH174" i="1" s="1"/>
  <c r="A172" i="10"/>
  <c r="AO174" i="1"/>
  <c r="I172" i="10"/>
  <c r="AN174" i="1"/>
  <c r="R174" i="1"/>
  <c r="E172" i="10"/>
  <c r="S174" i="1"/>
  <c r="Y174" i="1" l="1"/>
  <c r="W174" i="1"/>
  <c r="X174" i="1" s="1"/>
  <c r="D175" i="1"/>
  <c r="C175" i="1"/>
  <c r="A176" i="1"/>
  <c r="I175" i="1"/>
  <c r="P175" i="1" s="1"/>
  <c r="B175" i="1"/>
  <c r="H175" i="1" s="1"/>
  <c r="AL175" i="1"/>
  <c r="F173" i="10" s="1"/>
  <c r="F175" i="1"/>
  <c r="E175" i="1"/>
  <c r="AK175" i="1"/>
  <c r="B173" i="10" s="1"/>
  <c r="AA175" i="1"/>
  <c r="J173" i="10" s="1"/>
  <c r="L175" i="1"/>
  <c r="K175" i="1"/>
  <c r="M175" i="1"/>
  <c r="AB175" i="1"/>
  <c r="AC175" i="1" s="1"/>
  <c r="AD175" i="1" s="1"/>
  <c r="G175" i="1"/>
  <c r="N175" i="1"/>
  <c r="AI175" i="1"/>
  <c r="N173" i="10" s="1"/>
  <c r="O173" i="10"/>
  <c r="C173" i="10"/>
  <c r="J175" i="1"/>
  <c r="K173" i="10"/>
  <c r="Z175" i="1"/>
  <c r="S175" i="1"/>
  <c r="M173" i="10"/>
  <c r="AM175" i="1"/>
  <c r="AO175" i="1"/>
  <c r="A173" i="10"/>
  <c r="V175" i="1"/>
  <c r="G173" i="10"/>
  <c r="R175" i="1"/>
  <c r="I173" i="10"/>
  <c r="AF175" i="1"/>
  <c r="AG175" i="1" s="1"/>
  <c r="AH175" i="1" s="1"/>
  <c r="E173" i="10"/>
  <c r="AN175" i="1"/>
  <c r="T175" i="1"/>
  <c r="W175" i="1" l="1"/>
  <c r="X175" i="1" s="1"/>
  <c r="Y175" i="1"/>
  <c r="A177" i="1"/>
  <c r="D176" i="1"/>
  <c r="I176" i="1"/>
  <c r="P176" i="1" s="1"/>
  <c r="C176" i="1"/>
  <c r="B176" i="1"/>
  <c r="H176" i="1" s="1"/>
  <c r="AL176" i="1"/>
  <c r="F174" i="10" s="1"/>
  <c r="F176" i="1"/>
  <c r="E176" i="1"/>
  <c r="AK176" i="1"/>
  <c r="B174" i="10" s="1"/>
  <c r="V176" i="1"/>
  <c r="G176" i="1"/>
  <c r="AB176" i="1"/>
  <c r="AC176" i="1" s="1"/>
  <c r="AD176" i="1" s="1"/>
  <c r="L176" i="1"/>
  <c r="K176" i="1"/>
  <c r="AA176" i="1"/>
  <c r="J174" i="10" s="1"/>
  <c r="AI176" i="1"/>
  <c r="N174" i="10" s="1"/>
  <c r="M176" i="1"/>
  <c r="J176" i="1"/>
  <c r="O174" i="10"/>
  <c r="K174" i="10"/>
  <c r="G174" i="10"/>
  <c r="N176" i="1"/>
  <c r="AO176" i="1"/>
  <c r="E174" i="10"/>
  <c r="S176" i="1"/>
  <c r="T176" i="1"/>
  <c r="AN176" i="1"/>
  <c r="M174" i="10"/>
  <c r="AM176" i="1"/>
  <c r="A174" i="10"/>
  <c r="AF176" i="1"/>
  <c r="AG176" i="1" s="1"/>
  <c r="AH176" i="1" s="1"/>
  <c r="R176" i="1"/>
  <c r="C174" i="10"/>
  <c r="Z176" i="1"/>
  <c r="I174" i="10"/>
  <c r="W176" i="1" l="1"/>
  <c r="X176" i="1" s="1"/>
  <c r="Y176" i="1"/>
  <c r="D177" i="1"/>
  <c r="A178" i="1"/>
  <c r="AL177" i="1"/>
  <c r="F175" i="10" s="1"/>
  <c r="B177" i="1"/>
  <c r="H177" i="1" s="1"/>
  <c r="C177" i="1"/>
  <c r="I177" i="1"/>
  <c r="P177" i="1" s="1"/>
  <c r="F177" i="1"/>
  <c r="E177" i="1"/>
  <c r="AK177" i="1"/>
  <c r="B175" i="10" s="1"/>
  <c r="V177" i="1"/>
  <c r="AB177" i="1"/>
  <c r="AC177" i="1" s="1"/>
  <c r="AD177" i="1" s="1"/>
  <c r="M177" i="1"/>
  <c r="N177" i="1"/>
  <c r="J177" i="1"/>
  <c r="O175" i="10"/>
  <c r="AA177" i="1"/>
  <c r="J175" i="10" s="1"/>
  <c r="K175" i="10"/>
  <c r="AI177" i="1"/>
  <c r="N175" i="10" s="1"/>
  <c r="K177" i="1"/>
  <c r="G175" i="10"/>
  <c r="C175" i="10"/>
  <c r="AN177" i="1"/>
  <c r="S177" i="1"/>
  <c r="I175" i="10"/>
  <c r="L177" i="1"/>
  <c r="G177" i="1"/>
  <c r="R177" i="1"/>
  <c r="E175" i="10"/>
  <c r="Z177" i="1"/>
  <c r="AO177" i="1"/>
  <c r="AF177" i="1"/>
  <c r="AG177" i="1" s="1"/>
  <c r="AH177" i="1" s="1"/>
  <c r="A175" i="10"/>
  <c r="M175" i="10"/>
  <c r="AM177" i="1"/>
  <c r="T177" i="1"/>
  <c r="Y177" i="1" l="1"/>
  <c r="W177" i="1"/>
  <c r="X177" i="1" s="1"/>
  <c r="A179" i="1"/>
  <c r="D178" i="1"/>
  <c r="C178" i="1"/>
  <c r="I178" i="1"/>
  <c r="P178" i="1" s="1"/>
  <c r="AL178" i="1"/>
  <c r="F176" i="10" s="1"/>
  <c r="B178" i="1"/>
  <c r="H178" i="1" s="1"/>
  <c r="E178" i="1"/>
  <c r="F178" i="1"/>
  <c r="V178" i="1"/>
  <c r="G178" i="1"/>
  <c r="M178" i="1"/>
  <c r="AK178" i="1"/>
  <c r="B176" i="10" s="1"/>
  <c r="AB178" i="1"/>
  <c r="AC178" i="1" s="1"/>
  <c r="AD178" i="1" s="1"/>
  <c r="AA178" i="1"/>
  <c r="J176" i="10" s="1"/>
  <c r="N178" i="1"/>
  <c r="L178" i="1"/>
  <c r="K178" i="1"/>
  <c r="J178" i="1"/>
  <c r="O176" i="10"/>
  <c r="K176" i="10"/>
  <c r="C176" i="10"/>
  <c r="G176" i="10"/>
  <c r="S178" i="1"/>
  <c r="AO178" i="1"/>
  <c r="I176" i="10"/>
  <c r="AI178" i="1"/>
  <c r="N176" i="10" s="1"/>
  <c r="AM178" i="1"/>
  <c r="T178" i="1"/>
  <c r="E176" i="10"/>
  <c r="R178" i="1"/>
  <c r="M176" i="10"/>
  <c r="AN178" i="1"/>
  <c r="AF178" i="1"/>
  <c r="AG178" i="1" s="1"/>
  <c r="AH178" i="1" s="1"/>
  <c r="Z178" i="1"/>
  <c r="A176" i="10"/>
  <c r="W178" i="1" l="1"/>
  <c r="X178" i="1" s="1"/>
  <c r="Y178" i="1"/>
  <c r="D179" i="1"/>
  <c r="A180" i="1"/>
  <c r="C179" i="1"/>
  <c r="I179" i="1"/>
  <c r="P179" i="1" s="1"/>
  <c r="B179" i="1"/>
  <c r="H179" i="1" s="1"/>
  <c r="AL179" i="1"/>
  <c r="F177" i="10" s="1"/>
  <c r="F179" i="1"/>
  <c r="E179" i="1"/>
  <c r="AK179" i="1"/>
  <c r="B177" i="10" s="1"/>
  <c r="AA179" i="1"/>
  <c r="J177" i="10" s="1"/>
  <c r="L179" i="1"/>
  <c r="K179" i="1"/>
  <c r="V179" i="1"/>
  <c r="M179" i="1"/>
  <c r="G179" i="1"/>
  <c r="N179" i="1"/>
  <c r="AI179" i="1"/>
  <c r="N177" i="10" s="1"/>
  <c r="J179" i="1"/>
  <c r="K177" i="10"/>
  <c r="C177" i="10"/>
  <c r="AB179" i="1"/>
  <c r="AC179" i="1" s="1"/>
  <c r="AD179" i="1" s="1"/>
  <c r="O177" i="10"/>
  <c r="T179" i="1"/>
  <c r="AF179" i="1"/>
  <c r="AG179" i="1" s="1"/>
  <c r="AH179" i="1" s="1"/>
  <c r="I177" i="10"/>
  <c r="S179" i="1"/>
  <c r="Z179" i="1"/>
  <c r="E177" i="10"/>
  <c r="AN179" i="1"/>
  <c r="G177" i="10"/>
  <c r="AO179" i="1"/>
  <c r="A177" i="10"/>
  <c r="M177" i="10"/>
  <c r="R179" i="1"/>
  <c r="AM179" i="1"/>
  <c r="A181" i="1" l="1"/>
  <c r="D180" i="1"/>
  <c r="C180" i="1"/>
  <c r="B180" i="1"/>
  <c r="H180" i="1" s="1"/>
  <c r="AL180" i="1"/>
  <c r="F178" i="10" s="1"/>
  <c r="F180" i="1"/>
  <c r="E180" i="1"/>
  <c r="I180" i="1"/>
  <c r="P180" i="1" s="1"/>
  <c r="AK180" i="1"/>
  <c r="B178" i="10" s="1"/>
  <c r="AB180" i="1"/>
  <c r="AC180" i="1" s="1"/>
  <c r="AD180" i="1" s="1"/>
  <c r="G180" i="1"/>
  <c r="AA180" i="1"/>
  <c r="J178" i="10" s="1"/>
  <c r="L180" i="1"/>
  <c r="K180" i="1"/>
  <c r="V180" i="1"/>
  <c r="AI180" i="1"/>
  <c r="N178" i="10" s="1"/>
  <c r="N180" i="1"/>
  <c r="J180" i="1"/>
  <c r="O178" i="10"/>
  <c r="K178" i="10"/>
  <c r="M180" i="1"/>
  <c r="G178" i="10"/>
  <c r="C178" i="10"/>
  <c r="Z180" i="1"/>
  <c r="AF180" i="1"/>
  <c r="AG180" i="1" s="1"/>
  <c r="AH180" i="1" s="1"/>
  <c r="I178" i="10"/>
  <c r="T180" i="1"/>
  <c r="AO180" i="1"/>
  <c r="E178" i="10"/>
  <c r="S180" i="1"/>
  <c r="M178" i="10"/>
  <c r="AN180" i="1"/>
  <c r="AM180" i="1"/>
  <c r="R180" i="1"/>
  <c r="A178" i="10"/>
  <c r="W179" i="1"/>
  <c r="X179" i="1" s="1"/>
  <c r="Y179" i="1"/>
  <c r="Y180" i="1" l="1"/>
  <c r="W180" i="1"/>
  <c r="X180" i="1" s="1"/>
  <c r="D181" i="1"/>
  <c r="A182" i="1"/>
  <c r="C181" i="1"/>
  <c r="AL181" i="1"/>
  <c r="F179" i="10" s="1"/>
  <c r="B181" i="1"/>
  <c r="H181" i="1" s="1"/>
  <c r="I181" i="1"/>
  <c r="P181" i="1" s="1"/>
  <c r="F181" i="1"/>
  <c r="E181" i="1"/>
  <c r="AK181" i="1"/>
  <c r="B179" i="10" s="1"/>
  <c r="V181" i="1"/>
  <c r="AA181" i="1"/>
  <c r="J179" i="10" s="1"/>
  <c r="M181" i="1"/>
  <c r="K181" i="1"/>
  <c r="J181" i="1"/>
  <c r="O179" i="10"/>
  <c r="K179" i="10"/>
  <c r="G181" i="1"/>
  <c r="AI181" i="1"/>
  <c r="N179" i="10" s="1"/>
  <c r="L181" i="1"/>
  <c r="AB181" i="1"/>
  <c r="AC181" i="1" s="1"/>
  <c r="AD181" i="1" s="1"/>
  <c r="G179" i="10"/>
  <c r="C179" i="10"/>
  <c r="AO181" i="1"/>
  <c r="S181" i="1"/>
  <c r="A179" i="10"/>
  <c r="N181" i="1"/>
  <c r="AM181" i="1"/>
  <c r="I179" i="10"/>
  <c r="R181" i="1"/>
  <c r="Z181" i="1"/>
  <c r="AF181" i="1"/>
  <c r="AG181" i="1" s="1"/>
  <c r="AH181" i="1" s="1"/>
  <c r="E179" i="10"/>
  <c r="AN181" i="1"/>
  <c r="M179" i="10"/>
  <c r="T181" i="1"/>
  <c r="W181" i="1" l="1"/>
  <c r="X181" i="1" s="1"/>
  <c r="Y181" i="1"/>
  <c r="A183" i="1"/>
  <c r="D182" i="1"/>
  <c r="C182" i="1"/>
  <c r="I182" i="1"/>
  <c r="P182" i="1" s="1"/>
  <c r="AL182" i="1"/>
  <c r="F180" i="10" s="1"/>
  <c r="B182" i="1"/>
  <c r="H182" i="1" s="1"/>
  <c r="E182" i="1"/>
  <c r="F182" i="1"/>
  <c r="G182" i="1"/>
  <c r="M182" i="1"/>
  <c r="V182" i="1"/>
  <c r="AB182" i="1"/>
  <c r="AC182" i="1" s="1"/>
  <c r="AD182" i="1" s="1"/>
  <c r="L182" i="1"/>
  <c r="K182" i="1"/>
  <c r="AK182" i="1"/>
  <c r="B180" i="10" s="1"/>
  <c r="J182" i="1"/>
  <c r="O180" i="10"/>
  <c r="K180" i="10"/>
  <c r="AA182" i="1"/>
  <c r="J180" i="10" s="1"/>
  <c r="C180" i="10"/>
  <c r="G180" i="10"/>
  <c r="AI182" i="1"/>
  <c r="N180" i="10" s="1"/>
  <c r="R182" i="1"/>
  <c r="N182" i="1"/>
  <c r="AM182" i="1"/>
  <c r="M180" i="10"/>
  <c r="AF182" i="1"/>
  <c r="AG182" i="1" s="1"/>
  <c r="AH182" i="1" s="1"/>
  <c r="T182" i="1"/>
  <c r="A180" i="10"/>
  <c r="Z182" i="1"/>
  <c r="I180" i="10"/>
  <c r="AN182" i="1"/>
  <c r="AO182" i="1"/>
  <c r="E180" i="10"/>
  <c r="S182" i="1"/>
  <c r="D183" i="1" l="1"/>
  <c r="C183" i="1"/>
  <c r="I183" i="1"/>
  <c r="P183" i="1" s="1"/>
  <c r="A184" i="1"/>
  <c r="B183" i="1"/>
  <c r="H183" i="1" s="1"/>
  <c r="F183" i="1"/>
  <c r="E183" i="1"/>
  <c r="AL183" i="1"/>
  <c r="F181" i="10" s="1"/>
  <c r="AK183" i="1"/>
  <c r="B181" i="10" s="1"/>
  <c r="G183" i="1"/>
  <c r="AA183" i="1"/>
  <c r="J181" i="10" s="1"/>
  <c r="L183" i="1"/>
  <c r="K183" i="1"/>
  <c r="N183" i="1"/>
  <c r="M183" i="1"/>
  <c r="AB183" i="1"/>
  <c r="AC183" i="1" s="1"/>
  <c r="AD183" i="1" s="1"/>
  <c r="V183" i="1"/>
  <c r="AI183" i="1"/>
  <c r="N181" i="10" s="1"/>
  <c r="J183" i="1"/>
  <c r="K181" i="10"/>
  <c r="C181" i="10"/>
  <c r="O181" i="10"/>
  <c r="G181" i="10"/>
  <c r="T183" i="1"/>
  <c r="R183" i="1"/>
  <c r="M181" i="10"/>
  <c r="Z183" i="1"/>
  <c r="AN183" i="1"/>
  <c r="A181" i="10"/>
  <c r="S183" i="1"/>
  <c r="AM183" i="1"/>
  <c r="I181" i="10"/>
  <c r="AO183" i="1"/>
  <c r="E181" i="10"/>
  <c r="AF183" i="1"/>
  <c r="AG183" i="1" s="1"/>
  <c r="AH183" i="1" s="1"/>
  <c r="W182" i="1"/>
  <c r="X182" i="1" s="1"/>
  <c r="Y182" i="1"/>
  <c r="A185" i="1" l="1"/>
  <c r="D184" i="1"/>
  <c r="C184" i="1"/>
  <c r="B184" i="1"/>
  <c r="H184" i="1" s="1"/>
  <c r="AL184" i="1"/>
  <c r="F182" i="10" s="1"/>
  <c r="I184" i="1"/>
  <c r="P184" i="1" s="1"/>
  <c r="F184" i="1"/>
  <c r="E184" i="1"/>
  <c r="AK184" i="1"/>
  <c r="B182" i="10" s="1"/>
  <c r="AB184" i="1"/>
  <c r="AC184" i="1" s="1"/>
  <c r="AD184" i="1" s="1"/>
  <c r="L184" i="1"/>
  <c r="K184" i="1"/>
  <c r="V184" i="1"/>
  <c r="AI184" i="1"/>
  <c r="N182" i="10" s="1"/>
  <c r="AA184" i="1"/>
  <c r="J182" i="10" s="1"/>
  <c r="M184" i="1"/>
  <c r="J184" i="1"/>
  <c r="O182" i="10"/>
  <c r="K182" i="10"/>
  <c r="G182" i="10"/>
  <c r="AM184" i="1"/>
  <c r="AO184" i="1"/>
  <c r="I182" i="10"/>
  <c r="C182" i="10"/>
  <c r="G184" i="1"/>
  <c r="R184" i="1"/>
  <c r="T184" i="1"/>
  <c r="E182" i="10"/>
  <c r="N184" i="1"/>
  <c r="AN184" i="1"/>
  <c r="AF184" i="1"/>
  <c r="AG184" i="1" s="1"/>
  <c r="AH184" i="1" s="1"/>
  <c r="S184" i="1"/>
  <c r="A182" i="10"/>
  <c r="Z184" i="1"/>
  <c r="M182" i="10"/>
  <c r="Y183" i="1"/>
  <c r="W183" i="1"/>
  <c r="X183" i="1" s="1"/>
  <c r="Y184" i="1" l="1"/>
  <c r="W184" i="1"/>
  <c r="X184" i="1" s="1"/>
  <c r="D185" i="1"/>
  <c r="A186" i="1"/>
  <c r="AL185" i="1"/>
  <c r="F183" i="10" s="1"/>
  <c r="C185" i="1"/>
  <c r="B185" i="1"/>
  <c r="H185" i="1" s="1"/>
  <c r="I185" i="1"/>
  <c r="P185" i="1" s="1"/>
  <c r="F185" i="1"/>
  <c r="E185" i="1"/>
  <c r="AK185" i="1"/>
  <c r="B183" i="10" s="1"/>
  <c r="G185" i="1"/>
  <c r="V185" i="1"/>
  <c r="N185" i="1"/>
  <c r="AA185" i="1"/>
  <c r="J183" i="10" s="1"/>
  <c r="M185" i="1"/>
  <c r="L185" i="1"/>
  <c r="J185" i="1"/>
  <c r="O183" i="10"/>
  <c r="K183" i="10"/>
  <c r="AB185" i="1"/>
  <c r="AC185" i="1" s="1"/>
  <c r="AD185" i="1" s="1"/>
  <c r="K185" i="1"/>
  <c r="AI185" i="1"/>
  <c r="N183" i="10" s="1"/>
  <c r="G183" i="10"/>
  <c r="C183" i="10"/>
  <c r="T185" i="1"/>
  <c r="AM185" i="1"/>
  <c r="I183" i="10"/>
  <c r="S185" i="1"/>
  <c r="AF185" i="1"/>
  <c r="AG185" i="1" s="1"/>
  <c r="AH185" i="1" s="1"/>
  <c r="E183" i="10"/>
  <c r="R185" i="1"/>
  <c r="M183" i="10"/>
  <c r="AO185" i="1"/>
  <c r="AN185" i="1"/>
  <c r="Z185" i="1"/>
  <c r="A183" i="10"/>
  <c r="A187" i="1" l="1"/>
  <c r="D186" i="1"/>
  <c r="C186" i="1"/>
  <c r="I186" i="1"/>
  <c r="P186" i="1" s="1"/>
  <c r="AL186" i="1"/>
  <c r="F184" i="10" s="1"/>
  <c r="B186" i="1"/>
  <c r="H186" i="1" s="1"/>
  <c r="F186" i="1"/>
  <c r="E186" i="1"/>
  <c r="G186" i="1"/>
  <c r="M186" i="1"/>
  <c r="N186" i="1"/>
  <c r="AK186" i="1"/>
  <c r="B184" i="10" s="1"/>
  <c r="AB186" i="1"/>
  <c r="AC186" i="1" s="1"/>
  <c r="AD186" i="1" s="1"/>
  <c r="L186" i="1"/>
  <c r="K186" i="1"/>
  <c r="J186" i="1"/>
  <c r="O184" i="10"/>
  <c r="AA186" i="1"/>
  <c r="J184" i="10" s="1"/>
  <c r="K184" i="10"/>
  <c r="AI186" i="1"/>
  <c r="N184" i="10" s="1"/>
  <c r="C184" i="10"/>
  <c r="V186" i="1"/>
  <c r="G184" i="10"/>
  <c r="T186" i="1"/>
  <c r="AO186" i="1"/>
  <c r="I184" i="10"/>
  <c r="S186" i="1"/>
  <c r="AN186" i="1"/>
  <c r="E184" i="10"/>
  <c r="AM186" i="1"/>
  <c r="Z186" i="1"/>
  <c r="A184" i="10"/>
  <c r="R186" i="1"/>
  <c r="AF186" i="1"/>
  <c r="AG186" i="1" s="1"/>
  <c r="AH186" i="1" s="1"/>
  <c r="M184" i="10"/>
  <c r="Y185" i="1"/>
  <c r="W185" i="1"/>
  <c r="X185" i="1" s="1"/>
  <c r="W186" i="1" l="1"/>
  <c r="X186" i="1" s="1"/>
  <c r="Y186" i="1"/>
  <c r="D187" i="1"/>
  <c r="A188" i="1"/>
  <c r="C187" i="1"/>
  <c r="I187" i="1"/>
  <c r="P187" i="1" s="1"/>
  <c r="B187" i="1"/>
  <c r="H187" i="1" s="1"/>
  <c r="AL187" i="1"/>
  <c r="F185" i="10" s="1"/>
  <c r="F187" i="1"/>
  <c r="E187" i="1"/>
  <c r="AK187" i="1"/>
  <c r="B185" i="10" s="1"/>
  <c r="V187" i="1"/>
  <c r="AA187" i="1"/>
  <c r="J185" i="10" s="1"/>
  <c r="L187" i="1"/>
  <c r="K187" i="1"/>
  <c r="AB187" i="1"/>
  <c r="AC187" i="1" s="1"/>
  <c r="AD187" i="1" s="1"/>
  <c r="M187" i="1"/>
  <c r="G187" i="1"/>
  <c r="AI187" i="1"/>
  <c r="N185" i="10" s="1"/>
  <c r="O185" i="10"/>
  <c r="C185" i="10"/>
  <c r="N187" i="1"/>
  <c r="AN187" i="1"/>
  <c r="A185" i="10"/>
  <c r="G185" i="10"/>
  <c r="T187" i="1"/>
  <c r="S187" i="1"/>
  <c r="I185" i="10"/>
  <c r="J187" i="1"/>
  <c r="AM187" i="1"/>
  <c r="E185" i="10"/>
  <c r="R187" i="1"/>
  <c r="Z187" i="1"/>
  <c r="M185" i="10"/>
  <c r="K185" i="10"/>
  <c r="AF187" i="1"/>
  <c r="AG187" i="1" s="1"/>
  <c r="AH187" i="1" s="1"/>
  <c r="AO187" i="1"/>
  <c r="W187" i="1" l="1"/>
  <c r="X187" i="1" s="1"/>
  <c r="Y187" i="1"/>
  <c r="A189" i="1"/>
  <c r="D188" i="1"/>
  <c r="C188" i="1"/>
  <c r="B188" i="1"/>
  <c r="H188" i="1" s="1"/>
  <c r="AL188" i="1"/>
  <c r="F186" i="10" s="1"/>
  <c r="F188" i="1"/>
  <c r="E188" i="1"/>
  <c r="I188" i="1"/>
  <c r="P188" i="1" s="1"/>
  <c r="AK188" i="1"/>
  <c r="B186" i="10" s="1"/>
  <c r="N188" i="1"/>
  <c r="L188" i="1"/>
  <c r="K188" i="1"/>
  <c r="AA188" i="1"/>
  <c r="J186" i="10" s="1"/>
  <c r="AB188" i="1"/>
  <c r="AC188" i="1" s="1"/>
  <c r="AD188" i="1" s="1"/>
  <c r="M188" i="1"/>
  <c r="AI188" i="1"/>
  <c r="N186" i="10" s="1"/>
  <c r="V188" i="1"/>
  <c r="G188" i="1"/>
  <c r="J188" i="1"/>
  <c r="O186" i="10"/>
  <c r="K186" i="10"/>
  <c r="G186" i="10"/>
  <c r="T188" i="1"/>
  <c r="AF188" i="1"/>
  <c r="AG188" i="1" s="1"/>
  <c r="AH188" i="1" s="1"/>
  <c r="A186" i="10"/>
  <c r="AM188" i="1"/>
  <c r="AO188" i="1"/>
  <c r="I186" i="10"/>
  <c r="C186" i="10"/>
  <c r="Z188" i="1"/>
  <c r="AN188" i="1"/>
  <c r="S188" i="1"/>
  <c r="R188" i="1"/>
  <c r="M186" i="10"/>
  <c r="E186" i="10"/>
  <c r="Y188" i="1" l="1"/>
  <c r="W188" i="1"/>
  <c r="X188" i="1" s="1"/>
  <c r="D189" i="1"/>
  <c r="A190" i="1"/>
  <c r="AL189" i="1"/>
  <c r="F187" i="10" s="1"/>
  <c r="B189" i="1"/>
  <c r="H189" i="1" s="1"/>
  <c r="I189" i="1"/>
  <c r="P189" i="1" s="1"/>
  <c r="F189" i="1"/>
  <c r="E189" i="1"/>
  <c r="C189" i="1"/>
  <c r="AK189" i="1"/>
  <c r="B187" i="10" s="1"/>
  <c r="AA189" i="1"/>
  <c r="J187" i="10" s="1"/>
  <c r="AB189" i="1"/>
  <c r="AC189" i="1" s="1"/>
  <c r="AD189" i="1" s="1"/>
  <c r="V189" i="1"/>
  <c r="M189" i="1"/>
  <c r="J189" i="1"/>
  <c r="O187" i="10"/>
  <c r="K187" i="10"/>
  <c r="L189" i="1"/>
  <c r="AI189" i="1"/>
  <c r="N187" i="10" s="1"/>
  <c r="G187" i="10"/>
  <c r="K189" i="1"/>
  <c r="C187" i="10"/>
  <c r="T189" i="1"/>
  <c r="Z189" i="1"/>
  <c r="S189" i="1"/>
  <c r="E187" i="10"/>
  <c r="R189" i="1"/>
  <c r="AM189" i="1"/>
  <c r="AO189" i="1"/>
  <c r="M187" i="10"/>
  <c r="AF189" i="1"/>
  <c r="AG189" i="1" s="1"/>
  <c r="AH189" i="1" s="1"/>
  <c r="A187" i="10"/>
  <c r="N189" i="1"/>
  <c r="AN189" i="1"/>
  <c r="I187" i="10"/>
  <c r="G189" i="1"/>
  <c r="A191" i="1" l="1"/>
  <c r="D190" i="1"/>
  <c r="C190" i="1"/>
  <c r="I190" i="1"/>
  <c r="P190" i="1" s="1"/>
  <c r="AL190" i="1"/>
  <c r="F188" i="10" s="1"/>
  <c r="B190" i="1"/>
  <c r="H190" i="1" s="1"/>
  <c r="F190" i="1"/>
  <c r="AK190" i="1"/>
  <c r="B188" i="10" s="1"/>
  <c r="M190" i="1"/>
  <c r="G190" i="1"/>
  <c r="AB190" i="1"/>
  <c r="AC190" i="1" s="1"/>
  <c r="AD190" i="1" s="1"/>
  <c r="E190" i="1"/>
  <c r="V190" i="1"/>
  <c r="L190" i="1"/>
  <c r="K190" i="1"/>
  <c r="J190" i="1"/>
  <c r="O188" i="10"/>
  <c r="K188" i="10"/>
  <c r="C188" i="10"/>
  <c r="AI190" i="1"/>
  <c r="N188" i="10" s="1"/>
  <c r="G188" i="10"/>
  <c r="AN190" i="1"/>
  <c r="AO190" i="1"/>
  <c r="I188" i="10"/>
  <c r="AM190" i="1"/>
  <c r="S190" i="1"/>
  <c r="E188" i="10"/>
  <c r="AF190" i="1"/>
  <c r="AG190" i="1" s="1"/>
  <c r="AH190" i="1" s="1"/>
  <c r="M188" i="10"/>
  <c r="AA190" i="1"/>
  <c r="J188" i="10" s="1"/>
  <c r="Z190" i="1"/>
  <c r="N190" i="1"/>
  <c r="T190" i="1"/>
  <c r="A188" i="10"/>
  <c r="R190" i="1"/>
  <c r="Y189" i="1"/>
  <c r="W189" i="1"/>
  <c r="X189" i="1" s="1"/>
  <c r="Y190" i="1" l="1"/>
  <c r="W190" i="1"/>
  <c r="X190" i="1" s="1"/>
  <c r="D191" i="1"/>
  <c r="C191" i="1"/>
  <c r="A192" i="1"/>
  <c r="I191" i="1"/>
  <c r="P191" i="1" s="1"/>
  <c r="B191" i="1"/>
  <c r="H191" i="1" s="1"/>
  <c r="AL191" i="1"/>
  <c r="F189" i="10" s="1"/>
  <c r="F191" i="1"/>
  <c r="E191" i="1"/>
  <c r="AK191" i="1"/>
  <c r="B189" i="10" s="1"/>
  <c r="N191" i="1"/>
  <c r="L191" i="1"/>
  <c r="K191" i="1"/>
  <c r="M191" i="1"/>
  <c r="AB191" i="1"/>
  <c r="AC191" i="1" s="1"/>
  <c r="AD191" i="1" s="1"/>
  <c r="V191" i="1"/>
  <c r="AI191" i="1"/>
  <c r="N189" i="10" s="1"/>
  <c r="O189" i="10"/>
  <c r="C189" i="10"/>
  <c r="J191" i="1"/>
  <c r="AA191" i="1"/>
  <c r="J189" i="10" s="1"/>
  <c r="K189" i="10"/>
  <c r="G191" i="1"/>
  <c r="R191" i="1"/>
  <c r="A189" i="10"/>
  <c r="T191" i="1"/>
  <c r="AO191" i="1"/>
  <c r="I189" i="10"/>
  <c r="Z191" i="1"/>
  <c r="AM191" i="1"/>
  <c r="AF191" i="1"/>
  <c r="AG191" i="1" s="1"/>
  <c r="AH191" i="1" s="1"/>
  <c r="AN191" i="1"/>
  <c r="G189" i="10"/>
  <c r="E189" i="10"/>
  <c r="S191" i="1"/>
  <c r="M189" i="10"/>
  <c r="W191" i="1" l="1"/>
  <c r="X191" i="1" s="1"/>
  <c r="Y191" i="1"/>
  <c r="A193" i="1"/>
  <c r="D192" i="1"/>
  <c r="C192" i="1"/>
  <c r="B192" i="1"/>
  <c r="H192" i="1" s="1"/>
  <c r="AL192" i="1"/>
  <c r="F190" i="10" s="1"/>
  <c r="F192" i="1"/>
  <c r="E192" i="1"/>
  <c r="AK192" i="1"/>
  <c r="B190" i="10" s="1"/>
  <c r="I192" i="1"/>
  <c r="P192" i="1" s="1"/>
  <c r="G192" i="1"/>
  <c r="V192" i="1"/>
  <c r="L192" i="1"/>
  <c r="K192" i="1"/>
  <c r="AB192" i="1"/>
  <c r="AC192" i="1" s="1"/>
  <c r="AD192" i="1" s="1"/>
  <c r="AI192" i="1"/>
  <c r="N190" i="10" s="1"/>
  <c r="M192" i="1"/>
  <c r="J192" i="1"/>
  <c r="O190" i="10"/>
  <c r="AA192" i="1"/>
  <c r="J190" i="10" s="1"/>
  <c r="K190" i="10"/>
  <c r="G190" i="10"/>
  <c r="T192" i="1"/>
  <c r="AO192" i="1"/>
  <c r="AM192" i="1"/>
  <c r="M190" i="10"/>
  <c r="R192" i="1"/>
  <c r="N192" i="1"/>
  <c r="A190" i="10"/>
  <c r="AF192" i="1"/>
  <c r="AG192" i="1" s="1"/>
  <c r="AH192" i="1" s="1"/>
  <c r="I190" i="10"/>
  <c r="C190" i="10"/>
  <c r="Z192" i="1"/>
  <c r="E190" i="10"/>
  <c r="S192" i="1"/>
  <c r="AN192" i="1"/>
  <c r="D193" i="1" l="1"/>
  <c r="A194" i="1"/>
  <c r="AL193" i="1"/>
  <c r="F191" i="10" s="1"/>
  <c r="B193" i="1"/>
  <c r="H193" i="1" s="1"/>
  <c r="C193" i="1"/>
  <c r="I193" i="1"/>
  <c r="P193" i="1" s="1"/>
  <c r="F193" i="1"/>
  <c r="E193" i="1"/>
  <c r="AK193" i="1"/>
  <c r="B191" i="10" s="1"/>
  <c r="AB193" i="1"/>
  <c r="AC193" i="1" s="1"/>
  <c r="AD193" i="1" s="1"/>
  <c r="G193" i="1"/>
  <c r="V193" i="1"/>
  <c r="M193" i="1"/>
  <c r="J193" i="1"/>
  <c r="O191" i="10"/>
  <c r="AA193" i="1"/>
  <c r="J191" i="10" s="1"/>
  <c r="K191" i="10"/>
  <c r="AI193" i="1"/>
  <c r="N191" i="10" s="1"/>
  <c r="K193" i="1"/>
  <c r="G191" i="10"/>
  <c r="L193" i="1"/>
  <c r="C191" i="10"/>
  <c r="AO193" i="1"/>
  <c r="S193" i="1"/>
  <c r="E191" i="10"/>
  <c r="N193" i="1"/>
  <c r="Z193" i="1"/>
  <c r="T193" i="1"/>
  <c r="M191" i="10"/>
  <c r="AN193" i="1"/>
  <c r="R193" i="1"/>
  <c r="AM193" i="1"/>
  <c r="A191" i="10"/>
  <c r="AF193" i="1"/>
  <c r="AG193" i="1" s="1"/>
  <c r="AH193" i="1" s="1"/>
  <c r="I191" i="10"/>
  <c r="W192" i="1"/>
  <c r="X192" i="1" s="1"/>
  <c r="Y192" i="1"/>
  <c r="W193" i="1" l="1"/>
  <c r="X193" i="1" s="1"/>
  <c r="Y193" i="1"/>
  <c r="D194" i="1"/>
  <c r="A195" i="1"/>
  <c r="C194" i="1"/>
  <c r="I194" i="1"/>
  <c r="P194" i="1" s="1"/>
  <c r="AL194" i="1"/>
  <c r="F192" i="10" s="1"/>
  <c r="B194" i="1"/>
  <c r="H194" i="1" s="1"/>
  <c r="E194" i="1"/>
  <c r="AB194" i="1"/>
  <c r="AC194" i="1" s="1"/>
  <c r="AD194" i="1" s="1"/>
  <c r="M194" i="1"/>
  <c r="F194" i="1"/>
  <c r="AK194" i="1"/>
  <c r="B192" i="10" s="1"/>
  <c r="G194" i="1"/>
  <c r="V194" i="1"/>
  <c r="L194" i="1"/>
  <c r="K194" i="1"/>
  <c r="J194" i="1"/>
  <c r="O192" i="10"/>
  <c r="AA194" i="1"/>
  <c r="J192" i="10" s="1"/>
  <c r="K192" i="10"/>
  <c r="C192" i="10"/>
  <c r="G192" i="10"/>
  <c r="N194" i="1"/>
  <c r="AN194" i="1"/>
  <c r="AO194" i="1"/>
  <c r="E192" i="10"/>
  <c r="S194" i="1"/>
  <c r="R194" i="1"/>
  <c r="M192" i="10"/>
  <c r="AI194" i="1"/>
  <c r="N192" i="10" s="1"/>
  <c r="AF194" i="1"/>
  <c r="AG194" i="1" s="1"/>
  <c r="AH194" i="1" s="1"/>
  <c r="A192" i="10"/>
  <c r="AM194" i="1"/>
  <c r="T194" i="1"/>
  <c r="I192" i="10"/>
  <c r="Z194" i="1"/>
  <c r="Y194" i="1" l="1"/>
  <c r="W194" i="1"/>
  <c r="X194" i="1" s="1"/>
  <c r="A196" i="1"/>
  <c r="D195" i="1"/>
  <c r="C195" i="1"/>
  <c r="I195" i="1"/>
  <c r="P195" i="1" s="1"/>
  <c r="B195" i="1"/>
  <c r="H195" i="1" s="1"/>
  <c r="AL195" i="1"/>
  <c r="F193" i="10" s="1"/>
  <c r="F195" i="1"/>
  <c r="E195" i="1"/>
  <c r="AK195" i="1"/>
  <c r="B193" i="10" s="1"/>
  <c r="AB195" i="1"/>
  <c r="AC195" i="1" s="1"/>
  <c r="AD195" i="1" s="1"/>
  <c r="L195" i="1"/>
  <c r="K195" i="1"/>
  <c r="G195" i="1"/>
  <c r="M195" i="1"/>
  <c r="V195" i="1"/>
  <c r="N195" i="1"/>
  <c r="AI195" i="1"/>
  <c r="N193" i="10" s="1"/>
  <c r="J195" i="1"/>
  <c r="AA195" i="1"/>
  <c r="J193" i="10" s="1"/>
  <c r="K193" i="10"/>
  <c r="C193" i="10"/>
  <c r="Z195" i="1"/>
  <c r="AM195" i="1"/>
  <c r="E193" i="10"/>
  <c r="O193" i="10"/>
  <c r="T195" i="1"/>
  <c r="AO195" i="1"/>
  <c r="M193" i="10"/>
  <c r="AF195" i="1"/>
  <c r="AG195" i="1" s="1"/>
  <c r="AH195" i="1" s="1"/>
  <c r="A193" i="10"/>
  <c r="AN195" i="1"/>
  <c r="G193" i="10"/>
  <c r="R195" i="1"/>
  <c r="I193" i="10"/>
  <c r="S195" i="1"/>
  <c r="D196" i="1" l="1"/>
  <c r="A197" i="1"/>
  <c r="C196" i="1"/>
  <c r="B196" i="1"/>
  <c r="H196" i="1" s="1"/>
  <c r="AL196" i="1"/>
  <c r="F194" i="10" s="1"/>
  <c r="F196" i="1"/>
  <c r="E196" i="1"/>
  <c r="I196" i="1"/>
  <c r="P196" i="1" s="1"/>
  <c r="AK196" i="1"/>
  <c r="B194" i="10" s="1"/>
  <c r="AA196" i="1"/>
  <c r="J194" i="10" s="1"/>
  <c r="G196" i="1"/>
  <c r="L196" i="1"/>
  <c r="K196" i="1"/>
  <c r="AB196" i="1"/>
  <c r="AC196" i="1" s="1"/>
  <c r="AD196" i="1" s="1"/>
  <c r="N196" i="1"/>
  <c r="AI196" i="1"/>
  <c r="N194" i="10" s="1"/>
  <c r="V196" i="1"/>
  <c r="J196" i="1"/>
  <c r="O194" i="10"/>
  <c r="K194" i="10"/>
  <c r="M196" i="1"/>
  <c r="G194" i="10"/>
  <c r="C194" i="10"/>
  <c r="AM196" i="1"/>
  <c r="AO196" i="1"/>
  <c r="E194" i="10"/>
  <c r="S196" i="1"/>
  <c r="T196" i="1"/>
  <c r="M194" i="10"/>
  <c r="Z196" i="1"/>
  <c r="A194" i="10"/>
  <c r="AN196" i="1"/>
  <c r="I194" i="10"/>
  <c r="AF196" i="1"/>
  <c r="AG196" i="1" s="1"/>
  <c r="AH196" i="1" s="1"/>
  <c r="R196" i="1"/>
  <c r="Y195" i="1"/>
  <c r="W195" i="1"/>
  <c r="X195" i="1" s="1"/>
  <c r="A198" i="1" l="1"/>
  <c r="D197" i="1"/>
  <c r="C197" i="1"/>
  <c r="AL197" i="1"/>
  <c r="F195" i="10" s="1"/>
  <c r="B197" i="1"/>
  <c r="H197" i="1" s="1"/>
  <c r="I197" i="1"/>
  <c r="P197" i="1" s="1"/>
  <c r="F197" i="1"/>
  <c r="E197" i="1"/>
  <c r="AK197" i="1"/>
  <c r="B195" i="10" s="1"/>
  <c r="AB197" i="1"/>
  <c r="AC197" i="1" s="1"/>
  <c r="AD197" i="1" s="1"/>
  <c r="G197" i="1"/>
  <c r="V197" i="1"/>
  <c r="M197" i="1"/>
  <c r="K197" i="1"/>
  <c r="J197" i="1"/>
  <c r="O195" i="10"/>
  <c r="K195" i="10"/>
  <c r="AI197" i="1"/>
  <c r="N195" i="10" s="1"/>
  <c r="L197" i="1"/>
  <c r="AA197" i="1"/>
  <c r="J195" i="10" s="1"/>
  <c r="G195" i="10"/>
  <c r="C195" i="10"/>
  <c r="S197" i="1"/>
  <c r="AM197" i="1"/>
  <c r="I195" i="10"/>
  <c r="R197" i="1"/>
  <c r="AF197" i="1"/>
  <c r="AG197" i="1" s="1"/>
  <c r="AH197" i="1" s="1"/>
  <c r="E195" i="10"/>
  <c r="T197" i="1"/>
  <c r="M195" i="10"/>
  <c r="AO197" i="1"/>
  <c r="AN197" i="1"/>
  <c r="Z197" i="1"/>
  <c r="A195" i="10"/>
  <c r="N197" i="1"/>
  <c r="Y196" i="1"/>
  <c r="W196" i="1"/>
  <c r="X196" i="1" s="1"/>
  <c r="Y197" i="1" l="1"/>
  <c r="W197" i="1"/>
  <c r="X197" i="1" s="1"/>
  <c r="D198" i="1"/>
  <c r="A199" i="1"/>
  <c r="C198" i="1"/>
  <c r="I198" i="1"/>
  <c r="P198" i="1" s="1"/>
  <c r="AL198" i="1"/>
  <c r="F196" i="10" s="1"/>
  <c r="B198" i="1"/>
  <c r="H198" i="1" s="1"/>
  <c r="E198" i="1"/>
  <c r="F198" i="1"/>
  <c r="V198" i="1"/>
  <c r="M198" i="1"/>
  <c r="AB198" i="1"/>
  <c r="AC198" i="1" s="1"/>
  <c r="AD198" i="1" s="1"/>
  <c r="L198" i="1"/>
  <c r="K198" i="1"/>
  <c r="AA198" i="1"/>
  <c r="J196" i="10" s="1"/>
  <c r="J198" i="1"/>
  <c r="O196" i="10"/>
  <c r="K196" i="10"/>
  <c r="C196" i="10"/>
  <c r="AK198" i="1"/>
  <c r="B196" i="10" s="1"/>
  <c r="G196" i="10"/>
  <c r="AI198" i="1"/>
  <c r="N196" i="10" s="1"/>
  <c r="T198" i="1"/>
  <c r="Z198" i="1"/>
  <c r="N198" i="1"/>
  <c r="I196" i="10"/>
  <c r="S198" i="1"/>
  <c r="AN198" i="1"/>
  <c r="A196" i="10"/>
  <c r="AM198" i="1"/>
  <c r="E196" i="10"/>
  <c r="G198" i="1"/>
  <c r="R198" i="1"/>
  <c r="AF198" i="1"/>
  <c r="AG198" i="1" s="1"/>
  <c r="AH198" i="1" s="1"/>
  <c r="AO198" i="1"/>
  <c r="M196" i="10"/>
  <c r="A200" i="1" l="1"/>
  <c r="C199" i="1"/>
  <c r="D199" i="1"/>
  <c r="I199" i="1"/>
  <c r="P199" i="1" s="1"/>
  <c r="B199" i="1"/>
  <c r="H199" i="1" s="1"/>
  <c r="F199" i="1"/>
  <c r="E199" i="1"/>
  <c r="AK199" i="1"/>
  <c r="B197" i="10" s="1"/>
  <c r="AL199" i="1"/>
  <c r="F197" i="10" s="1"/>
  <c r="L199" i="1"/>
  <c r="K199" i="1"/>
  <c r="V199" i="1"/>
  <c r="M199" i="1"/>
  <c r="G199" i="1"/>
  <c r="AA199" i="1"/>
  <c r="J197" i="10" s="1"/>
  <c r="AB199" i="1"/>
  <c r="AC199" i="1" s="1"/>
  <c r="AD199" i="1" s="1"/>
  <c r="AI199" i="1"/>
  <c r="N197" i="10" s="1"/>
  <c r="J199" i="1"/>
  <c r="K197" i="10"/>
  <c r="C197" i="10"/>
  <c r="O197" i="10"/>
  <c r="G197" i="10"/>
  <c r="AO199" i="1"/>
  <c r="R199" i="1"/>
  <c r="A197" i="10"/>
  <c r="N199" i="1"/>
  <c r="T199" i="1"/>
  <c r="S199" i="1"/>
  <c r="I197" i="10"/>
  <c r="AF199" i="1"/>
  <c r="AG199" i="1" s="1"/>
  <c r="AH199" i="1" s="1"/>
  <c r="E197" i="10"/>
  <c r="Z199" i="1"/>
  <c r="M197" i="10"/>
  <c r="AM199" i="1"/>
  <c r="AN199" i="1"/>
  <c r="Y198" i="1"/>
  <c r="W198" i="1"/>
  <c r="X198" i="1" s="1"/>
  <c r="W199" i="1" l="1"/>
  <c r="X199" i="1" s="1"/>
  <c r="Y199" i="1"/>
  <c r="D200" i="1"/>
  <c r="A201" i="1"/>
  <c r="C200" i="1"/>
  <c r="B200" i="1"/>
  <c r="H200" i="1" s="1"/>
  <c r="AL200" i="1"/>
  <c r="F198" i="10" s="1"/>
  <c r="I200" i="1"/>
  <c r="P200" i="1" s="1"/>
  <c r="F200" i="1"/>
  <c r="E200" i="1"/>
  <c r="AK200" i="1"/>
  <c r="B198" i="10" s="1"/>
  <c r="V200" i="1"/>
  <c r="N200" i="1"/>
  <c r="L200" i="1"/>
  <c r="K200" i="1"/>
  <c r="G200" i="1"/>
  <c r="AI200" i="1"/>
  <c r="N198" i="10" s="1"/>
  <c r="AA200" i="1"/>
  <c r="J198" i="10" s="1"/>
  <c r="M200" i="1"/>
  <c r="J200" i="1"/>
  <c r="O198" i="10"/>
  <c r="K198" i="10"/>
  <c r="AB200" i="1"/>
  <c r="AC200" i="1" s="1"/>
  <c r="AD200" i="1" s="1"/>
  <c r="G198" i="10"/>
  <c r="R200" i="1"/>
  <c r="T200" i="1"/>
  <c r="A198" i="10"/>
  <c r="C198" i="10"/>
  <c r="AO200" i="1"/>
  <c r="AM200" i="1"/>
  <c r="I198" i="10"/>
  <c r="Z200" i="1"/>
  <c r="E198" i="10"/>
  <c r="AN200" i="1"/>
  <c r="AF200" i="1"/>
  <c r="AG200" i="1" s="1"/>
  <c r="AH200" i="1" s="1"/>
  <c r="S200" i="1"/>
  <c r="M198" i="10"/>
  <c r="Y200" i="1" l="1"/>
  <c r="W200" i="1"/>
  <c r="X200" i="1" s="1"/>
  <c r="A202" i="1"/>
  <c r="D201" i="1"/>
  <c r="AL201" i="1"/>
  <c r="F199" i="10" s="1"/>
  <c r="C201" i="1"/>
  <c r="B201" i="1"/>
  <c r="H201" i="1" s="1"/>
  <c r="I201" i="1"/>
  <c r="P201" i="1" s="1"/>
  <c r="F201" i="1"/>
  <c r="E201" i="1"/>
  <c r="AK201" i="1"/>
  <c r="B199" i="10" s="1"/>
  <c r="N201" i="1"/>
  <c r="AB201" i="1"/>
  <c r="AC201" i="1" s="1"/>
  <c r="AD201" i="1" s="1"/>
  <c r="V201" i="1"/>
  <c r="AA201" i="1"/>
  <c r="J199" i="10" s="1"/>
  <c r="G201" i="1"/>
  <c r="M201" i="1"/>
  <c r="L201" i="1"/>
  <c r="J201" i="1"/>
  <c r="O199" i="10"/>
  <c r="K199" i="10"/>
  <c r="K201" i="1"/>
  <c r="AI201" i="1"/>
  <c r="N199" i="10" s="1"/>
  <c r="G199" i="10"/>
  <c r="C199" i="10"/>
  <c r="S201" i="1"/>
  <c r="AO201" i="1"/>
  <c r="A199" i="10"/>
  <c r="R201" i="1"/>
  <c r="AN201" i="1"/>
  <c r="I199" i="10"/>
  <c r="Z201" i="1"/>
  <c r="E199" i="10"/>
  <c r="T201" i="1"/>
  <c r="M199" i="10"/>
  <c r="AM201" i="1"/>
  <c r="AF201" i="1"/>
  <c r="AG201" i="1" s="1"/>
  <c r="AH201" i="1" s="1"/>
  <c r="D202" i="1" l="1"/>
  <c r="A203" i="1"/>
  <c r="C202" i="1"/>
  <c r="I202" i="1"/>
  <c r="P202" i="1" s="1"/>
  <c r="AL202" i="1"/>
  <c r="F200" i="10" s="1"/>
  <c r="B202" i="1"/>
  <c r="H202" i="1" s="1"/>
  <c r="F202" i="1"/>
  <c r="E202" i="1"/>
  <c r="AA202" i="1"/>
  <c r="J200" i="10" s="1"/>
  <c r="M202" i="1"/>
  <c r="AK202" i="1"/>
  <c r="B200" i="10" s="1"/>
  <c r="AB202" i="1"/>
  <c r="AC202" i="1" s="1"/>
  <c r="AD202" i="1" s="1"/>
  <c r="V202" i="1"/>
  <c r="L202" i="1"/>
  <c r="K202" i="1"/>
  <c r="G202" i="1"/>
  <c r="J202" i="1"/>
  <c r="O200" i="10"/>
  <c r="K200" i="10"/>
  <c r="AI202" i="1"/>
  <c r="N200" i="10" s="1"/>
  <c r="C200" i="10"/>
  <c r="G200" i="10"/>
  <c r="Z202" i="1"/>
  <c r="N202" i="1"/>
  <c r="M200" i="10"/>
  <c r="AF202" i="1"/>
  <c r="AG202" i="1" s="1"/>
  <c r="AH202" i="1" s="1"/>
  <c r="S202" i="1"/>
  <c r="A200" i="10"/>
  <c r="AN202" i="1"/>
  <c r="I200" i="10"/>
  <c r="AM202" i="1"/>
  <c r="T202" i="1"/>
  <c r="R202" i="1"/>
  <c r="AO202" i="1"/>
  <c r="E200" i="10"/>
  <c r="Y201" i="1"/>
  <c r="W201" i="1"/>
  <c r="X201" i="1" s="1"/>
  <c r="A204" i="1" l="1"/>
  <c r="D203" i="1"/>
  <c r="C203" i="1"/>
  <c r="I203" i="1"/>
  <c r="P203" i="1" s="1"/>
  <c r="B203" i="1"/>
  <c r="H203" i="1" s="1"/>
  <c r="AL203" i="1"/>
  <c r="F201" i="10" s="1"/>
  <c r="F203" i="1"/>
  <c r="E203" i="1"/>
  <c r="AK203" i="1"/>
  <c r="B201" i="10" s="1"/>
  <c r="L203" i="1"/>
  <c r="K203" i="1"/>
  <c r="AB203" i="1"/>
  <c r="AC203" i="1" s="1"/>
  <c r="AD203" i="1" s="1"/>
  <c r="M203" i="1"/>
  <c r="N203" i="1"/>
  <c r="AA203" i="1"/>
  <c r="J201" i="10" s="1"/>
  <c r="AI203" i="1"/>
  <c r="N201" i="10" s="1"/>
  <c r="O201" i="10"/>
  <c r="V203" i="1"/>
  <c r="C201" i="10"/>
  <c r="K201" i="10"/>
  <c r="AN203" i="1"/>
  <c r="G203" i="1"/>
  <c r="E201" i="10"/>
  <c r="G201" i="10"/>
  <c r="R203" i="1"/>
  <c r="T203" i="1"/>
  <c r="M201" i="10"/>
  <c r="AO203" i="1"/>
  <c r="A201" i="10"/>
  <c r="J203" i="1"/>
  <c r="AF203" i="1"/>
  <c r="AG203" i="1" s="1"/>
  <c r="AH203" i="1" s="1"/>
  <c r="S203" i="1"/>
  <c r="Z203" i="1"/>
  <c r="I201" i="10"/>
  <c r="AM203" i="1"/>
  <c r="W202" i="1"/>
  <c r="X202" i="1" s="1"/>
  <c r="Y202" i="1"/>
  <c r="Y203" i="1" l="1"/>
  <c r="W203" i="1"/>
  <c r="X203" i="1" s="1"/>
  <c r="D204" i="1"/>
  <c r="A205" i="1"/>
  <c r="C204" i="1"/>
  <c r="B204" i="1"/>
  <c r="H204" i="1" s="1"/>
  <c r="AL204" i="1"/>
  <c r="F202" i="10" s="1"/>
  <c r="F204" i="1"/>
  <c r="E204" i="1"/>
  <c r="I204" i="1"/>
  <c r="P204" i="1" s="1"/>
  <c r="AK204" i="1"/>
  <c r="B202" i="10" s="1"/>
  <c r="V204" i="1"/>
  <c r="AB204" i="1"/>
  <c r="AC204" i="1" s="1"/>
  <c r="AD204" i="1" s="1"/>
  <c r="L204" i="1"/>
  <c r="K204" i="1"/>
  <c r="M204" i="1"/>
  <c r="AI204" i="1"/>
  <c r="N202" i="10" s="1"/>
  <c r="J204" i="1"/>
  <c r="O202" i="10"/>
  <c r="AA204" i="1"/>
  <c r="J202" i="10" s="1"/>
  <c r="K202" i="10"/>
  <c r="G202" i="10"/>
  <c r="G204" i="1"/>
  <c r="S204" i="1"/>
  <c r="AM204" i="1"/>
  <c r="A202" i="10"/>
  <c r="Z204" i="1"/>
  <c r="R204" i="1"/>
  <c r="AF204" i="1"/>
  <c r="AG204" i="1" s="1"/>
  <c r="AH204" i="1" s="1"/>
  <c r="I202" i="10"/>
  <c r="N204" i="1"/>
  <c r="E202" i="10"/>
  <c r="C202" i="10"/>
  <c r="T204" i="1"/>
  <c r="M202" i="10"/>
  <c r="AN204" i="1"/>
  <c r="AO204" i="1"/>
  <c r="Y204" i="1" l="1"/>
  <c r="W204" i="1"/>
  <c r="X204" i="1" s="1"/>
  <c r="A206" i="1"/>
  <c r="D205" i="1"/>
  <c r="AL205" i="1"/>
  <c r="F203" i="10" s="1"/>
  <c r="B205" i="1"/>
  <c r="H205" i="1" s="1"/>
  <c r="I205" i="1"/>
  <c r="P205" i="1" s="1"/>
  <c r="F205" i="1"/>
  <c r="E205" i="1"/>
  <c r="C205" i="1"/>
  <c r="AK205" i="1"/>
  <c r="B203" i="10" s="1"/>
  <c r="V205" i="1"/>
  <c r="AB205" i="1"/>
  <c r="AC205" i="1" s="1"/>
  <c r="AD205" i="1" s="1"/>
  <c r="N205" i="1"/>
  <c r="M205" i="1"/>
  <c r="J205" i="1"/>
  <c r="O203" i="10"/>
  <c r="AA205" i="1"/>
  <c r="J203" i="10" s="1"/>
  <c r="K203" i="10"/>
  <c r="L205" i="1"/>
  <c r="AI205" i="1"/>
  <c r="N203" i="10" s="1"/>
  <c r="G205" i="1"/>
  <c r="G203" i="10"/>
  <c r="C203" i="10"/>
  <c r="Z205" i="1"/>
  <c r="AO205" i="1"/>
  <c r="A203" i="10"/>
  <c r="K205" i="1"/>
  <c r="S205" i="1"/>
  <c r="AN205" i="1"/>
  <c r="I203" i="10"/>
  <c r="AM205" i="1"/>
  <c r="E203" i="10"/>
  <c r="AF205" i="1"/>
  <c r="AG205" i="1" s="1"/>
  <c r="AH205" i="1" s="1"/>
  <c r="T205" i="1"/>
  <c r="R205" i="1"/>
  <c r="M203" i="10"/>
  <c r="W205" i="1" l="1"/>
  <c r="X205" i="1" s="1"/>
  <c r="Y205" i="1"/>
  <c r="D206" i="1"/>
  <c r="A207" i="1"/>
  <c r="C206" i="1"/>
  <c r="I206" i="1"/>
  <c r="P206" i="1" s="1"/>
  <c r="AL206" i="1"/>
  <c r="F204" i="10" s="1"/>
  <c r="B206" i="1"/>
  <c r="H206" i="1" s="1"/>
  <c r="F206" i="1"/>
  <c r="E206" i="1"/>
  <c r="AK206" i="1"/>
  <c r="B204" i="10" s="1"/>
  <c r="M206" i="1"/>
  <c r="V206" i="1"/>
  <c r="N206" i="1"/>
  <c r="L206" i="1"/>
  <c r="K206" i="1"/>
  <c r="AB206" i="1"/>
  <c r="AC206" i="1" s="1"/>
  <c r="AD206" i="1" s="1"/>
  <c r="G206" i="1"/>
  <c r="J206" i="1"/>
  <c r="O204" i="10"/>
  <c r="AA206" i="1"/>
  <c r="J204" i="10" s="1"/>
  <c r="K204" i="10"/>
  <c r="C204" i="10"/>
  <c r="AI206" i="1"/>
  <c r="N204" i="10" s="1"/>
  <c r="G204" i="10"/>
  <c r="AM206" i="1"/>
  <c r="Z206" i="1"/>
  <c r="A204" i="10"/>
  <c r="S206" i="1"/>
  <c r="AN206" i="1"/>
  <c r="I204" i="10"/>
  <c r="R206" i="1"/>
  <c r="E204" i="10"/>
  <c r="T206" i="1"/>
  <c r="M204" i="10"/>
  <c r="AO206" i="1"/>
  <c r="AF206" i="1"/>
  <c r="AG206" i="1" s="1"/>
  <c r="AH206" i="1" s="1"/>
  <c r="A208" i="1" l="1"/>
  <c r="C207" i="1"/>
  <c r="D207" i="1"/>
  <c r="I207" i="1"/>
  <c r="P207" i="1" s="1"/>
  <c r="B207" i="1"/>
  <c r="H207" i="1" s="1"/>
  <c r="AL207" i="1"/>
  <c r="F205" i="10" s="1"/>
  <c r="F207" i="1"/>
  <c r="E207" i="1"/>
  <c r="AK207" i="1"/>
  <c r="B205" i="10" s="1"/>
  <c r="N207" i="1"/>
  <c r="V207" i="1"/>
  <c r="L207" i="1"/>
  <c r="K207" i="1"/>
  <c r="AB207" i="1"/>
  <c r="AC207" i="1" s="1"/>
  <c r="AD207" i="1" s="1"/>
  <c r="M207" i="1"/>
  <c r="G207" i="1"/>
  <c r="AI207" i="1"/>
  <c r="N205" i="10" s="1"/>
  <c r="O205" i="10"/>
  <c r="C205" i="10"/>
  <c r="J207" i="1"/>
  <c r="K205" i="10"/>
  <c r="AA207" i="1"/>
  <c r="J205" i="10" s="1"/>
  <c r="S207" i="1"/>
  <c r="AN207" i="1"/>
  <c r="A205" i="10"/>
  <c r="R207" i="1"/>
  <c r="AM207" i="1"/>
  <c r="I205" i="10"/>
  <c r="G205" i="10"/>
  <c r="AF207" i="1"/>
  <c r="AG207" i="1" s="1"/>
  <c r="AH207" i="1" s="1"/>
  <c r="E205" i="10"/>
  <c r="AO207" i="1"/>
  <c r="Z207" i="1"/>
  <c r="T207" i="1"/>
  <c r="M205" i="10"/>
  <c r="Y206" i="1"/>
  <c r="W206" i="1"/>
  <c r="X206" i="1" s="1"/>
  <c r="W207" i="1" l="1"/>
  <c r="X207" i="1" s="1"/>
  <c r="Y207" i="1"/>
  <c r="D208" i="1"/>
  <c r="A209" i="1"/>
  <c r="C208" i="1"/>
  <c r="B208" i="1"/>
  <c r="H208" i="1" s="1"/>
  <c r="AL208" i="1"/>
  <c r="F206" i="10" s="1"/>
  <c r="F208" i="1"/>
  <c r="E208" i="1"/>
  <c r="I208" i="1"/>
  <c r="P208" i="1" s="1"/>
  <c r="AK208" i="1"/>
  <c r="B206" i="10" s="1"/>
  <c r="V208" i="1"/>
  <c r="N208" i="1"/>
  <c r="L208" i="1"/>
  <c r="K208" i="1"/>
  <c r="AB208" i="1"/>
  <c r="AC208" i="1" s="1"/>
  <c r="AD208" i="1" s="1"/>
  <c r="AI208" i="1"/>
  <c r="N206" i="10" s="1"/>
  <c r="M208" i="1"/>
  <c r="J208" i="1"/>
  <c r="O206" i="10"/>
  <c r="AA208" i="1"/>
  <c r="J206" i="10" s="1"/>
  <c r="K206" i="10"/>
  <c r="G206" i="10"/>
  <c r="S208" i="1"/>
  <c r="AO208" i="1"/>
  <c r="M206" i="10"/>
  <c r="AM208" i="1"/>
  <c r="Z208" i="1"/>
  <c r="A206" i="10"/>
  <c r="G208" i="1"/>
  <c r="AN208" i="1"/>
  <c r="I206" i="10"/>
  <c r="T208" i="1"/>
  <c r="E206" i="10"/>
  <c r="C206" i="10"/>
  <c r="AF208" i="1"/>
  <c r="AG208" i="1" s="1"/>
  <c r="AH208" i="1" s="1"/>
  <c r="R208" i="1"/>
  <c r="W208" i="1" l="1"/>
  <c r="X208" i="1" s="1"/>
  <c r="Y208" i="1"/>
  <c r="A210" i="1"/>
  <c r="D209" i="1"/>
  <c r="AL209" i="1"/>
  <c r="F207" i="10" s="1"/>
  <c r="B209" i="1"/>
  <c r="H209" i="1" s="1"/>
  <c r="C209" i="1"/>
  <c r="I209" i="1"/>
  <c r="P209" i="1" s="1"/>
  <c r="F209" i="1"/>
  <c r="E209" i="1"/>
  <c r="AK209" i="1"/>
  <c r="B207" i="10" s="1"/>
  <c r="AA209" i="1"/>
  <c r="J207" i="10" s="1"/>
  <c r="V209" i="1"/>
  <c r="M209" i="1"/>
  <c r="AB209" i="1"/>
  <c r="AC209" i="1" s="1"/>
  <c r="AD209" i="1" s="1"/>
  <c r="J209" i="1"/>
  <c r="O207" i="10"/>
  <c r="K207" i="10"/>
  <c r="AI209" i="1"/>
  <c r="N207" i="10" s="1"/>
  <c r="N209" i="1"/>
  <c r="K209" i="1"/>
  <c r="L209" i="1"/>
  <c r="G207" i="10"/>
  <c r="C207" i="10"/>
  <c r="Z209" i="1"/>
  <c r="AO209" i="1"/>
  <c r="E207" i="10"/>
  <c r="T209" i="1"/>
  <c r="AN209" i="1"/>
  <c r="M207" i="10"/>
  <c r="S209" i="1"/>
  <c r="A207" i="10"/>
  <c r="R209" i="1"/>
  <c r="I207" i="10"/>
  <c r="AF209" i="1"/>
  <c r="AG209" i="1" s="1"/>
  <c r="AH209" i="1" s="1"/>
  <c r="G209" i="1"/>
  <c r="AM209" i="1"/>
  <c r="D210" i="1" l="1"/>
  <c r="A211" i="1"/>
  <c r="C210" i="1"/>
  <c r="I210" i="1"/>
  <c r="P210" i="1" s="1"/>
  <c r="AL210" i="1"/>
  <c r="F208" i="10" s="1"/>
  <c r="B210" i="1"/>
  <c r="H210" i="1" s="1"/>
  <c r="E210" i="1"/>
  <c r="M210" i="1"/>
  <c r="AK210" i="1"/>
  <c r="B208" i="10" s="1"/>
  <c r="V210" i="1"/>
  <c r="N210" i="1"/>
  <c r="L210" i="1"/>
  <c r="K210" i="1"/>
  <c r="F210" i="1"/>
  <c r="J210" i="1"/>
  <c r="O208" i="10"/>
  <c r="AA210" i="1"/>
  <c r="J208" i="10" s="1"/>
  <c r="K208" i="10"/>
  <c r="C208" i="10"/>
  <c r="G208" i="10"/>
  <c r="AB210" i="1"/>
  <c r="AC210" i="1" s="1"/>
  <c r="AD210" i="1" s="1"/>
  <c r="AF210" i="1"/>
  <c r="AG210" i="1" s="1"/>
  <c r="AH210" i="1" s="1"/>
  <c r="G210" i="1"/>
  <c r="S210" i="1"/>
  <c r="I208" i="10"/>
  <c r="AM210" i="1"/>
  <c r="T210" i="1"/>
  <c r="E208" i="10"/>
  <c r="AN210" i="1"/>
  <c r="AI210" i="1"/>
  <c r="N208" i="10" s="1"/>
  <c r="Z210" i="1"/>
  <c r="M208" i="10"/>
  <c r="AO210" i="1"/>
  <c r="A208" i="10"/>
  <c r="R210" i="1"/>
  <c r="Y209" i="1"/>
  <c r="W209" i="1"/>
  <c r="X209" i="1" s="1"/>
  <c r="W210" i="1" l="1"/>
  <c r="X210" i="1" s="1"/>
  <c r="Y210" i="1"/>
  <c r="A212" i="1"/>
  <c r="D211" i="1"/>
  <c r="C211" i="1"/>
  <c r="I211" i="1"/>
  <c r="P211" i="1" s="1"/>
  <c r="B211" i="1"/>
  <c r="H211" i="1" s="1"/>
  <c r="AL211" i="1"/>
  <c r="F209" i="10" s="1"/>
  <c r="F211" i="1"/>
  <c r="E211" i="1"/>
  <c r="AK211" i="1"/>
  <c r="B209" i="10" s="1"/>
  <c r="N211" i="1"/>
  <c r="V211" i="1"/>
  <c r="L211" i="1"/>
  <c r="K211" i="1"/>
  <c r="AB211" i="1"/>
  <c r="AC211" i="1" s="1"/>
  <c r="AD211" i="1" s="1"/>
  <c r="AA211" i="1"/>
  <c r="J209" i="10" s="1"/>
  <c r="M211" i="1"/>
  <c r="AI211" i="1"/>
  <c r="N209" i="10" s="1"/>
  <c r="J211" i="1"/>
  <c r="K209" i="10"/>
  <c r="C209" i="10"/>
  <c r="T211" i="1"/>
  <c r="R211" i="1"/>
  <c r="A209" i="10"/>
  <c r="Z211" i="1"/>
  <c r="AM211" i="1"/>
  <c r="AO211" i="1"/>
  <c r="I209" i="10"/>
  <c r="O209" i="10"/>
  <c r="AN211" i="1"/>
  <c r="E209" i="10"/>
  <c r="AF211" i="1"/>
  <c r="AG211" i="1" s="1"/>
  <c r="AH211" i="1" s="1"/>
  <c r="G209" i="10"/>
  <c r="G211" i="1"/>
  <c r="M209" i="10"/>
  <c r="S211" i="1"/>
  <c r="D212" i="1" l="1"/>
  <c r="A213" i="1"/>
  <c r="C212" i="1"/>
  <c r="B212" i="1"/>
  <c r="H212" i="1" s="1"/>
  <c r="AL212" i="1"/>
  <c r="F210" i="10" s="1"/>
  <c r="F212" i="1"/>
  <c r="E212" i="1"/>
  <c r="I212" i="1"/>
  <c r="P212" i="1" s="1"/>
  <c r="AK212" i="1"/>
  <c r="B210" i="10" s="1"/>
  <c r="AB212" i="1"/>
  <c r="AC212" i="1" s="1"/>
  <c r="AD212" i="1" s="1"/>
  <c r="AA212" i="1"/>
  <c r="J210" i="10" s="1"/>
  <c r="L212" i="1"/>
  <c r="K212" i="1"/>
  <c r="N212" i="1"/>
  <c r="V212" i="1"/>
  <c r="AI212" i="1"/>
  <c r="N210" i="10" s="1"/>
  <c r="G212" i="1"/>
  <c r="J212" i="1"/>
  <c r="O210" i="10"/>
  <c r="K210" i="10"/>
  <c r="G210" i="10"/>
  <c r="C210" i="10"/>
  <c r="Z212" i="1"/>
  <c r="AM212" i="1"/>
  <c r="A210" i="10"/>
  <c r="T212" i="1"/>
  <c r="AO212" i="1"/>
  <c r="I210" i="10"/>
  <c r="M212" i="1"/>
  <c r="AF212" i="1"/>
  <c r="AG212" i="1" s="1"/>
  <c r="AH212" i="1" s="1"/>
  <c r="AN212" i="1"/>
  <c r="E210" i="10"/>
  <c r="R212" i="1"/>
  <c r="M210" i="10"/>
  <c r="S212" i="1"/>
  <c r="Y211" i="1"/>
  <c r="W211" i="1"/>
  <c r="X211" i="1" s="1"/>
  <c r="A214" i="1" l="1"/>
  <c r="D213" i="1"/>
  <c r="C213" i="1"/>
  <c r="AL213" i="1"/>
  <c r="F211" i="10" s="1"/>
  <c r="B213" i="1"/>
  <c r="H213" i="1" s="1"/>
  <c r="I213" i="1"/>
  <c r="P213" i="1" s="1"/>
  <c r="F213" i="1"/>
  <c r="E213" i="1"/>
  <c r="AK213" i="1"/>
  <c r="B211" i="10" s="1"/>
  <c r="AA213" i="1"/>
  <c r="J211" i="10" s="1"/>
  <c r="AB213" i="1"/>
  <c r="AC213" i="1" s="1"/>
  <c r="AD213" i="1" s="1"/>
  <c r="M213" i="1"/>
  <c r="N213" i="1"/>
  <c r="K213" i="1"/>
  <c r="J213" i="1"/>
  <c r="O211" i="10"/>
  <c r="K211" i="10"/>
  <c r="AI213" i="1"/>
  <c r="N211" i="10" s="1"/>
  <c r="V213" i="1"/>
  <c r="L213" i="1"/>
  <c r="G211" i="10"/>
  <c r="C211" i="10"/>
  <c r="AF213" i="1"/>
  <c r="AG213" i="1" s="1"/>
  <c r="AH213" i="1" s="1"/>
  <c r="T213" i="1"/>
  <c r="E211" i="10"/>
  <c r="AN213" i="1"/>
  <c r="M211" i="10"/>
  <c r="AM213" i="1"/>
  <c r="S213" i="1"/>
  <c r="Z213" i="1"/>
  <c r="R213" i="1"/>
  <c r="G213" i="1"/>
  <c r="AO213" i="1"/>
  <c r="I211" i="10"/>
  <c r="A211" i="10"/>
  <c r="W212" i="1"/>
  <c r="X212" i="1" s="1"/>
  <c r="Y212" i="1"/>
  <c r="W213" i="1" l="1"/>
  <c r="X213" i="1" s="1"/>
  <c r="Y213" i="1"/>
  <c r="D214" i="1"/>
  <c r="A215" i="1"/>
  <c r="C214" i="1"/>
  <c r="I214" i="1"/>
  <c r="P214" i="1" s="1"/>
  <c r="AL214" i="1"/>
  <c r="F212" i="10" s="1"/>
  <c r="B214" i="1"/>
  <c r="H214" i="1" s="1"/>
  <c r="E214" i="1"/>
  <c r="F214" i="1"/>
  <c r="V214" i="1"/>
  <c r="M214" i="1"/>
  <c r="G214" i="1"/>
  <c r="AB214" i="1"/>
  <c r="AC214" i="1" s="1"/>
  <c r="AD214" i="1" s="1"/>
  <c r="N214" i="1"/>
  <c r="L214" i="1"/>
  <c r="K214" i="1"/>
  <c r="J214" i="1"/>
  <c r="O212" i="10"/>
  <c r="AA214" i="1"/>
  <c r="J212" i="10" s="1"/>
  <c r="K212" i="10"/>
  <c r="AK214" i="1"/>
  <c r="B212" i="10" s="1"/>
  <c r="C212" i="10"/>
  <c r="G212" i="10"/>
  <c r="AI214" i="1"/>
  <c r="N212" i="10" s="1"/>
  <c r="R214" i="1"/>
  <c r="T214" i="1"/>
  <c r="E212" i="10"/>
  <c r="Z214" i="1"/>
  <c r="S214" i="1"/>
  <c r="M212" i="10"/>
  <c r="AF214" i="1"/>
  <c r="AG214" i="1" s="1"/>
  <c r="AH214" i="1" s="1"/>
  <c r="A212" i="10"/>
  <c r="AO214" i="1"/>
  <c r="I212" i="10"/>
  <c r="AM214" i="1"/>
  <c r="AN214" i="1"/>
  <c r="A216" i="1" l="1"/>
  <c r="C215" i="1"/>
  <c r="I215" i="1"/>
  <c r="P215" i="1" s="1"/>
  <c r="B215" i="1"/>
  <c r="H215" i="1" s="1"/>
  <c r="D215" i="1"/>
  <c r="F215" i="1"/>
  <c r="E215" i="1"/>
  <c r="AL215" i="1"/>
  <c r="F213" i="10" s="1"/>
  <c r="AK215" i="1"/>
  <c r="B213" i="10" s="1"/>
  <c r="L215" i="1"/>
  <c r="K215" i="1"/>
  <c r="V215" i="1"/>
  <c r="M215" i="1"/>
  <c r="AB215" i="1"/>
  <c r="AC215" i="1" s="1"/>
  <c r="AD215" i="1" s="1"/>
  <c r="AI215" i="1"/>
  <c r="N213" i="10" s="1"/>
  <c r="N215" i="1"/>
  <c r="AA215" i="1"/>
  <c r="J213" i="10" s="1"/>
  <c r="J215" i="1"/>
  <c r="K213" i="10"/>
  <c r="C213" i="10"/>
  <c r="O213" i="10"/>
  <c r="G213" i="10"/>
  <c r="AO215" i="1"/>
  <c r="S215" i="1"/>
  <c r="R215" i="1"/>
  <c r="I213" i="10"/>
  <c r="G215" i="1"/>
  <c r="AF215" i="1"/>
  <c r="AG215" i="1" s="1"/>
  <c r="AH215" i="1" s="1"/>
  <c r="E213" i="10"/>
  <c r="Z215" i="1"/>
  <c r="M213" i="10"/>
  <c r="AN215" i="1"/>
  <c r="T215" i="1"/>
  <c r="AM215" i="1"/>
  <c r="A213" i="10"/>
  <c r="W214" i="1"/>
  <c r="X214" i="1" s="1"/>
  <c r="Y214" i="1"/>
  <c r="W215" i="1" l="1"/>
  <c r="X215" i="1" s="1"/>
  <c r="Y215" i="1"/>
  <c r="D216" i="1"/>
  <c r="A217" i="1"/>
  <c r="C216" i="1"/>
  <c r="B216" i="1"/>
  <c r="H216" i="1" s="1"/>
  <c r="AL216" i="1"/>
  <c r="F214" i="10" s="1"/>
  <c r="I216" i="1"/>
  <c r="P216" i="1" s="1"/>
  <c r="F216" i="1"/>
  <c r="E216" i="1"/>
  <c r="AK216" i="1"/>
  <c r="B214" i="10" s="1"/>
  <c r="N216" i="1"/>
  <c r="AB216" i="1"/>
  <c r="AC216" i="1" s="1"/>
  <c r="AD216" i="1" s="1"/>
  <c r="AA216" i="1"/>
  <c r="J214" i="10" s="1"/>
  <c r="L216" i="1"/>
  <c r="K216" i="1"/>
  <c r="G216" i="1"/>
  <c r="V216" i="1"/>
  <c r="AI216" i="1"/>
  <c r="N214" i="10" s="1"/>
  <c r="M216" i="1"/>
  <c r="J216" i="1"/>
  <c r="O214" i="10"/>
  <c r="K214" i="10"/>
  <c r="G214" i="10"/>
  <c r="Z216" i="1"/>
  <c r="AM216" i="1"/>
  <c r="I214" i="10"/>
  <c r="C214" i="10"/>
  <c r="AN216" i="1"/>
  <c r="AO216" i="1"/>
  <c r="E214" i="10"/>
  <c r="R216" i="1"/>
  <c r="M214" i="10"/>
  <c r="AF216" i="1"/>
  <c r="AG216" i="1" s="1"/>
  <c r="AH216" i="1" s="1"/>
  <c r="A214" i="10"/>
  <c r="S216" i="1"/>
  <c r="T216" i="1"/>
  <c r="A218" i="1" l="1"/>
  <c r="D217" i="1"/>
  <c r="AL217" i="1"/>
  <c r="F215" i="10" s="1"/>
  <c r="C217" i="1"/>
  <c r="B217" i="1"/>
  <c r="H217" i="1" s="1"/>
  <c r="I217" i="1"/>
  <c r="P217" i="1" s="1"/>
  <c r="F217" i="1"/>
  <c r="E217" i="1"/>
  <c r="AK217" i="1"/>
  <c r="B215" i="10" s="1"/>
  <c r="V217" i="1"/>
  <c r="AB217" i="1"/>
  <c r="AC217" i="1" s="1"/>
  <c r="AD217" i="1" s="1"/>
  <c r="N217" i="1"/>
  <c r="M217" i="1"/>
  <c r="L217" i="1"/>
  <c r="J217" i="1"/>
  <c r="O215" i="10"/>
  <c r="AA217" i="1"/>
  <c r="J215" i="10" s="1"/>
  <c r="K215" i="10"/>
  <c r="K217" i="1"/>
  <c r="AI217" i="1"/>
  <c r="N215" i="10" s="1"/>
  <c r="G217" i="1"/>
  <c r="G215" i="10"/>
  <c r="C215" i="10"/>
  <c r="R217" i="1"/>
  <c r="AM217" i="1"/>
  <c r="I215" i="10"/>
  <c r="Z217" i="1"/>
  <c r="AF217" i="1"/>
  <c r="AG217" i="1" s="1"/>
  <c r="AH217" i="1" s="1"/>
  <c r="E215" i="10"/>
  <c r="AO217" i="1"/>
  <c r="M215" i="10"/>
  <c r="AN217" i="1"/>
  <c r="T217" i="1"/>
  <c r="S217" i="1"/>
  <c r="A215" i="10"/>
  <c r="W216" i="1"/>
  <c r="X216" i="1" s="1"/>
  <c r="Y216" i="1"/>
  <c r="W217" i="1" l="1"/>
  <c r="X217" i="1" s="1"/>
  <c r="Y217" i="1"/>
  <c r="D218" i="1"/>
  <c r="A219" i="1"/>
  <c r="C218" i="1"/>
  <c r="I218" i="1"/>
  <c r="P218" i="1" s="1"/>
  <c r="AL218" i="1"/>
  <c r="F216" i="10" s="1"/>
  <c r="B218" i="1"/>
  <c r="H218" i="1" s="1"/>
  <c r="F218" i="1"/>
  <c r="E218" i="1"/>
  <c r="V218" i="1"/>
  <c r="M218" i="1"/>
  <c r="AB218" i="1"/>
  <c r="AC218" i="1" s="1"/>
  <c r="AD218" i="1" s="1"/>
  <c r="AK218" i="1"/>
  <c r="B216" i="10" s="1"/>
  <c r="N218" i="1"/>
  <c r="L218" i="1"/>
  <c r="K218" i="1"/>
  <c r="G218" i="1"/>
  <c r="AA218" i="1"/>
  <c r="J216" i="10" s="1"/>
  <c r="J218" i="1"/>
  <c r="O216" i="10"/>
  <c r="AI218" i="1"/>
  <c r="N216" i="10" s="1"/>
  <c r="C216" i="10"/>
  <c r="G216" i="10"/>
  <c r="R218" i="1"/>
  <c r="AO218" i="1"/>
  <c r="I216" i="10"/>
  <c r="K216" i="10"/>
  <c r="Z218" i="1"/>
  <c r="AF218" i="1"/>
  <c r="AG218" i="1" s="1"/>
  <c r="AH218" i="1" s="1"/>
  <c r="E216" i="10"/>
  <c r="T218" i="1"/>
  <c r="M216" i="10"/>
  <c r="S218" i="1"/>
  <c r="A216" i="10"/>
  <c r="AM218" i="1"/>
  <c r="AN218" i="1"/>
  <c r="W218" i="1" l="1"/>
  <c r="X218" i="1" s="1"/>
  <c r="Y218" i="1"/>
  <c r="A220" i="1"/>
  <c r="D219" i="1"/>
  <c r="C219" i="1"/>
  <c r="I219" i="1"/>
  <c r="P219" i="1" s="1"/>
  <c r="B219" i="1"/>
  <c r="H219" i="1" s="1"/>
  <c r="AL219" i="1"/>
  <c r="F217" i="10" s="1"/>
  <c r="F219" i="1"/>
  <c r="E219" i="1"/>
  <c r="AK219" i="1"/>
  <c r="B217" i="10" s="1"/>
  <c r="V219" i="1"/>
  <c r="L219" i="1"/>
  <c r="K219" i="1"/>
  <c r="AB219" i="1"/>
  <c r="AC219" i="1" s="1"/>
  <c r="AD219" i="1" s="1"/>
  <c r="M219" i="1"/>
  <c r="N219" i="1"/>
  <c r="AI219" i="1"/>
  <c r="N217" i="10" s="1"/>
  <c r="O217" i="10"/>
  <c r="AA219" i="1"/>
  <c r="J217" i="10" s="1"/>
  <c r="C217" i="10"/>
  <c r="K217" i="10"/>
  <c r="J219" i="1"/>
  <c r="S219" i="1"/>
  <c r="AF219" i="1"/>
  <c r="AG219" i="1" s="1"/>
  <c r="AH219" i="1" s="1"/>
  <c r="A217" i="10"/>
  <c r="G217" i="10"/>
  <c r="Z219" i="1"/>
  <c r="R219" i="1"/>
  <c r="AO219" i="1"/>
  <c r="I217" i="10"/>
  <c r="AN219" i="1"/>
  <c r="E217" i="10"/>
  <c r="AM219" i="1"/>
  <c r="G219" i="1"/>
  <c r="T219" i="1"/>
  <c r="M217" i="10"/>
  <c r="W219" i="1" l="1"/>
  <c r="X219" i="1" s="1"/>
  <c r="Y219" i="1"/>
  <c r="D220" i="1"/>
  <c r="A221" i="1"/>
  <c r="C220" i="1"/>
  <c r="B220" i="1"/>
  <c r="H220" i="1" s="1"/>
  <c r="AL220" i="1"/>
  <c r="F218" i="10" s="1"/>
  <c r="F220" i="1"/>
  <c r="E220" i="1"/>
  <c r="I220" i="1"/>
  <c r="P220" i="1" s="1"/>
  <c r="AK220" i="1"/>
  <c r="B218" i="10" s="1"/>
  <c r="V220" i="1"/>
  <c r="AB220" i="1"/>
  <c r="AC220" i="1" s="1"/>
  <c r="AD220" i="1" s="1"/>
  <c r="L220" i="1"/>
  <c r="K220" i="1"/>
  <c r="G220" i="1"/>
  <c r="M220" i="1"/>
  <c r="AI220" i="1"/>
  <c r="N218" i="10" s="1"/>
  <c r="J220" i="1"/>
  <c r="O218" i="10"/>
  <c r="K218" i="10"/>
  <c r="AA220" i="1"/>
  <c r="J218" i="10" s="1"/>
  <c r="G218" i="10"/>
  <c r="N220" i="1"/>
  <c r="AF220" i="1"/>
  <c r="AG220" i="1" s="1"/>
  <c r="AH220" i="1" s="1"/>
  <c r="M218" i="10"/>
  <c r="AM220" i="1"/>
  <c r="AO220" i="1"/>
  <c r="A218" i="10"/>
  <c r="C218" i="10"/>
  <c r="Z220" i="1"/>
  <c r="T220" i="1"/>
  <c r="AN220" i="1"/>
  <c r="E218" i="10"/>
  <c r="S220" i="1"/>
  <c r="R220" i="1"/>
  <c r="I218" i="10"/>
  <c r="Y220" i="1" l="1"/>
  <c r="W220" i="1"/>
  <c r="X220" i="1" s="1"/>
  <c r="A222" i="1"/>
  <c r="D221" i="1"/>
  <c r="AL221" i="1"/>
  <c r="F219" i="10" s="1"/>
  <c r="B221" i="1"/>
  <c r="H221" i="1" s="1"/>
  <c r="I221" i="1"/>
  <c r="P221" i="1" s="1"/>
  <c r="C221" i="1"/>
  <c r="F221" i="1"/>
  <c r="E221" i="1"/>
  <c r="AK221" i="1"/>
  <c r="B219" i="10" s="1"/>
  <c r="G221" i="1"/>
  <c r="N221" i="1"/>
  <c r="AB221" i="1"/>
  <c r="AC221" i="1" s="1"/>
  <c r="AD221" i="1" s="1"/>
  <c r="M221" i="1"/>
  <c r="J221" i="1"/>
  <c r="O219" i="10"/>
  <c r="L221" i="1"/>
  <c r="AI221" i="1"/>
  <c r="N219" i="10" s="1"/>
  <c r="V221" i="1"/>
  <c r="AA221" i="1"/>
  <c r="J219" i="10" s="1"/>
  <c r="G219" i="10"/>
  <c r="K219" i="10"/>
  <c r="K221" i="1"/>
  <c r="C219" i="10"/>
  <c r="R221" i="1"/>
  <c r="T221" i="1"/>
  <c r="M219" i="10"/>
  <c r="AF221" i="1"/>
  <c r="AG221" i="1" s="1"/>
  <c r="AH221" i="1" s="1"/>
  <c r="AN221" i="1"/>
  <c r="A219" i="10"/>
  <c r="Z221" i="1"/>
  <c r="I219" i="10"/>
  <c r="S221" i="1"/>
  <c r="AO221" i="1"/>
  <c r="AM221" i="1"/>
  <c r="E219" i="10"/>
  <c r="W221" i="1" l="1"/>
  <c r="X221" i="1" s="1"/>
  <c r="Y221" i="1"/>
  <c r="D222" i="1"/>
  <c r="A223" i="1"/>
  <c r="C222" i="1"/>
  <c r="I222" i="1"/>
  <c r="P222" i="1" s="1"/>
  <c r="AL222" i="1"/>
  <c r="F220" i="10" s="1"/>
  <c r="B222" i="1"/>
  <c r="H222" i="1" s="1"/>
  <c r="F222" i="1"/>
  <c r="AK222" i="1"/>
  <c r="B220" i="10" s="1"/>
  <c r="V222" i="1"/>
  <c r="M222" i="1"/>
  <c r="E222" i="1"/>
  <c r="AB222" i="1"/>
  <c r="AC222" i="1" s="1"/>
  <c r="AD222" i="1" s="1"/>
  <c r="N222" i="1"/>
  <c r="L222" i="1"/>
  <c r="K222" i="1"/>
  <c r="G222" i="1"/>
  <c r="AA222" i="1"/>
  <c r="J220" i="10" s="1"/>
  <c r="J222" i="1"/>
  <c r="O220" i="10"/>
  <c r="C220" i="10"/>
  <c r="AI222" i="1"/>
  <c r="N220" i="10" s="1"/>
  <c r="G220" i="10"/>
  <c r="T222" i="1"/>
  <c r="AM222" i="1"/>
  <c r="M220" i="10"/>
  <c r="S222" i="1"/>
  <c r="AF222" i="1"/>
  <c r="AG222" i="1" s="1"/>
  <c r="AH222" i="1" s="1"/>
  <c r="A220" i="10"/>
  <c r="K220" i="10"/>
  <c r="AO222" i="1"/>
  <c r="R222" i="1"/>
  <c r="Z222" i="1"/>
  <c r="E220" i="10"/>
  <c r="I220" i="10"/>
  <c r="AN222" i="1"/>
  <c r="A224" i="1" l="1"/>
  <c r="C223" i="1"/>
  <c r="I223" i="1"/>
  <c r="P223" i="1" s="1"/>
  <c r="D223" i="1"/>
  <c r="B223" i="1"/>
  <c r="H223" i="1" s="1"/>
  <c r="AL223" i="1"/>
  <c r="F221" i="10" s="1"/>
  <c r="F223" i="1"/>
  <c r="E223" i="1"/>
  <c r="AK223" i="1"/>
  <c r="B221" i="10" s="1"/>
  <c r="AA223" i="1"/>
  <c r="J221" i="10" s="1"/>
  <c r="L223" i="1"/>
  <c r="K223" i="1"/>
  <c r="M223" i="1"/>
  <c r="AB223" i="1"/>
  <c r="AC223" i="1" s="1"/>
  <c r="AD223" i="1" s="1"/>
  <c r="V223" i="1"/>
  <c r="AI223" i="1"/>
  <c r="N221" i="10" s="1"/>
  <c r="O221" i="10"/>
  <c r="C221" i="10"/>
  <c r="J223" i="1"/>
  <c r="K221" i="10"/>
  <c r="G223" i="1"/>
  <c r="R223" i="1"/>
  <c r="AO223" i="1"/>
  <c r="I221" i="10"/>
  <c r="N223" i="1"/>
  <c r="AF223" i="1"/>
  <c r="AG223" i="1" s="1"/>
  <c r="AH223" i="1" s="1"/>
  <c r="E221" i="10"/>
  <c r="T223" i="1"/>
  <c r="M221" i="10"/>
  <c r="S223" i="1"/>
  <c r="A221" i="10"/>
  <c r="Z223" i="1"/>
  <c r="AM223" i="1"/>
  <c r="G221" i="10"/>
  <c r="AN223" i="1"/>
  <c r="W222" i="1"/>
  <c r="X222" i="1" s="1"/>
  <c r="Y222" i="1"/>
  <c r="W223" i="1" l="1"/>
  <c r="X223" i="1" s="1"/>
  <c r="Y223" i="1"/>
  <c r="D224" i="1"/>
  <c r="A225" i="1"/>
  <c r="C224" i="1"/>
  <c r="B224" i="1"/>
  <c r="H224" i="1" s="1"/>
  <c r="AL224" i="1"/>
  <c r="F222" i="10" s="1"/>
  <c r="F224" i="1"/>
  <c r="E224" i="1"/>
  <c r="AK224" i="1"/>
  <c r="B222" i="10" s="1"/>
  <c r="I224" i="1"/>
  <c r="P224" i="1" s="1"/>
  <c r="V224" i="1"/>
  <c r="L224" i="1"/>
  <c r="K224" i="1"/>
  <c r="AI224" i="1"/>
  <c r="N222" i="10" s="1"/>
  <c r="M224" i="1"/>
  <c r="AA224" i="1"/>
  <c r="J222" i="10" s="1"/>
  <c r="J224" i="1"/>
  <c r="O222" i="10"/>
  <c r="K222" i="10"/>
  <c r="G222" i="10"/>
  <c r="S224" i="1"/>
  <c r="AN224" i="1"/>
  <c r="M222" i="10"/>
  <c r="AB224" i="1"/>
  <c r="AC224" i="1" s="1"/>
  <c r="AD224" i="1" s="1"/>
  <c r="G224" i="1"/>
  <c r="R224" i="1"/>
  <c r="AM224" i="1"/>
  <c r="A222" i="10"/>
  <c r="N224" i="1"/>
  <c r="I222" i="10"/>
  <c r="Z224" i="1"/>
  <c r="C222" i="10"/>
  <c r="AF224" i="1"/>
  <c r="AG224" i="1" s="1"/>
  <c r="AH224" i="1" s="1"/>
  <c r="AO224" i="1"/>
  <c r="T224" i="1"/>
  <c r="E222" i="10"/>
  <c r="Y224" i="1" l="1"/>
  <c r="W224" i="1"/>
  <c r="X224" i="1" s="1"/>
  <c r="A226" i="1"/>
  <c r="D225" i="1"/>
  <c r="AL225" i="1"/>
  <c r="F223" i="10" s="1"/>
  <c r="B225" i="1"/>
  <c r="H225" i="1" s="1"/>
  <c r="C225" i="1"/>
  <c r="I225" i="1"/>
  <c r="P225" i="1" s="1"/>
  <c r="F225" i="1"/>
  <c r="E225" i="1"/>
  <c r="AK225" i="1"/>
  <c r="B223" i="10" s="1"/>
  <c r="AA225" i="1"/>
  <c r="J223" i="10" s="1"/>
  <c r="V225" i="1"/>
  <c r="AB225" i="1"/>
  <c r="AC225" i="1" s="1"/>
  <c r="AD225" i="1" s="1"/>
  <c r="M225" i="1"/>
  <c r="J225" i="1"/>
  <c r="O223" i="10"/>
  <c r="AI225" i="1"/>
  <c r="N223" i="10" s="1"/>
  <c r="K225" i="1"/>
  <c r="G223" i="10"/>
  <c r="L225" i="1"/>
  <c r="K223" i="10"/>
  <c r="C223" i="10"/>
  <c r="S225" i="1"/>
  <c r="AF225" i="1"/>
  <c r="AG225" i="1" s="1"/>
  <c r="AH225" i="1" s="1"/>
  <c r="AN225" i="1"/>
  <c r="I223" i="10"/>
  <c r="Z225" i="1"/>
  <c r="AO225" i="1"/>
  <c r="E223" i="10"/>
  <c r="R225" i="1"/>
  <c r="M223" i="10"/>
  <c r="G225" i="1"/>
  <c r="N225" i="1"/>
  <c r="T225" i="1"/>
  <c r="A223" i="10"/>
  <c r="AM225" i="1"/>
  <c r="D226" i="1" l="1"/>
  <c r="A227" i="1"/>
  <c r="C226" i="1"/>
  <c r="I226" i="1"/>
  <c r="P226" i="1" s="1"/>
  <c r="AL226" i="1"/>
  <c r="F224" i="10" s="1"/>
  <c r="E226" i="1"/>
  <c r="B226" i="1"/>
  <c r="H226" i="1" s="1"/>
  <c r="M226" i="1"/>
  <c r="AK226" i="1"/>
  <c r="B224" i="10" s="1"/>
  <c r="G226" i="1"/>
  <c r="V226" i="1"/>
  <c r="F226" i="1"/>
  <c r="L226" i="1"/>
  <c r="K226" i="1"/>
  <c r="AB226" i="1"/>
  <c r="AC226" i="1" s="1"/>
  <c r="AD226" i="1" s="1"/>
  <c r="J226" i="1"/>
  <c r="O224" i="10"/>
  <c r="AA226" i="1"/>
  <c r="J224" i="10" s="1"/>
  <c r="C224" i="10"/>
  <c r="G224" i="10"/>
  <c r="AI226" i="1"/>
  <c r="N224" i="10" s="1"/>
  <c r="N226" i="1"/>
  <c r="T226" i="1"/>
  <c r="A224" i="10"/>
  <c r="S226" i="1"/>
  <c r="AF226" i="1"/>
  <c r="AG226" i="1" s="1"/>
  <c r="AH226" i="1" s="1"/>
  <c r="AN226" i="1"/>
  <c r="I224" i="10"/>
  <c r="AM226" i="1"/>
  <c r="E224" i="10"/>
  <c r="K224" i="10"/>
  <c r="R226" i="1"/>
  <c r="M224" i="10"/>
  <c r="AO226" i="1"/>
  <c r="Z226" i="1"/>
  <c r="Y225" i="1"/>
  <c r="W225" i="1"/>
  <c r="X225" i="1" s="1"/>
  <c r="W226" i="1" l="1"/>
  <c r="X226" i="1" s="1"/>
  <c r="Y226" i="1"/>
  <c r="A228" i="1"/>
  <c r="D227" i="1"/>
  <c r="C227" i="1"/>
  <c r="I227" i="1"/>
  <c r="P227" i="1" s="1"/>
  <c r="B227" i="1"/>
  <c r="H227" i="1" s="1"/>
  <c r="AL227" i="1"/>
  <c r="F225" i="10" s="1"/>
  <c r="F227" i="1"/>
  <c r="E227" i="1"/>
  <c r="AK227" i="1"/>
  <c r="B225" i="10" s="1"/>
  <c r="L227" i="1"/>
  <c r="K227" i="1"/>
  <c r="V227" i="1"/>
  <c r="M227" i="1"/>
  <c r="AB227" i="1"/>
  <c r="AC227" i="1" s="1"/>
  <c r="AD227" i="1" s="1"/>
  <c r="AA227" i="1"/>
  <c r="J225" i="10" s="1"/>
  <c r="G227" i="1"/>
  <c r="AI227" i="1"/>
  <c r="N225" i="10" s="1"/>
  <c r="J227" i="1"/>
  <c r="C225" i="10"/>
  <c r="K225" i="10"/>
  <c r="AO227" i="1"/>
  <c r="T227" i="1"/>
  <c r="M225" i="10"/>
  <c r="Z227" i="1"/>
  <c r="AM227" i="1"/>
  <c r="A225" i="10"/>
  <c r="AN227" i="1"/>
  <c r="I225" i="10"/>
  <c r="R227" i="1"/>
  <c r="O225" i="10"/>
  <c r="N227" i="1"/>
  <c r="S227" i="1"/>
  <c r="G225" i="10"/>
  <c r="AF227" i="1"/>
  <c r="AG227" i="1" s="1"/>
  <c r="AH227" i="1" s="1"/>
  <c r="E225" i="10"/>
  <c r="D228" i="1" l="1"/>
  <c r="A229" i="1"/>
  <c r="C228" i="1"/>
  <c r="B228" i="1"/>
  <c r="H228" i="1" s="1"/>
  <c r="AL228" i="1"/>
  <c r="F226" i="10" s="1"/>
  <c r="F228" i="1"/>
  <c r="E228" i="1"/>
  <c r="I228" i="1"/>
  <c r="P228" i="1" s="1"/>
  <c r="AK228" i="1"/>
  <c r="B226" i="10" s="1"/>
  <c r="G228" i="1"/>
  <c r="L228" i="1"/>
  <c r="K228" i="1"/>
  <c r="V228" i="1"/>
  <c r="AI228" i="1"/>
  <c r="N226" i="10" s="1"/>
  <c r="AB228" i="1"/>
  <c r="AC228" i="1" s="1"/>
  <c r="AD228" i="1" s="1"/>
  <c r="AA228" i="1"/>
  <c r="J226" i="10" s="1"/>
  <c r="J228" i="1"/>
  <c r="O226" i="10"/>
  <c r="K226" i="10"/>
  <c r="M228" i="1"/>
  <c r="G226" i="10"/>
  <c r="C226" i="10"/>
  <c r="Z228" i="1"/>
  <c r="AO228" i="1"/>
  <c r="E226" i="10"/>
  <c r="AM228" i="1"/>
  <c r="R228" i="1"/>
  <c r="M226" i="10"/>
  <c r="AN228" i="1"/>
  <c r="T228" i="1"/>
  <c r="AF228" i="1"/>
  <c r="AG228" i="1" s="1"/>
  <c r="AH228" i="1" s="1"/>
  <c r="N228" i="1"/>
  <c r="S228" i="1"/>
  <c r="I226" i="10"/>
  <c r="A226" i="10"/>
  <c r="W227" i="1"/>
  <c r="X227" i="1" s="1"/>
  <c r="Y227" i="1"/>
  <c r="W228" i="1" l="1"/>
  <c r="X228" i="1" s="1"/>
  <c r="Y228" i="1"/>
  <c r="A230" i="1"/>
  <c r="D229" i="1"/>
  <c r="C229" i="1"/>
  <c r="AL229" i="1"/>
  <c r="F227" i="10" s="1"/>
  <c r="B229" i="1"/>
  <c r="H229" i="1" s="1"/>
  <c r="I229" i="1"/>
  <c r="P229" i="1" s="1"/>
  <c r="F229" i="1"/>
  <c r="E229" i="1"/>
  <c r="AK229" i="1"/>
  <c r="B227" i="10" s="1"/>
  <c r="N229" i="1"/>
  <c r="V229" i="1"/>
  <c r="M229" i="1"/>
  <c r="K229" i="1"/>
  <c r="J229" i="1"/>
  <c r="O227" i="10"/>
  <c r="AI229" i="1"/>
  <c r="N227" i="10" s="1"/>
  <c r="L229" i="1"/>
  <c r="G227" i="10"/>
  <c r="K227" i="10"/>
  <c r="AB229" i="1"/>
  <c r="AC229" i="1" s="1"/>
  <c r="AD229" i="1" s="1"/>
  <c r="AA229" i="1"/>
  <c r="J227" i="10" s="1"/>
  <c r="C227" i="10"/>
  <c r="S229" i="1"/>
  <c r="T229" i="1"/>
  <c r="AM229" i="1"/>
  <c r="I227" i="10"/>
  <c r="R229" i="1"/>
  <c r="AF229" i="1"/>
  <c r="AG229" i="1" s="1"/>
  <c r="AH229" i="1" s="1"/>
  <c r="E227" i="10"/>
  <c r="Z229" i="1"/>
  <c r="M227" i="10"/>
  <c r="G229" i="1"/>
  <c r="A227" i="10"/>
  <c r="AO229" i="1"/>
  <c r="AN229" i="1"/>
  <c r="D230" i="1" l="1"/>
  <c r="A231" i="1"/>
  <c r="C230" i="1"/>
  <c r="I230" i="1"/>
  <c r="P230" i="1" s="1"/>
  <c r="AL230" i="1"/>
  <c r="F228" i="10" s="1"/>
  <c r="B230" i="1"/>
  <c r="H230" i="1" s="1"/>
  <c r="E230" i="1"/>
  <c r="F230" i="1"/>
  <c r="N230" i="1"/>
  <c r="M230" i="1"/>
  <c r="G230" i="1"/>
  <c r="AB230" i="1"/>
  <c r="AC230" i="1" s="1"/>
  <c r="AD230" i="1" s="1"/>
  <c r="L230" i="1"/>
  <c r="K230" i="1"/>
  <c r="AK230" i="1"/>
  <c r="B228" i="10" s="1"/>
  <c r="J230" i="1"/>
  <c r="O228" i="10"/>
  <c r="V230" i="1"/>
  <c r="AA230" i="1"/>
  <c r="J228" i="10" s="1"/>
  <c r="C228" i="10"/>
  <c r="G228" i="10"/>
  <c r="AI230" i="1"/>
  <c r="N228" i="10" s="1"/>
  <c r="K228" i="10"/>
  <c r="T230" i="1"/>
  <c r="AO230" i="1"/>
  <c r="I228" i="10"/>
  <c r="AF230" i="1"/>
  <c r="AG230" i="1" s="1"/>
  <c r="AH230" i="1" s="1"/>
  <c r="AM230" i="1"/>
  <c r="E228" i="10"/>
  <c r="S230" i="1"/>
  <c r="Z230" i="1"/>
  <c r="R230" i="1"/>
  <c r="AN230" i="1"/>
  <c r="A228" i="10"/>
  <c r="M228" i="10"/>
  <c r="Y229" i="1"/>
  <c r="W229" i="1"/>
  <c r="X229" i="1" s="1"/>
  <c r="W230" i="1" l="1"/>
  <c r="X230" i="1" s="1"/>
  <c r="Y230" i="1"/>
  <c r="A232" i="1"/>
  <c r="C231" i="1"/>
  <c r="D231" i="1"/>
  <c r="I231" i="1"/>
  <c r="P231" i="1" s="1"/>
  <c r="B231" i="1"/>
  <c r="H231" i="1" s="1"/>
  <c r="F231" i="1"/>
  <c r="E231" i="1"/>
  <c r="AL231" i="1"/>
  <c r="F229" i="10" s="1"/>
  <c r="AK231" i="1"/>
  <c r="B229" i="10" s="1"/>
  <c r="N231" i="1"/>
  <c r="L231" i="1"/>
  <c r="K231" i="1"/>
  <c r="G231" i="1"/>
  <c r="V231" i="1"/>
  <c r="M231" i="1"/>
  <c r="AB231" i="1"/>
  <c r="AC231" i="1" s="1"/>
  <c r="AD231" i="1" s="1"/>
  <c r="AA231" i="1"/>
  <c r="J229" i="10" s="1"/>
  <c r="AI231" i="1"/>
  <c r="N229" i="10" s="1"/>
  <c r="J231" i="1"/>
  <c r="C229" i="10"/>
  <c r="O229" i="10"/>
  <c r="K229" i="10"/>
  <c r="G229" i="10"/>
  <c r="T231" i="1"/>
  <c r="AO231" i="1"/>
  <c r="I229" i="10"/>
  <c r="Z231" i="1"/>
  <c r="AN231" i="1"/>
  <c r="E229" i="10"/>
  <c r="S231" i="1"/>
  <c r="M229" i="10"/>
  <c r="AM231" i="1"/>
  <c r="R231" i="1"/>
  <c r="A229" i="10"/>
  <c r="AF231" i="1"/>
  <c r="AG231" i="1" s="1"/>
  <c r="AH231" i="1" s="1"/>
  <c r="D232" i="1" l="1"/>
  <c r="A233" i="1"/>
  <c r="C232" i="1"/>
  <c r="B232" i="1"/>
  <c r="H232" i="1" s="1"/>
  <c r="AL232" i="1"/>
  <c r="F230" i="10" s="1"/>
  <c r="I232" i="1"/>
  <c r="P232" i="1" s="1"/>
  <c r="F232" i="1"/>
  <c r="E232" i="1"/>
  <c r="AK232" i="1"/>
  <c r="B230" i="10" s="1"/>
  <c r="N232" i="1"/>
  <c r="V232" i="1"/>
  <c r="L232" i="1"/>
  <c r="K232" i="1"/>
  <c r="G232" i="1"/>
  <c r="AI232" i="1"/>
  <c r="N230" i="10" s="1"/>
  <c r="AB232" i="1"/>
  <c r="AC232" i="1" s="1"/>
  <c r="AD232" i="1" s="1"/>
  <c r="AA232" i="1"/>
  <c r="J230" i="10" s="1"/>
  <c r="M232" i="1"/>
  <c r="J232" i="1"/>
  <c r="O230" i="10"/>
  <c r="K230" i="10"/>
  <c r="G230" i="10"/>
  <c r="R232" i="1"/>
  <c r="AM232" i="1"/>
  <c r="I230" i="10"/>
  <c r="C230" i="10"/>
  <c r="Z232" i="1"/>
  <c r="AO232" i="1"/>
  <c r="E230" i="10"/>
  <c r="AF232" i="1"/>
  <c r="AG232" i="1" s="1"/>
  <c r="AH232" i="1" s="1"/>
  <c r="M230" i="10"/>
  <c r="AN232" i="1"/>
  <c r="T232" i="1"/>
  <c r="S232" i="1"/>
  <c r="A230" i="10"/>
  <c r="W231" i="1"/>
  <c r="X231" i="1" s="1"/>
  <c r="Y231" i="1"/>
  <c r="A234" i="1" l="1"/>
  <c r="D233" i="1"/>
  <c r="AL233" i="1"/>
  <c r="F231" i="10" s="1"/>
  <c r="C233" i="1"/>
  <c r="B233" i="1"/>
  <c r="H233" i="1" s="1"/>
  <c r="I233" i="1"/>
  <c r="P233" i="1" s="1"/>
  <c r="F233" i="1"/>
  <c r="E233" i="1"/>
  <c r="AK233" i="1"/>
  <c r="B231" i="10" s="1"/>
  <c r="N233" i="1"/>
  <c r="AB233" i="1"/>
  <c r="AC233" i="1" s="1"/>
  <c r="AD233" i="1" s="1"/>
  <c r="G233" i="1"/>
  <c r="AA233" i="1"/>
  <c r="J231" i="10" s="1"/>
  <c r="M233" i="1"/>
  <c r="L233" i="1"/>
  <c r="J233" i="1"/>
  <c r="O231" i="10"/>
  <c r="K233" i="1"/>
  <c r="AI233" i="1"/>
  <c r="N231" i="10" s="1"/>
  <c r="V233" i="1"/>
  <c r="G231" i="10"/>
  <c r="K231" i="10"/>
  <c r="C231" i="10"/>
  <c r="S233" i="1"/>
  <c r="AN233" i="1"/>
  <c r="I231" i="10"/>
  <c r="Z233" i="1"/>
  <c r="AF233" i="1"/>
  <c r="AG233" i="1" s="1"/>
  <c r="AH233" i="1" s="1"/>
  <c r="E231" i="10"/>
  <c r="T233" i="1"/>
  <c r="M231" i="10"/>
  <c r="AM233" i="1"/>
  <c r="A231" i="10"/>
  <c r="AO233" i="1"/>
  <c r="R233" i="1"/>
  <c r="Y232" i="1"/>
  <c r="W232" i="1"/>
  <c r="X232" i="1" s="1"/>
  <c r="W233" i="1" l="1"/>
  <c r="X233" i="1" s="1"/>
  <c r="Y233" i="1"/>
  <c r="D234" i="1"/>
  <c r="A235" i="1"/>
  <c r="C234" i="1"/>
  <c r="I234" i="1"/>
  <c r="P234" i="1" s="1"/>
  <c r="AL234" i="1"/>
  <c r="F232" i="10" s="1"/>
  <c r="B234" i="1"/>
  <c r="H234" i="1" s="1"/>
  <c r="F234" i="1"/>
  <c r="E234" i="1"/>
  <c r="G234" i="1"/>
  <c r="M234" i="1"/>
  <c r="V234" i="1"/>
  <c r="N234" i="1"/>
  <c r="AK234" i="1"/>
  <c r="B232" i="10" s="1"/>
  <c r="L234" i="1"/>
  <c r="K234" i="1"/>
  <c r="J234" i="1"/>
  <c r="O232" i="10"/>
  <c r="AB234" i="1"/>
  <c r="AC234" i="1" s="1"/>
  <c r="AD234" i="1" s="1"/>
  <c r="AI234" i="1"/>
  <c r="N232" i="10" s="1"/>
  <c r="AA234" i="1"/>
  <c r="J232" i="10" s="1"/>
  <c r="C232" i="10"/>
  <c r="G232" i="10"/>
  <c r="AM234" i="1"/>
  <c r="T234" i="1"/>
  <c r="I232" i="10"/>
  <c r="K232" i="10"/>
  <c r="Z234" i="1"/>
  <c r="AF234" i="1"/>
  <c r="AG234" i="1" s="1"/>
  <c r="AH234" i="1" s="1"/>
  <c r="E232" i="10"/>
  <c r="R234" i="1"/>
  <c r="M232" i="10"/>
  <c r="AO234" i="1"/>
  <c r="AN234" i="1"/>
  <c r="S234" i="1"/>
  <c r="A232" i="10"/>
  <c r="A236" i="1" l="1"/>
  <c r="D235" i="1"/>
  <c r="C235" i="1"/>
  <c r="I235" i="1"/>
  <c r="P235" i="1" s="1"/>
  <c r="B235" i="1"/>
  <c r="H235" i="1" s="1"/>
  <c r="AL235" i="1"/>
  <c r="F233" i="10" s="1"/>
  <c r="F235" i="1"/>
  <c r="E235" i="1"/>
  <c r="AK235" i="1"/>
  <c r="B233" i="10" s="1"/>
  <c r="N235" i="1"/>
  <c r="AA235" i="1"/>
  <c r="J233" i="10" s="1"/>
  <c r="L235" i="1"/>
  <c r="K235" i="1"/>
  <c r="M235" i="1"/>
  <c r="G235" i="1"/>
  <c r="AB235" i="1"/>
  <c r="AC235" i="1" s="1"/>
  <c r="AD235" i="1" s="1"/>
  <c r="V235" i="1"/>
  <c r="AI235" i="1"/>
  <c r="N233" i="10" s="1"/>
  <c r="O233" i="10"/>
  <c r="C233" i="10"/>
  <c r="K233" i="10"/>
  <c r="T235" i="1"/>
  <c r="AN235" i="1"/>
  <c r="I233" i="10"/>
  <c r="J235" i="1"/>
  <c r="G233" i="10"/>
  <c r="S235" i="1"/>
  <c r="AM235" i="1"/>
  <c r="E233" i="10"/>
  <c r="R235" i="1"/>
  <c r="M233" i="10"/>
  <c r="Z235" i="1"/>
  <c r="A233" i="10"/>
  <c r="AO235" i="1"/>
  <c r="AF235" i="1"/>
  <c r="AG235" i="1" s="1"/>
  <c r="AH235" i="1" s="1"/>
  <c r="W234" i="1"/>
  <c r="X234" i="1" s="1"/>
  <c r="Y234" i="1"/>
  <c r="W235" i="1" l="1"/>
  <c r="X235" i="1" s="1"/>
  <c r="Y235" i="1"/>
  <c r="D236" i="1"/>
  <c r="A237" i="1"/>
  <c r="C236" i="1"/>
  <c r="B236" i="1"/>
  <c r="H236" i="1" s="1"/>
  <c r="AL236" i="1"/>
  <c r="F234" i="10" s="1"/>
  <c r="F236" i="1"/>
  <c r="E236" i="1"/>
  <c r="I236" i="1"/>
  <c r="P236" i="1" s="1"/>
  <c r="AK236" i="1"/>
  <c r="B234" i="10" s="1"/>
  <c r="V236" i="1"/>
  <c r="L236" i="1"/>
  <c r="K236" i="1"/>
  <c r="AB236" i="1"/>
  <c r="AC236" i="1" s="1"/>
  <c r="AD236" i="1" s="1"/>
  <c r="M236" i="1"/>
  <c r="AI236" i="1"/>
  <c r="N234" i="10" s="1"/>
  <c r="N236" i="1"/>
  <c r="J236" i="1"/>
  <c r="O234" i="10"/>
  <c r="AA236" i="1"/>
  <c r="J234" i="10" s="1"/>
  <c r="K234" i="10"/>
  <c r="G234" i="10"/>
  <c r="R236" i="1"/>
  <c r="AO236" i="1"/>
  <c r="A234" i="10"/>
  <c r="Z236" i="1"/>
  <c r="T236" i="1"/>
  <c r="AN236" i="1"/>
  <c r="I234" i="10"/>
  <c r="AM236" i="1"/>
  <c r="E234" i="10"/>
  <c r="AF236" i="1"/>
  <c r="AG236" i="1" s="1"/>
  <c r="AH236" i="1" s="1"/>
  <c r="C234" i="10"/>
  <c r="G236" i="1"/>
  <c r="S236" i="1"/>
  <c r="M234" i="10"/>
  <c r="Y236" i="1" l="1"/>
  <c r="W236" i="1"/>
  <c r="X236" i="1" s="1"/>
  <c r="A238" i="1"/>
  <c r="D237" i="1"/>
  <c r="AL237" i="1"/>
  <c r="F235" i="10" s="1"/>
  <c r="B237" i="1"/>
  <c r="H237" i="1" s="1"/>
  <c r="I237" i="1"/>
  <c r="P237" i="1" s="1"/>
  <c r="C237" i="1"/>
  <c r="F237" i="1"/>
  <c r="E237" i="1"/>
  <c r="AK237" i="1"/>
  <c r="B235" i="10" s="1"/>
  <c r="G237" i="1"/>
  <c r="V237" i="1"/>
  <c r="M237" i="1"/>
  <c r="J237" i="1"/>
  <c r="O235" i="10"/>
  <c r="AA237" i="1"/>
  <c r="J235" i="10" s="1"/>
  <c r="L237" i="1"/>
  <c r="AI237" i="1"/>
  <c r="N235" i="10" s="1"/>
  <c r="K237" i="1"/>
  <c r="G235" i="10"/>
  <c r="AB237" i="1"/>
  <c r="AC237" i="1" s="1"/>
  <c r="AD237" i="1" s="1"/>
  <c r="K235" i="10"/>
  <c r="C235" i="10"/>
  <c r="T237" i="1"/>
  <c r="AF237" i="1"/>
  <c r="AG237" i="1" s="1"/>
  <c r="AH237" i="1" s="1"/>
  <c r="M235" i="10"/>
  <c r="S237" i="1"/>
  <c r="AO237" i="1"/>
  <c r="A235" i="10"/>
  <c r="Z237" i="1"/>
  <c r="AN237" i="1"/>
  <c r="I235" i="10"/>
  <c r="N237" i="1"/>
  <c r="E235" i="10"/>
  <c r="AM237" i="1"/>
  <c r="R237" i="1"/>
  <c r="D238" i="1" l="1"/>
  <c r="A239" i="1"/>
  <c r="C238" i="1"/>
  <c r="I238" i="1"/>
  <c r="P238" i="1" s="1"/>
  <c r="AL238" i="1"/>
  <c r="F236" i="10" s="1"/>
  <c r="B238" i="1"/>
  <c r="H238" i="1" s="1"/>
  <c r="F238" i="1"/>
  <c r="AK238" i="1"/>
  <c r="B236" i="10" s="1"/>
  <c r="N238" i="1"/>
  <c r="M238" i="1"/>
  <c r="V238" i="1"/>
  <c r="G238" i="1"/>
  <c r="L238" i="1"/>
  <c r="K238" i="1"/>
  <c r="E238" i="1"/>
  <c r="J238" i="1"/>
  <c r="O236" i="10"/>
  <c r="AA238" i="1"/>
  <c r="J236" i="10" s="1"/>
  <c r="AB238" i="1"/>
  <c r="AC238" i="1" s="1"/>
  <c r="AD238" i="1" s="1"/>
  <c r="C236" i="10"/>
  <c r="AI238" i="1"/>
  <c r="N236" i="10" s="1"/>
  <c r="G236" i="10"/>
  <c r="T238" i="1"/>
  <c r="AN238" i="1"/>
  <c r="M236" i="10"/>
  <c r="S238" i="1"/>
  <c r="AM238" i="1"/>
  <c r="A236" i="10"/>
  <c r="R238" i="1"/>
  <c r="I236" i="10"/>
  <c r="AF238" i="1"/>
  <c r="AG238" i="1" s="1"/>
  <c r="AH238" i="1" s="1"/>
  <c r="Z238" i="1"/>
  <c r="E236" i="10"/>
  <c r="K236" i="10"/>
  <c r="AO238" i="1"/>
  <c r="W237" i="1"/>
  <c r="X237" i="1" s="1"/>
  <c r="Y237" i="1"/>
  <c r="W238" i="1" l="1"/>
  <c r="X238" i="1" s="1"/>
  <c r="Y238" i="1"/>
  <c r="A240" i="1"/>
  <c r="C239" i="1"/>
  <c r="D239" i="1"/>
  <c r="I239" i="1"/>
  <c r="P239" i="1" s="1"/>
  <c r="B239" i="1"/>
  <c r="H239" i="1" s="1"/>
  <c r="AL239" i="1"/>
  <c r="F237" i="10" s="1"/>
  <c r="F239" i="1"/>
  <c r="E239" i="1"/>
  <c r="AK239" i="1"/>
  <c r="B237" i="10" s="1"/>
  <c r="N239" i="1"/>
  <c r="L239" i="1"/>
  <c r="K239" i="1"/>
  <c r="M239" i="1"/>
  <c r="AB239" i="1"/>
  <c r="AC239" i="1" s="1"/>
  <c r="AD239" i="1" s="1"/>
  <c r="V239" i="1"/>
  <c r="AI239" i="1"/>
  <c r="N237" i="10" s="1"/>
  <c r="O237" i="10"/>
  <c r="AA239" i="1"/>
  <c r="J237" i="10" s="1"/>
  <c r="C237" i="10"/>
  <c r="J239" i="1"/>
  <c r="K237" i="10"/>
  <c r="AO239" i="1"/>
  <c r="T239" i="1"/>
  <c r="E237" i="10"/>
  <c r="Z239" i="1"/>
  <c r="AM239" i="1"/>
  <c r="M237" i="10"/>
  <c r="G237" i="10"/>
  <c r="S239" i="1"/>
  <c r="A237" i="10"/>
  <c r="R239" i="1"/>
  <c r="AF239" i="1"/>
  <c r="AG239" i="1" s="1"/>
  <c r="AH239" i="1" s="1"/>
  <c r="AN239" i="1"/>
  <c r="G239" i="1"/>
  <c r="I237" i="10"/>
  <c r="D240" i="1" l="1"/>
  <c r="A241" i="1"/>
  <c r="C240" i="1"/>
  <c r="B240" i="1"/>
  <c r="H240" i="1" s="1"/>
  <c r="AL240" i="1"/>
  <c r="F238" i="10" s="1"/>
  <c r="F240" i="1"/>
  <c r="E240" i="1"/>
  <c r="AK240" i="1"/>
  <c r="B238" i="10" s="1"/>
  <c r="N240" i="1"/>
  <c r="V240" i="1"/>
  <c r="AB240" i="1"/>
  <c r="AC240" i="1" s="1"/>
  <c r="AD240" i="1" s="1"/>
  <c r="L240" i="1"/>
  <c r="K240" i="1"/>
  <c r="G240" i="1"/>
  <c r="AI240" i="1"/>
  <c r="N238" i="10" s="1"/>
  <c r="I240" i="1"/>
  <c r="P240" i="1" s="1"/>
  <c r="AA240" i="1"/>
  <c r="J238" i="10" s="1"/>
  <c r="M240" i="1"/>
  <c r="J240" i="1"/>
  <c r="O238" i="10"/>
  <c r="K238" i="10"/>
  <c r="G238" i="10"/>
  <c r="R240" i="1"/>
  <c r="AF240" i="1"/>
  <c r="AG240" i="1" s="1"/>
  <c r="AH240" i="1" s="1"/>
  <c r="E238" i="10"/>
  <c r="Z240" i="1"/>
  <c r="AN240" i="1"/>
  <c r="M238" i="10"/>
  <c r="T240" i="1"/>
  <c r="A238" i="10"/>
  <c r="S240" i="1"/>
  <c r="I238" i="10"/>
  <c r="C238" i="10"/>
  <c r="AO240" i="1"/>
  <c r="AM240" i="1"/>
  <c r="W239" i="1"/>
  <c r="X239" i="1" s="1"/>
  <c r="Y239" i="1"/>
  <c r="W240" i="1" l="1"/>
  <c r="X240" i="1" s="1"/>
  <c r="Y240" i="1"/>
  <c r="A242" i="1"/>
  <c r="D241" i="1"/>
  <c r="AL241" i="1"/>
  <c r="F239" i="10" s="1"/>
  <c r="B241" i="1"/>
  <c r="H241" i="1" s="1"/>
  <c r="C241" i="1"/>
  <c r="I241" i="1"/>
  <c r="P241" i="1" s="1"/>
  <c r="F241" i="1"/>
  <c r="E241" i="1"/>
  <c r="AK241" i="1"/>
  <c r="B239" i="10" s="1"/>
  <c r="AB241" i="1"/>
  <c r="AC241" i="1" s="1"/>
  <c r="AD241" i="1" s="1"/>
  <c r="AA241" i="1"/>
  <c r="J239" i="10" s="1"/>
  <c r="V241" i="1"/>
  <c r="M241" i="1"/>
  <c r="J241" i="1"/>
  <c r="O239" i="10"/>
  <c r="AI241" i="1"/>
  <c r="N239" i="10" s="1"/>
  <c r="K241" i="1"/>
  <c r="G239" i="10"/>
  <c r="K239" i="10"/>
  <c r="C239" i="10"/>
  <c r="N241" i="1"/>
  <c r="S241" i="1"/>
  <c r="AM241" i="1"/>
  <c r="A239" i="10"/>
  <c r="G241" i="1"/>
  <c r="R241" i="1"/>
  <c r="AO241" i="1"/>
  <c r="I239" i="10"/>
  <c r="AF241" i="1"/>
  <c r="AG241" i="1" s="1"/>
  <c r="AH241" i="1" s="1"/>
  <c r="E239" i="10"/>
  <c r="AN241" i="1"/>
  <c r="L241" i="1"/>
  <c r="Z241" i="1"/>
  <c r="T241" i="1"/>
  <c r="M239" i="10"/>
  <c r="Y241" i="1" l="1"/>
  <c r="W241" i="1"/>
  <c r="X241" i="1" s="1"/>
  <c r="D242" i="1"/>
  <c r="A243" i="1"/>
  <c r="C242" i="1"/>
  <c r="I242" i="1"/>
  <c r="P242" i="1" s="1"/>
  <c r="AL242" i="1"/>
  <c r="F240" i="10" s="1"/>
  <c r="B242" i="1"/>
  <c r="H242" i="1" s="1"/>
  <c r="E242" i="1"/>
  <c r="F242" i="1"/>
  <c r="AB242" i="1"/>
  <c r="AC242" i="1" s="1"/>
  <c r="AD242" i="1" s="1"/>
  <c r="M242" i="1"/>
  <c r="AK242" i="1"/>
  <c r="B240" i="10" s="1"/>
  <c r="V242" i="1"/>
  <c r="L242" i="1"/>
  <c r="K242" i="1"/>
  <c r="AA242" i="1"/>
  <c r="J240" i="10" s="1"/>
  <c r="J242" i="1"/>
  <c r="O240" i="10"/>
  <c r="C240" i="10"/>
  <c r="G240" i="10"/>
  <c r="T242" i="1"/>
  <c r="AM242" i="1"/>
  <c r="M240" i="10"/>
  <c r="AI242" i="1"/>
  <c r="N240" i="10" s="1"/>
  <c r="S242" i="1"/>
  <c r="AF242" i="1"/>
  <c r="AG242" i="1" s="1"/>
  <c r="AH242" i="1" s="1"/>
  <c r="A240" i="10"/>
  <c r="G242" i="1"/>
  <c r="AO242" i="1"/>
  <c r="Z242" i="1"/>
  <c r="E240" i="10"/>
  <c r="N242" i="1"/>
  <c r="I240" i="10"/>
  <c r="K240" i="10"/>
  <c r="AN242" i="1"/>
  <c r="R242" i="1"/>
  <c r="A244" i="1" l="1"/>
  <c r="D243" i="1"/>
  <c r="C243" i="1"/>
  <c r="I243" i="1"/>
  <c r="P243" i="1" s="1"/>
  <c r="B243" i="1"/>
  <c r="H243" i="1" s="1"/>
  <c r="AL243" i="1"/>
  <c r="F241" i="10" s="1"/>
  <c r="F243" i="1"/>
  <c r="E243" i="1"/>
  <c r="AK243" i="1"/>
  <c r="B241" i="10" s="1"/>
  <c r="AB243" i="1"/>
  <c r="AC243" i="1" s="1"/>
  <c r="AD243" i="1" s="1"/>
  <c r="L243" i="1"/>
  <c r="K243" i="1"/>
  <c r="N243" i="1"/>
  <c r="AA243" i="1"/>
  <c r="J241" i="10" s="1"/>
  <c r="M243" i="1"/>
  <c r="V243" i="1"/>
  <c r="G243" i="1"/>
  <c r="AI243" i="1"/>
  <c r="N241" i="10" s="1"/>
  <c r="J243" i="1"/>
  <c r="C241" i="10"/>
  <c r="K241" i="10"/>
  <c r="O241" i="10"/>
  <c r="AN243" i="1"/>
  <c r="Z243" i="1"/>
  <c r="M241" i="10"/>
  <c r="S243" i="1"/>
  <c r="AO243" i="1"/>
  <c r="A241" i="10"/>
  <c r="AM243" i="1"/>
  <c r="I241" i="10"/>
  <c r="T243" i="1"/>
  <c r="G241" i="10"/>
  <c r="R243" i="1"/>
  <c r="AF243" i="1"/>
  <c r="AG243" i="1" s="1"/>
  <c r="AH243" i="1" s="1"/>
  <c r="E241" i="10"/>
  <c r="Y242" i="1"/>
  <c r="W242" i="1"/>
  <c r="X242" i="1" s="1"/>
  <c r="Y243" i="1" l="1"/>
  <c r="W243" i="1"/>
  <c r="X243" i="1" s="1"/>
  <c r="D244" i="1"/>
  <c r="A245" i="1"/>
  <c r="C244" i="1"/>
  <c r="B244" i="1"/>
  <c r="H244" i="1" s="1"/>
  <c r="AL244" i="1"/>
  <c r="F242" i="10" s="1"/>
  <c r="F244" i="1"/>
  <c r="E244" i="1"/>
  <c r="I244" i="1"/>
  <c r="P244" i="1" s="1"/>
  <c r="AK244" i="1"/>
  <c r="B242" i="10" s="1"/>
  <c r="V244" i="1"/>
  <c r="L244" i="1"/>
  <c r="K244" i="1"/>
  <c r="AB244" i="1"/>
  <c r="AC244" i="1" s="1"/>
  <c r="AD244" i="1" s="1"/>
  <c r="G244" i="1"/>
  <c r="AI244" i="1"/>
  <c r="N242" i="10" s="1"/>
  <c r="AA244" i="1"/>
  <c r="J242" i="10" s="1"/>
  <c r="J244" i="1"/>
  <c r="O242" i="10"/>
  <c r="M244" i="1"/>
  <c r="K242" i="10"/>
  <c r="G242" i="10"/>
  <c r="C242" i="10"/>
  <c r="AF244" i="1"/>
  <c r="AG244" i="1" s="1"/>
  <c r="AH244" i="1" s="1"/>
  <c r="AM244" i="1"/>
  <c r="E242" i="10"/>
  <c r="AN244" i="1"/>
  <c r="S244" i="1"/>
  <c r="M242" i="10"/>
  <c r="R244" i="1"/>
  <c r="Z244" i="1"/>
  <c r="AO244" i="1"/>
  <c r="A242" i="10"/>
  <c r="T244" i="1"/>
  <c r="I242" i="10"/>
  <c r="N244" i="1"/>
  <c r="Y244" i="1" l="1"/>
  <c r="W244" i="1"/>
  <c r="X244" i="1" s="1"/>
  <c r="A246" i="1"/>
  <c r="D245" i="1"/>
  <c r="C245" i="1"/>
  <c r="AL245" i="1"/>
  <c r="F243" i="10" s="1"/>
  <c r="B245" i="1"/>
  <c r="H245" i="1" s="1"/>
  <c r="I245" i="1"/>
  <c r="P245" i="1" s="1"/>
  <c r="F245" i="1"/>
  <c r="E245" i="1"/>
  <c r="AK245" i="1"/>
  <c r="B243" i="10" s="1"/>
  <c r="G245" i="1"/>
  <c r="AB245" i="1"/>
  <c r="AC245" i="1" s="1"/>
  <c r="AD245" i="1" s="1"/>
  <c r="M245" i="1"/>
  <c r="K245" i="1"/>
  <c r="J245" i="1"/>
  <c r="O243" i="10"/>
  <c r="V245" i="1"/>
  <c r="AI245" i="1"/>
  <c r="N243" i="10" s="1"/>
  <c r="L245" i="1"/>
  <c r="G243" i="10"/>
  <c r="K243" i="10"/>
  <c r="C243" i="10"/>
  <c r="AM245" i="1"/>
  <c r="AO245" i="1"/>
  <c r="S245" i="1"/>
  <c r="I243" i="10"/>
  <c r="R245" i="1"/>
  <c r="N245" i="1"/>
  <c r="E243" i="10"/>
  <c r="AA245" i="1"/>
  <c r="J243" i="10" s="1"/>
  <c r="AF245" i="1"/>
  <c r="AG245" i="1" s="1"/>
  <c r="AH245" i="1" s="1"/>
  <c r="M243" i="10"/>
  <c r="T245" i="1"/>
  <c r="Z245" i="1"/>
  <c r="A243" i="10"/>
  <c r="AN245" i="1"/>
  <c r="Y245" i="1" l="1"/>
  <c r="W245" i="1"/>
  <c r="X245" i="1" s="1"/>
  <c r="D246" i="1"/>
  <c r="A247" i="1"/>
  <c r="C246" i="1"/>
  <c r="I246" i="1"/>
  <c r="P246" i="1" s="1"/>
  <c r="AL246" i="1"/>
  <c r="F244" i="10" s="1"/>
  <c r="B246" i="1"/>
  <c r="H246" i="1" s="1"/>
  <c r="E246" i="1"/>
  <c r="F246" i="1"/>
  <c r="G246" i="1"/>
  <c r="AB246" i="1"/>
  <c r="AC246" i="1" s="1"/>
  <c r="AD246" i="1" s="1"/>
  <c r="M246" i="1"/>
  <c r="V246" i="1"/>
  <c r="L246" i="1"/>
  <c r="K246" i="1"/>
  <c r="AK246" i="1"/>
  <c r="B244" i="10" s="1"/>
  <c r="J246" i="1"/>
  <c r="O244" i="10"/>
  <c r="AA246" i="1"/>
  <c r="J244" i="10" s="1"/>
  <c r="C244" i="10"/>
  <c r="G244" i="10"/>
  <c r="AI246" i="1"/>
  <c r="N244" i="10" s="1"/>
  <c r="K244" i="10"/>
  <c r="N246" i="1"/>
  <c r="R246" i="1"/>
  <c r="A244" i="10"/>
  <c r="Z246" i="1"/>
  <c r="T246" i="1"/>
  <c r="AO246" i="1"/>
  <c r="I244" i="10"/>
  <c r="AM246" i="1"/>
  <c r="E244" i="10"/>
  <c r="S246" i="1"/>
  <c r="AN246" i="1"/>
  <c r="M244" i="10"/>
  <c r="AF246" i="1"/>
  <c r="AG246" i="1" s="1"/>
  <c r="AH246" i="1" s="1"/>
  <c r="A248" i="1" l="1"/>
  <c r="C247" i="1"/>
  <c r="I247" i="1"/>
  <c r="P247" i="1" s="1"/>
  <c r="B247" i="1"/>
  <c r="H247" i="1" s="1"/>
  <c r="D247" i="1"/>
  <c r="F247" i="1"/>
  <c r="E247" i="1"/>
  <c r="AL247" i="1"/>
  <c r="F245" i="10" s="1"/>
  <c r="AK247" i="1"/>
  <c r="B245" i="10" s="1"/>
  <c r="L247" i="1"/>
  <c r="K247" i="1"/>
  <c r="G247" i="1"/>
  <c r="V247" i="1"/>
  <c r="M247" i="1"/>
  <c r="AA247" i="1"/>
  <c r="J245" i="10" s="1"/>
  <c r="AB247" i="1"/>
  <c r="AC247" i="1" s="1"/>
  <c r="AD247" i="1" s="1"/>
  <c r="AI247" i="1"/>
  <c r="N245" i="10" s="1"/>
  <c r="J247" i="1"/>
  <c r="C245" i="10"/>
  <c r="O245" i="10"/>
  <c r="K245" i="10"/>
  <c r="G245" i="10"/>
  <c r="R247" i="1"/>
  <c r="N247" i="1"/>
  <c r="M245" i="10"/>
  <c r="AF247" i="1"/>
  <c r="AG247" i="1" s="1"/>
  <c r="AH247" i="1" s="1"/>
  <c r="S247" i="1"/>
  <c r="A245" i="10"/>
  <c r="T247" i="1"/>
  <c r="AM247" i="1"/>
  <c r="AN247" i="1"/>
  <c r="E245" i="10"/>
  <c r="Z247" i="1"/>
  <c r="AO247" i="1"/>
  <c r="I245" i="10"/>
  <c r="Y246" i="1"/>
  <c r="W246" i="1"/>
  <c r="X246" i="1" s="1"/>
  <c r="Y247" i="1" l="1"/>
  <c r="W247" i="1"/>
  <c r="X247" i="1" s="1"/>
  <c r="D248" i="1"/>
  <c r="A249" i="1"/>
  <c r="C248" i="1"/>
  <c r="B248" i="1"/>
  <c r="H248" i="1" s="1"/>
  <c r="AL248" i="1"/>
  <c r="F246" i="10" s="1"/>
  <c r="I248" i="1"/>
  <c r="P248" i="1" s="1"/>
  <c r="F248" i="1"/>
  <c r="E248" i="1"/>
  <c r="AK248" i="1"/>
  <c r="B246" i="10" s="1"/>
  <c r="AA248" i="1"/>
  <c r="J246" i="10" s="1"/>
  <c r="V248" i="1"/>
  <c r="L248" i="1"/>
  <c r="K248" i="1"/>
  <c r="AB248" i="1"/>
  <c r="AC248" i="1" s="1"/>
  <c r="AD248" i="1" s="1"/>
  <c r="AI248" i="1"/>
  <c r="N246" i="10" s="1"/>
  <c r="M248" i="1"/>
  <c r="J248" i="1"/>
  <c r="O246" i="10"/>
  <c r="K246" i="10"/>
  <c r="G248" i="1"/>
  <c r="G246" i="10"/>
  <c r="R248" i="1"/>
  <c r="AF248" i="1"/>
  <c r="AG248" i="1" s="1"/>
  <c r="AH248" i="1" s="1"/>
  <c r="I246" i="10"/>
  <c r="C246" i="10"/>
  <c r="Z248" i="1"/>
  <c r="AO248" i="1"/>
  <c r="E246" i="10"/>
  <c r="N248" i="1"/>
  <c r="M246" i="10"/>
  <c r="AN248" i="1"/>
  <c r="T248" i="1"/>
  <c r="A246" i="10"/>
  <c r="S248" i="1"/>
  <c r="AM248" i="1"/>
  <c r="A250" i="1" l="1"/>
  <c r="D249" i="1"/>
  <c r="AL249" i="1"/>
  <c r="F247" i="10" s="1"/>
  <c r="C249" i="1"/>
  <c r="B249" i="1"/>
  <c r="H249" i="1" s="1"/>
  <c r="I249" i="1"/>
  <c r="P249" i="1" s="1"/>
  <c r="F249" i="1"/>
  <c r="E249" i="1"/>
  <c r="AK249" i="1"/>
  <c r="B247" i="10" s="1"/>
  <c r="G249" i="1"/>
  <c r="AA249" i="1"/>
  <c r="J247" i="10" s="1"/>
  <c r="V249" i="1"/>
  <c r="M249" i="1"/>
  <c r="AB249" i="1"/>
  <c r="AC249" i="1" s="1"/>
  <c r="AD249" i="1" s="1"/>
  <c r="L249" i="1"/>
  <c r="J249" i="1"/>
  <c r="O247" i="10"/>
  <c r="N249" i="1"/>
  <c r="K249" i="1"/>
  <c r="AI249" i="1"/>
  <c r="N247" i="10" s="1"/>
  <c r="G247" i="10"/>
  <c r="K247" i="10"/>
  <c r="C247" i="10"/>
  <c r="AM249" i="1"/>
  <c r="AO249" i="1"/>
  <c r="I247" i="10"/>
  <c r="T249" i="1"/>
  <c r="R249" i="1"/>
  <c r="E247" i="10"/>
  <c r="AF249" i="1"/>
  <c r="AG249" i="1" s="1"/>
  <c r="AH249" i="1" s="1"/>
  <c r="Z249" i="1"/>
  <c r="AN249" i="1"/>
  <c r="S249" i="1"/>
  <c r="A247" i="10"/>
  <c r="M247" i="10"/>
  <c r="W248" i="1"/>
  <c r="X248" i="1" s="1"/>
  <c r="Y248" i="1"/>
  <c r="W249" i="1" l="1"/>
  <c r="X249" i="1" s="1"/>
  <c r="Y249" i="1"/>
  <c r="D250" i="1"/>
  <c r="A251" i="1"/>
  <c r="C250" i="1"/>
  <c r="I250" i="1"/>
  <c r="P250" i="1" s="1"/>
  <c r="AL250" i="1"/>
  <c r="F248" i="10" s="1"/>
  <c r="B250" i="1"/>
  <c r="H250" i="1" s="1"/>
  <c r="F250" i="1"/>
  <c r="E250" i="1"/>
  <c r="G250" i="1"/>
  <c r="N250" i="1"/>
  <c r="M250" i="1"/>
  <c r="V250" i="1"/>
  <c r="AK250" i="1"/>
  <c r="B248" i="10" s="1"/>
  <c r="AA250" i="1"/>
  <c r="J248" i="10" s="1"/>
  <c r="L250" i="1"/>
  <c r="K250" i="1"/>
  <c r="J250" i="1"/>
  <c r="O248" i="10"/>
  <c r="AB250" i="1"/>
  <c r="AC250" i="1" s="1"/>
  <c r="AD250" i="1" s="1"/>
  <c r="AI250" i="1"/>
  <c r="N248" i="10" s="1"/>
  <c r="C248" i="10"/>
  <c r="G248" i="10"/>
  <c r="R250" i="1"/>
  <c r="AO250" i="1"/>
  <c r="I248" i="10"/>
  <c r="K248" i="10"/>
  <c r="Z250" i="1"/>
  <c r="AN250" i="1"/>
  <c r="E248" i="10"/>
  <c r="T250" i="1"/>
  <c r="M248" i="10"/>
  <c r="AM250" i="1"/>
  <c r="S250" i="1"/>
  <c r="A248" i="10"/>
  <c r="AF250" i="1"/>
  <c r="AG250" i="1" s="1"/>
  <c r="AH250" i="1" s="1"/>
  <c r="A252" i="1" l="1"/>
  <c r="D251" i="1"/>
  <c r="C251" i="1"/>
  <c r="I251" i="1"/>
  <c r="P251" i="1" s="1"/>
  <c r="B251" i="1"/>
  <c r="H251" i="1" s="1"/>
  <c r="AL251" i="1"/>
  <c r="F249" i="10" s="1"/>
  <c r="F251" i="1"/>
  <c r="E251" i="1"/>
  <c r="AK251" i="1"/>
  <c r="B249" i="10" s="1"/>
  <c r="V251" i="1"/>
  <c r="L251" i="1"/>
  <c r="K251" i="1"/>
  <c r="AB251" i="1"/>
  <c r="AC251" i="1" s="1"/>
  <c r="AD251" i="1" s="1"/>
  <c r="M251" i="1"/>
  <c r="AA251" i="1"/>
  <c r="J249" i="10" s="1"/>
  <c r="AI251" i="1"/>
  <c r="N249" i="10" s="1"/>
  <c r="O249" i="10"/>
  <c r="C249" i="10"/>
  <c r="K249" i="10"/>
  <c r="T251" i="1"/>
  <c r="AN251" i="1"/>
  <c r="M249" i="10"/>
  <c r="G249" i="10"/>
  <c r="G251" i="1"/>
  <c r="S251" i="1"/>
  <c r="AM251" i="1"/>
  <c r="A249" i="10"/>
  <c r="R251" i="1"/>
  <c r="I249" i="10"/>
  <c r="AF251" i="1"/>
  <c r="AG251" i="1" s="1"/>
  <c r="AH251" i="1" s="1"/>
  <c r="J251" i="1"/>
  <c r="AO251" i="1"/>
  <c r="N251" i="1"/>
  <c r="E249" i="10"/>
  <c r="Z251" i="1"/>
  <c r="W250" i="1"/>
  <c r="X250" i="1" s="1"/>
  <c r="Y250" i="1"/>
  <c r="W251" i="1" l="1"/>
  <c r="X251" i="1" s="1"/>
  <c r="Y251" i="1"/>
  <c r="D252" i="1"/>
  <c r="A253" i="1"/>
  <c r="C252" i="1"/>
  <c r="B252" i="1"/>
  <c r="H252" i="1" s="1"/>
  <c r="AL252" i="1"/>
  <c r="F250" i="10" s="1"/>
  <c r="F252" i="1"/>
  <c r="E252" i="1"/>
  <c r="I252" i="1"/>
  <c r="P252" i="1" s="1"/>
  <c r="AK252" i="1"/>
  <c r="B250" i="10" s="1"/>
  <c r="AA252" i="1"/>
  <c r="J250" i="10" s="1"/>
  <c r="G252" i="1"/>
  <c r="L252" i="1"/>
  <c r="K252" i="1"/>
  <c r="AB252" i="1"/>
  <c r="AC252" i="1" s="1"/>
  <c r="AD252" i="1" s="1"/>
  <c r="M252" i="1"/>
  <c r="AI252" i="1"/>
  <c r="N250" i="10" s="1"/>
  <c r="V252" i="1"/>
  <c r="J252" i="1"/>
  <c r="O250" i="10"/>
  <c r="K250" i="10"/>
  <c r="G250" i="10"/>
  <c r="AF252" i="1"/>
  <c r="AG252" i="1" s="1"/>
  <c r="AH252" i="1" s="1"/>
  <c r="T252" i="1"/>
  <c r="E250" i="10"/>
  <c r="Z252" i="1"/>
  <c r="AN252" i="1"/>
  <c r="M250" i="10"/>
  <c r="C250" i="10"/>
  <c r="S252" i="1"/>
  <c r="AO252" i="1"/>
  <c r="A250" i="10"/>
  <c r="R252" i="1"/>
  <c r="AM252" i="1"/>
  <c r="N252" i="1"/>
  <c r="I250" i="10"/>
  <c r="A254" i="1" l="1"/>
  <c r="D253" i="1"/>
  <c r="AL253" i="1"/>
  <c r="F251" i="10" s="1"/>
  <c r="B253" i="1"/>
  <c r="H253" i="1" s="1"/>
  <c r="I253" i="1"/>
  <c r="P253" i="1" s="1"/>
  <c r="F253" i="1"/>
  <c r="E253" i="1"/>
  <c r="C253" i="1"/>
  <c r="AK253" i="1"/>
  <c r="B251" i="10" s="1"/>
  <c r="AB253" i="1"/>
  <c r="AC253" i="1" s="1"/>
  <c r="AD253" i="1" s="1"/>
  <c r="AA253" i="1"/>
  <c r="J251" i="10" s="1"/>
  <c r="V253" i="1"/>
  <c r="M253" i="1"/>
  <c r="J253" i="1"/>
  <c r="O251" i="10"/>
  <c r="L253" i="1"/>
  <c r="AI253" i="1"/>
  <c r="N251" i="10" s="1"/>
  <c r="G251" i="10"/>
  <c r="K253" i="1"/>
  <c r="K251" i="10"/>
  <c r="C251" i="10"/>
  <c r="G253" i="1"/>
  <c r="S253" i="1"/>
  <c r="N253" i="1"/>
  <c r="AM253" i="1"/>
  <c r="T253" i="1"/>
  <c r="Z253" i="1"/>
  <c r="A251" i="10"/>
  <c r="AN253" i="1"/>
  <c r="AO253" i="1"/>
  <c r="I251" i="10"/>
  <c r="R253" i="1"/>
  <c r="AF253" i="1"/>
  <c r="AG253" i="1" s="1"/>
  <c r="AH253" i="1" s="1"/>
  <c r="M251" i="10"/>
  <c r="E251" i="10"/>
  <c r="Y252" i="1"/>
  <c r="W252" i="1"/>
  <c r="X252" i="1" s="1"/>
  <c r="W253" i="1" l="1"/>
  <c r="X253" i="1" s="1"/>
  <c r="Y253" i="1"/>
  <c r="D254" i="1"/>
  <c r="A255" i="1"/>
  <c r="C254" i="1"/>
  <c r="I254" i="1"/>
  <c r="P254" i="1" s="1"/>
  <c r="AL254" i="1"/>
  <c r="F252" i="10" s="1"/>
  <c r="B254" i="1"/>
  <c r="H254" i="1" s="1"/>
  <c r="F254" i="1"/>
  <c r="AK254" i="1"/>
  <c r="B252" i="10" s="1"/>
  <c r="AA254" i="1"/>
  <c r="J252" i="10" s="1"/>
  <c r="M254" i="1"/>
  <c r="E254" i="1"/>
  <c r="AB254" i="1"/>
  <c r="AC254" i="1" s="1"/>
  <c r="AD254" i="1" s="1"/>
  <c r="L254" i="1"/>
  <c r="K254" i="1"/>
  <c r="V254" i="1"/>
  <c r="J254" i="1"/>
  <c r="O252" i="10"/>
  <c r="C252" i="10"/>
  <c r="AI254" i="1"/>
  <c r="N252" i="10" s="1"/>
  <c r="G252" i="10"/>
  <c r="K252" i="10"/>
  <c r="T254" i="1"/>
  <c r="AO254" i="1"/>
  <c r="E252" i="10"/>
  <c r="G254" i="1"/>
  <c r="A252" i="10"/>
  <c r="S254" i="1"/>
  <c r="AM254" i="1"/>
  <c r="M252" i="10"/>
  <c r="R254" i="1"/>
  <c r="Z254" i="1"/>
  <c r="N254" i="1"/>
  <c r="AN254" i="1"/>
  <c r="I252" i="10"/>
  <c r="AF254" i="1"/>
  <c r="AG254" i="1" s="1"/>
  <c r="AH254" i="1" s="1"/>
  <c r="A256" i="1" l="1"/>
  <c r="C255" i="1"/>
  <c r="I255" i="1"/>
  <c r="P255" i="1" s="1"/>
  <c r="D255" i="1"/>
  <c r="B255" i="1"/>
  <c r="H255" i="1" s="1"/>
  <c r="AL255" i="1"/>
  <c r="F253" i="10" s="1"/>
  <c r="F255" i="1"/>
  <c r="E255" i="1"/>
  <c r="AK255" i="1"/>
  <c r="B253" i="10" s="1"/>
  <c r="L255" i="1"/>
  <c r="K255" i="1"/>
  <c r="AB255" i="1"/>
  <c r="AC255" i="1" s="1"/>
  <c r="AD255" i="1" s="1"/>
  <c r="M255" i="1"/>
  <c r="V255" i="1"/>
  <c r="AI255" i="1"/>
  <c r="N253" i="10" s="1"/>
  <c r="AA255" i="1"/>
  <c r="J253" i="10" s="1"/>
  <c r="G255" i="1"/>
  <c r="O253" i="10"/>
  <c r="C253" i="10"/>
  <c r="J255" i="1"/>
  <c r="K253" i="10"/>
  <c r="AF255" i="1"/>
  <c r="AG255" i="1" s="1"/>
  <c r="AH255" i="1" s="1"/>
  <c r="T255" i="1"/>
  <c r="A253" i="10"/>
  <c r="G253" i="10"/>
  <c r="E253" i="10"/>
  <c r="S255" i="1"/>
  <c r="AO255" i="1"/>
  <c r="AM255" i="1"/>
  <c r="I253" i="10"/>
  <c r="R255" i="1"/>
  <c r="N255" i="1"/>
  <c r="AN255" i="1"/>
  <c r="M253" i="10"/>
  <c r="Z255" i="1"/>
  <c r="Y254" i="1"/>
  <c r="W254" i="1"/>
  <c r="X254" i="1" s="1"/>
  <c r="W255" i="1" l="1"/>
  <c r="X255" i="1" s="1"/>
  <c r="Y255" i="1"/>
  <c r="D256" i="1"/>
  <c r="A257" i="1"/>
  <c r="C256" i="1"/>
  <c r="B256" i="1"/>
  <c r="H256" i="1" s="1"/>
  <c r="AL256" i="1"/>
  <c r="F254" i="10" s="1"/>
  <c r="F256" i="1"/>
  <c r="E256" i="1"/>
  <c r="AK256" i="1"/>
  <c r="B254" i="10" s="1"/>
  <c r="I256" i="1"/>
  <c r="P256" i="1" s="1"/>
  <c r="V256" i="1"/>
  <c r="AB256" i="1"/>
  <c r="AC256" i="1" s="1"/>
  <c r="AD256" i="1" s="1"/>
  <c r="L256" i="1"/>
  <c r="K256" i="1"/>
  <c r="AI256" i="1"/>
  <c r="N254" i="10" s="1"/>
  <c r="AA256" i="1"/>
  <c r="J254" i="10" s="1"/>
  <c r="M256" i="1"/>
  <c r="J256" i="1"/>
  <c r="O254" i="10"/>
  <c r="K254" i="10"/>
  <c r="G254" i="10"/>
  <c r="AF256" i="1"/>
  <c r="AG256" i="1" s="1"/>
  <c r="AH256" i="1" s="1"/>
  <c r="T256" i="1"/>
  <c r="E254" i="10"/>
  <c r="AM256" i="1"/>
  <c r="G256" i="1"/>
  <c r="A254" i="10"/>
  <c r="C254" i="10"/>
  <c r="AO256" i="1"/>
  <c r="R256" i="1"/>
  <c r="N256" i="1"/>
  <c r="Z256" i="1"/>
  <c r="S256" i="1"/>
  <c r="I254" i="10"/>
  <c r="M254" i="10"/>
  <c r="AN256" i="1"/>
  <c r="Y256" i="1" l="1"/>
  <c r="W256" i="1"/>
  <c r="X256" i="1" s="1"/>
  <c r="D257" i="1"/>
  <c r="D258" i="1" s="1"/>
  <c r="AL257" i="1"/>
  <c r="F255" i="10" s="1"/>
  <c r="B257" i="1"/>
  <c r="H257" i="1" s="1"/>
  <c r="H258" i="1" s="1"/>
  <c r="C257" i="1"/>
  <c r="C258" i="1" s="1"/>
  <c r="I257" i="1"/>
  <c r="P257" i="1" s="1"/>
  <c r="P258" i="1" s="1"/>
  <c r="F257" i="1"/>
  <c r="F258" i="1" s="1"/>
  <c r="E257" i="1"/>
  <c r="E258" i="1" s="1"/>
  <c r="AK257" i="1"/>
  <c r="B255" i="10" s="1"/>
  <c r="AB257" i="1"/>
  <c r="AC257" i="1" s="1"/>
  <c r="AD257" i="1" s="1"/>
  <c r="M257" i="1"/>
  <c r="M258" i="1" s="1"/>
  <c r="J257" i="1"/>
  <c r="J258" i="1" s="1"/>
  <c r="O255" i="10"/>
  <c r="AI257" i="1"/>
  <c r="N255" i="10" s="1"/>
  <c r="AA257" i="1"/>
  <c r="J255" i="10" s="1"/>
  <c r="V257" i="1"/>
  <c r="K257" i="1"/>
  <c r="K258" i="1" s="1"/>
  <c r="G255" i="10"/>
  <c r="K255" i="10"/>
  <c r="L257" i="1"/>
  <c r="L258" i="1" s="1"/>
  <c r="C255" i="10"/>
  <c r="G257" i="1"/>
  <c r="N257" i="1"/>
  <c r="AM257" i="1"/>
  <c r="A255" i="10"/>
  <c r="T257" i="1"/>
  <c r="I255" i="10"/>
  <c r="E255" i="10"/>
  <c r="Z257" i="1"/>
  <c r="AF257" i="1"/>
  <c r="AG257" i="1" s="1"/>
  <c r="AH257" i="1" s="1"/>
  <c r="R257" i="1"/>
  <c r="AN257" i="1"/>
  <c r="M255" i="10"/>
  <c r="AO257" i="1"/>
  <c r="S257" i="1"/>
  <c r="K8" i="10" l="1"/>
  <c r="J256" i="10"/>
  <c r="G8" i="10"/>
  <c r="F256" i="10"/>
  <c r="M11" i="1"/>
  <c r="M12" i="1"/>
  <c r="C8" i="10"/>
  <c r="B256" i="10"/>
  <c r="O8" i="10"/>
  <c r="N256" i="10"/>
  <c r="W257" i="1"/>
  <c r="X257" i="1" s="1"/>
  <c r="Y257" i="1"/>
  <c r="F12" i="1"/>
  <c r="F11" i="1"/>
  <c r="O9" i="10" l="1"/>
  <c r="O10" i="10"/>
  <c r="G10" i="10"/>
  <c r="G9" i="10"/>
  <c r="C10" i="10"/>
  <c r="C9" i="10"/>
  <c r="K10" i="10"/>
  <c r="K9" i="10"/>
  <c r="K76" i="10" l="1"/>
  <c r="K77" i="10"/>
  <c r="K78" i="10"/>
  <c r="K79" i="10"/>
  <c r="K80" i="10"/>
  <c r="K81" i="10"/>
  <c r="K82" i="10"/>
  <c r="K84" i="10"/>
  <c r="K83" i="10"/>
  <c r="K85" i="10"/>
  <c r="K86" i="10"/>
  <c r="K87" i="10"/>
  <c r="K89" i="10"/>
  <c r="K88" i="10"/>
  <c r="K90" i="10"/>
  <c r="K91" i="10"/>
  <c r="K92" i="10"/>
  <c r="K93" i="10"/>
  <c r="K94" i="10"/>
  <c r="K95" i="10"/>
  <c r="K96" i="10"/>
  <c r="K97" i="10"/>
  <c r="K99" i="10"/>
  <c r="K98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9" i="10"/>
  <c r="C88" i="10"/>
  <c r="C90" i="10"/>
  <c r="C91" i="10"/>
  <c r="C92" i="10"/>
  <c r="C93" i="10"/>
  <c r="C94" i="10"/>
  <c r="C95" i="10"/>
  <c r="C97" i="10"/>
  <c r="C96" i="10"/>
  <c r="C99" i="10"/>
  <c r="C98" i="10"/>
  <c r="C100" i="10"/>
  <c r="C101" i="10"/>
  <c r="C102" i="10"/>
  <c r="C103" i="10"/>
  <c r="C105" i="10"/>
  <c r="C104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G76" i="10"/>
  <c r="G78" i="10"/>
  <c r="G77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8" i="10"/>
  <c r="G97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7" i="10"/>
  <c r="G116" i="10"/>
  <c r="G118" i="10"/>
  <c r="G119" i="10"/>
  <c r="G120" i="10"/>
  <c r="G122" i="10"/>
  <c r="G121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O76" i="10"/>
  <c r="O78" i="10"/>
  <c r="O77" i="10"/>
  <c r="O79" i="10"/>
  <c r="O80" i="10"/>
  <c r="O81" i="10"/>
  <c r="O82" i="10"/>
  <c r="O83" i="10"/>
  <c r="O85" i="10"/>
  <c r="O84" i="10"/>
  <c r="O86" i="10"/>
  <c r="O87" i="10"/>
  <c r="O90" i="10"/>
  <c r="O88" i="10"/>
  <c r="O89" i="10"/>
  <c r="O91" i="10"/>
  <c r="O92" i="10"/>
  <c r="O93" i="10"/>
  <c r="O94" i="10"/>
  <c r="O95" i="10"/>
  <c r="O96" i="10"/>
  <c r="O97" i="10"/>
  <c r="O98" i="10"/>
  <c r="O99" i="10"/>
  <c r="O100" i="10"/>
  <c r="O101" i="10"/>
  <c r="O102" i="10"/>
  <c r="O103" i="10"/>
  <c r="O104" i="10"/>
  <c r="O105" i="10"/>
  <c r="O106" i="10"/>
  <c r="O107" i="10"/>
  <c r="O108" i="10"/>
  <c r="O109" i="10"/>
  <c r="O110" i="10"/>
  <c r="O111" i="10"/>
  <c r="O112" i="10"/>
  <c r="O114" i="10"/>
  <c r="O113" i="10"/>
  <c r="O115" i="10"/>
  <c r="O117" i="10"/>
  <c r="O116" i="10"/>
  <c r="O118" i="10"/>
  <c r="O119" i="10"/>
  <c r="O120" i="10"/>
  <c r="O122" i="10"/>
  <c r="O121" i="10"/>
  <c r="O123" i="10"/>
  <c r="O124" i="10"/>
  <c r="O125" i="10"/>
  <c r="O126" i="10"/>
  <c r="O127" i="10"/>
  <c r="O128" i="10"/>
  <c r="O129" i="10"/>
  <c r="O130" i="10"/>
  <c r="O131" i="10"/>
  <c r="O132" i="10"/>
  <c r="O133" i="10"/>
  <c r="O134" i="10"/>
  <c r="O135" i="10"/>
  <c r="O28" i="10"/>
  <c r="O29" i="10"/>
  <c r="O30" i="10"/>
  <c r="O32" i="10"/>
  <c r="O33" i="10"/>
  <c r="O31" i="10"/>
  <c r="O34" i="10"/>
  <c r="O35" i="10"/>
  <c r="O36" i="10"/>
  <c r="O37" i="10"/>
  <c r="O39" i="10"/>
  <c r="O38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3" i="10"/>
  <c r="O52" i="10"/>
  <c r="O55" i="10"/>
  <c r="O54" i="10"/>
  <c r="O56" i="10"/>
  <c r="O57" i="10"/>
  <c r="O58" i="10"/>
  <c r="O59" i="10"/>
  <c r="O60" i="10"/>
  <c r="O61" i="10"/>
  <c r="O62" i="10"/>
  <c r="O63" i="10"/>
  <c r="O64" i="10"/>
  <c r="O65" i="10"/>
  <c r="O66" i="10"/>
  <c r="O68" i="10"/>
  <c r="O67" i="10"/>
  <c r="O69" i="10"/>
  <c r="O70" i="10"/>
  <c r="O71" i="10"/>
  <c r="O73" i="10"/>
  <c r="O72" i="10"/>
  <c r="O75" i="10"/>
  <c r="O74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1" i="10"/>
  <c r="C40" i="10"/>
  <c r="C42" i="10"/>
  <c r="C43" i="10"/>
  <c r="C44" i="10"/>
  <c r="C46" i="10"/>
  <c r="C45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4" i="10"/>
  <c r="C63" i="10"/>
  <c r="C65" i="10"/>
  <c r="C66" i="10"/>
  <c r="C67" i="10"/>
  <c r="C68" i="10"/>
  <c r="C69" i="10"/>
  <c r="C70" i="10"/>
  <c r="C71" i="10"/>
  <c r="C73" i="10"/>
  <c r="C72" i="10"/>
  <c r="C75" i="10"/>
  <c r="C74" i="10"/>
  <c r="K28" i="10"/>
  <c r="K30" i="10"/>
  <c r="K29" i="10"/>
  <c r="K31" i="10"/>
  <c r="K32" i="10"/>
  <c r="K33" i="10"/>
  <c r="K34" i="10"/>
  <c r="K35" i="10"/>
  <c r="K36" i="10"/>
  <c r="K38" i="10"/>
  <c r="K37" i="10"/>
  <c r="K39" i="10"/>
  <c r="K41" i="10"/>
  <c r="K40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4" i="10"/>
  <c r="K63" i="10"/>
  <c r="K65" i="10"/>
  <c r="K66" i="10"/>
  <c r="K67" i="10"/>
  <c r="K68" i="10"/>
  <c r="K69" i="10"/>
  <c r="K70" i="10"/>
  <c r="K71" i="10"/>
  <c r="K73" i="10"/>
  <c r="K72" i="10"/>
  <c r="K74" i="10"/>
  <c r="K75" i="10"/>
  <c r="G28" i="10"/>
  <c r="G29" i="10"/>
  <c r="G32" i="10"/>
  <c r="G30" i="10"/>
  <c r="G31" i="10"/>
  <c r="G33" i="10"/>
  <c r="G34" i="10"/>
  <c r="G35" i="10"/>
  <c r="G36" i="10"/>
  <c r="G37" i="10"/>
  <c r="G38" i="10"/>
  <c r="G39" i="10"/>
  <c r="G41" i="10"/>
  <c r="G40" i="10"/>
  <c r="G42" i="10"/>
  <c r="G43" i="10"/>
  <c r="G44" i="10"/>
  <c r="G45" i="10"/>
  <c r="G46" i="10"/>
  <c r="G47" i="10"/>
  <c r="G48" i="10"/>
  <c r="G49" i="10"/>
  <c r="G50" i="10"/>
  <c r="G51" i="10"/>
  <c r="G53" i="10"/>
  <c r="G52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K18" i="10"/>
  <c r="K22" i="10"/>
  <c r="K27" i="10"/>
  <c r="K19" i="10"/>
  <c r="K26" i="10"/>
  <c r="K16" i="10"/>
  <c r="K20" i="10"/>
  <c r="K17" i="10"/>
  <c r="K21" i="10"/>
  <c r="K25" i="10"/>
  <c r="K15" i="10"/>
  <c r="K23" i="10"/>
  <c r="K24" i="10"/>
  <c r="G15" i="10"/>
  <c r="G20" i="10"/>
  <c r="G24" i="10"/>
  <c r="G25" i="10"/>
  <c r="G18" i="10"/>
  <c r="G27" i="10"/>
  <c r="G19" i="10"/>
  <c r="G26" i="10"/>
  <c r="G16" i="10"/>
  <c r="G21" i="10"/>
  <c r="M13" i="1"/>
  <c r="G22" i="10"/>
  <c r="G17" i="10"/>
  <c r="G23" i="10"/>
  <c r="C27" i="10"/>
  <c r="C25" i="10"/>
  <c r="C19" i="10"/>
  <c r="F13" i="1"/>
  <c r="C23" i="10"/>
  <c r="C26" i="10"/>
  <c r="C24" i="10"/>
  <c r="C17" i="10"/>
  <c r="C22" i="10"/>
  <c r="C20" i="10"/>
  <c r="C15" i="10"/>
  <c r="C16" i="10"/>
  <c r="C18" i="10"/>
  <c r="C21" i="10"/>
  <c r="O17" i="10"/>
  <c r="O22" i="10"/>
  <c r="O27" i="10"/>
  <c r="O16" i="10"/>
  <c r="O24" i="10"/>
  <c r="O18" i="10"/>
  <c r="O25" i="10"/>
  <c r="O15" i="10"/>
  <c r="O19" i="10"/>
  <c r="O23" i="10"/>
  <c r="O26" i="10"/>
  <c r="O20" i="10"/>
  <c r="O21" i="10"/>
  <c r="K256" i="10" l="1"/>
  <c r="K11" i="10" s="1"/>
  <c r="O256" i="10"/>
  <c r="O11" i="10" s="1"/>
  <c r="C256" i="10"/>
  <c r="C11" i="10" s="1"/>
  <c r="G256" i="10"/>
  <c r="G11" i="10" s="1"/>
</calcChain>
</file>

<file path=xl/sharedStrings.xml><?xml version="1.0" encoding="utf-8"?>
<sst xmlns="http://schemas.openxmlformats.org/spreadsheetml/2006/main" count="249" uniqueCount="180">
  <si>
    <t>FLUJO CERO</t>
  </si>
  <si>
    <t>TIR</t>
  </si>
  <si>
    <t>FLUJOS</t>
  </si>
  <si>
    <t>VALOR PRESENTE NETO</t>
  </si>
  <si>
    <t>I.V.A.</t>
  </si>
  <si>
    <t>AVALÚO</t>
  </si>
  <si>
    <t>SEGURO ANUAL</t>
  </si>
  <si>
    <t>COMISIÓN APERTURA</t>
  </si>
  <si>
    <t>CREDIACTIVO</t>
  </si>
  <si>
    <t>AMORTIZACIONES CRECIENTES</t>
  </si>
  <si>
    <t>CAT (FUNCIÓN)</t>
  </si>
  <si>
    <t>CAT (FÓRMULA)</t>
  </si>
  <si>
    <t>COMPROBACIÓN</t>
  </si>
  <si>
    <t>AMORTIZACIONES IGUALES</t>
  </si>
  <si>
    <t>SUMAS</t>
  </si>
  <si>
    <t>N</t>
  </si>
  <si>
    <t>No.</t>
  </si>
  <si>
    <t>SALDO INICIAL</t>
  </si>
  <si>
    <t>AMORTIZACIÓN DE CAPITAL</t>
  </si>
  <si>
    <t>INTERÉS</t>
  </si>
  <si>
    <t>PAGO</t>
  </si>
  <si>
    <t>SALDO FINAL</t>
  </si>
  <si>
    <t>Frecuencia</t>
  </si>
  <si>
    <t>Quincenal</t>
  </si>
  <si>
    <t>Mensual</t>
  </si>
  <si>
    <t>Trimestral</t>
  </si>
  <si>
    <t>Semestral</t>
  </si>
  <si>
    <t>Pagos por año</t>
  </si>
  <si>
    <t>Días</t>
  </si>
  <si>
    <t>COTIZADOR CREDIACTIVO</t>
  </si>
  <si>
    <t>Monto del Crédito:</t>
  </si>
  <si>
    <t>Periodos de Gracia:</t>
  </si>
  <si>
    <t>Tasa de Interés Anual</t>
  </si>
  <si>
    <t>Comisión por Apertura</t>
  </si>
  <si>
    <t>Comisión por Avalúo</t>
  </si>
  <si>
    <t>Seguro Anual</t>
  </si>
  <si>
    <t>No. De Pagos</t>
  </si>
  <si>
    <t>Plazo en Años</t>
  </si>
  <si>
    <t>Simulación crediactivo</t>
  </si>
  <si>
    <t>Crediactivo Pesos</t>
  </si>
  <si>
    <t>Crediactivo Dólares</t>
  </si>
  <si>
    <t>Períodos de gracia</t>
  </si>
  <si>
    <t>Tipo de simulación:</t>
  </si>
  <si>
    <t>Frecuencia de Pagos:</t>
  </si>
  <si>
    <t>Plazo:</t>
  </si>
  <si>
    <t>Garantía Hipotecaria:</t>
  </si>
  <si>
    <t>Garantía Hipotecaria</t>
  </si>
  <si>
    <t>I.V.A.:</t>
  </si>
  <si>
    <t>IVA</t>
  </si>
  <si>
    <t>FRONTERA</t>
  </si>
  <si>
    <t>NO FRONTERA</t>
  </si>
  <si>
    <t>Fecha:</t>
  </si>
  <si>
    <t>Con Garantía Hipotecaria</t>
  </si>
  <si>
    <t>Sin Garantía Hipotecaria</t>
  </si>
  <si>
    <t>Comisiones</t>
  </si>
  <si>
    <t>TIIE</t>
  </si>
  <si>
    <t>Fórmulas</t>
  </si>
  <si>
    <t>Parámetros</t>
  </si>
  <si>
    <t>Salidas Combos</t>
  </si>
  <si>
    <t>Rangos $ / Plazo</t>
  </si>
  <si>
    <t>+ De 5 años</t>
  </si>
  <si>
    <t>CAT:</t>
  </si>
  <si>
    <t>Frecuencia:</t>
  </si>
  <si>
    <t>Valor de la propiedad:</t>
  </si>
  <si>
    <t>Avalúo:</t>
  </si>
  <si>
    <t>Seguro contra daños:</t>
  </si>
  <si>
    <t>ABONO</t>
  </si>
  <si>
    <t>Tasa de Interés Anual:</t>
  </si>
  <si>
    <t>TIIE:</t>
  </si>
  <si>
    <t>Número de Pagos:</t>
  </si>
  <si>
    <t>Para Macro de Plazo</t>
  </si>
  <si>
    <t>Prepagos</t>
  </si>
  <si>
    <t>REDUCE PLAZO Y PAGO
Amortización original</t>
  </si>
  <si>
    <t>REDUCE PAGO
Amortización por diferencia</t>
  </si>
  <si>
    <t>REDUCE PLAZO
Amortización por diferencia</t>
  </si>
  <si>
    <t>Amortización a capital a mostrar en la tabla</t>
  </si>
  <si>
    <t>Saldo Insoluto / Sin prepagos</t>
  </si>
  <si>
    <t>Interés sobre Saldo Insoluto / Sin prepagos</t>
  </si>
  <si>
    <t>Plazo remanente</t>
  </si>
  <si>
    <t>Pago Para CAT</t>
  </si>
  <si>
    <t>Amortizaciones Crecientes</t>
  </si>
  <si>
    <t>Amortizaciones Iguales</t>
  </si>
  <si>
    <t>quincenas</t>
  </si>
  <si>
    <t>meses</t>
  </si>
  <si>
    <t>trimestres</t>
  </si>
  <si>
    <t>semestres</t>
  </si>
  <si>
    <t>Frecuencia.</t>
  </si>
  <si>
    <t>Plazo estimado:</t>
  </si>
  <si>
    <t>CÁLCULO DEL CAT CON IVA AMORTIZACIONES CRECIENTES</t>
  </si>
  <si>
    <t>CÁLCULO DEL CAT CON IVA AMORTIZACIONES IGUALES</t>
  </si>
  <si>
    <t>CÁLCULO DEL CAT SIN IVA AMORTIZACIONES CRECIENTES</t>
  </si>
  <si>
    <t>CÁLCULO DEL CAT SIN IVA AMORTIZACIONES IGUALES</t>
  </si>
  <si>
    <t>Amortizaciones Crecientes SIN IVA</t>
  </si>
  <si>
    <t>Amortizaciones Iguales SIN IVA</t>
  </si>
  <si>
    <t>i.v.a. de Interés sobre Saldo Insoluto / Sin prepagos</t>
  </si>
  <si>
    <t>Comisión por apertura:</t>
  </si>
  <si>
    <t>Sin I.V.A.</t>
  </si>
  <si>
    <t>No. De Pagos con periodo de gracia</t>
  </si>
  <si>
    <t>Nuevo Plazo</t>
  </si>
  <si>
    <t>Cuando hay período de gracia</t>
  </si>
  <si>
    <t>Pago Para CAT con período de gracia</t>
  </si>
  <si>
    <t>Seguro Anual para CAT</t>
  </si>
  <si>
    <t>Fecha TIIE</t>
  </si>
  <si>
    <t xml:space="preserve">Márgen </t>
  </si>
  <si>
    <t>Tasa según rango y plazo</t>
  </si>
  <si>
    <t>Salidas Macros</t>
  </si>
  <si>
    <t>Seguro Anual Dólares</t>
  </si>
  <si>
    <t>Seguro Anual para CAT Dólares</t>
  </si>
  <si>
    <t>Tipo de cambio:</t>
  </si>
  <si>
    <t>Fecha Tipo de Cambio</t>
  </si>
  <si>
    <t>Hasta 1 Años</t>
  </si>
  <si>
    <t>+ De 1 hasta 5 años</t>
  </si>
  <si>
    <t>Nuevo Rango 02-Marzo-2010</t>
  </si>
  <si>
    <t>Rango de plazo a partir de 1 año 02-Marzo-2010</t>
  </si>
  <si>
    <t>Cambio de tasas 02-Marzo-2010</t>
  </si>
  <si>
    <t>Ya no aplica, apartir de nuevas tasas 02-Marzo-10</t>
  </si>
  <si>
    <t>Cancelado</t>
  </si>
  <si>
    <t>Nota: La presente información es únicamente para efectos ilustrativos, no representa ningún ofrecimiento formal por parte de Ixe. El CAT es para fines informativos y de comparación exclusivamente.</t>
  </si>
  <si>
    <t xml:space="preserve">Erp 16-12-13 Se Homologo el IVA a 16% será la misma para Frontera y no Frontera </t>
  </si>
  <si>
    <t xml:space="preserve"> </t>
  </si>
  <si>
    <t>Proteger y Asignar Contraseña</t>
  </si>
  <si>
    <t>Registrar Mensaje al Cerrar</t>
  </si>
  <si>
    <t>Proteger Hojas con Contraseña</t>
  </si>
  <si>
    <t>Dejar Pestañas Visibles</t>
  </si>
  <si>
    <t>Tabla</t>
  </si>
  <si>
    <t>Log de cierres</t>
  </si>
  <si>
    <t>Menu Principal</t>
  </si>
  <si>
    <t>Contrato</t>
  </si>
  <si>
    <t>Día de Pago de Capital e Intereses Ordinarios</t>
  </si>
  <si>
    <t>Destino del Crédito</t>
  </si>
  <si>
    <t>ACS</t>
  </si>
  <si>
    <t>ACCC</t>
  </si>
  <si>
    <t>ACS PROGRAMAS DE APOYO</t>
  </si>
  <si>
    <t>ACS DLLS</t>
  </si>
  <si>
    <t>ACCC DLLS</t>
  </si>
  <si>
    <t>CREDILINEA</t>
  </si>
  <si>
    <t>COMBINACIÓN DE MEDIOS</t>
  </si>
  <si>
    <t>ACS COMPRAS DE GOBIERNO</t>
  </si>
  <si>
    <t>ACCC COMPRAS DE GOBIERNO</t>
  </si>
  <si>
    <t>Se corto el combo 01/09/15 para llevarlo a la hoja "Captura"</t>
  </si>
  <si>
    <t>Tipo de Tasa</t>
  </si>
  <si>
    <t>Fija</t>
  </si>
  <si>
    <t>Variable</t>
  </si>
  <si>
    <t>Monto de Crédito</t>
  </si>
  <si>
    <t>Mínimo</t>
  </si>
  <si>
    <t>Máximo</t>
  </si>
  <si>
    <r>
      <t>Settings de ejecución.</t>
    </r>
    <r>
      <rPr>
        <sz val="10"/>
        <rFont val="Arial"/>
        <family val="2"/>
      </rPr>
      <t xml:space="preserve"> Se consultan cuando el simulador está en uso.</t>
    </r>
  </si>
  <si>
    <t>Modo de Mantenimiento</t>
  </si>
  <si>
    <t>Marca</t>
  </si>
  <si>
    <t>Banorte</t>
  </si>
  <si>
    <t>Proteger Hojas con Contraseña:</t>
  </si>
  <si>
    <t>- - Se asigna al cerrar - -</t>
  </si>
  <si>
    <r>
      <t>Identificación y Mensaje del Cierre.</t>
    </r>
    <r>
      <rPr>
        <sz val="10"/>
        <rFont val="Arial"/>
        <family val="2"/>
      </rPr>
      <t xml:space="preserve"> Se llenan al cerrar el archivo.</t>
    </r>
  </si>
  <si>
    <r>
      <t xml:space="preserve">Archivos Extra. </t>
    </r>
    <r>
      <rPr>
        <sz val="10"/>
        <rFont val="Arial"/>
        <family val="2"/>
      </rPr>
      <t>Se generan cuando se cierra el libro.</t>
    </r>
  </si>
  <si>
    <t>Token</t>
  </si>
  <si>
    <t>Corresponde a</t>
  </si>
  <si>
    <t>%%ORIGINAL%%</t>
  </si>
  <si>
    <t>Nombre del archivo de trabajo, sin extensión.</t>
  </si>
  <si>
    <t>%%CIERRE%%</t>
  </si>
  <si>
    <t>Nombre para cierre, definido en las Opciones de Cierre.</t>
  </si>
  <si>
    <t>Nombre final</t>
  </si>
  <si>
    <t>Macro a ejecutar</t>
  </si>
  <si>
    <t>Consola de Cierre Automático.</t>
  </si>
  <si>
    <t>Versión del módulo:</t>
  </si>
  <si>
    <t>1.5-rc1</t>
  </si>
  <si>
    <t>+3 (3eecb2a+)</t>
  </si>
  <si>
    <t>Mensaje a registrar:</t>
  </si>
  <si>
    <t>Registra mensaje en el Log de Cierres.</t>
  </si>
  <si>
    <t>Simula libro cerrado para probar antes de Cerrar.</t>
  </si>
  <si>
    <t>Status:</t>
  </si>
  <si>
    <t>OFF</t>
  </si>
  <si>
    <t>Generar un libro final para área solicitante.</t>
  </si>
  <si>
    <t>Opciones para Cerrar Libro:</t>
  </si>
  <si>
    <t>Nombre para libro cerrado</t>
  </si>
  <si>
    <t>Generar Variantes</t>
  </si>
  <si>
    <t>(Hojas que no existen)</t>
  </si>
  <si>
    <t>Administración del módulo</t>
  </si>
  <si>
    <t>Para actualizar o agregar esta versión del Cierre Automático en otros libros.</t>
  </si>
  <si>
    <t>Quitar hojas y módulos VBA.</t>
  </si>
  <si>
    <t>Crediactivo Banorte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</si>
</sst>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000%"/>
    <numFmt numFmtId="167" formatCode="#,##0.00_ ;[Red]\-#,##0.00\ "/>
    <numFmt numFmtId="168" formatCode="&quot;$&quot;#,##0.00;[Red]&quot;$&quot;#,##0.00"/>
    <numFmt numFmtId="169" formatCode="0.0%"/>
    <numFmt numFmtId="170" formatCode="#,##0_ ;[Red]\-#,##0\ "/>
    <numFmt numFmtId="171" formatCode="[$-80A]d&quot; de &quot;mmmm&quot; de &quot;yyyy;@"/>
    <numFmt numFmtId="172" formatCode="dd/mmm/yyyy"/>
    <numFmt numFmtId="173" formatCode="&quot;$&quot;#,##0.0000;[Red]\-&quot;$&quot;#,##0.0000"/>
    <numFmt numFmtId="174" formatCode="_(&quot;$&quot;* #,##0.0000_);_(&quot;$&quot;* \(#,##0.0000\);_(&quot;$&quot;* &quot;-&quot;??_);_(@_)"/>
    <numFmt numFmtId="175" formatCode="&quot;Sufijo:&quot;\ @"/>
    <numFmt numFmtId="176" formatCode="&quot;Versión MCA:&quot;\ @"/>
    <numFmt numFmtId="177" formatCode="&quot;Mensaje de cierre: &quot;\ @"/>
    <numFmt numFmtId="178" formatCode="&quot;[&quot;\ @\ &quot;]&quot;"/>
    <numFmt numFmtId="179" formatCode="&quot;Hojas Interactivas:&quot;\ General"/>
  </numFmts>
  <fonts count="5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b/>
      <sz val="16"/>
      <color indexed="9"/>
      <name val="Arial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sz val="8"/>
      <color indexed="9"/>
      <name val="Arial"/>
      <family val="2"/>
    </font>
    <font>
      <b/>
      <sz val="8"/>
      <color indexed="50"/>
      <name val="Arial"/>
      <family val="2"/>
    </font>
    <font>
      <b/>
      <sz val="8"/>
      <color indexed="17"/>
      <name val="Arial"/>
      <family val="2"/>
    </font>
    <font>
      <sz val="5"/>
      <color indexed="9"/>
      <name val="Arial"/>
      <family val="2"/>
    </font>
    <font>
      <sz val="8"/>
      <color indexed="10"/>
      <name val="Arial"/>
      <family val="2"/>
    </font>
    <font>
      <sz val="8"/>
      <color indexed="9"/>
      <name val="Arial"/>
      <family val="2"/>
    </font>
    <font>
      <b/>
      <sz val="12"/>
      <color indexed="53"/>
      <name val="Arial"/>
      <family val="2"/>
    </font>
    <font>
      <b/>
      <sz val="12"/>
      <color indexed="12"/>
      <name val="Arial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b/>
      <sz val="11"/>
      <color indexed="53"/>
      <name val="Arial"/>
      <family val="2"/>
    </font>
    <font>
      <sz val="11"/>
      <name val="Arial"/>
      <family val="2"/>
    </font>
    <font>
      <b/>
      <sz val="11"/>
      <color indexed="12"/>
      <name val="Arial"/>
      <family val="2"/>
    </font>
    <font>
      <b/>
      <sz val="7"/>
      <name val="Arial"/>
      <family val="2"/>
    </font>
    <font>
      <sz val="10"/>
      <name val="Book Antiqua"/>
      <family val="1"/>
    </font>
    <font>
      <sz val="11"/>
      <color theme="1"/>
      <name val="Calibri"/>
      <family val="2"/>
      <scheme val="minor"/>
    </font>
    <font>
      <b/>
      <sz val="11"/>
      <color rgb="FF0000FF"/>
      <name val="Arial"/>
      <family val="2"/>
    </font>
    <font>
      <b/>
      <sz val="8"/>
      <color rgb="FF92D050"/>
      <name val="Arial"/>
      <family val="2"/>
    </font>
    <font>
      <sz val="8"/>
      <color rgb="FFFF0000"/>
      <name val="Arial"/>
      <family val="2"/>
    </font>
    <font>
      <b/>
      <sz val="11"/>
      <color theme="0"/>
      <name val="Arial"/>
      <family val="2"/>
    </font>
    <font>
      <b/>
      <sz val="8"/>
      <color rgb="FF7030A0"/>
      <name val="Book Antiqua"/>
      <family val="1"/>
    </font>
    <font>
      <sz val="6"/>
      <name val="Arial"/>
      <family val="2"/>
    </font>
    <font>
      <sz val="10"/>
      <color theme="1"/>
      <name val="Century Gothic"/>
      <family val="2"/>
    </font>
    <font>
      <sz val="10"/>
      <color rgb="FF000000"/>
      <name val="Segoe U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color rgb="FF000000"/>
      <name val="Tahoma"/>
      <family val="2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333333"/>
      <name val="Calibri"/>
      <family val="2"/>
    </font>
    <font>
      <sz val="11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979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8">
    <xf numFmtId="0" fontId="0" fillId="0" borderId="0"/>
    <xf numFmtId="165" fontId="2" fillId="0" borderId="0" applyFont="0" applyFill="0" applyBorder="0" applyAlignment="0" applyProtection="0"/>
    <xf numFmtId="43" fontId="30" fillId="0" borderId="0" applyFont="0" applyFill="0" applyBorder="0" applyAlignment="0" applyProtection="0"/>
    <xf numFmtId="164" fontId="2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31" fillId="0" borderId="0"/>
    <xf numFmtId="0" fontId="5" fillId="0" borderId="0"/>
    <xf numFmtId="0" fontId="30" fillId="0" borderId="0"/>
    <xf numFmtId="0" fontId="5" fillId="0" borderId="0"/>
    <xf numFmtId="0" fontId="31" fillId="0" borderId="0"/>
    <xf numFmtId="9" fontId="2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38" fillId="0" borderId="0"/>
    <xf numFmtId="0" fontId="38" fillId="0" borderId="0"/>
    <xf numFmtId="0" fontId="1" fillId="0" borderId="0"/>
    <xf numFmtId="0" fontId="1" fillId="0" borderId="0"/>
  </cellStyleXfs>
  <cellXfs count="279">
    <xf numFmtId="0" fontId="0" fillId="0" borderId="0" xfId="0"/>
    <xf numFmtId="0" fontId="2" fillId="0" borderId="0" xfId="0" applyFont="1"/>
    <xf numFmtId="0" fontId="5" fillId="0" borderId="0" xfId="0" applyFont="1"/>
    <xf numFmtId="0" fontId="0" fillId="2" borderId="0" xfId="0" applyFill="1"/>
    <xf numFmtId="170" fontId="4" fillId="0" borderId="0" xfId="0" applyNumberFormat="1" applyFont="1" applyFill="1" applyBorder="1" applyAlignment="1" applyProtection="1">
      <alignment horizontal="center" vertical="center"/>
      <protection locked="0"/>
    </xf>
    <xf numFmtId="164" fontId="4" fillId="0" borderId="0" xfId="3" applyFont="1" applyFill="1" applyBorder="1" applyAlignment="1" applyProtection="1">
      <alignment horizontal="center" vertical="center"/>
      <protection locked="0"/>
    </xf>
    <xf numFmtId="0" fontId="8" fillId="0" borderId="0" xfId="0" applyFont="1"/>
    <xf numFmtId="10" fontId="8" fillId="0" borderId="0" xfId="11" applyNumberFormat="1" applyFont="1" applyFill="1" applyAlignment="1" applyProtection="1">
      <alignment horizontal="center" vertical="center" wrapText="1"/>
      <protection hidden="1"/>
    </xf>
    <xf numFmtId="0" fontId="8" fillId="0" borderId="0" xfId="0" applyFont="1" applyAlignment="1">
      <alignment wrapText="1"/>
    </xf>
    <xf numFmtId="10" fontId="10" fillId="0" borderId="0" xfId="11" applyNumberFormat="1" applyFont="1" applyFill="1" applyAlignment="1" applyProtection="1">
      <alignment horizontal="center" vertical="center" wrapText="1"/>
      <protection hidden="1"/>
    </xf>
    <xf numFmtId="0" fontId="8" fillId="0" borderId="0" xfId="0" applyFont="1" applyFill="1" applyAlignment="1">
      <alignment wrapText="1"/>
    </xf>
    <xf numFmtId="167" fontId="8" fillId="0" borderId="0" xfId="1" applyNumberFormat="1" applyFont="1" applyBorder="1" applyAlignment="1">
      <alignment horizontal="center" vertical="center"/>
    </xf>
    <xf numFmtId="0" fontId="8" fillId="0" borderId="0" xfId="0" applyFont="1" applyAlignment="1" applyProtection="1">
      <alignment horizontal="center"/>
    </xf>
    <xf numFmtId="2" fontId="8" fillId="0" borderId="0" xfId="0" applyNumberFormat="1" applyFont="1"/>
    <xf numFmtId="0" fontId="3" fillId="0" borderId="0" xfId="0" applyFont="1"/>
    <xf numFmtId="0" fontId="3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5" fillId="0" borderId="0" xfId="0" applyFont="1" applyBorder="1"/>
    <xf numFmtId="0" fontId="0" fillId="0" borderId="0" xfId="0" applyBorder="1"/>
    <xf numFmtId="0" fontId="12" fillId="0" borderId="0" xfId="0" applyFont="1" applyAlignment="1">
      <alignment horizontal="right"/>
    </xf>
    <xf numFmtId="0" fontId="12" fillId="0" borderId="0" xfId="0" applyFont="1" applyAlignment="1">
      <alignment horizontal="right" vertical="center"/>
    </xf>
    <xf numFmtId="0" fontId="12" fillId="0" borderId="0" xfId="0" applyFont="1" applyBorder="1" applyAlignment="1">
      <alignment horizontal="right" vertical="center"/>
    </xf>
    <xf numFmtId="0" fontId="8" fillId="0" borderId="0" xfId="0" applyFont="1" applyFill="1"/>
    <xf numFmtId="0" fontId="8" fillId="0" borderId="0" xfId="0" applyFont="1" applyFill="1" applyBorder="1" applyAlignment="1" applyProtection="1">
      <alignment horizontal="center" vertical="center" wrapText="1"/>
    </xf>
    <xf numFmtId="0" fontId="8" fillId="0" borderId="1" xfId="0" applyFont="1" applyBorder="1" applyAlignment="1" applyProtection="1">
      <alignment horizontal="center" vertical="center"/>
    </xf>
    <xf numFmtId="168" fontId="8" fillId="0" borderId="1" xfId="0" applyNumberFormat="1" applyFont="1" applyBorder="1" applyAlignment="1">
      <alignment horizontal="center" vertical="center" wrapText="1"/>
    </xf>
    <xf numFmtId="168" fontId="8" fillId="0" borderId="0" xfId="0" applyNumberFormat="1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wrapText="1"/>
    </xf>
    <xf numFmtId="0" fontId="8" fillId="0" borderId="1" xfId="0" applyFont="1" applyBorder="1" applyAlignment="1" applyProtection="1">
      <alignment horizontal="center"/>
    </xf>
    <xf numFmtId="10" fontId="8" fillId="0" borderId="1" xfId="11" applyNumberFormat="1" applyFont="1" applyFill="1" applyBorder="1" applyAlignment="1" applyProtection="1">
      <alignment horizontal="center" vertical="center" wrapText="1"/>
      <protection hidden="1"/>
    </xf>
    <xf numFmtId="10" fontId="8" fillId="0" borderId="0" xfId="11" applyNumberFormat="1" applyFont="1" applyFill="1" applyBorder="1" applyAlignment="1" applyProtection="1">
      <alignment horizontal="center" vertical="center" wrapText="1"/>
      <protection hidden="1"/>
    </xf>
    <xf numFmtId="0" fontId="7" fillId="3" borderId="1" xfId="0" applyFont="1" applyFill="1" applyBorder="1" applyAlignment="1" applyProtection="1">
      <alignment horizontal="center"/>
    </xf>
    <xf numFmtId="10" fontId="7" fillId="3" borderId="1" xfId="11" applyNumberFormat="1" applyFont="1" applyFill="1" applyBorder="1" applyAlignment="1" applyProtection="1">
      <alignment horizontal="center" vertical="center" wrapText="1"/>
      <protection hidden="1"/>
    </xf>
    <xf numFmtId="10" fontId="7" fillId="0" borderId="0" xfId="11" applyNumberFormat="1" applyFont="1" applyFill="1" applyBorder="1" applyAlignment="1" applyProtection="1">
      <alignment horizontal="center" vertical="center" wrapText="1"/>
      <protection hidden="1"/>
    </xf>
    <xf numFmtId="0" fontId="8" fillId="0" borderId="0" xfId="0" applyFont="1" applyBorder="1" applyAlignment="1" applyProtection="1">
      <alignment horizontal="center" vertical="center"/>
    </xf>
    <xf numFmtId="168" fontId="8" fillId="0" borderId="0" xfId="0" applyNumberFormat="1" applyFont="1" applyBorder="1" applyAlignment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/>
    </xf>
    <xf numFmtId="14" fontId="8" fillId="0" borderId="0" xfId="0" applyNumberFormat="1" applyFont="1" applyAlignment="1" applyProtection="1">
      <alignment horizontal="center" wrapText="1"/>
    </xf>
    <xf numFmtId="14" fontId="8" fillId="0" borderId="0" xfId="0" applyNumberFormat="1" applyFont="1" applyFill="1" applyAlignment="1" applyProtection="1">
      <alignment horizontal="center" wrapText="1"/>
    </xf>
    <xf numFmtId="1" fontId="8" fillId="0" borderId="0" xfId="0" applyNumberFormat="1" applyFont="1" applyBorder="1" applyAlignment="1" applyProtection="1">
      <alignment horizontal="center" vertical="center"/>
    </xf>
    <xf numFmtId="167" fontId="8" fillId="0" borderId="0" xfId="1" applyNumberFormat="1" applyFont="1" applyBorder="1" applyAlignment="1" applyProtection="1">
      <alignment horizontal="center" vertical="center"/>
    </xf>
    <xf numFmtId="167" fontId="8" fillId="0" borderId="0" xfId="1" applyNumberFormat="1" applyFont="1" applyFill="1" applyBorder="1" applyAlignment="1" applyProtection="1">
      <alignment horizontal="center" vertical="center"/>
    </xf>
    <xf numFmtId="167" fontId="8" fillId="0" borderId="0" xfId="0" applyNumberFormat="1" applyFont="1" applyAlignment="1">
      <alignment horizontal="center"/>
    </xf>
    <xf numFmtId="167" fontId="8" fillId="0" borderId="2" xfId="1" applyNumberFormat="1" applyFont="1" applyBorder="1" applyAlignment="1">
      <alignment horizontal="center" vertical="center"/>
    </xf>
    <xf numFmtId="167" fontId="8" fillId="0" borderId="0" xfId="1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9" fillId="0" borderId="0" xfId="0" applyFont="1" applyAlignment="1">
      <alignment horizontal="right" vertical="center" wrapText="1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70" fontId="14" fillId="0" borderId="0" xfId="0" applyNumberFormat="1" applyFont="1" applyFill="1" applyBorder="1" applyAlignment="1" applyProtection="1">
      <alignment horizontal="right" vertical="center"/>
      <protection locked="0"/>
    </xf>
    <xf numFmtId="167" fontId="8" fillId="0" borderId="0" xfId="0" applyNumberFormat="1" applyFont="1"/>
    <xf numFmtId="0" fontId="15" fillId="4" borderId="1" xfId="0" applyFont="1" applyFill="1" applyBorder="1" applyAlignment="1" applyProtection="1">
      <alignment horizontal="center"/>
    </xf>
    <xf numFmtId="10" fontId="15" fillId="4" borderId="1" xfId="11" applyNumberFormat="1" applyFont="1" applyFill="1" applyBorder="1" applyAlignment="1" applyProtection="1">
      <alignment horizontal="center" vertical="center" wrapText="1"/>
      <protection hidden="1"/>
    </xf>
    <xf numFmtId="10" fontId="7" fillId="3" borderId="0" xfId="11" applyNumberFormat="1" applyFont="1" applyFill="1" applyBorder="1" applyAlignment="1" applyProtection="1">
      <alignment horizontal="center" vertical="center" wrapText="1"/>
      <protection hidden="1"/>
    </xf>
    <xf numFmtId="164" fontId="4" fillId="0" borderId="0" xfId="3" applyFont="1" applyFill="1" applyBorder="1" applyAlignment="1" applyProtection="1">
      <alignment horizontal="center" vertical="center"/>
      <protection locked="0" hidden="1"/>
    </xf>
    <xf numFmtId="0" fontId="2" fillId="0" borderId="0" xfId="0" applyFont="1" applyProtection="1">
      <protection locked="0" hidden="1"/>
    </xf>
    <xf numFmtId="170" fontId="4" fillId="0" borderId="0" xfId="0" applyNumberFormat="1" applyFont="1" applyFill="1" applyBorder="1" applyAlignment="1" applyProtection="1">
      <alignment horizontal="center" vertical="center"/>
      <protection locked="0" hidden="1"/>
    </xf>
    <xf numFmtId="0" fontId="5" fillId="0" borderId="0" xfId="0" applyFont="1" applyProtection="1">
      <protection locked="0" hidden="1"/>
    </xf>
    <xf numFmtId="167" fontId="10" fillId="5" borderId="0" xfId="0" applyNumberFormat="1" applyFont="1" applyFill="1" applyAlignment="1" applyProtection="1">
      <alignment horizontal="center"/>
      <protection locked="0"/>
    </xf>
    <xf numFmtId="0" fontId="8" fillId="0" borderId="0" xfId="0" applyFont="1" applyProtection="1">
      <protection hidden="1"/>
    </xf>
    <xf numFmtId="0" fontId="16" fillId="0" borderId="0" xfId="0" applyFont="1" applyFill="1" applyAlignment="1" applyProtection="1">
      <alignment vertical="center"/>
      <protection hidden="1"/>
    </xf>
    <xf numFmtId="0" fontId="8" fillId="0" borderId="0" xfId="0" applyFont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center" wrapText="1"/>
      <protection hidden="1"/>
    </xf>
    <xf numFmtId="0" fontId="8" fillId="0" borderId="0" xfId="0" applyFont="1" applyFill="1" applyAlignment="1" applyProtection="1">
      <alignment horizontal="left" vertical="center"/>
      <protection hidden="1"/>
    </xf>
    <xf numFmtId="0" fontId="8" fillId="0" borderId="0" xfId="0" applyFont="1" applyAlignment="1" applyProtection="1">
      <alignment horizontal="right" vertical="center"/>
      <protection hidden="1"/>
    </xf>
    <xf numFmtId="0" fontId="21" fillId="0" borderId="0" xfId="0" applyFont="1" applyProtection="1">
      <protection hidden="1"/>
    </xf>
    <xf numFmtId="0" fontId="8" fillId="0" borderId="0" xfId="0" applyFont="1" applyAlignment="1" applyProtection="1">
      <alignment horizontal="left" vertical="center"/>
      <protection hidden="1"/>
    </xf>
    <xf numFmtId="0" fontId="8" fillId="0" borderId="0" xfId="0" applyFont="1" applyFill="1" applyProtection="1">
      <protection hidden="1"/>
    </xf>
    <xf numFmtId="0" fontId="8" fillId="0" borderId="0" xfId="0" applyFont="1" applyAlignment="1" applyProtection="1">
      <alignment horizontal="right"/>
      <protection hidden="1"/>
    </xf>
    <xf numFmtId="172" fontId="9" fillId="0" borderId="0" xfId="0" applyNumberFormat="1" applyFont="1" applyAlignment="1" applyProtection="1">
      <alignment horizontal="right"/>
      <protection hidden="1"/>
    </xf>
    <xf numFmtId="164" fontId="9" fillId="0" borderId="0" xfId="3" applyFont="1" applyProtection="1">
      <protection hidden="1"/>
    </xf>
    <xf numFmtId="0" fontId="9" fillId="0" borderId="0" xfId="0" applyFont="1" applyAlignment="1" applyProtection="1">
      <alignment horizontal="right"/>
      <protection hidden="1"/>
    </xf>
    <xf numFmtId="10" fontId="9" fillId="0" borderId="0" xfId="11" applyNumberFormat="1" applyFont="1" applyProtection="1">
      <protection hidden="1"/>
    </xf>
    <xf numFmtId="0" fontId="9" fillId="0" borderId="0" xfId="0" applyFont="1" applyProtection="1">
      <protection hidden="1"/>
    </xf>
    <xf numFmtId="0" fontId="8" fillId="0" borderId="0" xfId="0" applyFont="1" applyAlignment="1" applyProtection="1">
      <alignment wrapText="1"/>
      <protection hidden="1"/>
    </xf>
    <xf numFmtId="170" fontId="8" fillId="0" borderId="0" xfId="0" applyNumberFormat="1" applyFont="1" applyFill="1" applyBorder="1" applyAlignment="1" applyProtection="1">
      <alignment horizontal="right" vertical="center"/>
      <protection hidden="1"/>
    </xf>
    <xf numFmtId="0" fontId="8" fillId="0" borderId="0" xfId="0" applyFont="1" applyFill="1" applyAlignment="1" applyProtection="1">
      <alignment wrapText="1"/>
      <protection hidden="1"/>
    </xf>
    <xf numFmtId="0" fontId="9" fillId="0" borderId="0" xfId="0" applyFont="1" applyAlignment="1" applyProtection="1">
      <alignment wrapText="1"/>
      <protection hidden="1"/>
    </xf>
    <xf numFmtId="0" fontId="21" fillId="0" borderId="0" xfId="0" applyFont="1" applyAlignment="1" applyProtection="1">
      <alignment wrapText="1"/>
      <protection hidden="1"/>
    </xf>
    <xf numFmtId="8" fontId="8" fillId="0" borderId="0" xfId="0" applyNumberFormat="1" applyFont="1" applyFill="1" applyBorder="1" applyAlignment="1" applyProtection="1">
      <alignment horizontal="center" vertical="center"/>
      <protection hidden="1"/>
    </xf>
    <xf numFmtId="164" fontId="9" fillId="0" borderId="0" xfId="3" applyFont="1" applyAlignment="1" applyProtection="1">
      <alignment wrapText="1"/>
      <protection hidden="1"/>
    </xf>
    <xf numFmtId="0" fontId="8" fillId="0" borderId="0" xfId="0" applyFont="1" applyAlignment="1" applyProtection="1">
      <alignment horizontal="right" wrapText="1"/>
      <protection hidden="1"/>
    </xf>
    <xf numFmtId="0" fontId="18" fillId="0" borderId="0" xfId="0" applyFont="1" applyAlignment="1" applyProtection="1">
      <alignment horizontal="center"/>
      <protection hidden="1"/>
    </xf>
    <xf numFmtId="0" fontId="18" fillId="0" borderId="0" xfId="0" applyFont="1" applyAlignment="1" applyProtection="1">
      <alignment horizontal="center" wrapText="1"/>
      <protection hidden="1"/>
    </xf>
    <xf numFmtId="169" fontId="9" fillId="0" borderId="0" xfId="11" applyNumberFormat="1" applyFont="1" applyAlignment="1" applyProtection="1">
      <alignment horizontal="center" wrapText="1"/>
      <protection hidden="1"/>
    </xf>
    <xf numFmtId="167" fontId="8" fillId="0" borderId="0" xfId="0" applyNumberFormat="1" applyFont="1" applyAlignment="1" applyProtection="1">
      <alignment wrapText="1"/>
      <protection hidden="1"/>
    </xf>
    <xf numFmtId="0" fontId="9" fillId="0" borderId="0" xfId="0" applyFont="1" applyFill="1" applyBorder="1" applyAlignment="1" applyProtection="1">
      <alignment horizontal="center" wrapText="1"/>
      <protection hidden="1"/>
    </xf>
    <xf numFmtId="0" fontId="21" fillId="0" borderId="0" xfId="0" applyFont="1" applyFill="1" applyAlignment="1" applyProtection="1">
      <alignment wrapText="1"/>
      <protection hidden="1"/>
    </xf>
    <xf numFmtId="0" fontId="8" fillId="6" borderId="3" xfId="0" applyFont="1" applyFill="1" applyBorder="1" applyAlignment="1" applyProtection="1">
      <alignment horizontal="center" wrapText="1"/>
      <protection hidden="1"/>
    </xf>
    <xf numFmtId="0" fontId="8" fillId="7" borderId="3" xfId="0" applyFont="1" applyFill="1" applyBorder="1" applyAlignment="1" applyProtection="1">
      <alignment horizontal="center" wrapText="1"/>
      <protection hidden="1"/>
    </xf>
    <xf numFmtId="0" fontId="20" fillId="4" borderId="3" xfId="0" applyFont="1" applyFill="1" applyBorder="1" applyAlignment="1" applyProtection="1">
      <alignment horizontal="center" wrapText="1"/>
      <protection hidden="1"/>
    </xf>
    <xf numFmtId="40" fontId="8" fillId="0" borderId="0" xfId="0" applyNumberFormat="1" applyFont="1" applyFill="1" applyBorder="1" applyAlignment="1" applyProtection="1">
      <alignment horizontal="center" vertical="center" wrapText="1"/>
      <protection hidden="1"/>
    </xf>
    <xf numFmtId="2" fontId="8" fillId="0" borderId="0" xfId="0" applyNumberFormat="1" applyFont="1" applyFill="1" applyBorder="1" applyAlignment="1" applyProtection="1">
      <alignment horizontal="center" vertical="center" wrapText="1"/>
      <protection hidden="1"/>
    </xf>
    <xf numFmtId="10" fontId="8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8" fillId="0" borderId="0" xfId="0" applyFont="1" applyFill="1" applyBorder="1" applyAlignment="1" applyProtection="1">
      <alignment horizontal="center" vertical="center" wrapText="1"/>
      <protection hidden="1"/>
    </xf>
    <xf numFmtId="0" fontId="8" fillId="0" borderId="0" xfId="0" applyFont="1" applyAlignment="1" applyProtection="1">
      <alignment horizontal="center" vertical="center" wrapText="1"/>
      <protection hidden="1"/>
    </xf>
    <xf numFmtId="0" fontId="8" fillId="0" borderId="0" xfId="0" applyFont="1" applyFill="1" applyAlignment="1" applyProtection="1">
      <alignment horizontal="center" vertical="center" wrapText="1"/>
      <protection hidden="1"/>
    </xf>
    <xf numFmtId="0" fontId="8" fillId="4" borderId="0" xfId="0" applyFont="1" applyFill="1" applyAlignment="1" applyProtection="1">
      <alignment horizontal="center" vertical="center" wrapText="1"/>
      <protection hidden="1"/>
    </xf>
    <xf numFmtId="0" fontId="8" fillId="8" borderId="0" xfId="0" applyFont="1" applyFill="1" applyAlignment="1" applyProtection="1">
      <alignment horizontal="center" vertical="center" wrapText="1"/>
      <protection hidden="1"/>
    </xf>
    <xf numFmtId="0" fontId="8" fillId="9" borderId="0" xfId="0" applyFont="1" applyFill="1" applyAlignment="1" applyProtection="1">
      <alignment horizontal="center" vertical="center" wrapText="1"/>
      <protection hidden="1"/>
    </xf>
    <xf numFmtId="0" fontId="8" fillId="10" borderId="0" xfId="0" applyFont="1" applyFill="1" applyAlignment="1" applyProtection="1">
      <alignment horizontal="center" vertical="center" wrapText="1"/>
      <protection hidden="1"/>
    </xf>
    <xf numFmtId="40" fontId="8" fillId="0" borderId="4" xfId="0" applyNumberFormat="1" applyFont="1" applyFill="1" applyBorder="1" applyAlignment="1" applyProtection="1">
      <alignment horizontal="center" vertical="center" wrapText="1"/>
      <protection hidden="1"/>
    </xf>
    <xf numFmtId="40" fontId="9" fillId="6" borderId="5" xfId="0" applyNumberFormat="1" applyFont="1" applyFill="1" applyBorder="1" applyAlignment="1" applyProtection="1">
      <alignment horizontal="center" vertical="center" wrapText="1"/>
      <protection hidden="1"/>
    </xf>
    <xf numFmtId="40" fontId="9" fillId="7" borderId="5" xfId="0" applyNumberFormat="1" applyFont="1" applyFill="1" applyBorder="1" applyAlignment="1" applyProtection="1">
      <alignment horizontal="center" vertical="center" wrapText="1"/>
      <protection hidden="1"/>
    </xf>
    <xf numFmtId="40" fontId="15" fillId="4" borderId="5" xfId="0" applyNumberFormat="1" applyFont="1" applyFill="1" applyBorder="1" applyAlignment="1" applyProtection="1">
      <alignment horizontal="center" vertical="center" wrapText="1"/>
      <protection hidden="1"/>
    </xf>
    <xf numFmtId="1" fontId="8" fillId="0" borderId="0" xfId="0" applyNumberFormat="1" applyFont="1" applyFill="1" applyBorder="1" applyAlignment="1" applyProtection="1">
      <alignment horizontal="center" vertical="center"/>
      <protection hidden="1"/>
    </xf>
    <xf numFmtId="167" fontId="8" fillId="0" borderId="0" xfId="1" applyNumberFormat="1" applyFont="1" applyBorder="1" applyAlignment="1" applyProtection="1">
      <alignment horizontal="center" vertical="center"/>
      <protection hidden="1"/>
    </xf>
    <xf numFmtId="167" fontId="8" fillId="0" borderId="0" xfId="0" applyNumberFormat="1" applyFont="1" applyFill="1" applyBorder="1" applyAlignment="1" applyProtection="1">
      <alignment horizontal="center" vertical="center"/>
      <protection hidden="1"/>
    </xf>
    <xf numFmtId="167" fontId="8" fillId="8" borderId="0" xfId="1" applyNumberFormat="1" applyFont="1" applyFill="1" applyBorder="1" applyAlignment="1" applyProtection="1">
      <alignment horizontal="center" vertical="center"/>
      <protection hidden="1"/>
    </xf>
    <xf numFmtId="0" fontId="8" fillId="6" borderId="0" xfId="0" applyFont="1" applyFill="1" applyProtection="1">
      <protection hidden="1"/>
    </xf>
    <xf numFmtId="0" fontId="8" fillId="7" borderId="0" xfId="0" applyFont="1" applyFill="1" applyProtection="1">
      <protection hidden="1"/>
    </xf>
    <xf numFmtId="0" fontId="20" fillId="4" borderId="0" xfId="0" applyFont="1" applyFill="1" applyProtection="1">
      <protection hidden="1"/>
    </xf>
    <xf numFmtId="167" fontId="8" fillId="0" borderId="0" xfId="0" applyNumberFormat="1" applyFont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/>
      <protection hidden="1"/>
    </xf>
    <xf numFmtId="167" fontId="8" fillId="0" borderId="0" xfId="0" applyNumberFormat="1" applyFont="1" applyProtection="1">
      <protection hidden="1"/>
    </xf>
    <xf numFmtId="4" fontId="8" fillId="0" borderId="0" xfId="0" applyNumberFormat="1" applyFont="1" applyProtection="1">
      <protection hidden="1"/>
    </xf>
    <xf numFmtId="167" fontId="8" fillId="0" borderId="0" xfId="0" applyNumberFormat="1" applyFont="1" applyAlignment="1" applyProtection="1">
      <alignment horizontal="center"/>
      <protection hidden="1"/>
    </xf>
    <xf numFmtId="167" fontId="8" fillId="4" borderId="0" xfId="1" applyNumberFormat="1" applyFont="1" applyFill="1" applyBorder="1" applyAlignment="1" applyProtection="1">
      <alignment horizontal="center" vertical="center"/>
      <protection hidden="1"/>
    </xf>
    <xf numFmtId="167" fontId="8" fillId="9" borderId="0" xfId="1" applyNumberFormat="1" applyFont="1" applyFill="1" applyBorder="1" applyAlignment="1" applyProtection="1">
      <alignment horizontal="center" vertical="center"/>
      <protection hidden="1"/>
    </xf>
    <xf numFmtId="8" fontId="8" fillId="6" borderId="0" xfId="0" applyNumberFormat="1" applyFont="1" applyFill="1" applyProtection="1">
      <protection hidden="1"/>
    </xf>
    <xf numFmtId="164" fontId="8" fillId="0" borderId="0" xfId="0" applyNumberFormat="1" applyFont="1" applyFill="1" applyProtection="1">
      <protection hidden="1"/>
    </xf>
    <xf numFmtId="8" fontId="8" fillId="0" borderId="0" xfId="0" applyNumberFormat="1" applyFont="1" applyFill="1" applyProtection="1">
      <protection hidden="1"/>
    </xf>
    <xf numFmtId="8" fontId="8" fillId="7" borderId="0" xfId="0" applyNumberFormat="1" applyFont="1" applyFill="1" applyProtection="1">
      <protection hidden="1"/>
    </xf>
    <xf numFmtId="8" fontId="20" fillId="4" borderId="0" xfId="0" applyNumberFormat="1" applyFont="1" applyFill="1" applyProtection="1">
      <protection hidden="1"/>
    </xf>
    <xf numFmtId="164" fontId="8" fillId="4" borderId="0" xfId="3" applyFont="1" applyFill="1" applyProtection="1">
      <protection hidden="1"/>
    </xf>
    <xf numFmtId="167" fontId="8" fillId="0" borderId="6" xfId="0" applyNumberFormat="1" applyFont="1" applyBorder="1" applyAlignment="1" applyProtection="1">
      <alignment horizontal="center"/>
      <protection hidden="1"/>
    </xf>
    <xf numFmtId="165" fontId="9" fillId="0" borderId="0" xfId="1" applyFont="1" applyBorder="1" applyAlignment="1" applyProtection="1">
      <alignment horizontal="center" vertical="center"/>
      <protection hidden="1"/>
    </xf>
    <xf numFmtId="167" fontId="8" fillId="0" borderId="7" xfId="1" applyNumberFormat="1" applyFont="1" applyBorder="1" applyAlignment="1" applyProtection="1">
      <alignment horizontal="center" vertical="center"/>
      <protection hidden="1"/>
    </xf>
    <xf numFmtId="167" fontId="17" fillId="0" borderId="0" xfId="0" applyNumberFormat="1" applyFont="1" applyAlignment="1" applyProtection="1">
      <alignment horizontal="center"/>
      <protection hidden="1"/>
    </xf>
    <xf numFmtId="0" fontId="8" fillId="0" borderId="0" xfId="0" applyFont="1" applyBorder="1" applyProtection="1">
      <protection hidden="1"/>
    </xf>
    <xf numFmtId="2" fontId="8" fillId="0" borderId="0" xfId="0" applyNumberFormat="1" applyFont="1" applyProtection="1">
      <protection hidden="1"/>
    </xf>
    <xf numFmtId="0" fontId="9" fillId="0" borderId="0" xfId="0" applyFont="1" applyAlignment="1" applyProtection="1">
      <alignment horizontal="left" vertical="center"/>
      <protection hidden="1"/>
    </xf>
    <xf numFmtId="10" fontId="26" fillId="0" borderId="0" xfId="0" applyNumberFormat="1" applyFont="1" applyFill="1" applyBorder="1" applyAlignment="1" applyProtection="1">
      <alignment horizontal="center" vertical="center"/>
      <protection locked="0"/>
    </xf>
    <xf numFmtId="10" fontId="26" fillId="0" borderId="0" xfId="11" applyNumberFormat="1" applyFont="1" applyFill="1" applyBorder="1" applyAlignment="1" applyProtection="1">
      <alignment horizontal="center" vertical="center"/>
      <protection locked="0"/>
    </xf>
    <xf numFmtId="10" fontId="28" fillId="0" borderId="0" xfId="11" applyNumberFormat="1" applyFont="1" applyFill="1" applyAlignment="1" applyProtection="1">
      <alignment horizontal="center" vertical="center" wrapText="1"/>
      <protection hidden="1"/>
    </xf>
    <xf numFmtId="8" fontId="28" fillId="0" borderId="0" xfId="0" applyNumberFormat="1" applyFont="1" applyFill="1" applyBorder="1" applyAlignment="1" applyProtection="1">
      <alignment horizontal="center" vertical="center"/>
      <protection locked="0"/>
    </xf>
    <xf numFmtId="170" fontId="26" fillId="0" borderId="0" xfId="0" applyNumberFormat="1" applyFont="1" applyFill="1" applyBorder="1" applyAlignment="1" applyProtection="1">
      <alignment horizontal="center" vertical="center"/>
    </xf>
    <xf numFmtId="0" fontId="9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3" fillId="0" borderId="0" xfId="0" applyFont="1" applyFill="1" applyAlignment="1">
      <alignment vertical="center"/>
    </xf>
    <xf numFmtId="0" fontId="9" fillId="0" borderId="0" xfId="0" quotePrefix="1" applyFont="1" applyAlignment="1">
      <alignment horizontal="right" vertical="center"/>
    </xf>
    <xf numFmtId="164" fontId="8" fillId="0" borderId="1" xfId="3" applyFont="1" applyBorder="1" applyAlignment="1">
      <alignment vertical="center"/>
    </xf>
    <xf numFmtId="164" fontId="8" fillId="0" borderId="1" xfId="3" applyFont="1" applyBorder="1" applyAlignment="1">
      <alignment vertical="center" wrapText="1"/>
    </xf>
    <xf numFmtId="2" fontId="3" fillId="0" borderId="0" xfId="0" applyNumberFormat="1" applyFont="1" applyAlignment="1">
      <alignment horizontal="center" vertical="center"/>
    </xf>
    <xf numFmtId="10" fontId="3" fillId="0" borderId="0" xfId="11" applyNumberFormat="1" applyFont="1" applyAlignment="1">
      <alignment horizontal="center" vertical="center"/>
    </xf>
    <xf numFmtId="10" fontId="8" fillId="0" borderId="1" xfId="11" applyNumberFormat="1" applyFont="1" applyBorder="1" applyAlignment="1">
      <alignment horizontal="center" vertical="center"/>
    </xf>
    <xf numFmtId="0" fontId="9" fillId="13" borderId="0" xfId="0" applyFont="1" applyFill="1" applyAlignment="1">
      <alignment vertical="center"/>
    </xf>
    <xf numFmtId="0" fontId="3" fillId="13" borderId="0" xfId="0" applyFont="1" applyFill="1" applyAlignment="1">
      <alignment vertical="center"/>
    </xf>
    <xf numFmtId="164" fontId="26" fillId="0" borderId="0" xfId="3" applyFont="1" applyFill="1" applyBorder="1" applyAlignment="1" applyProtection="1">
      <alignment horizontal="center" vertical="center"/>
    </xf>
    <xf numFmtId="174" fontId="9" fillId="0" borderId="0" xfId="3" applyNumberFormat="1" applyFont="1" applyAlignment="1" applyProtection="1">
      <alignment horizontal="left" vertical="center"/>
      <protection hidden="1"/>
    </xf>
    <xf numFmtId="164" fontId="9" fillId="0" borderId="0" xfId="3" quotePrefix="1" applyFont="1" applyAlignment="1" applyProtection="1">
      <alignment wrapText="1"/>
      <protection hidden="1"/>
    </xf>
    <xf numFmtId="10" fontId="32" fillId="0" borderId="0" xfId="0" applyNumberFormat="1" applyFont="1" applyAlignment="1">
      <alignment horizontal="center" vertical="center"/>
    </xf>
    <xf numFmtId="164" fontId="8" fillId="14" borderId="1" xfId="3" applyFont="1" applyFill="1" applyBorder="1" applyAlignment="1">
      <alignment vertical="center" wrapText="1"/>
    </xf>
    <xf numFmtId="10" fontId="8" fillId="14" borderId="1" xfId="11" applyNumberFormat="1" applyFont="1" applyFill="1" applyBorder="1" applyAlignment="1">
      <alignment horizontal="center" vertical="center"/>
    </xf>
    <xf numFmtId="0" fontId="9" fillId="14" borderId="0" xfId="0" applyFont="1" applyFill="1" applyAlignment="1">
      <alignment horizontal="right" vertical="center"/>
    </xf>
    <xf numFmtId="0" fontId="9" fillId="14" borderId="0" xfId="0" quotePrefix="1" applyFont="1" applyFill="1" applyAlignment="1">
      <alignment horizontal="right" vertical="center"/>
    </xf>
    <xf numFmtId="0" fontId="33" fillId="15" borderId="0" xfId="0" applyFont="1" applyFill="1" applyAlignment="1">
      <alignment vertical="center"/>
    </xf>
    <xf numFmtId="0" fontId="3" fillId="15" borderId="0" xfId="0" applyFont="1" applyFill="1" applyAlignment="1">
      <alignment vertical="center"/>
    </xf>
    <xf numFmtId="0" fontId="12" fillId="0" borderId="0" xfId="0" applyFont="1" applyAlignment="1" applyProtection="1">
      <alignment horizontal="center" vertical="center"/>
      <protection hidden="1"/>
    </xf>
    <xf numFmtId="2" fontId="3" fillId="13" borderId="0" xfId="0" applyNumberFormat="1" applyFont="1" applyFill="1" applyAlignment="1">
      <alignment horizontal="center" vertical="center"/>
    </xf>
    <xf numFmtId="0" fontId="34" fillId="0" borderId="0" xfId="0" applyFont="1" applyAlignment="1">
      <alignment vertical="center"/>
    </xf>
    <xf numFmtId="173" fontId="35" fillId="16" borderId="0" xfId="0" applyNumberFormat="1" applyFont="1" applyFill="1" applyBorder="1" applyAlignment="1" applyProtection="1">
      <alignment horizontal="center" vertical="center"/>
      <protection locked="0"/>
    </xf>
    <xf numFmtId="15" fontId="35" fillId="16" borderId="0" xfId="0" applyNumberFormat="1" applyFont="1" applyFill="1" applyAlignment="1">
      <alignment horizontal="center" vertical="center"/>
    </xf>
    <xf numFmtId="166" fontId="35" fillId="17" borderId="0" xfId="11" applyNumberFormat="1" applyFont="1" applyFill="1" applyAlignment="1">
      <alignment horizontal="center" vertical="center"/>
    </xf>
    <xf numFmtId="15" fontId="35" fillId="17" borderId="0" xfId="0" applyNumberFormat="1" applyFont="1" applyFill="1" applyAlignment="1">
      <alignment horizontal="center" vertical="center"/>
    </xf>
    <xf numFmtId="0" fontId="36" fillId="0" borderId="0" xfId="0" applyFont="1" applyAlignment="1">
      <alignment vertical="center"/>
    </xf>
    <xf numFmtId="0" fontId="12" fillId="0" borderId="0" xfId="0" applyFont="1"/>
    <xf numFmtId="0" fontId="5" fillId="0" borderId="0" xfId="7"/>
    <xf numFmtId="0" fontId="5" fillId="19" borderId="0" xfId="7" applyFill="1"/>
    <xf numFmtId="0" fontId="39" fillId="0" borderId="0" xfId="0" applyFont="1"/>
    <xf numFmtId="3" fontId="13" fillId="13" borderId="0" xfId="0" applyNumberFormat="1" applyFont="1" applyFill="1" applyAlignment="1" applyProtection="1">
      <alignment horizontal="left"/>
      <protection locked="0" hidden="1"/>
    </xf>
    <xf numFmtId="3" fontId="37" fillId="13" borderId="0" xfId="3" applyNumberFormat="1" applyFont="1" applyFill="1" applyBorder="1" applyAlignment="1" applyProtection="1">
      <alignment horizontal="left"/>
      <protection locked="0" hidden="1"/>
    </xf>
    <xf numFmtId="0" fontId="39" fillId="13" borderId="0" xfId="0" applyFont="1" applyFill="1"/>
    <xf numFmtId="10" fontId="26" fillId="0" borderId="0" xfId="11" applyNumberFormat="1" applyFont="1" applyFill="1" applyBorder="1" applyAlignment="1" applyProtection="1">
      <alignment horizontal="center" vertical="center"/>
    </xf>
    <xf numFmtId="170" fontId="0" fillId="0" borderId="0" xfId="0" applyNumberFormat="1"/>
    <xf numFmtId="0" fontId="41" fillId="18" borderId="0" xfId="16" applyFont="1" applyFill="1"/>
    <xf numFmtId="0" fontId="1" fillId="18" borderId="0" xfId="16" applyFill="1"/>
    <xf numFmtId="0" fontId="1" fillId="0" borderId="0" xfId="16"/>
    <xf numFmtId="0" fontId="43" fillId="11" borderId="1" xfId="17" applyFont="1" applyFill="1" applyBorder="1" applyAlignment="1">
      <alignment horizontal="right" vertical="center" indent="1"/>
    </xf>
    <xf numFmtId="0" fontId="1" fillId="0" borderId="1" xfId="17" applyBorder="1" applyAlignment="1">
      <alignment horizontal="left" indent="2"/>
    </xf>
    <xf numFmtId="0" fontId="43" fillId="11" borderId="1" xfId="17" applyFont="1" applyFill="1" applyBorder="1" applyAlignment="1">
      <alignment horizontal="right" vertical="center" wrapText="1" indent="1"/>
    </xf>
    <xf numFmtId="0" fontId="1" fillId="0" borderId="1" xfId="17" quotePrefix="1" applyFont="1" applyBorder="1" applyAlignment="1">
      <alignment horizontal="left" indent="2"/>
    </xf>
    <xf numFmtId="175" fontId="43" fillId="0" borderId="1" xfId="17" applyNumberFormat="1" applyFont="1" applyFill="1" applyBorder="1" applyAlignment="1">
      <alignment horizontal="center" vertical="center"/>
    </xf>
    <xf numFmtId="176" fontId="43" fillId="0" borderId="1" xfId="17" applyNumberFormat="1" applyFont="1" applyFill="1" applyBorder="1" applyAlignment="1">
      <alignment horizontal="center" vertical="center"/>
    </xf>
    <xf numFmtId="0" fontId="41" fillId="0" borderId="1" xfId="16" applyFont="1" applyBorder="1" applyAlignment="1">
      <alignment horizontal="center"/>
    </xf>
    <xf numFmtId="0" fontId="1" fillId="0" borderId="0" xfId="16" applyAlignment="1">
      <alignment horizontal="center"/>
    </xf>
    <xf numFmtId="0" fontId="41" fillId="0" borderId="0" xfId="16" applyFont="1" applyAlignment="1">
      <alignment horizontal="center"/>
    </xf>
    <xf numFmtId="0" fontId="43" fillId="11" borderId="1" xfId="16" applyFont="1" applyFill="1" applyBorder="1" applyAlignment="1">
      <alignment horizontal="center"/>
    </xf>
    <xf numFmtId="0" fontId="1" fillId="0" borderId="0" xfId="16" applyFill="1" applyBorder="1" applyAlignment="1">
      <alignment horizontal="center"/>
    </xf>
    <xf numFmtId="0" fontId="1" fillId="0" borderId="0" xfId="17" applyFont="1"/>
    <xf numFmtId="0" fontId="1" fillId="0" borderId="0" xfId="17"/>
    <xf numFmtId="0" fontId="41" fillId="19" borderId="0" xfId="17" applyFont="1" applyFill="1"/>
    <xf numFmtId="0" fontId="1" fillId="19" borderId="0" xfId="17" applyFill="1"/>
    <xf numFmtId="0" fontId="1" fillId="19" borderId="0" xfId="17" applyFont="1" applyFill="1" applyAlignment="1">
      <alignment horizontal="right" indent="1"/>
    </xf>
    <xf numFmtId="0" fontId="41" fillId="19" borderId="0" xfId="17" applyFont="1" applyFill="1" applyAlignment="1">
      <alignment horizontal="center"/>
    </xf>
    <xf numFmtId="178" fontId="40" fillId="0" borderId="0" xfId="17" applyNumberFormat="1" applyFont="1" applyAlignment="1">
      <alignment horizontal="left"/>
    </xf>
    <xf numFmtId="0" fontId="40" fillId="0" borderId="0" xfId="17" applyFont="1" applyAlignment="1">
      <alignment horizontal="center"/>
    </xf>
    <xf numFmtId="179" fontId="43" fillId="11" borderId="1" xfId="17" applyNumberFormat="1" applyFont="1" applyFill="1" applyBorder="1" applyAlignment="1">
      <alignment horizontal="center" vertical="center" wrapText="1"/>
    </xf>
    <xf numFmtId="0" fontId="42" fillId="0" borderId="0" xfId="17" applyFont="1" applyFill="1" applyAlignment="1">
      <alignment horizontal="center" vertical="center"/>
    </xf>
    <xf numFmtId="0" fontId="41" fillId="20" borderId="21" xfId="17" applyFont="1" applyFill="1" applyBorder="1" applyAlignment="1">
      <alignment vertical="center"/>
    </xf>
    <xf numFmtId="0" fontId="1" fillId="20" borderId="22" xfId="17" applyFill="1" applyBorder="1"/>
    <xf numFmtId="0" fontId="1" fillId="20" borderId="23" xfId="17" applyFill="1" applyBorder="1"/>
    <xf numFmtId="0" fontId="0" fillId="0" borderId="1" xfId="17" applyFont="1" applyFill="1" applyBorder="1" applyProtection="1">
      <protection locked="0"/>
    </xf>
    <xf numFmtId="0" fontId="1" fillId="21" borderId="0" xfId="17" applyFill="1"/>
    <xf numFmtId="0" fontId="1" fillId="21" borderId="0" xfId="17" applyFill="1" applyAlignment="1">
      <alignment horizontal="left" vertical="center" indent="1"/>
    </xf>
    <xf numFmtId="0" fontId="1" fillId="21" borderId="0" xfId="17" applyFill="1" applyAlignment="1">
      <alignment vertical="center"/>
    </xf>
    <xf numFmtId="0" fontId="1" fillId="0" borderId="1" xfId="17" applyFont="1" applyFill="1" applyBorder="1" applyProtection="1">
      <protection locked="0"/>
    </xf>
    <xf numFmtId="0" fontId="1" fillId="22" borderId="0" xfId="17" applyFill="1"/>
    <xf numFmtId="0" fontId="1" fillId="22" borderId="0" xfId="17" applyFill="1" applyAlignment="1">
      <alignment horizontal="left" vertical="center" indent="1"/>
    </xf>
    <xf numFmtId="0" fontId="1" fillId="22" borderId="0" xfId="17" applyFill="1" applyAlignment="1">
      <alignment vertical="center"/>
    </xf>
    <xf numFmtId="0" fontId="1" fillId="0" borderId="1" xfId="17" applyFill="1" applyBorder="1" applyProtection="1">
      <protection locked="0"/>
    </xf>
    <xf numFmtId="0" fontId="46" fillId="22" borderId="0" xfId="17" applyFont="1" applyFill="1" applyAlignment="1">
      <alignment horizontal="right" vertical="center" indent="1"/>
    </xf>
    <xf numFmtId="0" fontId="1" fillId="23" borderId="1" xfId="17" applyFill="1" applyBorder="1" applyAlignment="1" applyProtection="1">
      <alignment horizontal="center" vertical="center"/>
    </xf>
    <xf numFmtId="0" fontId="1" fillId="24" borderId="0" xfId="17" applyFill="1"/>
    <xf numFmtId="0" fontId="1" fillId="24" borderId="0" xfId="17" applyFill="1" applyAlignment="1">
      <alignment horizontal="left" vertical="center" indent="1"/>
    </xf>
    <xf numFmtId="0" fontId="1" fillId="24" borderId="0" xfId="17" applyFill="1" applyAlignment="1">
      <alignment vertical="center"/>
    </xf>
    <xf numFmtId="0" fontId="41" fillId="18" borderId="0" xfId="17" applyFont="1" applyFill="1" applyAlignment="1">
      <alignment vertical="center"/>
    </xf>
    <xf numFmtId="0" fontId="1" fillId="18" borderId="0" xfId="17" applyFill="1"/>
    <xf numFmtId="0" fontId="42" fillId="0" borderId="0" xfId="17" applyFont="1" applyProtection="1">
      <protection locked="0"/>
    </xf>
    <xf numFmtId="0" fontId="1" fillId="0" borderId="0" xfId="17" applyProtection="1">
      <protection locked="0"/>
    </xf>
    <xf numFmtId="0" fontId="47" fillId="20" borderId="24" xfId="17" applyFont="1" applyFill="1" applyBorder="1" applyAlignment="1" applyProtection="1">
      <alignment vertical="center"/>
      <protection locked="0"/>
    </xf>
    <xf numFmtId="0" fontId="47" fillId="20" borderId="22" xfId="17" applyFont="1" applyFill="1" applyBorder="1" applyAlignment="1" applyProtection="1">
      <alignment vertical="center"/>
      <protection locked="0"/>
    </xf>
    <xf numFmtId="0" fontId="47" fillId="20" borderId="22" xfId="17" applyFont="1" applyFill="1" applyBorder="1" applyAlignment="1" applyProtection="1">
      <alignment horizontal="center" vertical="center"/>
      <protection locked="0"/>
    </xf>
    <xf numFmtId="0" fontId="1" fillId="20" borderId="22" xfId="17" applyFill="1" applyBorder="1" applyProtection="1">
      <protection locked="0"/>
    </xf>
    <xf numFmtId="0" fontId="1" fillId="20" borderId="23" xfId="17" applyFill="1" applyBorder="1" applyProtection="1">
      <protection locked="0"/>
    </xf>
    <xf numFmtId="0" fontId="1" fillId="25" borderId="0" xfId="17" applyFont="1" applyFill="1"/>
    <xf numFmtId="0" fontId="1" fillId="25" borderId="0" xfId="17" applyFill="1"/>
    <xf numFmtId="0" fontId="41" fillId="25" borderId="0" xfId="17" applyFont="1" applyFill="1" applyAlignment="1">
      <alignment horizontal="center"/>
    </xf>
    <xf numFmtId="0" fontId="44" fillId="21" borderId="0" xfId="17" applyFont="1" applyFill="1"/>
    <xf numFmtId="0" fontId="1" fillId="21" borderId="0" xfId="17" applyFont="1" applyFill="1" applyAlignment="1">
      <alignment horizontal="left" vertical="center" indent="1"/>
    </xf>
    <xf numFmtId="0" fontId="1" fillId="24" borderId="0" xfId="17" applyFont="1" applyFill="1" applyAlignment="1">
      <alignment horizontal="left" vertical="center" indent="1"/>
    </xf>
    <xf numFmtId="0" fontId="0" fillId="0" borderId="0" xfId="0" applyFill="1"/>
    <xf numFmtId="0" fontId="0" fillId="0" borderId="0" xfId="0" applyFill="1" applyBorder="1"/>
    <xf numFmtId="0" fontId="1" fillId="0" borderId="8" xfId="17" applyFill="1" applyBorder="1" applyAlignment="1" applyProtection="1">
      <alignment horizontal="left" vertical="center" wrapText="1"/>
      <protection locked="0"/>
    </xf>
    <xf numFmtId="0" fontId="1" fillId="13" borderId="9" xfId="17" applyFill="1" applyBorder="1" applyAlignment="1" applyProtection="1">
      <alignment horizontal="left" vertical="center"/>
      <protection locked="0"/>
    </xf>
    <xf numFmtId="0" fontId="1" fillId="13" borderId="10" xfId="17" applyFill="1" applyBorder="1" applyAlignment="1" applyProtection="1">
      <alignment horizontal="left" vertical="center"/>
      <protection locked="0"/>
    </xf>
    <xf numFmtId="0" fontId="48" fillId="0" borderId="8" xfId="17" applyFont="1" applyBorder="1" applyAlignment="1" applyProtection="1">
      <alignment horizontal="left" vertical="center"/>
      <protection locked="0"/>
    </xf>
    <xf numFmtId="0" fontId="48" fillId="0" borderId="9" xfId="17" applyFont="1" applyBorder="1" applyAlignment="1" applyProtection="1">
      <alignment horizontal="left" vertical="center"/>
      <protection locked="0"/>
    </xf>
    <xf numFmtId="0" fontId="48" fillId="0" borderId="10" xfId="17" applyFont="1" applyBorder="1" applyAlignment="1" applyProtection="1">
      <alignment horizontal="left" vertical="center"/>
      <protection locked="0"/>
    </xf>
    <xf numFmtId="177" fontId="44" fillId="0" borderId="8" xfId="17" applyNumberFormat="1" applyFont="1" applyFill="1" applyBorder="1" applyAlignment="1">
      <alignment horizontal="left" vertical="center" wrapText="1" indent="1"/>
    </xf>
    <xf numFmtId="177" fontId="44" fillId="0" borderId="10" xfId="17" applyNumberFormat="1" applyFont="1" applyFill="1" applyBorder="1" applyAlignment="1">
      <alignment horizontal="left" vertical="center" wrapText="1" indent="1"/>
    </xf>
    <xf numFmtId="0" fontId="12" fillId="0" borderId="0" xfId="0" applyFont="1" applyAlignment="1">
      <alignment horizontal="right" vertical="center"/>
    </xf>
    <xf numFmtId="171" fontId="11" fillId="0" borderId="8" xfId="0" applyNumberFormat="1" applyFont="1" applyBorder="1" applyAlignment="1" applyProtection="1">
      <alignment horizontal="center" vertical="center"/>
      <protection locked="0"/>
    </xf>
    <xf numFmtId="171" fontId="11" fillId="0" borderId="10" xfId="0" applyNumberFormat="1" applyFont="1" applyBorder="1" applyAlignment="1" applyProtection="1">
      <alignment horizontal="center" vertical="center"/>
      <protection locked="0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164" fontId="4" fillId="0" borderId="1" xfId="3" applyFont="1" applyFill="1" applyBorder="1" applyAlignment="1" applyProtection="1">
      <alignment horizontal="center" vertical="center"/>
      <protection locked="0"/>
    </xf>
    <xf numFmtId="0" fontId="9" fillId="12" borderId="8" xfId="0" applyFont="1" applyFill="1" applyBorder="1" applyAlignment="1" applyProtection="1">
      <alignment horizontal="center" wrapText="1"/>
      <protection hidden="1"/>
    </xf>
    <xf numFmtId="0" fontId="9" fillId="12" borderId="9" xfId="0" applyFont="1" applyFill="1" applyBorder="1" applyAlignment="1" applyProtection="1">
      <alignment horizontal="center" wrapText="1"/>
      <protection hidden="1"/>
    </xf>
    <xf numFmtId="0" fontId="9" fillId="12" borderId="10" xfId="0" applyFont="1" applyFill="1" applyBorder="1" applyAlignment="1" applyProtection="1">
      <alignment horizontal="center" wrapText="1"/>
      <protection hidden="1"/>
    </xf>
    <xf numFmtId="0" fontId="9" fillId="5" borderId="8" xfId="0" applyFont="1" applyFill="1" applyBorder="1" applyAlignment="1" applyProtection="1">
      <alignment horizontal="center" wrapText="1"/>
      <protection hidden="1"/>
    </xf>
    <xf numFmtId="0" fontId="9" fillId="5" borderId="9" xfId="0" applyFont="1" applyFill="1" applyBorder="1" applyAlignment="1" applyProtection="1">
      <alignment horizontal="center" wrapText="1"/>
      <protection hidden="1"/>
    </xf>
    <xf numFmtId="0" fontId="9" fillId="5" borderId="10" xfId="0" applyFont="1" applyFill="1" applyBorder="1" applyAlignment="1" applyProtection="1">
      <alignment horizontal="center" wrapText="1"/>
      <protection hidden="1"/>
    </xf>
    <xf numFmtId="0" fontId="7" fillId="3" borderId="19" xfId="0" applyFont="1" applyFill="1" applyBorder="1" applyAlignment="1" applyProtection="1">
      <alignment horizontal="center" wrapText="1"/>
      <protection hidden="1"/>
    </xf>
    <xf numFmtId="0" fontId="7" fillId="3" borderId="0" xfId="0" applyFont="1" applyFill="1" applyBorder="1" applyAlignment="1" applyProtection="1">
      <alignment horizontal="center" wrapText="1"/>
      <protection hidden="1"/>
    </xf>
    <xf numFmtId="0" fontId="9" fillId="0" borderId="0" xfId="0" applyFont="1" applyBorder="1" applyAlignment="1" applyProtection="1">
      <alignment horizontal="center"/>
      <protection hidden="1"/>
    </xf>
    <xf numFmtId="1" fontId="29" fillId="0" borderId="0" xfId="0" applyNumberFormat="1" applyFont="1" applyAlignment="1" applyProtection="1">
      <alignment horizontal="left"/>
      <protection hidden="1"/>
    </xf>
    <xf numFmtId="0" fontId="5" fillId="18" borderId="0" xfId="7" applyFill="1" applyAlignment="1">
      <alignment horizontal="center"/>
    </xf>
    <xf numFmtId="0" fontId="2" fillId="18" borderId="0" xfId="7" applyFont="1" applyFill="1" applyAlignment="1">
      <alignment horizontal="center"/>
    </xf>
    <xf numFmtId="0" fontId="15" fillId="4" borderId="0" xfId="0" applyFont="1" applyFill="1" applyBorder="1" applyAlignment="1" applyProtection="1">
      <alignment horizontal="center" vertical="center" wrapText="1"/>
    </xf>
    <xf numFmtId="0" fontId="15" fillId="4" borderId="20" xfId="0" applyFont="1" applyFill="1" applyBorder="1" applyAlignment="1" applyProtection="1">
      <alignment horizontal="center" vertical="center" wrapText="1"/>
    </xf>
    <xf numFmtId="0" fontId="8" fillId="0" borderId="0" xfId="0" applyFont="1" applyBorder="1" applyAlignment="1" applyProtection="1">
      <alignment horizontal="center" vertical="center" wrapText="1"/>
    </xf>
    <xf numFmtId="0" fontId="8" fillId="0" borderId="20" xfId="0" applyFont="1" applyBorder="1" applyAlignment="1" applyProtection="1">
      <alignment horizontal="center" vertical="center" wrapText="1"/>
    </xf>
  </cellXfs>
  <cellStyles count="18">
    <cellStyle name="Comma" xfId="1" builtinId="3"/>
    <cellStyle name="Currency" xfId="3" builtinId="4"/>
    <cellStyle name="Millares 2" xfId="2"/>
    <cellStyle name="Moneda 2" xfId="4"/>
    <cellStyle name="Moneda 2 2" xfId="5"/>
    <cellStyle name="Normal" xfId="0" builtinId="0"/>
    <cellStyle name="Normal 2" xfId="6"/>
    <cellStyle name="Normal 2 2" xfId="7"/>
    <cellStyle name="Normal 2 2 2" xfId="8"/>
    <cellStyle name="Normal 3" xfId="9"/>
    <cellStyle name="Normal 3 2" xfId="14"/>
    <cellStyle name="Normal 4" xfId="10"/>
    <cellStyle name="Normal 4 2" xfId="15"/>
    <cellStyle name="Normal 4 3" xfId="17"/>
    <cellStyle name="Normal 5" xfId="16"/>
    <cellStyle name="Percent" xfId="11" builtinId="5"/>
    <cellStyle name="Porcentual 2" xfId="12"/>
    <cellStyle name="Porcentual 2 2" xfId="13"/>
  </cellStyles>
  <dxfs count="0"/>
  <tableStyles count="0" defaultTableStyle="TableStyleMedium9" defaultPivotStyle="PivotStyleLight16"/>
  <colors>
    <mruColors>
      <color rgb="FF9B2D2A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CA.Op.ProtegerContraseña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CA.Op.RegistrarMensaje" lockText="1" noThreeD="1"/>
</file>

<file path=xl/ctrlProps/ctrlProp6.xml><?xml version="1.0" encoding="utf-8"?>
<formControlPr xmlns="http://schemas.microsoft.com/office/spreadsheetml/2009/9/main" objectType="CheckBox" checked="Checked" fmlaLink="CA.Op.UsarContraseñaEnHojas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CA.Op.NoEsconderPestañas" lockText="1" noThreeD="1"/>
</file>

<file path=xl/ctrlProps/ctrlProp11.xml><?xml version="1.0" encoding="utf-8"?>
<formControlPr xmlns="http://schemas.microsoft.com/office/spreadsheetml/2009/9/main" objectType="CheckBox" fmlaLink="CA.Op.GenerarVariantes" lockText="1" noThreeD="1"/>
</file>

<file path=xl/ctrlProps/ctrlProp12.xml><?xml version="1.0" encoding="utf-8"?>
<formControlPr xmlns="http://schemas.microsoft.com/office/spreadsheetml/2009/9/main" objectType="Drop" dropLines="6" dropStyle="combo" dx="16" fmlaLink="Parámetros!$B$1" fmlaRange="Parámetros!$B$2" sel="1" val="0"/>
</file>

<file path=xl/ctrlProps/ctrlProp13.xml><?xml version="1.0" encoding="utf-8"?>
<formControlPr xmlns="http://schemas.microsoft.com/office/spreadsheetml/2009/9/main" objectType="Drop" dropLines="6" dropStyle="combo" dx="16" fmlaLink="Parámetros!$A$5" fmlaRange="Parámetros!$B$7:$B$10" sel="2" val="0"/>
</file>

<file path=xl/ctrlProps/ctrlProp14.xml><?xml version="1.0" encoding="utf-8"?>
<formControlPr xmlns="http://schemas.microsoft.com/office/spreadsheetml/2009/9/main" objectType="Drop" dropLines="6" dropStyle="combo" dx="16" fmlaLink="$E$17" fmlaRange="Parámetros!$B$34:$B$35" sel="1" val="0"/>
</file>

<file path=xl/ctrlProps/ctrlProp15.xml><?xml version="1.0" encoding="utf-8"?>
<formControlPr xmlns="http://schemas.microsoft.com/office/spreadsheetml/2009/9/main" objectType="Drop" dropLines="2" dropStyle="combo" dx="16" fmlaLink="Combos!$C$22" fmlaRange="Combos!$B$23:$B$24" sel="2" val="0"/>
</file>

<file path=xl/ctrlProps/ctrlProp16.xml><?xml version="1.0" encoding="utf-8"?>
<formControlPr xmlns="http://schemas.microsoft.com/office/spreadsheetml/2009/9/main" objectType="Drop" dropLines="6" dropStyle="combo" dx="16" fmlaLink="$E$14" fmlaRange="Parámetros!$B$31:$B$32" sel="1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8673" name="btnCerrarLibro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Cerrar Libro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28674" name="btnResaltarNombresInválidos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Resalta Nombres Inválidos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28675" name="checkProtegerContraseña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Proteger y Asignar Contraseña.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29</xdr:row>
          <xdr:rowOff>0</xdr:rowOff>
        </xdr:from>
        <xdr:to>
          <xdr:col>3</xdr:col>
          <xdr:colOff>0</xdr:colOff>
          <xdr:row>30</xdr:row>
          <xdr:rowOff>0</xdr:rowOff>
        </xdr:to>
        <xdr:sp macro="" textlink="">
          <xdr:nvSpPr>
            <xdr:cNvPr id="28676" name="btnCopiarMódulo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 Este Módulo a Otro Libro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28677" name="checkRegistrarMensaje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Registrar Mensaje al Cerrar.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28678" name="checkProtegerHojasConContraseña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Proteger Hojas con Contraseña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28679" name="btnRegistrarMensaje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Mensaje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31</xdr:row>
          <xdr:rowOff>0</xdr:rowOff>
        </xdr:from>
        <xdr:to>
          <xdr:col>3</xdr:col>
          <xdr:colOff>0</xdr:colOff>
          <xdr:row>32</xdr:row>
          <xdr:rowOff>0</xdr:rowOff>
        </xdr:to>
        <xdr:sp macro="" textlink="">
          <xdr:nvSpPr>
            <xdr:cNvPr id="28680" name="btnEliminarMódulo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Eliminar Módulo de Este Libro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8681" name="btnPseudoCierre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Pseudo Cierre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28682" name="Check Box 10" hidden="1">
              <a:extLst>
                <a:ext uri="{63B3BB69-23CF-44E3-9099-C40C66FF867C}">
                  <a14:compatExt spid="_x0000_s28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Dejar Pestañas Visibles.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6</xdr:col>
          <xdr:colOff>99060</xdr:colOff>
          <xdr:row>21</xdr:row>
          <xdr:rowOff>0</xdr:rowOff>
        </xdr:to>
        <xdr:sp macro="" textlink="">
          <xdr:nvSpPr>
            <xdr:cNvPr id="28683" name="Check Box 11" hidden="1">
              <a:extLst>
                <a:ext uri="{63B3BB69-23CF-44E3-9099-C40C66FF867C}">
                  <a14:compatExt spid="_x0000_s28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Generar Variantes.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219075</xdr:rowOff>
    </xdr:from>
    <xdr:to>
      <xdr:col>0</xdr:col>
      <xdr:colOff>1038225</xdr:colOff>
      <xdr:row>5</xdr:row>
      <xdr:rowOff>19050</xdr:rowOff>
    </xdr:to>
    <xdr:pic>
      <xdr:nvPicPr>
        <xdr:cNvPr id="1122" name="Picture 1" descr="CREDIACTIVO PESOS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7947" t="7216" r="19867" b="15463"/>
        <a:stretch>
          <a:fillRect/>
        </a:stretch>
      </xdr:blipFill>
      <xdr:spPr bwMode="auto">
        <a:xfrm>
          <a:off x="0" y="85725"/>
          <a:ext cx="1038225" cy="704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30480</xdr:rowOff>
        </xdr:from>
        <xdr:to>
          <xdr:col>6</xdr:col>
          <xdr:colOff>7620</xdr:colOff>
          <xdr:row>7</xdr:row>
          <xdr:rowOff>198120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22860</xdr:rowOff>
        </xdr:from>
        <xdr:to>
          <xdr:col>6</xdr:col>
          <xdr:colOff>7620</xdr:colOff>
          <xdr:row>10</xdr:row>
          <xdr:rowOff>190500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30480</xdr:rowOff>
        </xdr:from>
        <xdr:to>
          <xdr:col>6</xdr:col>
          <xdr:colOff>7620</xdr:colOff>
          <xdr:row>16</xdr:row>
          <xdr:rowOff>198120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41986" name="Drop Down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31</xdr:row>
          <xdr:rowOff>7620</xdr:rowOff>
        </xdr:from>
        <xdr:to>
          <xdr:col>8</xdr:col>
          <xdr:colOff>601980</xdr:colOff>
          <xdr:row>32</xdr:row>
          <xdr:rowOff>22860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CA_Consola"/>
  <dimension ref="A1:M32"/>
  <sheetViews>
    <sheetView tabSelected="1" zoomScaleNormal="100" workbookViewId="0">
      <selection activeCell="D23" sqref="D23"/>
    </sheetView>
  </sheetViews>
  <sheetFormatPr defaultColWidth="9.109375" defaultRowHeight="14.4" x14ac:dyDescent="0.3"/>
  <cols>
    <col min="1" max="1" width="3.5546875" style="199" customWidth="1"/>
    <col min="2" max="2" width="27.33203125" style="199" customWidth="1"/>
    <col min="3" max="3" width="3.5546875" style="199" customWidth="1"/>
    <col min="4" max="4" width="9.33203125" style="199" customWidth="1"/>
    <col min="5" max="5" width="9.109375" style="199" customWidth="1"/>
    <col min="6" max="7" width="9.33203125" style="199" customWidth="1"/>
    <col min="8" max="11" width="10.109375" style="199" customWidth="1"/>
    <col min="12" max="12" width="6.6640625" style="199" customWidth="1"/>
    <col min="13" max="13" width="8.5546875" style="199" customWidth="1"/>
    <col min="14" max="14" width="7" style="199" customWidth="1"/>
    <col min="15" max="16384" width="9.109375" style="199"/>
  </cols>
  <sheetData>
    <row r="1" spans="1:13" x14ac:dyDescent="0.3">
      <c r="A1" s="198" t="s">
        <v>119</v>
      </c>
    </row>
    <row r="2" spans="1:13" x14ac:dyDescent="0.3">
      <c r="B2" s="200" t="s">
        <v>162</v>
      </c>
      <c r="C2" s="201"/>
      <c r="D2" s="201"/>
      <c r="E2" s="201"/>
      <c r="F2" s="201"/>
      <c r="G2" s="201"/>
      <c r="H2" s="201"/>
      <c r="I2" s="201"/>
      <c r="J2" s="202" t="s">
        <v>163</v>
      </c>
      <c r="K2" s="203" t="s">
        <v>164</v>
      </c>
      <c r="L2" s="204" t="s">
        <v>165</v>
      </c>
      <c r="M2" s="205"/>
    </row>
    <row r="4" spans="1:13" x14ac:dyDescent="0.3">
      <c r="B4" s="206">
        <v>2</v>
      </c>
      <c r="C4" s="207">
        <v>0</v>
      </c>
      <c r="D4" s="208" t="s">
        <v>166</v>
      </c>
      <c r="E4" s="209"/>
      <c r="F4" s="209"/>
      <c r="G4" s="209"/>
      <c r="H4" s="209"/>
      <c r="I4" s="209"/>
      <c r="J4" s="209"/>
      <c r="K4" s="210"/>
      <c r="M4" s="198"/>
    </row>
    <row r="5" spans="1:13" ht="17.25" customHeight="1" x14ac:dyDescent="0.3">
      <c r="A5" s="198"/>
      <c r="B5" s="211" t="s">
        <v>126</v>
      </c>
      <c r="D5" s="242"/>
      <c r="E5" s="243"/>
      <c r="F5" s="243"/>
      <c r="G5" s="243"/>
      <c r="H5" s="243"/>
      <c r="I5" s="243"/>
      <c r="J5" s="243"/>
      <c r="K5" s="244"/>
      <c r="M5" s="198"/>
    </row>
    <row r="6" spans="1:13" ht="17.25" customHeight="1" x14ac:dyDescent="0.3">
      <c r="B6" s="211" t="s">
        <v>124</v>
      </c>
      <c r="M6" s="198"/>
    </row>
    <row r="7" spans="1:13" ht="17.25" customHeight="1" x14ac:dyDescent="0.3">
      <c r="B7" s="211"/>
      <c r="D7" s="212"/>
      <c r="E7" s="212"/>
      <c r="F7" s="213" t="s">
        <v>167</v>
      </c>
      <c r="G7" s="214"/>
      <c r="H7" s="214"/>
      <c r="I7" s="214"/>
      <c r="J7" s="214"/>
      <c r="K7" s="214"/>
    </row>
    <row r="8" spans="1:13" ht="17.25" customHeight="1" x14ac:dyDescent="0.3">
      <c r="B8" s="215"/>
      <c r="D8" s="212"/>
      <c r="E8" s="212"/>
      <c r="F8" s="212"/>
      <c r="G8" s="214"/>
      <c r="H8" s="214"/>
      <c r="I8" s="214"/>
      <c r="J8" s="214"/>
      <c r="K8" s="214"/>
    </row>
    <row r="9" spans="1:13" ht="17.25" customHeight="1" x14ac:dyDescent="0.3">
      <c r="B9" s="215"/>
    </row>
    <row r="10" spans="1:13" ht="17.25" customHeight="1" x14ac:dyDescent="0.3">
      <c r="B10" s="215"/>
      <c r="D10" s="216"/>
      <c r="E10" s="216"/>
      <c r="F10" s="217" t="s">
        <v>168</v>
      </c>
      <c r="G10" s="218"/>
      <c r="H10" s="218"/>
      <c r="I10" s="218"/>
      <c r="J10" s="218"/>
      <c r="K10" s="218"/>
    </row>
    <row r="11" spans="1:13" ht="17.25" customHeight="1" x14ac:dyDescent="0.3">
      <c r="B11" s="219"/>
      <c r="D11" s="216"/>
      <c r="E11" s="216"/>
      <c r="F11" s="216"/>
      <c r="G11" s="218"/>
      <c r="H11" s="218"/>
      <c r="I11" s="218"/>
      <c r="J11" s="220" t="s">
        <v>169</v>
      </c>
      <c r="K11" s="221" t="s">
        <v>170</v>
      </c>
    </row>
    <row r="12" spans="1:13" ht="17.25" customHeight="1" x14ac:dyDescent="0.3">
      <c r="B12" s="219"/>
    </row>
    <row r="13" spans="1:13" ht="17.25" customHeight="1" x14ac:dyDescent="0.3">
      <c r="B13" s="219"/>
      <c r="D13" s="222"/>
      <c r="E13" s="222"/>
      <c r="F13" s="223" t="s">
        <v>171</v>
      </c>
      <c r="G13" s="224"/>
      <c r="H13" s="224"/>
      <c r="I13" s="224"/>
      <c r="J13" s="224"/>
      <c r="K13" s="224"/>
    </row>
    <row r="14" spans="1:13" ht="17.25" customHeight="1" x14ac:dyDescent="0.3">
      <c r="B14" s="219"/>
      <c r="D14" s="222"/>
      <c r="E14" s="222"/>
      <c r="F14" s="222"/>
      <c r="G14" s="224"/>
      <c r="H14" s="224"/>
      <c r="I14" s="224"/>
      <c r="J14" s="224"/>
      <c r="K14" s="224"/>
    </row>
    <row r="15" spans="1:13" ht="17.25" customHeight="1" x14ac:dyDescent="0.3">
      <c r="B15" s="219"/>
      <c r="M15" s="198"/>
    </row>
    <row r="16" spans="1:13" ht="17.25" customHeight="1" x14ac:dyDescent="0.3">
      <c r="B16" s="219"/>
      <c r="D16" s="225" t="s">
        <v>172</v>
      </c>
      <c r="E16" s="226"/>
      <c r="F16" s="226"/>
      <c r="G16" s="226"/>
      <c r="H16" s="226"/>
      <c r="I16" s="226"/>
      <c r="J16" s="226"/>
      <c r="K16" s="226"/>
    </row>
    <row r="17" spans="2:11" ht="17.25" customHeight="1" x14ac:dyDescent="0.3">
      <c r="B17" s="219"/>
      <c r="D17" s="227" t="b">
        <v>1</v>
      </c>
      <c r="E17" s="227" t="s">
        <v>120</v>
      </c>
      <c r="F17" s="227"/>
      <c r="G17" s="227"/>
      <c r="H17" s="227"/>
      <c r="I17" s="227"/>
    </row>
    <row r="18" spans="2:11" ht="17.25" customHeight="1" x14ac:dyDescent="0.3">
      <c r="B18" s="219"/>
      <c r="D18" s="227" t="b">
        <v>0</v>
      </c>
      <c r="E18" s="227" t="s">
        <v>121</v>
      </c>
      <c r="F18" s="227"/>
      <c r="J18" s="228"/>
      <c r="K18" s="228"/>
    </row>
    <row r="19" spans="2:11" ht="17.25" customHeight="1" x14ac:dyDescent="0.3">
      <c r="B19" s="219"/>
      <c r="D19" s="227" t="b">
        <v>1</v>
      </c>
      <c r="E19" s="227" t="s">
        <v>122</v>
      </c>
      <c r="F19" s="227"/>
      <c r="G19" s="229" t="s">
        <v>119</v>
      </c>
      <c r="H19" s="230"/>
      <c r="I19" s="231" t="s">
        <v>173</v>
      </c>
      <c r="J19" s="232"/>
      <c r="K19" s="233"/>
    </row>
    <row r="20" spans="2:11" ht="17.25" customHeight="1" x14ac:dyDescent="0.3">
      <c r="B20" s="219"/>
      <c r="D20" s="227" t="b">
        <v>1</v>
      </c>
      <c r="E20" s="227" t="s">
        <v>123</v>
      </c>
      <c r="F20" s="227"/>
      <c r="G20" s="245" t="s">
        <v>179</v>
      </c>
      <c r="H20" s="246"/>
      <c r="I20" s="246"/>
      <c r="J20" s="246"/>
      <c r="K20" s="247"/>
    </row>
    <row r="21" spans="2:11" ht="17.25" customHeight="1" x14ac:dyDescent="0.3">
      <c r="B21" s="219"/>
      <c r="D21" s="227" t="b">
        <v>0</v>
      </c>
      <c r="E21" s="227" t="s">
        <v>174</v>
      </c>
      <c r="F21" s="227"/>
    </row>
    <row r="22" spans="2:11" ht="17.25" customHeight="1" x14ac:dyDescent="0.3">
      <c r="B22" s="219"/>
    </row>
    <row r="24" spans="2:11" x14ac:dyDescent="0.3">
      <c r="B24" s="234"/>
    </row>
    <row r="25" spans="2:11" x14ac:dyDescent="0.3">
      <c r="B25" s="235"/>
    </row>
    <row r="26" spans="2:11" x14ac:dyDescent="0.3">
      <c r="B26" s="236" t="s">
        <v>175</v>
      </c>
    </row>
    <row r="28" spans="2:11" x14ac:dyDescent="0.3">
      <c r="B28" s="200" t="s">
        <v>176</v>
      </c>
      <c r="C28" s="201"/>
      <c r="D28" s="201"/>
      <c r="E28" s="201"/>
      <c r="F28" s="201"/>
      <c r="G28" s="201"/>
      <c r="H28" s="201"/>
      <c r="I28" s="201"/>
      <c r="J28" s="201"/>
      <c r="K28" s="201"/>
    </row>
    <row r="30" spans="2:11" ht="19.5" customHeight="1" x14ac:dyDescent="0.3">
      <c r="B30" s="237"/>
      <c r="C30" s="212"/>
      <c r="D30" s="238" t="s">
        <v>177</v>
      </c>
      <c r="E30" s="212"/>
      <c r="F30" s="212"/>
      <c r="G30" s="212"/>
      <c r="H30" s="212"/>
      <c r="I30" s="212"/>
      <c r="J30" s="212"/>
      <c r="K30" s="212"/>
    </row>
    <row r="32" spans="2:11" ht="19.5" customHeight="1" x14ac:dyDescent="0.3">
      <c r="B32" s="222"/>
      <c r="C32" s="222"/>
      <c r="D32" s="239" t="s">
        <v>178</v>
      </c>
      <c r="E32" s="222"/>
      <c r="F32" s="222"/>
      <c r="G32" s="222"/>
      <c r="H32" s="222"/>
      <c r="I32" s="222"/>
      <c r="J32" s="222"/>
      <c r="K32" s="222"/>
    </row>
  </sheetData>
  <mergeCells count="2">
    <mergeCell ref="D5:K5"/>
    <mergeCell ref="G20:K20"/>
  </mergeCells>
  <dataValidations count="2">
    <dataValidation allowBlank="1" showInputMessage="1" showErrorMessage="1" promptTitle="Mensaje a registrar" prompt="Mensaje explicativo que se agregará a la bitácora de mensajes, cuando se haga click en el botón &quot;Registrar Mensaje&quot;_x000a__x000a_Opcional en el botón &quot;Cerrar Libro&quot;. (Solamente se solicita el mensaje al cerrar, si la casilla &quot;Registrar Mensaje al Cerrar&quot; está activa)" sqref="D5:K5"/>
    <dataValidation allowBlank="1" showInputMessage="1" showErrorMessage="1" promptTitle="Nombre para Libro Cerrado" prompt="Es el nombre que se le dará al libro cerrado._x000a_Si no se proporciona, se usará el mismo nombre que el del libro de trabajo._x000a_IMPORTANTE: NO USAR PUNTOS (.)" sqref="G20:K21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tnCerrarLibro">
              <controlPr defaultSize="0" print="0" autoFill="0" autoPict="0" macro="[0]!CerrarLibro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tnResaltarNombresInválidos">
              <controlPr defaultSize="0" print="0" autoFill="0" autoPict="0" macro="[0]!ResaltaNombresInvalidos">
                <anchor moveWithCells="1" siz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ProtegerContraseña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tnCopiarMódulo">
              <controlPr defaultSize="0" print="0" autoFill="0" autoPict="0" macro="[0]!ActualizarOtroLibro">
                <anchor moveWithCells="1" siz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RegistrarMensaje">
              <controlPr defaultSize="0" autoFill="0" autoLine="0" autoPict="0" macro="[0]!checkRegistrarMensaje_Click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ProtegerHojasConContraseña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tnRegistrarMensaje">
              <controlPr defaultSize="0" print="0" autoFill="0" autoPict="0" macro="[0]!RegistraLogDeCierre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tnEliminarMódulo">
              <controlPr defaultSize="0" print="0" autoFill="0" autoPict="0" macro="[0]!EliminarModuloCA">
                <anchor moveWithCells="1" siz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tnPseudoCierre">
              <controlPr defaultSize="0" print="0" autoFill="0" autoPict="0" macro="[0]!PseudoCierreToggle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Check Box 10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Check Box 11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6</xdr:col>
                    <xdr:colOff>99060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CA_Servicios"/>
  <dimension ref="B2:D26"/>
  <sheetViews>
    <sheetView workbookViewId="0"/>
  </sheetViews>
  <sheetFormatPr defaultColWidth="9.109375" defaultRowHeight="14.4" x14ac:dyDescent="0.3"/>
  <cols>
    <col min="1" max="1" width="2" style="186" bestFit="1" customWidth="1"/>
    <col min="2" max="2" width="51.5546875" style="186" customWidth="1"/>
    <col min="3" max="3" width="51.5546875" style="186" bestFit="1" customWidth="1"/>
    <col min="4" max="4" width="29" style="186" customWidth="1"/>
    <col min="5" max="5" width="92.44140625" style="186" bestFit="1" customWidth="1"/>
    <col min="6" max="16384" width="9.109375" style="186"/>
  </cols>
  <sheetData>
    <row r="2" spans="2:3" x14ac:dyDescent="0.3">
      <c r="B2" s="184" t="s">
        <v>146</v>
      </c>
      <c r="C2" s="185"/>
    </row>
    <row r="4" spans="2:3" x14ac:dyDescent="0.3">
      <c r="B4" s="187" t="s">
        <v>147</v>
      </c>
      <c r="C4" s="188" t="b">
        <v>1</v>
      </c>
    </row>
    <row r="5" spans="2:3" x14ac:dyDescent="0.3">
      <c r="B5" s="189" t="s">
        <v>148</v>
      </c>
      <c r="C5" s="188" t="s">
        <v>149</v>
      </c>
    </row>
    <row r="6" spans="2:3" x14ac:dyDescent="0.3">
      <c r="B6" s="189" t="s">
        <v>150</v>
      </c>
      <c r="C6" s="190" t="s">
        <v>151</v>
      </c>
    </row>
    <row r="8" spans="2:3" x14ac:dyDescent="0.3">
      <c r="B8" s="184" t="s">
        <v>152</v>
      </c>
      <c r="C8" s="185"/>
    </row>
    <row r="10" spans="2:3" x14ac:dyDescent="0.3">
      <c r="B10" s="191" t="s">
        <v>119</v>
      </c>
      <c r="C10" s="192" t="s">
        <v>119</v>
      </c>
    </row>
    <row r="11" spans="2:3" ht="45" customHeight="1" x14ac:dyDescent="0.3">
      <c r="B11" s="248" t="s">
        <v>119</v>
      </c>
      <c r="C11" s="249"/>
    </row>
    <row r="13" spans="2:3" x14ac:dyDescent="0.3">
      <c r="B13" s="184" t="s">
        <v>153</v>
      </c>
      <c r="C13" s="185"/>
    </row>
    <row r="14" spans="2:3" x14ac:dyDescent="0.3">
      <c r="B14" s="186" t="s">
        <v>119</v>
      </c>
    </row>
    <row r="15" spans="2:3" x14ac:dyDescent="0.3">
      <c r="B15" s="193" t="s">
        <v>154</v>
      </c>
      <c r="C15" s="193" t="s">
        <v>155</v>
      </c>
    </row>
    <row r="16" spans="2:3" x14ac:dyDescent="0.3">
      <c r="B16" s="194" t="s">
        <v>156</v>
      </c>
      <c r="C16" s="186" t="s">
        <v>157</v>
      </c>
    </row>
    <row r="17" spans="2:4" x14ac:dyDescent="0.3">
      <c r="B17" s="194" t="s">
        <v>158</v>
      </c>
      <c r="C17" s="186" t="s">
        <v>159</v>
      </c>
      <c r="D17" s="195"/>
    </row>
    <row r="18" spans="2:4" x14ac:dyDescent="0.3">
      <c r="B18" s="186" t="s">
        <v>119</v>
      </c>
    </row>
    <row r="19" spans="2:4" x14ac:dyDescent="0.3">
      <c r="B19" s="196" t="s">
        <v>160</v>
      </c>
      <c r="C19" s="196" t="s">
        <v>161</v>
      </c>
    </row>
    <row r="20" spans="2:4" x14ac:dyDescent="0.3">
      <c r="B20" s="194"/>
      <c r="C20" s="194"/>
    </row>
    <row r="21" spans="2:4" x14ac:dyDescent="0.3">
      <c r="B21" s="194"/>
      <c r="C21" s="194"/>
    </row>
    <row r="22" spans="2:4" x14ac:dyDescent="0.3">
      <c r="B22" s="194"/>
      <c r="C22" s="194"/>
    </row>
    <row r="23" spans="2:4" x14ac:dyDescent="0.3">
      <c r="B23" s="194"/>
      <c r="C23" s="194"/>
    </row>
    <row r="24" spans="2:4" x14ac:dyDescent="0.3">
      <c r="C24" s="197"/>
    </row>
    <row r="25" spans="2:4" x14ac:dyDescent="0.3">
      <c r="C25" s="197"/>
    </row>
    <row r="26" spans="2:4" x14ac:dyDescent="0.3">
      <c r="C26" s="197"/>
    </row>
  </sheetData>
  <mergeCells count="1">
    <mergeCell ref="B11:C11"/>
  </mergeCells>
  <dataValidations count="1">
    <dataValidation type="list" allowBlank="1" showInputMessage="1" showErrorMessage="1" sqref="C5">
      <formula1>"Banorte, Ixe"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K17"/>
  <sheetViews>
    <sheetView workbookViewId="0"/>
  </sheetViews>
  <sheetFormatPr defaultColWidth="11.5546875" defaultRowHeight="13.2" x14ac:dyDescent="0.25"/>
  <cols>
    <col min="1" max="1" width="15.6640625" style="240" customWidth="1"/>
    <col min="2" max="8" width="10.6640625" customWidth="1"/>
    <col min="9" max="9" width="19.109375" bestFit="1" customWidth="1"/>
    <col min="10" max="11" width="10.6640625" customWidth="1"/>
  </cols>
  <sheetData>
    <row r="1" spans="1:11" ht="6.75" customHeight="1" thickBot="1" x14ac:dyDescent="0.3"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4.1" customHeight="1" x14ac:dyDescent="0.25">
      <c r="B2" s="253" t="s">
        <v>29</v>
      </c>
      <c r="C2" s="254"/>
      <c r="D2" s="254"/>
      <c r="E2" s="254"/>
      <c r="F2" s="254"/>
      <c r="G2" s="254"/>
      <c r="H2" s="254"/>
      <c r="I2" s="254"/>
      <c r="J2" s="254"/>
      <c r="K2" s="255"/>
    </row>
    <row r="3" spans="1:11" ht="14.1" customHeight="1" x14ac:dyDescent="0.25">
      <c r="B3" s="256"/>
      <c r="C3" s="257"/>
      <c r="D3" s="257"/>
      <c r="E3" s="257"/>
      <c r="F3" s="257"/>
      <c r="G3" s="257"/>
      <c r="H3" s="257"/>
      <c r="I3" s="257"/>
      <c r="J3" s="257"/>
      <c r="K3" s="258"/>
    </row>
    <row r="4" spans="1:11" ht="14.1" customHeight="1" x14ac:dyDescent="0.25">
      <c r="B4" s="256"/>
      <c r="C4" s="257"/>
      <c r="D4" s="257"/>
      <c r="E4" s="257"/>
      <c r="F4" s="257"/>
      <c r="G4" s="257"/>
      <c r="H4" s="257"/>
      <c r="I4" s="257"/>
      <c r="J4" s="257"/>
      <c r="K4" s="258"/>
    </row>
    <row r="5" spans="1:11" ht="14.1" customHeight="1" thickBot="1" x14ac:dyDescent="0.3">
      <c r="B5" s="259"/>
      <c r="C5" s="260"/>
      <c r="D5" s="260"/>
      <c r="E5" s="260"/>
      <c r="F5" s="260"/>
      <c r="G5" s="260"/>
      <c r="H5" s="260"/>
      <c r="I5" s="260"/>
      <c r="J5" s="260"/>
      <c r="K5" s="261"/>
    </row>
    <row r="6" spans="1:11" x14ac:dyDescent="0.25"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ht="17.25" customHeight="1" x14ac:dyDescent="0.25">
      <c r="B7" s="1"/>
      <c r="C7" s="1"/>
      <c r="D7" s="1"/>
      <c r="E7" s="1"/>
      <c r="F7" s="1"/>
      <c r="G7" s="1"/>
      <c r="H7" s="19" t="s">
        <v>51</v>
      </c>
      <c r="I7" s="251">
        <f ca="1">TODAY()</f>
        <v>42625</v>
      </c>
      <c r="J7" s="252"/>
      <c r="K7" s="1"/>
    </row>
    <row r="8" spans="1:11" ht="21.75" customHeight="1" x14ac:dyDescent="0.25">
      <c r="B8" s="250" t="s">
        <v>42</v>
      </c>
      <c r="C8" s="250"/>
      <c r="D8" s="250"/>
      <c r="E8" s="57"/>
      <c r="F8" s="1"/>
      <c r="G8" s="1"/>
      <c r="H8" s="1"/>
      <c r="I8" s="1"/>
      <c r="J8" s="1"/>
      <c r="K8" s="1"/>
    </row>
    <row r="9" spans="1:11" ht="21.75" customHeight="1" x14ac:dyDescent="0.25">
      <c r="B9" s="250" t="s">
        <v>30</v>
      </c>
      <c r="C9" s="250"/>
      <c r="D9" s="250"/>
      <c r="E9" s="262">
        <v>1000000</v>
      </c>
      <c r="F9" s="262"/>
      <c r="G9" s="167" t="str">
        <f>IF(Simulación_crediactivo=1,"M.N.","USD")</f>
        <v>M.N.</v>
      </c>
      <c r="H9" s="2"/>
      <c r="I9" s="2"/>
      <c r="J9" s="2"/>
      <c r="K9" s="2"/>
    </row>
    <row r="10" spans="1:11" s="18" customFormat="1" ht="4.5" customHeight="1" x14ac:dyDescent="0.25">
      <c r="A10" s="241"/>
      <c r="B10" s="21"/>
      <c r="C10" s="21"/>
      <c r="D10" s="21"/>
      <c r="E10" s="5"/>
      <c r="F10" s="5"/>
      <c r="G10" s="17"/>
      <c r="H10" s="17"/>
      <c r="I10" s="17"/>
      <c r="J10" s="17"/>
      <c r="K10" s="17"/>
    </row>
    <row r="11" spans="1:11" ht="21.75" customHeight="1" x14ac:dyDescent="0.25">
      <c r="B11" s="250" t="s">
        <v>43</v>
      </c>
      <c r="C11" s="250">
        <v>2</v>
      </c>
      <c r="D11" s="250"/>
      <c r="E11" s="56"/>
      <c r="F11" s="5"/>
      <c r="G11" s="2"/>
      <c r="H11" s="2"/>
      <c r="I11" s="2"/>
      <c r="J11" s="2"/>
      <c r="K11" s="2"/>
    </row>
    <row r="12" spans="1:11" ht="21.75" hidden="1" customHeight="1" x14ac:dyDescent="0.25">
      <c r="B12" s="250" t="s">
        <v>69</v>
      </c>
      <c r="C12" s="250">
        <v>2</v>
      </c>
      <c r="D12" s="250"/>
      <c r="E12" s="180">
        <f>+Parámetros!E12</f>
        <v>16</v>
      </c>
      <c r="F12" s="5"/>
      <c r="G12" s="1" t="s">
        <v>139</v>
      </c>
      <c r="H12" s="2"/>
      <c r="I12" s="2"/>
      <c r="J12" s="2"/>
      <c r="K12" s="2"/>
    </row>
    <row r="13" spans="1:11" ht="21.75" hidden="1" customHeight="1" x14ac:dyDescent="0.25">
      <c r="B13" s="250" t="s">
        <v>31</v>
      </c>
      <c r="C13" s="250">
        <v>2</v>
      </c>
      <c r="D13" s="250"/>
      <c r="E13" s="179">
        <v>1</v>
      </c>
      <c r="G13" s="1" t="s">
        <v>139</v>
      </c>
      <c r="H13" s="2"/>
      <c r="I13" s="2"/>
      <c r="J13" s="2"/>
      <c r="K13" s="2"/>
    </row>
    <row r="14" spans="1:11" ht="21.75" hidden="1" customHeight="1" x14ac:dyDescent="0.25">
      <c r="B14" s="250" t="s">
        <v>47</v>
      </c>
      <c r="C14" s="250">
        <v>2</v>
      </c>
      <c r="D14" s="250"/>
      <c r="E14" s="58">
        <v>1</v>
      </c>
      <c r="F14" s="4"/>
      <c r="G14" s="2"/>
      <c r="H14" s="2"/>
      <c r="I14" s="2"/>
      <c r="J14" s="2"/>
      <c r="K14" s="2"/>
    </row>
    <row r="15" spans="1:11" ht="21.75" hidden="1" customHeight="1" x14ac:dyDescent="0.25">
      <c r="B15" s="250" t="str">
        <f>IF(Garantía_Hipotecaria=1,"","Valor de la Propiedad:")</f>
        <v/>
      </c>
      <c r="C15" s="250"/>
      <c r="D15" s="250"/>
      <c r="E15" s="262">
        <v>0</v>
      </c>
      <c r="F15" s="262"/>
      <c r="G15" s="167" t="str">
        <f>IF(Garantía_Hipotecaria=1,"",IF(AND(Garantía_Hipotecaria=2,Simulación_crediactivo=1),"M.N.","USD"))</f>
        <v/>
      </c>
      <c r="H15" s="2"/>
      <c r="I15" s="2"/>
      <c r="J15" s="2"/>
      <c r="K15" s="2"/>
    </row>
    <row r="16" spans="1:11" ht="4.5" hidden="1" customHeight="1" x14ac:dyDescent="0.25">
      <c r="B16" s="20"/>
      <c r="C16" s="20"/>
      <c r="D16" s="20"/>
      <c r="E16" s="5"/>
      <c r="F16" s="5"/>
      <c r="G16" s="2"/>
      <c r="H16" s="2"/>
      <c r="I16" s="2"/>
      <c r="J16" s="2"/>
      <c r="K16" s="2"/>
    </row>
    <row r="17" spans="2:11" ht="21.75" customHeight="1" x14ac:dyDescent="0.25">
      <c r="B17" s="250" t="s">
        <v>45</v>
      </c>
      <c r="C17" s="250"/>
      <c r="D17" s="250"/>
      <c r="E17" s="59">
        <v>1</v>
      </c>
      <c r="F17" s="2"/>
      <c r="G17" s="2"/>
      <c r="H17" s="2"/>
      <c r="I17" s="2"/>
      <c r="J17" s="2"/>
      <c r="K17" s="2"/>
    </row>
  </sheetData>
  <mergeCells count="12">
    <mergeCell ref="B17:D17"/>
    <mergeCell ref="B14:D14"/>
    <mergeCell ref="I7:J7"/>
    <mergeCell ref="B2:K5"/>
    <mergeCell ref="B9:D9"/>
    <mergeCell ref="B15:D15"/>
    <mergeCell ref="B13:D13"/>
    <mergeCell ref="E9:F9"/>
    <mergeCell ref="E15:F15"/>
    <mergeCell ref="B8:D8"/>
    <mergeCell ref="B11:D11"/>
    <mergeCell ref="B12:D12"/>
  </mergeCells>
  <phoneticPr fontId="3" type="noConversion"/>
  <dataValidations count="3">
    <dataValidation errorStyle="information" allowBlank="1" promptTitle="CAPTURA" prompt="SOLO EN CASO DE QUE EL MONTO DEL CRÉDITO DESEADO NO _x000a_ESTE DENTRO DEL COMBO" sqref="E10:E12 E16"/>
    <dataValidation type="decimal" operator="greaterThanOrEqual" allowBlank="1" showErrorMessage="1" errorTitle="MONTO DE CRÉDITO" error="Capture un Importe válido." promptTitle="CAPTURA" prompt="SOLO EN CASO DE QUE EL MONTO DEL CRÉDITO DESEADO NO _x000a_ESTE DENTRO DEL COMBO" sqref="E9:F9">
      <formula1>0</formula1>
    </dataValidation>
    <dataValidation type="decimal" operator="greaterThanOrEqual" allowBlank="1" showErrorMessage="1" errorTitle="VALOR DE LA PROPIEDAD" error="Capture un Importe válido." sqref="E15:F15">
      <formula1>0</formula1>
    </dataValidation>
  </dataValidations>
  <pageMargins left="0.75" right="0.75" top="1" bottom="1" header="0" footer="0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Drop Down 3">
              <controlPr defaultSize="0" autoFill="0" autoLine="0" autoPict="0">
                <anchor moveWithCells="1">
                  <from>
                    <xdr:col>4</xdr:col>
                    <xdr:colOff>0</xdr:colOff>
                    <xdr:row>7</xdr:row>
                    <xdr:rowOff>30480</xdr:rowOff>
                  </from>
                  <to>
                    <xdr:col>6</xdr:col>
                    <xdr:colOff>7620</xdr:colOff>
                    <xdr:row>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Drop Down 5">
              <controlPr defaultSize="0" autoFill="0" autoLine="0" autoPict="0">
                <anchor moveWithCells="1">
                  <from>
                    <xdr:col>4</xdr:col>
                    <xdr:colOff>0</xdr:colOff>
                    <xdr:row>10</xdr:row>
                    <xdr:rowOff>22860</xdr:rowOff>
                  </from>
                  <to>
                    <xdr:col>6</xdr:col>
                    <xdr:colOff>7620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Drop Down 7">
              <controlPr defaultSize="0" autoFill="0" autoLine="0" autoPict="0" macro="[0]!Oculta_Fila">
                <anchor moveWithCells="1">
                  <from>
                    <xdr:col>4</xdr:col>
                    <xdr:colOff>0</xdr:colOff>
                    <xdr:row>16</xdr:row>
                    <xdr:rowOff>30480</xdr:rowOff>
                  </from>
                  <to>
                    <xdr:col>6</xdr:col>
                    <xdr:colOff>7620</xdr:colOff>
                    <xdr:row>16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AP456"/>
  <sheetViews>
    <sheetView showGridLines="0" zoomScale="85" zoomScaleNormal="85" workbookViewId="0">
      <selection sqref="A1:O1"/>
    </sheetView>
  </sheetViews>
  <sheetFormatPr defaultColWidth="0" defaultRowHeight="10.199999999999999" x14ac:dyDescent="0.2"/>
  <cols>
    <col min="1" max="1" width="3.33203125" style="69" bestFit="1" customWidth="1"/>
    <col min="2" max="2" width="14.5546875" style="61" bestFit="1" customWidth="1"/>
    <col min="3" max="3" width="13.88671875" style="61" bestFit="1" customWidth="1"/>
    <col min="4" max="7" width="11.6640625" style="61" customWidth="1"/>
    <col min="8" max="8" width="3" style="67" bestFit="1" customWidth="1"/>
    <col min="9" max="9" width="11.6640625" style="61" customWidth="1"/>
    <col min="10" max="10" width="11.88671875" style="61" customWidth="1"/>
    <col min="11" max="11" width="12.88671875" style="61" bestFit="1" customWidth="1"/>
    <col min="12" max="12" width="12.109375" style="61" customWidth="1"/>
    <col min="13" max="14" width="11.6640625" style="61" customWidth="1"/>
    <col min="15" max="15" width="11.44140625" style="61" customWidth="1"/>
    <col min="16" max="16" width="1.88671875" style="61" bestFit="1" customWidth="1"/>
    <col min="17" max="18" width="11.44140625" style="61" customWidth="1"/>
    <col min="19" max="22" width="12.88671875" style="61" customWidth="1"/>
    <col min="23" max="30" width="11.44140625" style="61" customWidth="1"/>
    <col min="31" max="32" width="12.88671875" style="61" customWidth="1"/>
    <col min="33" max="33" width="15.6640625" style="61" customWidth="1"/>
    <col min="34" max="16384" width="13.33203125" style="61" hidden="1"/>
  </cols>
  <sheetData>
    <row r="1" spans="1:41" ht="11.25" customHeight="1" x14ac:dyDescent="0.2">
      <c r="A1" s="269" t="s">
        <v>8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</row>
    <row r="2" spans="1:41" x14ac:dyDescent="0.2">
      <c r="A2" s="62">
        <f>+'Menu Principal'!E12</f>
        <v>16</v>
      </c>
      <c r="B2" s="63"/>
      <c r="C2" s="64"/>
      <c r="D2" s="271" t="str">
        <f>""&amp;VLOOKUP(Parámetros!$B$1,Parámetros!$A$2:$B$3,2,FALSE)&amp;" "&amp;VLOOKUP(Garantía_Hipotecaria,Parámetros!$A$34:$B$35,2,FALSE)&amp;""</f>
        <v>Crediactivo Pesos Sin Garantía Hipotecaria</v>
      </c>
      <c r="E2" s="271"/>
      <c r="F2" s="271"/>
      <c r="G2" s="271"/>
      <c r="H2" s="271"/>
      <c r="I2" s="271"/>
      <c r="J2" s="271"/>
      <c r="K2" s="271"/>
      <c r="L2" s="271"/>
      <c r="M2" s="64"/>
      <c r="N2" s="64"/>
    </row>
    <row r="3" spans="1:41" x14ac:dyDescent="0.2">
      <c r="A3" s="65"/>
      <c r="B3" s="66"/>
      <c r="C3" s="64"/>
      <c r="D3" s="64"/>
      <c r="E3" s="64"/>
      <c r="F3" s="64"/>
      <c r="G3" s="64"/>
      <c r="I3" s="68"/>
      <c r="J3" s="64"/>
      <c r="K3" s="64"/>
      <c r="L3" s="64"/>
      <c r="M3" s="64"/>
      <c r="N3" s="64"/>
    </row>
    <row r="4" spans="1:41" x14ac:dyDescent="0.2">
      <c r="B4" s="70" t="s">
        <v>51</v>
      </c>
      <c r="C4" s="71">
        <f ca="1">+'Menu Principal'!I7</f>
        <v>42625</v>
      </c>
      <c r="I4" s="68"/>
      <c r="J4" s="70" t="s">
        <v>30</v>
      </c>
      <c r="K4" s="72">
        <f>+Monto_Crédito</f>
        <v>1000000</v>
      </c>
      <c r="L4" s="79" t="str">
        <f>IF(Simulación_crediactivo=1,"M.N.","USD")</f>
        <v>M.N.</v>
      </c>
      <c r="M4" s="68"/>
      <c r="N4" s="7"/>
    </row>
    <row r="5" spans="1:41" x14ac:dyDescent="0.2">
      <c r="B5" s="70" t="s">
        <v>62</v>
      </c>
      <c r="C5" s="73" t="str">
        <f>+VLOOKUP(Frecuencia,Parámetros!$A$7:$E$10,2,FALSE)</f>
        <v>Mensual</v>
      </c>
      <c r="I5" s="68"/>
      <c r="J5" s="70" t="s">
        <v>67</v>
      </c>
      <c r="K5" s="74">
        <f>+Tasa_Anual</f>
        <v>0.148006</v>
      </c>
      <c r="L5" s="68"/>
      <c r="M5" s="68"/>
      <c r="N5" s="7"/>
    </row>
    <row r="6" spans="1:41" x14ac:dyDescent="0.2">
      <c r="B6" s="70" t="s">
        <v>44</v>
      </c>
      <c r="C6" s="75">
        <f>+No._de_Pagos</f>
        <v>60</v>
      </c>
      <c r="I6" s="76"/>
      <c r="J6" s="77" t="s">
        <v>68</v>
      </c>
      <c r="K6" s="74">
        <f>+TIIE</f>
        <v>3.8005999999999998E-2</v>
      </c>
      <c r="L6" s="134" t="str">
        <f>"Al "&amp;TEXT(Fecha_TIIE,"dd-mmm-aaaa")&amp;""</f>
        <v>Al 10-mar-2014</v>
      </c>
      <c r="M6" s="68"/>
      <c r="N6" s="7"/>
    </row>
    <row r="7" spans="1:41" s="76" customFormat="1" x14ac:dyDescent="0.2">
      <c r="A7" s="78"/>
      <c r="B7" s="70" t="s">
        <v>31</v>
      </c>
      <c r="C7" s="79">
        <f>+Periodos_Gracia</f>
        <v>0</v>
      </c>
      <c r="H7" s="80"/>
      <c r="J7" s="77" t="str">
        <f>"Tasa "&amp;$C$5&amp;":"</f>
        <v>Tasa Mensual:</v>
      </c>
      <c r="K7" s="74">
        <f>+Tasa_Anual/Pagos_por_año</f>
        <v>1.2333833333333334E-2</v>
      </c>
      <c r="L7" s="68"/>
      <c r="N7" s="81"/>
    </row>
    <row r="8" spans="1:41" s="76" customFormat="1" x14ac:dyDescent="0.2">
      <c r="A8" s="78"/>
      <c r="B8" s="70" t="s">
        <v>63</v>
      </c>
      <c r="C8" s="82">
        <f>IF(Garantía_Hipotecaria=1,0,Valor_Propiedad)</f>
        <v>0</v>
      </c>
      <c r="D8" s="79" t="str">
        <f>IF(Simulación_crediactivo=1,"M.N.","USD")</f>
        <v>M.N.</v>
      </c>
      <c r="H8" s="80"/>
      <c r="I8" s="68"/>
      <c r="J8" s="77" t="s">
        <v>95</v>
      </c>
      <c r="K8" s="72">
        <f>(Monto_Crédito*Com_por_apertura)*(1+I.V.A.)</f>
        <v>23200</v>
      </c>
      <c r="L8" s="79" t="str">
        <f>IF(Simulación_crediactivo=1,"M.N.","USD")</f>
        <v>M.N.</v>
      </c>
    </row>
    <row r="9" spans="1:41" s="76" customFormat="1" x14ac:dyDescent="0.2">
      <c r="A9" s="78"/>
      <c r="B9" s="83" t="s">
        <v>64</v>
      </c>
      <c r="C9" s="82">
        <f>IF(Garantía_Hipotecaria=1,0,Valor_Propiedad*Com_por_avalúo)*(1+I.V.A.)</f>
        <v>0</v>
      </c>
      <c r="D9" s="79" t="str">
        <f>IF(Simulación_crediactivo=1,"M.N.","USD")</f>
        <v>M.N.</v>
      </c>
      <c r="H9" s="80"/>
      <c r="I9" s="68"/>
      <c r="J9" s="7" t="str">
        <f>IF(Simulación_crediactivo=1,"",Parámetros!$A$41)</f>
        <v/>
      </c>
      <c r="K9" s="158" t="str">
        <f>IF(J9="","",Tipo_de_cambio)</f>
        <v/>
      </c>
      <c r="L9" s="134" t="str">
        <f>IF(K9="","","Al "&amp;TEXT(Fecha_Tipo_de_Cambio,"dd-mmm-aaaa")&amp;"")</f>
        <v/>
      </c>
    </row>
    <row r="10" spans="1:41" s="76" customFormat="1" x14ac:dyDescent="0.2">
      <c r="A10" s="78"/>
      <c r="B10" s="70" t="s">
        <v>65</v>
      </c>
      <c r="C10" s="159">
        <f>IF(Garantía_Hipotecaria=1,0,IF(Simulación_crediactivo=1,((No._de_Pagos/Pagos_por_año)*Seguro_Anual),(No._de_Pagos/Pagos_por_año)*Seguro_Anual_Dólares))</f>
        <v>0</v>
      </c>
      <c r="D10" s="79" t="str">
        <f>IF(Simulación_crediactivo=1,"M.N.","USD")</f>
        <v>M.N.</v>
      </c>
      <c r="H10" s="80"/>
      <c r="I10" s="68"/>
      <c r="J10" s="7"/>
    </row>
    <row r="11" spans="1:41" s="76" customFormat="1" ht="12.75" customHeight="1" x14ac:dyDescent="0.2">
      <c r="A11" s="78"/>
      <c r="B11" s="83"/>
      <c r="C11" s="82"/>
      <c r="E11" s="73" t="str">
        <f>"Reducción de plazo en "&amp;VLOOKUP(Frecuencia,Parámetros!$A$7:$F$10,6,FALSE)&amp;":"</f>
        <v>Reducción de plazo en meses:</v>
      </c>
      <c r="F11" s="84">
        <f>No._de_Pagos-$H$258</f>
        <v>0</v>
      </c>
      <c r="H11" s="80"/>
      <c r="I11" s="68"/>
      <c r="J11" s="7"/>
      <c r="L11" s="73" t="str">
        <f>"Reducción de plazo en "&amp;VLOOKUP(Frecuencia,Parámetros!$A$7:$F$10,6,FALSE)&amp;":"</f>
        <v>Reducción de plazo en meses:</v>
      </c>
      <c r="M11" s="84">
        <f>No._de_Pagos-$P$258</f>
        <v>0</v>
      </c>
    </row>
    <row r="12" spans="1:41" s="76" customFormat="1" x14ac:dyDescent="0.2">
      <c r="A12" s="78"/>
      <c r="B12" s="83"/>
      <c r="C12" s="82"/>
      <c r="E12" s="73" t="s">
        <v>87</v>
      </c>
      <c r="F12" s="85">
        <f>$H$258</f>
        <v>60</v>
      </c>
      <c r="G12" s="79" t="str">
        <f>VLOOKUP(Frecuencia,Parámetros!$A$7:$F$10,6,FALSE)</f>
        <v>meses</v>
      </c>
      <c r="H12" s="80"/>
      <c r="I12" s="68"/>
      <c r="J12" s="7"/>
      <c r="L12" s="73" t="s">
        <v>87</v>
      </c>
      <c r="M12" s="85">
        <f>+$P$258</f>
        <v>60</v>
      </c>
      <c r="N12" s="79" t="str">
        <f>VLOOKUP(Frecuencia,Parámetros!$A$7:$F$10,6,FALSE)</f>
        <v>meses</v>
      </c>
    </row>
    <row r="13" spans="1:41" s="76" customFormat="1" x14ac:dyDescent="0.2">
      <c r="A13" s="65"/>
      <c r="B13" s="68"/>
      <c r="C13" s="9"/>
      <c r="E13" s="83" t="s">
        <v>61</v>
      </c>
      <c r="F13" s="86">
        <f>+CAT_AmortCrecientes</f>
        <v>0.16886657966896013</v>
      </c>
      <c r="G13" s="79" t="s">
        <v>96</v>
      </c>
      <c r="H13" s="80"/>
      <c r="I13" s="68"/>
      <c r="J13" s="9"/>
      <c r="L13" s="83" t="s">
        <v>61</v>
      </c>
      <c r="M13" s="86">
        <f>+CAT_AmortIguales</f>
        <v>0.17013052143387175</v>
      </c>
      <c r="N13" s="79" t="s">
        <v>96</v>
      </c>
      <c r="V13" s="87"/>
    </row>
    <row r="14" spans="1:41" s="76" customFormat="1" ht="11.25" customHeight="1" x14ac:dyDescent="0.2">
      <c r="A14" s="78"/>
      <c r="B14" s="263" t="s">
        <v>9</v>
      </c>
      <c r="C14" s="264"/>
      <c r="D14" s="264"/>
      <c r="E14" s="264"/>
      <c r="F14" s="264"/>
      <c r="G14" s="265"/>
      <c r="H14" s="80"/>
      <c r="I14" s="266" t="s">
        <v>13</v>
      </c>
      <c r="J14" s="267"/>
      <c r="K14" s="267"/>
      <c r="L14" s="267"/>
      <c r="M14" s="267"/>
      <c r="N14" s="268"/>
    </row>
    <row r="15" spans="1:41" s="78" customFormat="1" ht="13.5" customHeight="1" x14ac:dyDescent="0.2">
      <c r="A15" s="88"/>
      <c r="B15" s="88"/>
      <c r="C15" s="88"/>
      <c r="D15" s="88"/>
      <c r="E15" s="88"/>
      <c r="F15" s="88"/>
      <c r="G15" s="88"/>
      <c r="H15" s="89"/>
      <c r="I15" s="88"/>
      <c r="J15" s="88"/>
      <c r="K15" s="88"/>
      <c r="L15" s="88"/>
      <c r="M15" s="88"/>
      <c r="N15" s="88"/>
      <c r="AA15" s="90" t="s">
        <v>80</v>
      </c>
      <c r="AB15" s="76"/>
      <c r="AC15" s="76"/>
      <c r="AD15" s="76"/>
      <c r="AI15" s="91" t="s">
        <v>81</v>
      </c>
      <c r="AK15" s="92" t="s">
        <v>92</v>
      </c>
      <c r="AL15" s="92" t="s">
        <v>93</v>
      </c>
      <c r="AM15" s="92" t="s">
        <v>98</v>
      </c>
      <c r="AN15" s="92" t="s">
        <v>92</v>
      </c>
      <c r="AO15" s="92" t="s">
        <v>93</v>
      </c>
    </row>
    <row r="16" spans="1:41" ht="40.799999999999997" x14ac:dyDescent="0.2">
      <c r="A16" s="93" t="s">
        <v>16</v>
      </c>
      <c r="B16" s="94" t="s">
        <v>17</v>
      </c>
      <c r="C16" s="94" t="s">
        <v>18</v>
      </c>
      <c r="D16" s="95" t="s">
        <v>19</v>
      </c>
      <c r="E16" s="96" t="s">
        <v>4</v>
      </c>
      <c r="F16" s="96" t="s">
        <v>20</v>
      </c>
      <c r="G16" s="97" t="s">
        <v>21</v>
      </c>
      <c r="I16" s="94" t="s">
        <v>17</v>
      </c>
      <c r="J16" s="94" t="s">
        <v>18</v>
      </c>
      <c r="K16" s="95" t="s">
        <v>19</v>
      </c>
      <c r="L16" s="96" t="s">
        <v>4</v>
      </c>
      <c r="M16" s="96" t="s">
        <v>20</v>
      </c>
      <c r="N16" s="97" t="s">
        <v>21</v>
      </c>
      <c r="O16" s="97" t="s">
        <v>66</v>
      </c>
      <c r="R16" s="98" t="s">
        <v>76</v>
      </c>
      <c r="S16" s="98" t="s">
        <v>77</v>
      </c>
      <c r="T16" s="98" t="s">
        <v>94</v>
      </c>
      <c r="U16" s="98" t="s">
        <v>71</v>
      </c>
      <c r="V16" s="99" t="s">
        <v>72</v>
      </c>
      <c r="W16" s="100" t="s">
        <v>73</v>
      </c>
      <c r="X16" s="101" t="s">
        <v>74</v>
      </c>
      <c r="Y16" s="102" t="s">
        <v>75</v>
      </c>
      <c r="Z16" s="103" t="s">
        <v>78</v>
      </c>
      <c r="AA16" s="104" t="s">
        <v>79</v>
      </c>
      <c r="AB16" s="98" t="s">
        <v>76</v>
      </c>
      <c r="AC16" s="98" t="s">
        <v>77</v>
      </c>
      <c r="AD16" s="98" t="s">
        <v>94</v>
      </c>
      <c r="AE16" s="98" t="s">
        <v>71</v>
      </c>
      <c r="AF16" s="99" t="s">
        <v>72</v>
      </c>
      <c r="AG16" s="100" t="s">
        <v>73</v>
      </c>
      <c r="AH16" s="101" t="s">
        <v>74</v>
      </c>
      <c r="AI16" s="105" t="s">
        <v>79</v>
      </c>
      <c r="AK16" s="106" t="s">
        <v>79</v>
      </c>
      <c r="AL16" s="106" t="s">
        <v>79</v>
      </c>
      <c r="AM16" s="106" t="s">
        <v>99</v>
      </c>
      <c r="AN16" s="106" t="s">
        <v>100</v>
      </c>
      <c r="AO16" s="106" t="s">
        <v>100</v>
      </c>
    </row>
    <row r="17" spans="1:42" x14ac:dyDescent="0.2">
      <c r="A17" s="107">
        <v>0</v>
      </c>
      <c r="B17" s="108"/>
      <c r="C17" s="94"/>
      <c r="D17" s="94"/>
      <c r="E17" s="94"/>
      <c r="F17" s="81"/>
      <c r="G17" s="109"/>
      <c r="I17" s="108"/>
      <c r="J17" s="94"/>
      <c r="K17" s="94"/>
      <c r="L17" s="94"/>
      <c r="M17" s="81"/>
      <c r="N17" s="109"/>
      <c r="W17" s="110">
        <f>+Monto_Crédito*Tasa_Anual/360*Días</f>
        <v>12333.833333333334</v>
      </c>
      <c r="AA17" s="111"/>
      <c r="AB17" s="69"/>
      <c r="AC17" s="69"/>
      <c r="AD17" s="69"/>
      <c r="AG17" s="110">
        <f>+Monto_Crédito*Tasa_Anual/360*Días</f>
        <v>12333.833333333334</v>
      </c>
      <c r="AI17" s="112"/>
      <c r="AK17" s="113"/>
      <c r="AL17" s="113"/>
    </row>
    <row r="18" spans="1:42" x14ac:dyDescent="0.2">
      <c r="A18" s="107">
        <v>1</v>
      </c>
      <c r="B18" s="108">
        <f>Monto_Crédito</f>
        <v>1000000</v>
      </c>
      <c r="C18" s="108">
        <f t="shared" ref="C18:C81" si="0">IF(A18="","",IF(A18&lt;=Periodos_Gracia,0,IF(V18&gt;B18,B18,V18)))</f>
        <v>10636.126185151319</v>
      </c>
      <c r="D18" s="108">
        <f t="shared" ref="D18:D81" si="1">IF(A18="","",B18*Tasa_Anual/Pagos_por_año)</f>
        <v>12333.833333333334</v>
      </c>
      <c r="E18" s="108">
        <f t="shared" ref="E18:E81" si="2">IF(A18="","",D18*I.V.A.)</f>
        <v>1973.4133333333334</v>
      </c>
      <c r="F18" s="108">
        <f t="shared" ref="F18:F81" si="3">IF(A18="","",IF(B18=0,0,IF(A18&lt;=Periodos_Gracia,(D18+E18),C18+D18+E18)))</f>
        <v>24943.372851817989</v>
      </c>
      <c r="G18" s="114">
        <f>IF(A18="","",IF(+B18-C18-O18&lt;=0,0,+B18-C18-O18))</f>
        <v>989363.87381484872</v>
      </c>
      <c r="H18" s="115">
        <f>IF(OR(B18=0,B18=""),0,1)</f>
        <v>1</v>
      </c>
      <c r="I18" s="108">
        <f>+Monto_Crédito</f>
        <v>1000000</v>
      </c>
      <c r="J18" s="108">
        <f t="shared" ref="J18:J81" si="4">IF(A18="","",IF(I18=0,0,IF(A18&lt;=Periodos_Gracia,0,IF((Monto_Crédito/(No._de_Pagos-Periodos_Gracia))&gt;I18,I18,(Monto_Crédito/(No._de_Pagos-Periodos_Gracia))))))</f>
        <v>16666.666666666668</v>
      </c>
      <c r="K18" s="108">
        <f t="shared" ref="K18:K81" si="5">IF(A18="","",I18*Tasa_Anual/Pagos_por_año)</f>
        <v>12333.833333333334</v>
      </c>
      <c r="L18" s="108">
        <f t="shared" ref="L18:L81" si="6">IF(A18="","",K18*I.V.A.)</f>
        <v>1973.4133333333334</v>
      </c>
      <c r="M18" s="108">
        <f>IF(A18="","",IF(I18=0,0,(J18+K18+L18)))</f>
        <v>30973.913333333334</v>
      </c>
      <c r="N18" s="114">
        <f>IF(A18="","",IF(+I18-J18-O18&lt;=0,0,+I18-J18-O18))</f>
        <v>983333.33333333337</v>
      </c>
      <c r="O18" s="60">
        <v>0</v>
      </c>
      <c r="P18" s="116">
        <f>IF(OR(I18=0,I18=""),0,1)</f>
        <v>1</v>
      </c>
      <c r="R18" s="117">
        <f>+$B$18</f>
        <v>1000000</v>
      </c>
      <c r="S18" s="118">
        <f t="shared" ref="S18:S81" si="7">+IF(A18="","",R18*$K$5/360*Días)</f>
        <v>12333.833333333334</v>
      </c>
      <c r="T18" s="118">
        <f t="shared" ref="T18:T81" si="8">+IF(A18="","",S18*I.V.A.)</f>
        <v>1973.4133333333334</v>
      </c>
      <c r="U18" s="119">
        <f>+O18</f>
        <v>0</v>
      </c>
      <c r="V18" s="120">
        <f>IF(A18="","",IF(A18&lt;=Periodos_Gracia,0,PPMT(Tasa_Anual/360*Días*(1+I.V.A.),Tabla!A18,No._De_Pagos_con_periodo_de_gracia,-Monto_Crédito)))</f>
        <v>10636.126185151319</v>
      </c>
      <c r="W18" s="110">
        <f>IF($U$258&lt;=0,V18,IF(SUM($U$18:U18)&lt;=0,V18,PMT($K$5/360*Días,A18,-R18)))</f>
        <v>10636.126185151319</v>
      </c>
      <c r="X18" s="121">
        <f>IF($U$258&lt;=0,W18,IF(SUM($U$18:U18)&lt;=0,V18,PMT($K$5/360*Días,No._De_Pagos_con_periodo_de_gracia,-Monto_Crédito)-S18-T18))</f>
        <v>10636.126185151319</v>
      </c>
      <c r="Y18" s="117">
        <f>V18</f>
        <v>10636.126185151319</v>
      </c>
      <c r="Z18" s="61">
        <f>+IF(A18="","",IF(No._de_Pagos-Tabla!A18+1&lt;=0,"",No._de_Pagos-Tabla!A18+1))</f>
        <v>60</v>
      </c>
      <c r="AA18" s="122">
        <f>IF(A18="","",V18+S18+T18)</f>
        <v>24943.372851817989</v>
      </c>
      <c r="AB18" s="123">
        <f>+$I$18</f>
        <v>1000000</v>
      </c>
      <c r="AC18" s="124">
        <f t="shared" ref="AC18:AC81" si="9">IF(AB18="","",+AB18*($K$5/360*Días))</f>
        <v>12333.833333333334</v>
      </c>
      <c r="AD18" s="124">
        <f t="shared" ref="AD18:AD81" si="10">IF(AC18="","",+AC18*I.V.A.)</f>
        <v>1973.4133333333334</v>
      </c>
      <c r="AE18" s="119">
        <f>+O18</f>
        <v>0</v>
      </c>
      <c r="AF18" s="120">
        <f t="shared" ref="AF18:AF81" si="11">IF(A18="","",IF(A18&lt;=Periodos_Gracia,0,Monto_Crédito/(No._De_Pagos_con_periodo_de_gracia)))</f>
        <v>16666.666666666668</v>
      </c>
      <c r="AG18" s="110">
        <f>IF($U$258&lt;=0,AF18,IF(SUM($U$18:U18)&lt;=0,AF18,PMT($K$5/360*Días,A18,-AA18)))</f>
        <v>16666.666666666668</v>
      </c>
      <c r="AH18" s="121">
        <f>IF(A18&lt;=Periodos_Gracia,0,IF($U$258&lt;=0,AG18,IF(SUM($U$18:U18)&lt;=0,AF18,PMT($K$5/360*Días,No._de_Pagos,-Monto_Crédito)-AC18-AD18)))</f>
        <v>16666.666666666668</v>
      </c>
      <c r="AI18" s="125">
        <f>IF(A18="","",AF18+AC18+AD18)</f>
        <v>30973.913333333334</v>
      </c>
      <c r="AK18" s="126">
        <f>IF(A18="","",IF(Periodos_Gracia&gt;0,Tabla!AN18,V18+S18))</f>
        <v>22969.959518484655</v>
      </c>
      <c r="AL18" s="126">
        <f t="shared" ref="AL18:AL81" si="12">IF(A18="","",IF(Periodos_Gracia&gt;0,AO18,AF18+AC18))</f>
        <v>29000.5</v>
      </c>
      <c r="AM18" s="61">
        <f>IF(V18=0,0,1)</f>
        <v>1</v>
      </c>
      <c r="AN18" s="127">
        <f>IF(A18="","",IF(A18&lt;=Periodos_Gracia,Tabla!S18,PPMT(Tasa_Anual/360*Días*(1+I.V.A.),Tabla!AM18,No._De_Pagos_con_periodo_de_gracia,-Monto_Crédito)+S18))</f>
        <v>22969.959518484655</v>
      </c>
      <c r="AO18" s="127">
        <f>IF(A18="","",IF(A18&lt;=Periodos_Gracia,Tabla!AC18,Monto_Crédito/(No._De_Pagos_con_periodo_de_gracia)+AC18))</f>
        <v>29000.5</v>
      </c>
      <c r="AP18" s="117"/>
    </row>
    <row r="19" spans="1:42" x14ac:dyDescent="0.2">
      <c r="A19" s="107">
        <f>IF(A18&lt;Parámetros!$E$6,A18+1,"")</f>
        <v>2</v>
      </c>
      <c r="B19" s="108">
        <f>IF(A19="","",IF(G18&lt;=0,0,+G18))</f>
        <v>989363.87381484872</v>
      </c>
      <c r="C19" s="108">
        <f t="shared" si="0"/>
        <v>10788.29986606007</v>
      </c>
      <c r="D19" s="108">
        <f t="shared" si="1"/>
        <v>12202.649125653375</v>
      </c>
      <c r="E19" s="108">
        <f t="shared" si="2"/>
        <v>1952.4238601045402</v>
      </c>
      <c r="F19" s="108">
        <f t="shared" si="3"/>
        <v>24943.372851817985</v>
      </c>
      <c r="G19" s="114">
        <f t="shared" ref="G19:G82" si="13">IF(A19="","",IF(+B19-C19-O19&lt;=0,0,+B19-C19-O19))</f>
        <v>978575.57394878869</v>
      </c>
      <c r="H19" s="115">
        <f t="shared" ref="H19:H82" si="14">IF(OR(B19=0,B19=""),0,1)</f>
        <v>1</v>
      </c>
      <c r="I19" s="108">
        <f>IF(A19="","",IF(+N18&lt;=0,0,N18))</f>
        <v>983333.33333333337</v>
      </c>
      <c r="J19" s="108">
        <f t="shared" si="4"/>
        <v>16666.666666666668</v>
      </c>
      <c r="K19" s="108">
        <f t="shared" si="5"/>
        <v>12128.269444444444</v>
      </c>
      <c r="L19" s="108">
        <f t="shared" si="6"/>
        <v>1940.5231111111111</v>
      </c>
      <c r="M19" s="108">
        <f t="shared" ref="M19:M82" si="15">IF(A19="","",IF(I19=0,0,(J19+K19+L19)))</f>
        <v>30735.459222222224</v>
      </c>
      <c r="N19" s="114">
        <f t="shared" ref="N19:N82" si="16">IF(A19="","",IF(+I19-J19-O19&lt;=0,0,+I19-J19-O19))</f>
        <v>966666.66666666674</v>
      </c>
      <c r="O19" s="60">
        <v>0</v>
      </c>
      <c r="P19" s="116">
        <f t="shared" ref="P19:P82" si="17">IF(OR(I19=0,I19=""),0,1)</f>
        <v>1</v>
      </c>
      <c r="R19" s="117">
        <f t="shared" ref="R19:R25" si="18">IF(A19="","",+R18-V18)</f>
        <v>989363.87381484872</v>
      </c>
      <c r="S19" s="118">
        <f t="shared" si="7"/>
        <v>12202.649125653375</v>
      </c>
      <c r="T19" s="118">
        <f t="shared" si="8"/>
        <v>1952.4238601045402</v>
      </c>
      <c r="U19" s="119">
        <f t="shared" ref="U19:U82" si="19">+O19</f>
        <v>0</v>
      </c>
      <c r="V19" s="120">
        <f>IF(A19="","",IF(A19&lt;=Periodos_Gracia,0,PPMT(Tasa_Anual/360*Días*(1+I.V.A.),Tabla!AM19,No._De_Pagos_con_periodo_de_gracia,-Monto_Crédito)))</f>
        <v>10788.29986606007</v>
      </c>
      <c r="W19" s="110">
        <f>IF($U$258&lt;=0,V19,IF(SUM($U$18:U19)&lt;=0,V19,PMT($K$5/360*Días,A19,-R19)))</f>
        <v>10788.29986606007</v>
      </c>
      <c r="X19" s="121">
        <f>IF($U$258&lt;=0,W19,IF(SUM($U$18:U19)&lt;=0,V19,PMT($K$5/360*Días,No._De_Pagos_con_periodo_de_gracia,-Monto_Crédito)-S19-T19))</f>
        <v>10788.29986606007</v>
      </c>
      <c r="Y19" s="117">
        <f t="shared" ref="Y19:Y82" si="20">V19</f>
        <v>10788.29986606007</v>
      </c>
      <c r="Z19" s="61">
        <f>+IF(A19="","",IF(No._de_Pagos-Tabla!A19+1&lt;=0,"",No._de_Pagos-Tabla!A19+1))</f>
        <v>59</v>
      </c>
      <c r="AA19" s="122">
        <f t="shared" ref="AA19:AA82" si="21">IF(A19="","",V19+S19+T19)</f>
        <v>24943.372851817985</v>
      </c>
      <c r="AB19" s="124">
        <f>IF(A19="","",AB18-AF18)</f>
        <v>983333.33333333337</v>
      </c>
      <c r="AC19" s="124">
        <f t="shared" si="9"/>
        <v>12128.269444444446</v>
      </c>
      <c r="AD19" s="124">
        <f t="shared" si="10"/>
        <v>1940.5231111111113</v>
      </c>
      <c r="AE19" s="119">
        <f t="shared" ref="AE19:AE82" si="22">+O19</f>
        <v>0</v>
      </c>
      <c r="AF19" s="120">
        <f t="shared" si="11"/>
        <v>16666.666666666668</v>
      </c>
      <c r="AG19" s="110">
        <f>IF($U$258&lt;=0,AF19,IF(SUM($U$18:U19)&lt;=0,AF19,PMT($K$5/360*Días,A19,-AA19)))</f>
        <v>16666.666666666668</v>
      </c>
      <c r="AH19" s="121">
        <f>IF(A19&lt;=Periodos_Gracia,0,IF($U$258&lt;=0,AG19,IF(SUM($U$18:U19)&lt;=0,AF19,PMT($K$5/360*Días,No._de_Pagos,-Monto_Crédito)-AC19-AD19)))</f>
        <v>16666.666666666668</v>
      </c>
      <c r="AI19" s="125">
        <f t="shared" ref="AI19:AI82" si="23">IF(A19="","",AF19+AC19+AD19)</f>
        <v>30735.459222222224</v>
      </c>
      <c r="AK19" s="126">
        <f>IF(A19="","",IF(Periodos_Gracia&gt;0,Tabla!AN19,V19+S19))</f>
        <v>22990.948991713445</v>
      </c>
      <c r="AL19" s="126">
        <f t="shared" si="12"/>
        <v>28794.936111111114</v>
      </c>
      <c r="AM19" s="61">
        <f t="shared" ref="AM19:AM82" si="24">IF(A19="","",IF(A19&lt;=Periodos_Gracia,0,IF(AM18=0,1,IF(AM18&gt;0,AM18+1,A18))))</f>
        <v>2</v>
      </c>
      <c r="AN19" s="127">
        <f>IF(A19="","",IF(A19&lt;=Periodos_Gracia,Tabla!S19,PPMT(Tasa_Anual/360*Días*(1+I.V.A.),Tabla!AM19,No._De_Pagos_con_periodo_de_gracia,-Monto_Crédito)+S19))</f>
        <v>22990.948991713445</v>
      </c>
      <c r="AO19" s="127">
        <f>IF(A19="","",IF(A19&lt;=Periodos_Gracia,Tabla!AC19,Monto_Crédito/(No._De_Pagos_con_periodo_de_gracia)+AC19))</f>
        <v>28794.936111111114</v>
      </c>
      <c r="AP19" s="117"/>
    </row>
    <row r="20" spans="1:42" x14ac:dyDescent="0.2">
      <c r="A20" s="107">
        <f>IF(A19&lt;Parámetros!$E$6,A19+1,"")</f>
        <v>3</v>
      </c>
      <c r="B20" s="108">
        <f t="shared" ref="B20:B83" si="25">IF(A20="","",IF(G19&lt;=0,0,+G19))</f>
        <v>978575.57394878869</v>
      </c>
      <c r="C20" s="108">
        <f t="shared" si="0"/>
        <v>10942.650733357759</v>
      </c>
      <c r="D20" s="108">
        <f t="shared" si="1"/>
        <v>12069.588033155369</v>
      </c>
      <c r="E20" s="108">
        <f t="shared" si="2"/>
        <v>1931.1340853048591</v>
      </c>
      <c r="F20" s="108">
        <f t="shared" si="3"/>
        <v>24943.372851817989</v>
      </c>
      <c r="G20" s="114">
        <f t="shared" si="13"/>
        <v>967632.92321543093</v>
      </c>
      <c r="H20" s="115">
        <f t="shared" si="14"/>
        <v>1</v>
      </c>
      <c r="I20" s="108">
        <f t="shared" ref="I20:I83" si="26">IF(A20="","",IF(+N19&lt;=0,0,N19))</f>
        <v>966666.66666666674</v>
      </c>
      <c r="J20" s="108">
        <f t="shared" si="4"/>
        <v>16666.666666666668</v>
      </c>
      <c r="K20" s="108">
        <f t="shared" si="5"/>
        <v>11922.705555555556</v>
      </c>
      <c r="L20" s="108">
        <f t="shared" si="6"/>
        <v>1907.6328888888891</v>
      </c>
      <c r="M20" s="108">
        <f t="shared" si="15"/>
        <v>30497.005111111113</v>
      </c>
      <c r="N20" s="114">
        <f t="shared" si="16"/>
        <v>950000.00000000012</v>
      </c>
      <c r="O20" s="60">
        <v>0</v>
      </c>
      <c r="P20" s="116">
        <f t="shared" si="17"/>
        <v>1</v>
      </c>
      <c r="R20" s="117">
        <f t="shared" si="18"/>
        <v>978575.57394878869</v>
      </c>
      <c r="S20" s="118">
        <f t="shared" si="7"/>
        <v>12069.588033155369</v>
      </c>
      <c r="T20" s="118">
        <f t="shared" si="8"/>
        <v>1931.1340853048591</v>
      </c>
      <c r="U20" s="119">
        <f t="shared" si="19"/>
        <v>0</v>
      </c>
      <c r="V20" s="120">
        <f>IF(A20="","",IF(A20&lt;=Periodos_Gracia,0,PPMT(Tasa_Anual/360*Días*(1+I.V.A.),Tabla!AM20,No._De_Pagos_con_periodo_de_gracia,-Monto_Crédito)))</f>
        <v>10942.650733357759</v>
      </c>
      <c r="W20" s="110">
        <f>IF($U$258&lt;=0,V20,IF(SUM($U$18:U20)&lt;=0,V20,PMT($K$5/360*Días,A20,-R20)))</f>
        <v>10942.650733357759</v>
      </c>
      <c r="X20" s="121">
        <f>IF($U$258&lt;=0,W20,IF(SUM($U$18:U20)&lt;=0,V20,PMT($K$5/360*Días,No._De_Pagos_con_periodo_de_gracia,-Monto_Crédito)-S20-T20))</f>
        <v>10942.650733357759</v>
      </c>
      <c r="Y20" s="117">
        <f t="shared" si="20"/>
        <v>10942.650733357759</v>
      </c>
      <c r="Z20" s="61">
        <f>+IF(A20="","",IF(No._de_Pagos-Tabla!A20+1&lt;=0,"",No._de_Pagos-Tabla!A20+1))</f>
        <v>58</v>
      </c>
      <c r="AA20" s="122">
        <f t="shared" si="21"/>
        <v>24943.372851817989</v>
      </c>
      <c r="AB20" s="124">
        <f t="shared" ref="AB20:AB83" si="27">IF(A20="","",AB19-AF19)</f>
        <v>966666.66666666674</v>
      </c>
      <c r="AC20" s="124">
        <f t="shared" si="9"/>
        <v>11922.705555555556</v>
      </c>
      <c r="AD20" s="124">
        <f t="shared" si="10"/>
        <v>1907.6328888888891</v>
      </c>
      <c r="AE20" s="119">
        <f t="shared" si="22"/>
        <v>0</v>
      </c>
      <c r="AF20" s="120">
        <f t="shared" si="11"/>
        <v>16666.666666666668</v>
      </c>
      <c r="AG20" s="110">
        <f>IF($U$258&lt;=0,AF20,IF(SUM($U$18:U20)&lt;=0,AF20,PMT($K$5/360*Días,A20,-AA20)))</f>
        <v>16666.666666666668</v>
      </c>
      <c r="AH20" s="121">
        <f>IF(A20&lt;=Periodos_Gracia,0,IF($U$258&lt;=0,AG20,IF(SUM($U$18:U20)&lt;=0,AF20,PMT($K$5/360*Días,No._de_Pagos,-Monto_Crédito)-AC20-AD20)))</f>
        <v>16666.666666666668</v>
      </c>
      <c r="AI20" s="125">
        <f t="shared" si="23"/>
        <v>30497.005111111113</v>
      </c>
      <c r="AK20" s="126">
        <f>IF(A20="","",IF(Periodos_Gracia&gt;0,Tabla!AN20,V20+S20))</f>
        <v>23012.238766513128</v>
      </c>
      <c r="AL20" s="126">
        <f t="shared" si="12"/>
        <v>28589.372222222224</v>
      </c>
      <c r="AM20" s="61">
        <f t="shared" si="24"/>
        <v>3</v>
      </c>
      <c r="AN20" s="127">
        <f>IF(A20="","",IF(A20&lt;=Periodos_Gracia,Tabla!S20,PPMT(Tasa_Anual/360*Días*(1+I.V.A.),Tabla!AM20,No._De_Pagos_con_periodo_de_gracia,-Monto_Crédito)+S20))</f>
        <v>23012.238766513128</v>
      </c>
      <c r="AO20" s="127">
        <f>IF(A20="","",IF(A20&lt;=Periodos_Gracia,Tabla!AC20,Monto_Crédito/(No._De_Pagos_con_periodo_de_gracia)+AC20))</f>
        <v>28589.372222222224</v>
      </c>
      <c r="AP20" s="117"/>
    </row>
    <row r="21" spans="1:42" x14ac:dyDescent="0.2">
      <c r="A21" s="107">
        <f>IF(A20&lt;Parámetros!$E$6,A20+1,"")</f>
        <v>4</v>
      </c>
      <c r="B21" s="108">
        <f t="shared" si="25"/>
        <v>967632.92321543093</v>
      </c>
      <c r="C21" s="108">
        <f t="shared" si="0"/>
        <v>11099.209936587089</v>
      </c>
      <c r="D21" s="108">
        <f t="shared" si="1"/>
        <v>11934.623202785255</v>
      </c>
      <c r="E21" s="108">
        <f t="shared" si="2"/>
        <v>1909.5397124456408</v>
      </c>
      <c r="F21" s="108">
        <f t="shared" si="3"/>
        <v>24943.372851817981</v>
      </c>
      <c r="G21" s="114">
        <f t="shared" si="13"/>
        <v>956533.71327884379</v>
      </c>
      <c r="H21" s="115">
        <f t="shared" si="14"/>
        <v>1</v>
      </c>
      <c r="I21" s="108">
        <f t="shared" si="26"/>
        <v>950000.00000000012</v>
      </c>
      <c r="J21" s="108">
        <f t="shared" si="4"/>
        <v>16666.666666666668</v>
      </c>
      <c r="K21" s="108">
        <f t="shared" si="5"/>
        <v>11717.141666666668</v>
      </c>
      <c r="L21" s="108">
        <f t="shared" si="6"/>
        <v>1874.742666666667</v>
      </c>
      <c r="M21" s="108">
        <f t="shared" si="15"/>
        <v>30258.550999999999</v>
      </c>
      <c r="N21" s="114">
        <f t="shared" si="16"/>
        <v>933333.33333333349</v>
      </c>
      <c r="O21" s="60">
        <v>0</v>
      </c>
      <c r="P21" s="116">
        <f t="shared" si="17"/>
        <v>1</v>
      </c>
      <c r="R21" s="117">
        <f t="shared" si="18"/>
        <v>967632.92321543093</v>
      </c>
      <c r="S21" s="118">
        <f t="shared" si="7"/>
        <v>11934.623202785255</v>
      </c>
      <c r="T21" s="118">
        <f t="shared" si="8"/>
        <v>1909.5397124456408</v>
      </c>
      <c r="U21" s="119">
        <f t="shared" si="19"/>
        <v>0</v>
      </c>
      <c r="V21" s="120">
        <f>IF(A21="","",IF(A21&lt;=Periodos_Gracia,0,PPMT(Tasa_Anual/360*Días*(1+I.V.A.),Tabla!AM21,No._De_Pagos_con_periodo_de_gracia,-Monto_Crédito)))</f>
        <v>11099.209936587089</v>
      </c>
      <c r="W21" s="110">
        <f>IF($U$258&lt;=0,V21,IF(SUM($U$18:U21)&lt;=0,V21,PMT($K$5/360*Días,A21,-R21)))</f>
        <v>11099.209936587089</v>
      </c>
      <c r="X21" s="121">
        <f>IF($U$258&lt;=0,W21,IF(SUM($U$18:U21)&lt;=0,V21,PMT($K$5/360*Días,No._De_Pagos_con_periodo_de_gracia,-Monto_Crédito)-S21-T21))</f>
        <v>11099.209936587089</v>
      </c>
      <c r="Y21" s="117">
        <f t="shared" si="20"/>
        <v>11099.209936587089</v>
      </c>
      <c r="Z21" s="61">
        <f>+IF(A21="","",IF(No._de_Pagos-Tabla!A21+1&lt;=0,"",No._de_Pagos-Tabla!A21+1))</f>
        <v>57</v>
      </c>
      <c r="AA21" s="122">
        <f t="shared" si="21"/>
        <v>24943.372851817981</v>
      </c>
      <c r="AB21" s="124">
        <f t="shared" si="27"/>
        <v>950000.00000000012</v>
      </c>
      <c r="AC21" s="124">
        <f t="shared" si="9"/>
        <v>11717.141666666668</v>
      </c>
      <c r="AD21" s="124">
        <f t="shared" si="10"/>
        <v>1874.742666666667</v>
      </c>
      <c r="AE21" s="119">
        <f t="shared" si="22"/>
        <v>0</v>
      </c>
      <c r="AF21" s="120">
        <f t="shared" si="11"/>
        <v>16666.666666666668</v>
      </c>
      <c r="AG21" s="110">
        <f>IF($U$258&lt;=0,AF21,IF(SUM($U$18:U21)&lt;=0,AF21,PMT($K$5/360*Días,A21,-AA21)))</f>
        <v>16666.666666666668</v>
      </c>
      <c r="AH21" s="121">
        <f>IF(A21&lt;=Periodos_Gracia,0,IF($U$258&lt;=0,AG21,IF(SUM($U$18:U21)&lt;=0,AF21,PMT($K$5/360*Días,No._de_Pagos,-Monto_Crédito)-AC21-AD21)))</f>
        <v>16666.666666666668</v>
      </c>
      <c r="AI21" s="125">
        <f t="shared" si="23"/>
        <v>30258.550999999999</v>
      </c>
      <c r="AK21" s="126">
        <f>IF(A21="","",IF(Periodos_Gracia&gt;0,Tabla!AN21,V21+S21))</f>
        <v>23033.833139372342</v>
      </c>
      <c r="AL21" s="126">
        <f t="shared" si="12"/>
        <v>28383.808333333334</v>
      </c>
      <c r="AM21" s="61">
        <f t="shared" si="24"/>
        <v>4</v>
      </c>
      <c r="AN21" s="127">
        <f>IF(A21="","",IF(A21&lt;=Periodos_Gracia,Tabla!S21,PPMT(Tasa_Anual/360*Días*(1+I.V.A.),Tabla!AM21,No._De_Pagos_con_periodo_de_gracia,-Monto_Crédito)+S21))</f>
        <v>23033.833139372342</v>
      </c>
      <c r="AO21" s="127">
        <f>IF(A21="","",IF(A21&lt;=Periodos_Gracia,Tabla!AC21,Monto_Crédito/(No._De_Pagos_con_periodo_de_gracia)+AC21))</f>
        <v>28383.808333333334</v>
      </c>
      <c r="AP21" s="117"/>
    </row>
    <row r="22" spans="1:42" x14ac:dyDescent="0.2">
      <c r="A22" s="107">
        <f>IF(A21&lt;Parámetros!$E$6,A21+1,"")</f>
        <v>5</v>
      </c>
      <c r="B22" s="108">
        <f t="shared" si="25"/>
        <v>956533.71327884379</v>
      </c>
      <c r="C22" s="108">
        <f t="shared" si="0"/>
        <v>11258.00907095496</v>
      </c>
      <c r="D22" s="108">
        <f t="shared" si="1"/>
        <v>11797.727397295712</v>
      </c>
      <c r="E22" s="108">
        <f t="shared" si="2"/>
        <v>1887.6363835673139</v>
      </c>
      <c r="F22" s="108">
        <f t="shared" si="3"/>
        <v>24943.372851817989</v>
      </c>
      <c r="G22" s="114">
        <f t="shared" si="13"/>
        <v>945275.7042078888</v>
      </c>
      <c r="H22" s="115">
        <f t="shared" si="14"/>
        <v>1</v>
      </c>
      <c r="I22" s="108">
        <f t="shared" si="26"/>
        <v>933333.33333333349</v>
      </c>
      <c r="J22" s="108">
        <f t="shared" si="4"/>
        <v>16666.666666666668</v>
      </c>
      <c r="K22" s="108">
        <f t="shared" si="5"/>
        <v>11511.577777777778</v>
      </c>
      <c r="L22" s="108">
        <f t="shared" si="6"/>
        <v>1841.8524444444447</v>
      </c>
      <c r="M22" s="108">
        <f t="shared" si="15"/>
        <v>30020.096888888893</v>
      </c>
      <c r="N22" s="114">
        <f t="shared" si="16"/>
        <v>916666.66666666686</v>
      </c>
      <c r="O22" s="60">
        <v>0</v>
      </c>
      <c r="P22" s="116">
        <f t="shared" si="17"/>
        <v>1</v>
      </c>
      <c r="R22" s="117">
        <f t="shared" si="18"/>
        <v>956533.71327884379</v>
      </c>
      <c r="S22" s="118">
        <f t="shared" si="7"/>
        <v>11797.727397295712</v>
      </c>
      <c r="T22" s="118">
        <f t="shared" si="8"/>
        <v>1887.6363835673139</v>
      </c>
      <c r="U22" s="119">
        <f t="shared" si="19"/>
        <v>0</v>
      </c>
      <c r="V22" s="120">
        <f>IF(A22="","",IF(A22&lt;=Periodos_Gracia,0,PPMT(Tasa_Anual/360*Días*(1+I.V.A.),Tabla!AM22,No._De_Pagos_con_periodo_de_gracia,-Monto_Crédito)))</f>
        <v>11258.00907095496</v>
      </c>
      <c r="W22" s="110">
        <f>IF($U$258&lt;=0,V22,IF(SUM($U$18:U22)&lt;=0,V22,PMT($K$5/360*Días,A22,-R22)))</f>
        <v>11258.00907095496</v>
      </c>
      <c r="X22" s="121">
        <f>IF($U$258&lt;=0,W22,IF(SUM($U$18:U22)&lt;=0,V22,PMT($K$5/360*Días,No._De_Pagos_con_periodo_de_gracia,-Monto_Crédito)-S22-T22))</f>
        <v>11258.00907095496</v>
      </c>
      <c r="Y22" s="117">
        <f t="shared" si="20"/>
        <v>11258.00907095496</v>
      </c>
      <c r="Z22" s="61">
        <f>+IF(A22="","",IF(No._de_Pagos-Tabla!A22+1&lt;=0,"",No._de_Pagos-Tabla!A22+1))</f>
        <v>56</v>
      </c>
      <c r="AA22" s="122">
        <f t="shared" si="21"/>
        <v>24943.372851817989</v>
      </c>
      <c r="AB22" s="124">
        <f t="shared" si="27"/>
        <v>933333.33333333349</v>
      </c>
      <c r="AC22" s="124">
        <f t="shared" si="9"/>
        <v>11511.57777777778</v>
      </c>
      <c r="AD22" s="124">
        <f t="shared" si="10"/>
        <v>1841.8524444444449</v>
      </c>
      <c r="AE22" s="119">
        <f t="shared" si="22"/>
        <v>0</v>
      </c>
      <c r="AF22" s="120">
        <f t="shared" si="11"/>
        <v>16666.666666666668</v>
      </c>
      <c r="AG22" s="110">
        <f>IF($U$258&lt;=0,AF22,IF(SUM($U$18:U22)&lt;=0,AF22,PMT($K$5/360*Días,A22,-AA22)))</f>
        <v>16666.666666666668</v>
      </c>
      <c r="AH22" s="121">
        <f>IF(A22&lt;=Periodos_Gracia,0,IF($U$258&lt;=0,AG22,IF(SUM($U$18:U22)&lt;=0,AF22,PMT($K$5/360*Días,No._de_Pagos,-Monto_Crédito)-AC22-AD22)))</f>
        <v>16666.666666666668</v>
      </c>
      <c r="AI22" s="125">
        <f t="shared" si="23"/>
        <v>30020.096888888893</v>
      </c>
      <c r="AK22" s="126">
        <f>IF(A22="","",IF(Periodos_Gracia&gt;0,Tabla!AN22,V22+S22))</f>
        <v>23055.736468250674</v>
      </c>
      <c r="AL22" s="126">
        <f t="shared" si="12"/>
        <v>28178.244444444448</v>
      </c>
      <c r="AM22" s="61">
        <f t="shared" si="24"/>
        <v>5</v>
      </c>
      <c r="AN22" s="127">
        <f>IF(A22="","",IF(A22&lt;=Periodos_Gracia,Tabla!S22,PPMT(Tasa_Anual/360*Días*(1+I.V.A.),Tabla!AM22,No._De_Pagos_con_periodo_de_gracia,-Monto_Crédito)+S22))</f>
        <v>23055.736468250674</v>
      </c>
      <c r="AO22" s="127">
        <f>IF(A22="","",IF(A22&lt;=Periodos_Gracia,Tabla!AC22,Monto_Crédito/(No._De_Pagos_con_periodo_de_gracia)+AC22))</f>
        <v>28178.244444444448</v>
      </c>
      <c r="AP22" s="117"/>
    </row>
    <row r="23" spans="1:42" x14ac:dyDescent="0.2">
      <c r="A23" s="107">
        <f>IF(A22&lt;Parámetros!$E$6,A22+1,"")</f>
        <v>6</v>
      </c>
      <c r="B23" s="108">
        <f t="shared" si="25"/>
        <v>945275.7042078888</v>
      </c>
      <c r="C23" s="108">
        <f t="shared" si="0"/>
        <v>11419.080183708682</v>
      </c>
      <c r="D23" s="108">
        <f t="shared" si="1"/>
        <v>11658.872989749399</v>
      </c>
      <c r="E23" s="108">
        <f t="shared" si="2"/>
        <v>1865.4196783599039</v>
      </c>
      <c r="F23" s="108">
        <f t="shared" si="3"/>
        <v>24943.372851817985</v>
      </c>
      <c r="G23" s="114">
        <f t="shared" si="13"/>
        <v>933856.62402418011</v>
      </c>
      <c r="H23" s="115">
        <f t="shared" si="14"/>
        <v>1</v>
      </c>
      <c r="I23" s="108">
        <f t="shared" si="26"/>
        <v>916666.66666666686</v>
      </c>
      <c r="J23" s="108">
        <f t="shared" si="4"/>
        <v>16666.666666666668</v>
      </c>
      <c r="K23" s="108">
        <f t="shared" si="5"/>
        <v>11306.013888888891</v>
      </c>
      <c r="L23" s="108">
        <f t="shared" si="6"/>
        <v>1808.9622222222224</v>
      </c>
      <c r="M23" s="108">
        <f t="shared" si="15"/>
        <v>29781.642777777779</v>
      </c>
      <c r="N23" s="114">
        <f t="shared" si="16"/>
        <v>900000.00000000023</v>
      </c>
      <c r="O23" s="60">
        <v>0</v>
      </c>
      <c r="P23" s="116">
        <f t="shared" si="17"/>
        <v>1</v>
      </c>
      <c r="R23" s="117">
        <f t="shared" si="18"/>
        <v>945275.7042078888</v>
      </c>
      <c r="S23" s="118">
        <f t="shared" si="7"/>
        <v>11658.872989749401</v>
      </c>
      <c r="T23" s="118">
        <f t="shared" si="8"/>
        <v>1865.4196783599043</v>
      </c>
      <c r="U23" s="119">
        <f t="shared" si="19"/>
        <v>0</v>
      </c>
      <c r="V23" s="120">
        <f>IF(A23="","",IF(A23&lt;=Periodos_Gracia,0,PPMT(Tasa_Anual/360*Días*(1+I.V.A.),Tabla!AM23,No._De_Pagos_con_periodo_de_gracia,-Monto_Crédito)))</f>
        <v>11419.080183708682</v>
      </c>
      <c r="W23" s="110">
        <f>IF($U$258&lt;=0,V23,IF(SUM($U$18:U23)&lt;=0,V23,PMT($K$5/360*Días,A23,-R23)))</f>
        <v>11419.080183708682</v>
      </c>
      <c r="X23" s="121">
        <f>IF($U$258&lt;=0,W23,IF(SUM($U$18:U23)&lt;=0,V23,PMT($K$5/360*Días,No._De_Pagos_con_periodo_de_gracia,-Monto_Crédito)-S23-T23))</f>
        <v>11419.080183708682</v>
      </c>
      <c r="Y23" s="117">
        <f t="shared" si="20"/>
        <v>11419.080183708682</v>
      </c>
      <c r="Z23" s="61">
        <f>+IF(A23="","",IF(No._de_Pagos-Tabla!A23+1&lt;=0,"",No._de_Pagos-Tabla!A23+1))</f>
        <v>55</v>
      </c>
      <c r="AA23" s="122">
        <f t="shared" si="21"/>
        <v>24943.372851817985</v>
      </c>
      <c r="AB23" s="124">
        <f t="shared" si="27"/>
        <v>916666.66666666686</v>
      </c>
      <c r="AC23" s="124">
        <f t="shared" si="9"/>
        <v>11306.013888888892</v>
      </c>
      <c r="AD23" s="124">
        <f t="shared" si="10"/>
        <v>1808.9622222222229</v>
      </c>
      <c r="AE23" s="119">
        <f t="shared" si="22"/>
        <v>0</v>
      </c>
      <c r="AF23" s="120">
        <f t="shared" si="11"/>
        <v>16666.666666666668</v>
      </c>
      <c r="AG23" s="110">
        <f>IF($U$258&lt;=0,AF23,IF(SUM($U$18:U23)&lt;=0,AF23,PMT($K$5/360*Días,A23,-AA23)))</f>
        <v>16666.666666666668</v>
      </c>
      <c r="AH23" s="121">
        <f>IF(A23&lt;=Periodos_Gracia,0,IF($U$258&lt;=0,AG23,IF(SUM($U$18:U23)&lt;=0,AF23,PMT($K$5/360*Días,No._de_Pagos,-Monto_Crédito)-AC23-AD23)))</f>
        <v>16666.666666666668</v>
      </c>
      <c r="AI23" s="125">
        <f t="shared" si="23"/>
        <v>29781.642777777786</v>
      </c>
      <c r="AK23" s="126">
        <f>IF(A23="","",IF(Periodos_Gracia&gt;0,Tabla!AN23,V23+S23))</f>
        <v>23077.953173458081</v>
      </c>
      <c r="AL23" s="126">
        <f t="shared" si="12"/>
        <v>27972.680555555562</v>
      </c>
      <c r="AM23" s="61">
        <f t="shared" si="24"/>
        <v>6</v>
      </c>
      <c r="AN23" s="127">
        <f>IF(A23="","",IF(A23&lt;=Periodos_Gracia,Tabla!S23,PPMT(Tasa_Anual/360*Días*(1+I.V.A.),Tabla!AM23,No._De_Pagos_con_periodo_de_gracia,-Monto_Crédito)+S23))</f>
        <v>23077.953173458081</v>
      </c>
      <c r="AO23" s="127">
        <f>IF(A23="","",IF(A23&lt;=Periodos_Gracia,Tabla!AC23,Monto_Crédito/(No._De_Pagos_con_periodo_de_gracia)+AC23))</f>
        <v>27972.680555555562</v>
      </c>
      <c r="AP23" s="117"/>
    </row>
    <row r="24" spans="1:42" x14ac:dyDescent="0.2">
      <c r="A24" s="107">
        <f>IF(A23&lt;Parámetros!$E$6,A23+1,"")</f>
        <v>7</v>
      </c>
      <c r="B24" s="108">
        <f t="shared" si="25"/>
        <v>933856.62402418011</v>
      </c>
      <c r="C24" s="108">
        <f t="shared" si="0"/>
        <v>11582.455780603448</v>
      </c>
      <c r="D24" s="108">
        <f t="shared" si="1"/>
        <v>11518.031957943567</v>
      </c>
      <c r="E24" s="108">
        <f t="shared" si="2"/>
        <v>1842.8851132709708</v>
      </c>
      <c r="F24" s="108">
        <f t="shared" si="3"/>
        <v>24943.372851817989</v>
      </c>
      <c r="G24" s="114">
        <f t="shared" si="13"/>
        <v>922274.16824357666</v>
      </c>
      <c r="H24" s="115">
        <f t="shared" si="14"/>
        <v>1</v>
      </c>
      <c r="I24" s="108">
        <f t="shared" si="26"/>
        <v>900000.00000000023</v>
      </c>
      <c r="J24" s="108">
        <f t="shared" si="4"/>
        <v>16666.666666666668</v>
      </c>
      <c r="K24" s="108">
        <f t="shared" si="5"/>
        <v>11100.450000000003</v>
      </c>
      <c r="L24" s="108">
        <f t="shared" si="6"/>
        <v>1776.0720000000003</v>
      </c>
      <c r="M24" s="108">
        <f t="shared" si="15"/>
        <v>29543.188666666669</v>
      </c>
      <c r="N24" s="114">
        <f t="shared" si="16"/>
        <v>883333.3333333336</v>
      </c>
      <c r="O24" s="60">
        <v>0</v>
      </c>
      <c r="P24" s="116">
        <f t="shared" si="17"/>
        <v>1</v>
      </c>
      <c r="Q24" s="117"/>
      <c r="R24" s="117">
        <f t="shared" si="18"/>
        <v>933856.62402418011</v>
      </c>
      <c r="S24" s="118">
        <f t="shared" si="7"/>
        <v>11518.031957943567</v>
      </c>
      <c r="T24" s="118">
        <f t="shared" si="8"/>
        <v>1842.8851132709708</v>
      </c>
      <c r="U24" s="119">
        <f t="shared" si="19"/>
        <v>0</v>
      </c>
      <c r="V24" s="120">
        <f>IF(A24="","",IF(A24&lt;=Periodos_Gracia,0,PPMT(Tasa_Anual/360*Días*(1+I.V.A.),Tabla!AM24,No._De_Pagos_con_periodo_de_gracia,-Monto_Crédito)))</f>
        <v>11582.455780603448</v>
      </c>
      <c r="W24" s="110">
        <f>IF($U$258&lt;=0,V24,IF(SUM($U$18:U24)&lt;=0,V24,PMT($K$5/360*Días,A24,-R24)))</f>
        <v>11582.455780603448</v>
      </c>
      <c r="X24" s="121">
        <f>IF($U$258&lt;=0,W24,IF(SUM($U$18:U24)&lt;=0,V24,PMT($K$5/360*Días,No._De_Pagos_con_periodo_de_gracia,-Monto_Crédito)-S24-T24))</f>
        <v>11582.455780603448</v>
      </c>
      <c r="Y24" s="117">
        <f t="shared" si="20"/>
        <v>11582.455780603448</v>
      </c>
      <c r="Z24" s="61">
        <f>+IF(A24="","",IF(No._de_Pagos-Tabla!A24+1&lt;=0,"",No._de_Pagos-Tabla!A24+1))</f>
        <v>54</v>
      </c>
      <c r="AA24" s="122">
        <f t="shared" si="21"/>
        <v>24943.372851817989</v>
      </c>
      <c r="AB24" s="124">
        <f t="shared" si="27"/>
        <v>900000.00000000023</v>
      </c>
      <c r="AC24" s="124">
        <f t="shared" si="9"/>
        <v>11100.450000000003</v>
      </c>
      <c r="AD24" s="124">
        <f t="shared" si="10"/>
        <v>1776.0720000000003</v>
      </c>
      <c r="AE24" s="119">
        <f t="shared" si="22"/>
        <v>0</v>
      </c>
      <c r="AF24" s="120">
        <f t="shared" si="11"/>
        <v>16666.666666666668</v>
      </c>
      <c r="AG24" s="110">
        <f>IF($U$258&lt;=0,AF24,IF(SUM($U$18:U24)&lt;=0,AF24,PMT($K$5/360*Días,A24,-AA24)))</f>
        <v>16666.666666666668</v>
      </c>
      <c r="AH24" s="121">
        <f>IF(A24&lt;=Periodos_Gracia,0,IF($U$258&lt;=0,AG24,IF(SUM($U$18:U24)&lt;=0,AF24,PMT($K$5/360*Días,No._de_Pagos,-Monto_Crédito)-AC24-AD24)))</f>
        <v>16666.666666666668</v>
      </c>
      <c r="AI24" s="125">
        <f t="shared" si="23"/>
        <v>29543.188666666669</v>
      </c>
      <c r="AK24" s="126">
        <f>IF(A24="","",IF(Periodos_Gracia&gt;0,Tabla!AN24,V24+S24))</f>
        <v>23100.487738547017</v>
      </c>
      <c r="AL24" s="126">
        <f t="shared" si="12"/>
        <v>27767.116666666669</v>
      </c>
      <c r="AM24" s="61">
        <f t="shared" si="24"/>
        <v>7</v>
      </c>
      <c r="AN24" s="127">
        <f>IF(A24="","",IF(A24&lt;=Periodos_Gracia,Tabla!S24,PPMT(Tasa_Anual/360*Días*(1+I.V.A.),Tabla!AM24,No._De_Pagos_con_periodo_de_gracia,-Monto_Crédito)+S24))</f>
        <v>23100.487738547017</v>
      </c>
      <c r="AO24" s="127">
        <f>IF(A24="","",IF(A24&lt;=Periodos_Gracia,Tabla!AC24,Monto_Crédito/(No._De_Pagos_con_periodo_de_gracia)+AC24))</f>
        <v>27767.116666666669</v>
      </c>
      <c r="AP24" s="117"/>
    </row>
    <row r="25" spans="1:42" x14ac:dyDescent="0.2">
      <c r="A25" s="107">
        <f>IF(A24&lt;Parámetros!$E$6,A24+1,"")</f>
        <v>8</v>
      </c>
      <c r="B25" s="108">
        <f t="shared" si="25"/>
        <v>922274.16824357666</v>
      </c>
      <c r="C25" s="108">
        <f t="shared" si="0"/>
        <v>11748.168832462301</v>
      </c>
      <c r="D25" s="108">
        <f t="shared" si="1"/>
        <v>11375.175878754899</v>
      </c>
      <c r="E25" s="108">
        <f t="shared" si="2"/>
        <v>1820.0281406007839</v>
      </c>
      <c r="F25" s="108">
        <f t="shared" si="3"/>
        <v>24943.372851817985</v>
      </c>
      <c r="G25" s="114">
        <f t="shared" si="13"/>
        <v>910525.99941111438</v>
      </c>
      <c r="H25" s="115">
        <f t="shared" si="14"/>
        <v>1</v>
      </c>
      <c r="I25" s="108">
        <f t="shared" si="26"/>
        <v>883333.3333333336</v>
      </c>
      <c r="J25" s="108">
        <f t="shared" si="4"/>
        <v>16666.666666666668</v>
      </c>
      <c r="K25" s="108">
        <f t="shared" si="5"/>
        <v>10894.886111111115</v>
      </c>
      <c r="L25" s="108">
        <f t="shared" si="6"/>
        <v>1743.1817777777783</v>
      </c>
      <c r="M25" s="108">
        <f t="shared" si="15"/>
        <v>29304.734555555562</v>
      </c>
      <c r="N25" s="114">
        <f t="shared" si="16"/>
        <v>866666.66666666698</v>
      </c>
      <c r="O25" s="60">
        <v>0</v>
      </c>
      <c r="P25" s="116">
        <f t="shared" si="17"/>
        <v>1</v>
      </c>
      <c r="R25" s="117">
        <f t="shared" si="18"/>
        <v>922274.16824357666</v>
      </c>
      <c r="S25" s="118">
        <f t="shared" si="7"/>
        <v>11375.175878754899</v>
      </c>
      <c r="T25" s="118">
        <f t="shared" si="8"/>
        <v>1820.0281406007839</v>
      </c>
      <c r="U25" s="119">
        <f t="shared" si="19"/>
        <v>0</v>
      </c>
      <c r="V25" s="120">
        <f>IF(A25="","",IF(A25&lt;=Periodos_Gracia,0,PPMT(Tasa_Anual/360*Días*(1+I.V.A.),Tabla!AM25,No._De_Pagos_con_periodo_de_gracia,-Monto_Crédito)))</f>
        <v>11748.168832462301</v>
      </c>
      <c r="W25" s="110">
        <f>IF($U$258&lt;=0,V25,IF(SUM($U$18:U25)&lt;=0,V25,PMT($K$5/360*Días,A25,-R25)))</f>
        <v>11748.168832462301</v>
      </c>
      <c r="X25" s="121">
        <f>IF($U$258&lt;=0,W25,IF(SUM($U$18:U25)&lt;=0,V25,PMT($K$5/360*Días,No._De_Pagos_con_periodo_de_gracia,-Monto_Crédito)-S25-T25))</f>
        <v>11748.168832462301</v>
      </c>
      <c r="Y25" s="117">
        <f t="shared" si="20"/>
        <v>11748.168832462301</v>
      </c>
      <c r="Z25" s="61">
        <f>+IF(A25="","",IF(No._de_Pagos-Tabla!A25+1&lt;=0,"",No._de_Pagos-Tabla!A25+1))</f>
        <v>53</v>
      </c>
      <c r="AA25" s="122">
        <f t="shared" si="21"/>
        <v>24943.372851817985</v>
      </c>
      <c r="AB25" s="124">
        <f t="shared" si="27"/>
        <v>883333.3333333336</v>
      </c>
      <c r="AC25" s="124">
        <f t="shared" si="9"/>
        <v>10894.886111111115</v>
      </c>
      <c r="AD25" s="124">
        <f t="shared" si="10"/>
        <v>1743.1817777777783</v>
      </c>
      <c r="AE25" s="119">
        <f t="shared" si="22"/>
        <v>0</v>
      </c>
      <c r="AF25" s="120">
        <f t="shared" si="11"/>
        <v>16666.666666666668</v>
      </c>
      <c r="AG25" s="110">
        <f>IF($U$258&lt;=0,AF25,IF(SUM($U$18:U25)&lt;=0,AF25,PMT($K$5/360*Días,A25,-AA25)))</f>
        <v>16666.666666666668</v>
      </c>
      <c r="AH25" s="121">
        <f>IF(A25&lt;=Periodos_Gracia,0,IF($U$258&lt;=0,AG25,IF(SUM($U$18:U25)&lt;=0,AF25,PMT($K$5/360*Días,No._de_Pagos,-Monto_Crédito)-AC25-AD25)))</f>
        <v>16666.666666666668</v>
      </c>
      <c r="AI25" s="125">
        <f t="shared" si="23"/>
        <v>29304.734555555562</v>
      </c>
      <c r="AK25" s="126">
        <f>IF(A25="","",IF(Periodos_Gracia&gt;0,Tabla!AN25,V25+S25))</f>
        <v>23123.3447112172</v>
      </c>
      <c r="AL25" s="126">
        <f t="shared" si="12"/>
        <v>27561.552777777782</v>
      </c>
      <c r="AM25" s="61">
        <f t="shared" si="24"/>
        <v>8</v>
      </c>
      <c r="AN25" s="127">
        <f>IF(A25="","",IF(A25&lt;=Periodos_Gracia,Tabla!S25,PPMT(Tasa_Anual/360*Días*(1+I.V.A.),Tabla!AM25,No._De_Pagos_con_periodo_de_gracia,-Monto_Crédito)+S25))</f>
        <v>23123.3447112172</v>
      </c>
      <c r="AO25" s="127">
        <f>IF(A25="","",IF(A25&lt;=Periodos_Gracia,Tabla!AC25,Monto_Crédito/(No._De_Pagos_con_periodo_de_gracia)+AC25))</f>
        <v>27561.552777777782</v>
      </c>
      <c r="AP25" s="117"/>
    </row>
    <row r="26" spans="1:42" x14ac:dyDescent="0.2">
      <c r="A26" s="107">
        <f>IF(A25&lt;Parámetros!$E$6,A25+1,"")</f>
        <v>9</v>
      </c>
      <c r="B26" s="108">
        <f t="shared" si="25"/>
        <v>910525.99941111438</v>
      </c>
      <c r="C26" s="108">
        <f t="shared" si="0"/>
        <v>11916.252781829986</v>
      </c>
      <c r="D26" s="108">
        <f t="shared" si="1"/>
        <v>11230.275922403451</v>
      </c>
      <c r="E26" s="108">
        <f t="shared" si="2"/>
        <v>1796.844147584552</v>
      </c>
      <c r="F26" s="108">
        <f t="shared" si="3"/>
        <v>24943.372851817992</v>
      </c>
      <c r="G26" s="114">
        <f t="shared" si="13"/>
        <v>898609.74662928435</v>
      </c>
      <c r="H26" s="115">
        <f t="shared" si="14"/>
        <v>1</v>
      </c>
      <c r="I26" s="108">
        <f t="shared" si="26"/>
        <v>866666.66666666698</v>
      </c>
      <c r="J26" s="108">
        <f t="shared" si="4"/>
        <v>16666.666666666668</v>
      </c>
      <c r="K26" s="108">
        <f t="shared" si="5"/>
        <v>10689.322222222227</v>
      </c>
      <c r="L26" s="108">
        <f t="shared" si="6"/>
        <v>1710.2915555555562</v>
      </c>
      <c r="M26" s="108">
        <f t="shared" si="15"/>
        <v>29066.280444444452</v>
      </c>
      <c r="N26" s="114">
        <f t="shared" si="16"/>
        <v>850000.00000000035</v>
      </c>
      <c r="O26" s="60">
        <v>0</v>
      </c>
      <c r="P26" s="116">
        <f t="shared" si="17"/>
        <v>1</v>
      </c>
      <c r="R26" s="117">
        <f t="shared" ref="R26:R89" si="28">IF(A26="","",+R25-V25)</f>
        <v>910525.99941111438</v>
      </c>
      <c r="S26" s="118">
        <f t="shared" si="7"/>
        <v>11230.275922403451</v>
      </c>
      <c r="T26" s="118">
        <f t="shared" si="8"/>
        <v>1796.844147584552</v>
      </c>
      <c r="U26" s="119">
        <f t="shared" si="19"/>
        <v>0</v>
      </c>
      <c r="V26" s="120">
        <f>IF(A26="","",IF(A26&lt;=Periodos_Gracia,0,PPMT(Tasa_Anual/360*Días*(1+I.V.A.),Tabla!AM26,No._De_Pagos_con_periodo_de_gracia,-Monto_Crédito)))</f>
        <v>11916.252781829986</v>
      </c>
      <c r="W26" s="110">
        <f>IF($U$258&lt;=0,V26,IF(SUM($U$18:U26)&lt;=0,V26,PMT($K$5/360*Días,A26,-R26)))</f>
        <v>11916.252781829986</v>
      </c>
      <c r="X26" s="121">
        <f>IF($U$258&lt;=0,W26,IF(SUM($U$18:U26)&lt;=0,V26,PMT($K$5/360*Días,No._De_Pagos_con_periodo_de_gracia,-Monto_Crédito)-S26-T26))</f>
        <v>11916.252781829986</v>
      </c>
      <c r="Y26" s="117">
        <f t="shared" si="20"/>
        <v>11916.252781829986</v>
      </c>
      <c r="Z26" s="61">
        <f>+IF(A26="","",IF(No._de_Pagos-Tabla!A26+1&lt;=0,"",No._de_Pagos-Tabla!A26+1))</f>
        <v>52</v>
      </c>
      <c r="AA26" s="122">
        <f t="shared" si="21"/>
        <v>24943.372851817992</v>
      </c>
      <c r="AB26" s="124">
        <f t="shared" si="27"/>
        <v>866666.66666666698</v>
      </c>
      <c r="AC26" s="124">
        <f t="shared" si="9"/>
        <v>10689.322222222227</v>
      </c>
      <c r="AD26" s="124">
        <f t="shared" si="10"/>
        <v>1710.2915555555562</v>
      </c>
      <c r="AE26" s="119">
        <f t="shared" si="22"/>
        <v>0</v>
      </c>
      <c r="AF26" s="120">
        <f t="shared" si="11"/>
        <v>16666.666666666668</v>
      </c>
      <c r="AG26" s="110">
        <f>IF($U$258&lt;=0,AF26,IF(SUM($U$18:U26)&lt;=0,AF26,PMT($K$5/360*Días,A26,-AA26)))</f>
        <v>16666.666666666668</v>
      </c>
      <c r="AH26" s="121">
        <f>IF(A26&lt;=Periodos_Gracia,0,IF($U$258&lt;=0,AG26,IF(SUM($U$18:U26)&lt;=0,AF26,PMT($K$5/360*Días,No._de_Pagos,-Monto_Crédito)-AC26-AD26)))</f>
        <v>16666.666666666668</v>
      </c>
      <c r="AI26" s="125">
        <f t="shared" si="23"/>
        <v>29066.280444444452</v>
      </c>
      <c r="AK26" s="126">
        <f>IF(A26="","",IF(Periodos_Gracia&gt;0,Tabla!AN26,V26+S26))</f>
        <v>23146.528704233438</v>
      </c>
      <c r="AL26" s="126">
        <f t="shared" si="12"/>
        <v>27355.988888888896</v>
      </c>
      <c r="AM26" s="61">
        <f t="shared" si="24"/>
        <v>9</v>
      </c>
      <c r="AN26" s="127">
        <f>IF(A26="","",IF(A26&lt;=Periodos_Gracia,Tabla!S26,PPMT(Tasa_Anual/360*Días*(1+I.V.A.),Tabla!AM26,No._De_Pagos_con_periodo_de_gracia,-Monto_Crédito)+S26))</f>
        <v>23146.528704233438</v>
      </c>
      <c r="AO26" s="127">
        <f>IF(A26="","",IF(A26&lt;=Periodos_Gracia,Tabla!AC26,Monto_Crédito/(No._De_Pagos_con_periodo_de_gracia)+AC26))</f>
        <v>27355.988888888896</v>
      </c>
      <c r="AP26" s="117"/>
    </row>
    <row r="27" spans="1:42" x14ac:dyDescent="0.2">
      <c r="A27" s="107">
        <f>IF(A26&lt;Parámetros!$E$6,A26+1,"")</f>
        <v>10</v>
      </c>
      <c r="B27" s="108">
        <f t="shared" si="25"/>
        <v>898609.74662928435</v>
      </c>
      <c r="C27" s="108">
        <f t="shared" si="0"/>
        <v>12086.741549721979</v>
      </c>
      <c r="D27" s="108">
        <f t="shared" si="1"/>
        <v>11083.302846634489</v>
      </c>
      <c r="E27" s="108">
        <f t="shared" si="2"/>
        <v>1773.3284554615184</v>
      </c>
      <c r="F27" s="108">
        <f t="shared" si="3"/>
        <v>24943.372851817985</v>
      </c>
      <c r="G27" s="114">
        <f t="shared" si="13"/>
        <v>886523.00507956231</v>
      </c>
      <c r="H27" s="115">
        <f t="shared" si="14"/>
        <v>1</v>
      </c>
      <c r="I27" s="108">
        <f t="shared" si="26"/>
        <v>850000.00000000035</v>
      </c>
      <c r="J27" s="108">
        <f t="shared" si="4"/>
        <v>16666.666666666668</v>
      </c>
      <c r="K27" s="108">
        <f t="shared" si="5"/>
        <v>10483.758333333337</v>
      </c>
      <c r="L27" s="108">
        <f t="shared" si="6"/>
        <v>1677.4013333333339</v>
      </c>
      <c r="M27" s="108">
        <f t="shared" si="15"/>
        <v>28827.826333333338</v>
      </c>
      <c r="N27" s="114">
        <f t="shared" si="16"/>
        <v>833333.33333333372</v>
      </c>
      <c r="O27" s="60">
        <v>0</v>
      </c>
      <c r="P27" s="116">
        <f t="shared" si="17"/>
        <v>1</v>
      </c>
      <c r="R27" s="117">
        <f t="shared" si="28"/>
        <v>898609.74662928435</v>
      </c>
      <c r="S27" s="118">
        <f t="shared" si="7"/>
        <v>11083.302846634489</v>
      </c>
      <c r="T27" s="118">
        <f t="shared" si="8"/>
        <v>1773.3284554615184</v>
      </c>
      <c r="U27" s="119">
        <f t="shared" si="19"/>
        <v>0</v>
      </c>
      <c r="V27" s="120">
        <f>IF(A27="","",IF(A27&lt;=Periodos_Gracia,0,PPMT(Tasa_Anual/360*Días*(1+I.V.A.),Tabla!AM27,No._De_Pagos_con_periodo_de_gracia,-Monto_Crédito)))</f>
        <v>12086.741549721979</v>
      </c>
      <c r="W27" s="110">
        <f>IF($U$258&lt;=0,V27,IF(SUM($U$18:U27)&lt;=0,V27,PMT($K$5/360*Días,A27,-R27)))</f>
        <v>12086.741549721979</v>
      </c>
      <c r="X27" s="121">
        <f>IF($U$258&lt;=0,W27,IF(SUM($U$18:U27)&lt;=0,V27,PMT($K$5/360*Días,No._De_Pagos_con_periodo_de_gracia,-Monto_Crédito)-S27-T27))</f>
        <v>12086.741549721979</v>
      </c>
      <c r="Y27" s="117">
        <f t="shared" si="20"/>
        <v>12086.741549721979</v>
      </c>
      <c r="Z27" s="61">
        <f>+IF(A27="","",IF(No._de_Pagos-Tabla!A27+1&lt;=0,"",No._de_Pagos-Tabla!A27+1))</f>
        <v>51</v>
      </c>
      <c r="AA27" s="122">
        <f t="shared" si="21"/>
        <v>24943.372851817985</v>
      </c>
      <c r="AB27" s="124">
        <f t="shared" si="27"/>
        <v>850000.00000000035</v>
      </c>
      <c r="AC27" s="124">
        <f t="shared" si="9"/>
        <v>10483.758333333339</v>
      </c>
      <c r="AD27" s="124">
        <f t="shared" si="10"/>
        <v>1677.4013333333342</v>
      </c>
      <c r="AE27" s="119">
        <f t="shared" si="22"/>
        <v>0</v>
      </c>
      <c r="AF27" s="120">
        <f t="shared" si="11"/>
        <v>16666.666666666668</v>
      </c>
      <c r="AG27" s="110">
        <f>IF($U$258&lt;=0,AF27,IF(SUM($U$18:U27)&lt;=0,AF27,PMT($K$5/360*Días,A27,-AA27)))</f>
        <v>16666.666666666668</v>
      </c>
      <c r="AH27" s="121">
        <f>IF(A27&lt;=Periodos_Gracia,0,IF($U$258&lt;=0,AG27,IF(SUM($U$18:U27)&lt;=0,AF27,PMT($K$5/360*Días,No._de_Pagos,-Monto_Crédito)-AC27-AD27)))</f>
        <v>16666.666666666668</v>
      </c>
      <c r="AI27" s="125">
        <f t="shared" si="23"/>
        <v>28827.826333333342</v>
      </c>
      <c r="AK27" s="126">
        <f>IF(A27="","",IF(Periodos_Gracia&gt;0,Tabla!AN27,V27+S27))</f>
        <v>23170.044396356468</v>
      </c>
      <c r="AL27" s="126">
        <f t="shared" si="12"/>
        <v>27150.425000000007</v>
      </c>
      <c r="AM27" s="61">
        <f t="shared" si="24"/>
        <v>10</v>
      </c>
      <c r="AN27" s="127">
        <f>IF(A27="","",IF(A27&lt;=Periodos_Gracia,Tabla!S27,PPMT(Tasa_Anual/360*Días*(1+I.V.A.),Tabla!AM27,No._De_Pagos_con_periodo_de_gracia,-Monto_Crédito)+S27))</f>
        <v>23170.044396356468</v>
      </c>
      <c r="AO27" s="127">
        <f>IF(A27="","",IF(A27&lt;=Periodos_Gracia,Tabla!AC27,Monto_Crédito/(No._De_Pagos_con_periodo_de_gracia)+AC27))</f>
        <v>27150.425000000007</v>
      </c>
      <c r="AP27" s="117"/>
    </row>
    <row r="28" spans="1:42" x14ac:dyDescent="0.2">
      <c r="A28" s="107">
        <f>IF(A27&lt;Parámetros!$E$6,A27+1,"")</f>
        <v>11</v>
      </c>
      <c r="B28" s="108">
        <f t="shared" si="25"/>
        <v>886523.00507956231</v>
      </c>
      <c r="C28" s="108">
        <f t="shared" si="0"/>
        <v>12259.669542470099</v>
      </c>
      <c r="D28" s="108">
        <f t="shared" si="1"/>
        <v>10934.226990817142</v>
      </c>
      <c r="E28" s="108">
        <f t="shared" si="2"/>
        <v>1749.4763185307427</v>
      </c>
      <c r="F28" s="108">
        <f t="shared" si="3"/>
        <v>24943.372851817981</v>
      </c>
      <c r="G28" s="114">
        <f t="shared" si="13"/>
        <v>874263.33553709218</v>
      </c>
      <c r="H28" s="115">
        <f t="shared" si="14"/>
        <v>1</v>
      </c>
      <c r="I28" s="108">
        <f t="shared" si="26"/>
        <v>833333.33333333372</v>
      </c>
      <c r="J28" s="108">
        <f t="shared" si="4"/>
        <v>16666.666666666668</v>
      </c>
      <c r="K28" s="108">
        <f t="shared" si="5"/>
        <v>10278.194444444449</v>
      </c>
      <c r="L28" s="108">
        <f t="shared" si="6"/>
        <v>1644.5111111111119</v>
      </c>
      <c r="M28" s="108">
        <f t="shared" si="15"/>
        <v>28589.372222222228</v>
      </c>
      <c r="N28" s="114">
        <f t="shared" si="16"/>
        <v>816666.66666666709</v>
      </c>
      <c r="O28" s="60">
        <v>0</v>
      </c>
      <c r="P28" s="116">
        <f t="shared" si="17"/>
        <v>1</v>
      </c>
      <c r="R28" s="117">
        <f t="shared" si="28"/>
        <v>886523.00507956231</v>
      </c>
      <c r="S28" s="118">
        <f t="shared" si="7"/>
        <v>10934.22699081714</v>
      </c>
      <c r="T28" s="118">
        <f t="shared" si="8"/>
        <v>1749.4763185307424</v>
      </c>
      <c r="U28" s="119">
        <f t="shared" si="19"/>
        <v>0</v>
      </c>
      <c r="V28" s="120">
        <f>IF(A28="","",IF(A28&lt;=Periodos_Gracia,0,PPMT(Tasa_Anual/360*Días*(1+I.V.A.),Tabla!AM28,No._De_Pagos_con_periodo_de_gracia,-Monto_Crédito)))</f>
        <v>12259.669542470099</v>
      </c>
      <c r="W28" s="110">
        <f>IF($U$258&lt;=0,V28,IF(SUM($U$18:U28)&lt;=0,V28,PMT($K$5/360*Días,A28,-R28)))</f>
        <v>12259.669542470099</v>
      </c>
      <c r="X28" s="121">
        <f>IF($U$258&lt;=0,W28,IF(SUM($U$18:U28)&lt;=0,V28,PMT($K$5/360*Días,No._De_Pagos_con_periodo_de_gracia,-Monto_Crédito)-S28-T28))</f>
        <v>12259.669542470099</v>
      </c>
      <c r="Y28" s="117">
        <f t="shared" si="20"/>
        <v>12259.669542470099</v>
      </c>
      <c r="Z28" s="61">
        <f>+IF(A28="","",IF(No._de_Pagos-Tabla!A28+1&lt;=0,"",No._de_Pagos-Tabla!A28+1))</f>
        <v>50</v>
      </c>
      <c r="AA28" s="122">
        <f t="shared" si="21"/>
        <v>24943.372851817981</v>
      </c>
      <c r="AB28" s="124">
        <f t="shared" si="27"/>
        <v>833333.33333333372</v>
      </c>
      <c r="AC28" s="124">
        <f t="shared" si="9"/>
        <v>10278.194444444449</v>
      </c>
      <c r="AD28" s="124">
        <f t="shared" si="10"/>
        <v>1644.5111111111119</v>
      </c>
      <c r="AE28" s="119">
        <f t="shared" si="22"/>
        <v>0</v>
      </c>
      <c r="AF28" s="120">
        <f t="shared" si="11"/>
        <v>16666.666666666668</v>
      </c>
      <c r="AG28" s="110">
        <f>IF($U$258&lt;=0,AF28,IF(SUM($U$18:U28)&lt;=0,AF28,PMT($K$5/360*Días,A28,-AA28)))</f>
        <v>16666.666666666668</v>
      </c>
      <c r="AH28" s="121">
        <f>IF(A28&lt;=Periodos_Gracia,0,IF($U$258&lt;=0,AG28,IF(SUM($U$18:U28)&lt;=0,AF28,PMT($K$5/360*Días,No._de_Pagos,-Monto_Crédito)-AC28-AD28)))</f>
        <v>16666.666666666668</v>
      </c>
      <c r="AI28" s="125">
        <f t="shared" si="23"/>
        <v>28589.372222222228</v>
      </c>
      <c r="AK28" s="126">
        <f>IF(A28="","",IF(Periodos_Gracia&gt;0,Tabla!AN28,V28+S28))</f>
        <v>23193.896533287239</v>
      </c>
      <c r="AL28" s="126">
        <f t="shared" si="12"/>
        <v>26944.861111111117</v>
      </c>
      <c r="AM28" s="61">
        <f t="shared" si="24"/>
        <v>11</v>
      </c>
      <c r="AN28" s="127">
        <f>IF(A28="","",IF(A28&lt;=Periodos_Gracia,Tabla!S28,PPMT(Tasa_Anual/360*Días*(1+I.V.A.),Tabla!AM28,No._De_Pagos_con_periodo_de_gracia,-Monto_Crédito)+S28))</f>
        <v>23193.896533287239</v>
      </c>
      <c r="AO28" s="127">
        <f>IF(A28="","",IF(A28&lt;=Periodos_Gracia,Tabla!AC28,Monto_Crédito/(No._De_Pagos_con_periodo_de_gracia)+AC28))</f>
        <v>26944.861111111117</v>
      </c>
      <c r="AP28" s="117"/>
    </row>
    <row r="29" spans="1:42" x14ac:dyDescent="0.2">
      <c r="A29" s="107">
        <f>IF(A28&lt;Parámetros!$E$6,A28+1,"")</f>
        <v>12</v>
      </c>
      <c r="B29" s="108">
        <f t="shared" si="25"/>
        <v>874263.33553709218</v>
      </c>
      <c r="C29" s="108">
        <f t="shared" si="0"/>
        <v>12435.07165866604</v>
      </c>
      <c r="D29" s="108">
        <f t="shared" si="1"/>
        <v>10783.018269958573</v>
      </c>
      <c r="E29" s="108">
        <f t="shared" si="2"/>
        <v>1725.2829231933717</v>
      </c>
      <c r="F29" s="108">
        <f t="shared" si="3"/>
        <v>24943.372851817985</v>
      </c>
      <c r="G29" s="114">
        <f t="shared" si="13"/>
        <v>861828.26387842617</v>
      </c>
      <c r="H29" s="115">
        <f t="shared" si="14"/>
        <v>1</v>
      </c>
      <c r="I29" s="108">
        <f t="shared" si="26"/>
        <v>816666.66666666709</v>
      </c>
      <c r="J29" s="108">
        <f t="shared" si="4"/>
        <v>16666.666666666668</v>
      </c>
      <c r="K29" s="108">
        <f t="shared" si="5"/>
        <v>10072.630555555561</v>
      </c>
      <c r="L29" s="108">
        <f t="shared" si="6"/>
        <v>1611.6208888888898</v>
      </c>
      <c r="M29" s="108">
        <f t="shared" si="15"/>
        <v>28350.918111111121</v>
      </c>
      <c r="N29" s="114">
        <f t="shared" si="16"/>
        <v>800000.00000000047</v>
      </c>
      <c r="O29" s="60">
        <v>0</v>
      </c>
      <c r="P29" s="116">
        <f t="shared" si="17"/>
        <v>1</v>
      </c>
      <c r="R29" s="117">
        <f t="shared" si="28"/>
        <v>874263.33553709218</v>
      </c>
      <c r="S29" s="118">
        <f t="shared" si="7"/>
        <v>10783.018269958573</v>
      </c>
      <c r="T29" s="118">
        <f t="shared" si="8"/>
        <v>1725.2829231933717</v>
      </c>
      <c r="U29" s="119">
        <f t="shared" si="19"/>
        <v>0</v>
      </c>
      <c r="V29" s="120">
        <f>IF(A29="","",IF(A29&lt;=Periodos_Gracia,0,PPMT(Tasa_Anual/360*Días*(1+I.V.A.),Tabla!AM29,No._De_Pagos_con_periodo_de_gracia,-Monto_Crédito)))</f>
        <v>12435.07165866604</v>
      </c>
      <c r="W29" s="110">
        <f>IF($U$258&lt;=0,V29,IF(SUM($U$18:U29)&lt;=0,V29,PMT($K$5/360*Días,A29,-R29)))</f>
        <v>12435.07165866604</v>
      </c>
      <c r="X29" s="121">
        <f>IF($U$258&lt;=0,W29,IF(SUM($U$18:U29)&lt;=0,V29,PMT($K$5/360*Días,No._De_Pagos_con_periodo_de_gracia,-Monto_Crédito)-S29-T29))</f>
        <v>12435.07165866604</v>
      </c>
      <c r="Y29" s="117">
        <f t="shared" si="20"/>
        <v>12435.07165866604</v>
      </c>
      <c r="Z29" s="61">
        <f>+IF(A29="","",IF(No._de_Pagos-Tabla!A29+1&lt;=0,"",No._de_Pagos-Tabla!A29+1))</f>
        <v>49</v>
      </c>
      <c r="AA29" s="122">
        <f t="shared" si="21"/>
        <v>24943.372851817985</v>
      </c>
      <c r="AB29" s="124">
        <f t="shared" si="27"/>
        <v>816666.66666666709</v>
      </c>
      <c r="AC29" s="124">
        <f t="shared" si="9"/>
        <v>10072.630555555561</v>
      </c>
      <c r="AD29" s="124">
        <f t="shared" si="10"/>
        <v>1611.6208888888898</v>
      </c>
      <c r="AE29" s="119">
        <f t="shared" si="22"/>
        <v>0</v>
      </c>
      <c r="AF29" s="120">
        <f t="shared" si="11"/>
        <v>16666.666666666668</v>
      </c>
      <c r="AG29" s="110">
        <f>IF($U$258&lt;=0,AF29,IF(SUM($U$18:U29)&lt;=0,AF29,PMT($K$5/360*Días,A29,-AA29)))</f>
        <v>16666.666666666668</v>
      </c>
      <c r="AH29" s="121">
        <f>IF(A29&lt;=Periodos_Gracia,0,IF($U$258&lt;=0,AG29,IF(SUM($U$18:U29)&lt;=0,AF29,PMT($K$5/360*Días,No._de_Pagos,-Monto_Crédito)-AC29-AD29)))</f>
        <v>16666.666666666668</v>
      </c>
      <c r="AI29" s="125">
        <f t="shared" si="23"/>
        <v>28350.918111111121</v>
      </c>
      <c r="AK29" s="126">
        <f>IF(A29="","",IF(Periodos_Gracia&gt;0,Tabla!AN29,V29+S29))</f>
        <v>23218.089928624613</v>
      </c>
      <c r="AL29" s="126">
        <f t="shared" si="12"/>
        <v>26739.297222222231</v>
      </c>
      <c r="AM29" s="61">
        <f t="shared" si="24"/>
        <v>12</v>
      </c>
      <c r="AN29" s="127">
        <f>IF(A29="","",IF(A29&lt;=Periodos_Gracia,Tabla!S29,PPMT(Tasa_Anual/360*Días*(1+I.V.A.),Tabla!AM29,No._De_Pagos_con_periodo_de_gracia,-Monto_Crédito)+S29))</f>
        <v>23218.089928624613</v>
      </c>
      <c r="AO29" s="127">
        <f>IF(A29="","",IF(A29&lt;=Periodos_Gracia,Tabla!AC29,Monto_Crédito/(No._De_Pagos_con_periodo_de_gracia)+AC29))</f>
        <v>26739.297222222231</v>
      </c>
      <c r="AP29" s="117"/>
    </row>
    <row r="30" spans="1:42" x14ac:dyDescent="0.2">
      <c r="A30" s="107">
        <f>IF(A29&lt;Parámetros!$E$6,A29+1,"")</f>
        <v>13</v>
      </c>
      <c r="B30" s="108">
        <f t="shared" si="25"/>
        <v>861828.26387842617</v>
      </c>
      <c r="C30" s="108">
        <f t="shared" si="0"/>
        <v>12612.983296204251</v>
      </c>
      <c r="D30" s="108">
        <f t="shared" si="1"/>
        <v>10629.646168632529</v>
      </c>
      <c r="E30" s="108">
        <f t="shared" si="2"/>
        <v>1700.7433869812048</v>
      </c>
      <c r="F30" s="108">
        <f t="shared" si="3"/>
        <v>24943.372851817985</v>
      </c>
      <c r="G30" s="114">
        <f t="shared" si="13"/>
        <v>849215.28058222192</v>
      </c>
      <c r="H30" s="115">
        <f t="shared" si="14"/>
        <v>1</v>
      </c>
      <c r="I30" s="108">
        <f t="shared" si="26"/>
        <v>800000.00000000047</v>
      </c>
      <c r="J30" s="108">
        <f t="shared" si="4"/>
        <v>16666.666666666668</v>
      </c>
      <c r="K30" s="108">
        <f t="shared" si="5"/>
        <v>9867.0666666666712</v>
      </c>
      <c r="L30" s="108">
        <f t="shared" si="6"/>
        <v>1578.7306666666675</v>
      </c>
      <c r="M30" s="108">
        <f t="shared" si="15"/>
        <v>28112.464000000004</v>
      </c>
      <c r="N30" s="114">
        <f t="shared" si="16"/>
        <v>783333.33333333384</v>
      </c>
      <c r="O30" s="60">
        <v>0</v>
      </c>
      <c r="P30" s="116">
        <f t="shared" si="17"/>
        <v>1</v>
      </c>
      <c r="R30" s="117">
        <f t="shared" si="28"/>
        <v>861828.26387842617</v>
      </c>
      <c r="S30" s="118">
        <f t="shared" si="7"/>
        <v>10629.646168632529</v>
      </c>
      <c r="T30" s="118">
        <f t="shared" si="8"/>
        <v>1700.7433869812048</v>
      </c>
      <c r="U30" s="119">
        <f t="shared" si="19"/>
        <v>0</v>
      </c>
      <c r="V30" s="120">
        <f>IF(A30="","",IF(A30&lt;=Periodos_Gracia,0,PPMT(Tasa_Anual/360*Días*(1+I.V.A.),Tabla!AM30,No._De_Pagos_con_periodo_de_gracia,-Monto_Crédito)))</f>
        <v>12612.983296204251</v>
      </c>
      <c r="W30" s="110">
        <f>IF($U$258&lt;=0,V30,IF(SUM($U$18:U30)&lt;=0,V30,PMT($K$5/360*Días,A30,-R30)))</f>
        <v>12612.983296204251</v>
      </c>
      <c r="X30" s="121">
        <f>IF($U$258&lt;=0,W30,IF(SUM($U$18:U30)&lt;=0,V30,PMT($K$5/360*Días,No._De_Pagos_con_periodo_de_gracia,-Monto_Crédito)-S30-T30))</f>
        <v>12612.983296204251</v>
      </c>
      <c r="Y30" s="117">
        <f t="shared" si="20"/>
        <v>12612.983296204251</v>
      </c>
      <c r="Z30" s="61">
        <f>+IF(A30="","",IF(No._de_Pagos-Tabla!A30+1&lt;=0,"",No._de_Pagos-Tabla!A30+1))</f>
        <v>48</v>
      </c>
      <c r="AA30" s="122">
        <f t="shared" si="21"/>
        <v>24943.372851817985</v>
      </c>
      <c r="AB30" s="124">
        <f t="shared" si="27"/>
        <v>800000.00000000047</v>
      </c>
      <c r="AC30" s="124">
        <f t="shared" si="9"/>
        <v>9867.066666666673</v>
      </c>
      <c r="AD30" s="124">
        <f t="shared" si="10"/>
        <v>1578.7306666666677</v>
      </c>
      <c r="AE30" s="119">
        <f t="shared" si="22"/>
        <v>0</v>
      </c>
      <c r="AF30" s="120">
        <f t="shared" si="11"/>
        <v>16666.666666666668</v>
      </c>
      <c r="AG30" s="110">
        <f>IF($U$258&lt;=0,AF30,IF(SUM($U$18:U30)&lt;=0,AF30,PMT($K$5/360*Días,A30,-AA30)))</f>
        <v>16666.666666666668</v>
      </c>
      <c r="AH30" s="121">
        <f>IF(A30&lt;=Periodos_Gracia,0,IF($U$258&lt;=0,AG30,IF(SUM($U$18:U30)&lt;=0,AF30,PMT($K$5/360*Días,No._de_Pagos,-Monto_Crédito)-AC30-AD30)))</f>
        <v>16666.666666666668</v>
      </c>
      <c r="AI30" s="125">
        <f t="shared" si="23"/>
        <v>28112.464000000007</v>
      </c>
      <c r="AK30" s="126">
        <f>IF(A30="","",IF(Periodos_Gracia&gt;0,Tabla!AN30,V30+S30))</f>
        <v>23242.62946483678</v>
      </c>
      <c r="AL30" s="126">
        <f t="shared" si="12"/>
        <v>26533.733333333341</v>
      </c>
      <c r="AM30" s="61">
        <f t="shared" si="24"/>
        <v>13</v>
      </c>
      <c r="AN30" s="127">
        <f>IF(A30="","",IF(A30&lt;=Periodos_Gracia,Tabla!S30,PPMT(Tasa_Anual/360*Días*(1+I.V.A.),Tabla!AM30,No._De_Pagos_con_periodo_de_gracia,-Monto_Crédito)+S30))</f>
        <v>23242.62946483678</v>
      </c>
      <c r="AO30" s="127">
        <f>IF(A30="","",IF(A30&lt;=Periodos_Gracia,Tabla!AC30,Monto_Crédito/(No._De_Pagos_con_periodo_de_gracia)+AC30))</f>
        <v>26533.733333333341</v>
      </c>
      <c r="AP30" s="117"/>
    </row>
    <row r="31" spans="1:42" x14ac:dyDescent="0.2">
      <c r="A31" s="107">
        <f>IF(A30&lt;Parámetros!$E$6,A30+1,"")</f>
        <v>14</v>
      </c>
      <c r="B31" s="108">
        <f t="shared" si="25"/>
        <v>849215.28058222192</v>
      </c>
      <c r="C31" s="108">
        <f t="shared" si="0"/>
        <v>12793.440359425591</v>
      </c>
      <c r="D31" s="108">
        <f t="shared" si="1"/>
        <v>10474.079734821027</v>
      </c>
      <c r="E31" s="108">
        <f t="shared" si="2"/>
        <v>1675.8527575713645</v>
      </c>
      <c r="F31" s="108">
        <f t="shared" si="3"/>
        <v>24943.372851817981</v>
      </c>
      <c r="G31" s="114">
        <f t="shared" si="13"/>
        <v>836421.84022279631</v>
      </c>
      <c r="H31" s="115">
        <f t="shared" si="14"/>
        <v>1</v>
      </c>
      <c r="I31" s="108">
        <f t="shared" si="26"/>
        <v>783333.33333333384</v>
      </c>
      <c r="J31" s="108">
        <f t="shared" si="4"/>
        <v>16666.666666666668</v>
      </c>
      <c r="K31" s="108">
        <f t="shared" si="5"/>
        <v>9661.502777777785</v>
      </c>
      <c r="L31" s="108">
        <f t="shared" si="6"/>
        <v>1545.8404444444457</v>
      </c>
      <c r="M31" s="108">
        <f t="shared" si="15"/>
        <v>27874.009888888897</v>
      </c>
      <c r="N31" s="114">
        <f t="shared" si="16"/>
        <v>766666.66666666721</v>
      </c>
      <c r="O31" s="60">
        <v>0</v>
      </c>
      <c r="P31" s="116">
        <f t="shared" si="17"/>
        <v>1</v>
      </c>
      <c r="R31" s="117">
        <f t="shared" si="28"/>
        <v>849215.28058222192</v>
      </c>
      <c r="S31" s="118">
        <f t="shared" si="7"/>
        <v>10474.079734821029</v>
      </c>
      <c r="T31" s="118">
        <f t="shared" si="8"/>
        <v>1675.8527575713647</v>
      </c>
      <c r="U31" s="119">
        <f t="shared" si="19"/>
        <v>0</v>
      </c>
      <c r="V31" s="120">
        <f>IF(A31="","",IF(A31&lt;=Periodos_Gracia,0,PPMT(Tasa_Anual/360*Días*(1+I.V.A.),Tabla!AM31,No._De_Pagos_con_periodo_de_gracia,-Monto_Crédito)))</f>
        <v>12793.440359425591</v>
      </c>
      <c r="W31" s="110">
        <f>IF($U$258&lt;=0,V31,IF(SUM($U$18:U31)&lt;=0,V31,PMT($K$5/360*Días,A31,-R31)))</f>
        <v>12793.440359425591</v>
      </c>
      <c r="X31" s="121">
        <f>IF($U$258&lt;=0,W31,IF(SUM($U$18:U31)&lt;=0,V31,PMT($K$5/360*Días,No._De_Pagos_con_periodo_de_gracia,-Monto_Crédito)-S31-T31))</f>
        <v>12793.440359425591</v>
      </c>
      <c r="Y31" s="117">
        <f t="shared" si="20"/>
        <v>12793.440359425591</v>
      </c>
      <c r="Z31" s="61">
        <f>+IF(A31="","",IF(No._de_Pagos-Tabla!A31+1&lt;=0,"",No._de_Pagos-Tabla!A31+1))</f>
        <v>47</v>
      </c>
      <c r="AA31" s="122">
        <f t="shared" si="21"/>
        <v>24943.372851817981</v>
      </c>
      <c r="AB31" s="124">
        <f t="shared" si="27"/>
        <v>783333.33333333384</v>
      </c>
      <c r="AC31" s="124">
        <f t="shared" si="9"/>
        <v>9661.502777777785</v>
      </c>
      <c r="AD31" s="124">
        <f t="shared" si="10"/>
        <v>1545.8404444444457</v>
      </c>
      <c r="AE31" s="119">
        <f t="shared" si="22"/>
        <v>0</v>
      </c>
      <c r="AF31" s="120">
        <f t="shared" si="11"/>
        <v>16666.666666666668</v>
      </c>
      <c r="AG31" s="110">
        <f>IF($U$258&lt;=0,AF31,IF(SUM($U$18:U31)&lt;=0,AF31,PMT($K$5/360*Días,A31,-AA31)))</f>
        <v>16666.666666666668</v>
      </c>
      <c r="AH31" s="121">
        <f>IF(A31&lt;=Periodos_Gracia,0,IF($U$258&lt;=0,AG31,IF(SUM($U$18:U31)&lt;=0,AF31,PMT($K$5/360*Días,No._de_Pagos,-Monto_Crédito)-AC31-AD31)))</f>
        <v>16666.666666666668</v>
      </c>
      <c r="AI31" s="125">
        <f t="shared" si="23"/>
        <v>27874.009888888897</v>
      </c>
      <c r="AK31" s="126">
        <f>IF(A31="","",IF(Periodos_Gracia&gt;0,Tabla!AN31,V31+S31))</f>
        <v>23267.520094246618</v>
      </c>
      <c r="AL31" s="126">
        <f t="shared" si="12"/>
        <v>26328.169444444451</v>
      </c>
      <c r="AM31" s="61">
        <f t="shared" si="24"/>
        <v>14</v>
      </c>
      <c r="AN31" s="127">
        <f>IF(A31="","",IF(A31&lt;=Periodos_Gracia,Tabla!S31,PPMT(Tasa_Anual/360*Días*(1+I.V.A.),Tabla!AM31,No._De_Pagos_con_periodo_de_gracia,-Monto_Crédito)+S31))</f>
        <v>23267.520094246618</v>
      </c>
      <c r="AO31" s="127">
        <f>IF(A31="","",IF(A31&lt;=Periodos_Gracia,Tabla!AC31,Monto_Crédito/(No._De_Pagos_con_periodo_de_gracia)+AC31))</f>
        <v>26328.169444444451</v>
      </c>
      <c r="AP31" s="117"/>
    </row>
    <row r="32" spans="1:42" x14ac:dyDescent="0.2">
      <c r="A32" s="107">
        <f>IF(A31&lt;Parámetros!$E$6,A31+1,"")</f>
        <v>15</v>
      </c>
      <c r="B32" s="108">
        <f t="shared" si="25"/>
        <v>836421.84022279631</v>
      </c>
      <c r="C32" s="108">
        <f t="shared" si="0"/>
        <v>12976.479266363183</v>
      </c>
      <c r="D32" s="108">
        <f t="shared" si="1"/>
        <v>10316.287573667933</v>
      </c>
      <c r="E32" s="108">
        <f t="shared" si="2"/>
        <v>1650.6060117868692</v>
      </c>
      <c r="F32" s="108">
        <f t="shared" si="3"/>
        <v>24943.372851817985</v>
      </c>
      <c r="G32" s="114">
        <f t="shared" si="13"/>
        <v>823445.36095643311</v>
      </c>
      <c r="H32" s="115">
        <f t="shared" si="14"/>
        <v>1</v>
      </c>
      <c r="I32" s="108">
        <f t="shared" si="26"/>
        <v>766666.66666666721</v>
      </c>
      <c r="J32" s="108">
        <f t="shared" si="4"/>
        <v>16666.666666666668</v>
      </c>
      <c r="K32" s="108">
        <f t="shared" si="5"/>
        <v>9455.9388888888952</v>
      </c>
      <c r="L32" s="108">
        <f t="shared" si="6"/>
        <v>1512.9502222222234</v>
      </c>
      <c r="M32" s="108">
        <f t="shared" si="15"/>
        <v>27635.555777777787</v>
      </c>
      <c r="N32" s="114">
        <f t="shared" si="16"/>
        <v>750000.00000000058</v>
      </c>
      <c r="O32" s="60">
        <v>0</v>
      </c>
      <c r="P32" s="116">
        <f t="shared" si="17"/>
        <v>1</v>
      </c>
      <c r="R32" s="117">
        <f t="shared" si="28"/>
        <v>836421.84022279631</v>
      </c>
      <c r="S32" s="118">
        <f t="shared" si="7"/>
        <v>10316.287573667933</v>
      </c>
      <c r="T32" s="118">
        <f t="shared" si="8"/>
        <v>1650.6060117868692</v>
      </c>
      <c r="U32" s="119">
        <f t="shared" si="19"/>
        <v>0</v>
      </c>
      <c r="V32" s="120">
        <f>IF(A32="","",IF(A32&lt;=Periodos_Gracia,0,PPMT(Tasa_Anual/360*Días*(1+I.V.A.),Tabla!AM32,No._De_Pagos_con_periodo_de_gracia,-Monto_Crédito)))</f>
        <v>12976.479266363183</v>
      </c>
      <c r="W32" s="110">
        <f>IF($U$258&lt;=0,V32,IF(SUM($U$18:U32)&lt;=0,V32,PMT($K$5/360*Días,A32,-R32)))</f>
        <v>12976.479266363183</v>
      </c>
      <c r="X32" s="121">
        <f>IF($U$258&lt;=0,W32,IF(SUM($U$18:U32)&lt;=0,V32,PMT($K$5/360*Días,No._De_Pagos_con_periodo_de_gracia,-Monto_Crédito)-S32-T32))</f>
        <v>12976.479266363183</v>
      </c>
      <c r="Y32" s="117">
        <f t="shared" si="20"/>
        <v>12976.479266363183</v>
      </c>
      <c r="Z32" s="61">
        <f>+IF(A32="","",IF(No._de_Pagos-Tabla!A32+1&lt;=0,"",No._de_Pagos-Tabla!A32+1))</f>
        <v>46</v>
      </c>
      <c r="AA32" s="122">
        <f t="shared" si="21"/>
        <v>24943.372851817985</v>
      </c>
      <c r="AB32" s="124">
        <f t="shared" si="27"/>
        <v>766666.66666666721</v>
      </c>
      <c r="AC32" s="124">
        <f t="shared" si="9"/>
        <v>9455.9388888888952</v>
      </c>
      <c r="AD32" s="124">
        <f t="shared" si="10"/>
        <v>1512.9502222222234</v>
      </c>
      <c r="AE32" s="119">
        <f t="shared" si="22"/>
        <v>0</v>
      </c>
      <c r="AF32" s="120">
        <f t="shared" si="11"/>
        <v>16666.666666666668</v>
      </c>
      <c r="AG32" s="110">
        <f>IF($U$258&lt;=0,AF32,IF(SUM($U$18:U32)&lt;=0,AF32,PMT($K$5/360*Días,A32,-AA32)))</f>
        <v>16666.666666666668</v>
      </c>
      <c r="AH32" s="121">
        <f>IF(A32&lt;=Periodos_Gracia,0,IF($U$258&lt;=0,AG32,IF(SUM($U$18:U32)&lt;=0,AF32,PMT($K$5/360*Días,No._de_Pagos,-Monto_Crédito)-AC32-AD32)))</f>
        <v>16666.666666666668</v>
      </c>
      <c r="AI32" s="125">
        <f t="shared" si="23"/>
        <v>27635.555777777787</v>
      </c>
      <c r="AK32" s="126">
        <f>IF(A32="","",IF(Periodos_Gracia&gt;0,Tabla!AN32,V32+S32))</f>
        <v>23292.766840031116</v>
      </c>
      <c r="AL32" s="126">
        <f t="shared" si="12"/>
        <v>26122.605555555565</v>
      </c>
      <c r="AM32" s="61">
        <f t="shared" si="24"/>
        <v>15</v>
      </c>
      <c r="AN32" s="127">
        <f>IF(A32="","",IF(A32&lt;=Periodos_Gracia,Tabla!S32,PPMT(Tasa_Anual/360*Días*(1+I.V.A.),Tabla!AM32,No._De_Pagos_con_periodo_de_gracia,-Monto_Crédito)+S32))</f>
        <v>23292.766840031116</v>
      </c>
      <c r="AO32" s="127">
        <f>IF(A32="","",IF(A32&lt;=Periodos_Gracia,Tabla!AC32,Monto_Crédito/(No._De_Pagos_con_periodo_de_gracia)+AC32))</f>
        <v>26122.605555555565</v>
      </c>
      <c r="AP32" s="117"/>
    </row>
    <row r="33" spans="1:42" x14ac:dyDescent="0.2">
      <c r="A33" s="107">
        <f>IF(A32&lt;Parámetros!$E$6,A32+1,"")</f>
        <v>16</v>
      </c>
      <c r="B33" s="108">
        <f t="shared" si="25"/>
        <v>823445.36095643311</v>
      </c>
      <c r="C33" s="108">
        <f t="shared" si="0"/>
        <v>13162.136956091927</v>
      </c>
      <c r="D33" s="108">
        <f t="shared" si="1"/>
        <v>10156.237841143153</v>
      </c>
      <c r="E33" s="108">
        <f t="shared" si="2"/>
        <v>1624.9980545829044</v>
      </c>
      <c r="F33" s="108">
        <f t="shared" si="3"/>
        <v>24943.372851817985</v>
      </c>
      <c r="G33" s="114">
        <f t="shared" si="13"/>
        <v>810283.22400034114</v>
      </c>
      <c r="H33" s="115">
        <f t="shared" si="14"/>
        <v>1</v>
      </c>
      <c r="I33" s="108">
        <f t="shared" si="26"/>
        <v>750000.00000000058</v>
      </c>
      <c r="J33" s="108">
        <f t="shared" si="4"/>
        <v>16666.666666666668</v>
      </c>
      <c r="K33" s="108">
        <f t="shared" si="5"/>
        <v>9250.3750000000073</v>
      </c>
      <c r="L33" s="108">
        <f t="shared" si="6"/>
        <v>1480.0600000000011</v>
      </c>
      <c r="M33" s="108">
        <f t="shared" si="15"/>
        <v>27397.101666666676</v>
      </c>
      <c r="N33" s="114">
        <f t="shared" si="16"/>
        <v>733333.33333333395</v>
      </c>
      <c r="O33" s="60">
        <v>0</v>
      </c>
      <c r="P33" s="116">
        <f t="shared" si="17"/>
        <v>1</v>
      </c>
      <c r="R33" s="117">
        <f t="shared" si="28"/>
        <v>823445.36095643311</v>
      </c>
      <c r="S33" s="118">
        <f t="shared" si="7"/>
        <v>10156.237841143153</v>
      </c>
      <c r="T33" s="118">
        <f t="shared" si="8"/>
        <v>1624.9980545829044</v>
      </c>
      <c r="U33" s="119">
        <f t="shared" si="19"/>
        <v>0</v>
      </c>
      <c r="V33" s="120">
        <f>IF(A33="","",IF(A33&lt;=Periodos_Gracia,0,PPMT(Tasa_Anual/360*Días*(1+I.V.A.),Tabla!AM33,No._De_Pagos_con_periodo_de_gracia,-Monto_Crédito)))</f>
        <v>13162.136956091927</v>
      </c>
      <c r="W33" s="110">
        <f>IF($U$258&lt;=0,V33,IF(SUM($U$18:U33)&lt;=0,V33,PMT($K$5/360*Días,A33,-R33)))</f>
        <v>13162.136956091927</v>
      </c>
      <c r="X33" s="121">
        <f>IF($U$258&lt;=0,W33,IF(SUM($U$18:U33)&lt;=0,V33,PMT($K$5/360*Días,No._De_Pagos_con_periodo_de_gracia,-Monto_Crédito)-S33-T33))</f>
        <v>13162.136956091927</v>
      </c>
      <c r="Y33" s="117">
        <f t="shared" si="20"/>
        <v>13162.136956091927</v>
      </c>
      <c r="Z33" s="61">
        <f>+IF(A33="","",IF(No._de_Pagos-Tabla!A33+1&lt;=0,"",No._de_Pagos-Tabla!A33+1))</f>
        <v>45</v>
      </c>
      <c r="AA33" s="122">
        <f t="shared" si="21"/>
        <v>24943.372851817985</v>
      </c>
      <c r="AB33" s="124">
        <f t="shared" si="27"/>
        <v>750000.00000000058</v>
      </c>
      <c r="AC33" s="124">
        <f t="shared" si="9"/>
        <v>9250.3750000000073</v>
      </c>
      <c r="AD33" s="124">
        <f t="shared" si="10"/>
        <v>1480.0600000000011</v>
      </c>
      <c r="AE33" s="119">
        <f t="shared" si="22"/>
        <v>0</v>
      </c>
      <c r="AF33" s="120">
        <f t="shared" si="11"/>
        <v>16666.666666666668</v>
      </c>
      <c r="AG33" s="110">
        <f>IF($U$258&lt;=0,AF33,IF(SUM($U$18:U33)&lt;=0,AF33,PMT($K$5/360*Días,A33,-AA33)))</f>
        <v>16666.666666666668</v>
      </c>
      <c r="AH33" s="121">
        <f>IF(A33&lt;=Periodos_Gracia,0,IF($U$258&lt;=0,AG33,IF(SUM($U$18:U33)&lt;=0,AF33,PMT($K$5/360*Días,No._de_Pagos,-Monto_Crédito)-AC33-AD33)))</f>
        <v>16666.666666666668</v>
      </c>
      <c r="AI33" s="125">
        <f t="shared" si="23"/>
        <v>27397.101666666676</v>
      </c>
      <c r="AK33" s="126">
        <f>IF(A33="","",IF(Periodos_Gracia&gt;0,Tabla!AN33,V33+S33))</f>
        <v>23318.374797235079</v>
      </c>
      <c r="AL33" s="126">
        <f t="shared" si="12"/>
        <v>25917.041666666675</v>
      </c>
      <c r="AM33" s="61">
        <f t="shared" si="24"/>
        <v>16</v>
      </c>
      <c r="AN33" s="127">
        <f>IF(A33="","",IF(A33&lt;=Periodos_Gracia,Tabla!S33,PPMT(Tasa_Anual/360*Días*(1+I.V.A.),Tabla!AM33,No._De_Pagos_con_periodo_de_gracia,-Monto_Crédito)+S33))</f>
        <v>23318.374797235079</v>
      </c>
      <c r="AO33" s="127">
        <f>IF(A33="","",IF(A33&lt;=Periodos_Gracia,Tabla!AC33,Monto_Crédito/(No._De_Pagos_con_periodo_de_gracia)+AC33))</f>
        <v>25917.041666666675</v>
      </c>
      <c r="AP33" s="117"/>
    </row>
    <row r="34" spans="1:42" x14ac:dyDescent="0.2">
      <c r="A34" s="107">
        <f>IF(A33&lt;Parámetros!$E$6,A33+1,"")</f>
        <v>17</v>
      </c>
      <c r="B34" s="108">
        <f t="shared" si="25"/>
        <v>810283.22400034114</v>
      </c>
      <c r="C34" s="108">
        <f t="shared" si="0"/>
        <v>13350.45089618318</v>
      </c>
      <c r="D34" s="108">
        <f t="shared" si="1"/>
        <v>9993.8982376162076</v>
      </c>
      <c r="E34" s="108">
        <f t="shared" si="2"/>
        <v>1599.0237180185932</v>
      </c>
      <c r="F34" s="108">
        <f t="shared" si="3"/>
        <v>24943.372851817981</v>
      </c>
      <c r="G34" s="114">
        <f t="shared" si="13"/>
        <v>796932.773104158</v>
      </c>
      <c r="H34" s="115">
        <f t="shared" si="14"/>
        <v>1</v>
      </c>
      <c r="I34" s="108">
        <f t="shared" si="26"/>
        <v>733333.33333333395</v>
      </c>
      <c r="J34" s="108">
        <f t="shared" si="4"/>
        <v>16666.666666666668</v>
      </c>
      <c r="K34" s="108">
        <f t="shared" si="5"/>
        <v>9044.8111111111193</v>
      </c>
      <c r="L34" s="108">
        <f t="shared" si="6"/>
        <v>1447.169777777779</v>
      </c>
      <c r="M34" s="108">
        <f t="shared" si="15"/>
        <v>27158.647555555566</v>
      </c>
      <c r="N34" s="114">
        <f t="shared" si="16"/>
        <v>716666.66666666733</v>
      </c>
      <c r="O34" s="60">
        <v>0</v>
      </c>
      <c r="P34" s="116">
        <f t="shared" si="17"/>
        <v>1</v>
      </c>
      <c r="R34" s="117">
        <f t="shared" si="28"/>
        <v>810283.22400034114</v>
      </c>
      <c r="S34" s="118">
        <f t="shared" si="7"/>
        <v>9993.8982376162057</v>
      </c>
      <c r="T34" s="118">
        <f t="shared" si="8"/>
        <v>1599.0237180185929</v>
      </c>
      <c r="U34" s="119">
        <f t="shared" si="19"/>
        <v>0</v>
      </c>
      <c r="V34" s="120">
        <f>IF(A34="","",IF(A34&lt;=Periodos_Gracia,0,PPMT(Tasa_Anual/360*Días*(1+I.V.A.),Tabla!AM34,No._De_Pagos_con_periodo_de_gracia,-Monto_Crédito)))</f>
        <v>13350.45089618318</v>
      </c>
      <c r="W34" s="110">
        <f>IF($U$258&lt;=0,V34,IF(SUM($U$18:U34)&lt;=0,V34,PMT($K$5/360*Días,A34,-R34)))</f>
        <v>13350.45089618318</v>
      </c>
      <c r="X34" s="121">
        <f>IF($U$258&lt;=0,W34,IF(SUM($U$18:U34)&lt;=0,V34,PMT($K$5/360*Días,No._De_Pagos_con_periodo_de_gracia,-Monto_Crédito)-S34-T34))</f>
        <v>13350.45089618318</v>
      </c>
      <c r="Y34" s="117">
        <f t="shared" si="20"/>
        <v>13350.45089618318</v>
      </c>
      <c r="Z34" s="61">
        <f>+IF(A34="","",IF(No._de_Pagos-Tabla!A34+1&lt;=0,"",No._de_Pagos-Tabla!A34+1))</f>
        <v>44</v>
      </c>
      <c r="AA34" s="122">
        <f t="shared" si="21"/>
        <v>24943.372851817978</v>
      </c>
      <c r="AB34" s="124">
        <f t="shared" si="27"/>
        <v>733333.33333333395</v>
      </c>
      <c r="AC34" s="124">
        <f t="shared" si="9"/>
        <v>9044.8111111111193</v>
      </c>
      <c r="AD34" s="124">
        <f t="shared" si="10"/>
        <v>1447.169777777779</v>
      </c>
      <c r="AE34" s="119">
        <f t="shared" si="22"/>
        <v>0</v>
      </c>
      <c r="AF34" s="120">
        <f t="shared" si="11"/>
        <v>16666.666666666668</v>
      </c>
      <c r="AG34" s="110">
        <f>IF($U$258&lt;=0,AF34,IF(SUM($U$18:U34)&lt;=0,AF34,PMT($K$5/360*Días,A34,-AA34)))</f>
        <v>16666.666666666668</v>
      </c>
      <c r="AH34" s="121">
        <f>IF(A34&lt;=Periodos_Gracia,0,IF($U$258&lt;=0,AG34,IF(SUM($U$18:U34)&lt;=0,AF34,PMT($K$5/360*Días,No._de_Pagos,-Monto_Crédito)-AC34-AD34)))</f>
        <v>16666.666666666668</v>
      </c>
      <c r="AI34" s="125">
        <f t="shared" si="23"/>
        <v>27158.647555555566</v>
      </c>
      <c r="AK34" s="126">
        <f>IF(A34="","",IF(Periodos_Gracia&gt;0,Tabla!AN34,V34+S34))</f>
        <v>23344.349133799384</v>
      </c>
      <c r="AL34" s="126">
        <f t="shared" si="12"/>
        <v>25711.477777777785</v>
      </c>
      <c r="AM34" s="61">
        <f t="shared" si="24"/>
        <v>17</v>
      </c>
      <c r="AN34" s="127">
        <f>IF(A34="","",IF(A34&lt;=Periodos_Gracia,Tabla!S34,PPMT(Tasa_Anual/360*Días*(1+I.V.A.),Tabla!AM34,No._De_Pagos_con_periodo_de_gracia,-Monto_Crédito)+S34))</f>
        <v>23344.349133799384</v>
      </c>
      <c r="AO34" s="127">
        <f>IF(A34="","",IF(A34&lt;=Periodos_Gracia,Tabla!AC34,Monto_Crédito/(No._De_Pagos_con_periodo_de_gracia)+AC34))</f>
        <v>25711.477777777785</v>
      </c>
      <c r="AP34" s="117"/>
    </row>
    <row r="35" spans="1:42" x14ac:dyDescent="0.2">
      <c r="A35" s="107">
        <f>IF(A34&lt;Parámetros!$E$6,A34+1,"")</f>
        <v>18</v>
      </c>
      <c r="B35" s="108">
        <f t="shared" si="25"/>
        <v>796932.773104158</v>
      </c>
      <c r="C35" s="108">
        <f t="shared" si="0"/>
        <v>13541.459090266097</v>
      </c>
      <c r="D35" s="108">
        <f t="shared" si="1"/>
        <v>9829.2360013378329</v>
      </c>
      <c r="E35" s="108">
        <f t="shared" si="2"/>
        <v>1572.6777602140533</v>
      </c>
      <c r="F35" s="108">
        <f t="shared" si="3"/>
        <v>24943.372851817981</v>
      </c>
      <c r="G35" s="114">
        <f t="shared" si="13"/>
        <v>783391.31401389185</v>
      </c>
      <c r="H35" s="115">
        <f t="shared" si="14"/>
        <v>1</v>
      </c>
      <c r="I35" s="108">
        <f t="shared" si="26"/>
        <v>716666.66666666733</v>
      </c>
      <c r="J35" s="108">
        <f t="shared" si="4"/>
        <v>16666.666666666668</v>
      </c>
      <c r="K35" s="108">
        <f t="shared" si="5"/>
        <v>8839.2472222222295</v>
      </c>
      <c r="L35" s="108">
        <f t="shared" si="6"/>
        <v>1414.2795555555567</v>
      </c>
      <c r="M35" s="108">
        <f t="shared" si="15"/>
        <v>26920.193444444456</v>
      </c>
      <c r="N35" s="114">
        <f t="shared" si="16"/>
        <v>700000.0000000007</v>
      </c>
      <c r="O35" s="60">
        <v>0</v>
      </c>
      <c r="P35" s="116">
        <f t="shared" si="17"/>
        <v>1</v>
      </c>
      <c r="R35" s="117">
        <f t="shared" si="28"/>
        <v>796932.773104158</v>
      </c>
      <c r="S35" s="118">
        <f t="shared" si="7"/>
        <v>9829.2360013378329</v>
      </c>
      <c r="T35" s="118">
        <f t="shared" si="8"/>
        <v>1572.6777602140533</v>
      </c>
      <c r="U35" s="119">
        <f t="shared" si="19"/>
        <v>0</v>
      </c>
      <c r="V35" s="120">
        <f>IF(A35="","",IF(A35&lt;=Periodos_Gracia,0,PPMT(Tasa_Anual/360*Días*(1+I.V.A.),Tabla!AM35,No._De_Pagos_con_periodo_de_gracia,-Monto_Crédito)))</f>
        <v>13541.459090266097</v>
      </c>
      <c r="W35" s="110">
        <f>IF($U$258&lt;=0,V35,IF(SUM($U$18:U35)&lt;=0,V35,PMT($K$5/360*Días,A35,-R35)))</f>
        <v>13541.459090266097</v>
      </c>
      <c r="X35" s="121">
        <f>IF($U$258&lt;=0,W35,IF(SUM($U$18:U35)&lt;=0,V35,PMT($K$5/360*Días,No._De_Pagos_con_periodo_de_gracia,-Monto_Crédito)-S35-T35))</f>
        <v>13541.459090266097</v>
      </c>
      <c r="Y35" s="117">
        <f t="shared" si="20"/>
        <v>13541.459090266097</v>
      </c>
      <c r="Z35" s="61">
        <f>+IF(A35="","",IF(No._de_Pagos-Tabla!A35+1&lt;=0,"",No._de_Pagos-Tabla!A35+1))</f>
        <v>43</v>
      </c>
      <c r="AA35" s="122">
        <f t="shared" si="21"/>
        <v>24943.372851817981</v>
      </c>
      <c r="AB35" s="124">
        <f t="shared" si="27"/>
        <v>716666.66666666733</v>
      </c>
      <c r="AC35" s="124">
        <f t="shared" si="9"/>
        <v>8839.2472222222314</v>
      </c>
      <c r="AD35" s="124">
        <f t="shared" si="10"/>
        <v>1414.279555555557</v>
      </c>
      <c r="AE35" s="119">
        <f t="shared" si="22"/>
        <v>0</v>
      </c>
      <c r="AF35" s="120">
        <f t="shared" si="11"/>
        <v>16666.666666666668</v>
      </c>
      <c r="AG35" s="110">
        <f>IF($U$258&lt;=0,AF35,IF(SUM($U$18:U35)&lt;=0,AF35,PMT($K$5/360*Días,A35,-AA35)))</f>
        <v>16666.666666666668</v>
      </c>
      <c r="AH35" s="121">
        <f>IF(A35&lt;=Periodos_Gracia,0,IF($U$258&lt;=0,AG35,IF(SUM($U$18:U35)&lt;=0,AF35,PMT($K$5/360*Días,No._de_Pagos,-Monto_Crédito)-AC35-AD35)))</f>
        <v>16666.666666666668</v>
      </c>
      <c r="AI35" s="125">
        <f t="shared" si="23"/>
        <v>26920.193444444456</v>
      </c>
      <c r="AK35" s="126">
        <f>IF(A35="","",IF(Periodos_Gracia&gt;0,Tabla!AN35,V35+S35))</f>
        <v>23370.695091603928</v>
      </c>
      <c r="AL35" s="126">
        <f t="shared" si="12"/>
        <v>25505.913888888899</v>
      </c>
      <c r="AM35" s="61">
        <f t="shared" si="24"/>
        <v>18</v>
      </c>
      <c r="AN35" s="127">
        <f>IF(A35="","",IF(A35&lt;=Periodos_Gracia,Tabla!S35,PPMT(Tasa_Anual/360*Días*(1+I.V.A.),Tabla!AM35,No._De_Pagos_con_periodo_de_gracia,-Monto_Crédito)+S35))</f>
        <v>23370.695091603928</v>
      </c>
      <c r="AO35" s="127">
        <f>IF(A35="","",IF(A35&lt;=Periodos_Gracia,Tabla!AC35,Monto_Crédito/(No._De_Pagos_con_periodo_de_gracia)+AC35))</f>
        <v>25505.913888888899</v>
      </c>
      <c r="AP35" s="117"/>
    </row>
    <row r="36" spans="1:42" x14ac:dyDescent="0.2">
      <c r="A36" s="107">
        <f>IF(A35&lt;Parámetros!$E$6,A35+1,"")</f>
        <v>19</v>
      </c>
      <c r="B36" s="108">
        <f t="shared" si="25"/>
        <v>783391.31401389185</v>
      </c>
      <c r="C36" s="108">
        <f t="shared" si="0"/>
        <v>13735.20008569711</v>
      </c>
      <c r="D36" s="108">
        <f t="shared" si="1"/>
        <v>9662.2179018283405</v>
      </c>
      <c r="E36" s="108">
        <f t="shared" si="2"/>
        <v>1545.9548642925345</v>
      </c>
      <c r="F36" s="108">
        <f t="shared" si="3"/>
        <v>24943.372851817981</v>
      </c>
      <c r="G36" s="114">
        <f t="shared" si="13"/>
        <v>769656.11392819474</v>
      </c>
      <c r="H36" s="115">
        <f t="shared" si="14"/>
        <v>1</v>
      </c>
      <c r="I36" s="108">
        <f t="shared" si="26"/>
        <v>700000.0000000007</v>
      </c>
      <c r="J36" s="108">
        <f t="shared" si="4"/>
        <v>16666.666666666668</v>
      </c>
      <c r="K36" s="108">
        <f t="shared" si="5"/>
        <v>8633.6833333333416</v>
      </c>
      <c r="L36" s="108">
        <f t="shared" si="6"/>
        <v>1381.3893333333347</v>
      </c>
      <c r="M36" s="108">
        <f t="shared" si="15"/>
        <v>26681.739333333346</v>
      </c>
      <c r="N36" s="114">
        <f t="shared" si="16"/>
        <v>683333.33333333407</v>
      </c>
      <c r="O36" s="60">
        <v>0</v>
      </c>
      <c r="P36" s="116">
        <f t="shared" si="17"/>
        <v>1</v>
      </c>
      <c r="R36" s="117">
        <f t="shared" si="28"/>
        <v>783391.31401389185</v>
      </c>
      <c r="S36" s="118">
        <f t="shared" si="7"/>
        <v>9662.2179018283405</v>
      </c>
      <c r="T36" s="118">
        <f t="shared" si="8"/>
        <v>1545.9548642925345</v>
      </c>
      <c r="U36" s="119">
        <f t="shared" si="19"/>
        <v>0</v>
      </c>
      <c r="V36" s="120">
        <f>IF(A36="","",IF(A36&lt;=Periodos_Gracia,0,PPMT(Tasa_Anual/360*Días*(1+I.V.A.),Tabla!AM36,No._De_Pagos_con_periodo_de_gracia,-Monto_Crédito)))</f>
        <v>13735.20008569711</v>
      </c>
      <c r="W36" s="110">
        <f>IF($U$258&lt;=0,V36,IF(SUM($U$18:U36)&lt;=0,V36,PMT($K$5/360*Días,A36,-R36)))</f>
        <v>13735.20008569711</v>
      </c>
      <c r="X36" s="121">
        <f>IF($U$258&lt;=0,W36,IF(SUM($U$18:U36)&lt;=0,V36,PMT($K$5/360*Días,No._De_Pagos_con_periodo_de_gracia,-Monto_Crédito)-S36-T36))</f>
        <v>13735.20008569711</v>
      </c>
      <c r="Y36" s="117">
        <f t="shared" si="20"/>
        <v>13735.20008569711</v>
      </c>
      <c r="Z36" s="61">
        <f>+IF(A36="","",IF(No._de_Pagos-Tabla!A36+1&lt;=0,"",No._de_Pagos-Tabla!A36+1))</f>
        <v>42</v>
      </c>
      <c r="AA36" s="122">
        <f t="shared" si="21"/>
        <v>24943.372851817981</v>
      </c>
      <c r="AB36" s="124">
        <f t="shared" si="27"/>
        <v>700000.0000000007</v>
      </c>
      <c r="AC36" s="124">
        <f t="shared" si="9"/>
        <v>8633.6833333333416</v>
      </c>
      <c r="AD36" s="124">
        <f t="shared" si="10"/>
        <v>1381.3893333333347</v>
      </c>
      <c r="AE36" s="119">
        <f t="shared" si="22"/>
        <v>0</v>
      </c>
      <c r="AF36" s="120">
        <f t="shared" si="11"/>
        <v>16666.666666666668</v>
      </c>
      <c r="AG36" s="110">
        <f>IF($U$258&lt;=0,AF36,IF(SUM($U$18:U36)&lt;=0,AF36,PMT($K$5/360*Días,A36,-AA36)))</f>
        <v>16666.666666666668</v>
      </c>
      <c r="AH36" s="121">
        <f>IF(A36&lt;=Periodos_Gracia,0,IF($U$258&lt;=0,AG36,IF(SUM($U$18:U36)&lt;=0,AF36,PMT($K$5/360*Días,No._de_Pagos,-Monto_Crédito)-AC36-AD36)))</f>
        <v>16666.666666666668</v>
      </c>
      <c r="AI36" s="125">
        <f t="shared" si="23"/>
        <v>26681.739333333346</v>
      </c>
      <c r="AK36" s="126">
        <f>IF(A36="","",IF(Periodos_Gracia&gt;0,Tabla!AN36,V36+S36))</f>
        <v>23397.417987525449</v>
      </c>
      <c r="AL36" s="126">
        <f t="shared" si="12"/>
        <v>25300.350000000009</v>
      </c>
      <c r="AM36" s="61">
        <f t="shared" si="24"/>
        <v>19</v>
      </c>
      <c r="AN36" s="127">
        <f>IF(A36="","",IF(A36&lt;=Periodos_Gracia,Tabla!S36,PPMT(Tasa_Anual/360*Días*(1+I.V.A.),Tabla!AM36,No._De_Pagos_con_periodo_de_gracia,-Monto_Crédito)+S36))</f>
        <v>23397.417987525449</v>
      </c>
      <c r="AO36" s="127">
        <f>IF(A36="","",IF(A36&lt;=Periodos_Gracia,Tabla!AC36,Monto_Crédito/(No._De_Pagos_con_periodo_de_gracia)+AC36))</f>
        <v>25300.350000000009</v>
      </c>
      <c r="AP36" s="117"/>
    </row>
    <row r="37" spans="1:42" x14ac:dyDescent="0.2">
      <c r="A37" s="107">
        <f>IF(A36&lt;Parámetros!$E$6,A36+1,"")</f>
        <v>20</v>
      </c>
      <c r="B37" s="108">
        <f t="shared" si="25"/>
        <v>769656.11392819474</v>
      </c>
      <c r="C37" s="108">
        <f t="shared" si="0"/>
        <v>13931.712981339198</v>
      </c>
      <c r="D37" s="108">
        <f t="shared" si="1"/>
        <v>9492.8102331713653</v>
      </c>
      <c r="E37" s="108">
        <f t="shared" si="2"/>
        <v>1518.8496373074186</v>
      </c>
      <c r="F37" s="108">
        <f t="shared" si="3"/>
        <v>24943.372851817981</v>
      </c>
      <c r="G37" s="114">
        <f t="shared" si="13"/>
        <v>755724.40094685555</v>
      </c>
      <c r="H37" s="115">
        <f t="shared" si="14"/>
        <v>1</v>
      </c>
      <c r="I37" s="108">
        <f t="shared" si="26"/>
        <v>683333.33333333407</v>
      </c>
      <c r="J37" s="108">
        <f t="shared" si="4"/>
        <v>16666.666666666668</v>
      </c>
      <c r="K37" s="108">
        <f t="shared" si="5"/>
        <v>8428.1194444444536</v>
      </c>
      <c r="L37" s="108">
        <f t="shared" si="6"/>
        <v>1348.4991111111126</v>
      </c>
      <c r="M37" s="108">
        <f t="shared" si="15"/>
        <v>26443.285222222232</v>
      </c>
      <c r="N37" s="114">
        <f t="shared" si="16"/>
        <v>666666.66666666744</v>
      </c>
      <c r="O37" s="60">
        <v>0</v>
      </c>
      <c r="P37" s="116">
        <f t="shared" si="17"/>
        <v>1</v>
      </c>
      <c r="R37" s="117">
        <f t="shared" si="28"/>
        <v>769656.11392819474</v>
      </c>
      <c r="S37" s="118">
        <f t="shared" si="7"/>
        <v>9492.8102331713671</v>
      </c>
      <c r="T37" s="118">
        <f t="shared" si="8"/>
        <v>1518.8496373074188</v>
      </c>
      <c r="U37" s="119">
        <f t="shared" si="19"/>
        <v>0</v>
      </c>
      <c r="V37" s="120">
        <f>IF(A37="","",IF(A37&lt;=Periodos_Gracia,0,PPMT(Tasa_Anual/360*Días*(1+I.V.A.),Tabla!AM37,No._De_Pagos_con_periodo_de_gracia,-Monto_Crédito)))</f>
        <v>13931.712981339198</v>
      </c>
      <c r="W37" s="110">
        <f>IF($U$258&lt;=0,V37,IF(SUM($U$18:U37)&lt;=0,V37,PMT($K$5/360*Días,A37,-R37)))</f>
        <v>13931.712981339198</v>
      </c>
      <c r="X37" s="121">
        <f>IF($U$258&lt;=0,W37,IF(SUM($U$18:U37)&lt;=0,V37,PMT($K$5/360*Días,No._De_Pagos_con_periodo_de_gracia,-Monto_Crédito)-S37-T37))</f>
        <v>13931.712981339198</v>
      </c>
      <c r="Y37" s="117">
        <f t="shared" si="20"/>
        <v>13931.712981339198</v>
      </c>
      <c r="Z37" s="61">
        <f>+IF(A37="","",IF(No._de_Pagos-Tabla!A37+1&lt;=0,"",No._de_Pagos-Tabla!A37+1))</f>
        <v>41</v>
      </c>
      <c r="AA37" s="122">
        <f t="shared" si="21"/>
        <v>24943.372851817985</v>
      </c>
      <c r="AB37" s="124">
        <f t="shared" si="27"/>
        <v>683333.33333333407</v>
      </c>
      <c r="AC37" s="124">
        <f t="shared" si="9"/>
        <v>8428.1194444444536</v>
      </c>
      <c r="AD37" s="124">
        <f t="shared" si="10"/>
        <v>1348.4991111111126</v>
      </c>
      <c r="AE37" s="119">
        <f t="shared" si="22"/>
        <v>0</v>
      </c>
      <c r="AF37" s="120">
        <f t="shared" si="11"/>
        <v>16666.666666666668</v>
      </c>
      <c r="AG37" s="110">
        <f>IF($U$258&lt;=0,AF37,IF(SUM($U$18:U37)&lt;=0,AF37,PMT($K$5/360*Días,A37,-AA37)))</f>
        <v>16666.666666666668</v>
      </c>
      <c r="AH37" s="121">
        <f>IF(A37&lt;=Periodos_Gracia,0,IF($U$258&lt;=0,AG37,IF(SUM($U$18:U37)&lt;=0,AF37,PMT($K$5/360*Días,No._de_Pagos,-Monto_Crédito)-AC37-AD37)))</f>
        <v>16666.666666666668</v>
      </c>
      <c r="AI37" s="125">
        <f t="shared" si="23"/>
        <v>26443.285222222232</v>
      </c>
      <c r="AK37" s="126">
        <f>IF(A37="","",IF(Periodos_Gracia&gt;0,Tabla!AN37,V37+S37))</f>
        <v>23424.523214510566</v>
      </c>
      <c r="AL37" s="126">
        <f t="shared" si="12"/>
        <v>25094.78611111112</v>
      </c>
      <c r="AM37" s="61">
        <f t="shared" si="24"/>
        <v>20</v>
      </c>
      <c r="AN37" s="127">
        <f>IF(A37="","",IF(A37&lt;=Periodos_Gracia,Tabla!S37,PPMT(Tasa_Anual/360*Días*(1+I.V.A.),Tabla!AM37,No._De_Pagos_con_periodo_de_gracia,-Monto_Crédito)+S37))</f>
        <v>23424.523214510566</v>
      </c>
      <c r="AO37" s="127">
        <f>IF(A37="","",IF(A37&lt;=Periodos_Gracia,Tabla!AC37,Monto_Crédito/(No._De_Pagos_con_periodo_de_gracia)+AC37))</f>
        <v>25094.78611111112</v>
      </c>
      <c r="AP37" s="117"/>
    </row>
    <row r="38" spans="1:42" x14ac:dyDescent="0.2">
      <c r="A38" s="107">
        <f>IF(A37&lt;Parámetros!$E$6,A37+1,"")</f>
        <v>21</v>
      </c>
      <c r="B38" s="108">
        <f t="shared" si="25"/>
        <v>755724.40094685555</v>
      </c>
      <c r="C38" s="108">
        <f t="shared" si="0"/>
        <v>14131.037435452423</v>
      </c>
      <c r="D38" s="108">
        <f t="shared" si="1"/>
        <v>9320.9788072116917</v>
      </c>
      <c r="E38" s="108">
        <f t="shared" si="2"/>
        <v>1491.3566091538707</v>
      </c>
      <c r="F38" s="108">
        <f t="shared" si="3"/>
        <v>24943.372851817985</v>
      </c>
      <c r="G38" s="114">
        <f t="shared" si="13"/>
        <v>741593.36351140309</v>
      </c>
      <c r="H38" s="115">
        <f t="shared" si="14"/>
        <v>1</v>
      </c>
      <c r="I38" s="108">
        <f t="shared" si="26"/>
        <v>666666.66666666744</v>
      </c>
      <c r="J38" s="108">
        <f t="shared" si="4"/>
        <v>16666.666666666668</v>
      </c>
      <c r="K38" s="108">
        <f t="shared" si="5"/>
        <v>8222.5555555555638</v>
      </c>
      <c r="L38" s="108">
        <f t="shared" si="6"/>
        <v>1315.6088888888903</v>
      </c>
      <c r="M38" s="108">
        <f t="shared" si="15"/>
        <v>26204.831111111125</v>
      </c>
      <c r="N38" s="114">
        <f t="shared" si="16"/>
        <v>650000.00000000081</v>
      </c>
      <c r="O38" s="60">
        <v>0</v>
      </c>
      <c r="P38" s="116">
        <f t="shared" si="17"/>
        <v>1</v>
      </c>
      <c r="R38" s="117">
        <f t="shared" si="28"/>
        <v>755724.40094685555</v>
      </c>
      <c r="S38" s="118">
        <f t="shared" si="7"/>
        <v>9320.9788072116917</v>
      </c>
      <c r="T38" s="118">
        <f t="shared" si="8"/>
        <v>1491.3566091538707</v>
      </c>
      <c r="U38" s="119">
        <f t="shared" si="19"/>
        <v>0</v>
      </c>
      <c r="V38" s="120">
        <f>IF(A38="","",IF(A38&lt;=Periodos_Gracia,0,PPMT(Tasa_Anual/360*Días*(1+I.V.A.),Tabla!AM38,No._De_Pagos_con_periodo_de_gracia,-Monto_Crédito)))</f>
        <v>14131.037435452423</v>
      </c>
      <c r="W38" s="110">
        <f>IF($U$258&lt;=0,V38,IF(SUM($U$18:U38)&lt;=0,V38,PMT($K$5/360*Días,A38,-R38)))</f>
        <v>14131.037435452423</v>
      </c>
      <c r="X38" s="121">
        <f>IF($U$258&lt;=0,W38,IF(SUM($U$18:U38)&lt;=0,V38,PMT($K$5/360*Días,No._De_Pagos_con_periodo_de_gracia,-Monto_Crédito)-S38-T38))</f>
        <v>14131.037435452423</v>
      </c>
      <c r="Y38" s="117">
        <f t="shared" si="20"/>
        <v>14131.037435452423</v>
      </c>
      <c r="Z38" s="61">
        <f>+IF(A38="","",IF(No._de_Pagos-Tabla!A38+1&lt;=0,"",No._de_Pagos-Tabla!A38+1))</f>
        <v>40</v>
      </c>
      <c r="AA38" s="122">
        <f t="shared" si="21"/>
        <v>24943.372851817985</v>
      </c>
      <c r="AB38" s="124">
        <f t="shared" si="27"/>
        <v>666666.66666666744</v>
      </c>
      <c r="AC38" s="124">
        <f t="shared" si="9"/>
        <v>8222.5555555555657</v>
      </c>
      <c r="AD38" s="124">
        <f t="shared" si="10"/>
        <v>1315.6088888888905</v>
      </c>
      <c r="AE38" s="119">
        <f t="shared" si="22"/>
        <v>0</v>
      </c>
      <c r="AF38" s="120">
        <f t="shared" si="11"/>
        <v>16666.666666666668</v>
      </c>
      <c r="AG38" s="110">
        <f>IF($U$258&lt;=0,AF38,IF(SUM($U$18:U38)&lt;=0,AF38,PMT($K$5/360*Días,A38,-AA38)))</f>
        <v>16666.666666666668</v>
      </c>
      <c r="AH38" s="121">
        <f>IF(A38&lt;=Periodos_Gracia,0,IF($U$258&lt;=0,AG38,IF(SUM($U$18:U38)&lt;=0,AF38,PMT($K$5/360*Días,No._de_Pagos,-Monto_Crédito)-AC38-AD38)))</f>
        <v>16666.666666666668</v>
      </c>
      <c r="AI38" s="125">
        <f t="shared" si="23"/>
        <v>26204.831111111125</v>
      </c>
      <c r="AK38" s="126">
        <f>IF(A38="","",IF(Periodos_Gracia&gt;0,Tabla!AN38,V38+S38))</f>
        <v>23452.016242664115</v>
      </c>
      <c r="AL38" s="126">
        <f t="shared" si="12"/>
        <v>24889.222222222234</v>
      </c>
      <c r="AM38" s="61">
        <f t="shared" si="24"/>
        <v>21</v>
      </c>
      <c r="AN38" s="127">
        <f>IF(A38="","",IF(A38&lt;=Periodos_Gracia,Tabla!S38,PPMT(Tasa_Anual/360*Días*(1+I.V.A.),Tabla!AM38,No._De_Pagos_con_periodo_de_gracia,-Monto_Crédito)+S38))</f>
        <v>23452.016242664115</v>
      </c>
      <c r="AO38" s="127">
        <f>IF(A38="","",IF(A38&lt;=Periodos_Gracia,Tabla!AC38,Monto_Crédito/(No._De_Pagos_con_periodo_de_gracia)+AC38))</f>
        <v>24889.222222222234</v>
      </c>
      <c r="AP38" s="117"/>
    </row>
    <row r="39" spans="1:42" x14ac:dyDescent="0.2">
      <c r="A39" s="107">
        <f>IF(A38&lt;Parámetros!$E$6,A38+1,"")</f>
        <v>22</v>
      </c>
      <c r="B39" s="108">
        <f t="shared" si="25"/>
        <v>741593.36351140309</v>
      </c>
      <c r="C39" s="108">
        <f t="shared" si="0"/>
        <v>14333.213673697337</v>
      </c>
      <c r="D39" s="108">
        <f t="shared" si="1"/>
        <v>9146.6889466557277</v>
      </c>
      <c r="E39" s="108">
        <f t="shared" si="2"/>
        <v>1463.4702314649164</v>
      </c>
      <c r="F39" s="108">
        <f t="shared" si="3"/>
        <v>24943.372851817981</v>
      </c>
      <c r="G39" s="114">
        <f t="shared" si="13"/>
        <v>727260.14983770577</v>
      </c>
      <c r="H39" s="115">
        <f t="shared" si="14"/>
        <v>1</v>
      </c>
      <c r="I39" s="108">
        <f t="shared" si="26"/>
        <v>650000.00000000081</v>
      </c>
      <c r="J39" s="108">
        <f t="shared" si="4"/>
        <v>16666.666666666668</v>
      </c>
      <c r="K39" s="108">
        <f t="shared" si="5"/>
        <v>8016.9916666666768</v>
      </c>
      <c r="L39" s="108">
        <f t="shared" si="6"/>
        <v>1282.7186666666682</v>
      </c>
      <c r="M39" s="108">
        <f t="shared" si="15"/>
        <v>25966.377000000011</v>
      </c>
      <c r="N39" s="114">
        <f t="shared" si="16"/>
        <v>633333.33333333419</v>
      </c>
      <c r="O39" s="60">
        <v>0</v>
      </c>
      <c r="P39" s="116">
        <f t="shared" si="17"/>
        <v>1</v>
      </c>
      <c r="R39" s="117">
        <f t="shared" si="28"/>
        <v>741593.36351140309</v>
      </c>
      <c r="S39" s="118">
        <f t="shared" si="7"/>
        <v>9146.6889466557277</v>
      </c>
      <c r="T39" s="118">
        <f t="shared" si="8"/>
        <v>1463.4702314649164</v>
      </c>
      <c r="U39" s="119">
        <f t="shared" si="19"/>
        <v>0</v>
      </c>
      <c r="V39" s="120">
        <f>IF(A39="","",IF(A39&lt;=Periodos_Gracia,0,PPMT(Tasa_Anual/360*Días*(1+I.V.A.),Tabla!AM39,No._De_Pagos_con_periodo_de_gracia,-Monto_Crédito)))</f>
        <v>14333.213673697337</v>
      </c>
      <c r="W39" s="110">
        <f>IF($U$258&lt;=0,V39,IF(SUM($U$18:U39)&lt;=0,V39,PMT($K$5/360*Días,A39,-R39)))</f>
        <v>14333.213673697337</v>
      </c>
      <c r="X39" s="121">
        <f>IF($U$258&lt;=0,W39,IF(SUM($U$18:U39)&lt;=0,V39,PMT($K$5/360*Días,No._De_Pagos_con_periodo_de_gracia,-Monto_Crédito)-S39-T39))</f>
        <v>14333.213673697337</v>
      </c>
      <c r="Y39" s="117">
        <f t="shared" si="20"/>
        <v>14333.213673697337</v>
      </c>
      <c r="Z39" s="61">
        <f>+IF(A39="","",IF(No._de_Pagos-Tabla!A39+1&lt;=0,"",No._de_Pagos-Tabla!A39+1))</f>
        <v>39</v>
      </c>
      <c r="AA39" s="122">
        <f t="shared" si="21"/>
        <v>24943.372851817981</v>
      </c>
      <c r="AB39" s="124">
        <f t="shared" si="27"/>
        <v>650000.00000000081</v>
      </c>
      <c r="AC39" s="124">
        <f t="shared" si="9"/>
        <v>8016.9916666666768</v>
      </c>
      <c r="AD39" s="124">
        <f t="shared" si="10"/>
        <v>1282.7186666666682</v>
      </c>
      <c r="AE39" s="119">
        <f t="shared" si="22"/>
        <v>0</v>
      </c>
      <c r="AF39" s="120">
        <f t="shared" si="11"/>
        <v>16666.666666666668</v>
      </c>
      <c r="AG39" s="110">
        <f>IF($U$258&lt;=0,AF39,IF(SUM($U$18:U39)&lt;=0,AF39,PMT($K$5/360*Días,A39,-AA39)))</f>
        <v>16666.666666666668</v>
      </c>
      <c r="AH39" s="121">
        <f>IF(A39&lt;=Periodos_Gracia,0,IF($U$258&lt;=0,AG39,IF(SUM($U$18:U39)&lt;=0,AF39,PMT($K$5/360*Días,No._de_Pagos,-Monto_Crédito)-AC39-AD39)))</f>
        <v>16666.666666666668</v>
      </c>
      <c r="AI39" s="125">
        <f t="shared" si="23"/>
        <v>25966.377000000011</v>
      </c>
      <c r="AK39" s="126">
        <f>IF(A39="","",IF(Periodos_Gracia&gt;0,Tabla!AN39,V39+S39))</f>
        <v>23479.902620353067</v>
      </c>
      <c r="AL39" s="126">
        <f t="shared" si="12"/>
        <v>24683.658333333344</v>
      </c>
      <c r="AM39" s="61">
        <f t="shared" si="24"/>
        <v>22</v>
      </c>
      <c r="AN39" s="127">
        <f>IF(A39="","",IF(A39&lt;=Periodos_Gracia,Tabla!S39,PPMT(Tasa_Anual/360*Días*(1+I.V.A.),Tabla!AM39,No._De_Pagos_con_periodo_de_gracia,-Monto_Crédito)+S39))</f>
        <v>23479.902620353067</v>
      </c>
      <c r="AO39" s="127">
        <f>IF(A39="","",IF(A39&lt;=Periodos_Gracia,Tabla!AC39,Monto_Crédito/(No._De_Pagos_con_periodo_de_gracia)+AC39))</f>
        <v>24683.658333333344</v>
      </c>
      <c r="AP39" s="117"/>
    </row>
    <row r="40" spans="1:42" x14ac:dyDescent="0.2">
      <c r="A40" s="107">
        <f>IF(A39&lt;Parámetros!$E$6,A39+1,"")</f>
        <v>23</v>
      </c>
      <c r="B40" s="108">
        <f t="shared" si="25"/>
        <v>727260.14983770577</v>
      </c>
      <c r="C40" s="108">
        <f t="shared" si="0"/>
        <v>14538.282497252967</v>
      </c>
      <c r="D40" s="108">
        <f t="shared" si="1"/>
        <v>8969.9054780732895</v>
      </c>
      <c r="E40" s="108">
        <f t="shared" si="2"/>
        <v>1435.1848764917263</v>
      </c>
      <c r="F40" s="108">
        <f t="shared" si="3"/>
        <v>24943.372851817981</v>
      </c>
      <c r="G40" s="114">
        <f t="shared" si="13"/>
        <v>712721.86734045285</v>
      </c>
      <c r="H40" s="115">
        <f t="shared" si="14"/>
        <v>1</v>
      </c>
      <c r="I40" s="108">
        <f t="shared" si="26"/>
        <v>633333.33333333419</v>
      </c>
      <c r="J40" s="108">
        <f t="shared" si="4"/>
        <v>16666.666666666668</v>
      </c>
      <c r="K40" s="108">
        <f t="shared" si="5"/>
        <v>7811.4277777777888</v>
      </c>
      <c r="L40" s="108">
        <f t="shared" si="6"/>
        <v>1249.8284444444462</v>
      </c>
      <c r="M40" s="108">
        <f t="shared" si="15"/>
        <v>25727.922888888905</v>
      </c>
      <c r="N40" s="114">
        <f t="shared" si="16"/>
        <v>616666.66666666756</v>
      </c>
      <c r="O40" s="60">
        <v>0</v>
      </c>
      <c r="P40" s="116">
        <f t="shared" si="17"/>
        <v>1</v>
      </c>
      <c r="R40" s="117">
        <f t="shared" si="28"/>
        <v>727260.14983770577</v>
      </c>
      <c r="S40" s="118">
        <f t="shared" si="7"/>
        <v>8969.9054780732895</v>
      </c>
      <c r="T40" s="118">
        <f t="shared" si="8"/>
        <v>1435.1848764917263</v>
      </c>
      <c r="U40" s="119">
        <f t="shared" si="19"/>
        <v>0</v>
      </c>
      <c r="V40" s="120">
        <f>IF(A40="","",IF(A40&lt;=Periodos_Gracia,0,PPMT(Tasa_Anual/360*Días*(1+I.V.A.),Tabla!AM40,No._De_Pagos_con_periodo_de_gracia,-Monto_Crédito)))</f>
        <v>14538.282497252967</v>
      </c>
      <c r="W40" s="110">
        <f>IF($U$258&lt;=0,V40,IF(SUM($U$18:U40)&lt;=0,V40,PMT($K$5/360*Días,A40,-R40)))</f>
        <v>14538.282497252967</v>
      </c>
      <c r="X40" s="121">
        <f>IF($U$258&lt;=0,W40,IF(SUM($U$18:U40)&lt;=0,V40,PMT($K$5/360*Días,No._De_Pagos_con_periodo_de_gracia,-Monto_Crédito)-S40-T40))</f>
        <v>14538.282497252967</v>
      </c>
      <c r="Y40" s="117">
        <f t="shared" si="20"/>
        <v>14538.282497252967</v>
      </c>
      <c r="Z40" s="61">
        <f>+IF(A40="","",IF(No._de_Pagos-Tabla!A40+1&lt;=0,"",No._de_Pagos-Tabla!A40+1))</f>
        <v>38</v>
      </c>
      <c r="AA40" s="122">
        <f t="shared" si="21"/>
        <v>24943.372851817981</v>
      </c>
      <c r="AB40" s="124">
        <f t="shared" si="27"/>
        <v>633333.33333333419</v>
      </c>
      <c r="AC40" s="124">
        <f t="shared" si="9"/>
        <v>7811.4277777777888</v>
      </c>
      <c r="AD40" s="124">
        <f t="shared" si="10"/>
        <v>1249.8284444444462</v>
      </c>
      <c r="AE40" s="119">
        <f t="shared" si="22"/>
        <v>0</v>
      </c>
      <c r="AF40" s="120">
        <f t="shared" si="11"/>
        <v>16666.666666666668</v>
      </c>
      <c r="AG40" s="110">
        <f>IF($U$258&lt;=0,AF40,IF(SUM($U$18:U40)&lt;=0,AF40,PMT($K$5/360*Días,A40,-AA40)))</f>
        <v>16666.666666666668</v>
      </c>
      <c r="AH40" s="121">
        <f>IF(A40&lt;=Periodos_Gracia,0,IF($U$258&lt;=0,AG40,IF(SUM($U$18:U40)&lt;=0,AF40,PMT($K$5/360*Días,No._de_Pagos,-Monto_Crédito)-AC40-AD40)))</f>
        <v>16666.666666666668</v>
      </c>
      <c r="AI40" s="125">
        <f t="shared" si="23"/>
        <v>25727.922888888905</v>
      </c>
      <c r="AK40" s="126">
        <f>IF(A40="","",IF(Periodos_Gracia&gt;0,Tabla!AN40,V40+S40))</f>
        <v>23508.187975326255</v>
      </c>
      <c r="AL40" s="126">
        <f t="shared" si="12"/>
        <v>24478.094444444458</v>
      </c>
      <c r="AM40" s="61">
        <f t="shared" si="24"/>
        <v>23</v>
      </c>
      <c r="AN40" s="127">
        <f>IF(A40="","",IF(A40&lt;=Periodos_Gracia,Tabla!S40,PPMT(Tasa_Anual/360*Días*(1+I.V.A.),Tabla!AM40,No._De_Pagos_con_periodo_de_gracia,-Monto_Crédito)+S40))</f>
        <v>23508.187975326255</v>
      </c>
      <c r="AO40" s="127">
        <f>IF(A40="","",IF(A40&lt;=Periodos_Gracia,Tabla!AC40,Monto_Crédito/(No._De_Pagos_con_periodo_de_gracia)+AC40))</f>
        <v>24478.094444444458</v>
      </c>
      <c r="AP40" s="117"/>
    </row>
    <row r="41" spans="1:42" x14ac:dyDescent="0.2">
      <c r="A41" s="107">
        <f>IF(A40&lt;Parámetros!$E$6,A40+1,"")</f>
        <v>24</v>
      </c>
      <c r="B41" s="108">
        <f t="shared" si="25"/>
        <v>712721.86734045285</v>
      </c>
      <c r="C41" s="108">
        <f t="shared" si="0"/>
        <v>14746.285291050846</v>
      </c>
      <c r="D41" s="108">
        <f t="shared" si="1"/>
        <v>8790.5927247992549</v>
      </c>
      <c r="E41" s="108">
        <f t="shared" si="2"/>
        <v>1406.4948359678808</v>
      </c>
      <c r="F41" s="108">
        <f t="shared" si="3"/>
        <v>24943.372851817985</v>
      </c>
      <c r="G41" s="114">
        <f t="shared" si="13"/>
        <v>697975.58204940206</v>
      </c>
      <c r="H41" s="115">
        <f t="shared" si="14"/>
        <v>1</v>
      </c>
      <c r="I41" s="108">
        <f t="shared" si="26"/>
        <v>616666.66666666756</v>
      </c>
      <c r="J41" s="108">
        <f t="shared" si="4"/>
        <v>16666.666666666668</v>
      </c>
      <c r="K41" s="108">
        <f t="shared" si="5"/>
        <v>7605.8638888889</v>
      </c>
      <c r="L41" s="108">
        <f t="shared" si="6"/>
        <v>1216.9382222222241</v>
      </c>
      <c r="M41" s="108">
        <f t="shared" si="15"/>
        <v>25489.468777777791</v>
      </c>
      <c r="N41" s="114">
        <f t="shared" si="16"/>
        <v>600000.00000000093</v>
      </c>
      <c r="O41" s="60">
        <v>0</v>
      </c>
      <c r="P41" s="116">
        <f t="shared" si="17"/>
        <v>1</v>
      </c>
      <c r="R41" s="117">
        <f t="shared" si="28"/>
        <v>712721.86734045285</v>
      </c>
      <c r="S41" s="118">
        <f t="shared" si="7"/>
        <v>8790.5927247992549</v>
      </c>
      <c r="T41" s="118">
        <f t="shared" si="8"/>
        <v>1406.4948359678808</v>
      </c>
      <c r="U41" s="119">
        <f t="shared" si="19"/>
        <v>0</v>
      </c>
      <c r="V41" s="120">
        <f>IF(A41="","",IF(A41&lt;=Periodos_Gracia,0,PPMT(Tasa_Anual/360*Días*(1+I.V.A.),Tabla!AM41,No._De_Pagos_con_periodo_de_gracia,-Monto_Crédito)))</f>
        <v>14746.285291050846</v>
      </c>
      <c r="W41" s="110">
        <f>IF($U$258&lt;=0,V41,IF(SUM($U$18:U41)&lt;=0,V41,PMT($K$5/360*Días,A41,-R41)))</f>
        <v>14746.285291050846</v>
      </c>
      <c r="X41" s="121">
        <f>IF($U$258&lt;=0,W41,IF(SUM($U$18:U41)&lt;=0,V41,PMT($K$5/360*Días,No._De_Pagos_con_periodo_de_gracia,-Monto_Crédito)-S41-T41))</f>
        <v>14746.285291050846</v>
      </c>
      <c r="Y41" s="117">
        <f t="shared" si="20"/>
        <v>14746.285291050846</v>
      </c>
      <c r="Z41" s="61">
        <f>+IF(A41="","",IF(No._de_Pagos-Tabla!A41+1&lt;=0,"",No._de_Pagos-Tabla!A41+1))</f>
        <v>37</v>
      </c>
      <c r="AA41" s="122">
        <f t="shared" si="21"/>
        <v>24943.372851817985</v>
      </c>
      <c r="AB41" s="124">
        <f t="shared" si="27"/>
        <v>616666.66666666756</v>
      </c>
      <c r="AC41" s="124">
        <f t="shared" si="9"/>
        <v>7605.8638888889</v>
      </c>
      <c r="AD41" s="124">
        <f t="shared" si="10"/>
        <v>1216.9382222222241</v>
      </c>
      <c r="AE41" s="119">
        <f t="shared" si="22"/>
        <v>0</v>
      </c>
      <c r="AF41" s="120">
        <f t="shared" si="11"/>
        <v>16666.666666666668</v>
      </c>
      <c r="AG41" s="110">
        <f>IF($U$258&lt;=0,AF41,IF(SUM($U$18:U41)&lt;=0,AF41,PMT($K$5/360*Días,A41,-AA41)))</f>
        <v>16666.666666666668</v>
      </c>
      <c r="AH41" s="121">
        <f>IF(A41&lt;=Periodos_Gracia,0,IF($U$258&lt;=0,AG41,IF(SUM($U$18:U41)&lt;=0,AF41,PMT($K$5/360*Días,No._de_Pagos,-Monto_Crédito)-AC41-AD41)))</f>
        <v>16666.666666666668</v>
      </c>
      <c r="AI41" s="125">
        <f t="shared" si="23"/>
        <v>25489.468777777791</v>
      </c>
      <c r="AK41" s="126">
        <f>IF(A41="","",IF(Periodos_Gracia&gt;0,Tabla!AN41,V41+S41))</f>
        <v>23536.878015850103</v>
      </c>
      <c r="AL41" s="126">
        <f t="shared" si="12"/>
        <v>24272.530555555568</v>
      </c>
      <c r="AM41" s="61">
        <f t="shared" si="24"/>
        <v>24</v>
      </c>
      <c r="AN41" s="127">
        <f>IF(A41="","",IF(A41&lt;=Periodos_Gracia,Tabla!S41,PPMT(Tasa_Anual/360*Días*(1+I.V.A.),Tabla!AM41,No._De_Pagos_con_periodo_de_gracia,-Monto_Crédito)+S41))</f>
        <v>23536.878015850103</v>
      </c>
      <c r="AO41" s="127">
        <f>IF(A41="","",IF(A41&lt;=Periodos_Gracia,Tabla!AC41,Monto_Crédito/(No._De_Pagos_con_periodo_de_gracia)+AC41))</f>
        <v>24272.530555555568</v>
      </c>
      <c r="AP41" s="117"/>
    </row>
    <row r="42" spans="1:42" x14ac:dyDescent="0.2">
      <c r="A42" s="107">
        <f>IF(A41&lt;Parámetros!$E$6,A41+1,"")</f>
        <v>25</v>
      </c>
      <c r="B42" s="108">
        <f t="shared" si="25"/>
        <v>697975.58204940206</v>
      </c>
      <c r="C42" s="108">
        <f t="shared" si="0"/>
        <v>14957.26403212695</v>
      </c>
      <c r="D42" s="108">
        <f t="shared" si="1"/>
        <v>8608.7144997336491</v>
      </c>
      <c r="E42" s="108">
        <f t="shared" si="2"/>
        <v>1377.3943199573839</v>
      </c>
      <c r="F42" s="108">
        <f t="shared" si="3"/>
        <v>24943.372851817985</v>
      </c>
      <c r="G42" s="114">
        <f t="shared" si="13"/>
        <v>683018.31801727507</v>
      </c>
      <c r="H42" s="115">
        <f t="shared" si="14"/>
        <v>1</v>
      </c>
      <c r="I42" s="108">
        <f t="shared" si="26"/>
        <v>600000.00000000093</v>
      </c>
      <c r="J42" s="108">
        <f t="shared" si="4"/>
        <v>16666.666666666668</v>
      </c>
      <c r="K42" s="108">
        <f t="shared" si="5"/>
        <v>7400.3000000000111</v>
      </c>
      <c r="L42" s="108">
        <f t="shared" si="6"/>
        <v>1184.0480000000018</v>
      </c>
      <c r="M42" s="108">
        <f t="shared" si="15"/>
        <v>25251.014666666681</v>
      </c>
      <c r="N42" s="114">
        <f t="shared" si="16"/>
        <v>583333.3333333343</v>
      </c>
      <c r="O42" s="60">
        <v>0</v>
      </c>
      <c r="P42" s="116">
        <f t="shared" si="17"/>
        <v>1</v>
      </c>
      <c r="R42" s="117">
        <f t="shared" si="28"/>
        <v>697975.58204940206</v>
      </c>
      <c r="S42" s="118">
        <f t="shared" si="7"/>
        <v>8608.7144997336491</v>
      </c>
      <c r="T42" s="118">
        <f t="shared" si="8"/>
        <v>1377.3943199573839</v>
      </c>
      <c r="U42" s="119">
        <f t="shared" si="19"/>
        <v>0</v>
      </c>
      <c r="V42" s="120">
        <f>IF(A42="","",IF(A42&lt;=Periodos_Gracia,0,PPMT(Tasa_Anual/360*Días*(1+I.V.A.),Tabla!AM42,No._De_Pagos_con_periodo_de_gracia,-Monto_Crédito)))</f>
        <v>14957.26403212695</v>
      </c>
      <c r="W42" s="110">
        <f>IF($U$258&lt;=0,V42,IF(SUM($U$18:U42)&lt;=0,V42,PMT($K$5/360*Días,A42,-R42)))</f>
        <v>14957.26403212695</v>
      </c>
      <c r="X42" s="121">
        <f>IF($U$258&lt;=0,W42,IF(SUM($U$18:U42)&lt;=0,V42,PMT($K$5/360*Días,No._De_Pagos_con_periodo_de_gracia,-Monto_Crédito)-S42-T42))</f>
        <v>14957.26403212695</v>
      </c>
      <c r="Y42" s="117">
        <f t="shared" si="20"/>
        <v>14957.26403212695</v>
      </c>
      <c r="Z42" s="61">
        <f>+IF(A42="","",IF(No._de_Pagos-Tabla!A42+1&lt;=0,"",No._de_Pagos-Tabla!A42+1))</f>
        <v>36</v>
      </c>
      <c r="AA42" s="122">
        <f t="shared" si="21"/>
        <v>24943.372851817985</v>
      </c>
      <c r="AB42" s="124">
        <f t="shared" si="27"/>
        <v>600000.00000000093</v>
      </c>
      <c r="AC42" s="124">
        <f t="shared" si="9"/>
        <v>7400.300000000012</v>
      </c>
      <c r="AD42" s="124">
        <f t="shared" si="10"/>
        <v>1184.048000000002</v>
      </c>
      <c r="AE42" s="119">
        <f t="shared" si="22"/>
        <v>0</v>
      </c>
      <c r="AF42" s="120">
        <f t="shared" si="11"/>
        <v>16666.666666666668</v>
      </c>
      <c r="AG42" s="110">
        <f>IF($U$258&lt;=0,AF42,IF(SUM($U$18:U42)&lt;=0,AF42,PMT($K$5/360*Días,A42,-AA42)))</f>
        <v>16666.666666666668</v>
      </c>
      <c r="AH42" s="121">
        <f>IF(A42&lt;=Periodos_Gracia,0,IF($U$258&lt;=0,AG42,IF(SUM($U$18:U42)&lt;=0,AF42,PMT($K$5/360*Días,No._de_Pagos,-Monto_Crédito)-AC42-AD42)))</f>
        <v>16666.666666666668</v>
      </c>
      <c r="AI42" s="125">
        <f t="shared" si="23"/>
        <v>25251.014666666684</v>
      </c>
      <c r="AK42" s="126">
        <f>IF(A42="","",IF(Periodos_Gracia&gt;0,Tabla!AN42,V42+S42))</f>
        <v>23565.978531860601</v>
      </c>
      <c r="AL42" s="126">
        <f t="shared" si="12"/>
        <v>24066.966666666682</v>
      </c>
      <c r="AM42" s="61">
        <f t="shared" si="24"/>
        <v>25</v>
      </c>
      <c r="AN42" s="127">
        <f>IF(A42="","",IF(A42&lt;=Periodos_Gracia,Tabla!S42,PPMT(Tasa_Anual/360*Días*(1+I.V.A.),Tabla!AM42,No._De_Pagos_con_periodo_de_gracia,-Monto_Crédito)+S42))</f>
        <v>23565.978531860601</v>
      </c>
      <c r="AO42" s="127">
        <f>IF(A42="","",IF(A42&lt;=Periodos_Gracia,Tabla!AC42,Monto_Crédito/(No._De_Pagos_con_periodo_de_gracia)+AC42))</f>
        <v>24066.966666666682</v>
      </c>
      <c r="AP42" s="117"/>
    </row>
    <row r="43" spans="1:42" x14ac:dyDescent="0.2">
      <c r="A43" s="107">
        <f>IF(A42&lt;Parámetros!$E$6,A42+1,"")</f>
        <v>26</v>
      </c>
      <c r="B43" s="108">
        <f t="shared" si="25"/>
        <v>683018.31801727507</v>
      </c>
      <c r="C43" s="108">
        <f t="shared" si="0"/>
        <v>15171.261298093052</v>
      </c>
      <c r="D43" s="108">
        <f t="shared" si="1"/>
        <v>8424.2340980387344</v>
      </c>
      <c r="E43" s="108">
        <f t="shared" si="2"/>
        <v>1347.8774556861974</v>
      </c>
      <c r="F43" s="108">
        <f t="shared" si="3"/>
        <v>24943.372851817985</v>
      </c>
      <c r="G43" s="114">
        <f t="shared" si="13"/>
        <v>667847.05671918206</v>
      </c>
      <c r="H43" s="115">
        <f t="shared" si="14"/>
        <v>1</v>
      </c>
      <c r="I43" s="108">
        <f t="shared" si="26"/>
        <v>583333.3333333343</v>
      </c>
      <c r="J43" s="108">
        <f t="shared" si="4"/>
        <v>16666.666666666668</v>
      </c>
      <c r="K43" s="108">
        <f t="shared" si="5"/>
        <v>7194.7361111111231</v>
      </c>
      <c r="L43" s="108">
        <f t="shared" si="6"/>
        <v>1151.1577777777798</v>
      </c>
      <c r="M43" s="108">
        <f t="shared" si="15"/>
        <v>25012.56055555557</v>
      </c>
      <c r="N43" s="114">
        <f t="shared" si="16"/>
        <v>566666.66666666768</v>
      </c>
      <c r="O43" s="60">
        <v>0</v>
      </c>
      <c r="P43" s="116">
        <f t="shared" si="17"/>
        <v>1</v>
      </c>
      <c r="R43" s="117">
        <f t="shared" si="28"/>
        <v>683018.31801727507</v>
      </c>
      <c r="S43" s="118">
        <f t="shared" si="7"/>
        <v>8424.2340980387344</v>
      </c>
      <c r="T43" s="118">
        <f t="shared" si="8"/>
        <v>1347.8774556861974</v>
      </c>
      <c r="U43" s="119">
        <f t="shared" si="19"/>
        <v>0</v>
      </c>
      <c r="V43" s="120">
        <f>IF(A43="","",IF(A43&lt;=Periodos_Gracia,0,PPMT(Tasa_Anual/360*Días*(1+I.V.A.),Tabla!AM43,No._De_Pagos_con_periodo_de_gracia,-Monto_Crédito)))</f>
        <v>15171.261298093052</v>
      </c>
      <c r="W43" s="110">
        <f>IF($U$258&lt;=0,V43,IF(SUM($U$18:U43)&lt;=0,V43,PMT($K$5/360*Días,A43,-R43)))</f>
        <v>15171.261298093052</v>
      </c>
      <c r="X43" s="121">
        <f>IF($U$258&lt;=0,W43,IF(SUM($U$18:U43)&lt;=0,V43,PMT($K$5/360*Días,No._De_Pagos_con_periodo_de_gracia,-Monto_Crédito)-S43-T43))</f>
        <v>15171.261298093052</v>
      </c>
      <c r="Y43" s="117">
        <f t="shared" si="20"/>
        <v>15171.261298093052</v>
      </c>
      <c r="Z43" s="61">
        <f>+IF(A43="","",IF(No._de_Pagos-Tabla!A43+1&lt;=0,"",No._de_Pagos-Tabla!A43+1))</f>
        <v>35</v>
      </c>
      <c r="AA43" s="122">
        <f t="shared" si="21"/>
        <v>24943.372851817985</v>
      </c>
      <c r="AB43" s="124">
        <f t="shared" si="27"/>
        <v>583333.3333333343</v>
      </c>
      <c r="AC43" s="124">
        <f t="shared" si="9"/>
        <v>7194.7361111111231</v>
      </c>
      <c r="AD43" s="124">
        <f t="shared" si="10"/>
        <v>1151.1577777777798</v>
      </c>
      <c r="AE43" s="119">
        <f t="shared" si="22"/>
        <v>0</v>
      </c>
      <c r="AF43" s="120">
        <f t="shared" si="11"/>
        <v>16666.666666666668</v>
      </c>
      <c r="AG43" s="110">
        <f>IF($U$258&lt;=0,AF43,IF(SUM($U$18:U43)&lt;=0,AF43,PMT($K$5/360*Días,A43,-AA43)))</f>
        <v>16666.666666666668</v>
      </c>
      <c r="AH43" s="121">
        <f>IF(A43&lt;=Periodos_Gracia,0,IF($U$258&lt;=0,AG43,IF(SUM($U$18:U43)&lt;=0,AF43,PMT($K$5/360*Días,No._de_Pagos,-Monto_Crédito)-AC43-AD43)))</f>
        <v>16666.666666666668</v>
      </c>
      <c r="AI43" s="125">
        <f t="shared" si="23"/>
        <v>25012.56055555557</v>
      </c>
      <c r="AK43" s="126">
        <f>IF(A43="","",IF(Periodos_Gracia&gt;0,Tabla!AN43,V43+S43))</f>
        <v>23595.495396131788</v>
      </c>
      <c r="AL43" s="126">
        <f t="shared" si="12"/>
        <v>23861.402777777792</v>
      </c>
      <c r="AM43" s="61">
        <f t="shared" si="24"/>
        <v>26</v>
      </c>
      <c r="AN43" s="127">
        <f>IF(A43="","",IF(A43&lt;=Periodos_Gracia,Tabla!S43,PPMT(Tasa_Anual/360*Días*(1+I.V.A.),Tabla!AM43,No._De_Pagos_con_periodo_de_gracia,-Monto_Crédito)+S43))</f>
        <v>23595.495396131788</v>
      </c>
      <c r="AO43" s="127">
        <f>IF(A43="","",IF(A43&lt;=Periodos_Gracia,Tabla!AC43,Monto_Crédito/(No._De_Pagos_con_periodo_de_gracia)+AC43))</f>
        <v>23861.402777777792</v>
      </c>
      <c r="AP43" s="117"/>
    </row>
    <row r="44" spans="1:42" x14ac:dyDescent="0.2">
      <c r="A44" s="107">
        <f>IF(A43&lt;Parámetros!$E$6,A43+1,"")</f>
        <v>27</v>
      </c>
      <c r="B44" s="108">
        <f t="shared" si="25"/>
        <v>667847.05671918206</v>
      </c>
      <c r="C44" s="108">
        <f t="shared" si="0"/>
        <v>15388.32027572932</v>
      </c>
      <c r="D44" s="108">
        <f t="shared" si="1"/>
        <v>8237.114289731604</v>
      </c>
      <c r="E44" s="108">
        <f t="shared" si="2"/>
        <v>1317.9382863570568</v>
      </c>
      <c r="F44" s="108">
        <f t="shared" si="3"/>
        <v>24943.372851817981</v>
      </c>
      <c r="G44" s="114">
        <f t="shared" si="13"/>
        <v>652458.73644345277</v>
      </c>
      <c r="H44" s="115">
        <f t="shared" si="14"/>
        <v>1</v>
      </c>
      <c r="I44" s="108">
        <f t="shared" si="26"/>
        <v>566666.66666666768</v>
      </c>
      <c r="J44" s="108">
        <f t="shared" si="4"/>
        <v>16666.666666666668</v>
      </c>
      <c r="K44" s="108">
        <f t="shared" si="5"/>
        <v>6989.1722222222343</v>
      </c>
      <c r="L44" s="108">
        <f t="shared" si="6"/>
        <v>1118.2675555555575</v>
      </c>
      <c r="M44" s="108">
        <f t="shared" si="15"/>
        <v>24774.10644444446</v>
      </c>
      <c r="N44" s="114">
        <f t="shared" si="16"/>
        <v>550000.00000000105</v>
      </c>
      <c r="O44" s="60">
        <v>0</v>
      </c>
      <c r="P44" s="116">
        <f t="shared" si="17"/>
        <v>1</v>
      </c>
      <c r="R44" s="117">
        <f t="shared" si="28"/>
        <v>667847.05671918206</v>
      </c>
      <c r="S44" s="118">
        <f t="shared" si="7"/>
        <v>8237.1142897316058</v>
      </c>
      <c r="T44" s="118">
        <f t="shared" si="8"/>
        <v>1317.938286357057</v>
      </c>
      <c r="U44" s="119">
        <f t="shared" si="19"/>
        <v>0</v>
      </c>
      <c r="V44" s="120">
        <f>IF(A44="","",IF(A44&lt;=Periodos_Gracia,0,PPMT(Tasa_Anual/360*Días*(1+I.V.A.),Tabla!AM44,No._De_Pagos_con_periodo_de_gracia,-Monto_Crédito)))</f>
        <v>15388.32027572932</v>
      </c>
      <c r="W44" s="110">
        <f>IF($U$258&lt;=0,V44,IF(SUM($U$18:U44)&lt;=0,V44,PMT($K$5/360*Días,A44,-R44)))</f>
        <v>15388.32027572932</v>
      </c>
      <c r="X44" s="121">
        <f>IF($U$258&lt;=0,W44,IF(SUM($U$18:U44)&lt;=0,V44,PMT($K$5/360*Días,No._De_Pagos_con_periodo_de_gracia,-Monto_Crédito)-S44-T44))</f>
        <v>15388.32027572932</v>
      </c>
      <c r="Y44" s="117">
        <f t="shared" si="20"/>
        <v>15388.32027572932</v>
      </c>
      <c r="Z44" s="61">
        <f>+IF(A44="","",IF(No._de_Pagos-Tabla!A44+1&lt;=0,"",No._de_Pagos-Tabla!A44+1))</f>
        <v>34</v>
      </c>
      <c r="AA44" s="122">
        <f t="shared" si="21"/>
        <v>24943.372851817985</v>
      </c>
      <c r="AB44" s="124">
        <f t="shared" si="27"/>
        <v>566666.66666666768</v>
      </c>
      <c r="AC44" s="124">
        <f t="shared" si="9"/>
        <v>6989.1722222222352</v>
      </c>
      <c r="AD44" s="124">
        <f t="shared" si="10"/>
        <v>1118.2675555555577</v>
      </c>
      <c r="AE44" s="119">
        <f t="shared" si="22"/>
        <v>0</v>
      </c>
      <c r="AF44" s="120">
        <f t="shared" si="11"/>
        <v>16666.666666666668</v>
      </c>
      <c r="AG44" s="110">
        <f>IF($U$258&lt;=0,AF44,IF(SUM($U$18:U44)&lt;=0,AF44,PMT($K$5/360*Días,A44,-AA44)))</f>
        <v>16666.666666666668</v>
      </c>
      <c r="AH44" s="121">
        <f>IF(A44&lt;=Periodos_Gracia,0,IF($U$258&lt;=0,AG44,IF(SUM($U$18:U44)&lt;=0,AF44,PMT($K$5/360*Días,No._de_Pagos,-Monto_Crédito)-AC44-AD44)))</f>
        <v>16666.666666666668</v>
      </c>
      <c r="AI44" s="125">
        <f t="shared" si="23"/>
        <v>24774.10644444446</v>
      </c>
      <c r="AK44" s="126">
        <f>IF(A44="","",IF(Periodos_Gracia&gt;0,Tabla!AN44,V44+S44))</f>
        <v>23625.434565460928</v>
      </c>
      <c r="AL44" s="126">
        <f t="shared" si="12"/>
        <v>23655.838888888902</v>
      </c>
      <c r="AM44" s="61">
        <f t="shared" si="24"/>
        <v>27</v>
      </c>
      <c r="AN44" s="127">
        <f>IF(A44="","",IF(A44&lt;=Periodos_Gracia,Tabla!S44,PPMT(Tasa_Anual/360*Días*(1+I.V.A.),Tabla!AM44,No._De_Pagos_con_periodo_de_gracia,-Monto_Crédito)+S44))</f>
        <v>23625.434565460928</v>
      </c>
      <c r="AO44" s="127">
        <f>IF(A44="","",IF(A44&lt;=Periodos_Gracia,Tabla!AC44,Monto_Crédito/(No._De_Pagos_con_periodo_de_gracia)+AC44))</f>
        <v>23655.838888888902</v>
      </c>
      <c r="AP44" s="117"/>
    </row>
    <row r="45" spans="1:42" x14ac:dyDescent="0.2">
      <c r="A45" s="107">
        <f>IF(A44&lt;Parámetros!$E$6,A44+1,"")</f>
        <v>28</v>
      </c>
      <c r="B45" s="108">
        <f t="shared" si="25"/>
        <v>652458.73644345277</v>
      </c>
      <c r="C45" s="108">
        <f t="shared" si="0"/>
        <v>15608.484769699851</v>
      </c>
      <c r="D45" s="108">
        <f t="shared" si="1"/>
        <v>8047.317312170806</v>
      </c>
      <c r="E45" s="108">
        <f t="shared" si="2"/>
        <v>1287.5707699473289</v>
      </c>
      <c r="F45" s="108">
        <f t="shared" si="3"/>
        <v>24943.372851817985</v>
      </c>
      <c r="G45" s="114">
        <f t="shared" si="13"/>
        <v>636850.25167375291</v>
      </c>
      <c r="H45" s="115">
        <f t="shared" si="14"/>
        <v>1</v>
      </c>
      <c r="I45" s="108">
        <f t="shared" si="26"/>
        <v>550000.00000000105</v>
      </c>
      <c r="J45" s="108">
        <f t="shared" si="4"/>
        <v>16666.666666666668</v>
      </c>
      <c r="K45" s="108">
        <f t="shared" si="5"/>
        <v>6783.6083333333454</v>
      </c>
      <c r="L45" s="108">
        <f t="shared" si="6"/>
        <v>1085.3773333333352</v>
      </c>
      <c r="M45" s="108">
        <f t="shared" si="15"/>
        <v>24535.652333333346</v>
      </c>
      <c r="N45" s="114">
        <f t="shared" si="16"/>
        <v>533333.33333333442</v>
      </c>
      <c r="O45" s="60">
        <v>0</v>
      </c>
      <c r="P45" s="116">
        <f t="shared" si="17"/>
        <v>1</v>
      </c>
      <c r="R45" s="117">
        <f t="shared" si="28"/>
        <v>652458.73644345277</v>
      </c>
      <c r="S45" s="118">
        <f t="shared" si="7"/>
        <v>8047.3173121708069</v>
      </c>
      <c r="T45" s="118">
        <f t="shared" si="8"/>
        <v>1287.5707699473292</v>
      </c>
      <c r="U45" s="119">
        <f t="shared" si="19"/>
        <v>0</v>
      </c>
      <c r="V45" s="120">
        <f>IF(A45="","",IF(A45&lt;=Periodos_Gracia,0,PPMT(Tasa_Anual/360*Días*(1+I.V.A.),Tabla!AM45,No._De_Pagos_con_periodo_de_gracia,-Monto_Crédito)))</f>
        <v>15608.484769699851</v>
      </c>
      <c r="W45" s="110">
        <f>IF($U$258&lt;=0,V45,IF(SUM($U$18:U45)&lt;=0,V45,PMT($K$5/360*Días,A45,-R45)))</f>
        <v>15608.484769699851</v>
      </c>
      <c r="X45" s="121">
        <f>IF($U$258&lt;=0,W45,IF(SUM($U$18:U45)&lt;=0,V45,PMT($K$5/360*Días,No._De_Pagos_con_periodo_de_gracia,-Monto_Crédito)-S45-T45))</f>
        <v>15608.484769699851</v>
      </c>
      <c r="Y45" s="117">
        <f t="shared" si="20"/>
        <v>15608.484769699851</v>
      </c>
      <c r="Z45" s="61">
        <f>+IF(A45="","",IF(No._de_Pagos-Tabla!A45+1&lt;=0,"",No._de_Pagos-Tabla!A45+1))</f>
        <v>33</v>
      </c>
      <c r="AA45" s="122">
        <f t="shared" si="21"/>
        <v>24943.372851817985</v>
      </c>
      <c r="AB45" s="124">
        <f t="shared" si="27"/>
        <v>550000.00000000105</v>
      </c>
      <c r="AC45" s="124">
        <f t="shared" si="9"/>
        <v>6783.6083333333463</v>
      </c>
      <c r="AD45" s="124">
        <f t="shared" si="10"/>
        <v>1085.3773333333354</v>
      </c>
      <c r="AE45" s="119">
        <f t="shared" si="22"/>
        <v>0</v>
      </c>
      <c r="AF45" s="120">
        <f t="shared" si="11"/>
        <v>16666.666666666668</v>
      </c>
      <c r="AG45" s="110">
        <f>IF($U$258&lt;=0,AF45,IF(SUM($U$18:U45)&lt;=0,AF45,PMT($K$5/360*Días,A45,-AA45)))</f>
        <v>16666.666666666668</v>
      </c>
      <c r="AH45" s="121">
        <f>IF(A45&lt;=Periodos_Gracia,0,IF($U$258&lt;=0,AG45,IF(SUM($U$18:U45)&lt;=0,AF45,PMT($K$5/360*Días,No._de_Pagos,-Monto_Crédito)-AC45-AD45)))</f>
        <v>16666.666666666668</v>
      </c>
      <c r="AI45" s="125">
        <f t="shared" si="23"/>
        <v>24535.65233333335</v>
      </c>
      <c r="AK45" s="126">
        <f>IF(A45="","",IF(Periodos_Gracia&gt;0,Tabla!AN45,V45+S45))</f>
        <v>23655.802081870657</v>
      </c>
      <c r="AL45" s="126">
        <f t="shared" si="12"/>
        <v>23450.275000000016</v>
      </c>
      <c r="AM45" s="61">
        <f t="shared" si="24"/>
        <v>28</v>
      </c>
      <c r="AN45" s="127">
        <f>IF(A45="","",IF(A45&lt;=Periodos_Gracia,Tabla!S45,PPMT(Tasa_Anual/360*Días*(1+I.V.A.),Tabla!AM45,No._De_Pagos_con_periodo_de_gracia,-Monto_Crédito)+S45))</f>
        <v>23655.802081870657</v>
      </c>
      <c r="AO45" s="127">
        <f>IF(A45="","",IF(A45&lt;=Periodos_Gracia,Tabla!AC45,Monto_Crédito/(No._De_Pagos_con_periodo_de_gracia)+AC45))</f>
        <v>23450.275000000016</v>
      </c>
      <c r="AP45" s="117"/>
    </row>
    <row r="46" spans="1:42" x14ac:dyDescent="0.2">
      <c r="A46" s="107">
        <f>IF(A45&lt;Parámetros!$E$6,A45+1,"")</f>
        <v>29</v>
      </c>
      <c r="B46" s="108">
        <f t="shared" si="25"/>
        <v>636850.25167375291</v>
      </c>
      <c r="C46" s="108">
        <f t="shared" si="0"/>
        <v>15831.799211392854</v>
      </c>
      <c r="D46" s="108">
        <f t="shared" si="1"/>
        <v>7854.804862435456</v>
      </c>
      <c r="E46" s="108">
        <f t="shared" si="2"/>
        <v>1256.768777989673</v>
      </c>
      <c r="F46" s="108">
        <f t="shared" si="3"/>
        <v>24943.372851817985</v>
      </c>
      <c r="G46" s="114">
        <f t="shared" si="13"/>
        <v>621018.45246236003</v>
      </c>
      <c r="H46" s="115">
        <f t="shared" si="14"/>
        <v>1</v>
      </c>
      <c r="I46" s="108">
        <f t="shared" si="26"/>
        <v>533333.33333333442</v>
      </c>
      <c r="J46" s="108">
        <f t="shared" si="4"/>
        <v>16666.666666666668</v>
      </c>
      <c r="K46" s="108">
        <f t="shared" si="5"/>
        <v>6578.0444444444583</v>
      </c>
      <c r="L46" s="108">
        <f t="shared" si="6"/>
        <v>1052.4871111111133</v>
      </c>
      <c r="M46" s="108">
        <f t="shared" si="15"/>
        <v>24297.19822222224</v>
      </c>
      <c r="N46" s="114">
        <f t="shared" si="16"/>
        <v>516666.66666666773</v>
      </c>
      <c r="O46" s="60">
        <v>0</v>
      </c>
      <c r="P46" s="116">
        <f t="shared" si="17"/>
        <v>1</v>
      </c>
      <c r="R46" s="117">
        <f t="shared" si="28"/>
        <v>636850.25167375291</v>
      </c>
      <c r="S46" s="118">
        <f t="shared" si="7"/>
        <v>7854.804862435456</v>
      </c>
      <c r="T46" s="118">
        <f t="shared" si="8"/>
        <v>1256.768777989673</v>
      </c>
      <c r="U46" s="119">
        <f t="shared" si="19"/>
        <v>0</v>
      </c>
      <c r="V46" s="120">
        <f>IF(A46="","",IF(A46&lt;=Periodos_Gracia,0,PPMT(Tasa_Anual/360*Días*(1+I.V.A.),Tabla!AM46,No._De_Pagos_con_periodo_de_gracia,-Monto_Crédito)))</f>
        <v>15831.799211392854</v>
      </c>
      <c r="W46" s="110">
        <f>IF($U$258&lt;=0,V46,IF(SUM($U$18:U46)&lt;=0,V46,PMT($K$5/360*Días,A46,-R46)))</f>
        <v>15831.799211392854</v>
      </c>
      <c r="X46" s="121">
        <f>IF($U$258&lt;=0,W46,IF(SUM($U$18:U46)&lt;=0,V46,PMT($K$5/360*Días,No._De_Pagos_con_periodo_de_gracia,-Monto_Crédito)-S46-T46))</f>
        <v>15831.799211392854</v>
      </c>
      <c r="Y46" s="117">
        <f t="shared" si="20"/>
        <v>15831.799211392854</v>
      </c>
      <c r="Z46" s="61">
        <f>+IF(A46="","",IF(No._de_Pagos-Tabla!A46+1&lt;=0,"",No._de_Pagos-Tabla!A46+1))</f>
        <v>32</v>
      </c>
      <c r="AA46" s="122">
        <f t="shared" si="21"/>
        <v>24943.372851817985</v>
      </c>
      <c r="AB46" s="124">
        <f t="shared" si="27"/>
        <v>533333.33333333442</v>
      </c>
      <c r="AC46" s="124">
        <f t="shared" si="9"/>
        <v>6578.0444444444583</v>
      </c>
      <c r="AD46" s="124">
        <f t="shared" si="10"/>
        <v>1052.4871111111133</v>
      </c>
      <c r="AE46" s="119">
        <f t="shared" si="22"/>
        <v>0</v>
      </c>
      <c r="AF46" s="120">
        <f t="shared" si="11"/>
        <v>16666.666666666668</v>
      </c>
      <c r="AG46" s="110">
        <f>IF($U$258&lt;=0,AF46,IF(SUM($U$18:U46)&lt;=0,AF46,PMT($K$5/360*Días,A46,-AA46)))</f>
        <v>16666.666666666668</v>
      </c>
      <c r="AH46" s="121">
        <f>IF(A46&lt;=Periodos_Gracia,0,IF($U$258&lt;=0,AG46,IF(SUM($U$18:U46)&lt;=0,AF46,PMT($K$5/360*Días,No._de_Pagos,-Monto_Crédito)-AC46-AD46)))</f>
        <v>16666.666666666668</v>
      </c>
      <c r="AI46" s="125">
        <f t="shared" si="23"/>
        <v>24297.19822222224</v>
      </c>
      <c r="AK46" s="126">
        <f>IF(A46="","",IF(Periodos_Gracia&gt;0,Tabla!AN46,V46+S46))</f>
        <v>23686.604073828312</v>
      </c>
      <c r="AL46" s="126">
        <f t="shared" si="12"/>
        <v>23244.711111111126</v>
      </c>
      <c r="AM46" s="61">
        <f t="shared" si="24"/>
        <v>29</v>
      </c>
      <c r="AN46" s="127">
        <f>IF(A46="","",IF(A46&lt;=Periodos_Gracia,Tabla!S46,PPMT(Tasa_Anual/360*Días*(1+I.V.A.),Tabla!AM46,No._De_Pagos_con_periodo_de_gracia,-Monto_Crédito)+S46))</f>
        <v>23686.604073828312</v>
      </c>
      <c r="AO46" s="127">
        <f>IF(A46="","",IF(A46&lt;=Periodos_Gracia,Tabla!AC46,Monto_Crédito/(No._De_Pagos_con_periodo_de_gracia)+AC46))</f>
        <v>23244.711111111126</v>
      </c>
      <c r="AP46" s="117"/>
    </row>
    <row r="47" spans="1:42" x14ac:dyDescent="0.2">
      <c r="A47" s="107">
        <f>IF(A46&lt;Parámetros!$E$6,A46+1,"")</f>
        <v>30</v>
      </c>
      <c r="B47" s="108">
        <f t="shared" si="25"/>
        <v>621018.45246236003</v>
      </c>
      <c r="C47" s="108">
        <f t="shared" si="0"/>
        <v>16058.30866788739</v>
      </c>
      <c r="D47" s="108">
        <f t="shared" si="1"/>
        <v>7659.5380895953385</v>
      </c>
      <c r="E47" s="108">
        <f t="shared" si="2"/>
        <v>1225.5260943352541</v>
      </c>
      <c r="F47" s="108">
        <f t="shared" si="3"/>
        <v>24943.372851817985</v>
      </c>
      <c r="G47" s="114">
        <f t="shared" si="13"/>
        <v>604960.14379447268</v>
      </c>
      <c r="H47" s="115">
        <f t="shared" si="14"/>
        <v>1</v>
      </c>
      <c r="I47" s="108">
        <f t="shared" si="26"/>
        <v>516666.66666666773</v>
      </c>
      <c r="J47" s="108">
        <f t="shared" si="4"/>
        <v>16666.666666666668</v>
      </c>
      <c r="K47" s="108">
        <f t="shared" si="5"/>
        <v>6372.4805555555686</v>
      </c>
      <c r="L47" s="108">
        <f t="shared" si="6"/>
        <v>1019.596888888891</v>
      </c>
      <c r="M47" s="108">
        <f t="shared" si="15"/>
        <v>24058.744111111126</v>
      </c>
      <c r="N47" s="114">
        <f t="shared" si="16"/>
        <v>500000.00000000105</v>
      </c>
      <c r="O47" s="60">
        <v>0</v>
      </c>
      <c r="P47" s="116">
        <f t="shared" si="17"/>
        <v>1</v>
      </c>
      <c r="R47" s="117">
        <f t="shared" si="28"/>
        <v>621018.45246236003</v>
      </c>
      <c r="S47" s="118">
        <f t="shared" si="7"/>
        <v>7659.5380895953385</v>
      </c>
      <c r="T47" s="118">
        <f t="shared" si="8"/>
        <v>1225.5260943352541</v>
      </c>
      <c r="U47" s="119">
        <f t="shared" si="19"/>
        <v>0</v>
      </c>
      <c r="V47" s="120">
        <f>IF(A47="","",IF(A47&lt;=Periodos_Gracia,0,PPMT(Tasa_Anual/360*Días*(1+I.V.A.),Tabla!AM47,No._De_Pagos_con_periodo_de_gracia,-Monto_Crédito)))</f>
        <v>16058.30866788739</v>
      </c>
      <c r="W47" s="110">
        <f>IF($U$258&lt;=0,V47,IF(SUM($U$18:U47)&lt;=0,V47,PMT($K$5/360*Días,A47,-R47)))</f>
        <v>16058.30866788739</v>
      </c>
      <c r="X47" s="121">
        <f>IF($U$258&lt;=0,W47,IF(SUM($U$18:U47)&lt;=0,V47,PMT($K$5/360*Días,No._De_Pagos_con_periodo_de_gracia,-Monto_Crédito)-S47-T47))</f>
        <v>16058.30866788739</v>
      </c>
      <c r="Y47" s="117">
        <f t="shared" si="20"/>
        <v>16058.30866788739</v>
      </c>
      <c r="Z47" s="61">
        <f>+IF(A47="","",IF(No._de_Pagos-Tabla!A47+1&lt;=0,"",No._de_Pagos-Tabla!A47+1))</f>
        <v>31</v>
      </c>
      <c r="AA47" s="122">
        <f t="shared" si="21"/>
        <v>24943.372851817985</v>
      </c>
      <c r="AB47" s="124">
        <f t="shared" si="27"/>
        <v>516666.66666666773</v>
      </c>
      <c r="AC47" s="124">
        <f t="shared" si="9"/>
        <v>6372.4805555555686</v>
      </c>
      <c r="AD47" s="124">
        <f t="shared" si="10"/>
        <v>1019.596888888891</v>
      </c>
      <c r="AE47" s="119">
        <f t="shared" si="22"/>
        <v>0</v>
      </c>
      <c r="AF47" s="120">
        <f t="shared" si="11"/>
        <v>16666.666666666668</v>
      </c>
      <c r="AG47" s="110">
        <f>IF($U$258&lt;=0,AF47,IF(SUM($U$18:U47)&lt;=0,AF47,PMT($K$5/360*Días,A47,-AA47)))</f>
        <v>16666.666666666668</v>
      </c>
      <c r="AH47" s="121">
        <f>IF(A47&lt;=Periodos_Gracia,0,IF($U$258&lt;=0,AG47,IF(SUM($U$18:U47)&lt;=0,AF47,PMT($K$5/360*Días,No._de_Pagos,-Monto_Crédito)-AC47-AD47)))</f>
        <v>16666.666666666668</v>
      </c>
      <c r="AI47" s="125">
        <f t="shared" si="23"/>
        <v>24058.744111111126</v>
      </c>
      <c r="AK47" s="126">
        <f>IF(A47="","",IF(Periodos_Gracia&gt;0,Tabla!AN47,V47+S47))</f>
        <v>23717.84675748273</v>
      </c>
      <c r="AL47" s="126">
        <f t="shared" si="12"/>
        <v>23039.147222222236</v>
      </c>
      <c r="AM47" s="61">
        <f t="shared" si="24"/>
        <v>30</v>
      </c>
      <c r="AN47" s="127">
        <f>IF(A47="","",IF(A47&lt;=Periodos_Gracia,Tabla!S47,PPMT(Tasa_Anual/360*Días*(1+I.V.A.),Tabla!AM47,No._De_Pagos_con_periodo_de_gracia,-Monto_Crédito)+S47))</f>
        <v>23717.84675748273</v>
      </c>
      <c r="AO47" s="127">
        <f>IF(A47="","",IF(A47&lt;=Periodos_Gracia,Tabla!AC47,Monto_Crédito/(No._De_Pagos_con_periodo_de_gracia)+AC47))</f>
        <v>23039.147222222236</v>
      </c>
      <c r="AP47" s="117"/>
    </row>
    <row r="48" spans="1:42" x14ac:dyDescent="0.2">
      <c r="A48" s="107">
        <f>IF(A47&lt;Parámetros!$E$6,A47+1,"")</f>
        <v>31</v>
      </c>
      <c r="B48" s="108">
        <f t="shared" si="25"/>
        <v>604960.14379447268</v>
      </c>
      <c r="C48" s="108">
        <f t="shared" si="0"/>
        <v>16288.058851048325</v>
      </c>
      <c r="D48" s="108">
        <f t="shared" si="1"/>
        <v>7461.4775868703937</v>
      </c>
      <c r="E48" s="108">
        <f t="shared" si="2"/>
        <v>1193.8364138992631</v>
      </c>
      <c r="F48" s="108">
        <f t="shared" si="3"/>
        <v>24943.372851817981</v>
      </c>
      <c r="G48" s="114">
        <f t="shared" si="13"/>
        <v>588672.08494342433</v>
      </c>
      <c r="H48" s="115">
        <f t="shared" si="14"/>
        <v>1</v>
      </c>
      <c r="I48" s="108">
        <f t="shared" si="26"/>
        <v>500000.00000000105</v>
      </c>
      <c r="J48" s="108">
        <f t="shared" si="4"/>
        <v>16666.666666666668</v>
      </c>
      <c r="K48" s="108">
        <f t="shared" si="5"/>
        <v>6166.9166666666797</v>
      </c>
      <c r="L48" s="108">
        <f t="shared" si="6"/>
        <v>986.70666666666875</v>
      </c>
      <c r="M48" s="108">
        <f t="shared" si="15"/>
        <v>23820.290000000015</v>
      </c>
      <c r="N48" s="114">
        <f t="shared" si="16"/>
        <v>483333.33333333436</v>
      </c>
      <c r="O48" s="60">
        <v>0</v>
      </c>
      <c r="P48" s="116">
        <f t="shared" si="17"/>
        <v>1</v>
      </c>
      <c r="R48" s="117">
        <f t="shared" si="28"/>
        <v>604960.14379447268</v>
      </c>
      <c r="S48" s="118">
        <f t="shared" si="7"/>
        <v>7461.4775868703937</v>
      </c>
      <c r="T48" s="118">
        <f t="shared" si="8"/>
        <v>1193.8364138992631</v>
      </c>
      <c r="U48" s="119">
        <f t="shared" si="19"/>
        <v>0</v>
      </c>
      <c r="V48" s="120">
        <f>IF(A48="","",IF(A48&lt;=Periodos_Gracia,0,PPMT(Tasa_Anual/360*Días*(1+I.V.A.),Tabla!AM48,No._De_Pagos_con_periodo_de_gracia,-Monto_Crédito)))</f>
        <v>16288.058851048325</v>
      </c>
      <c r="W48" s="110">
        <f>IF($U$258&lt;=0,V48,IF(SUM($U$18:U48)&lt;=0,V48,PMT($K$5/360*Días,A48,-R48)))</f>
        <v>16288.058851048325</v>
      </c>
      <c r="X48" s="121">
        <f>IF($U$258&lt;=0,W48,IF(SUM($U$18:U48)&lt;=0,V48,PMT($K$5/360*Días,No._De_Pagos_con_periodo_de_gracia,-Monto_Crédito)-S48-T48))</f>
        <v>16288.058851048325</v>
      </c>
      <c r="Y48" s="117">
        <f t="shared" si="20"/>
        <v>16288.058851048325</v>
      </c>
      <c r="Z48" s="61">
        <f>+IF(A48="","",IF(No._de_Pagos-Tabla!A48+1&lt;=0,"",No._de_Pagos-Tabla!A48+1))</f>
        <v>30</v>
      </c>
      <c r="AA48" s="122">
        <f t="shared" si="21"/>
        <v>24943.372851817981</v>
      </c>
      <c r="AB48" s="124">
        <f t="shared" si="27"/>
        <v>500000.00000000105</v>
      </c>
      <c r="AC48" s="124">
        <f t="shared" si="9"/>
        <v>6166.9166666666797</v>
      </c>
      <c r="AD48" s="124">
        <f t="shared" si="10"/>
        <v>986.70666666666875</v>
      </c>
      <c r="AE48" s="119">
        <f t="shared" si="22"/>
        <v>0</v>
      </c>
      <c r="AF48" s="120">
        <f t="shared" si="11"/>
        <v>16666.666666666668</v>
      </c>
      <c r="AG48" s="110">
        <f>IF($U$258&lt;=0,AF48,IF(SUM($U$18:U48)&lt;=0,AF48,PMT($K$5/360*Días,A48,-AA48)))</f>
        <v>16666.666666666668</v>
      </c>
      <c r="AH48" s="121">
        <f>IF(A48&lt;=Periodos_Gracia,0,IF($U$258&lt;=0,AG48,IF(SUM($U$18:U48)&lt;=0,AF48,PMT($K$5/360*Días,No._de_Pagos,-Monto_Crédito)-AC48-AD48)))</f>
        <v>16666.666666666668</v>
      </c>
      <c r="AI48" s="125">
        <f t="shared" si="23"/>
        <v>23820.290000000015</v>
      </c>
      <c r="AK48" s="126">
        <f>IF(A48="","",IF(Periodos_Gracia&gt;0,Tabla!AN48,V48+S48))</f>
        <v>23749.536437918719</v>
      </c>
      <c r="AL48" s="126">
        <f t="shared" si="12"/>
        <v>22833.583333333347</v>
      </c>
      <c r="AM48" s="61">
        <f t="shared" si="24"/>
        <v>31</v>
      </c>
      <c r="AN48" s="127">
        <f>IF(A48="","",IF(A48&lt;=Periodos_Gracia,Tabla!S48,PPMT(Tasa_Anual/360*Días*(1+I.V.A.),Tabla!AM48,No._De_Pagos_con_periodo_de_gracia,-Monto_Crédito)+S48))</f>
        <v>23749.536437918719</v>
      </c>
      <c r="AO48" s="127">
        <f>IF(A48="","",IF(A48&lt;=Periodos_Gracia,Tabla!AC48,Monto_Crédito/(No._De_Pagos_con_periodo_de_gracia)+AC48))</f>
        <v>22833.583333333347</v>
      </c>
      <c r="AP48" s="117"/>
    </row>
    <row r="49" spans="1:42" x14ac:dyDescent="0.2">
      <c r="A49" s="107">
        <f>IF(A48&lt;Parámetros!$E$6,A48+1,"")</f>
        <v>32</v>
      </c>
      <c r="B49" s="108">
        <f t="shared" si="25"/>
        <v>588672.08494342433</v>
      </c>
      <c r="C49" s="108">
        <f t="shared" si="0"/>
        <v>16521.096126751458</v>
      </c>
      <c r="D49" s="108">
        <f t="shared" si="1"/>
        <v>7260.5833836780375</v>
      </c>
      <c r="E49" s="108">
        <f t="shared" si="2"/>
        <v>1161.693341388486</v>
      </c>
      <c r="F49" s="108">
        <f t="shared" si="3"/>
        <v>24943.372851817981</v>
      </c>
      <c r="G49" s="114">
        <f t="shared" si="13"/>
        <v>572150.98881667282</v>
      </c>
      <c r="H49" s="115">
        <f t="shared" si="14"/>
        <v>1</v>
      </c>
      <c r="I49" s="108">
        <f t="shared" si="26"/>
        <v>483333.33333333436</v>
      </c>
      <c r="J49" s="108">
        <f t="shared" si="4"/>
        <v>16666.666666666668</v>
      </c>
      <c r="K49" s="108">
        <f t="shared" si="5"/>
        <v>5961.3527777777899</v>
      </c>
      <c r="L49" s="108">
        <f t="shared" si="6"/>
        <v>953.81644444444646</v>
      </c>
      <c r="M49" s="108">
        <f t="shared" si="15"/>
        <v>23581.835888888905</v>
      </c>
      <c r="N49" s="114">
        <f t="shared" si="16"/>
        <v>466666.66666666768</v>
      </c>
      <c r="O49" s="60">
        <v>0</v>
      </c>
      <c r="P49" s="116">
        <f t="shared" si="17"/>
        <v>1</v>
      </c>
      <c r="R49" s="117">
        <f t="shared" si="28"/>
        <v>588672.08494342433</v>
      </c>
      <c r="S49" s="118">
        <f t="shared" si="7"/>
        <v>7260.5833836780384</v>
      </c>
      <c r="T49" s="118">
        <f t="shared" si="8"/>
        <v>1161.6933413884863</v>
      </c>
      <c r="U49" s="119">
        <f t="shared" si="19"/>
        <v>0</v>
      </c>
      <c r="V49" s="120">
        <f>IF(A49="","",IF(A49&lt;=Periodos_Gracia,0,PPMT(Tasa_Anual/360*Días*(1+I.V.A.),Tabla!AM49,No._De_Pagos_con_periodo_de_gracia,-Monto_Crédito)))</f>
        <v>16521.096126751458</v>
      </c>
      <c r="W49" s="110">
        <f>IF($U$258&lt;=0,V49,IF(SUM($U$18:U49)&lt;=0,V49,PMT($K$5/360*Días,A49,-R49)))</f>
        <v>16521.096126751458</v>
      </c>
      <c r="X49" s="121">
        <f>IF($U$258&lt;=0,W49,IF(SUM($U$18:U49)&lt;=0,V49,PMT($K$5/360*Días,No._De_Pagos_con_periodo_de_gracia,-Monto_Crédito)-S49-T49))</f>
        <v>16521.096126751458</v>
      </c>
      <c r="Y49" s="117">
        <f t="shared" si="20"/>
        <v>16521.096126751458</v>
      </c>
      <c r="Z49" s="61">
        <f>+IF(A49="","",IF(No._de_Pagos-Tabla!A49+1&lt;=0,"",No._de_Pagos-Tabla!A49+1))</f>
        <v>29</v>
      </c>
      <c r="AA49" s="122">
        <f t="shared" si="21"/>
        <v>24943.372851817981</v>
      </c>
      <c r="AB49" s="124">
        <f t="shared" si="27"/>
        <v>483333.33333333436</v>
      </c>
      <c r="AC49" s="124">
        <f t="shared" si="9"/>
        <v>5961.3527777777908</v>
      </c>
      <c r="AD49" s="124">
        <f t="shared" si="10"/>
        <v>953.81644444444657</v>
      </c>
      <c r="AE49" s="119">
        <f t="shared" si="22"/>
        <v>0</v>
      </c>
      <c r="AF49" s="120">
        <f t="shared" si="11"/>
        <v>16666.666666666668</v>
      </c>
      <c r="AG49" s="110">
        <f>IF($U$258&lt;=0,AF49,IF(SUM($U$18:U49)&lt;=0,AF49,PMT($K$5/360*Días,A49,-AA49)))</f>
        <v>16666.666666666668</v>
      </c>
      <c r="AH49" s="121">
        <f>IF(A49&lt;=Periodos_Gracia,0,IF($U$258&lt;=0,AG49,IF(SUM($U$18:U49)&lt;=0,AF49,PMT($K$5/360*Días,No._de_Pagos,-Monto_Crédito)-AC49-AD49)))</f>
        <v>16666.666666666668</v>
      </c>
      <c r="AI49" s="125">
        <f t="shared" si="23"/>
        <v>23581.835888888905</v>
      </c>
      <c r="AK49" s="126">
        <f>IF(A49="","",IF(Periodos_Gracia&gt;0,Tabla!AN49,V49+S49))</f>
        <v>23781.679510429494</v>
      </c>
      <c r="AL49" s="126">
        <f t="shared" si="12"/>
        <v>22628.019444444457</v>
      </c>
      <c r="AM49" s="61">
        <f t="shared" si="24"/>
        <v>32</v>
      </c>
      <c r="AN49" s="127">
        <f>IF(A49="","",IF(A49&lt;=Periodos_Gracia,Tabla!S49,PPMT(Tasa_Anual/360*Días*(1+I.V.A.),Tabla!AM49,No._De_Pagos_con_periodo_de_gracia,-Monto_Crédito)+S49))</f>
        <v>23781.679510429494</v>
      </c>
      <c r="AO49" s="127">
        <f>IF(A49="","",IF(A49&lt;=Periodos_Gracia,Tabla!AC49,Monto_Crédito/(No._De_Pagos_con_periodo_de_gracia)+AC49))</f>
        <v>22628.019444444457</v>
      </c>
      <c r="AP49" s="117"/>
    </row>
    <row r="50" spans="1:42" x14ac:dyDescent="0.2">
      <c r="A50" s="107">
        <f>IF(A49&lt;Parámetros!$E$6,A49+1,"")</f>
        <v>33</v>
      </c>
      <c r="B50" s="108">
        <f t="shared" si="25"/>
        <v>572150.98881667282</v>
      </c>
      <c r="C50" s="108">
        <f t="shared" si="0"/>
        <v>16757.467524240605</v>
      </c>
      <c r="D50" s="108">
        <f t="shared" si="1"/>
        <v>7056.8149375667062</v>
      </c>
      <c r="E50" s="108">
        <f t="shared" si="2"/>
        <v>1129.090390010673</v>
      </c>
      <c r="F50" s="108">
        <f t="shared" si="3"/>
        <v>24943.372851817981</v>
      </c>
      <c r="G50" s="114">
        <f t="shared" si="13"/>
        <v>555393.52129243221</v>
      </c>
      <c r="H50" s="115">
        <f t="shared" si="14"/>
        <v>1</v>
      </c>
      <c r="I50" s="108">
        <f t="shared" si="26"/>
        <v>466666.66666666768</v>
      </c>
      <c r="J50" s="108">
        <f t="shared" si="4"/>
        <v>16666.666666666668</v>
      </c>
      <c r="K50" s="108">
        <f t="shared" si="5"/>
        <v>5755.788888888902</v>
      </c>
      <c r="L50" s="108">
        <f t="shared" si="6"/>
        <v>920.92622222222428</v>
      </c>
      <c r="M50" s="108">
        <f t="shared" si="15"/>
        <v>23343.381777777795</v>
      </c>
      <c r="N50" s="114">
        <f t="shared" si="16"/>
        <v>450000.00000000099</v>
      </c>
      <c r="O50" s="60">
        <v>0</v>
      </c>
      <c r="P50" s="116">
        <f t="shared" si="17"/>
        <v>1</v>
      </c>
      <c r="R50" s="117">
        <f t="shared" si="28"/>
        <v>572150.98881667282</v>
      </c>
      <c r="S50" s="118">
        <f t="shared" si="7"/>
        <v>7056.8149375667072</v>
      </c>
      <c r="T50" s="118">
        <f t="shared" si="8"/>
        <v>1129.0903900106732</v>
      </c>
      <c r="U50" s="119">
        <f t="shared" si="19"/>
        <v>0</v>
      </c>
      <c r="V50" s="120">
        <f>IF(A50="","",IF(A50&lt;=Periodos_Gracia,0,PPMT(Tasa_Anual/360*Días*(1+I.V.A.),Tabla!AM50,No._De_Pagos_con_periodo_de_gracia,-Monto_Crédito)))</f>
        <v>16757.467524240605</v>
      </c>
      <c r="W50" s="110">
        <f>IF($U$258&lt;=0,V50,IF(SUM($U$18:U50)&lt;=0,V50,PMT($K$5/360*Días,A50,-R50)))</f>
        <v>16757.467524240605</v>
      </c>
      <c r="X50" s="121">
        <f>IF($U$258&lt;=0,W50,IF(SUM($U$18:U50)&lt;=0,V50,PMT($K$5/360*Días,No._De_Pagos_con_periodo_de_gracia,-Monto_Crédito)-S50-T50))</f>
        <v>16757.467524240605</v>
      </c>
      <c r="Y50" s="117">
        <f t="shared" si="20"/>
        <v>16757.467524240605</v>
      </c>
      <c r="Z50" s="61">
        <f>+IF(A50="","",IF(No._de_Pagos-Tabla!A50+1&lt;=0,"",No._de_Pagos-Tabla!A50+1))</f>
        <v>28</v>
      </c>
      <c r="AA50" s="122">
        <f t="shared" si="21"/>
        <v>24943.372851817985</v>
      </c>
      <c r="AB50" s="124">
        <f t="shared" si="27"/>
        <v>466666.66666666768</v>
      </c>
      <c r="AC50" s="124">
        <f t="shared" si="9"/>
        <v>5755.788888888902</v>
      </c>
      <c r="AD50" s="124">
        <f t="shared" si="10"/>
        <v>920.92622222222428</v>
      </c>
      <c r="AE50" s="119">
        <f t="shared" si="22"/>
        <v>0</v>
      </c>
      <c r="AF50" s="120">
        <f t="shared" si="11"/>
        <v>16666.666666666668</v>
      </c>
      <c r="AG50" s="110">
        <f>IF($U$258&lt;=0,AF50,IF(SUM($U$18:U50)&lt;=0,AF50,PMT($K$5/360*Días,A50,-AA50)))</f>
        <v>16666.666666666668</v>
      </c>
      <c r="AH50" s="121">
        <f>IF(A50&lt;=Periodos_Gracia,0,IF($U$258&lt;=0,AG50,IF(SUM($U$18:U50)&lt;=0,AF50,PMT($K$5/360*Días,No._de_Pagos,-Monto_Crédito)-AC50-AD50)))</f>
        <v>16666.666666666668</v>
      </c>
      <c r="AI50" s="125">
        <f t="shared" si="23"/>
        <v>23343.381777777795</v>
      </c>
      <c r="AK50" s="126">
        <f>IF(A50="","",IF(Periodos_Gracia&gt;0,Tabla!AN50,V50+S50))</f>
        <v>23814.282461807314</v>
      </c>
      <c r="AL50" s="126">
        <f t="shared" si="12"/>
        <v>22422.455555555571</v>
      </c>
      <c r="AM50" s="61">
        <f t="shared" si="24"/>
        <v>33</v>
      </c>
      <c r="AN50" s="127">
        <f>IF(A50="","",IF(A50&lt;=Periodos_Gracia,Tabla!S50,PPMT(Tasa_Anual/360*Días*(1+I.V.A.),Tabla!AM50,No._De_Pagos_con_periodo_de_gracia,-Monto_Crédito)+S50))</f>
        <v>23814.282461807314</v>
      </c>
      <c r="AO50" s="127">
        <f>IF(A50="","",IF(A50&lt;=Periodos_Gracia,Tabla!AC50,Monto_Crédito/(No._De_Pagos_con_periodo_de_gracia)+AC50))</f>
        <v>22422.455555555571</v>
      </c>
      <c r="AP50" s="117"/>
    </row>
    <row r="51" spans="1:42" x14ac:dyDescent="0.2">
      <c r="A51" s="107">
        <f>IF(A50&lt;Parámetros!$E$6,A50+1,"")</f>
        <v>34</v>
      </c>
      <c r="B51" s="108">
        <f t="shared" si="25"/>
        <v>555393.52129243221</v>
      </c>
      <c r="C51" s="108">
        <f t="shared" si="0"/>
        <v>16997.220745618568</v>
      </c>
      <c r="D51" s="108">
        <f t="shared" si="1"/>
        <v>6850.1311260339762</v>
      </c>
      <c r="E51" s="108">
        <f t="shared" si="2"/>
        <v>1096.0209801654362</v>
      </c>
      <c r="F51" s="108">
        <f t="shared" si="3"/>
        <v>24943.372851817978</v>
      </c>
      <c r="G51" s="114">
        <f t="shared" si="13"/>
        <v>538396.30054681364</v>
      </c>
      <c r="H51" s="115">
        <f t="shared" si="14"/>
        <v>1</v>
      </c>
      <c r="I51" s="108">
        <f t="shared" si="26"/>
        <v>450000.00000000099</v>
      </c>
      <c r="J51" s="108">
        <f t="shared" si="4"/>
        <v>16666.666666666668</v>
      </c>
      <c r="K51" s="108">
        <f t="shared" si="5"/>
        <v>5550.2250000000122</v>
      </c>
      <c r="L51" s="108">
        <f t="shared" si="6"/>
        <v>888.03600000000199</v>
      </c>
      <c r="M51" s="108">
        <f t="shared" si="15"/>
        <v>23104.927666666685</v>
      </c>
      <c r="N51" s="114">
        <f t="shared" si="16"/>
        <v>433333.3333333343</v>
      </c>
      <c r="O51" s="60">
        <v>0</v>
      </c>
      <c r="P51" s="116">
        <f t="shared" si="17"/>
        <v>1</v>
      </c>
      <c r="R51" s="117">
        <f t="shared" si="28"/>
        <v>555393.52129243221</v>
      </c>
      <c r="S51" s="118">
        <f t="shared" si="7"/>
        <v>6850.1311260339762</v>
      </c>
      <c r="T51" s="118">
        <f t="shared" si="8"/>
        <v>1096.0209801654362</v>
      </c>
      <c r="U51" s="119">
        <f t="shared" si="19"/>
        <v>0</v>
      </c>
      <c r="V51" s="120">
        <f>IF(A51="","",IF(A51&lt;=Periodos_Gracia,0,PPMT(Tasa_Anual/360*Días*(1+I.V.A.),Tabla!AM51,No._De_Pagos_con_periodo_de_gracia,-Monto_Crédito)))</f>
        <v>16997.220745618568</v>
      </c>
      <c r="W51" s="110">
        <f>IF($U$258&lt;=0,V51,IF(SUM($U$18:U51)&lt;=0,V51,PMT($K$5/360*Días,A51,-R51)))</f>
        <v>16997.220745618568</v>
      </c>
      <c r="X51" s="121">
        <f>IF($U$258&lt;=0,W51,IF(SUM($U$18:U51)&lt;=0,V51,PMT($K$5/360*Días,No._De_Pagos_con_periodo_de_gracia,-Monto_Crédito)-S51-T51))</f>
        <v>16997.220745618568</v>
      </c>
      <c r="Y51" s="117">
        <f t="shared" si="20"/>
        <v>16997.220745618568</v>
      </c>
      <c r="Z51" s="61">
        <f>+IF(A51="","",IF(No._de_Pagos-Tabla!A51+1&lt;=0,"",No._de_Pagos-Tabla!A51+1))</f>
        <v>27</v>
      </c>
      <c r="AA51" s="122">
        <f t="shared" si="21"/>
        <v>24943.372851817978</v>
      </c>
      <c r="AB51" s="124">
        <f t="shared" si="27"/>
        <v>450000.00000000099</v>
      </c>
      <c r="AC51" s="124">
        <f t="shared" si="9"/>
        <v>5550.2250000000122</v>
      </c>
      <c r="AD51" s="124">
        <f t="shared" si="10"/>
        <v>888.03600000000199</v>
      </c>
      <c r="AE51" s="119">
        <f t="shared" si="22"/>
        <v>0</v>
      </c>
      <c r="AF51" s="120">
        <f t="shared" si="11"/>
        <v>16666.666666666668</v>
      </c>
      <c r="AG51" s="110">
        <f>IF($U$258&lt;=0,AF51,IF(SUM($U$18:U51)&lt;=0,AF51,PMT($K$5/360*Días,A51,-AA51)))</f>
        <v>16666.666666666668</v>
      </c>
      <c r="AH51" s="121">
        <f>IF(A51&lt;=Periodos_Gracia,0,IF($U$258&lt;=0,AG51,IF(SUM($U$18:U51)&lt;=0,AF51,PMT($K$5/360*Días,No._de_Pagos,-Monto_Crédito)-AC51-AD51)))</f>
        <v>16666.666666666668</v>
      </c>
      <c r="AI51" s="125">
        <f t="shared" si="23"/>
        <v>23104.927666666685</v>
      </c>
      <c r="AK51" s="126">
        <f>IF(A51="","",IF(Periodos_Gracia&gt;0,Tabla!AN51,V51+S51))</f>
        <v>23847.351871652543</v>
      </c>
      <c r="AL51" s="126">
        <f t="shared" si="12"/>
        <v>22216.891666666681</v>
      </c>
      <c r="AM51" s="61">
        <f t="shared" si="24"/>
        <v>34</v>
      </c>
      <c r="AN51" s="127">
        <f>IF(A51="","",IF(A51&lt;=Periodos_Gracia,Tabla!S51,PPMT(Tasa_Anual/360*Días*(1+I.V.A.),Tabla!AM51,No._De_Pagos_con_periodo_de_gracia,-Monto_Crédito)+S51))</f>
        <v>23847.351871652543</v>
      </c>
      <c r="AO51" s="127">
        <f>IF(A51="","",IF(A51&lt;=Periodos_Gracia,Tabla!AC51,Monto_Crédito/(No._De_Pagos_con_periodo_de_gracia)+AC51))</f>
        <v>22216.891666666681</v>
      </c>
      <c r="AP51" s="117"/>
    </row>
    <row r="52" spans="1:42" x14ac:dyDescent="0.2">
      <c r="A52" s="107">
        <f>IF(A51&lt;Parámetros!$E$6,A51+1,"")</f>
        <v>35</v>
      </c>
      <c r="B52" s="108">
        <f t="shared" si="25"/>
        <v>538396.30054681364</v>
      </c>
      <c r="C52" s="108">
        <f t="shared" si="0"/>
        <v>17240.404175473919</v>
      </c>
      <c r="D52" s="108">
        <f t="shared" si="1"/>
        <v>6640.4902382276414</v>
      </c>
      <c r="E52" s="108">
        <f t="shared" si="2"/>
        <v>1062.4784381164227</v>
      </c>
      <c r="F52" s="108">
        <f t="shared" si="3"/>
        <v>24943.372851817985</v>
      </c>
      <c r="G52" s="114">
        <f t="shared" si="13"/>
        <v>521155.89637133974</v>
      </c>
      <c r="H52" s="115">
        <f t="shared" si="14"/>
        <v>1</v>
      </c>
      <c r="I52" s="108">
        <f t="shared" si="26"/>
        <v>433333.3333333343</v>
      </c>
      <c r="J52" s="108">
        <f t="shared" si="4"/>
        <v>16666.666666666668</v>
      </c>
      <c r="K52" s="108">
        <f t="shared" si="5"/>
        <v>5344.6611111111233</v>
      </c>
      <c r="L52" s="108">
        <f t="shared" si="6"/>
        <v>855.1457777777797</v>
      </c>
      <c r="M52" s="108">
        <f t="shared" si="15"/>
        <v>22866.473555555571</v>
      </c>
      <c r="N52" s="114">
        <f t="shared" si="16"/>
        <v>416666.66666666762</v>
      </c>
      <c r="O52" s="60">
        <v>0</v>
      </c>
      <c r="P52" s="116">
        <f t="shared" si="17"/>
        <v>1</v>
      </c>
      <c r="R52" s="117">
        <f t="shared" si="28"/>
        <v>538396.30054681364</v>
      </c>
      <c r="S52" s="118">
        <f t="shared" si="7"/>
        <v>6640.4902382276414</v>
      </c>
      <c r="T52" s="118">
        <f t="shared" si="8"/>
        <v>1062.4784381164227</v>
      </c>
      <c r="U52" s="119">
        <f t="shared" si="19"/>
        <v>0</v>
      </c>
      <c r="V52" s="120">
        <f>IF(A52="","",IF(A52&lt;=Periodos_Gracia,0,PPMT(Tasa_Anual/360*Días*(1+I.V.A.),Tabla!AM52,No._De_Pagos_con_periodo_de_gracia,-Monto_Crédito)))</f>
        <v>17240.404175473919</v>
      </c>
      <c r="W52" s="110">
        <f>IF($U$258&lt;=0,V52,IF(SUM($U$18:U52)&lt;=0,V52,PMT($K$5/360*Días,A52,-R52)))</f>
        <v>17240.404175473919</v>
      </c>
      <c r="X52" s="121">
        <f>IF($U$258&lt;=0,W52,IF(SUM($U$18:U52)&lt;=0,V52,PMT($K$5/360*Días,No._De_Pagos_con_periodo_de_gracia,-Monto_Crédito)-S52-T52))</f>
        <v>17240.404175473919</v>
      </c>
      <c r="Y52" s="117">
        <f t="shared" si="20"/>
        <v>17240.404175473919</v>
      </c>
      <c r="Z52" s="61">
        <f>+IF(A52="","",IF(No._de_Pagos-Tabla!A52+1&lt;=0,"",No._de_Pagos-Tabla!A52+1))</f>
        <v>26</v>
      </c>
      <c r="AA52" s="122">
        <f t="shared" si="21"/>
        <v>24943.372851817985</v>
      </c>
      <c r="AB52" s="124">
        <f t="shared" si="27"/>
        <v>433333.3333333343</v>
      </c>
      <c r="AC52" s="124">
        <f t="shared" si="9"/>
        <v>5344.6611111111233</v>
      </c>
      <c r="AD52" s="124">
        <f t="shared" si="10"/>
        <v>855.1457777777797</v>
      </c>
      <c r="AE52" s="119">
        <f t="shared" si="22"/>
        <v>0</v>
      </c>
      <c r="AF52" s="120">
        <f t="shared" si="11"/>
        <v>16666.666666666668</v>
      </c>
      <c r="AG52" s="110">
        <f>IF($U$258&lt;=0,AF52,IF(SUM($U$18:U52)&lt;=0,AF52,PMT($K$5/360*Días,A52,-AA52)))</f>
        <v>16666.666666666668</v>
      </c>
      <c r="AH52" s="121">
        <f>IF(A52&lt;=Periodos_Gracia,0,IF($U$258&lt;=0,AG52,IF(SUM($U$18:U52)&lt;=0,AF52,PMT($K$5/360*Días,No._de_Pagos,-Monto_Crédito)-AC52-AD52)))</f>
        <v>16666.666666666668</v>
      </c>
      <c r="AI52" s="125">
        <f t="shared" si="23"/>
        <v>22866.473555555571</v>
      </c>
      <c r="AK52" s="126">
        <f>IF(A52="","",IF(Periodos_Gracia&gt;0,Tabla!AN52,V52+S52))</f>
        <v>23880.894413701561</v>
      </c>
      <c r="AL52" s="126">
        <f t="shared" si="12"/>
        <v>22011.327777777791</v>
      </c>
      <c r="AM52" s="61">
        <f t="shared" si="24"/>
        <v>35</v>
      </c>
      <c r="AN52" s="127">
        <f>IF(A52="","",IF(A52&lt;=Periodos_Gracia,Tabla!S52,PPMT(Tasa_Anual/360*Días*(1+I.V.A.),Tabla!AM52,No._De_Pagos_con_periodo_de_gracia,-Monto_Crédito)+S52))</f>
        <v>23880.894413701561</v>
      </c>
      <c r="AO52" s="127">
        <f>IF(A52="","",IF(A52&lt;=Periodos_Gracia,Tabla!AC52,Monto_Crédito/(No._De_Pagos_con_periodo_de_gracia)+AC52))</f>
        <v>22011.327777777791</v>
      </c>
      <c r="AP52" s="117"/>
    </row>
    <row r="53" spans="1:42" x14ac:dyDescent="0.2">
      <c r="A53" s="107">
        <f>IF(A52&lt;Parámetros!$E$6,A52+1,"")</f>
        <v>36</v>
      </c>
      <c r="B53" s="108">
        <f t="shared" si="25"/>
        <v>521155.89637133974</v>
      </c>
      <c r="C53" s="108">
        <f t="shared" si="0"/>
        <v>17487.066890645456</v>
      </c>
      <c r="D53" s="108">
        <f t="shared" si="1"/>
        <v>6427.8499665280424</v>
      </c>
      <c r="E53" s="108">
        <f t="shared" si="2"/>
        <v>1028.4559946444867</v>
      </c>
      <c r="F53" s="108">
        <f t="shared" si="3"/>
        <v>24943.372851817985</v>
      </c>
      <c r="G53" s="114">
        <f t="shared" si="13"/>
        <v>503668.82948069426</v>
      </c>
      <c r="H53" s="115">
        <f t="shared" si="14"/>
        <v>1</v>
      </c>
      <c r="I53" s="108">
        <f t="shared" si="26"/>
        <v>416666.66666666762</v>
      </c>
      <c r="J53" s="108">
        <f t="shared" si="4"/>
        <v>16666.666666666668</v>
      </c>
      <c r="K53" s="108">
        <f t="shared" si="5"/>
        <v>5139.0972222222344</v>
      </c>
      <c r="L53" s="108">
        <f t="shared" si="6"/>
        <v>822.25555555555752</v>
      </c>
      <c r="M53" s="108">
        <f t="shared" si="15"/>
        <v>22628.019444444461</v>
      </c>
      <c r="N53" s="114">
        <f t="shared" si="16"/>
        <v>400000.00000000093</v>
      </c>
      <c r="O53" s="60">
        <v>0</v>
      </c>
      <c r="P53" s="116">
        <f t="shared" si="17"/>
        <v>1</v>
      </c>
      <c r="R53" s="117">
        <f t="shared" si="28"/>
        <v>521155.89637133974</v>
      </c>
      <c r="S53" s="118">
        <f t="shared" si="7"/>
        <v>6427.8499665280424</v>
      </c>
      <c r="T53" s="118">
        <f t="shared" si="8"/>
        <v>1028.4559946444867</v>
      </c>
      <c r="U53" s="119">
        <f t="shared" si="19"/>
        <v>0</v>
      </c>
      <c r="V53" s="120">
        <f>IF(A53="","",IF(A53&lt;=Periodos_Gracia,0,PPMT(Tasa_Anual/360*Días*(1+I.V.A.),Tabla!AM53,No._De_Pagos_con_periodo_de_gracia,-Monto_Crédito)))</f>
        <v>17487.066890645456</v>
      </c>
      <c r="W53" s="110">
        <f>IF($U$258&lt;=0,V53,IF(SUM($U$18:U53)&lt;=0,V53,PMT($K$5/360*Días,A53,-R53)))</f>
        <v>17487.066890645456</v>
      </c>
      <c r="X53" s="121">
        <f>IF($U$258&lt;=0,W53,IF(SUM($U$18:U53)&lt;=0,V53,PMT($K$5/360*Días,No._De_Pagos_con_periodo_de_gracia,-Monto_Crédito)-S53-T53))</f>
        <v>17487.066890645456</v>
      </c>
      <c r="Y53" s="117">
        <f t="shared" si="20"/>
        <v>17487.066890645456</v>
      </c>
      <c r="Z53" s="61">
        <f>+IF(A53="","",IF(No._de_Pagos-Tabla!A53+1&lt;=0,"",No._de_Pagos-Tabla!A53+1))</f>
        <v>25</v>
      </c>
      <c r="AA53" s="122">
        <f t="shared" si="21"/>
        <v>24943.372851817985</v>
      </c>
      <c r="AB53" s="124">
        <f t="shared" si="27"/>
        <v>416666.66666666762</v>
      </c>
      <c r="AC53" s="124">
        <f t="shared" si="9"/>
        <v>5139.0972222222344</v>
      </c>
      <c r="AD53" s="124">
        <f t="shared" si="10"/>
        <v>822.25555555555752</v>
      </c>
      <c r="AE53" s="119">
        <f t="shared" si="22"/>
        <v>0</v>
      </c>
      <c r="AF53" s="120">
        <f t="shared" si="11"/>
        <v>16666.666666666668</v>
      </c>
      <c r="AG53" s="110">
        <f>IF($U$258&lt;=0,AF53,IF(SUM($U$18:U53)&lt;=0,AF53,PMT($K$5/360*Días,A53,-AA53)))</f>
        <v>16666.666666666668</v>
      </c>
      <c r="AH53" s="121">
        <f>IF(A53&lt;=Periodos_Gracia,0,IF($U$258&lt;=0,AG53,IF(SUM($U$18:U53)&lt;=0,AF53,PMT($K$5/360*Días,No._de_Pagos,-Monto_Crédito)-AC53-AD53)))</f>
        <v>16666.666666666668</v>
      </c>
      <c r="AI53" s="125">
        <f t="shared" si="23"/>
        <v>22628.019444444461</v>
      </c>
      <c r="AK53" s="126">
        <f>IF(A53="","",IF(Periodos_Gracia&gt;0,Tabla!AN53,V53+S53))</f>
        <v>23914.916857173499</v>
      </c>
      <c r="AL53" s="126">
        <f t="shared" si="12"/>
        <v>21805.763888888901</v>
      </c>
      <c r="AM53" s="61">
        <f t="shared" si="24"/>
        <v>36</v>
      </c>
      <c r="AN53" s="127">
        <f>IF(A53="","",IF(A53&lt;=Periodos_Gracia,Tabla!S53,PPMT(Tasa_Anual/360*Días*(1+I.V.A.),Tabla!AM53,No._De_Pagos_con_periodo_de_gracia,-Monto_Crédito)+S53))</f>
        <v>23914.916857173499</v>
      </c>
      <c r="AO53" s="127">
        <f>IF(A53="","",IF(A53&lt;=Periodos_Gracia,Tabla!AC53,Monto_Crédito/(No._De_Pagos_con_periodo_de_gracia)+AC53))</f>
        <v>21805.763888888901</v>
      </c>
      <c r="AP53" s="117"/>
    </row>
    <row r="54" spans="1:42" x14ac:dyDescent="0.2">
      <c r="A54" s="107">
        <f>IF(A53&lt;Parámetros!$E$6,A53+1,"")</f>
        <v>37</v>
      </c>
      <c r="B54" s="108">
        <f t="shared" si="25"/>
        <v>503668.82948069426</v>
      </c>
      <c r="C54" s="108">
        <f t="shared" si="0"/>
        <v>17737.258670126419</v>
      </c>
      <c r="D54" s="108">
        <f t="shared" si="1"/>
        <v>6212.1673980099695</v>
      </c>
      <c r="E54" s="108">
        <f t="shared" si="2"/>
        <v>993.94678368159509</v>
      </c>
      <c r="F54" s="108">
        <f t="shared" si="3"/>
        <v>24943.372851817985</v>
      </c>
      <c r="G54" s="114">
        <f t="shared" si="13"/>
        <v>485931.57081056782</v>
      </c>
      <c r="H54" s="115">
        <f t="shared" si="14"/>
        <v>1</v>
      </c>
      <c r="I54" s="108">
        <f t="shared" si="26"/>
        <v>400000.00000000093</v>
      </c>
      <c r="J54" s="108">
        <f t="shared" si="4"/>
        <v>16666.666666666668</v>
      </c>
      <c r="K54" s="108">
        <f t="shared" si="5"/>
        <v>4933.5333333333447</v>
      </c>
      <c r="L54" s="108">
        <f t="shared" si="6"/>
        <v>789.36533333333512</v>
      </c>
      <c r="M54" s="108">
        <f t="shared" si="15"/>
        <v>22389.565333333347</v>
      </c>
      <c r="N54" s="114">
        <f t="shared" si="16"/>
        <v>383333.33333333425</v>
      </c>
      <c r="O54" s="60">
        <v>0</v>
      </c>
      <c r="P54" s="116">
        <f t="shared" si="17"/>
        <v>1</v>
      </c>
      <c r="R54" s="117">
        <f t="shared" si="28"/>
        <v>503668.82948069426</v>
      </c>
      <c r="S54" s="118">
        <f t="shared" si="7"/>
        <v>6212.1673980099695</v>
      </c>
      <c r="T54" s="118">
        <f t="shared" si="8"/>
        <v>993.94678368159509</v>
      </c>
      <c r="U54" s="119">
        <f t="shared" si="19"/>
        <v>0</v>
      </c>
      <c r="V54" s="120">
        <f>IF(A54="","",IF(A54&lt;=Periodos_Gracia,0,PPMT(Tasa_Anual/360*Días*(1+I.V.A.),Tabla!AM54,No._De_Pagos_con_periodo_de_gracia,-Monto_Crédito)))</f>
        <v>17737.258670126419</v>
      </c>
      <c r="W54" s="110">
        <f>IF($U$258&lt;=0,V54,IF(SUM($U$18:U54)&lt;=0,V54,PMT($K$5/360*Días,A54,-R54)))</f>
        <v>17737.258670126419</v>
      </c>
      <c r="X54" s="121">
        <f>IF($U$258&lt;=0,W54,IF(SUM($U$18:U54)&lt;=0,V54,PMT($K$5/360*Días,No._De_Pagos_con_periodo_de_gracia,-Monto_Crédito)-S54-T54))</f>
        <v>17737.258670126419</v>
      </c>
      <c r="Y54" s="117">
        <f t="shared" si="20"/>
        <v>17737.258670126419</v>
      </c>
      <c r="Z54" s="61">
        <f>+IF(A54="","",IF(No._de_Pagos-Tabla!A54+1&lt;=0,"",No._de_Pagos-Tabla!A54+1))</f>
        <v>24</v>
      </c>
      <c r="AA54" s="122">
        <f t="shared" si="21"/>
        <v>24943.372851817985</v>
      </c>
      <c r="AB54" s="124">
        <f t="shared" si="27"/>
        <v>400000.00000000093</v>
      </c>
      <c r="AC54" s="124">
        <f t="shared" si="9"/>
        <v>4933.5333333333447</v>
      </c>
      <c r="AD54" s="124">
        <f t="shared" si="10"/>
        <v>789.36533333333512</v>
      </c>
      <c r="AE54" s="119">
        <f t="shared" si="22"/>
        <v>0</v>
      </c>
      <c r="AF54" s="120">
        <f t="shared" si="11"/>
        <v>16666.666666666668</v>
      </c>
      <c r="AG54" s="110">
        <f>IF($U$258&lt;=0,AF54,IF(SUM($U$18:U54)&lt;=0,AF54,PMT($K$5/360*Días,A54,-AA54)))</f>
        <v>16666.666666666668</v>
      </c>
      <c r="AH54" s="121">
        <f>IF(A54&lt;=Periodos_Gracia,0,IF($U$258&lt;=0,AG54,IF(SUM($U$18:U54)&lt;=0,AF54,PMT($K$5/360*Días,No._de_Pagos,-Monto_Crédito)-AC54-AD54)))</f>
        <v>16666.666666666668</v>
      </c>
      <c r="AI54" s="125">
        <f t="shared" si="23"/>
        <v>22389.565333333347</v>
      </c>
      <c r="AK54" s="126">
        <f>IF(A54="","",IF(Periodos_Gracia&gt;0,Tabla!AN54,V54+S54))</f>
        <v>23949.426068136388</v>
      </c>
      <c r="AL54" s="126">
        <f t="shared" si="12"/>
        <v>21600.200000000012</v>
      </c>
      <c r="AM54" s="61">
        <f t="shared" si="24"/>
        <v>37</v>
      </c>
      <c r="AN54" s="127">
        <f>IF(A54="","",IF(A54&lt;=Periodos_Gracia,Tabla!S54,PPMT(Tasa_Anual/360*Días*(1+I.V.A.),Tabla!AM54,No._De_Pagos_con_periodo_de_gracia,-Monto_Crédito)+S54))</f>
        <v>23949.426068136388</v>
      </c>
      <c r="AO54" s="127">
        <f>IF(A54="","",IF(A54&lt;=Periodos_Gracia,Tabla!AC54,Monto_Crédito/(No._De_Pagos_con_periodo_de_gracia)+AC54))</f>
        <v>21600.200000000012</v>
      </c>
      <c r="AP54" s="117"/>
    </row>
    <row r="55" spans="1:42" x14ac:dyDescent="0.2">
      <c r="A55" s="107">
        <f>IF(A54&lt;Parámetros!$E$6,A54+1,"")</f>
        <v>38</v>
      </c>
      <c r="B55" s="108">
        <f t="shared" si="25"/>
        <v>485931.57081056782</v>
      </c>
      <c r="C55" s="108">
        <f t="shared" si="0"/>
        <v>17991.030005110388</v>
      </c>
      <c r="D55" s="108">
        <f t="shared" si="1"/>
        <v>5993.3990057824085</v>
      </c>
      <c r="E55" s="108">
        <f t="shared" si="2"/>
        <v>958.94384092518533</v>
      </c>
      <c r="F55" s="108">
        <f t="shared" si="3"/>
        <v>24943.372851817981</v>
      </c>
      <c r="G55" s="114">
        <f t="shared" si="13"/>
        <v>467940.54080545745</v>
      </c>
      <c r="H55" s="115">
        <f t="shared" si="14"/>
        <v>1</v>
      </c>
      <c r="I55" s="108">
        <f t="shared" si="26"/>
        <v>383333.33333333425</v>
      </c>
      <c r="J55" s="108">
        <f t="shared" si="4"/>
        <v>16666.666666666668</v>
      </c>
      <c r="K55" s="108">
        <f t="shared" si="5"/>
        <v>4727.9694444444558</v>
      </c>
      <c r="L55" s="108">
        <f t="shared" si="6"/>
        <v>756.47511111111294</v>
      </c>
      <c r="M55" s="108">
        <f t="shared" si="15"/>
        <v>22151.11122222224</v>
      </c>
      <c r="N55" s="114">
        <f t="shared" si="16"/>
        <v>366666.66666666756</v>
      </c>
      <c r="O55" s="60">
        <v>0</v>
      </c>
      <c r="P55" s="116">
        <f t="shared" si="17"/>
        <v>1</v>
      </c>
      <c r="R55" s="117">
        <f t="shared" si="28"/>
        <v>485931.57081056782</v>
      </c>
      <c r="S55" s="118">
        <f t="shared" si="7"/>
        <v>5993.3990057824085</v>
      </c>
      <c r="T55" s="118">
        <f t="shared" si="8"/>
        <v>958.94384092518533</v>
      </c>
      <c r="U55" s="119">
        <f t="shared" si="19"/>
        <v>0</v>
      </c>
      <c r="V55" s="120">
        <f>IF(A55="","",IF(A55&lt;=Periodos_Gracia,0,PPMT(Tasa_Anual/360*Días*(1+I.V.A.),Tabla!AM55,No._De_Pagos_con_periodo_de_gracia,-Monto_Crédito)))</f>
        <v>17991.030005110388</v>
      </c>
      <c r="W55" s="110">
        <f>IF($U$258&lt;=0,V55,IF(SUM($U$18:U55)&lt;=0,V55,PMT($K$5/360*Días,A55,-R55)))</f>
        <v>17991.030005110388</v>
      </c>
      <c r="X55" s="121">
        <f>IF($U$258&lt;=0,W55,IF(SUM($U$18:U55)&lt;=0,V55,PMT($K$5/360*Días,No._De_Pagos_con_periodo_de_gracia,-Monto_Crédito)-S55-T55))</f>
        <v>17991.030005110388</v>
      </c>
      <c r="Y55" s="117">
        <f t="shared" si="20"/>
        <v>17991.030005110388</v>
      </c>
      <c r="Z55" s="61">
        <f>+IF(A55="","",IF(No._de_Pagos-Tabla!A55+1&lt;=0,"",No._de_Pagos-Tabla!A55+1))</f>
        <v>23</v>
      </c>
      <c r="AA55" s="122">
        <f t="shared" si="21"/>
        <v>24943.372851817981</v>
      </c>
      <c r="AB55" s="124">
        <f t="shared" si="27"/>
        <v>383333.33333333425</v>
      </c>
      <c r="AC55" s="124">
        <f t="shared" si="9"/>
        <v>4727.9694444444558</v>
      </c>
      <c r="AD55" s="124">
        <f t="shared" si="10"/>
        <v>756.47511111111294</v>
      </c>
      <c r="AE55" s="119">
        <f t="shared" si="22"/>
        <v>0</v>
      </c>
      <c r="AF55" s="120">
        <f t="shared" si="11"/>
        <v>16666.666666666668</v>
      </c>
      <c r="AG55" s="110">
        <f>IF($U$258&lt;=0,AF55,IF(SUM($U$18:U55)&lt;=0,AF55,PMT($K$5/360*Días,A55,-AA55)))</f>
        <v>16666.666666666668</v>
      </c>
      <c r="AH55" s="121">
        <f>IF(A55&lt;=Periodos_Gracia,0,IF($U$258&lt;=0,AG55,IF(SUM($U$18:U55)&lt;=0,AF55,PMT($K$5/360*Días,No._de_Pagos,-Monto_Crédito)-AC55-AD55)))</f>
        <v>16666.666666666668</v>
      </c>
      <c r="AI55" s="125">
        <f t="shared" si="23"/>
        <v>22151.11122222224</v>
      </c>
      <c r="AK55" s="126">
        <f>IF(A55="","",IF(Periodos_Gracia&gt;0,Tabla!AN55,V55+S55))</f>
        <v>23984.429010892796</v>
      </c>
      <c r="AL55" s="126">
        <f t="shared" si="12"/>
        <v>21394.636111111126</v>
      </c>
      <c r="AM55" s="61">
        <f t="shared" si="24"/>
        <v>38</v>
      </c>
      <c r="AN55" s="127">
        <f>IF(A55="","",IF(A55&lt;=Periodos_Gracia,Tabla!S55,PPMT(Tasa_Anual/360*Días*(1+I.V.A.),Tabla!AM55,No._De_Pagos_con_periodo_de_gracia,-Monto_Crédito)+S55))</f>
        <v>23984.429010892796</v>
      </c>
      <c r="AO55" s="127">
        <f>IF(A55="","",IF(A55&lt;=Periodos_Gracia,Tabla!AC55,Monto_Crédito/(No._De_Pagos_con_periodo_de_gracia)+AC55))</f>
        <v>21394.636111111126</v>
      </c>
      <c r="AP55" s="117"/>
    </row>
    <row r="56" spans="1:42" x14ac:dyDescent="0.2">
      <c r="A56" s="107">
        <f>IF(A55&lt;Parámetros!$E$6,A55+1,"")</f>
        <v>39</v>
      </c>
      <c r="B56" s="108">
        <f t="shared" si="25"/>
        <v>467940.54080545745</v>
      </c>
      <c r="C56" s="108">
        <f t="shared" si="0"/>
        <v>18248.432109180903</v>
      </c>
      <c r="D56" s="108">
        <f t="shared" si="1"/>
        <v>5771.5006402043773</v>
      </c>
      <c r="E56" s="108">
        <f t="shared" si="2"/>
        <v>923.44010243270043</v>
      </c>
      <c r="F56" s="108">
        <f t="shared" si="3"/>
        <v>24943.372851817981</v>
      </c>
      <c r="G56" s="114">
        <f t="shared" si="13"/>
        <v>449692.10869627655</v>
      </c>
      <c r="H56" s="115">
        <f t="shared" si="14"/>
        <v>1</v>
      </c>
      <c r="I56" s="108">
        <f t="shared" si="26"/>
        <v>366666.66666666756</v>
      </c>
      <c r="J56" s="108">
        <f t="shared" si="4"/>
        <v>16666.666666666668</v>
      </c>
      <c r="K56" s="108">
        <f t="shared" si="5"/>
        <v>4522.4055555555669</v>
      </c>
      <c r="L56" s="108">
        <f t="shared" si="6"/>
        <v>723.58488888889076</v>
      </c>
      <c r="M56" s="108">
        <f t="shared" si="15"/>
        <v>21912.657111111126</v>
      </c>
      <c r="N56" s="114">
        <f t="shared" si="16"/>
        <v>350000.00000000087</v>
      </c>
      <c r="O56" s="60">
        <v>0</v>
      </c>
      <c r="P56" s="116">
        <f t="shared" si="17"/>
        <v>1</v>
      </c>
      <c r="R56" s="117">
        <f t="shared" si="28"/>
        <v>467940.54080545745</v>
      </c>
      <c r="S56" s="118">
        <f t="shared" si="7"/>
        <v>5771.5006402043782</v>
      </c>
      <c r="T56" s="118">
        <f t="shared" si="8"/>
        <v>923.44010243270054</v>
      </c>
      <c r="U56" s="119">
        <f t="shared" si="19"/>
        <v>0</v>
      </c>
      <c r="V56" s="120">
        <f>IF(A56="","",IF(A56&lt;=Periodos_Gracia,0,PPMT(Tasa_Anual/360*Días*(1+I.V.A.),Tabla!AM56,No._De_Pagos_con_periodo_de_gracia,-Monto_Crédito)))</f>
        <v>18248.432109180903</v>
      </c>
      <c r="W56" s="110">
        <f>IF($U$258&lt;=0,V56,IF(SUM($U$18:U56)&lt;=0,V56,PMT($K$5/360*Días,A56,-R56)))</f>
        <v>18248.432109180903</v>
      </c>
      <c r="X56" s="121">
        <f>IF($U$258&lt;=0,W56,IF(SUM($U$18:U56)&lt;=0,V56,PMT($K$5/360*Días,No._De_Pagos_con_periodo_de_gracia,-Monto_Crédito)-S56-T56))</f>
        <v>18248.432109180903</v>
      </c>
      <c r="Y56" s="117">
        <f t="shared" si="20"/>
        <v>18248.432109180903</v>
      </c>
      <c r="Z56" s="61">
        <f>+IF(A56="","",IF(No._de_Pagos-Tabla!A56+1&lt;=0,"",No._de_Pagos-Tabla!A56+1))</f>
        <v>22</v>
      </c>
      <c r="AA56" s="122">
        <f t="shared" si="21"/>
        <v>24943.372851817985</v>
      </c>
      <c r="AB56" s="124">
        <f t="shared" si="27"/>
        <v>366666.66666666756</v>
      </c>
      <c r="AC56" s="124">
        <f t="shared" si="9"/>
        <v>4522.4055555555669</v>
      </c>
      <c r="AD56" s="124">
        <f t="shared" si="10"/>
        <v>723.58488888889076</v>
      </c>
      <c r="AE56" s="119">
        <f t="shared" si="22"/>
        <v>0</v>
      </c>
      <c r="AF56" s="120">
        <f t="shared" si="11"/>
        <v>16666.666666666668</v>
      </c>
      <c r="AG56" s="110">
        <f>IF($U$258&lt;=0,AF56,IF(SUM($U$18:U56)&lt;=0,AF56,PMT($K$5/360*Días,A56,-AA56)))</f>
        <v>16666.666666666668</v>
      </c>
      <c r="AH56" s="121">
        <f>IF(A56&lt;=Periodos_Gracia,0,IF($U$258&lt;=0,AG56,IF(SUM($U$18:U56)&lt;=0,AF56,PMT($K$5/360*Días,No._de_Pagos,-Monto_Crédito)-AC56-AD56)))</f>
        <v>16666.666666666668</v>
      </c>
      <c r="AI56" s="125">
        <f t="shared" si="23"/>
        <v>21912.657111111126</v>
      </c>
      <c r="AK56" s="126">
        <f>IF(A56="","",IF(Periodos_Gracia&gt;0,Tabla!AN56,V56+S56))</f>
        <v>24019.932749385283</v>
      </c>
      <c r="AL56" s="126">
        <f t="shared" si="12"/>
        <v>21189.072222222236</v>
      </c>
      <c r="AM56" s="61">
        <f t="shared" si="24"/>
        <v>39</v>
      </c>
      <c r="AN56" s="127">
        <f>IF(A56="","",IF(A56&lt;=Periodos_Gracia,Tabla!S56,PPMT(Tasa_Anual/360*Días*(1+I.V.A.),Tabla!AM56,No._De_Pagos_con_periodo_de_gracia,-Monto_Crédito)+S56))</f>
        <v>24019.932749385283</v>
      </c>
      <c r="AO56" s="127">
        <f>IF(A56="","",IF(A56&lt;=Periodos_Gracia,Tabla!AC56,Monto_Crédito/(No._De_Pagos_con_periodo_de_gracia)+AC56))</f>
        <v>21189.072222222236</v>
      </c>
      <c r="AP56" s="117"/>
    </row>
    <row r="57" spans="1:42" x14ac:dyDescent="0.2">
      <c r="A57" s="107">
        <f>IF(A56&lt;Parámetros!$E$6,A56+1,"")</f>
        <v>40</v>
      </c>
      <c r="B57" s="108">
        <f t="shared" si="25"/>
        <v>449692.10869627655</v>
      </c>
      <c r="C57" s="108">
        <f t="shared" si="0"/>
        <v>18509.516928646877</v>
      </c>
      <c r="D57" s="108">
        <f t="shared" si="1"/>
        <v>5546.4275199750919</v>
      </c>
      <c r="E57" s="108">
        <f t="shared" si="2"/>
        <v>887.42840319601476</v>
      </c>
      <c r="F57" s="108">
        <f t="shared" si="3"/>
        <v>24943.372851817985</v>
      </c>
      <c r="G57" s="114">
        <f t="shared" si="13"/>
        <v>431182.59176762967</v>
      </c>
      <c r="H57" s="115">
        <f t="shared" si="14"/>
        <v>1</v>
      </c>
      <c r="I57" s="108">
        <f t="shared" si="26"/>
        <v>350000.00000000087</v>
      </c>
      <c r="J57" s="108">
        <f t="shared" si="4"/>
        <v>16666.666666666668</v>
      </c>
      <c r="K57" s="108">
        <f t="shared" si="5"/>
        <v>4316.8416666666772</v>
      </c>
      <c r="L57" s="108">
        <f t="shared" si="6"/>
        <v>690.69466666666835</v>
      </c>
      <c r="M57" s="108">
        <f t="shared" si="15"/>
        <v>21674.203000000016</v>
      </c>
      <c r="N57" s="114">
        <f t="shared" si="16"/>
        <v>333333.33333333419</v>
      </c>
      <c r="O57" s="60">
        <v>0</v>
      </c>
      <c r="P57" s="116">
        <f t="shared" si="17"/>
        <v>1</v>
      </c>
      <c r="R57" s="117">
        <f t="shared" si="28"/>
        <v>449692.10869627655</v>
      </c>
      <c r="S57" s="118">
        <f t="shared" si="7"/>
        <v>5546.4275199750919</v>
      </c>
      <c r="T57" s="118">
        <f t="shared" si="8"/>
        <v>887.42840319601476</v>
      </c>
      <c r="U57" s="119">
        <f t="shared" si="19"/>
        <v>0</v>
      </c>
      <c r="V57" s="120">
        <f>IF(A57="","",IF(A57&lt;=Periodos_Gracia,0,PPMT(Tasa_Anual/360*Días*(1+I.V.A.),Tabla!AM57,No._De_Pagos_con_periodo_de_gracia,-Monto_Crédito)))</f>
        <v>18509.516928646877</v>
      </c>
      <c r="W57" s="110">
        <f>IF($U$258&lt;=0,V57,IF(SUM($U$18:U57)&lt;=0,V57,PMT($K$5/360*Días,A57,-R57)))</f>
        <v>18509.516928646877</v>
      </c>
      <c r="X57" s="121">
        <f>IF($U$258&lt;=0,W57,IF(SUM($U$18:U57)&lt;=0,V57,PMT($K$5/360*Días,No._De_Pagos_con_periodo_de_gracia,-Monto_Crédito)-S57-T57))</f>
        <v>18509.516928646877</v>
      </c>
      <c r="Y57" s="117">
        <f t="shared" si="20"/>
        <v>18509.516928646877</v>
      </c>
      <c r="Z57" s="61">
        <f>+IF(A57="","",IF(No._de_Pagos-Tabla!A57+1&lt;=0,"",No._de_Pagos-Tabla!A57+1))</f>
        <v>21</v>
      </c>
      <c r="AA57" s="122">
        <f t="shared" si="21"/>
        <v>24943.372851817985</v>
      </c>
      <c r="AB57" s="124">
        <f t="shared" si="27"/>
        <v>350000.00000000087</v>
      </c>
      <c r="AC57" s="124">
        <f t="shared" si="9"/>
        <v>4316.8416666666772</v>
      </c>
      <c r="AD57" s="124">
        <f t="shared" si="10"/>
        <v>690.69466666666835</v>
      </c>
      <c r="AE57" s="119">
        <f t="shared" si="22"/>
        <v>0</v>
      </c>
      <c r="AF57" s="120">
        <f t="shared" si="11"/>
        <v>16666.666666666668</v>
      </c>
      <c r="AG57" s="110">
        <f>IF($U$258&lt;=0,AF57,IF(SUM($U$18:U57)&lt;=0,AF57,PMT($K$5/360*Días,A57,-AA57)))</f>
        <v>16666.666666666668</v>
      </c>
      <c r="AH57" s="121">
        <f>IF(A57&lt;=Periodos_Gracia,0,IF($U$258&lt;=0,AG57,IF(SUM($U$18:U57)&lt;=0,AF57,PMT($K$5/360*Días,No._de_Pagos,-Monto_Crédito)-AC57-AD57)))</f>
        <v>16666.666666666668</v>
      </c>
      <c r="AI57" s="125">
        <f t="shared" si="23"/>
        <v>21674.203000000016</v>
      </c>
      <c r="AK57" s="126">
        <f>IF(A57="","",IF(Periodos_Gracia&gt;0,Tabla!AN57,V57+S57))</f>
        <v>24055.944448621969</v>
      </c>
      <c r="AL57" s="126">
        <f t="shared" si="12"/>
        <v>20983.508333333346</v>
      </c>
      <c r="AM57" s="61">
        <f t="shared" si="24"/>
        <v>40</v>
      </c>
      <c r="AN57" s="127">
        <f>IF(A57="","",IF(A57&lt;=Periodos_Gracia,Tabla!S57,PPMT(Tasa_Anual/360*Días*(1+I.V.A.),Tabla!AM57,No._De_Pagos_con_periodo_de_gracia,-Monto_Crédito)+S57))</f>
        <v>24055.944448621969</v>
      </c>
      <c r="AO57" s="127">
        <f>IF(A57="","",IF(A57&lt;=Periodos_Gracia,Tabla!AC57,Monto_Crédito/(No._De_Pagos_con_periodo_de_gracia)+AC57))</f>
        <v>20983.508333333346</v>
      </c>
      <c r="AP57" s="117"/>
    </row>
    <row r="58" spans="1:42" x14ac:dyDescent="0.2">
      <c r="A58" s="107">
        <f>IF(A57&lt;Parámetros!$E$6,A57+1,"")</f>
        <v>41</v>
      </c>
      <c r="B58" s="108">
        <f t="shared" si="25"/>
        <v>431182.59176762967</v>
      </c>
      <c r="C58" s="108">
        <f t="shared" si="0"/>
        <v>18774.33715302587</v>
      </c>
      <c r="D58" s="108">
        <f t="shared" si="1"/>
        <v>5318.1342230966502</v>
      </c>
      <c r="E58" s="108">
        <f t="shared" si="2"/>
        <v>850.901475695464</v>
      </c>
      <c r="F58" s="108">
        <f t="shared" si="3"/>
        <v>24943.372851817985</v>
      </c>
      <c r="G58" s="114">
        <f t="shared" si="13"/>
        <v>412408.25461460382</v>
      </c>
      <c r="H58" s="115">
        <f t="shared" si="14"/>
        <v>1</v>
      </c>
      <c r="I58" s="108">
        <f t="shared" si="26"/>
        <v>333333.33333333419</v>
      </c>
      <c r="J58" s="108">
        <f t="shared" si="4"/>
        <v>16666.666666666668</v>
      </c>
      <c r="K58" s="108">
        <f t="shared" si="5"/>
        <v>4111.2777777777883</v>
      </c>
      <c r="L58" s="108">
        <f t="shared" si="6"/>
        <v>657.80444444444618</v>
      </c>
      <c r="M58" s="108">
        <f t="shared" si="15"/>
        <v>21435.748888888902</v>
      </c>
      <c r="N58" s="114">
        <f t="shared" si="16"/>
        <v>316666.6666666675</v>
      </c>
      <c r="O58" s="60">
        <v>0</v>
      </c>
      <c r="P58" s="116">
        <f t="shared" si="17"/>
        <v>1</v>
      </c>
      <c r="R58" s="117">
        <f t="shared" si="28"/>
        <v>431182.59176762967</v>
      </c>
      <c r="S58" s="118">
        <f t="shared" si="7"/>
        <v>5318.1342230966493</v>
      </c>
      <c r="T58" s="118">
        <f t="shared" si="8"/>
        <v>850.90147569546389</v>
      </c>
      <c r="U58" s="119">
        <f t="shared" si="19"/>
        <v>0</v>
      </c>
      <c r="V58" s="120">
        <f>IF(A58="","",IF(A58&lt;=Periodos_Gracia,0,PPMT(Tasa_Anual/360*Días*(1+I.V.A.),Tabla!AM58,No._De_Pagos_con_periodo_de_gracia,-Monto_Crédito)))</f>
        <v>18774.33715302587</v>
      </c>
      <c r="W58" s="110">
        <f>IF($U$258&lt;=0,V58,IF(SUM($U$18:U58)&lt;=0,V58,PMT($K$5/360*Días,A58,-R58)))</f>
        <v>18774.33715302587</v>
      </c>
      <c r="X58" s="121">
        <f>IF($U$258&lt;=0,W58,IF(SUM($U$18:U58)&lt;=0,V58,PMT($K$5/360*Días,No._De_Pagos_con_periodo_de_gracia,-Monto_Crédito)-S58-T58))</f>
        <v>18774.33715302587</v>
      </c>
      <c r="Y58" s="117">
        <f t="shared" si="20"/>
        <v>18774.33715302587</v>
      </c>
      <c r="Z58" s="61">
        <f>+IF(A58="","",IF(No._de_Pagos-Tabla!A58+1&lt;=0,"",No._de_Pagos-Tabla!A58+1))</f>
        <v>20</v>
      </c>
      <c r="AA58" s="122">
        <f t="shared" si="21"/>
        <v>24943.372851817985</v>
      </c>
      <c r="AB58" s="124">
        <f t="shared" si="27"/>
        <v>333333.33333333419</v>
      </c>
      <c r="AC58" s="124">
        <f t="shared" si="9"/>
        <v>4111.2777777777883</v>
      </c>
      <c r="AD58" s="124">
        <f t="shared" si="10"/>
        <v>657.80444444444618</v>
      </c>
      <c r="AE58" s="119">
        <f t="shared" si="22"/>
        <v>0</v>
      </c>
      <c r="AF58" s="120">
        <f t="shared" si="11"/>
        <v>16666.666666666668</v>
      </c>
      <c r="AG58" s="110">
        <f>IF($U$258&lt;=0,AF58,IF(SUM($U$18:U58)&lt;=0,AF58,PMT($K$5/360*Días,A58,-AA58)))</f>
        <v>16666.666666666668</v>
      </c>
      <c r="AH58" s="121">
        <f>IF(A58&lt;=Periodos_Gracia,0,IF($U$258&lt;=0,AG58,IF(SUM($U$18:U58)&lt;=0,AF58,PMT($K$5/360*Días,No._de_Pagos,-Monto_Crédito)-AC58-AD58)))</f>
        <v>16666.666666666668</v>
      </c>
      <c r="AI58" s="125">
        <f t="shared" si="23"/>
        <v>21435.748888888902</v>
      </c>
      <c r="AK58" s="126">
        <f>IF(A58="","",IF(Periodos_Gracia&gt;0,Tabla!AN58,V58+S58))</f>
        <v>24092.471376122521</v>
      </c>
      <c r="AL58" s="126">
        <f t="shared" si="12"/>
        <v>20777.944444444456</v>
      </c>
      <c r="AM58" s="61">
        <f t="shared" si="24"/>
        <v>41</v>
      </c>
      <c r="AN58" s="127">
        <f>IF(A58="","",IF(A58&lt;=Periodos_Gracia,Tabla!S58,PPMT(Tasa_Anual/360*Días*(1+I.V.A.),Tabla!AM58,No._De_Pagos_con_periodo_de_gracia,-Monto_Crédito)+S58))</f>
        <v>24092.471376122521</v>
      </c>
      <c r="AO58" s="127">
        <f>IF(A58="","",IF(A58&lt;=Periodos_Gracia,Tabla!AC58,Monto_Crédito/(No._De_Pagos_con_periodo_de_gracia)+AC58))</f>
        <v>20777.944444444456</v>
      </c>
      <c r="AP58" s="117"/>
    </row>
    <row r="59" spans="1:42" x14ac:dyDescent="0.2">
      <c r="A59" s="107">
        <f>IF(A58&lt;Parámetros!$E$6,A58+1,"")</f>
        <v>42</v>
      </c>
      <c r="B59" s="108">
        <f t="shared" si="25"/>
        <v>412408.25461460382</v>
      </c>
      <c r="C59" s="108">
        <f t="shared" si="0"/>
        <v>19042.946225677377</v>
      </c>
      <c r="D59" s="108">
        <f t="shared" si="1"/>
        <v>5086.574677707421</v>
      </c>
      <c r="E59" s="108">
        <f t="shared" si="2"/>
        <v>813.85194843318732</v>
      </c>
      <c r="F59" s="108">
        <f t="shared" si="3"/>
        <v>24943.372851817985</v>
      </c>
      <c r="G59" s="114">
        <f t="shared" si="13"/>
        <v>393365.30838892644</v>
      </c>
      <c r="H59" s="115">
        <f t="shared" si="14"/>
        <v>1</v>
      </c>
      <c r="I59" s="108">
        <f t="shared" si="26"/>
        <v>316666.6666666675</v>
      </c>
      <c r="J59" s="108">
        <f t="shared" si="4"/>
        <v>16666.666666666668</v>
      </c>
      <c r="K59" s="108">
        <f t="shared" si="5"/>
        <v>3905.713888888899</v>
      </c>
      <c r="L59" s="108">
        <f t="shared" si="6"/>
        <v>624.91422222222388</v>
      </c>
      <c r="M59" s="108">
        <f t="shared" si="15"/>
        <v>21197.294777777792</v>
      </c>
      <c r="N59" s="114">
        <f t="shared" si="16"/>
        <v>300000.00000000081</v>
      </c>
      <c r="O59" s="60">
        <v>0</v>
      </c>
      <c r="P59" s="116">
        <f t="shared" si="17"/>
        <v>1</v>
      </c>
      <c r="R59" s="117">
        <f t="shared" si="28"/>
        <v>412408.25461460382</v>
      </c>
      <c r="S59" s="118">
        <f t="shared" si="7"/>
        <v>5086.574677707421</v>
      </c>
      <c r="T59" s="118">
        <f t="shared" si="8"/>
        <v>813.85194843318732</v>
      </c>
      <c r="U59" s="119">
        <f t="shared" si="19"/>
        <v>0</v>
      </c>
      <c r="V59" s="120">
        <f>IF(A59="","",IF(A59&lt;=Periodos_Gracia,0,PPMT(Tasa_Anual/360*Días*(1+I.V.A.),Tabla!AM59,No._De_Pagos_con_periodo_de_gracia,-Monto_Crédito)))</f>
        <v>19042.946225677377</v>
      </c>
      <c r="W59" s="110">
        <f>IF($U$258&lt;=0,V59,IF(SUM($U$18:U59)&lt;=0,V59,PMT($K$5/360*Días,A59,-R59)))</f>
        <v>19042.946225677377</v>
      </c>
      <c r="X59" s="121">
        <f>IF($U$258&lt;=0,W59,IF(SUM($U$18:U59)&lt;=0,V59,PMT($K$5/360*Días,No._De_Pagos_con_periodo_de_gracia,-Monto_Crédito)-S59-T59))</f>
        <v>19042.946225677377</v>
      </c>
      <c r="Y59" s="117">
        <f t="shared" si="20"/>
        <v>19042.946225677377</v>
      </c>
      <c r="Z59" s="61">
        <f>+IF(A59="","",IF(No._de_Pagos-Tabla!A59+1&lt;=0,"",No._de_Pagos-Tabla!A59+1))</f>
        <v>19</v>
      </c>
      <c r="AA59" s="122">
        <f t="shared" si="21"/>
        <v>24943.372851817985</v>
      </c>
      <c r="AB59" s="124">
        <f t="shared" si="27"/>
        <v>316666.6666666675</v>
      </c>
      <c r="AC59" s="124">
        <f t="shared" si="9"/>
        <v>3905.7138888888994</v>
      </c>
      <c r="AD59" s="124">
        <f t="shared" si="10"/>
        <v>624.91422222222388</v>
      </c>
      <c r="AE59" s="119">
        <f t="shared" si="22"/>
        <v>0</v>
      </c>
      <c r="AF59" s="120">
        <f t="shared" si="11"/>
        <v>16666.666666666668</v>
      </c>
      <c r="AG59" s="110">
        <f>IF($U$258&lt;=0,AF59,IF(SUM($U$18:U59)&lt;=0,AF59,PMT($K$5/360*Días,A59,-AA59)))</f>
        <v>16666.666666666668</v>
      </c>
      <c r="AH59" s="121">
        <f>IF(A59&lt;=Periodos_Gracia,0,IF($U$258&lt;=0,AG59,IF(SUM($U$18:U59)&lt;=0,AF59,PMT($K$5/360*Días,No._de_Pagos,-Monto_Crédito)-AC59-AD59)))</f>
        <v>16666.666666666668</v>
      </c>
      <c r="AI59" s="125">
        <f t="shared" si="23"/>
        <v>21197.294777777792</v>
      </c>
      <c r="AK59" s="126">
        <f>IF(A59="","",IF(Periodos_Gracia&gt;0,Tabla!AN59,V59+S59))</f>
        <v>24129.520903384797</v>
      </c>
      <c r="AL59" s="126">
        <f t="shared" si="12"/>
        <v>20572.380555555566</v>
      </c>
      <c r="AM59" s="61">
        <f t="shared" si="24"/>
        <v>42</v>
      </c>
      <c r="AN59" s="127">
        <f>IF(A59="","",IF(A59&lt;=Periodos_Gracia,Tabla!S59,PPMT(Tasa_Anual/360*Días*(1+I.V.A.),Tabla!AM59,No._De_Pagos_con_periodo_de_gracia,-Monto_Crédito)+S59))</f>
        <v>24129.520903384797</v>
      </c>
      <c r="AO59" s="127">
        <f>IF(A59="","",IF(A59&lt;=Periodos_Gracia,Tabla!AC59,Monto_Crédito/(No._De_Pagos_con_periodo_de_gracia)+AC59))</f>
        <v>20572.380555555566</v>
      </c>
      <c r="AP59" s="117"/>
    </row>
    <row r="60" spans="1:42" x14ac:dyDescent="0.2">
      <c r="A60" s="107">
        <f>IF(A59&lt;Parámetros!$E$6,A59+1,"")</f>
        <v>43</v>
      </c>
      <c r="B60" s="108">
        <f t="shared" si="25"/>
        <v>393365.30838892644</v>
      </c>
      <c r="C60" s="108">
        <f t="shared" si="0"/>
        <v>19315.398354588207</v>
      </c>
      <c r="D60" s="108">
        <f t="shared" si="1"/>
        <v>4851.7021527842871</v>
      </c>
      <c r="E60" s="108">
        <f t="shared" si="2"/>
        <v>776.27234444548594</v>
      </c>
      <c r="F60" s="108">
        <f t="shared" si="3"/>
        <v>24943.372851817981</v>
      </c>
      <c r="G60" s="114">
        <f t="shared" si="13"/>
        <v>374049.91003433825</v>
      </c>
      <c r="H60" s="115">
        <f t="shared" si="14"/>
        <v>1</v>
      </c>
      <c r="I60" s="108">
        <f t="shared" si="26"/>
        <v>300000.00000000081</v>
      </c>
      <c r="J60" s="108">
        <f t="shared" si="4"/>
        <v>16666.666666666668</v>
      </c>
      <c r="K60" s="108">
        <f t="shared" si="5"/>
        <v>3700.1500000000101</v>
      </c>
      <c r="L60" s="108">
        <f t="shared" si="6"/>
        <v>592.02400000000159</v>
      </c>
      <c r="M60" s="108">
        <f t="shared" si="15"/>
        <v>20958.840666666678</v>
      </c>
      <c r="N60" s="114">
        <f t="shared" si="16"/>
        <v>283333.33333333413</v>
      </c>
      <c r="O60" s="60">
        <v>0</v>
      </c>
      <c r="P60" s="116">
        <f t="shared" si="17"/>
        <v>1</v>
      </c>
      <c r="R60" s="117">
        <f t="shared" si="28"/>
        <v>393365.30838892644</v>
      </c>
      <c r="S60" s="118">
        <f t="shared" si="7"/>
        <v>4851.7021527842871</v>
      </c>
      <c r="T60" s="118">
        <f t="shared" si="8"/>
        <v>776.27234444548594</v>
      </c>
      <c r="U60" s="119">
        <f t="shared" si="19"/>
        <v>0</v>
      </c>
      <c r="V60" s="120">
        <f>IF(A60="","",IF(A60&lt;=Periodos_Gracia,0,PPMT(Tasa_Anual/360*Días*(1+I.V.A.),Tabla!AM60,No._De_Pagos_con_periodo_de_gracia,-Monto_Crédito)))</f>
        <v>19315.398354588207</v>
      </c>
      <c r="W60" s="110">
        <f>IF($U$258&lt;=0,V60,IF(SUM($U$18:U60)&lt;=0,V60,PMT($K$5/360*Días,A60,-R60)))</f>
        <v>19315.398354588207</v>
      </c>
      <c r="X60" s="121">
        <f>IF($U$258&lt;=0,W60,IF(SUM($U$18:U60)&lt;=0,V60,PMT($K$5/360*Días,No._De_Pagos_con_periodo_de_gracia,-Monto_Crédito)-S60-T60))</f>
        <v>19315.398354588207</v>
      </c>
      <c r="Y60" s="117">
        <f t="shared" si="20"/>
        <v>19315.398354588207</v>
      </c>
      <c r="Z60" s="61">
        <f>+IF(A60="","",IF(No._de_Pagos-Tabla!A60+1&lt;=0,"",No._de_Pagos-Tabla!A60+1))</f>
        <v>18</v>
      </c>
      <c r="AA60" s="122">
        <f t="shared" si="21"/>
        <v>24943.372851817981</v>
      </c>
      <c r="AB60" s="124">
        <f t="shared" si="27"/>
        <v>300000.00000000081</v>
      </c>
      <c r="AC60" s="124">
        <f t="shared" si="9"/>
        <v>3700.1500000000101</v>
      </c>
      <c r="AD60" s="124">
        <f t="shared" si="10"/>
        <v>592.02400000000159</v>
      </c>
      <c r="AE60" s="119">
        <f t="shared" si="22"/>
        <v>0</v>
      </c>
      <c r="AF60" s="120">
        <f t="shared" si="11"/>
        <v>16666.666666666668</v>
      </c>
      <c r="AG60" s="110">
        <f>IF($U$258&lt;=0,AF60,IF(SUM($U$18:U60)&lt;=0,AF60,PMT($K$5/360*Días,A60,-AA60)))</f>
        <v>16666.666666666668</v>
      </c>
      <c r="AH60" s="121">
        <f>IF(A60&lt;=Periodos_Gracia,0,IF($U$258&lt;=0,AG60,IF(SUM($U$18:U60)&lt;=0,AF60,PMT($K$5/360*Días,No._de_Pagos,-Monto_Crédito)-AC60-AD60)))</f>
        <v>16666.666666666668</v>
      </c>
      <c r="AI60" s="125">
        <f t="shared" si="23"/>
        <v>20958.840666666678</v>
      </c>
      <c r="AK60" s="126">
        <f>IF(A60="","",IF(Periodos_Gracia&gt;0,Tabla!AN60,V60+S60))</f>
        <v>24167.100507372495</v>
      </c>
      <c r="AL60" s="126">
        <f t="shared" si="12"/>
        <v>20366.816666666677</v>
      </c>
      <c r="AM60" s="61">
        <f t="shared" si="24"/>
        <v>43</v>
      </c>
      <c r="AN60" s="127">
        <f>IF(A60="","",IF(A60&lt;=Periodos_Gracia,Tabla!S60,PPMT(Tasa_Anual/360*Días*(1+I.V.A.),Tabla!AM60,No._De_Pagos_con_periodo_de_gracia,-Monto_Crédito)+S60))</f>
        <v>24167.100507372495</v>
      </c>
      <c r="AO60" s="127">
        <f>IF(A60="","",IF(A60&lt;=Periodos_Gracia,Tabla!AC60,Monto_Crédito/(No._De_Pagos_con_periodo_de_gracia)+AC60))</f>
        <v>20366.816666666677</v>
      </c>
      <c r="AP60" s="117"/>
    </row>
    <row r="61" spans="1:42" x14ac:dyDescent="0.2">
      <c r="A61" s="107">
        <f>IF(A60&lt;Parámetros!$E$6,A60+1,"")</f>
        <v>44</v>
      </c>
      <c r="B61" s="108">
        <f t="shared" si="25"/>
        <v>374049.91003433825</v>
      </c>
      <c r="C61" s="108">
        <f t="shared" si="0"/>
        <v>19591.748523312232</v>
      </c>
      <c r="D61" s="108">
        <f t="shared" si="1"/>
        <v>4613.4692487118555</v>
      </c>
      <c r="E61" s="108">
        <f t="shared" si="2"/>
        <v>738.1550797938969</v>
      </c>
      <c r="F61" s="108">
        <f t="shared" si="3"/>
        <v>24943.372851817985</v>
      </c>
      <c r="G61" s="114">
        <f t="shared" si="13"/>
        <v>354458.16151102603</v>
      </c>
      <c r="H61" s="115">
        <f t="shared" si="14"/>
        <v>1</v>
      </c>
      <c r="I61" s="108">
        <f t="shared" si="26"/>
        <v>283333.33333333413</v>
      </c>
      <c r="J61" s="108">
        <f t="shared" si="4"/>
        <v>16666.666666666668</v>
      </c>
      <c r="K61" s="108">
        <f t="shared" si="5"/>
        <v>3494.5861111111208</v>
      </c>
      <c r="L61" s="108">
        <f t="shared" si="6"/>
        <v>559.1337777777793</v>
      </c>
      <c r="M61" s="108">
        <f t="shared" si="15"/>
        <v>20720.386555555568</v>
      </c>
      <c r="N61" s="114">
        <f t="shared" si="16"/>
        <v>266666.66666666744</v>
      </c>
      <c r="O61" s="60">
        <v>0</v>
      </c>
      <c r="P61" s="116">
        <f t="shared" si="17"/>
        <v>1</v>
      </c>
      <c r="R61" s="117">
        <f t="shared" si="28"/>
        <v>374049.91003433825</v>
      </c>
      <c r="S61" s="118">
        <f t="shared" si="7"/>
        <v>4613.4692487118555</v>
      </c>
      <c r="T61" s="118">
        <f t="shared" si="8"/>
        <v>738.1550797938969</v>
      </c>
      <c r="U61" s="119">
        <f t="shared" si="19"/>
        <v>0</v>
      </c>
      <c r="V61" s="120">
        <f>IF(A61="","",IF(A61&lt;=Periodos_Gracia,0,PPMT(Tasa_Anual/360*Días*(1+I.V.A.),Tabla!AM61,No._De_Pagos_con_periodo_de_gracia,-Monto_Crédito)))</f>
        <v>19591.748523312232</v>
      </c>
      <c r="W61" s="110">
        <f>IF($U$258&lt;=0,V61,IF(SUM($U$18:U61)&lt;=0,V61,PMT($K$5/360*Días,A61,-R61)))</f>
        <v>19591.748523312232</v>
      </c>
      <c r="X61" s="121">
        <f>IF($U$258&lt;=0,W61,IF(SUM($U$18:U61)&lt;=0,V61,PMT($K$5/360*Días,No._De_Pagos_con_periodo_de_gracia,-Monto_Crédito)-S61-T61))</f>
        <v>19591.748523312232</v>
      </c>
      <c r="Y61" s="117">
        <f t="shared" si="20"/>
        <v>19591.748523312232</v>
      </c>
      <c r="Z61" s="61">
        <f>+IF(A61="","",IF(No._de_Pagos-Tabla!A61+1&lt;=0,"",No._de_Pagos-Tabla!A61+1))</f>
        <v>17</v>
      </c>
      <c r="AA61" s="122">
        <f t="shared" si="21"/>
        <v>24943.372851817985</v>
      </c>
      <c r="AB61" s="124">
        <f t="shared" si="27"/>
        <v>283333.33333333413</v>
      </c>
      <c r="AC61" s="124">
        <f t="shared" si="9"/>
        <v>3494.5861111111212</v>
      </c>
      <c r="AD61" s="124">
        <f t="shared" si="10"/>
        <v>559.13377777777941</v>
      </c>
      <c r="AE61" s="119">
        <f t="shared" si="22"/>
        <v>0</v>
      </c>
      <c r="AF61" s="120">
        <f t="shared" si="11"/>
        <v>16666.666666666668</v>
      </c>
      <c r="AG61" s="110">
        <f>IF($U$258&lt;=0,AF61,IF(SUM($U$18:U61)&lt;=0,AF61,PMT($K$5/360*Días,A61,-AA61)))</f>
        <v>16666.666666666668</v>
      </c>
      <c r="AH61" s="121">
        <f>IF(A61&lt;=Periodos_Gracia,0,IF($U$258&lt;=0,AG61,IF(SUM($U$18:U61)&lt;=0,AF61,PMT($K$5/360*Días,No._de_Pagos,-Monto_Crédito)-AC61-AD61)))</f>
        <v>16666.666666666668</v>
      </c>
      <c r="AI61" s="125">
        <f t="shared" si="23"/>
        <v>20720.386555555571</v>
      </c>
      <c r="AK61" s="126">
        <f>IF(A61="","",IF(Periodos_Gracia&gt;0,Tabla!AN61,V61+S61))</f>
        <v>24205.217772024087</v>
      </c>
      <c r="AL61" s="126">
        <f t="shared" si="12"/>
        <v>20161.25277777779</v>
      </c>
      <c r="AM61" s="61">
        <f t="shared" si="24"/>
        <v>44</v>
      </c>
      <c r="AN61" s="127">
        <f>IF(A61="","",IF(A61&lt;=Periodos_Gracia,Tabla!S61,PPMT(Tasa_Anual/360*Días*(1+I.V.A.),Tabla!AM61,No._De_Pagos_con_periodo_de_gracia,-Monto_Crédito)+S61))</f>
        <v>24205.217772024087</v>
      </c>
      <c r="AO61" s="127">
        <f>IF(A61="","",IF(A61&lt;=Periodos_Gracia,Tabla!AC61,Monto_Crédito/(No._De_Pagos_con_periodo_de_gracia)+AC61))</f>
        <v>20161.25277777779</v>
      </c>
      <c r="AP61" s="117"/>
    </row>
    <row r="62" spans="1:42" x14ac:dyDescent="0.2">
      <c r="A62" s="107">
        <f>IF(A61&lt;Parámetros!$E$6,A61+1,"")</f>
        <v>45</v>
      </c>
      <c r="B62" s="108">
        <f t="shared" si="25"/>
        <v>354458.16151102603</v>
      </c>
      <c r="C62" s="108">
        <f t="shared" si="0"/>
        <v>19872.052502066559</v>
      </c>
      <c r="D62" s="108">
        <f t="shared" si="1"/>
        <v>4371.8278877167431</v>
      </c>
      <c r="E62" s="108">
        <f t="shared" si="2"/>
        <v>699.49246203467897</v>
      </c>
      <c r="F62" s="108">
        <f t="shared" si="3"/>
        <v>24943.372851817981</v>
      </c>
      <c r="G62" s="114">
        <f t="shared" si="13"/>
        <v>334586.10900895949</v>
      </c>
      <c r="H62" s="115">
        <f t="shared" si="14"/>
        <v>1</v>
      </c>
      <c r="I62" s="108">
        <f t="shared" si="26"/>
        <v>266666.66666666744</v>
      </c>
      <c r="J62" s="108">
        <f t="shared" si="4"/>
        <v>16666.666666666668</v>
      </c>
      <c r="K62" s="108">
        <f t="shared" si="5"/>
        <v>3289.0222222222314</v>
      </c>
      <c r="L62" s="108">
        <f t="shared" si="6"/>
        <v>526.24355555555701</v>
      </c>
      <c r="M62" s="108">
        <f t="shared" si="15"/>
        <v>20481.932444444457</v>
      </c>
      <c r="N62" s="114">
        <f t="shared" si="16"/>
        <v>250000.00000000079</v>
      </c>
      <c r="O62" s="60">
        <v>0</v>
      </c>
      <c r="P62" s="116">
        <f t="shared" si="17"/>
        <v>1</v>
      </c>
      <c r="R62" s="117">
        <f t="shared" si="28"/>
        <v>354458.16151102603</v>
      </c>
      <c r="S62" s="118">
        <f t="shared" si="7"/>
        <v>4371.8278877167431</v>
      </c>
      <c r="T62" s="118">
        <f t="shared" si="8"/>
        <v>699.49246203467897</v>
      </c>
      <c r="U62" s="119">
        <f t="shared" si="19"/>
        <v>0</v>
      </c>
      <c r="V62" s="120">
        <f>IF(A62="","",IF(A62&lt;=Periodos_Gracia,0,PPMT(Tasa_Anual/360*Días*(1+I.V.A.),Tabla!AM62,No._De_Pagos_con_periodo_de_gracia,-Monto_Crédito)))</f>
        <v>19872.052502066559</v>
      </c>
      <c r="W62" s="110">
        <f>IF($U$258&lt;=0,V62,IF(SUM($U$18:U62)&lt;=0,V62,PMT($K$5/360*Días,A62,-R62)))</f>
        <v>19872.052502066559</v>
      </c>
      <c r="X62" s="121">
        <f>IF($U$258&lt;=0,W62,IF(SUM($U$18:U62)&lt;=0,V62,PMT($K$5/360*Días,No._De_Pagos_con_periodo_de_gracia,-Monto_Crédito)-S62-T62))</f>
        <v>19872.052502066559</v>
      </c>
      <c r="Y62" s="117">
        <f t="shared" si="20"/>
        <v>19872.052502066559</v>
      </c>
      <c r="Z62" s="61">
        <f>+IF(A62="","",IF(No._de_Pagos-Tabla!A62+1&lt;=0,"",No._de_Pagos-Tabla!A62+1))</f>
        <v>16</v>
      </c>
      <c r="AA62" s="122">
        <f t="shared" si="21"/>
        <v>24943.372851817981</v>
      </c>
      <c r="AB62" s="124">
        <f t="shared" si="27"/>
        <v>266666.66666666744</v>
      </c>
      <c r="AC62" s="124">
        <f t="shared" si="9"/>
        <v>3289.0222222222319</v>
      </c>
      <c r="AD62" s="124">
        <f t="shared" si="10"/>
        <v>526.24355555555712</v>
      </c>
      <c r="AE62" s="119">
        <f t="shared" si="22"/>
        <v>0</v>
      </c>
      <c r="AF62" s="120">
        <f t="shared" si="11"/>
        <v>16666.666666666668</v>
      </c>
      <c r="AG62" s="110">
        <f>IF($U$258&lt;=0,AF62,IF(SUM($U$18:U62)&lt;=0,AF62,PMT($K$5/360*Días,A62,-AA62)))</f>
        <v>16666.666666666668</v>
      </c>
      <c r="AH62" s="121">
        <f>IF(A62&lt;=Periodos_Gracia,0,IF($U$258&lt;=0,AG62,IF(SUM($U$18:U62)&lt;=0,AF62,PMT($K$5/360*Días,No._de_Pagos,-Monto_Crédito)-AC62-AD62)))</f>
        <v>16666.666666666668</v>
      </c>
      <c r="AI62" s="125">
        <f t="shared" si="23"/>
        <v>20481.932444444457</v>
      </c>
      <c r="AK62" s="126">
        <f>IF(A62="","",IF(Periodos_Gracia&gt;0,Tabla!AN62,V62+S62))</f>
        <v>24243.880389783302</v>
      </c>
      <c r="AL62" s="126">
        <f t="shared" si="12"/>
        <v>19955.688888888901</v>
      </c>
      <c r="AM62" s="61">
        <f t="shared" si="24"/>
        <v>45</v>
      </c>
      <c r="AN62" s="127">
        <f>IF(A62="","",IF(A62&lt;=Periodos_Gracia,Tabla!S62,PPMT(Tasa_Anual/360*Días*(1+I.V.A.),Tabla!AM62,No._De_Pagos_con_periodo_de_gracia,-Monto_Crédito)+S62))</f>
        <v>24243.880389783302</v>
      </c>
      <c r="AO62" s="127">
        <f>IF(A62="","",IF(A62&lt;=Periodos_Gracia,Tabla!AC62,Monto_Crédito/(No._De_Pagos_con_periodo_de_gracia)+AC62))</f>
        <v>19955.688888888901</v>
      </c>
      <c r="AP62" s="117"/>
    </row>
    <row r="63" spans="1:42" x14ac:dyDescent="0.2">
      <c r="A63" s="107">
        <f>IF(A62&lt;Parámetros!$E$6,A62+1,"")</f>
        <v>46</v>
      </c>
      <c r="B63" s="108">
        <f t="shared" si="25"/>
        <v>334586.10900895949</v>
      </c>
      <c r="C63" s="108">
        <f t="shared" si="0"/>
        <v>20156.366858986577</v>
      </c>
      <c r="D63" s="108">
        <f t="shared" si="1"/>
        <v>4126.7293041650046</v>
      </c>
      <c r="E63" s="108">
        <f t="shared" si="2"/>
        <v>660.27668866640079</v>
      </c>
      <c r="F63" s="108">
        <f t="shared" si="3"/>
        <v>24943.372851817981</v>
      </c>
      <c r="G63" s="114">
        <f t="shared" si="13"/>
        <v>314429.74214997294</v>
      </c>
      <c r="H63" s="115">
        <f t="shared" si="14"/>
        <v>1</v>
      </c>
      <c r="I63" s="108">
        <f t="shared" si="26"/>
        <v>250000.00000000079</v>
      </c>
      <c r="J63" s="108">
        <f t="shared" si="4"/>
        <v>16666.666666666668</v>
      </c>
      <c r="K63" s="108">
        <f t="shared" si="5"/>
        <v>3083.458333333343</v>
      </c>
      <c r="L63" s="108">
        <f t="shared" si="6"/>
        <v>493.35333333333489</v>
      </c>
      <c r="M63" s="108">
        <f t="shared" si="15"/>
        <v>20243.478333333347</v>
      </c>
      <c r="N63" s="114">
        <f t="shared" si="16"/>
        <v>233333.33333333413</v>
      </c>
      <c r="O63" s="60">
        <v>0</v>
      </c>
      <c r="P63" s="116">
        <f t="shared" si="17"/>
        <v>1</v>
      </c>
      <c r="R63" s="117">
        <f t="shared" si="28"/>
        <v>334586.10900895949</v>
      </c>
      <c r="S63" s="118">
        <f t="shared" si="7"/>
        <v>4126.7293041650046</v>
      </c>
      <c r="T63" s="118">
        <f t="shared" si="8"/>
        <v>660.27668866640079</v>
      </c>
      <c r="U63" s="119">
        <f t="shared" si="19"/>
        <v>0</v>
      </c>
      <c r="V63" s="120">
        <f>IF(A63="","",IF(A63&lt;=Periodos_Gracia,0,PPMT(Tasa_Anual/360*Días*(1+I.V.A.),Tabla!AM63,No._De_Pagos_con_periodo_de_gracia,-Monto_Crédito)))</f>
        <v>20156.366858986577</v>
      </c>
      <c r="W63" s="110">
        <f>IF($U$258&lt;=0,V63,IF(SUM($U$18:U63)&lt;=0,V63,PMT($K$5/360*Días,A63,-R63)))</f>
        <v>20156.366858986577</v>
      </c>
      <c r="X63" s="121">
        <f>IF($U$258&lt;=0,W63,IF(SUM($U$18:U63)&lt;=0,V63,PMT($K$5/360*Días,No._De_Pagos_con_periodo_de_gracia,-Monto_Crédito)-S63-T63))</f>
        <v>20156.366858986577</v>
      </c>
      <c r="Y63" s="117">
        <f t="shared" si="20"/>
        <v>20156.366858986577</v>
      </c>
      <c r="Z63" s="61">
        <f>+IF(A63="","",IF(No._de_Pagos-Tabla!A63+1&lt;=0,"",No._de_Pagos-Tabla!A63+1))</f>
        <v>15</v>
      </c>
      <c r="AA63" s="122">
        <f t="shared" si="21"/>
        <v>24943.372851817981</v>
      </c>
      <c r="AB63" s="124">
        <f t="shared" si="27"/>
        <v>250000.00000000079</v>
      </c>
      <c r="AC63" s="124">
        <f t="shared" si="9"/>
        <v>3083.458333333343</v>
      </c>
      <c r="AD63" s="124">
        <f t="shared" si="10"/>
        <v>493.35333333333489</v>
      </c>
      <c r="AE63" s="119">
        <f t="shared" si="22"/>
        <v>0</v>
      </c>
      <c r="AF63" s="120">
        <f t="shared" si="11"/>
        <v>16666.666666666668</v>
      </c>
      <c r="AG63" s="110">
        <f>IF($U$258&lt;=0,AF63,IF(SUM($U$18:U63)&lt;=0,AF63,PMT($K$5/360*Días,A63,-AA63)))</f>
        <v>16666.666666666668</v>
      </c>
      <c r="AH63" s="121">
        <f>IF(A63&lt;=Periodos_Gracia,0,IF($U$258&lt;=0,AG63,IF(SUM($U$18:U63)&lt;=0,AF63,PMT($K$5/360*Días,No._de_Pagos,-Monto_Crédito)-AC63-AD63)))</f>
        <v>16666.666666666668</v>
      </c>
      <c r="AI63" s="125">
        <f t="shared" si="23"/>
        <v>20243.478333333347</v>
      </c>
      <c r="AK63" s="126">
        <f>IF(A63="","",IF(Periodos_Gracia&gt;0,Tabla!AN63,V63+S63))</f>
        <v>24283.096163151582</v>
      </c>
      <c r="AL63" s="126">
        <f t="shared" si="12"/>
        <v>19750.125000000011</v>
      </c>
      <c r="AM63" s="61">
        <f t="shared" si="24"/>
        <v>46</v>
      </c>
      <c r="AN63" s="127">
        <f>IF(A63="","",IF(A63&lt;=Periodos_Gracia,Tabla!S63,PPMT(Tasa_Anual/360*Días*(1+I.V.A.),Tabla!AM63,No._De_Pagos_con_periodo_de_gracia,-Monto_Crédito)+S63))</f>
        <v>24283.096163151582</v>
      </c>
      <c r="AO63" s="127">
        <f>IF(A63="","",IF(A63&lt;=Periodos_Gracia,Tabla!AC63,Monto_Crédito/(No._De_Pagos_con_periodo_de_gracia)+AC63))</f>
        <v>19750.125000000011</v>
      </c>
      <c r="AP63" s="117"/>
    </row>
    <row r="64" spans="1:42" x14ac:dyDescent="0.2">
      <c r="A64" s="107">
        <f>IF(A63&lt;Parámetros!$E$6,A63+1,"")</f>
        <v>47</v>
      </c>
      <c r="B64" s="108">
        <f t="shared" si="25"/>
        <v>314429.74214997294</v>
      </c>
      <c r="C64" s="108">
        <f t="shared" si="0"/>
        <v>20444.748971541925</v>
      </c>
      <c r="D64" s="108">
        <f t="shared" si="1"/>
        <v>3878.1240347207408</v>
      </c>
      <c r="E64" s="108">
        <f t="shared" si="2"/>
        <v>620.49984555531853</v>
      </c>
      <c r="F64" s="108">
        <f t="shared" si="3"/>
        <v>24943.372851817985</v>
      </c>
      <c r="G64" s="114">
        <f t="shared" si="13"/>
        <v>293984.993178431</v>
      </c>
      <c r="H64" s="115">
        <f t="shared" si="14"/>
        <v>1</v>
      </c>
      <c r="I64" s="108">
        <f t="shared" si="26"/>
        <v>233333.33333333413</v>
      </c>
      <c r="J64" s="108">
        <f t="shared" si="4"/>
        <v>16666.666666666668</v>
      </c>
      <c r="K64" s="108">
        <f t="shared" si="5"/>
        <v>2877.8944444444546</v>
      </c>
      <c r="L64" s="108">
        <f t="shared" si="6"/>
        <v>460.46311111111277</v>
      </c>
      <c r="M64" s="108">
        <f t="shared" si="15"/>
        <v>20005.024222222233</v>
      </c>
      <c r="N64" s="114">
        <f t="shared" si="16"/>
        <v>216666.66666666747</v>
      </c>
      <c r="O64" s="60">
        <v>0</v>
      </c>
      <c r="P64" s="116">
        <f t="shared" si="17"/>
        <v>1</v>
      </c>
      <c r="R64" s="117">
        <f t="shared" si="28"/>
        <v>314429.74214997294</v>
      </c>
      <c r="S64" s="118">
        <f t="shared" si="7"/>
        <v>3878.1240347207408</v>
      </c>
      <c r="T64" s="118">
        <f t="shared" si="8"/>
        <v>620.49984555531853</v>
      </c>
      <c r="U64" s="119">
        <f t="shared" si="19"/>
        <v>0</v>
      </c>
      <c r="V64" s="120">
        <f>IF(A64="","",IF(A64&lt;=Periodos_Gracia,0,PPMT(Tasa_Anual/360*Días*(1+I.V.A.),Tabla!AM64,No._De_Pagos_con_periodo_de_gracia,-Monto_Crédito)))</f>
        <v>20444.748971541925</v>
      </c>
      <c r="W64" s="110">
        <f>IF($U$258&lt;=0,V64,IF(SUM($U$18:U64)&lt;=0,V64,PMT($K$5/360*Días,A64,-R64)))</f>
        <v>20444.748971541925</v>
      </c>
      <c r="X64" s="121">
        <f>IF($U$258&lt;=0,W64,IF(SUM($U$18:U64)&lt;=0,V64,PMT($K$5/360*Días,No._De_Pagos_con_periodo_de_gracia,-Monto_Crédito)-S64-T64))</f>
        <v>20444.748971541925</v>
      </c>
      <c r="Y64" s="117">
        <f t="shared" si="20"/>
        <v>20444.748971541925</v>
      </c>
      <c r="Z64" s="61">
        <f>+IF(A64="","",IF(No._de_Pagos-Tabla!A64+1&lt;=0,"",No._de_Pagos-Tabla!A64+1))</f>
        <v>14</v>
      </c>
      <c r="AA64" s="122">
        <f t="shared" si="21"/>
        <v>24943.372851817985</v>
      </c>
      <c r="AB64" s="124">
        <f t="shared" si="27"/>
        <v>233333.33333333413</v>
      </c>
      <c r="AC64" s="124">
        <f t="shared" si="9"/>
        <v>2877.8944444444542</v>
      </c>
      <c r="AD64" s="124">
        <f t="shared" si="10"/>
        <v>460.46311111111265</v>
      </c>
      <c r="AE64" s="119">
        <f t="shared" si="22"/>
        <v>0</v>
      </c>
      <c r="AF64" s="120">
        <f t="shared" si="11"/>
        <v>16666.666666666668</v>
      </c>
      <c r="AG64" s="110">
        <f>IF($U$258&lt;=0,AF64,IF(SUM($U$18:U64)&lt;=0,AF64,PMT($K$5/360*Días,A64,-AA64)))</f>
        <v>16666.666666666668</v>
      </c>
      <c r="AH64" s="121">
        <f>IF(A64&lt;=Periodos_Gracia,0,IF($U$258&lt;=0,AG64,IF(SUM($U$18:U64)&lt;=0,AF64,PMT($K$5/360*Días,No._de_Pagos,-Monto_Crédito)-AC64-AD64)))</f>
        <v>16666.666666666668</v>
      </c>
      <c r="AI64" s="125">
        <f t="shared" si="23"/>
        <v>20005.024222222233</v>
      </c>
      <c r="AK64" s="126">
        <f>IF(A64="","",IF(Periodos_Gracia&gt;0,Tabla!AN64,V64+S64))</f>
        <v>24322.873006262667</v>
      </c>
      <c r="AL64" s="126">
        <f t="shared" si="12"/>
        <v>19544.561111111121</v>
      </c>
      <c r="AM64" s="61">
        <f t="shared" si="24"/>
        <v>47</v>
      </c>
      <c r="AN64" s="127">
        <f>IF(A64="","",IF(A64&lt;=Periodos_Gracia,Tabla!S64,PPMT(Tasa_Anual/360*Días*(1+I.V.A.),Tabla!AM64,No._De_Pagos_con_periodo_de_gracia,-Monto_Crédito)+S64))</f>
        <v>24322.873006262667</v>
      </c>
      <c r="AO64" s="127">
        <f>IF(A64="","",IF(A64&lt;=Periodos_Gracia,Tabla!AC64,Monto_Crédito/(No._De_Pagos_con_periodo_de_gracia)+AC64))</f>
        <v>19544.561111111121</v>
      </c>
      <c r="AP64" s="117"/>
    </row>
    <row r="65" spans="1:42" x14ac:dyDescent="0.2">
      <c r="A65" s="107">
        <f>IF(A64&lt;Parámetros!$E$6,A64+1,"")</f>
        <v>48</v>
      </c>
      <c r="B65" s="108">
        <f t="shared" si="25"/>
        <v>293984.993178431</v>
      </c>
      <c r="C65" s="108">
        <f t="shared" si="0"/>
        <v>20737.257038115855</v>
      </c>
      <c r="D65" s="108">
        <f t="shared" si="1"/>
        <v>3625.961908363905</v>
      </c>
      <c r="E65" s="108">
        <f t="shared" si="2"/>
        <v>580.15390533822483</v>
      </c>
      <c r="F65" s="108">
        <f t="shared" si="3"/>
        <v>24943.372851817985</v>
      </c>
      <c r="G65" s="114">
        <f t="shared" si="13"/>
        <v>273247.73614031513</v>
      </c>
      <c r="H65" s="115">
        <f t="shared" si="14"/>
        <v>1</v>
      </c>
      <c r="I65" s="108">
        <f t="shared" si="26"/>
        <v>216666.66666666747</v>
      </c>
      <c r="J65" s="108">
        <f t="shared" si="4"/>
        <v>16666.666666666668</v>
      </c>
      <c r="K65" s="108">
        <f t="shared" si="5"/>
        <v>2672.3305555555658</v>
      </c>
      <c r="L65" s="108">
        <f t="shared" si="6"/>
        <v>427.57288888889053</v>
      </c>
      <c r="M65" s="108">
        <f t="shared" si="15"/>
        <v>19766.570111111127</v>
      </c>
      <c r="N65" s="114">
        <f t="shared" si="16"/>
        <v>200000.00000000081</v>
      </c>
      <c r="O65" s="60">
        <v>0</v>
      </c>
      <c r="P65" s="116">
        <f t="shared" si="17"/>
        <v>1</v>
      </c>
      <c r="R65" s="117">
        <f t="shared" si="28"/>
        <v>293984.993178431</v>
      </c>
      <c r="S65" s="118">
        <f t="shared" si="7"/>
        <v>3625.961908363905</v>
      </c>
      <c r="T65" s="118">
        <f t="shared" si="8"/>
        <v>580.15390533822483</v>
      </c>
      <c r="U65" s="119">
        <f t="shared" si="19"/>
        <v>0</v>
      </c>
      <c r="V65" s="120">
        <f>IF(A65="","",IF(A65&lt;=Periodos_Gracia,0,PPMT(Tasa_Anual/360*Días*(1+I.V.A.),Tabla!AM65,No._De_Pagos_con_periodo_de_gracia,-Monto_Crédito)))</f>
        <v>20737.257038115855</v>
      </c>
      <c r="W65" s="110">
        <f>IF($U$258&lt;=0,V65,IF(SUM($U$18:U65)&lt;=0,V65,PMT($K$5/360*Días,A65,-R65)))</f>
        <v>20737.257038115855</v>
      </c>
      <c r="X65" s="121">
        <f>IF($U$258&lt;=0,W65,IF(SUM($U$18:U65)&lt;=0,V65,PMT($K$5/360*Días,No._De_Pagos_con_periodo_de_gracia,-Monto_Crédito)-S65-T65))</f>
        <v>20737.257038115855</v>
      </c>
      <c r="Y65" s="117">
        <f t="shared" si="20"/>
        <v>20737.257038115855</v>
      </c>
      <c r="Z65" s="61">
        <f>+IF(A65="","",IF(No._de_Pagos-Tabla!A65+1&lt;=0,"",No._de_Pagos-Tabla!A65+1))</f>
        <v>13</v>
      </c>
      <c r="AA65" s="122">
        <f t="shared" si="21"/>
        <v>24943.372851817985</v>
      </c>
      <c r="AB65" s="124">
        <f t="shared" si="27"/>
        <v>216666.66666666747</v>
      </c>
      <c r="AC65" s="124">
        <f t="shared" si="9"/>
        <v>2672.3305555555658</v>
      </c>
      <c r="AD65" s="124">
        <f t="shared" si="10"/>
        <v>427.57288888889053</v>
      </c>
      <c r="AE65" s="119">
        <f t="shared" si="22"/>
        <v>0</v>
      </c>
      <c r="AF65" s="120">
        <f t="shared" si="11"/>
        <v>16666.666666666668</v>
      </c>
      <c r="AG65" s="110">
        <f>IF($U$258&lt;=0,AF65,IF(SUM($U$18:U65)&lt;=0,AF65,PMT($K$5/360*Días,A65,-AA65)))</f>
        <v>16666.666666666668</v>
      </c>
      <c r="AH65" s="121">
        <f>IF(A65&lt;=Periodos_Gracia,0,IF($U$258&lt;=0,AG65,IF(SUM($U$18:U65)&lt;=0,AF65,PMT($K$5/360*Días,No._de_Pagos,-Monto_Crédito)-AC65-AD65)))</f>
        <v>16666.666666666668</v>
      </c>
      <c r="AI65" s="125">
        <f t="shared" si="23"/>
        <v>19766.570111111127</v>
      </c>
      <c r="AK65" s="126">
        <f>IF(A65="","",IF(Periodos_Gracia&gt;0,Tabla!AN65,V65+S65))</f>
        <v>24363.218946479759</v>
      </c>
      <c r="AL65" s="126">
        <f t="shared" si="12"/>
        <v>19338.997222222235</v>
      </c>
      <c r="AM65" s="61">
        <f t="shared" si="24"/>
        <v>48</v>
      </c>
      <c r="AN65" s="127">
        <f>IF(A65="","",IF(A65&lt;=Periodos_Gracia,Tabla!S65,PPMT(Tasa_Anual/360*Días*(1+I.V.A.),Tabla!AM65,No._De_Pagos_con_periodo_de_gracia,-Monto_Crédito)+S65))</f>
        <v>24363.218946479759</v>
      </c>
      <c r="AO65" s="127">
        <f>IF(A65="","",IF(A65&lt;=Periodos_Gracia,Tabla!AC65,Monto_Crédito/(No._De_Pagos_con_periodo_de_gracia)+AC65))</f>
        <v>19338.997222222235</v>
      </c>
      <c r="AP65" s="117"/>
    </row>
    <row r="66" spans="1:42" x14ac:dyDescent="0.2">
      <c r="A66" s="107">
        <f>IF(A65&lt;Parámetros!$E$6,A65+1,"")</f>
        <v>49</v>
      </c>
      <c r="B66" s="108">
        <f t="shared" si="25"/>
        <v>273247.73614031513</v>
      </c>
      <c r="C66" s="108">
        <f t="shared" si="0"/>
        <v>21033.950089750248</v>
      </c>
      <c r="D66" s="108">
        <f t="shared" si="1"/>
        <v>3370.1920362652904</v>
      </c>
      <c r="E66" s="108">
        <f t="shared" si="2"/>
        <v>539.2307258024465</v>
      </c>
      <c r="F66" s="108">
        <f t="shared" si="3"/>
        <v>24943.372851817981</v>
      </c>
      <c r="G66" s="114">
        <f t="shared" si="13"/>
        <v>252213.78605056487</v>
      </c>
      <c r="H66" s="115">
        <f t="shared" si="14"/>
        <v>1</v>
      </c>
      <c r="I66" s="108">
        <f t="shared" si="26"/>
        <v>200000.00000000081</v>
      </c>
      <c r="J66" s="108">
        <f t="shared" si="4"/>
        <v>16666.666666666668</v>
      </c>
      <c r="K66" s="108">
        <f t="shared" si="5"/>
        <v>2466.7666666666769</v>
      </c>
      <c r="L66" s="108">
        <f t="shared" si="6"/>
        <v>394.6826666666683</v>
      </c>
      <c r="M66" s="108">
        <f t="shared" si="15"/>
        <v>19528.116000000013</v>
      </c>
      <c r="N66" s="114">
        <f t="shared" si="16"/>
        <v>183333.33333333416</v>
      </c>
      <c r="O66" s="60">
        <v>0</v>
      </c>
      <c r="P66" s="116">
        <f t="shared" si="17"/>
        <v>1</v>
      </c>
      <c r="R66" s="117">
        <f t="shared" si="28"/>
        <v>273247.73614031513</v>
      </c>
      <c r="S66" s="118">
        <f t="shared" si="7"/>
        <v>3370.1920362652904</v>
      </c>
      <c r="T66" s="118">
        <f t="shared" si="8"/>
        <v>539.2307258024465</v>
      </c>
      <c r="U66" s="119">
        <f t="shared" si="19"/>
        <v>0</v>
      </c>
      <c r="V66" s="120">
        <f>IF(A66="","",IF(A66&lt;=Periodos_Gracia,0,PPMT(Tasa_Anual/360*Días*(1+I.V.A.),Tabla!AM66,No._De_Pagos_con_periodo_de_gracia,-Monto_Crédito)))</f>
        <v>21033.950089750248</v>
      </c>
      <c r="W66" s="110">
        <f>IF($U$258&lt;=0,V66,IF(SUM($U$18:U66)&lt;=0,V66,PMT($K$5/360*Días,A66,-R66)))</f>
        <v>21033.950089750248</v>
      </c>
      <c r="X66" s="121">
        <f>IF($U$258&lt;=0,W66,IF(SUM($U$18:U66)&lt;=0,V66,PMT($K$5/360*Días,No._De_Pagos_con_periodo_de_gracia,-Monto_Crédito)-S66-T66))</f>
        <v>21033.950089750248</v>
      </c>
      <c r="Y66" s="117">
        <f t="shared" si="20"/>
        <v>21033.950089750248</v>
      </c>
      <c r="Z66" s="61">
        <f>+IF(A66="","",IF(No._de_Pagos-Tabla!A66+1&lt;=0,"",No._de_Pagos-Tabla!A66+1))</f>
        <v>12</v>
      </c>
      <c r="AA66" s="122">
        <f t="shared" si="21"/>
        <v>24943.372851817981</v>
      </c>
      <c r="AB66" s="124">
        <f t="shared" si="27"/>
        <v>200000.00000000081</v>
      </c>
      <c r="AC66" s="124">
        <f t="shared" si="9"/>
        <v>2466.7666666666769</v>
      </c>
      <c r="AD66" s="124">
        <f t="shared" si="10"/>
        <v>394.6826666666683</v>
      </c>
      <c r="AE66" s="119">
        <f t="shared" si="22"/>
        <v>0</v>
      </c>
      <c r="AF66" s="120">
        <f t="shared" si="11"/>
        <v>16666.666666666668</v>
      </c>
      <c r="AG66" s="110">
        <f>IF($U$258&lt;=0,AF66,IF(SUM($U$18:U66)&lt;=0,AF66,PMT($K$5/360*Días,A66,-AA66)))</f>
        <v>16666.666666666668</v>
      </c>
      <c r="AH66" s="121">
        <f>IF(A66&lt;=Periodos_Gracia,0,IF($U$258&lt;=0,AG66,IF(SUM($U$18:U66)&lt;=0,AF66,PMT($K$5/360*Días,No._de_Pagos,-Monto_Crédito)-AC66-AD66)))</f>
        <v>16666.666666666668</v>
      </c>
      <c r="AI66" s="125">
        <f t="shared" si="23"/>
        <v>19528.116000000013</v>
      </c>
      <c r="AK66" s="126">
        <f>IF(A66="","",IF(Periodos_Gracia&gt;0,Tabla!AN66,V66+S66))</f>
        <v>24404.142126015537</v>
      </c>
      <c r="AL66" s="126">
        <f t="shared" si="12"/>
        <v>19133.433333333345</v>
      </c>
      <c r="AM66" s="61">
        <f t="shared" si="24"/>
        <v>49</v>
      </c>
      <c r="AN66" s="127">
        <f>IF(A66="","",IF(A66&lt;=Periodos_Gracia,Tabla!S66,PPMT(Tasa_Anual/360*Días*(1+I.V.A.),Tabla!AM66,No._De_Pagos_con_periodo_de_gracia,-Monto_Crédito)+S66))</f>
        <v>24404.142126015537</v>
      </c>
      <c r="AO66" s="127">
        <f>IF(A66="","",IF(A66&lt;=Periodos_Gracia,Tabla!AC66,Monto_Crédito/(No._De_Pagos_con_periodo_de_gracia)+AC66))</f>
        <v>19133.433333333345</v>
      </c>
      <c r="AP66" s="117"/>
    </row>
    <row r="67" spans="1:42" x14ac:dyDescent="0.2">
      <c r="A67" s="107">
        <f>IF(A66&lt;Parámetros!$E$6,A66+1,"")</f>
        <v>50</v>
      </c>
      <c r="B67" s="108">
        <f t="shared" si="25"/>
        <v>252213.78605056487</v>
      </c>
      <c r="C67" s="108">
        <f t="shared" si="0"/>
        <v>21334.888002058658</v>
      </c>
      <c r="D67" s="108">
        <f t="shared" si="1"/>
        <v>3110.7628015166588</v>
      </c>
      <c r="E67" s="108">
        <f t="shared" si="2"/>
        <v>497.72204824266544</v>
      </c>
      <c r="F67" s="108">
        <f t="shared" si="3"/>
        <v>24943.372851817981</v>
      </c>
      <c r="G67" s="114">
        <f t="shared" si="13"/>
        <v>230878.89804850621</v>
      </c>
      <c r="H67" s="115">
        <f t="shared" si="14"/>
        <v>1</v>
      </c>
      <c r="I67" s="108">
        <f t="shared" si="26"/>
        <v>183333.33333333416</v>
      </c>
      <c r="J67" s="108">
        <f t="shared" si="4"/>
        <v>16666.666666666668</v>
      </c>
      <c r="K67" s="108">
        <f t="shared" si="5"/>
        <v>2261.202777777788</v>
      </c>
      <c r="L67" s="108">
        <f t="shared" si="6"/>
        <v>361.79244444444606</v>
      </c>
      <c r="M67" s="108">
        <f t="shared" si="15"/>
        <v>19289.661888888902</v>
      </c>
      <c r="N67" s="114">
        <f t="shared" si="16"/>
        <v>166666.6666666675</v>
      </c>
      <c r="O67" s="60">
        <v>0</v>
      </c>
      <c r="P67" s="116">
        <f t="shared" si="17"/>
        <v>1</v>
      </c>
      <c r="R67" s="117">
        <f t="shared" si="28"/>
        <v>252213.78605056487</v>
      </c>
      <c r="S67" s="118">
        <f t="shared" si="7"/>
        <v>3110.7628015166583</v>
      </c>
      <c r="T67" s="118">
        <f t="shared" si="8"/>
        <v>497.72204824266532</v>
      </c>
      <c r="U67" s="119">
        <f t="shared" si="19"/>
        <v>0</v>
      </c>
      <c r="V67" s="120">
        <f>IF(A67="","",IF(A67&lt;=Periodos_Gracia,0,PPMT(Tasa_Anual/360*Días*(1+I.V.A.),Tabla!AM67,No._De_Pagos_con_periodo_de_gracia,-Monto_Crédito)))</f>
        <v>21334.888002058658</v>
      </c>
      <c r="W67" s="110">
        <f>IF($U$258&lt;=0,V67,IF(SUM($U$18:U67)&lt;=0,V67,PMT($K$5/360*Días,A67,-R67)))</f>
        <v>21334.888002058658</v>
      </c>
      <c r="X67" s="121">
        <f>IF($U$258&lt;=0,W67,IF(SUM($U$18:U67)&lt;=0,V67,PMT($K$5/360*Días,No._De_Pagos_con_periodo_de_gracia,-Monto_Crédito)-S67-T67))</f>
        <v>21334.888002058658</v>
      </c>
      <c r="Y67" s="117">
        <f t="shared" si="20"/>
        <v>21334.888002058658</v>
      </c>
      <c r="Z67" s="61">
        <f>+IF(A67="","",IF(No._de_Pagos-Tabla!A67+1&lt;=0,"",No._de_Pagos-Tabla!A67+1))</f>
        <v>11</v>
      </c>
      <c r="AA67" s="122">
        <f t="shared" si="21"/>
        <v>24943.372851817981</v>
      </c>
      <c r="AB67" s="124">
        <f t="shared" si="27"/>
        <v>183333.33333333416</v>
      </c>
      <c r="AC67" s="124">
        <f t="shared" si="9"/>
        <v>2261.202777777788</v>
      </c>
      <c r="AD67" s="124">
        <f t="shared" si="10"/>
        <v>361.79244444444606</v>
      </c>
      <c r="AE67" s="119">
        <f t="shared" si="22"/>
        <v>0</v>
      </c>
      <c r="AF67" s="120">
        <f t="shared" si="11"/>
        <v>16666.666666666668</v>
      </c>
      <c r="AG67" s="110">
        <f>IF($U$258&lt;=0,AF67,IF(SUM($U$18:U67)&lt;=0,AF67,PMT($K$5/360*Días,A67,-AA67)))</f>
        <v>16666.666666666668</v>
      </c>
      <c r="AH67" s="121">
        <f>IF(A67&lt;=Periodos_Gracia,0,IF($U$258&lt;=0,AG67,IF(SUM($U$18:U67)&lt;=0,AF67,PMT($K$5/360*Días,No._de_Pagos,-Monto_Crédito)-AC67-AD67)))</f>
        <v>16666.666666666668</v>
      </c>
      <c r="AI67" s="125">
        <f t="shared" si="23"/>
        <v>19289.661888888902</v>
      </c>
      <c r="AK67" s="126">
        <f>IF(A67="","",IF(Periodos_Gracia&gt;0,Tabla!AN67,V67+S67))</f>
        <v>24445.650803575318</v>
      </c>
      <c r="AL67" s="126">
        <f t="shared" si="12"/>
        <v>18927.869444444455</v>
      </c>
      <c r="AM67" s="61">
        <f t="shared" si="24"/>
        <v>50</v>
      </c>
      <c r="AN67" s="127">
        <f>IF(A67="","",IF(A67&lt;=Periodos_Gracia,Tabla!S67,PPMT(Tasa_Anual/360*Días*(1+I.V.A.),Tabla!AM67,No._De_Pagos_con_periodo_de_gracia,-Monto_Crédito)+S67))</f>
        <v>24445.650803575318</v>
      </c>
      <c r="AO67" s="127">
        <f>IF(A67="","",IF(A67&lt;=Periodos_Gracia,Tabla!AC67,Monto_Crédito/(No._De_Pagos_con_periodo_de_gracia)+AC67))</f>
        <v>18927.869444444455</v>
      </c>
      <c r="AP67" s="117"/>
    </row>
    <row r="68" spans="1:42" x14ac:dyDescent="0.2">
      <c r="A68" s="107">
        <f>IF(A67&lt;Parámetros!$E$6,A67+1,"")</f>
        <v>51</v>
      </c>
      <c r="B68" s="108">
        <f t="shared" si="25"/>
        <v>230878.89804850621</v>
      </c>
      <c r="C68" s="108">
        <f t="shared" si="0"/>
        <v>21640.131507309819</v>
      </c>
      <c r="D68" s="108">
        <f t="shared" si="1"/>
        <v>2847.621848713934</v>
      </c>
      <c r="E68" s="108">
        <f t="shared" si="2"/>
        <v>455.61949579422946</v>
      </c>
      <c r="F68" s="108">
        <f t="shared" si="3"/>
        <v>24943.372851817981</v>
      </c>
      <c r="G68" s="114">
        <f t="shared" si="13"/>
        <v>209238.76654119638</v>
      </c>
      <c r="H68" s="115">
        <f t="shared" si="14"/>
        <v>1</v>
      </c>
      <c r="I68" s="108">
        <f t="shared" si="26"/>
        <v>166666.6666666675</v>
      </c>
      <c r="J68" s="108">
        <f t="shared" si="4"/>
        <v>16666.666666666668</v>
      </c>
      <c r="K68" s="108">
        <f t="shared" si="5"/>
        <v>2055.6388888888991</v>
      </c>
      <c r="L68" s="108">
        <f t="shared" si="6"/>
        <v>328.90222222222388</v>
      </c>
      <c r="M68" s="108">
        <f t="shared" si="15"/>
        <v>19051.207777777789</v>
      </c>
      <c r="N68" s="114">
        <f t="shared" si="16"/>
        <v>150000.00000000084</v>
      </c>
      <c r="O68" s="60">
        <v>0</v>
      </c>
      <c r="P68" s="116">
        <f t="shared" si="17"/>
        <v>1</v>
      </c>
      <c r="R68" s="117">
        <f t="shared" si="28"/>
        <v>230878.89804850621</v>
      </c>
      <c r="S68" s="118">
        <f t="shared" si="7"/>
        <v>2847.621848713934</v>
      </c>
      <c r="T68" s="118">
        <f t="shared" si="8"/>
        <v>455.61949579422946</v>
      </c>
      <c r="U68" s="119">
        <f t="shared" si="19"/>
        <v>0</v>
      </c>
      <c r="V68" s="120">
        <f>IF(A68="","",IF(A68&lt;=Periodos_Gracia,0,PPMT(Tasa_Anual/360*Días*(1+I.V.A.),Tabla!AM68,No._De_Pagos_con_periodo_de_gracia,-Monto_Crédito)))</f>
        <v>21640.131507309819</v>
      </c>
      <c r="W68" s="110">
        <f>IF($U$258&lt;=0,V68,IF(SUM($U$18:U68)&lt;=0,V68,PMT($K$5/360*Días,A68,-R68)))</f>
        <v>21640.131507309819</v>
      </c>
      <c r="X68" s="121">
        <f>IF($U$258&lt;=0,W68,IF(SUM($U$18:U68)&lt;=0,V68,PMT($K$5/360*Días,No._De_Pagos_con_periodo_de_gracia,-Monto_Crédito)-S68-T68))</f>
        <v>21640.131507309819</v>
      </c>
      <c r="Y68" s="117">
        <f t="shared" si="20"/>
        <v>21640.131507309819</v>
      </c>
      <c r="Z68" s="61">
        <f>+IF(A68="","",IF(No._de_Pagos-Tabla!A68+1&lt;=0,"",No._de_Pagos-Tabla!A68+1))</f>
        <v>10</v>
      </c>
      <c r="AA68" s="122">
        <f t="shared" si="21"/>
        <v>24943.372851817981</v>
      </c>
      <c r="AB68" s="124">
        <f t="shared" si="27"/>
        <v>166666.6666666675</v>
      </c>
      <c r="AC68" s="124">
        <f t="shared" si="9"/>
        <v>2055.6388888888991</v>
      </c>
      <c r="AD68" s="124">
        <f t="shared" si="10"/>
        <v>328.90222222222388</v>
      </c>
      <c r="AE68" s="119">
        <f t="shared" si="22"/>
        <v>0</v>
      </c>
      <c r="AF68" s="120">
        <f t="shared" si="11"/>
        <v>16666.666666666668</v>
      </c>
      <c r="AG68" s="110">
        <f>IF($U$258&lt;=0,AF68,IF(SUM($U$18:U68)&lt;=0,AF68,PMT($K$5/360*Días,A68,-AA68)))</f>
        <v>16666.666666666668</v>
      </c>
      <c r="AH68" s="121">
        <f>IF(A68&lt;=Periodos_Gracia,0,IF($U$258&lt;=0,AG68,IF(SUM($U$18:U68)&lt;=0,AF68,PMT($K$5/360*Días,No._de_Pagos,-Monto_Crédito)-AC68-AD68)))</f>
        <v>16666.666666666668</v>
      </c>
      <c r="AI68" s="125">
        <f t="shared" si="23"/>
        <v>19051.207777777789</v>
      </c>
      <c r="AK68" s="126">
        <f>IF(A68="","",IF(Periodos_Gracia&gt;0,Tabla!AN68,V68+S68))</f>
        <v>24487.753356023753</v>
      </c>
      <c r="AL68" s="126">
        <f t="shared" si="12"/>
        <v>18722.305555555566</v>
      </c>
      <c r="AM68" s="61">
        <f t="shared" si="24"/>
        <v>51</v>
      </c>
      <c r="AN68" s="127">
        <f>IF(A68="","",IF(A68&lt;=Periodos_Gracia,Tabla!S68,PPMT(Tasa_Anual/360*Días*(1+I.V.A.),Tabla!AM68,No._De_Pagos_con_periodo_de_gracia,-Monto_Crédito)+S68))</f>
        <v>24487.753356023753</v>
      </c>
      <c r="AO68" s="127">
        <f>IF(A68="","",IF(A68&lt;=Periodos_Gracia,Tabla!AC68,Monto_Crédito/(No._De_Pagos_con_periodo_de_gracia)+AC68))</f>
        <v>18722.305555555566</v>
      </c>
      <c r="AP68" s="117"/>
    </row>
    <row r="69" spans="1:42" x14ac:dyDescent="0.2">
      <c r="A69" s="107">
        <f>IF(A68&lt;Parámetros!$E$6,A68+1,"")</f>
        <v>52</v>
      </c>
      <c r="B69" s="108">
        <f t="shared" si="25"/>
        <v>209238.76654119638</v>
      </c>
      <c r="C69" s="108">
        <f t="shared" si="0"/>
        <v>21949.742206684008</v>
      </c>
      <c r="D69" s="108">
        <f t="shared" si="1"/>
        <v>2580.7160733913593</v>
      </c>
      <c r="E69" s="108">
        <f t="shared" si="2"/>
        <v>412.91457174261751</v>
      </c>
      <c r="F69" s="108">
        <f t="shared" si="3"/>
        <v>24943.372851817985</v>
      </c>
      <c r="G69" s="114">
        <f t="shared" si="13"/>
        <v>187289.02433451236</v>
      </c>
      <c r="H69" s="115">
        <f t="shared" si="14"/>
        <v>1</v>
      </c>
      <c r="I69" s="108">
        <f t="shared" si="26"/>
        <v>150000.00000000084</v>
      </c>
      <c r="J69" s="108">
        <f t="shared" si="4"/>
        <v>16666.666666666668</v>
      </c>
      <c r="K69" s="108">
        <f t="shared" si="5"/>
        <v>1850.0750000000105</v>
      </c>
      <c r="L69" s="108">
        <f t="shared" si="6"/>
        <v>296.01200000000171</v>
      </c>
      <c r="M69" s="108">
        <f t="shared" si="15"/>
        <v>18812.753666666682</v>
      </c>
      <c r="N69" s="114">
        <f t="shared" si="16"/>
        <v>133333.33333333419</v>
      </c>
      <c r="O69" s="60">
        <v>0</v>
      </c>
      <c r="P69" s="116">
        <f t="shared" si="17"/>
        <v>1</v>
      </c>
      <c r="R69" s="117">
        <f t="shared" si="28"/>
        <v>209238.76654119638</v>
      </c>
      <c r="S69" s="118">
        <f t="shared" si="7"/>
        <v>2580.7160733913593</v>
      </c>
      <c r="T69" s="118">
        <f t="shared" si="8"/>
        <v>412.91457174261751</v>
      </c>
      <c r="U69" s="119">
        <f t="shared" si="19"/>
        <v>0</v>
      </c>
      <c r="V69" s="120">
        <f>IF(A69="","",IF(A69&lt;=Periodos_Gracia,0,PPMT(Tasa_Anual/360*Días*(1+I.V.A.),Tabla!AM69,No._De_Pagos_con_periodo_de_gracia,-Monto_Crédito)))</f>
        <v>21949.742206684008</v>
      </c>
      <c r="W69" s="110">
        <f>IF($U$258&lt;=0,V69,IF(SUM($U$18:U69)&lt;=0,V69,PMT($K$5/360*Días,A69,-R69)))</f>
        <v>21949.742206684008</v>
      </c>
      <c r="X69" s="121">
        <f>IF($U$258&lt;=0,W69,IF(SUM($U$18:U69)&lt;=0,V69,PMT($K$5/360*Días,No._De_Pagos_con_periodo_de_gracia,-Monto_Crédito)-S69-T69))</f>
        <v>21949.742206684008</v>
      </c>
      <c r="Y69" s="117">
        <f t="shared" si="20"/>
        <v>21949.742206684008</v>
      </c>
      <c r="Z69" s="61">
        <f>+IF(A69="","",IF(No._de_Pagos-Tabla!A69+1&lt;=0,"",No._de_Pagos-Tabla!A69+1))</f>
        <v>9</v>
      </c>
      <c r="AA69" s="122">
        <f t="shared" si="21"/>
        <v>24943.372851817985</v>
      </c>
      <c r="AB69" s="124">
        <f t="shared" si="27"/>
        <v>150000.00000000084</v>
      </c>
      <c r="AC69" s="124">
        <f t="shared" si="9"/>
        <v>1850.0750000000105</v>
      </c>
      <c r="AD69" s="124">
        <f t="shared" si="10"/>
        <v>296.01200000000171</v>
      </c>
      <c r="AE69" s="119">
        <f t="shared" si="22"/>
        <v>0</v>
      </c>
      <c r="AF69" s="120">
        <f t="shared" si="11"/>
        <v>16666.666666666668</v>
      </c>
      <c r="AG69" s="110">
        <f>IF($U$258&lt;=0,AF69,IF(SUM($U$18:U69)&lt;=0,AF69,PMT($K$5/360*Días,A69,-AA69)))</f>
        <v>16666.666666666668</v>
      </c>
      <c r="AH69" s="121">
        <f>IF(A69&lt;=Periodos_Gracia,0,IF($U$258&lt;=0,AG69,IF(SUM($U$18:U69)&lt;=0,AF69,PMT($K$5/360*Días,No._de_Pagos,-Monto_Crédito)-AC69-AD69)))</f>
        <v>16666.666666666668</v>
      </c>
      <c r="AI69" s="125">
        <f t="shared" si="23"/>
        <v>18812.753666666682</v>
      </c>
      <c r="AK69" s="126">
        <f>IF(A69="","",IF(Periodos_Gracia&gt;0,Tabla!AN69,V69+S69))</f>
        <v>24530.458280075367</v>
      </c>
      <c r="AL69" s="126">
        <f t="shared" si="12"/>
        <v>18516.74166666668</v>
      </c>
      <c r="AM69" s="61">
        <f t="shared" si="24"/>
        <v>52</v>
      </c>
      <c r="AN69" s="127">
        <f>IF(A69="","",IF(A69&lt;=Periodos_Gracia,Tabla!S69,PPMT(Tasa_Anual/360*Días*(1+I.V.A.),Tabla!AM69,No._De_Pagos_con_periodo_de_gracia,-Monto_Crédito)+S69))</f>
        <v>24530.458280075367</v>
      </c>
      <c r="AO69" s="127">
        <f>IF(A69="","",IF(A69&lt;=Periodos_Gracia,Tabla!AC69,Monto_Crédito/(No._De_Pagos_con_periodo_de_gracia)+AC69))</f>
        <v>18516.74166666668</v>
      </c>
      <c r="AP69" s="117"/>
    </row>
    <row r="70" spans="1:42" x14ac:dyDescent="0.2">
      <c r="A70" s="107">
        <f>IF(A69&lt;Parámetros!$E$6,A69+1,"")</f>
        <v>53</v>
      </c>
      <c r="B70" s="108">
        <f t="shared" si="25"/>
        <v>187289.02433451236</v>
      </c>
      <c r="C70" s="108">
        <f t="shared" si="0"/>
        <v>22263.782582704778</v>
      </c>
      <c r="D70" s="108">
        <f t="shared" si="1"/>
        <v>2309.9916113044865</v>
      </c>
      <c r="E70" s="108">
        <f t="shared" si="2"/>
        <v>369.59865780871786</v>
      </c>
      <c r="F70" s="108">
        <f t="shared" si="3"/>
        <v>24943.372851817981</v>
      </c>
      <c r="G70" s="114">
        <f t="shared" si="13"/>
        <v>165025.24175180757</v>
      </c>
      <c r="H70" s="115">
        <f t="shared" si="14"/>
        <v>1</v>
      </c>
      <c r="I70" s="108">
        <f t="shared" si="26"/>
        <v>133333.33333333419</v>
      </c>
      <c r="J70" s="108">
        <f t="shared" si="4"/>
        <v>16666.666666666668</v>
      </c>
      <c r="K70" s="108">
        <f t="shared" si="5"/>
        <v>1644.5111111111216</v>
      </c>
      <c r="L70" s="108">
        <f t="shared" si="6"/>
        <v>263.12177777777947</v>
      </c>
      <c r="M70" s="108">
        <f t="shared" si="15"/>
        <v>18574.299555555568</v>
      </c>
      <c r="N70" s="114">
        <f t="shared" si="16"/>
        <v>116666.66666666752</v>
      </c>
      <c r="O70" s="60">
        <v>0</v>
      </c>
      <c r="P70" s="116">
        <f t="shared" si="17"/>
        <v>1</v>
      </c>
      <c r="R70" s="117">
        <f t="shared" si="28"/>
        <v>187289.02433451236</v>
      </c>
      <c r="S70" s="118">
        <f t="shared" si="7"/>
        <v>2309.9916113044865</v>
      </c>
      <c r="T70" s="118">
        <f t="shared" si="8"/>
        <v>369.59865780871786</v>
      </c>
      <c r="U70" s="119">
        <f t="shared" si="19"/>
        <v>0</v>
      </c>
      <c r="V70" s="120">
        <f>IF(A70="","",IF(A70&lt;=Periodos_Gracia,0,PPMT(Tasa_Anual/360*Días*(1+I.V.A.),Tabla!AM70,No._De_Pagos_con_periodo_de_gracia,-Monto_Crédito)))</f>
        <v>22263.782582704778</v>
      </c>
      <c r="W70" s="110">
        <f>IF($U$258&lt;=0,V70,IF(SUM($U$18:U70)&lt;=0,V70,PMT($K$5/360*Días,A70,-R70)))</f>
        <v>22263.782582704778</v>
      </c>
      <c r="X70" s="121">
        <f>IF($U$258&lt;=0,W70,IF(SUM($U$18:U70)&lt;=0,V70,PMT($K$5/360*Días,No._De_Pagos_con_periodo_de_gracia,-Monto_Crédito)-S70-T70))</f>
        <v>22263.782582704778</v>
      </c>
      <c r="Y70" s="117">
        <f t="shared" si="20"/>
        <v>22263.782582704778</v>
      </c>
      <c r="Z70" s="61">
        <f>+IF(A70="","",IF(No._de_Pagos-Tabla!A70+1&lt;=0,"",No._de_Pagos-Tabla!A70+1))</f>
        <v>8</v>
      </c>
      <c r="AA70" s="122">
        <f t="shared" si="21"/>
        <v>24943.372851817981</v>
      </c>
      <c r="AB70" s="124">
        <f t="shared" si="27"/>
        <v>133333.33333333419</v>
      </c>
      <c r="AC70" s="124">
        <f t="shared" si="9"/>
        <v>1644.5111111111216</v>
      </c>
      <c r="AD70" s="124">
        <f t="shared" si="10"/>
        <v>263.12177777777947</v>
      </c>
      <c r="AE70" s="119">
        <f t="shared" si="22"/>
        <v>0</v>
      </c>
      <c r="AF70" s="120">
        <f t="shared" si="11"/>
        <v>16666.666666666668</v>
      </c>
      <c r="AG70" s="110">
        <f>IF($U$258&lt;=0,AF70,IF(SUM($U$18:U70)&lt;=0,AF70,PMT($K$5/360*Días,A70,-AA70)))</f>
        <v>16666.666666666668</v>
      </c>
      <c r="AH70" s="121">
        <f>IF(A70&lt;=Periodos_Gracia,0,IF($U$258&lt;=0,AG70,IF(SUM($U$18:U70)&lt;=0,AF70,PMT($K$5/360*Días,No._de_Pagos,-Monto_Crédito)-AC70-AD70)))</f>
        <v>16666.666666666668</v>
      </c>
      <c r="AI70" s="125">
        <f t="shared" si="23"/>
        <v>18574.299555555568</v>
      </c>
      <c r="AK70" s="126">
        <f>IF(A70="","",IF(Periodos_Gracia&gt;0,Tabla!AN70,V70+S70))</f>
        <v>24573.774194009264</v>
      </c>
      <c r="AL70" s="126">
        <f t="shared" si="12"/>
        <v>18311.17777777779</v>
      </c>
      <c r="AM70" s="61">
        <f t="shared" si="24"/>
        <v>53</v>
      </c>
      <c r="AN70" s="127">
        <f>IF(A70="","",IF(A70&lt;=Periodos_Gracia,Tabla!S70,PPMT(Tasa_Anual/360*Días*(1+I.V.A.),Tabla!AM70,No._De_Pagos_con_periodo_de_gracia,-Monto_Crédito)+S70))</f>
        <v>24573.774194009264</v>
      </c>
      <c r="AO70" s="127">
        <f>IF(A70="","",IF(A70&lt;=Periodos_Gracia,Tabla!AC70,Monto_Crédito/(No._De_Pagos_con_periodo_de_gracia)+AC70))</f>
        <v>18311.17777777779</v>
      </c>
      <c r="AP70" s="117"/>
    </row>
    <row r="71" spans="1:42" x14ac:dyDescent="0.2">
      <c r="A71" s="107">
        <f>IF(A70&lt;Parámetros!$E$6,A70+1,"")</f>
        <v>54</v>
      </c>
      <c r="B71" s="108">
        <f t="shared" si="25"/>
        <v>165025.24175180757</v>
      </c>
      <c r="C71" s="108">
        <f t="shared" si="0"/>
        <v>22582.316011848572</v>
      </c>
      <c r="D71" s="108">
        <f t="shared" si="1"/>
        <v>2035.3938275598359</v>
      </c>
      <c r="E71" s="108">
        <f t="shared" si="2"/>
        <v>325.66301240957375</v>
      </c>
      <c r="F71" s="108">
        <f t="shared" si="3"/>
        <v>24943.372851817985</v>
      </c>
      <c r="G71" s="114">
        <f t="shared" si="13"/>
        <v>142442.925739959</v>
      </c>
      <c r="H71" s="115">
        <f t="shared" si="14"/>
        <v>1</v>
      </c>
      <c r="I71" s="108">
        <f t="shared" si="26"/>
        <v>116666.66666666752</v>
      </c>
      <c r="J71" s="108">
        <f t="shared" si="4"/>
        <v>16666.666666666668</v>
      </c>
      <c r="K71" s="108">
        <f t="shared" si="5"/>
        <v>1438.9472222222328</v>
      </c>
      <c r="L71" s="108">
        <f t="shared" si="6"/>
        <v>230.23155555555724</v>
      </c>
      <c r="M71" s="108">
        <f t="shared" si="15"/>
        <v>18335.845444444458</v>
      </c>
      <c r="N71" s="114">
        <f t="shared" si="16"/>
        <v>100000.00000000084</v>
      </c>
      <c r="O71" s="60">
        <v>0</v>
      </c>
      <c r="P71" s="116">
        <f t="shared" si="17"/>
        <v>1</v>
      </c>
      <c r="R71" s="117">
        <f t="shared" si="28"/>
        <v>165025.24175180757</v>
      </c>
      <c r="S71" s="118">
        <f t="shared" si="7"/>
        <v>2035.3938275598357</v>
      </c>
      <c r="T71" s="118">
        <f t="shared" si="8"/>
        <v>325.6630124095737</v>
      </c>
      <c r="U71" s="119">
        <f t="shared" si="19"/>
        <v>0</v>
      </c>
      <c r="V71" s="120">
        <f>IF(A71="","",IF(A71&lt;=Periodos_Gracia,0,PPMT(Tasa_Anual/360*Días*(1+I.V.A.),Tabla!AM71,No._De_Pagos_con_periodo_de_gracia,-Monto_Crédito)))</f>
        <v>22582.316011848572</v>
      </c>
      <c r="W71" s="110">
        <f>IF($U$258&lt;=0,V71,IF(SUM($U$18:U71)&lt;=0,V71,PMT($K$5/360*Días,A71,-R71)))</f>
        <v>22582.316011848572</v>
      </c>
      <c r="X71" s="121">
        <f>IF($U$258&lt;=0,W71,IF(SUM($U$18:U71)&lt;=0,V71,PMT($K$5/360*Días,No._De_Pagos_con_periodo_de_gracia,-Monto_Crédito)-S71-T71))</f>
        <v>22582.316011848572</v>
      </c>
      <c r="Y71" s="117">
        <f t="shared" si="20"/>
        <v>22582.316011848572</v>
      </c>
      <c r="Z71" s="61">
        <f>+IF(A71="","",IF(No._de_Pagos-Tabla!A71+1&lt;=0,"",No._de_Pagos-Tabla!A71+1))</f>
        <v>7</v>
      </c>
      <c r="AA71" s="122">
        <f t="shared" si="21"/>
        <v>24943.372851817985</v>
      </c>
      <c r="AB71" s="124">
        <f t="shared" si="27"/>
        <v>116666.66666666752</v>
      </c>
      <c r="AC71" s="124">
        <f t="shared" si="9"/>
        <v>1438.9472222222328</v>
      </c>
      <c r="AD71" s="124">
        <f t="shared" si="10"/>
        <v>230.23155555555724</v>
      </c>
      <c r="AE71" s="119">
        <f t="shared" si="22"/>
        <v>0</v>
      </c>
      <c r="AF71" s="120">
        <f t="shared" si="11"/>
        <v>16666.666666666668</v>
      </c>
      <c r="AG71" s="110">
        <f>IF($U$258&lt;=0,AF71,IF(SUM($U$18:U71)&lt;=0,AF71,PMT($K$5/360*Días,A71,-AA71)))</f>
        <v>16666.666666666668</v>
      </c>
      <c r="AH71" s="121">
        <f>IF(A71&lt;=Periodos_Gracia,0,IF($U$258&lt;=0,AG71,IF(SUM($U$18:U71)&lt;=0,AF71,PMT($K$5/360*Días,No._de_Pagos,-Monto_Crédito)-AC71-AD71)))</f>
        <v>16666.666666666668</v>
      </c>
      <c r="AI71" s="125">
        <f t="shared" si="23"/>
        <v>18335.845444444458</v>
      </c>
      <c r="AK71" s="126">
        <f>IF(A71="","",IF(Periodos_Gracia&gt;0,Tabla!AN71,V71+S71))</f>
        <v>24617.70983940841</v>
      </c>
      <c r="AL71" s="126">
        <f t="shared" si="12"/>
        <v>18105.6138888889</v>
      </c>
      <c r="AM71" s="61">
        <f t="shared" si="24"/>
        <v>54</v>
      </c>
      <c r="AN71" s="127">
        <f>IF(A71="","",IF(A71&lt;=Periodos_Gracia,Tabla!S71,PPMT(Tasa_Anual/360*Días*(1+I.V.A.),Tabla!AM71,No._De_Pagos_con_periodo_de_gracia,-Monto_Crédito)+S71))</f>
        <v>24617.70983940841</v>
      </c>
      <c r="AO71" s="127">
        <f>IF(A71="","",IF(A71&lt;=Periodos_Gracia,Tabla!AC71,Monto_Crédito/(No._De_Pagos_con_periodo_de_gracia)+AC71))</f>
        <v>18105.6138888889</v>
      </c>
      <c r="AP71" s="117"/>
    </row>
    <row r="72" spans="1:42" x14ac:dyDescent="0.2">
      <c r="A72" s="107">
        <f>IF(A71&lt;Parámetros!$E$6,A71+1,"")</f>
        <v>55</v>
      </c>
      <c r="B72" s="108">
        <f t="shared" si="25"/>
        <v>142442.925739959</v>
      </c>
      <c r="C72" s="108">
        <f t="shared" si="0"/>
        <v>22905.406777334709</v>
      </c>
      <c r="D72" s="108">
        <f t="shared" si="1"/>
        <v>1756.867305589031</v>
      </c>
      <c r="E72" s="108">
        <f t="shared" si="2"/>
        <v>281.09876889424498</v>
      </c>
      <c r="F72" s="108">
        <f t="shared" si="3"/>
        <v>24943.372851817985</v>
      </c>
      <c r="G72" s="114">
        <f t="shared" si="13"/>
        <v>119537.51896262429</v>
      </c>
      <c r="H72" s="115">
        <f t="shared" si="14"/>
        <v>1</v>
      </c>
      <c r="I72" s="108">
        <f t="shared" si="26"/>
        <v>100000.00000000084</v>
      </c>
      <c r="J72" s="108">
        <f t="shared" si="4"/>
        <v>16666.666666666668</v>
      </c>
      <c r="K72" s="108">
        <f t="shared" si="5"/>
        <v>1233.3833333333437</v>
      </c>
      <c r="L72" s="108">
        <f t="shared" si="6"/>
        <v>197.341333333335</v>
      </c>
      <c r="M72" s="108">
        <f t="shared" si="15"/>
        <v>18097.391333333344</v>
      </c>
      <c r="N72" s="114">
        <f t="shared" si="16"/>
        <v>83333.333333334172</v>
      </c>
      <c r="O72" s="60">
        <v>0</v>
      </c>
      <c r="P72" s="116">
        <f t="shared" si="17"/>
        <v>1</v>
      </c>
      <c r="R72" s="117">
        <f t="shared" si="28"/>
        <v>142442.925739959</v>
      </c>
      <c r="S72" s="118">
        <f t="shared" si="7"/>
        <v>1756.8673055890308</v>
      </c>
      <c r="T72" s="118">
        <f t="shared" si="8"/>
        <v>281.09876889424493</v>
      </c>
      <c r="U72" s="119">
        <f t="shared" si="19"/>
        <v>0</v>
      </c>
      <c r="V72" s="120">
        <f>IF(A72="","",IF(A72&lt;=Periodos_Gracia,0,PPMT(Tasa_Anual/360*Días*(1+I.V.A.),Tabla!AM72,No._De_Pagos_con_periodo_de_gracia,-Monto_Crédito)))</f>
        <v>22905.406777334709</v>
      </c>
      <c r="W72" s="110">
        <f>IF($U$258&lt;=0,V72,IF(SUM($U$18:U72)&lt;=0,V72,PMT($K$5/360*Días,A72,-R72)))</f>
        <v>22905.406777334709</v>
      </c>
      <c r="X72" s="121">
        <f>IF($U$258&lt;=0,W72,IF(SUM($U$18:U72)&lt;=0,V72,PMT($K$5/360*Días,No._De_Pagos_con_periodo_de_gracia,-Monto_Crédito)-S72-T72))</f>
        <v>22905.406777334709</v>
      </c>
      <c r="Y72" s="117">
        <f t="shared" si="20"/>
        <v>22905.406777334709</v>
      </c>
      <c r="Z72" s="61">
        <f>+IF(A72="","",IF(No._de_Pagos-Tabla!A72+1&lt;=0,"",No._de_Pagos-Tabla!A72+1))</f>
        <v>6</v>
      </c>
      <c r="AA72" s="122">
        <f t="shared" si="21"/>
        <v>24943.372851817985</v>
      </c>
      <c r="AB72" s="124">
        <f t="shared" si="27"/>
        <v>100000.00000000084</v>
      </c>
      <c r="AC72" s="124">
        <f t="shared" si="9"/>
        <v>1233.3833333333439</v>
      </c>
      <c r="AD72" s="124">
        <f t="shared" si="10"/>
        <v>197.34133333333503</v>
      </c>
      <c r="AE72" s="119">
        <f t="shared" si="22"/>
        <v>0</v>
      </c>
      <c r="AF72" s="120">
        <f t="shared" si="11"/>
        <v>16666.666666666668</v>
      </c>
      <c r="AG72" s="110">
        <f>IF($U$258&lt;=0,AF72,IF(SUM($U$18:U72)&lt;=0,AF72,PMT($K$5/360*Días,A72,-AA72)))</f>
        <v>16666.666666666668</v>
      </c>
      <c r="AH72" s="121">
        <f>IF(A72&lt;=Periodos_Gracia,0,IF($U$258&lt;=0,AG72,IF(SUM($U$18:U72)&lt;=0,AF72,PMT($K$5/360*Días,No._de_Pagos,-Monto_Crédito)-AC72-AD72)))</f>
        <v>16666.666666666668</v>
      </c>
      <c r="AI72" s="125">
        <f t="shared" si="23"/>
        <v>18097.391333333344</v>
      </c>
      <c r="AK72" s="126">
        <f>IF(A72="","",IF(Periodos_Gracia&gt;0,Tabla!AN72,V72+S72))</f>
        <v>24662.274082923741</v>
      </c>
      <c r="AL72" s="126">
        <f t="shared" si="12"/>
        <v>17900.05000000001</v>
      </c>
      <c r="AM72" s="61">
        <f t="shared" si="24"/>
        <v>55</v>
      </c>
      <c r="AN72" s="127">
        <f>IF(A72="","",IF(A72&lt;=Periodos_Gracia,Tabla!S72,PPMT(Tasa_Anual/360*Días*(1+I.V.A.),Tabla!AM72,No._De_Pagos_con_periodo_de_gracia,-Monto_Crédito)+S72))</f>
        <v>24662.274082923741</v>
      </c>
      <c r="AO72" s="127">
        <f>IF(A72="","",IF(A72&lt;=Periodos_Gracia,Tabla!AC72,Monto_Crédito/(No._De_Pagos_con_periodo_de_gracia)+AC72))</f>
        <v>17900.05000000001</v>
      </c>
      <c r="AP72" s="117"/>
    </row>
    <row r="73" spans="1:42" x14ac:dyDescent="0.2">
      <c r="A73" s="107">
        <f>IF(A72&lt;Parámetros!$E$6,A72+1,"")</f>
        <v>56</v>
      </c>
      <c r="B73" s="108">
        <f t="shared" si="25"/>
        <v>119537.51896262429</v>
      </c>
      <c r="C73" s="108">
        <f t="shared" si="0"/>
        <v>23233.120082098372</v>
      </c>
      <c r="D73" s="108">
        <f t="shared" si="1"/>
        <v>1474.3558359651809</v>
      </c>
      <c r="E73" s="108">
        <f t="shared" si="2"/>
        <v>235.89693375442894</v>
      </c>
      <c r="F73" s="108">
        <f t="shared" si="3"/>
        <v>24943.372851817981</v>
      </c>
      <c r="G73" s="114">
        <f t="shared" si="13"/>
        <v>96304.398880525929</v>
      </c>
      <c r="H73" s="115">
        <f t="shared" si="14"/>
        <v>1</v>
      </c>
      <c r="I73" s="108">
        <f t="shared" si="26"/>
        <v>83333.333333334172</v>
      </c>
      <c r="J73" s="108">
        <f t="shared" si="4"/>
        <v>16666.666666666668</v>
      </c>
      <c r="K73" s="108">
        <f t="shared" si="5"/>
        <v>1027.8194444444548</v>
      </c>
      <c r="L73" s="108">
        <f t="shared" si="6"/>
        <v>164.45111111111277</v>
      </c>
      <c r="M73" s="108">
        <f t="shared" si="15"/>
        <v>17858.937222222237</v>
      </c>
      <c r="N73" s="114">
        <f t="shared" si="16"/>
        <v>66666.666666667501</v>
      </c>
      <c r="O73" s="60">
        <v>0</v>
      </c>
      <c r="P73" s="116">
        <f t="shared" si="17"/>
        <v>1</v>
      </c>
      <c r="R73" s="117">
        <f t="shared" si="28"/>
        <v>119537.51896262429</v>
      </c>
      <c r="S73" s="118">
        <f t="shared" si="7"/>
        <v>1474.3558359651809</v>
      </c>
      <c r="T73" s="118">
        <f t="shared" si="8"/>
        <v>235.89693375442894</v>
      </c>
      <c r="U73" s="119">
        <f t="shared" si="19"/>
        <v>0</v>
      </c>
      <c r="V73" s="120">
        <f>IF(A73="","",IF(A73&lt;=Periodos_Gracia,0,PPMT(Tasa_Anual/360*Días*(1+I.V.A.),Tabla!AM73,No._De_Pagos_con_periodo_de_gracia,-Monto_Crédito)))</f>
        <v>23233.120082098372</v>
      </c>
      <c r="W73" s="110">
        <f>IF($U$258&lt;=0,V73,IF(SUM($U$18:U73)&lt;=0,V73,PMT($K$5/360*Días,A73,-R73)))</f>
        <v>23233.120082098372</v>
      </c>
      <c r="X73" s="121">
        <f>IF($U$258&lt;=0,W73,IF(SUM($U$18:U73)&lt;=0,V73,PMT($K$5/360*Días,No._De_Pagos_con_periodo_de_gracia,-Monto_Crédito)-S73-T73))</f>
        <v>23233.120082098372</v>
      </c>
      <c r="Y73" s="117">
        <f t="shared" si="20"/>
        <v>23233.120082098372</v>
      </c>
      <c r="Z73" s="61">
        <f>+IF(A73="","",IF(No._de_Pagos-Tabla!A73+1&lt;=0,"",No._de_Pagos-Tabla!A73+1))</f>
        <v>5</v>
      </c>
      <c r="AA73" s="122">
        <f t="shared" si="21"/>
        <v>24943.372851817981</v>
      </c>
      <c r="AB73" s="124">
        <f t="shared" si="27"/>
        <v>83333.333333334172</v>
      </c>
      <c r="AC73" s="124">
        <f t="shared" si="9"/>
        <v>1027.8194444444548</v>
      </c>
      <c r="AD73" s="124">
        <f t="shared" si="10"/>
        <v>164.45111111111277</v>
      </c>
      <c r="AE73" s="119">
        <f t="shared" si="22"/>
        <v>0</v>
      </c>
      <c r="AF73" s="120">
        <f t="shared" si="11"/>
        <v>16666.666666666668</v>
      </c>
      <c r="AG73" s="110">
        <f>IF($U$258&lt;=0,AF73,IF(SUM($U$18:U73)&lt;=0,AF73,PMT($K$5/360*Días,A73,-AA73)))</f>
        <v>16666.666666666668</v>
      </c>
      <c r="AH73" s="121">
        <f>IF(A73&lt;=Periodos_Gracia,0,IF($U$258&lt;=0,AG73,IF(SUM($U$18:U73)&lt;=0,AF73,PMT($K$5/360*Días,No._de_Pagos,-Monto_Crédito)-AC73-AD73)))</f>
        <v>16666.666666666668</v>
      </c>
      <c r="AI73" s="125">
        <f t="shared" si="23"/>
        <v>17858.937222222237</v>
      </c>
      <c r="AK73" s="126">
        <f>IF(A73="","",IF(Periodos_Gracia&gt;0,Tabla!AN73,V73+S73))</f>
        <v>24707.475918063552</v>
      </c>
      <c r="AL73" s="126">
        <f t="shared" si="12"/>
        <v>17694.486111111124</v>
      </c>
      <c r="AM73" s="61">
        <f t="shared" si="24"/>
        <v>56</v>
      </c>
      <c r="AN73" s="127">
        <f>IF(A73="","",IF(A73&lt;=Periodos_Gracia,Tabla!S73,PPMT(Tasa_Anual/360*Días*(1+I.V.A.),Tabla!AM73,No._De_Pagos_con_periodo_de_gracia,-Monto_Crédito)+S73))</f>
        <v>24707.475918063552</v>
      </c>
      <c r="AO73" s="127">
        <f>IF(A73="","",IF(A73&lt;=Periodos_Gracia,Tabla!AC73,Monto_Crédito/(No._De_Pagos_con_periodo_de_gracia)+AC73))</f>
        <v>17694.486111111124</v>
      </c>
      <c r="AP73" s="117"/>
    </row>
    <row r="74" spans="1:42" x14ac:dyDescent="0.2">
      <c r="A74" s="107">
        <f>IF(A73&lt;Parámetros!$E$6,A73+1,"")</f>
        <v>57</v>
      </c>
      <c r="B74" s="108">
        <f t="shared" si="25"/>
        <v>96304.398880525929</v>
      </c>
      <c r="C74" s="108">
        <f t="shared" si="0"/>
        <v>23565.522061949239</v>
      </c>
      <c r="D74" s="108">
        <f t="shared" si="1"/>
        <v>1187.8024050592601</v>
      </c>
      <c r="E74" s="108">
        <f t="shared" si="2"/>
        <v>190.0483848094816</v>
      </c>
      <c r="F74" s="108">
        <f t="shared" si="3"/>
        <v>24943.372851817981</v>
      </c>
      <c r="G74" s="114">
        <f t="shared" si="13"/>
        <v>72738.876818576682</v>
      </c>
      <c r="H74" s="115">
        <f t="shared" si="14"/>
        <v>1</v>
      </c>
      <c r="I74" s="108">
        <f t="shared" si="26"/>
        <v>66666.666666667501</v>
      </c>
      <c r="J74" s="108">
        <f t="shared" si="4"/>
        <v>16666.666666666668</v>
      </c>
      <c r="K74" s="108">
        <f t="shared" si="5"/>
        <v>822.25555555556582</v>
      </c>
      <c r="L74" s="108">
        <f t="shared" si="6"/>
        <v>131.56088888889053</v>
      </c>
      <c r="M74" s="108">
        <f t="shared" si="15"/>
        <v>17620.483111111123</v>
      </c>
      <c r="N74" s="114">
        <f t="shared" si="16"/>
        <v>50000.000000000829</v>
      </c>
      <c r="O74" s="60">
        <v>0</v>
      </c>
      <c r="P74" s="116">
        <f t="shared" si="17"/>
        <v>1</v>
      </c>
      <c r="R74" s="117">
        <f t="shared" si="28"/>
        <v>96304.398880525929</v>
      </c>
      <c r="S74" s="118">
        <f t="shared" si="7"/>
        <v>1187.8024050592601</v>
      </c>
      <c r="T74" s="118">
        <f t="shared" si="8"/>
        <v>190.0483848094816</v>
      </c>
      <c r="U74" s="119">
        <f t="shared" si="19"/>
        <v>0</v>
      </c>
      <c r="V74" s="120">
        <f>IF(A74="","",IF(A74&lt;=Periodos_Gracia,0,PPMT(Tasa_Anual/360*Días*(1+I.V.A.),Tabla!AM74,No._De_Pagos_con_periodo_de_gracia,-Monto_Crédito)))</f>
        <v>23565.522061949239</v>
      </c>
      <c r="W74" s="110">
        <f>IF($U$258&lt;=0,V74,IF(SUM($U$18:U74)&lt;=0,V74,PMT($K$5/360*Días,A74,-R74)))</f>
        <v>23565.522061949239</v>
      </c>
      <c r="X74" s="121">
        <f>IF($U$258&lt;=0,W74,IF(SUM($U$18:U74)&lt;=0,V74,PMT($K$5/360*Días,No._De_Pagos_con_periodo_de_gracia,-Monto_Crédito)-S74-T74))</f>
        <v>23565.522061949239</v>
      </c>
      <c r="Y74" s="117">
        <f t="shared" si="20"/>
        <v>23565.522061949239</v>
      </c>
      <c r="Z74" s="61">
        <f>+IF(A74="","",IF(No._de_Pagos-Tabla!A74+1&lt;=0,"",No._de_Pagos-Tabla!A74+1))</f>
        <v>4</v>
      </c>
      <c r="AA74" s="122">
        <f t="shared" si="21"/>
        <v>24943.372851817981</v>
      </c>
      <c r="AB74" s="124">
        <f t="shared" si="27"/>
        <v>66666.666666667501</v>
      </c>
      <c r="AC74" s="124">
        <f t="shared" si="9"/>
        <v>822.25555555556582</v>
      </c>
      <c r="AD74" s="124">
        <f t="shared" si="10"/>
        <v>131.56088888889053</v>
      </c>
      <c r="AE74" s="119">
        <f t="shared" si="22"/>
        <v>0</v>
      </c>
      <c r="AF74" s="120">
        <f t="shared" si="11"/>
        <v>16666.666666666668</v>
      </c>
      <c r="AG74" s="110">
        <f>IF($U$258&lt;=0,AF74,IF(SUM($U$18:U74)&lt;=0,AF74,PMT($K$5/360*Días,A74,-AA74)))</f>
        <v>16666.666666666668</v>
      </c>
      <c r="AH74" s="121">
        <f>IF(A74&lt;=Periodos_Gracia,0,IF($U$258&lt;=0,AG74,IF(SUM($U$18:U74)&lt;=0,AF74,PMT($K$5/360*Días,No._de_Pagos,-Monto_Crédito)-AC74-AD74)))</f>
        <v>16666.666666666668</v>
      </c>
      <c r="AI74" s="125">
        <f t="shared" si="23"/>
        <v>17620.483111111123</v>
      </c>
      <c r="AK74" s="126">
        <f>IF(A74="","",IF(Periodos_Gracia&gt;0,Tabla!AN74,V74+S74))</f>
        <v>24753.324467008501</v>
      </c>
      <c r="AL74" s="126">
        <f t="shared" si="12"/>
        <v>17488.922222222234</v>
      </c>
      <c r="AM74" s="61">
        <f t="shared" si="24"/>
        <v>57</v>
      </c>
      <c r="AN74" s="127">
        <f>IF(A74="","",IF(A74&lt;=Periodos_Gracia,Tabla!S74,PPMT(Tasa_Anual/360*Días*(1+I.V.A.),Tabla!AM74,No._De_Pagos_con_periodo_de_gracia,-Monto_Crédito)+S74))</f>
        <v>24753.324467008501</v>
      </c>
      <c r="AO74" s="127">
        <f>IF(A74="","",IF(A74&lt;=Periodos_Gracia,Tabla!AC74,Monto_Crédito/(No._De_Pagos_con_periodo_de_gracia)+AC74))</f>
        <v>17488.922222222234</v>
      </c>
      <c r="AP74" s="117"/>
    </row>
    <row r="75" spans="1:42" x14ac:dyDescent="0.2">
      <c r="A75" s="107">
        <f>IF(A74&lt;Parámetros!$E$6,A74+1,"")</f>
        <v>58</v>
      </c>
      <c r="B75" s="108">
        <f t="shared" si="25"/>
        <v>72738.876818576682</v>
      </c>
      <c r="C75" s="108">
        <f t="shared" si="0"/>
        <v>23902.679798918325</v>
      </c>
      <c r="D75" s="108">
        <f t="shared" si="1"/>
        <v>897.14918353418841</v>
      </c>
      <c r="E75" s="108">
        <f t="shared" si="2"/>
        <v>143.54386936547016</v>
      </c>
      <c r="F75" s="108">
        <f t="shared" si="3"/>
        <v>24943.372851817981</v>
      </c>
      <c r="G75" s="114">
        <f t="shared" si="13"/>
        <v>48836.197019658357</v>
      </c>
      <c r="H75" s="115">
        <f t="shared" si="14"/>
        <v>1</v>
      </c>
      <c r="I75" s="108">
        <f t="shared" si="26"/>
        <v>50000.000000000829</v>
      </c>
      <c r="J75" s="108">
        <f t="shared" si="4"/>
        <v>16666.666666666668</v>
      </c>
      <c r="K75" s="108">
        <f t="shared" si="5"/>
        <v>616.69166666667695</v>
      </c>
      <c r="L75" s="108">
        <f t="shared" si="6"/>
        <v>98.670666666668311</v>
      </c>
      <c r="M75" s="108">
        <f t="shared" si="15"/>
        <v>17382.029000000013</v>
      </c>
      <c r="N75" s="114">
        <f t="shared" si="16"/>
        <v>33333.333333334158</v>
      </c>
      <c r="O75" s="60">
        <v>0</v>
      </c>
      <c r="P75" s="116">
        <f t="shared" si="17"/>
        <v>1</v>
      </c>
      <c r="R75" s="117">
        <f t="shared" si="28"/>
        <v>72738.876818576682</v>
      </c>
      <c r="S75" s="118">
        <f t="shared" si="7"/>
        <v>897.14918353418841</v>
      </c>
      <c r="T75" s="118">
        <f t="shared" si="8"/>
        <v>143.54386936547016</v>
      </c>
      <c r="U75" s="119">
        <f t="shared" si="19"/>
        <v>0</v>
      </c>
      <c r="V75" s="120">
        <f>IF(A75="","",IF(A75&lt;=Periodos_Gracia,0,PPMT(Tasa_Anual/360*Días*(1+I.V.A.),Tabla!AM75,No._De_Pagos_con_periodo_de_gracia,-Monto_Crédito)))</f>
        <v>23902.679798918325</v>
      </c>
      <c r="W75" s="110">
        <f>IF($U$258&lt;=0,V75,IF(SUM($U$18:U75)&lt;=0,V75,PMT($K$5/360*Días,A75,-R75)))</f>
        <v>23902.679798918325</v>
      </c>
      <c r="X75" s="121">
        <f>IF($U$258&lt;=0,W75,IF(SUM($U$18:U75)&lt;=0,V75,PMT($K$5/360*Días,No._De_Pagos_con_periodo_de_gracia,-Monto_Crédito)-S75-T75))</f>
        <v>23902.679798918325</v>
      </c>
      <c r="Y75" s="117">
        <f t="shared" si="20"/>
        <v>23902.679798918325</v>
      </c>
      <c r="Z75" s="61">
        <f>+IF(A75="","",IF(No._de_Pagos-Tabla!A75+1&lt;=0,"",No._de_Pagos-Tabla!A75+1))</f>
        <v>3</v>
      </c>
      <c r="AA75" s="122">
        <f t="shared" si="21"/>
        <v>24943.372851817981</v>
      </c>
      <c r="AB75" s="124">
        <f t="shared" si="27"/>
        <v>50000.000000000829</v>
      </c>
      <c r="AC75" s="124">
        <f t="shared" si="9"/>
        <v>616.69166666667695</v>
      </c>
      <c r="AD75" s="124">
        <f t="shared" si="10"/>
        <v>98.670666666668311</v>
      </c>
      <c r="AE75" s="119">
        <f t="shared" si="22"/>
        <v>0</v>
      </c>
      <c r="AF75" s="120">
        <f t="shared" si="11"/>
        <v>16666.666666666668</v>
      </c>
      <c r="AG75" s="110">
        <f>IF($U$258&lt;=0,AF75,IF(SUM($U$18:U75)&lt;=0,AF75,PMT($K$5/360*Días,A75,-AA75)))</f>
        <v>16666.666666666668</v>
      </c>
      <c r="AH75" s="121">
        <f>IF(A75&lt;=Periodos_Gracia,0,IF($U$258&lt;=0,AG75,IF(SUM($U$18:U75)&lt;=0,AF75,PMT($K$5/360*Días,No._de_Pagos,-Monto_Crédito)-AC75-AD75)))</f>
        <v>16666.666666666668</v>
      </c>
      <c r="AI75" s="125">
        <f t="shared" si="23"/>
        <v>17382.029000000013</v>
      </c>
      <c r="AK75" s="126">
        <f>IF(A75="","",IF(Periodos_Gracia&gt;0,Tabla!AN75,V75+S75))</f>
        <v>24799.828982452513</v>
      </c>
      <c r="AL75" s="126">
        <f t="shared" si="12"/>
        <v>17283.358333333344</v>
      </c>
      <c r="AM75" s="61">
        <f t="shared" si="24"/>
        <v>58</v>
      </c>
      <c r="AN75" s="127">
        <f>IF(A75="","",IF(A75&lt;=Periodos_Gracia,Tabla!S75,PPMT(Tasa_Anual/360*Días*(1+I.V.A.),Tabla!AM75,No._De_Pagos_con_periodo_de_gracia,-Monto_Crédito)+S75))</f>
        <v>24799.828982452513</v>
      </c>
      <c r="AO75" s="127">
        <f>IF(A75="","",IF(A75&lt;=Periodos_Gracia,Tabla!AC75,Monto_Crédito/(No._De_Pagos_con_periodo_de_gracia)+AC75))</f>
        <v>17283.358333333344</v>
      </c>
      <c r="AP75" s="117"/>
    </row>
    <row r="76" spans="1:42" x14ac:dyDescent="0.2">
      <c r="A76" s="107">
        <f>IF(A75&lt;Parámetros!$E$6,A75+1,"")</f>
        <v>59</v>
      </c>
      <c r="B76" s="108">
        <f t="shared" si="25"/>
        <v>48836.197019658357</v>
      </c>
      <c r="C76" s="108">
        <f t="shared" si="0"/>
        <v>24244.661334795801</v>
      </c>
      <c r="D76" s="108">
        <f t="shared" si="1"/>
        <v>602.33751467429624</v>
      </c>
      <c r="E76" s="108">
        <f t="shared" si="2"/>
        <v>96.374002347887398</v>
      </c>
      <c r="F76" s="108">
        <f t="shared" si="3"/>
        <v>24943.372851817981</v>
      </c>
      <c r="G76" s="114">
        <f t="shared" si="13"/>
        <v>24591.535684862556</v>
      </c>
      <c r="H76" s="115">
        <f t="shared" si="14"/>
        <v>1</v>
      </c>
      <c r="I76" s="108">
        <f t="shared" si="26"/>
        <v>33333.333333334158</v>
      </c>
      <c r="J76" s="108">
        <f t="shared" si="4"/>
        <v>16666.666666666668</v>
      </c>
      <c r="K76" s="108">
        <f t="shared" si="5"/>
        <v>411.12777777778797</v>
      </c>
      <c r="L76" s="108">
        <f t="shared" si="6"/>
        <v>65.780444444446076</v>
      </c>
      <c r="M76" s="108">
        <f t="shared" si="15"/>
        <v>17143.574888888899</v>
      </c>
      <c r="N76" s="114">
        <f t="shared" si="16"/>
        <v>16666.66666666749</v>
      </c>
      <c r="O76" s="60">
        <v>0</v>
      </c>
      <c r="P76" s="116">
        <f t="shared" si="17"/>
        <v>1</v>
      </c>
      <c r="R76" s="117">
        <f t="shared" si="28"/>
        <v>48836.197019658357</v>
      </c>
      <c r="S76" s="118">
        <f t="shared" si="7"/>
        <v>602.33751467429624</v>
      </c>
      <c r="T76" s="118">
        <f t="shared" si="8"/>
        <v>96.374002347887398</v>
      </c>
      <c r="U76" s="119">
        <f t="shared" si="19"/>
        <v>0</v>
      </c>
      <c r="V76" s="120">
        <f>IF(A76="","",IF(A76&lt;=Periodos_Gracia,0,PPMT(Tasa_Anual/360*Días*(1+I.V.A.),Tabla!AM76,No._De_Pagos_con_periodo_de_gracia,-Monto_Crédito)))</f>
        <v>24244.661334795801</v>
      </c>
      <c r="W76" s="110">
        <f>IF($U$258&lt;=0,V76,IF(SUM($U$18:U76)&lt;=0,V76,PMT($K$5/360*Días,A76,-R76)))</f>
        <v>24244.661334795801</v>
      </c>
      <c r="X76" s="121">
        <f>IF($U$258&lt;=0,W76,IF(SUM($U$18:U76)&lt;=0,V76,PMT($K$5/360*Días,No._De_Pagos_con_periodo_de_gracia,-Monto_Crédito)-S76-T76))</f>
        <v>24244.661334795801</v>
      </c>
      <c r="Y76" s="117">
        <f t="shared" si="20"/>
        <v>24244.661334795801</v>
      </c>
      <c r="Z76" s="61">
        <f>+IF(A76="","",IF(No._de_Pagos-Tabla!A76+1&lt;=0,"",No._de_Pagos-Tabla!A76+1))</f>
        <v>2</v>
      </c>
      <c r="AA76" s="122">
        <f t="shared" si="21"/>
        <v>24943.372851817981</v>
      </c>
      <c r="AB76" s="124">
        <f t="shared" si="27"/>
        <v>33333.333333334158</v>
      </c>
      <c r="AC76" s="124">
        <f t="shared" si="9"/>
        <v>411.12777777778797</v>
      </c>
      <c r="AD76" s="124">
        <f t="shared" si="10"/>
        <v>65.780444444446076</v>
      </c>
      <c r="AE76" s="119">
        <f t="shared" si="22"/>
        <v>0</v>
      </c>
      <c r="AF76" s="120">
        <f t="shared" si="11"/>
        <v>16666.666666666668</v>
      </c>
      <c r="AG76" s="110">
        <f>IF($U$258&lt;=0,AF76,IF(SUM($U$18:U76)&lt;=0,AF76,PMT($K$5/360*Días,A76,-AA76)))</f>
        <v>16666.666666666668</v>
      </c>
      <c r="AH76" s="121">
        <f>IF(A76&lt;=Periodos_Gracia,0,IF($U$258&lt;=0,AG76,IF(SUM($U$18:U76)&lt;=0,AF76,PMT($K$5/360*Días,No._de_Pagos,-Monto_Crédito)-AC76-AD76)))</f>
        <v>16666.666666666668</v>
      </c>
      <c r="AI76" s="125">
        <f t="shared" si="23"/>
        <v>17143.574888888899</v>
      </c>
      <c r="AK76" s="126">
        <f>IF(A76="","",IF(Periodos_Gracia&gt;0,Tabla!AN76,V76+S76))</f>
        <v>24846.998849470096</v>
      </c>
      <c r="AL76" s="126">
        <f t="shared" si="12"/>
        <v>17077.794444444455</v>
      </c>
      <c r="AM76" s="61">
        <f t="shared" si="24"/>
        <v>59</v>
      </c>
      <c r="AN76" s="127">
        <f>IF(A76="","",IF(A76&lt;=Periodos_Gracia,Tabla!S76,PPMT(Tasa_Anual/360*Días*(1+I.V.A.),Tabla!AM76,No._De_Pagos_con_periodo_de_gracia,-Monto_Crédito)+S76))</f>
        <v>24846.998849470096</v>
      </c>
      <c r="AO76" s="127">
        <f>IF(A76="","",IF(A76&lt;=Periodos_Gracia,Tabla!AC76,Monto_Crédito/(No._De_Pagos_con_periodo_de_gracia)+AC76))</f>
        <v>17077.794444444455</v>
      </c>
      <c r="AP76" s="117"/>
    </row>
    <row r="77" spans="1:42" x14ac:dyDescent="0.2">
      <c r="A77" s="107">
        <f>IF(A76&lt;Parámetros!$E$6,A76+1,"")</f>
        <v>60</v>
      </c>
      <c r="B77" s="108">
        <f t="shared" si="25"/>
        <v>24591.535684862556</v>
      </c>
      <c r="C77" s="108">
        <f t="shared" si="0"/>
        <v>24591.53568486252</v>
      </c>
      <c r="D77" s="108">
        <f t="shared" si="1"/>
        <v>303.30790254781397</v>
      </c>
      <c r="E77" s="108">
        <f t="shared" si="2"/>
        <v>48.529264407650238</v>
      </c>
      <c r="F77" s="108">
        <f t="shared" si="3"/>
        <v>24943.372851817985</v>
      </c>
      <c r="G77" s="114">
        <f t="shared" si="13"/>
        <v>3.637978807091713E-11</v>
      </c>
      <c r="H77" s="115">
        <f t="shared" si="14"/>
        <v>1</v>
      </c>
      <c r="I77" s="108">
        <f t="shared" si="26"/>
        <v>16666.66666666749</v>
      </c>
      <c r="J77" s="108">
        <f t="shared" si="4"/>
        <v>16666.666666666668</v>
      </c>
      <c r="K77" s="108">
        <f t="shared" si="5"/>
        <v>205.56388888889902</v>
      </c>
      <c r="L77" s="108">
        <f t="shared" si="6"/>
        <v>32.890222222223841</v>
      </c>
      <c r="M77" s="108">
        <f t="shared" si="15"/>
        <v>16905.120777777793</v>
      </c>
      <c r="N77" s="114">
        <f t="shared" si="16"/>
        <v>8.2218321040272713E-10</v>
      </c>
      <c r="O77" s="60">
        <v>0</v>
      </c>
      <c r="P77" s="116">
        <f t="shared" si="17"/>
        <v>1</v>
      </c>
      <c r="R77" s="117">
        <f t="shared" si="28"/>
        <v>24591.535684862556</v>
      </c>
      <c r="S77" s="118">
        <f t="shared" si="7"/>
        <v>303.30790254781391</v>
      </c>
      <c r="T77" s="118">
        <f t="shared" si="8"/>
        <v>48.529264407650224</v>
      </c>
      <c r="U77" s="119">
        <f t="shared" si="19"/>
        <v>0</v>
      </c>
      <c r="V77" s="120">
        <f>IF(A77="","",IF(A77&lt;=Periodos_Gracia,0,PPMT(Tasa_Anual/360*Días*(1+I.V.A.),Tabla!AM77,No._De_Pagos_con_periodo_de_gracia,-Monto_Crédito)))</f>
        <v>24591.53568486252</v>
      </c>
      <c r="W77" s="110">
        <f>IF($U$258&lt;=0,V77,IF(SUM($U$18:U77)&lt;=0,V77,PMT($K$5/360*Días,A77,-R77)))</f>
        <v>24591.53568486252</v>
      </c>
      <c r="X77" s="121">
        <f>IF($U$258&lt;=0,W77,IF(SUM($U$18:U77)&lt;=0,V77,PMT($K$5/360*Días,No._De_Pagos_con_periodo_de_gracia,-Monto_Crédito)-S77-T77))</f>
        <v>24591.53568486252</v>
      </c>
      <c r="Y77" s="117">
        <f t="shared" si="20"/>
        <v>24591.53568486252</v>
      </c>
      <c r="Z77" s="61">
        <f>+IF(A77="","",IF(No._de_Pagos-Tabla!A77+1&lt;=0,"",No._de_Pagos-Tabla!A77+1))</f>
        <v>1</v>
      </c>
      <c r="AA77" s="122">
        <f t="shared" si="21"/>
        <v>24943.372851817985</v>
      </c>
      <c r="AB77" s="124">
        <f t="shared" si="27"/>
        <v>16666.66666666749</v>
      </c>
      <c r="AC77" s="124">
        <f t="shared" si="9"/>
        <v>205.56388888889904</v>
      </c>
      <c r="AD77" s="124">
        <f t="shared" si="10"/>
        <v>32.890222222223848</v>
      </c>
      <c r="AE77" s="119">
        <f t="shared" si="22"/>
        <v>0</v>
      </c>
      <c r="AF77" s="120">
        <f t="shared" si="11"/>
        <v>16666.666666666668</v>
      </c>
      <c r="AG77" s="110">
        <f>IF($U$258&lt;=0,AF77,IF(SUM($U$18:U77)&lt;=0,AF77,PMT($K$5/360*Días,A77,-AA77)))</f>
        <v>16666.666666666668</v>
      </c>
      <c r="AH77" s="121">
        <f>IF(A77&lt;=Periodos_Gracia,0,IF($U$258&lt;=0,AG77,IF(SUM($U$18:U77)&lt;=0,AF77,PMT($K$5/360*Días,No._de_Pagos,-Monto_Crédito)-AC77-AD77)))</f>
        <v>16666.666666666668</v>
      </c>
      <c r="AI77" s="125">
        <f t="shared" si="23"/>
        <v>16905.120777777793</v>
      </c>
      <c r="AK77" s="126">
        <f>IF(A77="","",IF(Periodos_Gracia&gt;0,Tabla!AN77,V77+S77))</f>
        <v>24894.843587410334</v>
      </c>
      <c r="AL77" s="126">
        <f t="shared" si="12"/>
        <v>16872.230555555569</v>
      </c>
      <c r="AM77" s="61">
        <f t="shared" si="24"/>
        <v>60</v>
      </c>
      <c r="AN77" s="127">
        <f>IF(A77="","",IF(A77&lt;=Periodos_Gracia,Tabla!S77,PPMT(Tasa_Anual/360*Días*(1+I.V.A.),Tabla!AM77,No._De_Pagos_con_periodo_de_gracia,-Monto_Crédito)+S77))</f>
        <v>24894.843587410334</v>
      </c>
      <c r="AO77" s="127">
        <f>IF(A77="","",IF(A77&lt;=Periodos_Gracia,Tabla!AC77,Monto_Crédito/(No._De_Pagos_con_periodo_de_gracia)+AC77))</f>
        <v>16872.230555555569</v>
      </c>
      <c r="AP77" s="117"/>
    </row>
    <row r="78" spans="1:42" x14ac:dyDescent="0.2">
      <c r="A78" s="107" t="str">
        <f>IF(A77&lt;Parámetros!$E$6,A77+1,"")</f>
        <v/>
      </c>
      <c r="B78" s="108" t="str">
        <f t="shared" si="25"/>
        <v/>
      </c>
      <c r="C78" s="108" t="str">
        <f t="shared" si="0"/>
        <v/>
      </c>
      <c r="D78" s="108" t="str">
        <f t="shared" si="1"/>
        <v/>
      </c>
      <c r="E78" s="108" t="str">
        <f t="shared" si="2"/>
        <v/>
      </c>
      <c r="F78" s="108" t="str">
        <f t="shared" si="3"/>
        <v/>
      </c>
      <c r="G78" s="114" t="str">
        <f t="shared" si="13"/>
        <v/>
      </c>
      <c r="H78" s="115">
        <f t="shared" si="14"/>
        <v>0</v>
      </c>
      <c r="I78" s="108" t="str">
        <f t="shared" si="26"/>
        <v/>
      </c>
      <c r="J78" s="108" t="str">
        <f t="shared" si="4"/>
        <v/>
      </c>
      <c r="K78" s="108" t="str">
        <f t="shared" si="5"/>
        <v/>
      </c>
      <c r="L78" s="108" t="str">
        <f t="shared" si="6"/>
        <v/>
      </c>
      <c r="M78" s="108" t="str">
        <f t="shared" si="15"/>
        <v/>
      </c>
      <c r="N78" s="114" t="str">
        <f t="shared" si="16"/>
        <v/>
      </c>
      <c r="O78" s="60">
        <v>0</v>
      </c>
      <c r="P78" s="116">
        <f t="shared" si="17"/>
        <v>0</v>
      </c>
      <c r="R78" s="117" t="str">
        <f t="shared" si="28"/>
        <v/>
      </c>
      <c r="S78" s="118" t="str">
        <f t="shared" si="7"/>
        <v/>
      </c>
      <c r="T78" s="118" t="str">
        <f t="shared" si="8"/>
        <v/>
      </c>
      <c r="U78" s="119">
        <f t="shared" si="19"/>
        <v>0</v>
      </c>
      <c r="V78" s="120" t="str">
        <f>IF(A78="","",IF(A78&lt;=Periodos_Gracia,0,PPMT(Tasa_Anual/360*Días*(1+I.V.A.),Tabla!AM78,No._De_Pagos_con_periodo_de_gracia,-Monto_Crédito)))</f>
        <v/>
      </c>
      <c r="W78" s="110" t="str">
        <f>IF($U$258&lt;=0,V78,IF(SUM($U$18:U78)&lt;=0,V78,PMT($K$5/360*Días,A78,-R78)))</f>
        <v/>
      </c>
      <c r="X78" s="121" t="str">
        <f>IF($U$258&lt;=0,W78,IF(SUM($U$18:U78)&lt;=0,V78,PMT($K$5/360*Días,No._De_Pagos_con_periodo_de_gracia,-Monto_Crédito)-S78-T78))</f>
        <v/>
      </c>
      <c r="Y78" s="117" t="str">
        <f t="shared" si="20"/>
        <v/>
      </c>
      <c r="Z78" s="61" t="str">
        <f>+IF(A78="","",IF(No._de_Pagos-Tabla!A78+1&lt;=0,"",No._de_Pagos-Tabla!A78+1))</f>
        <v/>
      </c>
      <c r="AA78" s="122" t="str">
        <f t="shared" si="21"/>
        <v/>
      </c>
      <c r="AB78" s="124" t="str">
        <f t="shared" si="27"/>
        <v/>
      </c>
      <c r="AC78" s="124" t="str">
        <f t="shared" si="9"/>
        <v/>
      </c>
      <c r="AD78" s="124" t="str">
        <f t="shared" si="10"/>
        <v/>
      </c>
      <c r="AE78" s="119">
        <f t="shared" si="22"/>
        <v>0</v>
      </c>
      <c r="AF78" s="120" t="str">
        <f t="shared" si="11"/>
        <v/>
      </c>
      <c r="AG78" s="110" t="str">
        <f>IF($U$258&lt;=0,AF78,IF(SUM($U$18:U78)&lt;=0,AF78,PMT($K$5/360*Días,A78,-AA78)))</f>
        <v/>
      </c>
      <c r="AH78" s="121" t="str">
        <f>IF(A78&lt;=Periodos_Gracia,0,IF($U$258&lt;=0,AG78,IF(SUM($U$18:U78)&lt;=0,AF78,PMT($K$5/360*Días,No._de_Pagos,-Monto_Crédito)-AC78-AD78)))</f>
        <v/>
      </c>
      <c r="AI78" s="125" t="str">
        <f t="shared" si="23"/>
        <v/>
      </c>
      <c r="AK78" s="126" t="str">
        <f>IF(A78="","",IF(Periodos_Gracia&gt;0,Tabla!AN78,V78+S78))</f>
        <v/>
      </c>
      <c r="AL78" s="126" t="str">
        <f t="shared" si="12"/>
        <v/>
      </c>
      <c r="AM78" s="61" t="str">
        <f t="shared" si="24"/>
        <v/>
      </c>
      <c r="AN78" s="127" t="str">
        <f>IF(A78="","",IF(A78&lt;=Periodos_Gracia,Tabla!S78,PPMT(Tasa_Anual/360*Días*(1+I.V.A.),Tabla!AM78,No._De_Pagos_con_periodo_de_gracia,-Monto_Crédito)+S78))</f>
        <v/>
      </c>
      <c r="AO78" s="127" t="str">
        <f>IF(A78="","",IF(A78&lt;=Periodos_Gracia,Tabla!AC78,Monto_Crédito/(No._De_Pagos_con_periodo_de_gracia)+AC78))</f>
        <v/>
      </c>
      <c r="AP78" s="117"/>
    </row>
    <row r="79" spans="1:42" x14ac:dyDescent="0.2">
      <c r="A79" s="107" t="str">
        <f>IF(A78&lt;Parámetros!$E$6,A78+1,"")</f>
        <v/>
      </c>
      <c r="B79" s="108" t="str">
        <f t="shared" si="25"/>
        <v/>
      </c>
      <c r="C79" s="108" t="str">
        <f t="shared" si="0"/>
        <v/>
      </c>
      <c r="D79" s="108" t="str">
        <f t="shared" si="1"/>
        <v/>
      </c>
      <c r="E79" s="108" t="str">
        <f t="shared" si="2"/>
        <v/>
      </c>
      <c r="F79" s="108" t="str">
        <f t="shared" si="3"/>
        <v/>
      </c>
      <c r="G79" s="114" t="str">
        <f t="shared" si="13"/>
        <v/>
      </c>
      <c r="H79" s="115">
        <f t="shared" si="14"/>
        <v>0</v>
      </c>
      <c r="I79" s="108" t="str">
        <f t="shared" si="26"/>
        <v/>
      </c>
      <c r="J79" s="108" t="str">
        <f t="shared" si="4"/>
        <v/>
      </c>
      <c r="K79" s="108" t="str">
        <f t="shared" si="5"/>
        <v/>
      </c>
      <c r="L79" s="108" t="str">
        <f t="shared" si="6"/>
        <v/>
      </c>
      <c r="M79" s="108" t="str">
        <f t="shared" si="15"/>
        <v/>
      </c>
      <c r="N79" s="114" t="str">
        <f t="shared" si="16"/>
        <v/>
      </c>
      <c r="O79" s="60">
        <v>0</v>
      </c>
      <c r="P79" s="116">
        <f t="shared" si="17"/>
        <v>0</v>
      </c>
      <c r="R79" s="117" t="str">
        <f t="shared" si="28"/>
        <v/>
      </c>
      <c r="S79" s="118" t="str">
        <f t="shared" si="7"/>
        <v/>
      </c>
      <c r="T79" s="118" t="str">
        <f t="shared" si="8"/>
        <v/>
      </c>
      <c r="U79" s="119">
        <f t="shared" si="19"/>
        <v>0</v>
      </c>
      <c r="V79" s="120" t="str">
        <f>IF(A79="","",IF(A79&lt;=Periodos_Gracia,0,PPMT(Tasa_Anual/360*Días*(1+I.V.A.),Tabla!AM79,No._De_Pagos_con_periodo_de_gracia,-Monto_Crédito)))</f>
        <v/>
      </c>
      <c r="W79" s="110" t="str">
        <f>IF($U$258&lt;=0,V79,IF(SUM($U$18:U79)&lt;=0,V79,PMT($K$5/360*Días,A79,-R79)))</f>
        <v/>
      </c>
      <c r="X79" s="121" t="str">
        <f>IF($U$258&lt;=0,W79,IF(SUM($U$18:U79)&lt;=0,V79,PMT($K$5/360*Días,No._De_Pagos_con_periodo_de_gracia,-Monto_Crédito)-S79-T79))</f>
        <v/>
      </c>
      <c r="Y79" s="117" t="str">
        <f t="shared" si="20"/>
        <v/>
      </c>
      <c r="Z79" s="61" t="str">
        <f>+IF(A79="","",IF(No._de_Pagos-Tabla!A79+1&lt;=0,"",No._de_Pagos-Tabla!A79+1))</f>
        <v/>
      </c>
      <c r="AA79" s="122" t="str">
        <f t="shared" si="21"/>
        <v/>
      </c>
      <c r="AB79" s="124" t="str">
        <f t="shared" si="27"/>
        <v/>
      </c>
      <c r="AC79" s="124" t="str">
        <f t="shared" si="9"/>
        <v/>
      </c>
      <c r="AD79" s="124" t="str">
        <f t="shared" si="10"/>
        <v/>
      </c>
      <c r="AE79" s="119">
        <f t="shared" si="22"/>
        <v>0</v>
      </c>
      <c r="AF79" s="120" t="str">
        <f t="shared" si="11"/>
        <v/>
      </c>
      <c r="AG79" s="110" t="str">
        <f>IF($U$258&lt;=0,AF79,IF(SUM($U$18:U79)&lt;=0,AF79,PMT($K$5/360*Días,A79,-AA79)))</f>
        <v/>
      </c>
      <c r="AH79" s="121" t="str">
        <f>IF(A79&lt;=Periodos_Gracia,0,IF($U$258&lt;=0,AG79,IF(SUM($U$18:U79)&lt;=0,AF79,PMT($K$5/360*Días,No._de_Pagos,-Monto_Crédito)-AC79-AD79)))</f>
        <v/>
      </c>
      <c r="AI79" s="125" t="str">
        <f t="shared" si="23"/>
        <v/>
      </c>
      <c r="AK79" s="126" t="str">
        <f>IF(A79="","",IF(Periodos_Gracia&gt;0,Tabla!AN79,V79+S79))</f>
        <v/>
      </c>
      <c r="AL79" s="126" t="str">
        <f t="shared" si="12"/>
        <v/>
      </c>
      <c r="AM79" s="61" t="str">
        <f t="shared" si="24"/>
        <v/>
      </c>
      <c r="AN79" s="127" t="str">
        <f>IF(A79="","",IF(A79&lt;=Periodos_Gracia,Tabla!S79,PPMT(Tasa_Anual/360*Días*(1+I.V.A.),Tabla!AM79,No._De_Pagos_con_periodo_de_gracia,-Monto_Crédito)+S79))</f>
        <v/>
      </c>
      <c r="AO79" s="127" t="str">
        <f>IF(A79="","",IF(A79&lt;=Periodos_Gracia,Tabla!AC79,Monto_Crédito/(No._De_Pagos_con_periodo_de_gracia)+AC79))</f>
        <v/>
      </c>
      <c r="AP79" s="117"/>
    </row>
    <row r="80" spans="1:42" x14ac:dyDescent="0.2">
      <c r="A80" s="107" t="str">
        <f>IF(A79&lt;Parámetros!$E$6,A79+1,"")</f>
        <v/>
      </c>
      <c r="B80" s="108" t="str">
        <f t="shared" si="25"/>
        <v/>
      </c>
      <c r="C80" s="108" t="str">
        <f t="shared" si="0"/>
        <v/>
      </c>
      <c r="D80" s="108" t="str">
        <f t="shared" si="1"/>
        <v/>
      </c>
      <c r="E80" s="108" t="str">
        <f t="shared" si="2"/>
        <v/>
      </c>
      <c r="F80" s="108" t="str">
        <f t="shared" si="3"/>
        <v/>
      </c>
      <c r="G80" s="114" t="str">
        <f t="shared" si="13"/>
        <v/>
      </c>
      <c r="H80" s="115">
        <f t="shared" si="14"/>
        <v>0</v>
      </c>
      <c r="I80" s="108" t="str">
        <f t="shared" si="26"/>
        <v/>
      </c>
      <c r="J80" s="108" t="str">
        <f t="shared" si="4"/>
        <v/>
      </c>
      <c r="K80" s="108" t="str">
        <f t="shared" si="5"/>
        <v/>
      </c>
      <c r="L80" s="108" t="str">
        <f t="shared" si="6"/>
        <v/>
      </c>
      <c r="M80" s="108" t="str">
        <f t="shared" si="15"/>
        <v/>
      </c>
      <c r="N80" s="114" t="str">
        <f t="shared" si="16"/>
        <v/>
      </c>
      <c r="O80" s="60">
        <v>0</v>
      </c>
      <c r="P80" s="116">
        <f t="shared" si="17"/>
        <v>0</v>
      </c>
      <c r="R80" s="117" t="str">
        <f t="shared" si="28"/>
        <v/>
      </c>
      <c r="S80" s="118" t="str">
        <f t="shared" si="7"/>
        <v/>
      </c>
      <c r="T80" s="118" t="str">
        <f t="shared" si="8"/>
        <v/>
      </c>
      <c r="U80" s="119">
        <f t="shared" si="19"/>
        <v>0</v>
      </c>
      <c r="V80" s="120" t="str">
        <f>IF(A80="","",IF(A80&lt;=Periodos_Gracia,0,PPMT(Tasa_Anual/360*Días*(1+I.V.A.),Tabla!AM80,No._De_Pagos_con_periodo_de_gracia,-Monto_Crédito)))</f>
        <v/>
      </c>
      <c r="W80" s="110" t="str">
        <f>IF($U$258&lt;=0,V80,IF(SUM($U$18:U80)&lt;=0,V80,PMT($K$5/360*Días,A80,-R80)))</f>
        <v/>
      </c>
      <c r="X80" s="121" t="str">
        <f>IF($U$258&lt;=0,W80,IF(SUM($U$18:U80)&lt;=0,V80,PMT($K$5/360*Días,No._De_Pagos_con_periodo_de_gracia,-Monto_Crédito)-S80-T80))</f>
        <v/>
      </c>
      <c r="Y80" s="117" t="str">
        <f t="shared" si="20"/>
        <v/>
      </c>
      <c r="Z80" s="61" t="str">
        <f>+IF(A80="","",IF(No._de_Pagos-Tabla!A80+1&lt;=0,"",No._de_Pagos-Tabla!A80+1))</f>
        <v/>
      </c>
      <c r="AA80" s="122" t="str">
        <f t="shared" si="21"/>
        <v/>
      </c>
      <c r="AB80" s="124" t="str">
        <f t="shared" si="27"/>
        <v/>
      </c>
      <c r="AC80" s="124" t="str">
        <f t="shared" si="9"/>
        <v/>
      </c>
      <c r="AD80" s="124" t="str">
        <f t="shared" si="10"/>
        <v/>
      </c>
      <c r="AE80" s="119">
        <f t="shared" si="22"/>
        <v>0</v>
      </c>
      <c r="AF80" s="120" t="str">
        <f t="shared" si="11"/>
        <v/>
      </c>
      <c r="AG80" s="110" t="str">
        <f>IF($U$258&lt;=0,AF80,IF(SUM($U$18:U80)&lt;=0,AF80,PMT($K$5/360*Días,A80,-AA80)))</f>
        <v/>
      </c>
      <c r="AH80" s="121" t="str">
        <f>IF(A80&lt;=Periodos_Gracia,0,IF($U$258&lt;=0,AG80,IF(SUM($U$18:U80)&lt;=0,AF80,PMT($K$5/360*Días,No._de_Pagos,-Monto_Crédito)-AC80-AD80)))</f>
        <v/>
      </c>
      <c r="AI80" s="125" t="str">
        <f t="shared" si="23"/>
        <v/>
      </c>
      <c r="AK80" s="126" t="str">
        <f>IF(A80="","",IF(Periodos_Gracia&gt;0,Tabla!AN80,V80+S80))</f>
        <v/>
      </c>
      <c r="AL80" s="126" t="str">
        <f t="shared" si="12"/>
        <v/>
      </c>
      <c r="AM80" s="61" t="str">
        <f t="shared" si="24"/>
        <v/>
      </c>
      <c r="AN80" s="127" t="str">
        <f>IF(A80="","",IF(A80&lt;=Periodos_Gracia,Tabla!S80,PPMT(Tasa_Anual/360*Días*(1+I.V.A.),Tabla!AM80,No._De_Pagos_con_periodo_de_gracia,-Monto_Crédito)+S80))</f>
        <v/>
      </c>
      <c r="AO80" s="127" t="str">
        <f>IF(A80="","",IF(A80&lt;=Periodos_Gracia,Tabla!AC80,Monto_Crédito/(No._De_Pagos_con_periodo_de_gracia)+AC80))</f>
        <v/>
      </c>
      <c r="AP80" s="117"/>
    </row>
    <row r="81" spans="1:42" x14ac:dyDescent="0.2">
      <c r="A81" s="107" t="str">
        <f>IF(A80&lt;Parámetros!$E$6,A80+1,"")</f>
        <v/>
      </c>
      <c r="B81" s="108" t="str">
        <f t="shared" si="25"/>
        <v/>
      </c>
      <c r="C81" s="108" t="str">
        <f t="shared" si="0"/>
        <v/>
      </c>
      <c r="D81" s="108" t="str">
        <f t="shared" si="1"/>
        <v/>
      </c>
      <c r="E81" s="108" t="str">
        <f t="shared" si="2"/>
        <v/>
      </c>
      <c r="F81" s="108" t="str">
        <f t="shared" si="3"/>
        <v/>
      </c>
      <c r="G81" s="114" t="str">
        <f t="shared" si="13"/>
        <v/>
      </c>
      <c r="H81" s="115">
        <f t="shared" si="14"/>
        <v>0</v>
      </c>
      <c r="I81" s="108" t="str">
        <f t="shared" si="26"/>
        <v/>
      </c>
      <c r="J81" s="108" t="str">
        <f t="shared" si="4"/>
        <v/>
      </c>
      <c r="K81" s="108" t="str">
        <f t="shared" si="5"/>
        <v/>
      </c>
      <c r="L81" s="108" t="str">
        <f t="shared" si="6"/>
        <v/>
      </c>
      <c r="M81" s="108" t="str">
        <f t="shared" si="15"/>
        <v/>
      </c>
      <c r="N81" s="114" t="str">
        <f t="shared" si="16"/>
        <v/>
      </c>
      <c r="O81" s="60">
        <v>0</v>
      </c>
      <c r="P81" s="116">
        <f t="shared" si="17"/>
        <v>0</v>
      </c>
      <c r="R81" s="117" t="str">
        <f t="shared" si="28"/>
        <v/>
      </c>
      <c r="S81" s="118" t="str">
        <f t="shared" si="7"/>
        <v/>
      </c>
      <c r="T81" s="118" t="str">
        <f t="shared" si="8"/>
        <v/>
      </c>
      <c r="U81" s="119">
        <f t="shared" si="19"/>
        <v>0</v>
      </c>
      <c r="V81" s="120" t="str">
        <f>IF(A81="","",IF(A81&lt;=Periodos_Gracia,0,PPMT(Tasa_Anual/360*Días*(1+I.V.A.),Tabla!AM81,No._De_Pagos_con_periodo_de_gracia,-Monto_Crédito)))</f>
        <v/>
      </c>
      <c r="W81" s="110" t="str">
        <f>IF($U$258&lt;=0,V81,IF(SUM($U$18:U81)&lt;=0,V81,PMT($K$5/360*Días,A81,-R81)))</f>
        <v/>
      </c>
      <c r="X81" s="121" t="str">
        <f>IF($U$258&lt;=0,W81,IF(SUM($U$18:U81)&lt;=0,V81,PMT($K$5/360*Días,No._De_Pagos_con_periodo_de_gracia,-Monto_Crédito)-S81-T81))</f>
        <v/>
      </c>
      <c r="Y81" s="117" t="str">
        <f t="shared" si="20"/>
        <v/>
      </c>
      <c r="Z81" s="61" t="str">
        <f>+IF(A81="","",IF(No._de_Pagos-Tabla!A81+1&lt;=0,"",No._de_Pagos-Tabla!A81+1))</f>
        <v/>
      </c>
      <c r="AA81" s="122" t="str">
        <f t="shared" si="21"/>
        <v/>
      </c>
      <c r="AB81" s="124" t="str">
        <f t="shared" si="27"/>
        <v/>
      </c>
      <c r="AC81" s="124" t="str">
        <f t="shared" si="9"/>
        <v/>
      </c>
      <c r="AD81" s="124" t="str">
        <f t="shared" si="10"/>
        <v/>
      </c>
      <c r="AE81" s="119">
        <f t="shared" si="22"/>
        <v>0</v>
      </c>
      <c r="AF81" s="120" t="str">
        <f t="shared" si="11"/>
        <v/>
      </c>
      <c r="AG81" s="110" t="str">
        <f>IF($U$258&lt;=0,AF81,IF(SUM($U$18:U81)&lt;=0,AF81,PMT($K$5/360*Días,A81,-AA81)))</f>
        <v/>
      </c>
      <c r="AH81" s="121" t="str">
        <f>IF(A81&lt;=Periodos_Gracia,0,IF($U$258&lt;=0,AG81,IF(SUM($U$18:U81)&lt;=0,AF81,PMT($K$5/360*Días,No._de_Pagos,-Monto_Crédito)-AC81-AD81)))</f>
        <v/>
      </c>
      <c r="AI81" s="125" t="str">
        <f t="shared" si="23"/>
        <v/>
      </c>
      <c r="AK81" s="126" t="str">
        <f>IF(A81="","",IF(Periodos_Gracia&gt;0,Tabla!AN81,V81+S81))</f>
        <v/>
      </c>
      <c r="AL81" s="126" t="str">
        <f t="shared" si="12"/>
        <v/>
      </c>
      <c r="AM81" s="61" t="str">
        <f t="shared" si="24"/>
        <v/>
      </c>
      <c r="AN81" s="127" t="str">
        <f>IF(A81="","",IF(A81&lt;=Periodos_Gracia,Tabla!S81,PPMT(Tasa_Anual/360*Días*(1+I.V.A.),Tabla!AM81,No._De_Pagos_con_periodo_de_gracia,-Monto_Crédito)+S81))</f>
        <v/>
      </c>
      <c r="AO81" s="127" t="str">
        <f>IF(A81="","",IF(A81&lt;=Periodos_Gracia,Tabla!AC81,Monto_Crédito/(No._De_Pagos_con_periodo_de_gracia)+AC81))</f>
        <v/>
      </c>
      <c r="AP81" s="117"/>
    </row>
    <row r="82" spans="1:42" x14ac:dyDescent="0.2">
      <c r="A82" s="107" t="str">
        <f>IF(A81&lt;Parámetros!$E$6,A81+1,"")</f>
        <v/>
      </c>
      <c r="B82" s="108" t="str">
        <f t="shared" si="25"/>
        <v/>
      </c>
      <c r="C82" s="108" t="str">
        <f t="shared" ref="C82:C145" si="29">IF(A82="","",IF(A82&lt;=Periodos_Gracia,0,IF(V82&gt;B82,B82,V82)))</f>
        <v/>
      </c>
      <c r="D82" s="108" t="str">
        <f t="shared" ref="D82:D145" si="30">IF(A82="","",B82*Tasa_Anual/Pagos_por_año)</f>
        <v/>
      </c>
      <c r="E82" s="108" t="str">
        <f t="shared" ref="E82:E145" si="31">IF(A82="","",D82*I.V.A.)</f>
        <v/>
      </c>
      <c r="F82" s="108" t="str">
        <f t="shared" ref="F82:F145" si="32">IF(A82="","",IF(B82=0,0,IF(A82&lt;=Periodos_Gracia,(D82+E82),C82+D82+E82)))</f>
        <v/>
      </c>
      <c r="G82" s="114" t="str">
        <f t="shared" si="13"/>
        <v/>
      </c>
      <c r="H82" s="115">
        <f t="shared" si="14"/>
        <v>0</v>
      </c>
      <c r="I82" s="108" t="str">
        <f t="shared" si="26"/>
        <v/>
      </c>
      <c r="J82" s="108" t="str">
        <f t="shared" ref="J82:J145" si="33">IF(A82="","",IF(I82=0,0,IF(A82&lt;=Periodos_Gracia,0,IF((Monto_Crédito/(No._de_Pagos-Periodos_Gracia))&gt;I82,I82,(Monto_Crédito/(No._de_Pagos-Periodos_Gracia))))))</f>
        <v/>
      </c>
      <c r="K82" s="108" t="str">
        <f t="shared" ref="K82:K145" si="34">IF(A82="","",I82*Tasa_Anual/Pagos_por_año)</f>
        <v/>
      </c>
      <c r="L82" s="108" t="str">
        <f t="shared" ref="L82:L145" si="35">IF(A82="","",K82*I.V.A.)</f>
        <v/>
      </c>
      <c r="M82" s="108" t="str">
        <f t="shared" si="15"/>
        <v/>
      </c>
      <c r="N82" s="114" t="str">
        <f t="shared" si="16"/>
        <v/>
      </c>
      <c r="O82" s="60">
        <v>0</v>
      </c>
      <c r="P82" s="116">
        <f t="shared" si="17"/>
        <v>0</v>
      </c>
      <c r="R82" s="117" t="str">
        <f t="shared" si="28"/>
        <v/>
      </c>
      <c r="S82" s="118" t="str">
        <f t="shared" ref="S82:S145" si="36">+IF(A82="","",R82*$K$5/360*Días)</f>
        <v/>
      </c>
      <c r="T82" s="118" t="str">
        <f t="shared" ref="T82:T145" si="37">+IF(A82="","",S82*I.V.A.)</f>
        <v/>
      </c>
      <c r="U82" s="119">
        <f t="shared" si="19"/>
        <v>0</v>
      </c>
      <c r="V82" s="120" t="str">
        <f>IF(A82="","",IF(A82&lt;=Periodos_Gracia,0,PPMT(Tasa_Anual/360*Días*(1+I.V.A.),Tabla!AM82,No._De_Pagos_con_periodo_de_gracia,-Monto_Crédito)))</f>
        <v/>
      </c>
      <c r="W82" s="110" t="str">
        <f>IF($U$258&lt;=0,V82,IF(SUM($U$18:U82)&lt;=0,V82,PMT($K$5/360*Días,A82,-R82)))</f>
        <v/>
      </c>
      <c r="X82" s="121" t="str">
        <f>IF($U$258&lt;=0,W82,IF(SUM($U$18:U82)&lt;=0,V82,PMT($K$5/360*Días,No._De_Pagos_con_periodo_de_gracia,-Monto_Crédito)-S82-T82))</f>
        <v/>
      </c>
      <c r="Y82" s="117" t="str">
        <f t="shared" si="20"/>
        <v/>
      </c>
      <c r="Z82" s="61" t="str">
        <f>+IF(A82="","",IF(No._de_Pagos-Tabla!A82+1&lt;=0,"",No._de_Pagos-Tabla!A82+1))</f>
        <v/>
      </c>
      <c r="AA82" s="122" t="str">
        <f t="shared" si="21"/>
        <v/>
      </c>
      <c r="AB82" s="124" t="str">
        <f t="shared" si="27"/>
        <v/>
      </c>
      <c r="AC82" s="124" t="str">
        <f t="shared" ref="AC82:AC145" si="38">IF(AB82="","",+AB82*($K$5/360*Días))</f>
        <v/>
      </c>
      <c r="AD82" s="124" t="str">
        <f t="shared" ref="AD82:AD145" si="39">IF(AC82="","",+AC82*I.V.A.)</f>
        <v/>
      </c>
      <c r="AE82" s="119">
        <f t="shared" si="22"/>
        <v>0</v>
      </c>
      <c r="AF82" s="120" t="str">
        <f t="shared" ref="AF82:AF145" si="40">IF(A82="","",IF(A82&lt;=Periodos_Gracia,0,Monto_Crédito/(No._De_Pagos_con_periodo_de_gracia)))</f>
        <v/>
      </c>
      <c r="AG82" s="110" t="str">
        <f>IF($U$258&lt;=0,AF82,IF(SUM($U$18:U82)&lt;=0,AF82,PMT($K$5/360*Días,A82,-AA82)))</f>
        <v/>
      </c>
      <c r="AH82" s="121" t="str">
        <f>IF(A82&lt;=Periodos_Gracia,0,IF($U$258&lt;=0,AG82,IF(SUM($U$18:U82)&lt;=0,AF82,PMT($K$5/360*Días,No._de_Pagos,-Monto_Crédito)-AC82-AD82)))</f>
        <v/>
      </c>
      <c r="AI82" s="125" t="str">
        <f t="shared" si="23"/>
        <v/>
      </c>
      <c r="AK82" s="126" t="str">
        <f>IF(A82="","",IF(Periodos_Gracia&gt;0,Tabla!AN82,V82+S82))</f>
        <v/>
      </c>
      <c r="AL82" s="126" t="str">
        <f t="shared" ref="AL82:AL145" si="41">IF(A82="","",IF(Periodos_Gracia&gt;0,AO82,AF82+AC82))</f>
        <v/>
      </c>
      <c r="AM82" s="61" t="str">
        <f t="shared" si="24"/>
        <v/>
      </c>
      <c r="AN82" s="127" t="str">
        <f>IF(A82="","",IF(A82&lt;=Periodos_Gracia,Tabla!S82,PPMT(Tasa_Anual/360*Días*(1+I.V.A.),Tabla!AM82,No._De_Pagos_con_periodo_de_gracia,-Monto_Crédito)+S82))</f>
        <v/>
      </c>
      <c r="AO82" s="127" t="str">
        <f>IF(A82="","",IF(A82&lt;=Periodos_Gracia,Tabla!AC82,Monto_Crédito/(No._De_Pagos_con_periodo_de_gracia)+AC82))</f>
        <v/>
      </c>
      <c r="AP82" s="117"/>
    </row>
    <row r="83" spans="1:42" x14ac:dyDescent="0.2">
      <c r="A83" s="107" t="str">
        <f>IF(A82&lt;Parámetros!$E$6,A82+1,"")</f>
        <v/>
      </c>
      <c r="B83" s="108" t="str">
        <f t="shared" si="25"/>
        <v/>
      </c>
      <c r="C83" s="108" t="str">
        <f t="shared" si="29"/>
        <v/>
      </c>
      <c r="D83" s="108" t="str">
        <f t="shared" si="30"/>
        <v/>
      </c>
      <c r="E83" s="108" t="str">
        <f t="shared" si="31"/>
        <v/>
      </c>
      <c r="F83" s="108" t="str">
        <f t="shared" si="32"/>
        <v/>
      </c>
      <c r="G83" s="114" t="str">
        <f t="shared" ref="G83:G146" si="42">IF(A83="","",IF(+B83-C83-O83&lt;=0,0,+B83-C83-O83))</f>
        <v/>
      </c>
      <c r="H83" s="115">
        <f t="shared" ref="H83:H146" si="43">IF(OR(B83=0,B83=""),0,1)</f>
        <v>0</v>
      </c>
      <c r="I83" s="108" t="str">
        <f t="shared" si="26"/>
        <v/>
      </c>
      <c r="J83" s="108" t="str">
        <f t="shared" si="33"/>
        <v/>
      </c>
      <c r="K83" s="108" t="str">
        <f t="shared" si="34"/>
        <v/>
      </c>
      <c r="L83" s="108" t="str">
        <f t="shared" si="35"/>
        <v/>
      </c>
      <c r="M83" s="108" t="str">
        <f t="shared" ref="M83:M146" si="44">IF(A83="","",IF(I83=0,0,(J83+K83+L83)))</f>
        <v/>
      </c>
      <c r="N83" s="114" t="str">
        <f t="shared" ref="N83:N146" si="45">IF(A83="","",IF(+I83-J83-O83&lt;=0,0,+I83-J83-O83))</f>
        <v/>
      </c>
      <c r="O83" s="60">
        <v>0</v>
      </c>
      <c r="P83" s="116">
        <f t="shared" ref="P83:P146" si="46">IF(OR(I83=0,I83=""),0,1)</f>
        <v>0</v>
      </c>
      <c r="R83" s="117" t="str">
        <f t="shared" si="28"/>
        <v/>
      </c>
      <c r="S83" s="118" t="str">
        <f t="shared" si="36"/>
        <v/>
      </c>
      <c r="T83" s="118" t="str">
        <f t="shared" si="37"/>
        <v/>
      </c>
      <c r="U83" s="119">
        <f t="shared" ref="U83:U146" si="47">+O83</f>
        <v>0</v>
      </c>
      <c r="V83" s="120" t="str">
        <f>IF(A83="","",IF(A83&lt;=Periodos_Gracia,0,PPMT(Tasa_Anual/360*Días*(1+I.V.A.),Tabla!AM83,No._De_Pagos_con_periodo_de_gracia,-Monto_Crédito)))</f>
        <v/>
      </c>
      <c r="W83" s="110" t="str">
        <f>IF($U$258&lt;=0,V83,IF(SUM($U$18:U83)&lt;=0,V83,PMT($K$5/360*Días,A83,-R83)))</f>
        <v/>
      </c>
      <c r="X83" s="121" t="str">
        <f>IF($U$258&lt;=0,W83,IF(SUM($U$18:U83)&lt;=0,V83,PMT($K$5/360*Días,No._De_Pagos_con_periodo_de_gracia,-Monto_Crédito)-S83-T83))</f>
        <v/>
      </c>
      <c r="Y83" s="117" t="str">
        <f t="shared" ref="Y83:Y146" si="48">V83</f>
        <v/>
      </c>
      <c r="Z83" s="61" t="str">
        <f>+IF(A83="","",IF(No._de_Pagos-Tabla!A83+1&lt;=0,"",No._de_Pagos-Tabla!A83+1))</f>
        <v/>
      </c>
      <c r="AA83" s="122" t="str">
        <f t="shared" ref="AA83:AA146" si="49">IF(A83="","",V83+S83+T83)</f>
        <v/>
      </c>
      <c r="AB83" s="124" t="str">
        <f t="shared" si="27"/>
        <v/>
      </c>
      <c r="AC83" s="124" t="str">
        <f t="shared" si="38"/>
        <v/>
      </c>
      <c r="AD83" s="124" t="str">
        <f t="shared" si="39"/>
        <v/>
      </c>
      <c r="AE83" s="119">
        <f t="shared" ref="AE83:AE146" si="50">+O83</f>
        <v>0</v>
      </c>
      <c r="AF83" s="120" t="str">
        <f t="shared" si="40"/>
        <v/>
      </c>
      <c r="AG83" s="110" t="str">
        <f>IF($U$258&lt;=0,AF83,IF(SUM($U$18:U83)&lt;=0,AF83,PMT($K$5/360*Días,A83,-AA83)))</f>
        <v/>
      </c>
      <c r="AH83" s="121" t="str">
        <f>IF(A83&lt;=Periodos_Gracia,0,IF($U$258&lt;=0,AG83,IF(SUM($U$18:U83)&lt;=0,AF83,PMT($K$5/360*Días,No._de_Pagos,-Monto_Crédito)-AC83-AD83)))</f>
        <v/>
      </c>
      <c r="AI83" s="125" t="str">
        <f t="shared" ref="AI83:AI146" si="51">IF(A83="","",AF83+AC83+AD83)</f>
        <v/>
      </c>
      <c r="AK83" s="126" t="str">
        <f>IF(A83="","",IF(Periodos_Gracia&gt;0,Tabla!AN83,V83+S83))</f>
        <v/>
      </c>
      <c r="AL83" s="126" t="str">
        <f t="shared" si="41"/>
        <v/>
      </c>
      <c r="AM83" s="61" t="str">
        <f t="shared" ref="AM83:AM146" si="52">IF(A83="","",IF(A83&lt;=Periodos_Gracia,0,IF(AM82=0,1,IF(AM82&gt;0,AM82+1,A82))))</f>
        <v/>
      </c>
      <c r="AN83" s="127" t="str">
        <f>IF(A83="","",IF(A83&lt;=Periodos_Gracia,Tabla!S83,PPMT(Tasa_Anual/360*Días*(1+I.V.A.),Tabla!AM83,No._De_Pagos_con_periodo_de_gracia,-Monto_Crédito)+S83))</f>
        <v/>
      </c>
      <c r="AO83" s="127" t="str">
        <f>IF(A83="","",IF(A83&lt;=Periodos_Gracia,Tabla!AC83,Monto_Crédito/(No._De_Pagos_con_periodo_de_gracia)+AC83))</f>
        <v/>
      </c>
      <c r="AP83" s="117"/>
    </row>
    <row r="84" spans="1:42" x14ac:dyDescent="0.2">
      <c r="A84" s="107" t="str">
        <f>IF(A83&lt;Parámetros!$E$6,A83+1,"")</f>
        <v/>
      </c>
      <c r="B84" s="108" t="str">
        <f t="shared" ref="B84:B147" si="53">IF(A84="","",IF(G83&lt;=0,0,+G83))</f>
        <v/>
      </c>
      <c r="C84" s="108" t="str">
        <f t="shared" si="29"/>
        <v/>
      </c>
      <c r="D84" s="108" t="str">
        <f t="shared" si="30"/>
        <v/>
      </c>
      <c r="E84" s="108" t="str">
        <f t="shared" si="31"/>
        <v/>
      </c>
      <c r="F84" s="108" t="str">
        <f t="shared" si="32"/>
        <v/>
      </c>
      <c r="G84" s="114" t="str">
        <f t="shared" si="42"/>
        <v/>
      </c>
      <c r="H84" s="115">
        <f t="shared" si="43"/>
        <v>0</v>
      </c>
      <c r="I84" s="108" t="str">
        <f t="shared" ref="I84:I147" si="54">IF(A84="","",IF(+N83&lt;=0,0,N83))</f>
        <v/>
      </c>
      <c r="J84" s="108" t="str">
        <f t="shared" si="33"/>
        <v/>
      </c>
      <c r="K84" s="108" t="str">
        <f t="shared" si="34"/>
        <v/>
      </c>
      <c r="L84" s="108" t="str">
        <f t="shared" si="35"/>
        <v/>
      </c>
      <c r="M84" s="108" t="str">
        <f t="shared" si="44"/>
        <v/>
      </c>
      <c r="N84" s="114" t="str">
        <f t="shared" si="45"/>
        <v/>
      </c>
      <c r="O84" s="60">
        <v>0</v>
      </c>
      <c r="P84" s="116">
        <f t="shared" si="46"/>
        <v>0</v>
      </c>
      <c r="R84" s="117" t="str">
        <f t="shared" si="28"/>
        <v/>
      </c>
      <c r="S84" s="118" t="str">
        <f t="shared" si="36"/>
        <v/>
      </c>
      <c r="T84" s="118" t="str">
        <f t="shared" si="37"/>
        <v/>
      </c>
      <c r="U84" s="119">
        <f t="shared" si="47"/>
        <v>0</v>
      </c>
      <c r="V84" s="120" t="str">
        <f>IF(A84="","",IF(A84&lt;=Periodos_Gracia,0,PPMT(Tasa_Anual/360*Días*(1+I.V.A.),Tabla!AM84,No._De_Pagos_con_periodo_de_gracia,-Monto_Crédito)))</f>
        <v/>
      </c>
      <c r="W84" s="110" t="str">
        <f>IF($U$258&lt;=0,V84,IF(SUM($U$18:U84)&lt;=0,V84,PMT($K$5/360*Días,A84,-R84)))</f>
        <v/>
      </c>
      <c r="X84" s="121" t="str">
        <f>IF($U$258&lt;=0,W84,IF(SUM($U$18:U84)&lt;=0,V84,PMT($K$5/360*Días,No._De_Pagos_con_periodo_de_gracia,-Monto_Crédito)-S84-T84))</f>
        <v/>
      </c>
      <c r="Y84" s="117" t="str">
        <f t="shared" si="48"/>
        <v/>
      </c>
      <c r="Z84" s="61" t="str">
        <f>+IF(A84="","",IF(No._de_Pagos-Tabla!A84+1&lt;=0,"",No._de_Pagos-Tabla!A84+1))</f>
        <v/>
      </c>
      <c r="AA84" s="122" t="str">
        <f t="shared" si="49"/>
        <v/>
      </c>
      <c r="AB84" s="124" t="str">
        <f t="shared" ref="AB84:AB147" si="55">IF(A84="","",AB83-AF83)</f>
        <v/>
      </c>
      <c r="AC84" s="124" t="str">
        <f t="shared" si="38"/>
        <v/>
      </c>
      <c r="AD84" s="124" t="str">
        <f t="shared" si="39"/>
        <v/>
      </c>
      <c r="AE84" s="119">
        <f t="shared" si="50"/>
        <v>0</v>
      </c>
      <c r="AF84" s="120" t="str">
        <f t="shared" si="40"/>
        <v/>
      </c>
      <c r="AG84" s="110" t="str">
        <f>IF($U$258&lt;=0,AF84,IF(SUM($U$18:U84)&lt;=0,AF84,PMT($K$5/360*Días,A84,-AA84)))</f>
        <v/>
      </c>
      <c r="AH84" s="121" t="str">
        <f>IF(A84&lt;=Periodos_Gracia,0,IF($U$258&lt;=0,AG84,IF(SUM($U$18:U84)&lt;=0,AF84,PMT($K$5/360*Días,No._de_Pagos,-Monto_Crédito)-AC84-AD84)))</f>
        <v/>
      </c>
      <c r="AI84" s="125" t="str">
        <f t="shared" si="51"/>
        <v/>
      </c>
      <c r="AK84" s="126" t="str">
        <f>IF(A84="","",IF(Periodos_Gracia&gt;0,Tabla!AN84,V84+S84))</f>
        <v/>
      </c>
      <c r="AL84" s="126" t="str">
        <f t="shared" si="41"/>
        <v/>
      </c>
      <c r="AM84" s="61" t="str">
        <f t="shared" si="52"/>
        <v/>
      </c>
      <c r="AN84" s="127" t="str">
        <f>IF(A84="","",IF(A84&lt;=Periodos_Gracia,Tabla!S84,PPMT(Tasa_Anual/360*Días*(1+I.V.A.),Tabla!AM84,No._De_Pagos_con_periodo_de_gracia,-Monto_Crédito)+S84))</f>
        <v/>
      </c>
      <c r="AO84" s="127" t="str">
        <f>IF(A84="","",IF(A84&lt;=Periodos_Gracia,Tabla!AC84,Monto_Crédito/(No._De_Pagos_con_periodo_de_gracia)+AC84))</f>
        <v/>
      </c>
      <c r="AP84" s="117"/>
    </row>
    <row r="85" spans="1:42" x14ac:dyDescent="0.2">
      <c r="A85" s="107" t="str">
        <f>IF(A84&lt;Parámetros!$E$6,A84+1,"")</f>
        <v/>
      </c>
      <c r="B85" s="108" t="str">
        <f t="shared" si="53"/>
        <v/>
      </c>
      <c r="C85" s="108" t="str">
        <f t="shared" si="29"/>
        <v/>
      </c>
      <c r="D85" s="108" t="str">
        <f t="shared" si="30"/>
        <v/>
      </c>
      <c r="E85" s="108" t="str">
        <f t="shared" si="31"/>
        <v/>
      </c>
      <c r="F85" s="108" t="str">
        <f t="shared" si="32"/>
        <v/>
      </c>
      <c r="G85" s="114" t="str">
        <f t="shared" si="42"/>
        <v/>
      </c>
      <c r="H85" s="115">
        <f t="shared" si="43"/>
        <v>0</v>
      </c>
      <c r="I85" s="108" t="str">
        <f t="shared" si="54"/>
        <v/>
      </c>
      <c r="J85" s="108" t="str">
        <f t="shared" si="33"/>
        <v/>
      </c>
      <c r="K85" s="108" t="str">
        <f t="shared" si="34"/>
        <v/>
      </c>
      <c r="L85" s="108" t="str">
        <f t="shared" si="35"/>
        <v/>
      </c>
      <c r="M85" s="108" t="str">
        <f t="shared" si="44"/>
        <v/>
      </c>
      <c r="N85" s="114" t="str">
        <f t="shared" si="45"/>
        <v/>
      </c>
      <c r="O85" s="60">
        <v>0</v>
      </c>
      <c r="P85" s="116">
        <f t="shared" si="46"/>
        <v>0</v>
      </c>
      <c r="R85" s="117" t="str">
        <f t="shared" si="28"/>
        <v/>
      </c>
      <c r="S85" s="118" t="str">
        <f t="shared" si="36"/>
        <v/>
      </c>
      <c r="T85" s="118" t="str">
        <f t="shared" si="37"/>
        <v/>
      </c>
      <c r="U85" s="119">
        <f t="shared" si="47"/>
        <v>0</v>
      </c>
      <c r="V85" s="120" t="str">
        <f>IF(A85="","",IF(A85&lt;=Periodos_Gracia,0,PPMT(Tasa_Anual/360*Días*(1+I.V.A.),Tabla!AM85,No._De_Pagos_con_periodo_de_gracia,-Monto_Crédito)))</f>
        <v/>
      </c>
      <c r="W85" s="110" t="str">
        <f>IF($U$258&lt;=0,V85,IF(SUM($U$18:U85)&lt;=0,V85,PMT($K$5/360*Días,A85,-R85)))</f>
        <v/>
      </c>
      <c r="X85" s="121" t="str">
        <f>IF($U$258&lt;=0,W85,IF(SUM($U$18:U85)&lt;=0,V85,PMT($K$5/360*Días,No._De_Pagos_con_periodo_de_gracia,-Monto_Crédito)-S85-T85))</f>
        <v/>
      </c>
      <c r="Y85" s="117" t="str">
        <f t="shared" si="48"/>
        <v/>
      </c>
      <c r="Z85" s="61" t="str">
        <f>+IF(A85="","",IF(No._de_Pagos-Tabla!A85+1&lt;=0,"",No._de_Pagos-Tabla!A85+1))</f>
        <v/>
      </c>
      <c r="AA85" s="122" t="str">
        <f t="shared" si="49"/>
        <v/>
      </c>
      <c r="AB85" s="124" t="str">
        <f t="shared" si="55"/>
        <v/>
      </c>
      <c r="AC85" s="124" t="str">
        <f t="shared" si="38"/>
        <v/>
      </c>
      <c r="AD85" s="124" t="str">
        <f t="shared" si="39"/>
        <v/>
      </c>
      <c r="AE85" s="119">
        <f t="shared" si="50"/>
        <v>0</v>
      </c>
      <c r="AF85" s="120" t="str">
        <f t="shared" si="40"/>
        <v/>
      </c>
      <c r="AG85" s="110" t="str">
        <f>IF($U$258&lt;=0,AF85,IF(SUM($U$18:U85)&lt;=0,AF85,PMT($K$5/360*Días,A85,-AA85)))</f>
        <v/>
      </c>
      <c r="AH85" s="121" t="str">
        <f>IF(A85&lt;=Periodos_Gracia,0,IF($U$258&lt;=0,AG85,IF(SUM($U$18:U85)&lt;=0,AF85,PMT($K$5/360*Días,No._de_Pagos,-Monto_Crédito)-AC85-AD85)))</f>
        <v/>
      </c>
      <c r="AI85" s="125" t="str">
        <f t="shared" si="51"/>
        <v/>
      </c>
      <c r="AK85" s="126" t="str">
        <f>IF(A85="","",IF(Periodos_Gracia&gt;0,Tabla!AN85,V85+S85))</f>
        <v/>
      </c>
      <c r="AL85" s="126" t="str">
        <f t="shared" si="41"/>
        <v/>
      </c>
      <c r="AM85" s="61" t="str">
        <f t="shared" si="52"/>
        <v/>
      </c>
      <c r="AN85" s="127" t="str">
        <f>IF(A85="","",IF(A85&lt;=Periodos_Gracia,Tabla!S85,PPMT(Tasa_Anual/360*Días*(1+I.V.A.),Tabla!AM85,No._De_Pagos_con_periodo_de_gracia,-Monto_Crédito)+S85))</f>
        <v/>
      </c>
      <c r="AO85" s="127" t="str">
        <f>IF(A85="","",IF(A85&lt;=Periodos_Gracia,Tabla!AC85,Monto_Crédito/(No._De_Pagos_con_periodo_de_gracia)+AC85))</f>
        <v/>
      </c>
      <c r="AP85" s="117"/>
    </row>
    <row r="86" spans="1:42" x14ac:dyDescent="0.2">
      <c r="A86" s="107" t="str">
        <f>IF(A85&lt;Parámetros!$E$6,A85+1,"")</f>
        <v/>
      </c>
      <c r="B86" s="108" t="str">
        <f t="shared" si="53"/>
        <v/>
      </c>
      <c r="C86" s="108" t="str">
        <f t="shared" si="29"/>
        <v/>
      </c>
      <c r="D86" s="108" t="str">
        <f t="shared" si="30"/>
        <v/>
      </c>
      <c r="E86" s="108" t="str">
        <f t="shared" si="31"/>
        <v/>
      </c>
      <c r="F86" s="108" t="str">
        <f t="shared" si="32"/>
        <v/>
      </c>
      <c r="G86" s="114" t="str">
        <f t="shared" si="42"/>
        <v/>
      </c>
      <c r="H86" s="115">
        <f t="shared" si="43"/>
        <v>0</v>
      </c>
      <c r="I86" s="108" t="str">
        <f t="shared" si="54"/>
        <v/>
      </c>
      <c r="J86" s="108" t="str">
        <f t="shared" si="33"/>
        <v/>
      </c>
      <c r="K86" s="108" t="str">
        <f t="shared" si="34"/>
        <v/>
      </c>
      <c r="L86" s="108" t="str">
        <f t="shared" si="35"/>
        <v/>
      </c>
      <c r="M86" s="108" t="str">
        <f t="shared" si="44"/>
        <v/>
      </c>
      <c r="N86" s="114" t="str">
        <f t="shared" si="45"/>
        <v/>
      </c>
      <c r="O86" s="60">
        <v>0</v>
      </c>
      <c r="P86" s="116">
        <f t="shared" si="46"/>
        <v>0</v>
      </c>
      <c r="R86" s="117" t="str">
        <f t="shared" si="28"/>
        <v/>
      </c>
      <c r="S86" s="118" t="str">
        <f t="shared" si="36"/>
        <v/>
      </c>
      <c r="T86" s="118" t="str">
        <f t="shared" si="37"/>
        <v/>
      </c>
      <c r="U86" s="119">
        <f t="shared" si="47"/>
        <v>0</v>
      </c>
      <c r="V86" s="120" t="str">
        <f>IF(A86="","",IF(A86&lt;=Periodos_Gracia,0,PPMT(Tasa_Anual/360*Días*(1+I.V.A.),Tabla!AM86,No._De_Pagos_con_periodo_de_gracia,-Monto_Crédito)))</f>
        <v/>
      </c>
      <c r="W86" s="110" t="str">
        <f>IF($U$258&lt;=0,V86,IF(SUM($U$18:U86)&lt;=0,V86,PMT($K$5/360*Días,A86,-R86)))</f>
        <v/>
      </c>
      <c r="X86" s="121" t="str">
        <f>IF($U$258&lt;=0,W86,IF(SUM($U$18:U86)&lt;=0,V86,PMT($K$5/360*Días,No._De_Pagos_con_periodo_de_gracia,-Monto_Crédito)-S86-T86))</f>
        <v/>
      </c>
      <c r="Y86" s="117" t="str">
        <f t="shared" si="48"/>
        <v/>
      </c>
      <c r="Z86" s="61" t="str">
        <f>+IF(A86="","",IF(No._de_Pagos-Tabla!A86+1&lt;=0,"",No._de_Pagos-Tabla!A86+1))</f>
        <v/>
      </c>
      <c r="AA86" s="122" t="str">
        <f t="shared" si="49"/>
        <v/>
      </c>
      <c r="AB86" s="124" t="str">
        <f t="shared" si="55"/>
        <v/>
      </c>
      <c r="AC86" s="124" t="str">
        <f t="shared" si="38"/>
        <v/>
      </c>
      <c r="AD86" s="124" t="str">
        <f t="shared" si="39"/>
        <v/>
      </c>
      <c r="AE86" s="119">
        <f t="shared" si="50"/>
        <v>0</v>
      </c>
      <c r="AF86" s="120" t="str">
        <f t="shared" si="40"/>
        <v/>
      </c>
      <c r="AG86" s="110" t="str">
        <f>IF($U$258&lt;=0,AF86,IF(SUM($U$18:U86)&lt;=0,AF86,PMT($K$5/360*Días,A86,-AA86)))</f>
        <v/>
      </c>
      <c r="AH86" s="121" t="str">
        <f>IF(A86&lt;=Periodos_Gracia,0,IF($U$258&lt;=0,AG86,IF(SUM($U$18:U86)&lt;=0,AF86,PMT($K$5/360*Días,No._de_Pagos,-Monto_Crédito)-AC86-AD86)))</f>
        <v/>
      </c>
      <c r="AI86" s="125" t="str">
        <f t="shared" si="51"/>
        <v/>
      </c>
      <c r="AK86" s="126" t="str">
        <f>IF(A86="","",IF(Periodos_Gracia&gt;0,Tabla!AN86,V86+S86))</f>
        <v/>
      </c>
      <c r="AL86" s="126" t="str">
        <f t="shared" si="41"/>
        <v/>
      </c>
      <c r="AM86" s="61" t="str">
        <f t="shared" si="52"/>
        <v/>
      </c>
      <c r="AN86" s="127" t="str">
        <f>IF(A86="","",IF(A86&lt;=Periodos_Gracia,Tabla!S86,PPMT(Tasa_Anual/360*Días*(1+I.V.A.),Tabla!AM86,No._De_Pagos_con_periodo_de_gracia,-Monto_Crédito)+S86))</f>
        <v/>
      </c>
      <c r="AO86" s="127" t="str">
        <f>IF(A86="","",IF(A86&lt;=Periodos_Gracia,Tabla!AC86,Monto_Crédito/(No._De_Pagos_con_periodo_de_gracia)+AC86))</f>
        <v/>
      </c>
      <c r="AP86" s="117"/>
    </row>
    <row r="87" spans="1:42" x14ac:dyDescent="0.2">
      <c r="A87" s="107" t="str">
        <f>IF(A86&lt;Parámetros!$E$6,A86+1,"")</f>
        <v/>
      </c>
      <c r="B87" s="108" t="str">
        <f t="shared" si="53"/>
        <v/>
      </c>
      <c r="C87" s="108" t="str">
        <f t="shared" si="29"/>
        <v/>
      </c>
      <c r="D87" s="108" t="str">
        <f t="shared" si="30"/>
        <v/>
      </c>
      <c r="E87" s="108" t="str">
        <f t="shared" si="31"/>
        <v/>
      </c>
      <c r="F87" s="108" t="str">
        <f t="shared" si="32"/>
        <v/>
      </c>
      <c r="G87" s="114" t="str">
        <f t="shared" si="42"/>
        <v/>
      </c>
      <c r="H87" s="115">
        <f t="shared" si="43"/>
        <v>0</v>
      </c>
      <c r="I87" s="108" t="str">
        <f t="shared" si="54"/>
        <v/>
      </c>
      <c r="J87" s="108" t="str">
        <f t="shared" si="33"/>
        <v/>
      </c>
      <c r="K87" s="108" t="str">
        <f t="shared" si="34"/>
        <v/>
      </c>
      <c r="L87" s="108" t="str">
        <f t="shared" si="35"/>
        <v/>
      </c>
      <c r="M87" s="108" t="str">
        <f t="shared" si="44"/>
        <v/>
      </c>
      <c r="N87" s="114" t="str">
        <f t="shared" si="45"/>
        <v/>
      </c>
      <c r="O87" s="60">
        <v>0</v>
      </c>
      <c r="P87" s="116">
        <f t="shared" si="46"/>
        <v>0</v>
      </c>
      <c r="R87" s="117" t="str">
        <f t="shared" si="28"/>
        <v/>
      </c>
      <c r="S87" s="118" t="str">
        <f t="shared" si="36"/>
        <v/>
      </c>
      <c r="T87" s="118" t="str">
        <f t="shared" si="37"/>
        <v/>
      </c>
      <c r="U87" s="119">
        <f t="shared" si="47"/>
        <v>0</v>
      </c>
      <c r="V87" s="120" t="str">
        <f>IF(A87="","",IF(A87&lt;=Periodos_Gracia,0,PPMT(Tasa_Anual/360*Días*(1+I.V.A.),Tabla!AM87,No._De_Pagos_con_periodo_de_gracia,-Monto_Crédito)))</f>
        <v/>
      </c>
      <c r="W87" s="110" t="str">
        <f>IF($U$258&lt;=0,V87,IF(SUM($U$18:U87)&lt;=0,V87,PMT($K$5/360*Días,A87,-R87)))</f>
        <v/>
      </c>
      <c r="X87" s="121" t="str">
        <f>IF($U$258&lt;=0,W87,IF(SUM($U$18:U87)&lt;=0,V87,PMT($K$5/360*Días,No._De_Pagos_con_periodo_de_gracia,-Monto_Crédito)-S87-T87))</f>
        <v/>
      </c>
      <c r="Y87" s="117" t="str">
        <f t="shared" si="48"/>
        <v/>
      </c>
      <c r="Z87" s="61" t="str">
        <f>+IF(A87="","",IF(No._de_Pagos-Tabla!A87+1&lt;=0,"",No._de_Pagos-Tabla!A87+1))</f>
        <v/>
      </c>
      <c r="AA87" s="122" t="str">
        <f t="shared" si="49"/>
        <v/>
      </c>
      <c r="AB87" s="124" t="str">
        <f t="shared" si="55"/>
        <v/>
      </c>
      <c r="AC87" s="124" t="str">
        <f t="shared" si="38"/>
        <v/>
      </c>
      <c r="AD87" s="124" t="str">
        <f t="shared" si="39"/>
        <v/>
      </c>
      <c r="AE87" s="119">
        <f t="shared" si="50"/>
        <v>0</v>
      </c>
      <c r="AF87" s="120" t="str">
        <f t="shared" si="40"/>
        <v/>
      </c>
      <c r="AG87" s="110" t="str">
        <f>IF($U$258&lt;=0,AF87,IF(SUM($U$18:U87)&lt;=0,AF87,PMT($K$5/360*Días,A87,-AA87)))</f>
        <v/>
      </c>
      <c r="AH87" s="121" t="str">
        <f>IF(A87&lt;=Periodos_Gracia,0,IF($U$258&lt;=0,AG87,IF(SUM($U$18:U87)&lt;=0,AF87,PMT($K$5/360*Días,No._de_Pagos,-Monto_Crédito)-AC87-AD87)))</f>
        <v/>
      </c>
      <c r="AI87" s="125" t="str">
        <f t="shared" si="51"/>
        <v/>
      </c>
      <c r="AK87" s="126" t="str">
        <f>IF(A87="","",IF(Periodos_Gracia&gt;0,Tabla!AN87,V87+S87))</f>
        <v/>
      </c>
      <c r="AL87" s="126" t="str">
        <f t="shared" si="41"/>
        <v/>
      </c>
      <c r="AM87" s="61" t="str">
        <f t="shared" si="52"/>
        <v/>
      </c>
      <c r="AN87" s="127" t="str">
        <f>IF(A87="","",IF(A87&lt;=Periodos_Gracia,Tabla!S87,PPMT(Tasa_Anual/360*Días*(1+I.V.A.),Tabla!AM87,No._De_Pagos_con_periodo_de_gracia,-Monto_Crédito)+S87))</f>
        <v/>
      </c>
      <c r="AO87" s="127" t="str">
        <f>IF(A87="","",IF(A87&lt;=Periodos_Gracia,Tabla!AC87,Monto_Crédito/(No._De_Pagos_con_periodo_de_gracia)+AC87))</f>
        <v/>
      </c>
      <c r="AP87" s="117"/>
    </row>
    <row r="88" spans="1:42" x14ac:dyDescent="0.2">
      <c r="A88" s="107" t="str">
        <f>IF(A87&lt;Parámetros!$E$6,A87+1,"")</f>
        <v/>
      </c>
      <c r="B88" s="108" t="str">
        <f t="shared" si="53"/>
        <v/>
      </c>
      <c r="C88" s="108" t="str">
        <f t="shared" si="29"/>
        <v/>
      </c>
      <c r="D88" s="108" t="str">
        <f t="shared" si="30"/>
        <v/>
      </c>
      <c r="E88" s="108" t="str">
        <f t="shared" si="31"/>
        <v/>
      </c>
      <c r="F88" s="108" t="str">
        <f t="shared" si="32"/>
        <v/>
      </c>
      <c r="G88" s="114" t="str">
        <f t="shared" si="42"/>
        <v/>
      </c>
      <c r="H88" s="115">
        <f t="shared" si="43"/>
        <v>0</v>
      </c>
      <c r="I88" s="108" t="str">
        <f t="shared" si="54"/>
        <v/>
      </c>
      <c r="J88" s="108" t="str">
        <f t="shared" si="33"/>
        <v/>
      </c>
      <c r="K88" s="108" t="str">
        <f t="shared" si="34"/>
        <v/>
      </c>
      <c r="L88" s="108" t="str">
        <f t="shared" si="35"/>
        <v/>
      </c>
      <c r="M88" s="108" t="str">
        <f t="shared" si="44"/>
        <v/>
      </c>
      <c r="N88" s="114" t="str">
        <f t="shared" si="45"/>
        <v/>
      </c>
      <c r="O88" s="60">
        <v>0</v>
      </c>
      <c r="P88" s="116">
        <f t="shared" si="46"/>
        <v>0</v>
      </c>
      <c r="R88" s="117" t="str">
        <f t="shared" si="28"/>
        <v/>
      </c>
      <c r="S88" s="118" t="str">
        <f t="shared" si="36"/>
        <v/>
      </c>
      <c r="T88" s="118" t="str">
        <f t="shared" si="37"/>
        <v/>
      </c>
      <c r="U88" s="119">
        <f t="shared" si="47"/>
        <v>0</v>
      </c>
      <c r="V88" s="120" t="str">
        <f>IF(A88="","",IF(A88&lt;=Periodos_Gracia,0,PPMT(Tasa_Anual/360*Días*(1+I.V.A.),Tabla!AM88,No._De_Pagos_con_periodo_de_gracia,-Monto_Crédito)))</f>
        <v/>
      </c>
      <c r="W88" s="110" t="str">
        <f>IF($U$258&lt;=0,V88,IF(SUM($U$18:U88)&lt;=0,V88,PMT($K$5/360*Días,A88,-R88)))</f>
        <v/>
      </c>
      <c r="X88" s="121" t="str">
        <f>IF($U$258&lt;=0,W88,IF(SUM($U$18:U88)&lt;=0,V88,PMT($K$5/360*Días,No._De_Pagos_con_periodo_de_gracia,-Monto_Crédito)-S88-T88))</f>
        <v/>
      </c>
      <c r="Y88" s="117" t="str">
        <f t="shared" si="48"/>
        <v/>
      </c>
      <c r="Z88" s="61" t="str">
        <f>+IF(A88="","",IF(No._de_Pagos-Tabla!A88+1&lt;=0,"",No._de_Pagos-Tabla!A88+1))</f>
        <v/>
      </c>
      <c r="AA88" s="122" t="str">
        <f t="shared" si="49"/>
        <v/>
      </c>
      <c r="AB88" s="124" t="str">
        <f t="shared" si="55"/>
        <v/>
      </c>
      <c r="AC88" s="124" t="str">
        <f t="shared" si="38"/>
        <v/>
      </c>
      <c r="AD88" s="124" t="str">
        <f t="shared" si="39"/>
        <v/>
      </c>
      <c r="AE88" s="119">
        <f t="shared" si="50"/>
        <v>0</v>
      </c>
      <c r="AF88" s="120" t="str">
        <f t="shared" si="40"/>
        <v/>
      </c>
      <c r="AG88" s="110" t="str">
        <f>IF($U$258&lt;=0,AF88,IF(SUM($U$18:U88)&lt;=0,AF88,PMT($K$5/360*Días,A88,-AA88)))</f>
        <v/>
      </c>
      <c r="AH88" s="121" t="str">
        <f>IF(A88&lt;=Periodos_Gracia,0,IF($U$258&lt;=0,AG88,IF(SUM($U$18:U88)&lt;=0,AF88,PMT($K$5/360*Días,No._de_Pagos,-Monto_Crédito)-AC88-AD88)))</f>
        <v/>
      </c>
      <c r="AI88" s="125" t="str">
        <f t="shared" si="51"/>
        <v/>
      </c>
      <c r="AK88" s="126" t="str">
        <f>IF(A88="","",IF(Periodos_Gracia&gt;0,Tabla!AN88,V88+S88))</f>
        <v/>
      </c>
      <c r="AL88" s="126" t="str">
        <f t="shared" si="41"/>
        <v/>
      </c>
      <c r="AM88" s="61" t="str">
        <f t="shared" si="52"/>
        <v/>
      </c>
      <c r="AN88" s="127" t="str">
        <f>IF(A88="","",IF(A88&lt;=Periodos_Gracia,Tabla!S88,PPMT(Tasa_Anual/360*Días*(1+I.V.A.),Tabla!AM88,No._De_Pagos_con_periodo_de_gracia,-Monto_Crédito)+S88))</f>
        <v/>
      </c>
      <c r="AO88" s="127" t="str">
        <f>IF(A88="","",IF(A88&lt;=Periodos_Gracia,Tabla!AC88,Monto_Crédito/(No._De_Pagos_con_periodo_de_gracia)+AC88))</f>
        <v/>
      </c>
      <c r="AP88" s="117"/>
    </row>
    <row r="89" spans="1:42" x14ac:dyDescent="0.2">
      <c r="A89" s="107" t="str">
        <f>IF(A88&lt;Parámetros!$E$6,A88+1,"")</f>
        <v/>
      </c>
      <c r="B89" s="108" t="str">
        <f t="shared" si="53"/>
        <v/>
      </c>
      <c r="C89" s="108" t="str">
        <f t="shared" si="29"/>
        <v/>
      </c>
      <c r="D89" s="108" t="str">
        <f t="shared" si="30"/>
        <v/>
      </c>
      <c r="E89" s="108" t="str">
        <f t="shared" si="31"/>
        <v/>
      </c>
      <c r="F89" s="108" t="str">
        <f t="shared" si="32"/>
        <v/>
      </c>
      <c r="G89" s="114" t="str">
        <f t="shared" si="42"/>
        <v/>
      </c>
      <c r="H89" s="115">
        <f t="shared" si="43"/>
        <v>0</v>
      </c>
      <c r="I89" s="108" t="str">
        <f t="shared" si="54"/>
        <v/>
      </c>
      <c r="J89" s="108" t="str">
        <f t="shared" si="33"/>
        <v/>
      </c>
      <c r="K89" s="108" t="str">
        <f t="shared" si="34"/>
        <v/>
      </c>
      <c r="L89" s="108" t="str">
        <f t="shared" si="35"/>
        <v/>
      </c>
      <c r="M89" s="108" t="str">
        <f t="shared" si="44"/>
        <v/>
      </c>
      <c r="N89" s="114" t="str">
        <f t="shared" si="45"/>
        <v/>
      </c>
      <c r="O89" s="60">
        <v>0</v>
      </c>
      <c r="P89" s="116">
        <f t="shared" si="46"/>
        <v>0</v>
      </c>
      <c r="R89" s="117" t="str">
        <f t="shared" si="28"/>
        <v/>
      </c>
      <c r="S89" s="118" t="str">
        <f t="shared" si="36"/>
        <v/>
      </c>
      <c r="T89" s="118" t="str">
        <f t="shared" si="37"/>
        <v/>
      </c>
      <c r="U89" s="119">
        <f t="shared" si="47"/>
        <v>0</v>
      </c>
      <c r="V89" s="120" t="str">
        <f>IF(A89="","",IF(A89&lt;=Periodos_Gracia,0,PPMT(Tasa_Anual/360*Días*(1+I.V.A.),Tabla!AM89,No._De_Pagos_con_periodo_de_gracia,-Monto_Crédito)))</f>
        <v/>
      </c>
      <c r="W89" s="110" t="str">
        <f>IF($U$258&lt;=0,V89,IF(SUM($U$18:U89)&lt;=0,V89,PMT($K$5/360*Días,A89,-R89)))</f>
        <v/>
      </c>
      <c r="X89" s="121" t="str">
        <f>IF($U$258&lt;=0,W89,IF(SUM($U$18:U89)&lt;=0,V89,PMT($K$5/360*Días,No._De_Pagos_con_periodo_de_gracia,-Monto_Crédito)-S89-T89))</f>
        <v/>
      </c>
      <c r="Y89" s="117" t="str">
        <f t="shared" si="48"/>
        <v/>
      </c>
      <c r="Z89" s="61" t="str">
        <f>+IF(A89="","",IF(No._de_Pagos-Tabla!A89+1&lt;=0,"",No._de_Pagos-Tabla!A89+1))</f>
        <v/>
      </c>
      <c r="AA89" s="122" t="str">
        <f t="shared" si="49"/>
        <v/>
      </c>
      <c r="AB89" s="124" t="str">
        <f t="shared" si="55"/>
        <v/>
      </c>
      <c r="AC89" s="124" t="str">
        <f t="shared" si="38"/>
        <v/>
      </c>
      <c r="AD89" s="124" t="str">
        <f t="shared" si="39"/>
        <v/>
      </c>
      <c r="AE89" s="119">
        <f t="shared" si="50"/>
        <v>0</v>
      </c>
      <c r="AF89" s="120" t="str">
        <f t="shared" si="40"/>
        <v/>
      </c>
      <c r="AG89" s="110" t="str">
        <f>IF($U$258&lt;=0,AF89,IF(SUM($U$18:U89)&lt;=0,AF89,PMT($K$5/360*Días,A89,-AA89)))</f>
        <v/>
      </c>
      <c r="AH89" s="121" t="str">
        <f>IF(A89&lt;=Periodos_Gracia,0,IF($U$258&lt;=0,AG89,IF(SUM($U$18:U89)&lt;=0,AF89,PMT($K$5/360*Días,No._de_Pagos,-Monto_Crédito)-AC89-AD89)))</f>
        <v/>
      </c>
      <c r="AI89" s="125" t="str">
        <f t="shared" si="51"/>
        <v/>
      </c>
      <c r="AK89" s="126" t="str">
        <f>IF(A89="","",IF(Periodos_Gracia&gt;0,Tabla!AN89,V89+S89))</f>
        <v/>
      </c>
      <c r="AL89" s="126" t="str">
        <f t="shared" si="41"/>
        <v/>
      </c>
      <c r="AM89" s="61" t="str">
        <f t="shared" si="52"/>
        <v/>
      </c>
      <c r="AN89" s="127" t="str">
        <f>IF(A89="","",IF(A89&lt;=Periodos_Gracia,Tabla!S89,PPMT(Tasa_Anual/360*Días*(1+I.V.A.),Tabla!AM89,No._De_Pagos_con_periodo_de_gracia,-Monto_Crédito)+S89))</f>
        <v/>
      </c>
      <c r="AO89" s="127" t="str">
        <f>IF(A89="","",IF(A89&lt;=Periodos_Gracia,Tabla!AC89,Monto_Crédito/(No._De_Pagos_con_periodo_de_gracia)+AC89))</f>
        <v/>
      </c>
      <c r="AP89" s="117"/>
    </row>
    <row r="90" spans="1:42" x14ac:dyDescent="0.2">
      <c r="A90" s="107" t="str">
        <f>IF(A89&lt;Parámetros!$E$6,A89+1,"")</f>
        <v/>
      </c>
      <c r="B90" s="108" t="str">
        <f t="shared" si="53"/>
        <v/>
      </c>
      <c r="C90" s="108" t="str">
        <f t="shared" si="29"/>
        <v/>
      </c>
      <c r="D90" s="108" t="str">
        <f t="shared" si="30"/>
        <v/>
      </c>
      <c r="E90" s="108" t="str">
        <f t="shared" si="31"/>
        <v/>
      </c>
      <c r="F90" s="108" t="str">
        <f t="shared" si="32"/>
        <v/>
      </c>
      <c r="G90" s="114" t="str">
        <f t="shared" si="42"/>
        <v/>
      </c>
      <c r="H90" s="115">
        <f t="shared" si="43"/>
        <v>0</v>
      </c>
      <c r="I90" s="108" t="str">
        <f t="shared" si="54"/>
        <v/>
      </c>
      <c r="J90" s="108" t="str">
        <f t="shared" si="33"/>
        <v/>
      </c>
      <c r="K90" s="108" t="str">
        <f t="shared" si="34"/>
        <v/>
      </c>
      <c r="L90" s="108" t="str">
        <f t="shared" si="35"/>
        <v/>
      </c>
      <c r="M90" s="108" t="str">
        <f t="shared" si="44"/>
        <v/>
      </c>
      <c r="N90" s="114" t="str">
        <f t="shared" si="45"/>
        <v/>
      </c>
      <c r="O90" s="60">
        <v>0</v>
      </c>
      <c r="P90" s="116">
        <f t="shared" si="46"/>
        <v>0</v>
      </c>
      <c r="R90" s="117" t="str">
        <f t="shared" ref="R90:R153" si="56">IF(A90="","",+R89-V89)</f>
        <v/>
      </c>
      <c r="S90" s="118" t="str">
        <f t="shared" si="36"/>
        <v/>
      </c>
      <c r="T90" s="118" t="str">
        <f t="shared" si="37"/>
        <v/>
      </c>
      <c r="U90" s="119">
        <f t="shared" si="47"/>
        <v>0</v>
      </c>
      <c r="V90" s="120" t="str">
        <f>IF(A90="","",IF(A90&lt;=Periodos_Gracia,0,PPMT(Tasa_Anual/360*Días*(1+I.V.A.),Tabla!AM90,No._De_Pagos_con_periodo_de_gracia,-Monto_Crédito)))</f>
        <v/>
      </c>
      <c r="W90" s="110" t="str">
        <f>IF($U$258&lt;=0,V90,IF(SUM($U$18:U90)&lt;=0,V90,PMT($K$5/360*Días,A90,-R90)))</f>
        <v/>
      </c>
      <c r="X90" s="121" t="str">
        <f>IF($U$258&lt;=0,W90,IF(SUM($U$18:U90)&lt;=0,V90,PMT($K$5/360*Días,No._De_Pagos_con_periodo_de_gracia,-Monto_Crédito)-S90-T90))</f>
        <v/>
      </c>
      <c r="Y90" s="117" t="str">
        <f t="shared" si="48"/>
        <v/>
      </c>
      <c r="Z90" s="61" t="str">
        <f>+IF(A90="","",IF(No._de_Pagos-Tabla!A90+1&lt;=0,"",No._de_Pagos-Tabla!A90+1))</f>
        <v/>
      </c>
      <c r="AA90" s="122" t="str">
        <f t="shared" si="49"/>
        <v/>
      </c>
      <c r="AB90" s="124" t="str">
        <f t="shared" si="55"/>
        <v/>
      </c>
      <c r="AC90" s="124" t="str">
        <f t="shared" si="38"/>
        <v/>
      </c>
      <c r="AD90" s="124" t="str">
        <f t="shared" si="39"/>
        <v/>
      </c>
      <c r="AE90" s="119">
        <f t="shared" si="50"/>
        <v>0</v>
      </c>
      <c r="AF90" s="120" t="str">
        <f t="shared" si="40"/>
        <v/>
      </c>
      <c r="AG90" s="110" t="str">
        <f>IF($U$258&lt;=0,AF90,IF(SUM($U$18:U90)&lt;=0,AF90,PMT($K$5/360*Días,A90,-AA90)))</f>
        <v/>
      </c>
      <c r="AH90" s="121" t="str">
        <f>IF(A90&lt;=Periodos_Gracia,0,IF($U$258&lt;=0,AG90,IF(SUM($U$18:U90)&lt;=0,AF90,PMT($K$5/360*Días,No._de_Pagos,-Monto_Crédito)-AC90-AD90)))</f>
        <v/>
      </c>
      <c r="AI90" s="125" t="str">
        <f t="shared" si="51"/>
        <v/>
      </c>
      <c r="AK90" s="126" t="str">
        <f>IF(A90="","",IF(Periodos_Gracia&gt;0,Tabla!AN90,V90+S90))</f>
        <v/>
      </c>
      <c r="AL90" s="126" t="str">
        <f t="shared" si="41"/>
        <v/>
      </c>
      <c r="AM90" s="61" t="str">
        <f t="shared" si="52"/>
        <v/>
      </c>
      <c r="AN90" s="127" t="str">
        <f>IF(A90="","",IF(A90&lt;=Periodos_Gracia,Tabla!S90,PPMT(Tasa_Anual/360*Días*(1+I.V.A.),Tabla!AM90,No._De_Pagos_con_periodo_de_gracia,-Monto_Crédito)+S90))</f>
        <v/>
      </c>
      <c r="AO90" s="127" t="str">
        <f>IF(A90="","",IF(A90&lt;=Periodos_Gracia,Tabla!AC90,Monto_Crédito/(No._De_Pagos_con_periodo_de_gracia)+AC90))</f>
        <v/>
      </c>
      <c r="AP90" s="117"/>
    </row>
    <row r="91" spans="1:42" x14ac:dyDescent="0.2">
      <c r="A91" s="107" t="str">
        <f>IF(A90&lt;Parámetros!$E$6,A90+1,"")</f>
        <v/>
      </c>
      <c r="B91" s="108" t="str">
        <f t="shared" si="53"/>
        <v/>
      </c>
      <c r="C91" s="108" t="str">
        <f t="shared" si="29"/>
        <v/>
      </c>
      <c r="D91" s="108" t="str">
        <f t="shared" si="30"/>
        <v/>
      </c>
      <c r="E91" s="108" t="str">
        <f t="shared" si="31"/>
        <v/>
      </c>
      <c r="F91" s="108" t="str">
        <f t="shared" si="32"/>
        <v/>
      </c>
      <c r="G91" s="114" t="str">
        <f t="shared" si="42"/>
        <v/>
      </c>
      <c r="H91" s="115">
        <f t="shared" si="43"/>
        <v>0</v>
      </c>
      <c r="I91" s="108" t="str">
        <f t="shared" si="54"/>
        <v/>
      </c>
      <c r="J91" s="108" t="str">
        <f t="shared" si="33"/>
        <v/>
      </c>
      <c r="K91" s="108" t="str">
        <f t="shared" si="34"/>
        <v/>
      </c>
      <c r="L91" s="108" t="str">
        <f t="shared" si="35"/>
        <v/>
      </c>
      <c r="M91" s="108" t="str">
        <f t="shared" si="44"/>
        <v/>
      </c>
      <c r="N91" s="114" t="str">
        <f t="shared" si="45"/>
        <v/>
      </c>
      <c r="O91" s="60">
        <v>0</v>
      </c>
      <c r="P91" s="116">
        <f t="shared" si="46"/>
        <v>0</v>
      </c>
      <c r="R91" s="117" t="str">
        <f t="shared" si="56"/>
        <v/>
      </c>
      <c r="S91" s="118" t="str">
        <f t="shared" si="36"/>
        <v/>
      </c>
      <c r="T91" s="118" t="str">
        <f t="shared" si="37"/>
        <v/>
      </c>
      <c r="U91" s="119">
        <f t="shared" si="47"/>
        <v>0</v>
      </c>
      <c r="V91" s="120" t="str">
        <f>IF(A91="","",IF(A91&lt;=Periodos_Gracia,0,PPMT(Tasa_Anual/360*Días*(1+I.V.A.),Tabla!AM91,No._De_Pagos_con_periodo_de_gracia,-Monto_Crédito)))</f>
        <v/>
      </c>
      <c r="W91" s="110" t="str">
        <f>IF($U$258&lt;=0,V91,IF(SUM($U$18:U91)&lt;=0,V91,PMT($K$5/360*Días,A91,-R91)))</f>
        <v/>
      </c>
      <c r="X91" s="121" t="str">
        <f>IF($U$258&lt;=0,W91,IF(SUM($U$18:U91)&lt;=0,V91,PMT($K$5/360*Días,No._De_Pagos_con_periodo_de_gracia,-Monto_Crédito)-S91-T91))</f>
        <v/>
      </c>
      <c r="Y91" s="117" t="str">
        <f t="shared" si="48"/>
        <v/>
      </c>
      <c r="Z91" s="61" t="str">
        <f>+IF(A91="","",IF(No._de_Pagos-Tabla!A91+1&lt;=0,"",No._de_Pagos-Tabla!A91+1))</f>
        <v/>
      </c>
      <c r="AA91" s="122" t="str">
        <f t="shared" si="49"/>
        <v/>
      </c>
      <c r="AB91" s="124" t="str">
        <f t="shared" si="55"/>
        <v/>
      </c>
      <c r="AC91" s="124" t="str">
        <f t="shared" si="38"/>
        <v/>
      </c>
      <c r="AD91" s="124" t="str">
        <f t="shared" si="39"/>
        <v/>
      </c>
      <c r="AE91" s="119">
        <f t="shared" si="50"/>
        <v>0</v>
      </c>
      <c r="AF91" s="120" t="str">
        <f t="shared" si="40"/>
        <v/>
      </c>
      <c r="AG91" s="110" t="str">
        <f>IF($U$258&lt;=0,AF91,IF(SUM($U$18:U91)&lt;=0,AF91,PMT($K$5/360*Días,A91,-AA91)))</f>
        <v/>
      </c>
      <c r="AH91" s="121" t="str">
        <f>IF(A91&lt;=Periodos_Gracia,0,IF($U$258&lt;=0,AG91,IF(SUM($U$18:U91)&lt;=0,AF91,PMT($K$5/360*Días,No._de_Pagos,-Monto_Crédito)-AC91-AD91)))</f>
        <v/>
      </c>
      <c r="AI91" s="125" t="str">
        <f t="shared" si="51"/>
        <v/>
      </c>
      <c r="AK91" s="126" t="str">
        <f>IF(A91="","",IF(Periodos_Gracia&gt;0,Tabla!AN91,V91+S91))</f>
        <v/>
      </c>
      <c r="AL91" s="126" t="str">
        <f t="shared" si="41"/>
        <v/>
      </c>
      <c r="AM91" s="61" t="str">
        <f t="shared" si="52"/>
        <v/>
      </c>
      <c r="AN91" s="127" t="str">
        <f>IF(A91="","",IF(A91&lt;=Periodos_Gracia,Tabla!S91,PPMT(Tasa_Anual/360*Días*(1+I.V.A.),Tabla!AM91,No._De_Pagos_con_periodo_de_gracia,-Monto_Crédito)+S91))</f>
        <v/>
      </c>
      <c r="AO91" s="127" t="str">
        <f>IF(A91="","",IF(A91&lt;=Periodos_Gracia,Tabla!AC91,Monto_Crédito/(No._De_Pagos_con_periodo_de_gracia)+AC91))</f>
        <v/>
      </c>
      <c r="AP91" s="117"/>
    </row>
    <row r="92" spans="1:42" x14ac:dyDescent="0.2">
      <c r="A92" s="107" t="str">
        <f>IF(A91&lt;Parámetros!$E$6,A91+1,"")</f>
        <v/>
      </c>
      <c r="B92" s="108" t="str">
        <f t="shared" si="53"/>
        <v/>
      </c>
      <c r="C92" s="108" t="str">
        <f t="shared" si="29"/>
        <v/>
      </c>
      <c r="D92" s="108" t="str">
        <f t="shared" si="30"/>
        <v/>
      </c>
      <c r="E92" s="108" t="str">
        <f t="shared" si="31"/>
        <v/>
      </c>
      <c r="F92" s="108" t="str">
        <f t="shared" si="32"/>
        <v/>
      </c>
      <c r="G92" s="114" t="str">
        <f t="shared" si="42"/>
        <v/>
      </c>
      <c r="H92" s="115">
        <f t="shared" si="43"/>
        <v>0</v>
      </c>
      <c r="I92" s="108" t="str">
        <f t="shared" si="54"/>
        <v/>
      </c>
      <c r="J92" s="108" t="str">
        <f t="shared" si="33"/>
        <v/>
      </c>
      <c r="K92" s="108" t="str">
        <f t="shared" si="34"/>
        <v/>
      </c>
      <c r="L92" s="108" t="str">
        <f t="shared" si="35"/>
        <v/>
      </c>
      <c r="M92" s="108" t="str">
        <f t="shared" si="44"/>
        <v/>
      </c>
      <c r="N92" s="114" t="str">
        <f t="shared" si="45"/>
        <v/>
      </c>
      <c r="O92" s="60">
        <v>0</v>
      </c>
      <c r="P92" s="116">
        <f t="shared" si="46"/>
        <v>0</v>
      </c>
      <c r="R92" s="117" t="str">
        <f t="shared" si="56"/>
        <v/>
      </c>
      <c r="S92" s="118" t="str">
        <f t="shared" si="36"/>
        <v/>
      </c>
      <c r="T92" s="118" t="str">
        <f t="shared" si="37"/>
        <v/>
      </c>
      <c r="U92" s="119">
        <f t="shared" si="47"/>
        <v>0</v>
      </c>
      <c r="V92" s="120" t="str">
        <f>IF(A92="","",IF(A92&lt;=Periodos_Gracia,0,PPMT(Tasa_Anual/360*Días*(1+I.V.A.),Tabla!AM92,No._De_Pagos_con_periodo_de_gracia,-Monto_Crédito)))</f>
        <v/>
      </c>
      <c r="W92" s="110" t="str">
        <f>IF($U$258&lt;=0,V92,IF(SUM($U$18:U92)&lt;=0,V92,PMT($K$5/360*Días,A92,-R92)))</f>
        <v/>
      </c>
      <c r="X92" s="121" t="str">
        <f>IF($U$258&lt;=0,W92,IF(SUM($U$18:U92)&lt;=0,V92,PMT($K$5/360*Días,No._De_Pagos_con_periodo_de_gracia,-Monto_Crédito)-S92-T92))</f>
        <v/>
      </c>
      <c r="Y92" s="117" t="str">
        <f t="shared" si="48"/>
        <v/>
      </c>
      <c r="Z92" s="61" t="str">
        <f>+IF(A92="","",IF(No._de_Pagos-Tabla!A92+1&lt;=0,"",No._de_Pagos-Tabla!A92+1))</f>
        <v/>
      </c>
      <c r="AA92" s="122" t="str">
        <f t="shared" si="49"/>
        <v/>
      </c>
      <c r="AB92" s="124" t="str">
        <f t="shared" si="55"/>
        <v/>
      </c>
      <c r="AC92" s="124" t="str">
        <f t="shared" si="38"/>
        <v/>
      </c>
      <c r="AD92" s="124" t="str">
        <f t="shared" si="39"/>
        <v/>
      </c>
      <c r="AE92" s="119">
        <f t="shared" si="50"/>
        <v>0</v>
      </c>
      <c r="AF92" s="120" t="str">
        <f t="shared" si="40"/>
        <v/>
      </c>
      <c r="AG92" s="110" t="str">
        <f>IF($U$258&lt;=0,AF92,IF(SUM($U$18:U92)&lt;=0,AF92,PMT($K$5/360*Días,A92,-AA92)))</f>
        <v/>
      </c>
      <c r="AH92" s="121" t="str">
        <f>IF(A92&lt;=Periodos_Gracia,0,IF($U$258&lt;=0,AG92,IF(SUM($U$18:U92)&lt;=0,AF92,PMT($K$5/360*Días,No._de_Pagos,-Monto_Crédito)-AC92-AD92)))</f>
        <v/>
      </c>
      <c r="AI92" s="125" t="str">
        <f t="shared" si="51"/>
        <v/>
      </c>
      <c r="AK92" s="126" t="str">
        <f>IF(A92="","",IF(Periodos_Gracia&gt;0,Tabla!AN92,V92+S92))</f>
        <v/>
      </c>
      <c r="AL92" s="126" t="str">
        <f t="shared" si="41"/>
        <v/>
      </c>
      <c r="AM92" s="61" t="str">
        <f t="shared" si="52"/>
        <v/>
      </c>
      <c r="AN92" s="127" t="str">
        <f>IF(A92="","",IF(A92&lt;=Periodos_Gracia,Tabla!S92,PPMT(Tasa_Anual/360*Días*(1+I.V.A.),Tabla!AM92,No._De_Pagos_con_periodo_de_gracia,-Monto_Crédito)+S92))</f>
        <v/>
      </c>
      <c r="AO92" s="127" t="str">
        <f>IF(A92="","",IF(A92&lt;=Periodos_Gracia,Tabla!AC92,Monto_Crédito/(No._De_Pagos_con_periodo_de_gracia)+AC92))</f>
        <v/>
      </c>
      <c r="AP92" s="117"/>
    </row>
    <row r="93" spans="1:42" x14ac:dyDescent="0.2">
      <c r="A93" s="107" t="str">
        <f>IF(A92&lt;Parámetros!$E$6,A92+1,"")</f>
        <v/>
      </c>
      <c r="B93" s="108" t="str">
        <f t="shared" si="53"/>
        <v/>
      </c>
      <c r="C93" s="108" t="str">
        <f t="shared" si="29"/>
        <v/>
      </c>
      <c r="D93" s="108" t="str">
        <f t="shared" si="30"/>
        <v/>
      </c>
      <c r="E93" s="108" t="str">
        <f t="shared" si="31"/>
        <v/>
      </c>
      <c r="F93" s="108" t="str">
        <f t="shared" si="32"/>
        <v/>
      </c>
      <c r="G93" s="114" t="str">
        <f t="shared" si="42"/>
        <v/>
      </c>
      <c r="H93" s="115">
        <f t="shared" si="43"/>
        <v>0</v>
      </c>
      <c r="I93" s="108" t="str">
        <f t="shared" si="54"/>
        <v/>
      </c>
      <c r="J93" s="108" t="str">
        <f t="shared" si="33"/>
        <v/>
      </c>
      <c r="K93" s="108" t="str">
        <f t="shared" si="34"/>
        <v/>
      </c>
      <c r="L93" s="108" t="str">
        <f t="shared" si="35"/>
        <v/>
      </c>
      <c r="M93" s="108" t="str">
        <f t="shared" si="44"/>
        <v/>
      </c>
      <c r="N93" s="114" t="str">
        <f t="shared" si="45"/>
        <v/>
      </c>
      <c r="O93" s="60">
        <v>0</v>
      </c>
      <c r="P93" s="116">
        <f t="shared" si="46"/>
        <v>0</v>
      </c>
      <c r="R93" s="117" t="str">
        <f t="shared" si="56"/>
        <v/>
      </c>
      <c r="S93" s="118" t="str">
        <f t="shared" si="36"/>
        <v/>
      </c>
      <c r="T93" s="118" t="str">
        <f t="shared" si="37"/>
        <v/>
      </c>
      <c r="U93" s="119">
        <f t="shared" si="47"/>
        <v>0</v>
      </c>
      <c r="V93" s="120" t="str">
        <f>IF(A93="","",IF(A93&lt;=Periodos_Gracia,0,PPMT(Tasa_Anual/360*Días*(1+I.V.A.),Tabla!AM93,No._De_Pagos_con_periodo_de_gracia,-Monto_Crédito)))</f>
        <v/>
      </c>
      <c r="W93" s="110" t="str">
        <f>IF($U$258&lt;=0,V93,IF(SUM($U$18:U93)&lt;=0,V93,PMT($K$5/360*Días,A93,-R93)))</f>
        <v/>
      </c>
      <c r="X93" s="121" t="str">
        <f>IF($U$258&lt;=0,W93,IF(SUM($U$18:U93)&lt;=0,V93,PMT($K$5/360*Días,No._De_Pagos_con_periodo_de_gracia,-Monto_Crédito)-S93-T93))</f>
        <v/>
      </c>
      <c r="Y93" s="117" t="str">
        <f t="shared" si="48"/>
        <v/>
      </c>
      <c r="Z93" s="61" t="str">
        <f>+IF(A93="","",IF(No._de_Pagos-Tabla!A93+1&lt;=0,"",No._de_Pagos-Tabla!A93+1))</f>
        <v/>
      </c>
      <c r="AA93" s="122" t="str">
        <f t="shared" si="49"/>
        <v/>
      </c>
      <c r="AB93" s="124" t="str">
        <f t="shared" si="55"/>
        <v/>
      </c>
      <c r="AC93" s="124" t="str">
        <f t="shared" si="38"/>
        <v/>
      </c>
      <c r="AD93" s="124" t="str">
        <f t="shared" si="39"/>
        <v/>
      </c>
      <c r="AE93" s="119">
        <f t="shared" si="50"/>
        <v>0</v>
      </c>
      <c r="AF93" s="120" t="str">
        <f t="shared" si="40"/>
        <v/>
      </c>
      <c r="AG93" s="110" t="str">
        <f>IF($U$258&lt;=0,AF93,IF(SUM($U$18:U93)&lt;=0,AF93,PMT($K$5/360*Días,A93,-AA93)))</f>
        <v/>
      </c>
      <c r="AH93" s="121" t="str">
        <f>IF(A93&lt;=Periodos_Gracia,0,IF($U$258&lt;=0,AG93,IF(SUM($U$18:U93)&lt;=0,AF93,PMT($K$5/360*Días,No._de_Pagos,-Monto_Crédito)-AC93-AD93)))</f>
        <v/>
      </c>
      <c r="AI93" s="125" t="str">
        <f t="shared" si="51"/>
        <v/>
      </c>
      <c r="AK93" s="126" t="str">
        <f>IF(A93="","",IF(Periodos_Gracia&gt;0,Tabla!AN93,V93+S93))</f>
        <v/>
      </c>
      <c r="AL93" s="126" t="str">
        <f t="shared" si="41"/>
        <v/>
      </c>
      <c r="AM93" s="61" t="str">
        <f t="shared" si="52"/>
        <v/>
      </c>
      <c r="AN93" s="127" t="str">
        <f>IF(A93="","",IF(A93&lt;=Periodos_Gracia,Tabla!S93,PPMT(Tasa_Anual/360*Días*(1+I.V.A.),Tabla!AM93,No._De_Pagos_con_periodo_de_gracia,-Monto_Crédito)+S93))</f>
        <v/>
      </c>
      <c r="AO93" s="127" t="str">
        <f>IF(A93="","",IF(A93&lt;=Periodos_Gracia,Tabla!AC93,Monto_Crédito/(No._De_Pagos_con_periodo_de_gracia)+AC93))</f>
        <v/>
      </c>
      <c r="AP93" s="117"/>
    </row>
    <row r="94" spans="1:42" x14ac:dyDescent="0.2">
      <c r="A94" s="107" t="str">
        <f>IF(A93&lt;Parámetros!$E$6,A93+1,"")</f>
        <v/>
      </c>
      <c r="B94" s="108" t="str">
        <f t="shared" si="53"/>
        <v/>
      </c>
      <c r="C94" s="108" t="str">
        <f t="shared" si="29"/>
        <v/>
      </c>
      <c r="D94" s="108" t="str">
        <f t="shared" si="30"/>
        <v/>
      </c>
      <c r="E94" s="108" t="str">
        <f t="shared" si="31"/>
        <v/>
      </c>
      <c r="F94" s="108" t="str">
        <f t="shared" si="32"/>
        <v/>
      </c>
      <c r="G94" s="114" t="str">
        <f t="shared" si="42"/>
        <v/>
      </c>
      <c r="H94" s="115">
        <f t="shared" si="43"/>
        <v>0</v>
      </c>
      <c r="I94" s="108" t="str">
        <f t="shared" si="54"/>
        <v/>
      </c>
      <c r="J94" s="108" t="str">
        <f t="shared" si="33"/>
        <v/>
      </c>
      <c r="K94" s="108" t="str">
        <f t="shared" si="34"/>
        <v/>
      </c>
      <c r="L94" s="108" t="str">
        <f t="shared" si="35"/>
        <v/>
      </c>
      <c r="M94" s="108" t="str">
        <f t="shared" si="44"/>
        <v/>
      </c>
      <c r="N94" s="114" t="str">
        <f t="shared" si="45"/>
        <v/>
      </c>
      <c r="O94" s="60">
        <v>0</v>
      </c>
      <c r="P94" s="116">
        <f t="shared" si="46"/>
        <v>0</v>
      </c>
      <c r="R94" s="117" t="str">
        <f t="shared" si="56"/>
        <v/>
      </c>
      <c r="S94" s="118" t="str">
        <f t="shared" si="36"/>
        <v/>
      </c>
      <c r="T94" s="118" t="str">
        <f t="shared" si="37"/>
        <v/>
      </c>
      <c r="U94" s="119">
        <f t="shared" si="47"/>
        <v>0</v>
      </c>
      <c r="V94" s="120" t="str">
        <f>IF(A94="","",IF(A94&lt;=Periodos_Gracia,0,PPMT(Tasa_Anual/360*Días*(1+I.V.A.),Tabla!AM94,No._De_Pagos_con_periodo_de_gracia,-Monto_Crédito)))</f>
        <v/>
      </c>
      <c r="W94" s="110" t="str">
        <f>IF($U$258&lt;=0,V94,IF(SUM($U$18:U94)&lt;=0,V94,PMT($K$5/360*Días,A94,-R94)))</f>
        <v/>
      </c>
      <c r="X94" s="121" t="str">
        <f>IF($U$258&lt;=0,W94,IF(SUM($U$18:U94)&lt;=0,V94,PMT($K$5/360*Días,No._De_Pagos_con_periodo_de_gracia,-Monto_Crédito)-S94-T94))</f>
        <v/>
      </c>
      <c r="Y94" s="117" t="str">
        <f t="shared" si="48"/>
        <v/>
      </c>
      <c r="Z94" s="61" t="str">
        <f>+IF(A94="","",IF(No._de_Pagos-Tabla!A94+1&lt;=0,"",No._de_Pagos-Tabla!A94+1))</f>
        <v/>
      </c>
      <c r="AA94" s="122" t="str">
        <f t="shared" si="49"/>
        <v/>
      </c>
      <c r="AB94" s="124" t="str">
        <f t="shared" si="55"/>
        <v/>
      </c>
      <c r="AC94" s="124" t="str">
        <f t="shared" si="38"/>
        <v/>
      </c>
      <c r="AD94" s="124" t="str">
        <f t="shared" si="39"/>
        <v/>
      </c>
      <c r="AE94" s="119">
        <f t="shared" si="50"/>
        <v>0</v>
      </c>
      <c r="AF94" s="120" t="str">
        <f t="shared" si="40"/>
        <v/>
      </c>
      <c r="AG94" s="110" t="str">
        <f>IF($U$258&lt;=0,AF94,IF(SUM($U$18:U94)&lt;=0,AF94,PMT($K$5/360*Días,A94,-AA94)))</f>
        <v/>
      </c>
      <c r="AH94" s="121" t="str">
        <f>IF(A94&lt;=Periodos_Gracia,0,IF($U$258&lt;=0,AG94,IF(SUM($U$18:U94)&lt;=0,AF94,PMT($K$5/360*Días,No._de_Pagos,-Monto_Crédito)-AC94-AD94)))</f>
        <v/>
      </c>
      <c r="AI94" s="125" t="str">
        <f t="shared" si="51"/>
        <v/>
      </c>
      <c r="AK94" s="126" t="str">
        <f>IF(A94="","",IF(Periodos_Gracia&gt;0,Tabla!AN94,V94+S94))</f>
        <v/>
      </c>
      <c r="AL94" s="126" t="str">
        <f t="shared" si="41"/>
        <v/>
      </c>
      <c r="AM94" s="61" t="str">
        <f t="shared" si="52"/>
        <v/>
      </c>
      <c r="AN94" s="127" t="str">
        <f>IF(A94="","",IF(A94&lt;=Periodos_Gracia,Tabla!S94,PPMT(Tasa_Anual/360*Días*(1+I.V.A.),Tabla!AM94,No._De_Pagos_con_periodo_de_gracia,-Monto_Crédito)+S94))</f>
        <v/>
      </c>
      <c r="AO94" s="127" t="str">
        <f>IF(A94="","",IF(A94&lt;=Periodos_Gracia,Tabla!AC94,Monto_Crédito/(No._De_Pagos_con_periodo_de_gracia)+AC94))</f>
        <v/>
      </c>
      <c r="AP94" s="117"/>
    </row>
    <row r="95" spans="1:42" x14ac:dyDescent="0.2">
      <c r="A95" s="107" t="str">
        <f>IF(A94&lt;Parámetros!$E$6,A94+1,"")</f>
        <v/>
      </c>
      <c r="B95" s="108" t="str">
        <f t="shared" si="53"/>
        <v/>
      </c>
      <c r="C95" s="108" t="str">
        <f t="shared" si="29"/>
        <v/>
      </c>
      <c r="D95" s="108" t="str">
        <f t="shared" si="30"/>
        <v/>
      </c>
      <c r="E95" s="108" t="str">
        <f t="shared" si="31"/>
        <v/>
      </c>
      <c r="F95" s="108" t="str">
        <f t="shared" si="32"/>
        <v/>
      </c>
      <c r="G95" s="114" t="str">
        <f t="shared" si="42"/>
        <v/>
      </c>
      <c r="H95" s="115">
        <f t="shared" si="43"/>
        <v>0</v>
      </c>
      <c r="I95" s="108" t="str">
        <f t="shared" si="54"/>
        <v/>
      </c>
      <c r="J95" s="108" t="str">
        <f t="shared" si="33"/>
        <v/>
      </c>
      <c r="K95" s="108" t="str">
        <f t="shared" si="34"/>
        <v/>
      </c>
      <c r="L95" s="108" t="str">
        <f t="shared" si="35"/>
        <v/>
      </c>
      <c r="M95" s="108" t="str">
        <f t="shared" si="44"/>
        <v/>
      </c>
      <c r="N95" s="114" t="str">
        <f t="shared" si="45"/>
        <v/>
      </c>
      <c r="O95" s="60">
        <v>0</v>
      </c>
      <c r="P95" s="116">
        <f t="shared" si="46"/>
        <v>0</v>
      </c>
      <c r="R95" s="117" t="str">
        <f t="shared" si="56"/>
        <v/>
      </c>
      <c r="S95" s="118" t="str">
        <f t="shared" si="36"/>
        <v/>
      </c>
      <c r="T95" s="118" t="str">
        <f t="shared" si="37"/>
        <v/>
      </c>
      <c r="U95" s="119">
        <f t="shared" si="47"/>
        <v>0</v>
      </c>
      <c r="V95" s="120" t="str">
        <f>IF(A95="","",IF(A95&lt;=Periodos_Gracia,0,PPMT(Tasa_Anual/360*Días*(1+I.V.A.),Tabla!AM95,No._De_Pagos_con_periodo_de_gracia,-Monto_Crédito)))</f>
        <v/>
      </c>
      <c r="W95" s="110" t="str">
        <f>IF($U$258&lt;=0,V95,IF(SUM($U$18:U95)&lt;=0,V95,PMT($K$5/360*Días,A95,-R95)))</f>
        <v/>
      </c>
      <c r="X95" s="121" t="str">
        <f>IF($U$258&lt;=0,W95,IF(SUM($U$18:U95)&lt;=0,V95,PMT($K$5/360*Días,No._De_Pagos_con_periodo_de_gracia,-Monto_Crédito)-S95-T95))</f>
        <v/>
      </c>
      <c r="Y95" s="117" t="str">
        <f t="shared" si="48"/>
        <v/>
      </c>
      <c r="Z95" s="61" t="str">
        <f>+IF(A95="","",IF(No._de_Pagos-Tabla!A95+1&lt;=0,"",No._de_Pagos-Tabla!A95+1))</f>
        <v/>
      </c>
      <c r="AA95" s="122" t="str">
        <f t="shared" si="49"/>
        <v/>
      </c>
      <c r="AB95" s="124" t="str">
        <f t="shared" si="55"/>
        <v/>
      </c>
      <c r="AC95" s="124" t="str">
        <f t="shared" si="38"/>
        <v/>
      </c>
      <c r="AD95" s="124" t="str">
        <f t="shared" si="39"/>
        <v/>
      </c>
      <c r="AE95" s="119">
        <f t="shared" si="50"/>
        <v>0</v>
      </c>
      <c r="AF95" s="120" t="str">
        <f t="shared" si="40"/>
        <v/>
      </c>
      <c r="AG95" s="110" t="str">
        <f>IF($U$258&lt;=0,AF95,IF(SUM($U$18:U95)&lt;=0,AF95,PMT($K$5/360*Días,A95,-AA95)))</f>
        <v/>
      </c>
      <c r="AH95" s="121" t="str">
        <f>IF(A95&lt;=Periodos_Gracia,0,IF($U$258&lt;=0,AG95,IF(SUM($U$18:U95)&lt;=0,AF95,PMT($K$5/360*Días,No._de_Pagos,-Monto_Crédito)-AC95-AD95)))</f>
        <v/>
      </c>
      <c r="AI95" s="125" t="str">
        <f t="shared" si="51"/>
        <v/>
      </c>
      <c r="AK95" s="126" t="str">
        <f>IF(A95="","",IF(Periodos_Gracia&gt;0,Tabla!AN95,V95+S95))</f>
        <v/>
      </c>
      <c r="AL95" s="126" t="str">
        <f t="shared" si="41"/>
        <v/>
      </c>
      <c r="AM95" s="61" t="str">
        <f t="shared" si="52"/>
        <v/>
      </c>
      <c r="AN95" s="127" t="str">
        <f>IF(A95="","",IF(A95&lt;=Periodos_Gracia,Tabla!S95,PPMT(Tasa_Anual/360*Días*(1+I.V.A.),Tabla!AM95,No._De_Pagos_con_periodo_de_gracia,-Monto_Crédito)+S95))</f>
        <v/>
      </c>
      <c r="AO95" s="127" t="str">
        <f>IF(A95="","",IF(A95&lt;=Periodos_Gracia,Tabla!AC95,Monto_Crédito/(No._De_Pagos_con_periodo_de_gracia)+AC95))</f>
        <v/>
      </c>
      <c r="AP95" s="117"/>
    </row>
    <row r="96" spans="1:42" x14ac:dyDescent="0.2">
      <c r="A96" s="107" t="str">
        <f>IF(A95&lt;Parámetros!$E$6,A95+1,"")</f>
        <v/>
      </c>
      <c r="B96" s="108" t="str">
        <f t="shared" si="53"/>
        <v/>
      </c>
      <c r="C96" s="108" t="str">
        <f t="shared" si="29"/>
        <v/>
      </c>
      <c r="D96" s="108" t="str">
        <f t="shared" si="30"/>
        <v/>
      </c>
      <c r="E96" s="108" t="str">
        <f t="shared" si="31"/>
        <v/>
      </c>
      <c r="F96" s="108" t="str">
        <f t="shared" si="32"/>
        <v/>
      </c>
      <c r="G96" s="114" t="str">
        <f t="shared" si="42"/>
        <v/>
      </c>
      <c r="H96" s="115">
        <f t="shared" si="43"/>
        <v>0</v>
      </c>
      <c r="I96" s="108" t="str">
        <f t="shared" si="54"/>
        <v/>
      </c>
      <c r="J96" s="108" t="str">
        <f t="shared" si="33"/>
        <v/>
      </c>
      <c r="K96" s="108" t="str">
        <f t="shared" si="34"/>
        <v/>
      </c>
      <c r="L96" s="108" t="str">
        <f t="shared" si="35"/>
        <v/>
      </c>
      <c r="M96" s="108" t="str">
        <f t="shared" si="44"/>
        <v/>
      </c>
      <c r="N96" s="114" t="str">
        <f t="shared" si="45"/>
        <v/>
      </c>
      <c r="O96" s="60">
        <v>0</v>
      </c>
      <c r="P96" s="116">
        <f t="shared" si="46"/>
        <v>0</v>
      </c>
      <c r="R96" s="117" t="str">
        <f t="shared" si="56"/>
        <v/>
      </c>
      <c r="S96" s="118" t="str">
        <f t="shared" si="36"/>
        <v/>
      </c>
      <c r="T96" s="118" t="str">
        <f t="shared" si="37"/>
        <v/>
      </c>
      <c r="U96" s="119">
        <f t="shared" si="47"/>
        <v>0</v>
      </c>
      <c r="V96" s="120" t="str">
        <f>IF(A96="","",IF(A96&lt;=Periodos_Gracia,0,PPMT(Tasa_Anual/360*Días*(1+I.V.A.),Tabla!AM96,No._De_Pagos_con_periodo_de_gracia,-Monto_Crédito)))</f>
        <v/>
      </c>
      <c r="W96" s="110" t="str">
        <f>IF($U$258&lt;=0,V96,IF(SUM($U$18:U96)&lt;=0,V96,PMT($K$5/360*Días,A96,-R96)))</f>
        <v/>
      </c>
      <c r="X96" s="121" t="str">
        <f>IF($U$258&lt;=0,W96,IF(SUM($U$18:U96)&lt;=0,V96,PMT($K$5/360*Días,No._De_Pagos_con_periodo_de_gracia,-Monto_Crédito)-S96-T96))</f>
        <v/>
      </c>
      <c r="Y96" s="117" t="str">
        <f t="shared" si="48"/>
        <v/>
      </c>
      <c r="Z96" s="61" t="str">
        <f>+IF(A96="","",IF(No._de_Pagos-Tabla!A96+1&lt;=0,"",No._de_Pagos-Tabla!A96+1))</f>
        <v/>
      </c>
      <c r="AA96" s="122" t="str">
        <f t="shared" si="49"/>
        <v/>
      </c>
      <c r="AB96" s="124" t="str">
        <f t="shared" si="55"/>
        <v/>
      </c>
      <c r="AC96" s="124" t="str">
        <f t="shared" si="38"/>
        <v/>
      </c>
      <c r="AD96" s="124" t="str">
        <f t="shared" si="39"/>
        <v/>
      </c>
      <c r="AE96" s="119">
        <f t="shared" si="50"/>
        <v>0</v>
      </c>
      <c r="AF96" s="120" t="str">
        <f t="shared" si="40"/>
        <v/>
      </c>
      <c r="AG96" s="110" t="str">
        <f>IF($U$258&lt;=0,AF96,IF(SUM($U$18:U96)&lt;=0,AF96,PMT($K$5/360*Días,A96,-AA96)))</f>
        <v/>
      </c>
      <c r="AH96" s="121" t="str">
        <f>IF(A96&lt;=Periodos_Gracia,0,IF($U$258&lt;=0,AG96,IF(SUM($U$18:U96)&lt;=0,AF96,PMT($K$5/360*Días,No._de_Pagos,-Monto_Crédito)-AC96-AD96)))</f>
        <v/>
      </c>
      <c r="AI96" s="125" t="str">
        <f t="shared" si="51"/>
        <v/>
      </c>
      <c r="AK96" s="126" t="str">
        <f>IF(A96="","",IF(Periodos_Gracia&gt;0,Tabla!AN96,V96+S96))</f>
        <v/>
      </c>
      <c r="AL96" s="126" t="str">
        <f t="shared" si="41"/>
        <v/>
      </c>
      <c r="AM96" s="61" t="str">
        <f t="shared" si="52"/>
        <v/>
      </c>
      <c r="AN96" s="127" t="str">
        <f>IF(A96="","",IF(A96&lt;=Periodos_Gracia,Tabla!S96,PPMT(Tasa_Anual/360*Días*(1+I.V.A.),Tabla!AM96,No._De_Pagos_con_periodo_de_gracia,-Monto_Crédito)+S96))</f>
        <v/>
      </c>
      <c r="AO96" s="127" t="str">
        <f>IF(A96="","",IF(A96&lt;=Periodos_Gracia,Tabla!AC96,Monto_Crédito/(No._De_Pagos_con_periodo_de_gracia)+AC96))</f>
        <v/>
      </c>
      <c r="AP96" s="117"/>
    </row>
    <row r="97" spans="1:42" x14ac:dyDescent="0.2">
      <c r="A97" s="107" t="str">
        <f>IF(A96&lt;Parámetros!$E$6,A96+1,"")</f>
        <v/>
      </c>
      <c r="B97" s="108" t="str">
        <f t="shared" si="53"/>
        <v/>
      </c>
      <c r="C97" s="108" t="str">
        <f t="shared" si="29"/>
        <v/>
      </c>
      <c r="D97" s="108" t="str">
        <f t="shared" si="30"/>
        <v/>
      </c>
      <c r="E97" s="108" t="str">
        <f t="shared" si="31"/>
        <v/>
      </c>
      <c r="F97" s="108" t="str">
        <f t="shared" si="32"/>
        <v/>
      </c>
      <c r="G97" s="114" t="str">
        <f t="shared" si="42"/>
        <v/>
      </c>
      <c r="H97" s="115">
        <f t="shared" si="43"/>
        <v>0</v>
      </c>
      <c r="I97" s="108" t="str">
        <f t="shared" si="54"/>
        <v/>
      </c>
      <c r="J97" s="108" t="str">
        <f t="shared" si="33"/>
        <v/>
      </c>
      <c r="K97" s="108" t="str">
        <f t="shared" si="34"/>
        <v/>
      </c>
      <c r="L97" s="108" t="str">
        <f t="shared" si="35"/>
        <v/>
      </c>
      <c r="M97" s="108" t="str">
        <f t="shared" si="44"/>
        <v/>
      </c>
      <c r="N97" s="114" t="str">
        <f t="shared" si="45"/>
        <v/>
      </c>
      <c r="O97" s="60">
        <v>0</v>
      </c>
      <c r="P97" s="116">
        <f t="shared" si="46"/>
        <v>0</v>
      </c>
      <c r="R97" s="117" t="str">
        <f t="shared" si="56"/>
        <v/>
      </c>
      <c r="S97" s="118" t="str">
        <f t="shared" si="36"/>
        <v/>
      </c>
      <c r="T97" s="118" t="str">
        <f t="shared" si="37"/>
        <v/>
      </c>
      <c r="U97" s="119">
        <f t="shared" si="47"/>
        <v>0</v>
      </c>
      <c r="V97" s="120" t="str">
        <f>IF(A97="","",IF(A97&lt;=Periodos_Gracia,0,PPMT(Tasa_Anual/360*Días*(1+I.V.A.),Tabla!AM97,No._De_Pagos_con_periodo_de_gracia,-Monto_Crédito)))</f>
        <v/>
      </c>
      <c r="W97" s="110" t="str">
        <f>IF($U$258&lt;=0,V97,IF(SUM($U$18:U97)&lt;=0,V97,PMT($K$5/360*Días,A97,-R97)))</f>
        <v/>
      </c>
      <c r="X97" s="121" t="str">
        <f>IF($U$258&lt;=0,W97,IF(SUM($U$18:U97)&lt;=0,V97,PMT($K$5/360*Días,No._De_Pagos_con_periodo_de_gracia,-Monto_Crédito)-S97-T97))</f>
        <v/>
      </c>
      <c r="Y97" s="117" t="str">
        <f t="shared" si="48"/>
        <v/>
      </c>
      <c r="Z97" s="61" t="str">
        <f>+IF(A97="","",IF(No._de_Pagos-Tabla!A97+1&lt;=0,"",No._de_Pagos-Tabla!A97+1))</f>
        <v/>
      </c>
      <c r="AA97" s="122" t="str">
        <f t="shared" si="49"/>
        <v/>
      </c>
      <c r="AB97" s="124" t="str">
        <f t="shared" si="55"/>
        <v/>
      </c>
      <c r="AC97" s="124" t="str">
        <f t="shared" si="38"/>
        <v/>
      </c>
      <c r="AD97" s="124" t="str">
        <f t="shared" si="39"/>
        <v/>
      </c>
      <c r="AE97" s="119">
        <f t="shared" si="50"/>
        <v>0</v>
      </c>
      <c r="AF97" s="120" t="str">
        <f t="shared" si="40"/>
        <v/>
      </c>
      <c r="AG97" s="110" t="str">
        <f>IF($U$258&lt;=0,AF97,IF(SUM($U$18:U97)&lt;=0,AF97,PMT($K$5/360*Días,A97,-AA97)))</f>
        <v/>
      </c>
      <c r="AH97" s="121" t="str">
        <f>IF(A97&lt;=Periodos_Gracia,0,IF($U$258&lt;=0,AG97,IF(SUM($U$18:U97)&lt;=0,AF97,PMT($K$5/360*Días,No._de_Pagos,-Monto_Crédito)-AC97-AD97)))</f>
        <v/>
      </c>
      <c r="AI97" s="125" t="str">
        <f t="shared" si="51"/>
        <v/>
      </c>
      <c r="AK97" s="126" t="str">
        <f>IF(A97="","",IF(Periodos_Gracia&gt;0,Tabla!AN97,V97+S97))</f>
        <v/>
      </c>
      <c r="AL97" s="126" t="str">
        <f t="shared" si="41"/>
        <v/>
      </c>
      <c r="AM97" s="61" t="str">
        <f t="shared" si="52"/>
        <v/>
      </c>
      <c r="AN97" s="127" t="str">
        <f>IF(A97="","",IF(A97&lt;=Periodos_Gracia,Tabla!S97,PPMT(Tasa_Anual/360*Días*(1+I.V.A.),Tabla!AM97,No._De_Pagos_con_periodo_de_gracia,-Monto_Crédito)+S97))</f>
        <v/>
      </c>
      <c r="AO97" s="127" t="str">
        <f>IF(A97="","",IF(A97&lt;=Periodos_Gracia,Tabla!AC97,Monto_Crédito/(No._De_Pagos_con_periodo_de_gracia)+AC97))</f>
        <v/>
      </c>
      <c r="AP97" s="117"/>
    </row>
    <row r="98" spans="1:42" x14ac:dyDescent="0.2">
      <c r="A98" s="107" t="str">
        <f>IF(A97&lt;Parámetros!$E$6,A97+1,"")</f>
        <v/>
      </c>
      <c r="B98" s="108" t="str">
        <f t="shared" si="53"/>
        <v/>
      </c>
      <c r="C98" s="108" t="str">
        <f t="shared" si="29"/>
        <v/>
      </c>
      <c r="D98" s="108" t="str">
        <f t="shared" si="30"/>
        <v/>
      </c>
      <c r="E98" s="108" t="str">
        <f t="shared" si="31"/>
        <v/>
      </c>
      <c r="F98" s="108" t="str">
        <f t="shared" si="32"/>
        <v/>
      </c>
      <c r="G98" s="114" t="str">
        <f t="shared" si="42"/>
        <v/>
      </c>
      <c r="H98" s="115">
        <f t="shared" si="43"/>
        <v>0</v>
      </c>
      <c r="I98" s="108" t="str">
        <f t="shared" si="54"/>
        <v/>
      </c>
      <c r="J98" s="108" t="str">
        <f t="shared" si="33"/>
        <v/>
      </c>
      <c r="K98" s="108" t="str">
        <f t="shared" si="34"/>
        <v/>
      </c>
      <c r="L98" s="108" t="str">
        <f t="shared" si="35"/>
        <v/>
      </c>
      <c r="M98" s="108" t="str">
        <f t="shared" si="44"/>
        <v/>
      </c>
      <c r="N98" s="114" t="str">
        <f t="shared" si="45"/>
        <v/>
      </c>
      <c r="O98" s="60">
        <v>0</v>
      </c>
      <c r="P98" s="116">
        <f t="shared" si="46"/>
        <v>0</v>
      </c>
      <c r="R98" s="117" t="str">
        <f t="shared" si="56"/>
        <v/>
      </c>
      <c r="S98" s="118" t="str">
        <f t="shared" si="36"/>
        <v/>
      </c>
      <c r="T98" s="118" t="str">
        <f t="shared" si="37"/>
        <v/>
      </c>
      <c r="U98" s="119">
        <f t="shared" si="47"/>
        <v>0</v>
      </c>
      <c r="V98" s="120" t="str">
        <f>IF(A98="","",IF(A98&lt;=Periodos_Gracia,0,PPMT(Tasa_Anual/360*Días*(1+I.V.A.),Tabla!AM98,No._De_Pagos_con_periodo_de_gracia,-Monto_Crédito)))</f>
        <v/>
      </c>
      <c r="W98" s="110" t="str">
        <f>IF($U$258&lt;=0,V98,IF(SUM($U$18:U98)&lt;=0,V98,PMT($K$5/360*Días,A98,-R98)))</f>
        <v/>
      </c>
      <c r="X98" s="121" t="str">
        <f>IF($U$258&lt;=0,W98,IF(SUM($U$18:U98)&lt;=0,V98,PMT($K$5/360*Días,No._De_Pagos_con_periodo_de_gracia,-Monto_Crédito)-S98-T98))</f>
        <v/>
      </c>
      <c r="Y98" s="117" t="str">
        <f t="shared" si="48"/>
        <v/>
      </c>
      <c r="Z98" s="61" t="str">
        <f>+IF(A98="","",IF(No._de_Pagos-Tabla!A98+1&lt;=0,"",No._de_Pagos-Tabla!A98+1))</f>
        <v/>
      </c>
      <c r="AA98" s="122" t="str">
        <f t="shared" si="49"/>
        <v/>
      </c>
      <c r="AB98" s="124" t="str">
        <f t="shared" si="55"/>
        <v/>
      </c>
      <c r="AC98" s="124" t="str">
        <f t="shared" si="38"/>
        <v/>
      </c>
      <c r="AD98" s="124" t="str">
        <f t="shared" si="39"/>
        <v/>
      </c>
      <c r="AE98" s="119">
        <f t="shared" si="50"/>
        <v>0</v>
      </c>
      <c r="AF98" s="120" t="str">
        <f t="shared" si="40"/>
        <v/>
      </c>
      <c r="AG98" s="110" t="str">
        <f>IF($U$258&lt;=0,AF98,IF(SUM($U$18:U98)&lt;=0,AF98,PMT($K$5/360*Días,A98,-AA98)))</f>
        <v/>
      </c>
      <c r="AH98" s="121" t="str">
        <f>IF(A98&lt;=Periodos_Gracia,0,IF($U$258&lt;=0,AG98,IF(SUM($U$18:U98)&lt;=0,AF98,PMT($K$5/360*Días,No._de_Pagos,-Monto_Crédito)-AC98-AD98)))</f>
        <v/>
      </c>
      <c r="AI98" s="125" t="str">
        <f t="shared" si="51"/>
        <v/>
      </c>
      <c r="AK98" s="126" t="str">
        <f>IF(A98="","",IF(Periodos_Gracia&gt;0,Tabla!AN98,V98+S98))</f>
        <v/>
      </c>
      <c r="AL98" s="126" t="str">
        <f t="shared" si="41"/>
        <v/>
      </c>
      <c r="AM98" s="61" t="str">
        <f t="shared" si="52"/>
        <v/>
      </c>
      <c r="AN98" s="127" t="str">
        <f>IF(A98="","",IF(A98&lt;=Periodos_Gracia,Tabla!S98,PPMT(Tasa_Anual/360*Días*(1+I.V.A.),Tabla!AM98,No._De_Pagos_con_periodo_de_gracia,-Monto_Crédito)+S98))</f>
        <v/>
      </c>
      <c r="AO98" s="127" t="str">
        <f>IF(A98="","",IF(A98&lt;=Periodos_Gracia,Tabla!AC98,Monto_Crédito/(No._De_Pagos_con_periodo_de_gracia)+AC98))</f>
        <v/>
      </c>
      <c r="AP98" s="117"/>
    </row>
    <row r="99" spans="1:42" x14ac:dyDescent="0.2">
      <c r="A99" s="107" t="str">
        <f>IF(A98&lt;Parámetros!$E$6,A98+1,"")</f>
        <v/>
      </c>
      <c r="B99" s="108" t="str">
        <f t="shared" si="53"/>
        <v/>
      </c>
      <c r="C99" s="108" t="str">
        <f t="shared" si="29"/>
        <v/>
      </c>
      <c r="D99" s="108" t="str">
        <f t="shared" si="30"/>
        <v/>
      </c>
      <c r="E99" s="108" t="str">
        <f t="shared" si="31"/>
        <v/>
      </c>
      <c r="F99" s="108" t="str">
        <f t="shared" si="32"/>
        <v/>
      </c>
      <c r="G99" s="114" t="str">
        <f t="shared" si="42"/>
        <v/>
      </c>
      <c r="H99" s="115">
        <f t="shared" si="43"/>
        <v>0</v>
      </c>
      <c r="I99" s="108" t="str">
        <f t="shared" si="54"/>
        <v/>
      </c>
      <c r="J99" s="108" t="str">
        <f t="shared" si="33"/>
        <v/>
      </c>
      <c r="K99" s="108" t="str">
        <f t="shared" si="34"/>
        <v/>
      </c>
      <c r="L99" s="108" t="str">
        <f t="shared" si="35"/>
        <v/>
      </c>
      <c r="M99" s="108" t="str">
        <f t="shared" si="44"/>
        <v/>
      </c>
      <c r="N99" s="114" t="str">
        <f t="shared" si="45"/>
        <v/>
      </c>
      <c r="O99" s="60">
        <v>0</v>
      </c>
      <c r="P99" s="116">
        <f t="shared" si="46"/>
        <v>0</v>
      </c>
      <c r="R99" s="117" t="str">
        <f t="shared" si="56"/>
        <v/>
      </c>
      <c r="S99" s="118" t="str">
        <f t="shared" si="36"/>
        <v/>
      </c>
      <c r="T99" s="118" t="str">
        <f t="shared" si="37"/>
        <v/>
      </c>
      <c r="U99" s="119">
        <f t="shared" si="47"/>
        <v>0</v>
      </c>
      <c r="V99" s="120" t="str">
        <f>IF(A99="","",IF(A99&lt;=Periodos_Gracia,0,PPMT(Tasa_Anual/360*Días*(1+I.V.A.),Tabla!AM99,No._De_Pagos_con_periodo_de_gracia,-Monto_Crédito)))</f>
        <v/>
      </c>
      <c r="W99" s="110" t="str">
        <f>IF($U$258&lt;=0,V99,IF(SUM($U$18:U99)&lt;=0,V99,PMT($K$5/360*Días,A99,-R99)))</f>
        <v/>
      </c>
      <c r="X99" s="121" t="str">
        <f>IF($U$258&lt;=0,W99,IF(SUM($U$18:U99)&lt;=0,V99,PMT($K$5/360*Días,No._De_Pagos_con_periodo_de_gracia,-Monto_Crédito)-S99-T99))</f>
        <v/>
      </c>
      <c r="Y99" s="117" t="str">
        <f t="shared" si="48"/>
        <v/>
      </c>
      <c r="Z99" s="61" t="str">
        <f>+IF(A99="","",IF(No._de_Pagos-Tabla!A99+1&lt;=0,"",No._de_Pagos-Tabla!A99+1))</f>
        <v/>
      </c>
      <c r="AA99" s="122" t="str">
        <f t="shared" si="49"/>
        <v/>
      </c>
      <c r="AB99" s="124" t="str">
        <f t="shared" si="55"/>
        <v/>
      </c>
      <c r="AC99" s="124" t="str">
        <f t="shared" si="38"/>
        <v/>
      </c>
      <c r="AD99" s="124" t="str">
        <f t="shared" si="39"/>
        <v/>
      </c>
      <c r="AE99" s="119">
        <f t="shared" si="50"/>
        <v>0</v>
      </c>
      <c r="AF99" s="120" t="str">
        <f t="shared" si="40"/>
        <v/>
      </c>
      <c r="AG99" s="110" t="str">
        <f>IF($U$258&lt;=0,AF99,IF(SUM($U$18:U99)&lt;=0,AF99,PMT($K$5/360*Días,A99,-AA99)))</f>
        <v/>
      </c>
      <c r="AH99" s="121" t="str">
        <f>IF(A99&lt;=Periodos_Gracia,0,IF($U$258&lt;=0,AG99,IF(SUM($U$18:U99)&lt;=0,AF99,PMT($K$5/360*Días,No._de_Pagos,-Monto_Crédito)-AC99-AD99)))</f>
        <v/>
      </c>
      <c r="AI99" s="125" t="str">
        <f t="shared" si="51"/>
        <v/>
      </c>
      <c r="AK99" s="126" t="str">
        <f>IF(A99="","",IF(Periodos_Gracia&gt;0,Tabla!AN99,V99+S99))</f>
        <v/>
      </c>
      <c r="AL99" s="126" t="str">
        <f t="shared" si="41"/>
        <v/>
      </c>
      <c r="AM99" s="61" t="str">
        <f t="shared" si="52"/>
        <v/>
      </c>
      <c r="AN99" s="127" t="str">
        <f>IF(A99="","",IF(A99&lt;=Periodos_Gracia,Tabla!S99,PPMT(Tasa_Anual/360*Días*(1+I.V.A.),Tabla!AM99,No._De_Pagos_con_periodo_de_gracia,-Monto_Crédito)+S99))</f>
        <v/>
      </c>
      <c r="AO99" s="127" t="str">
        <f>IF(A99="","",IF(A99&lt;=Periodos_Gracia,Tabla!AC99,Monto_Crédito/(No._De_Pagos_con_periodo_de_gracia)+AC99))</f>
        <v/>
      </c>
      <c r="AP99" s="117"/>
    </row>
    <row r="100" spans="1:42" x14ac:dyDescent="0.2">
      <c r="A100" s="107" t="str">
        <f>IF(A99&lt;Parámetros!$E$6,A99+1,"")</f>
        <v/>
      </c>
      <c r="B100" s="108" t="str">
        <f t="shared" si="53"/>
        <v/>
      </c>
      <c r="C100" s="108" t="str">
        <f t="shared" si="29"/>
        <v/>
      </c>
      <c r="D100" s="108" t="str">
        <f t="shared" si="30"/>
        <v/>
      </c>
      <c r="E100" s="108" t="str">
        <f t="shared" si="31"/>
        <v/>
      </c>
      <c r="F100" s="108" t="str">
        <f t="shared" si="32"/>
        <v/>
      </c>
      <c r="G100" s="114" t="str">
        <f t="shared" si="42"/>
        <v/>
      </c>
      <c r="H100" s="115">
        <f t="shared" si="43"/>
        <v>0</v>
      </c>
      <c r="I100" s="108" t="str">
        <f t="shared" si="54"/>
        <v/>
      </c>
      <c r="J100" s="108" t="str">
        <f t="shared" si="33"/>
        <v/>
      </c>
      <c r="K100" s="108" t="str">
        <f t="shared" si="34"/>
        <v/>
      </c>
      <c r="L100" s="108" t="str">
        <f t="shared" si="35"/>
        <v/>
      </c>
      <c r="M100" s="108" t="str">
        <f t="shared" si="44"/>
        <v/>
      </c>
      <c r="N100" s="114" t="str">
        <f t="shared" si="45"/>
        <v/>
      </c>
      <c r="O100" s="60">
        <v>0</v>
      </c>
      <c r="P100" s="116">
        <f t="shared" si="46"/>
        <v>0</v>
      </c>
      <c r="R100" s="117" t="str">
        <f t="shared" si="56"/>
        <v/>
      </c>
      <c r="S100" s="118" t="str">
        <f t="shared" si="36"/>
        <v/>
      </c>
      <c r="T100" s="118" t="str">
        <f t="shared" si="37"/>
        <v/>
      </c>
      <c r="U100" s="119">
        <f t="shared" si="47"/>
        <v>0</v>
      </c>
      <c r="V100" s="120" t="str">
        <f>IF(A100="","",IF(A100&lt;=Periodos_Gracia,0,PPMT(Tasa_Anual/360*Días*(1+I.V.A.),Tabla!AM100,No._De_Pagos_con_periodo_de_gracia,-Monto_Crédito)))</f>
        <v/>
      </c>
      <c r="W100" s="110" t="str">
        <f>IF($U$258&lt;=0,V100,IF(SUM($U$18:U100)&lt;=0,V100,PMT($K$5/360*Días,A100,-R100)))</f>
        <v/>
      </c>
      <c r="X100" s="121" t="str">
        <f>IF($U$258&lt;=0,W100,IF(SUM($U$18:U100)&lt;=0,V100,PMT($K$5/360*Días,No._De_Pagos_con_periodo_de_gracia,-Monto_Crédito)-S100-T100))</f>
        <v/>
      </c>
      <c r="Y100" s="117" t="str">
        <f t="shared" si="48"/>
        <v/>
      </c>
      <c r="Z100" s="61" t="str">
        <f>+IF(A100="","",IF(No._de_Pagos-Tabla!A100+1&lt;=0,"",No._de_Pagos-Tabla!A100+1))</f>
        <v/>
      </c>
      <c r="AA100" s="122" t="str">
        <f t="shared" si="49"/>
        <v/>
      </c>
      <c r="AB100" s="124" t="str">
        <f t="shared" si="55"/>
        <v/>
      </c>
      <c r="AC100" s="124" t="str">
        <f t="shared" si="38"/>
        <v/>
      </c>
      <c r="AD100" s="124" t="str">
        <f t="shared" si="39"/>
        <v/>
      </c>
      <c r="AE100" s="119">
        <f t="shared" si="50"/>
        <v>0</v>
      </c>
      <c r="AF100" s="120" t="str">
        <f t="shared" si="40"/>
        <v/>
      </c>
      <c r="AG100" s="110" t="str">
        <f>IF($U$258&lt;=0,AF100,IF(SUM($U$18:U100)&lt;=0,AF100,PMT($K$5/360*Días,A100,-AA100)))</f>
        <v/>
      </c>
      <c r="AH100" s="121" t="str">
        <f>IF(A100&lt;=Periodos_Gracia,0,IF($U$258&lt;=0,AG100,IF(SUM($U$18:U100)&lt;=0,AF100,PMT($K$5/360*Días,No._de_Pagos,-Monto_Crédito)-AC100-AD100)))</f>
        <v/>
      </c>
      <c r="AI100" s="125" t="str">
        <f t="shared" si="51"/>
        <v/>
      </c>
      <c r="AK100" s="126" t="str">
        <f>IF(A100="","",IF(Periodos_Gracia&gt;0,Tabla!AN100,V100+S100))</f>
        <v/>
      </c>
      <c r="AL100" s="126" t="str">
        <f t="shared" si="41"/>
        <v/>
      </c>
      <c r="AM100" s="61" t="str">
        <f t="shared" si="52"/>
        <v/>
      </c>
      <c r="AN100" s="127" t="str">
        <f>IF(A100="","",IF(A100&lt;=Periodos_Gracia,Tabla!S100,PPMT(Tasa_Anual/360*Días*(1+I.V.A.),Tabla!AM100,No._De_Pagos_con_periodo_de_gracia,-Monto_Crédito)+S100))</f>
        <v/>
      </c>
      <c r="AO100" s="127" t="str">
        <f>IF(A100="","",IF(A100&lt;=Periodos_Gracia,Tabla!AC100,Monto_Crédito/(No._De_Pagos_con_periodo_de_gracia)+AC100))</f>
        <v/>
      </c>
      <c r="AP100" s="117"/>
    </row>
    <row r="101" spans="1:42" x14ac:dyDescent="0.2">
      <c r="A101" s="107" t="str">
        <f>IF(A100&lt;Parámetros!$E$6,A100+1,"")</f>
        <v/>
      </c>
      <c r="B101" s="108" t="str">
        <f t="shared" si="53"/>
        <v/>
      </c>
      <c r="C101" s="108" t="str">
        <f t="shared" si="29"/>
        <v/>
      </c>
      <c r="D101" s="108" t="str">
        <f t="shared" si="30"/>
        <v/>
      </c>
      <c r="E101" s="108" t="str">
        <f t="shared" si="31"/>
        <v/>
      </c>
      <c r="F101" s="108" t="str">
        <f t="shared" si="32"/>
        <v/>
      </c>
      <c r="G101" s="114" t="str">
        <f t="shared" si="42"/>
        <v/>
      </c>
      <c r="H101" s="115">
        <f t="shared" si="43"/>
        <v>0</v>
      </c>
      <c r="I101" s="108" t="str">
        <f t="shared" si="54"/>
        <v/>
      </c>
      <c r="J101" s="108" t="str">
        <f t="shared" si="33"/>
        <v/>
      </c>
      <c r="K101" s="108" t="str">
        <f t="shared" si="34"/>
        <v/>
      </c>
      <c r="L101" s="108" t="str">
        <f t="shared" si="35"/>
        <v/>
      </c>
      <c r="M101" s="108" t="str">
        <f t="shared" si="44"/>
        <v/>
      </c>
      <c r="N101" s="114" t="str">
        <f t="shared" si="45"/>
        <v/>
      </c>
      <c r="O101" s="60">
        <v>0</v>
      </c>
      <c r="P101" s="116">
        <f t="shared" si="46"/>
        <v>0</v>
      </c>
      <c r="R101" s="117" t="str">
        <f t="shared" si="56"/>
        <v/>
      </c>
      <c r="S101" s="118" t="str">
        <f t="shared" si="36"/>
        <v/>
      </c>
      <c r="T101" s="118" t="str">
        <f t="shared" si="37"/>
        <v/>
      </c>
      <c r="U101" s="119">
        <f t="shared" si="47"/>
        <v>0</v>
      </c>
      <c r="V101" s="120" t="str">
        <f>IF(A101="","",IF(A101&lt;=Periodos_Gracia,0,PPMT(Tasa_Anual/360*Días*(1+I.V.A.),Tabla!AM101,No._De_Pagos_con_periodo_de_gracia,-Monto_Crédito)))</f>
        <v/>
      </c>
      <c r="W101" s="110" t="str">
        <f>IF($U$258&lt;=0,V101,IF(SUM($U$18:U101)&lt;=0,V101,PMT($K$5/360*Días,A101,-R101)))</f>
        <v/>
      </c>
      <c r="X101" s="121" t="str">
        <f>IF($U$258&lt;=0,W101,IF(SUM($U$18:U101)&lt;=0,V101,PMT($K$5/360*Días,No._De_Pagos_con_periodo_de_gracia,-Monto_Crédito)-S101-T101))</f>
        <v/>
      </c>
      <c r="Y101" s="117" t="str">
        <f t="shared" si="48"/>
        <v/>
      </c>
      <c r="Z101" s="61" t="str">
        <f>+IF(A101="","",IF(No._de_Pagos-Tabla!A101+1&lt;=0,"",No._de_Pagos-Tabla!A101+1))</f>
        <v/>
      </c>
      <c r="AA101" s="122" t="str">
        <f t="shared" si="49"/>
        <v/>
      </c>
      <c r="AB101" s="124" t="str">
        <f t="shared" si="55"/>
        <v/>
      </c>
      <c r="AC101" s="124" t="str">
        <f t="shared" si="38"/>
        <v/>
      </c>
      <c r="AD101" s="124" t="str">
        <f t="shared" si="39"/>
        <v/>
      </c>
      <c r="AE101" s="119">
        <f t="shared" si="50"/>
        <v>0</v>
      </c>
      <c r="AF101" s="120" t="str">
        <f t="shared" si="40"/>
        <v/>
      </c>
      <c r="AG101" s="110" t="str">
        <f>IF($U$258&lt;=0,AF101,IF(SUM($U$18:U101)&lt;=0,AF101,PMT($K$5/360*Días,A101,-AA101)))</f>
        <v/>
      </c>
      <c r="AH101" s="121" t="str">
        <f>IF(A101&lt;=Periodos_Gracia,0,IF($U$258&lt;=0,AG101,IF(SUM($U$18:U101)&lt;=0,AF101,PMT($K$5/360*Días,No._de_Pagos,-Monto_Crédito)-AC101-AD101)))</f>
        <v/>
      </c>
      <c r="AI101" s="125" t="str">
        <f t="shared" si="51"/>
        <v/>
      </c>
      <c r="AK101" s="126" t="str">
        <f>IF(A101="","",IF(Periodos_Gracia&gt;0,Tabla!AN101,V101+S101))</f>
        <v/>
      </c>
      <c r="AL101" s="126" t="str">
        <f t="shared" si="41"/>
        <v/>
      </c>
      <c r="AM101" s="61" t="str">
        <f t="shared" si="52"/>
        <v/>
      </c>
      <c r="AN101" s="127" t="str">
        <f>IF(A101="","",IF(A101&lt;=Periodos_Gracia,Tabla!S101,PPMT(Tasa_Anual/360*Días*(1+I.V.A.),Tabla!AM101,No._De_Pagos_con_periodo_de_gracia,-Monto_Crédito)+S101))</f>
        <v/>
      </c>
      <c r="AO101" s="127" t="str">
        <f>IF(A101="","",IF(A101&lt;=Periodos_Gracia,Tabla!AC101,Monto_Crédito/(No._De_Pagos_con_periodo_de_gracia)+AC101))</f>
        <v/>
      </c>
      <c r="AP101" s="117"/>
    </row>
    <row r="102" spans="1:42" x14ac:dyDescent="0.2">
      <c r="A102" s="107" t="str">
        <f>IF(A101&lt;Parámetros!$E$6,A101+1,"")</f>
        <v/>
      </c>
      <c r="B102" s="108" t="str">
        <f t="shared" si="53"/>
        <v/>
      </c>
      <c r="C102" s="108" t="str">
        <f t="shared" si="29"/>
        <v/>
      </c>
      <c r="D102" s="108" t="str">
        <f t="shared" si="30"/>
        <v/>
      </c>
      <c r="E102" s="108" t="str">
        <f t="shared" si="31"/>
        <v/>
      </c>
      <c r="F102" s="108" t="str">
        <f t="shared" si="32"/>
        <v/>
      </c>
      <c r="G102" s="114" t="str">
        <f t="shared" si="42"/>
        <v/>
      </c>
      <c r="H102" s="115">
        <f t="shared" si="43"/>
        <v>0</v>
      </c>
      <c r="I102" s="108" t="str">
        <f t="shared" si="54"/>
        <v/>
      </c>
      <c r="J102" s="108" t="str">
        <f t="shared" si="33"/>
        <v/>
      </c>
      <c r="K102" s="108" t="str">
        <f t="shared" si="34"/>
        <v/>
      </c>
      <c r="L102" s="108" t="str">
        <f t="shared" si="35"/>
        <v/>
      </c>
      <c r="M102" s="108" t="str">
        <f t="shared" si="44"/>
        <v/>
      </c>
      <c r="N102" s="114" t="str">
        <f t="shared" si="45"/>
        <v/>
      </c>
      <c r="O102" s="60">
        <v>0</v>
      </c>
      <c r="P102" s="116">
        <f t="shared" si="46"/>
        <v>0</v>
      </c>
      <c r="R102" s="117" t="str">
        <f t="shared" si="56"/>
        <v/>
      </c>
      <c r="S102" s="118" t="str">
        <f t="shared" si="36"/>
        <v/>
      </c>
      <c r="T102" s="118" t="str">
        <f t="shared" si="37"/>
        <v/>
      </c>
      <c r="U102" s="119">
        <f t="shared" si="47"/>
        <v>0</v>
      </c>
      <c r="V102" s="120" t="str">
        <f>IF(A102="","",IF(A102&lt;=Periodos_Gracia,0,PPMT(Tasa_Anual/360*Días*(1+I.V.A.),Tabla!AM102,No._De_Pagos_con_periodo_de_gracia,-Monto_Crédito)))</f>
        <v/>
      </c>
      <c r="W102" s="110" t="str">
        <f>IF($U$258&lt;=0,V102,IF(SUM($U$18:U102)&lt;=0,V102,PMT($K$5/360*Días,A102,-R102)))</f>
        <v/>
      </c>
      <c r="X102" s="121" t="str">
        <f>IF($U$258&lt;=0,W102,IF(SUM($U$18:U102)&lt;=0,V102,PMT($K$5/360*Días,No._De_Pagos_con_periodo_de_gracia,-Monto_Crédito)-S102-T102))</f>
        <v/>
      </c>
      <c r="Y102" s="117" t="str">
        <f t="shared" si="48"/>
        <v/>
      </c>
      <c r="Z102" s="61" t="str">
        <f>+IF(A102="","",IF(No._de_Pagos-Tabla!A102+1&lt;=0,"",No._de_Pagos-Tabla!A102+1))</f>
        <v/>
      </c>
      <c r="AA102" s="122" t="str">
        <f t="shared" si="49"/>
        <v/>
      </c>
      <c r="AB102" s="124" t="str">
        <f t="shared" si="55"/>
        <v/>
      </c>
      <c r="AC102" s="124" t="str">
        <f t="shared" si="38"/>
        <v/>
      </c>
      <c r="AD102" s="124" t="str">
        <f t="shared" si="39"/>
        <v/>
      </c>
      <c r="AE102" s="119">
        <f t="shared" si="50"/>
        <v>0</v>
      </c>
      <c r="AF102" s="120" t="str">
        <f t="shared" si="40"/>
        <v/>
      </c>
      <c r="AG102" s="110" t="str">
        <f>IF($U$258&lt;=0,AF102,IF(SUM($U$18:U102)&lt;=0,AF102,PMT($K$5/360*Días,A102,-AA102)))</f>
        <v/>
      </c>
      <c r="AH102" s="121" t="str">
        <f>IF(A102&lt;=Periodos_Gracia,0,IF($U$258&lt;=0,AG102,IF(SUM($U$18:U102)&lt;=0,AF102,PMT($K$5/360*Días,No._de_Pagos,-Monto_Crédito)-AC102-AD102)))</f>
        <v/>
      </c>
      <c r="AI102" s="125" t="str">
        <f t="shared" si="51"/>
        <v/>
      </c>
      <c r="AK102" s="126" t="str">
        <f>IF(A102="","",IF(Periodos_Gracia&gt;0,Tabla!AN102,V102+S102))</f>
        <v/>
      </c>
      <c r="AL102" s="126" t="str">
        <f t="shared" si="41"/>
        <v/>
      </c>
      <c r="AM102" s="61" t="str">
        <f t="shared" si="52"/>
        <v/>
      </c>
      <c r="AN102" s="127" t="str">
        <f>IF(A102="","",IF(A102&lt;=Periodos_Gracia,Tabla!S102,PPMT(Tasa_Anual/360*Días*(1+I.V.A.),Tabla!AM102,No._De_Pagos_con_periodo_de_gracia,-Monto_Crédito)+S102))</f>
        <v/>
      </c>
      <c r="AO102" s="127" t="str">
        <f>IF(A102="","",IF(A102&lt;=Periodos_Gracia,Tabla!AC102,Monto_Crédito/(No._De_Pagos_con_periodo_de_gracia)+AC102))</f>
        <v/>
      </c>
      <c r="AP102" s="117"/>
    </row>
    <row r="103" spans="1:42" x14ac:dyDescent="0.2">
      <c r="A103" s="107" t="str">
        <f>IF(A102&lt;Parámetros!$E$6,A102+1,"")</f>
        <v/>
      </c>
      <c r="B103" s="108" t="str">
        <f t="shared" si="53"/>
        <v/>
      </c>
      <c r="C103" s="108" t="str">
        <f t="shared" si="29"/>
        <v/>
      </c>
      <c r="D103" s="108" t="str">
        <f t="shared" si="30"/>
        <v/>
      </c>
      <c r="E103" s="108" t="str">
        <f t="shared" si="31"/>
        <v/>
      </c>
      <c r="F103" s="108" t="str">
        <f t="shared" si="32"/>
        <v/>
      </c>
      <c r="G103" s="114" t="str">
        <f t="shared" si="42"/>
        <v/>
      </c>
      <c r="H103" s="115">
        <f t="shared" si="43"/>
        <v>0</v>
      </c>
      <c r="I103" s="108" t="str">
        <f t="shared" si="54"/>
        <v/>
      </c>
      <c r="J103" s="108" t="str">
        <f t="shared" si="33"/>
        <v/>
      </c>
      <c r="K103" s="108" t="str">
        <f t="shared" si="34"/>
        <v/>
      </c>
      <c r="L103" s="108" t="str">
        <f t="shared" si="35"/>
        <v/>
      </c>
      <c r="M103" s="108" t="str">
        <f t="shared" si="44"/>
        <v/>
      </c>
      <c r="N103" s="114" t="str">
        <f t="shared" si="45"/>
        <v/>
      </c>
      <c r="O103" s="60">
        <v>0</v>
      </c>
      <c r="P103" s="116">
        <f t="shared" si="46"/>
        <v>0</v>
      </c>
      <c r="R103" s="117" t="str">
        <f t="shared" si="56"/>
        <v/>
      </c>
      <c r="S103" s="118" t="str">
        <f t="shared" si="36"/>
        <v/>
      </c>
      <c r="T103" s="118" t="str">
        <f t="shared" si="37"/>
        <v/>
      </c>
      <c r="U103" s="119">
        <f t="shared" si="47"/>
        <v>0</v>
      </c>
      <c r="V103" s="120" t="str">
        <f>IF(A103="","",IF(A103&lt;=Periodos_Gracia,0,PPMT(Tasa_Anual/360*Días*(1+I.V.A.),Tabla!AM103,No._De_Pagos_con_periodo_de_gracia,-Monto_Crédito)))</f>
        <v/>
      </c>
      <c r="W103" s="110" t="str">
        <f>IF($U$258&lt;=0,V103,IF(SUM($U$18:U103)&lt;=0,V103,PMT($K$5/360*Días,A103,-R103)))</f>
        <v/>
      </c>
      <c r="X103" s="121" t="str">
        <f>IF($U$258&lt;=0,W103,IF(SUM($U$18:U103)&lt;=0,V103,PMT($K$5/360*Días,No._De_Pagos_con_periodo_de_gracia,-Monto_Crédito)-S103-T103))</f>
        <v/>
      </c>
      <c r="Y103" s="117" t="str">
        <f t="shared" si="48"/>
        <v/>
      </c>
      <c r="Z103" s="61" t="str">
        <f>+IF(A103="","",IF(No._de_Pagos-Tabla!A103+1&lt;=0,"",No._de_Pagos-Tabla!A103+1))</f>
        <v/>
      </c>
      <c r="AA103" s="122" t="str">
        <f t="shared" si="49"/>
        <v/>
      </c>
      <c r="AB103" s="124" t="str">
        <f t="shared" si="55"/>
        <v/>
      </c>
      <c r="AC103" s="124" t="str">
        <f t="shared" si="38"/>
        <v/>
      </c>
      <c r="AD103" s="124" t="str">
        <f t="shared" si="39"/>
        <v/>
      </c>
      <c r="AE103" s="119">
        <f t="shared" si="50"/>
        <v>0</v>
      </c>
      <c r="AF103" s="120" t="str">
        <f t="shared" si="40"/>
        <v/>
      </c>
      <c r="AG103" s="110" t="str">
        <f>IF($U$258&lt;=0,AF103,IF(SUM($U$18:U103)&lt;=0,AF103,PMT($K$5/360*Días,A103,-AA103)))</f>
        <v/>
      </c>
      <c r="AH103" s="121" t="str">
        <f>IF(A103&lt;=Periodos_Gracia,0,IF($U$258&lt;=0,AG103,IF(SUM($U$18:U103)&lt;=0,AF103,PMT($K$5/360*Días,No._de_Pagos,-Monto_Crédito)-AC103-AD103)))</f>
        <v/>
      </c>
      <c r="AI103" s="125" t="str">
        <f t="shared" si="51"/>
        <v/>
      </c>
      <c r="AK103" s="126" t="str">
        <f>IF(A103="","",IF(Periodos_Gracia&gt;0,Tabla!AN103,V103+S103))</f>
        <v/>
      </c>
      <c r="AL103" s="126" t="str">
        <f t="shared" si="41"/>
        <v/>
      </c>
      <c r="AM103" s="61" t="str">
        <f t="shared" si="52"/>
        <v/>
      </c>
      <c r="AN103" s="127" t="str">
        <f>IF(A103="","",IF(A103&lt;=Periodos_Gracia,Tabla!S103,PPMT(Tasa_Anual/360*Días*(1+I.V.A.),Tabla!AM103,No._De_Pagos_con_periodo_de_gracia,-Monto_Crédito)+S103))</f>
        <v/>
      </c>
      <c r="AO103" s="127" t="str">
        <f>IF(A103="","",IF(A103&lt;=Periodos_Gracia,Tabla!AC103,Monto_Crédito/(No._De_Pagos_con_periodo_de_gracia)+AC103))</f>
        <v/>
      </c>
      <c r="AP103" s="117"/>
    </row>
    <row r="104" spans="1:42" x14ac:dyDescent="0.2">
      <c r="A104" s="107" t="str">
        <f>IF(A103&lt;Parámetros!$E$6,A103+1,"")</f>
        <v/>
      </c>
      <c r="B104" s="108" t="str">
        <f t="shared" si="53"/>
        <v/>
      </c>
      <c r="C104" s="108" t="str">
        <f t="shared" si="29"/>
        <v/>
      </c>
      <c r="D104" s="108" t="str">
        <f t="shared" si="30"/>
        <v/>
      </c>
      <c r="E104" s="108" t="str">
        <f t="shared" si="31"/>
        <v/>
      </c>
      <c r="F104" s="108" t="str">
        <f t="shared" si="32"/>
        <v/>
      </c>
      <c r="G104" s="114" t="str">
        <f t="shared" si="42"/>
        <v/>
      </c>
      <c r="H104" s="115">
        <f t="shared" si="43"/>
        <v>0</v>
      </c>
      <c r="I104" s="108" t="str">
        <f t="shared" si="54"/>
        <v/>
      </c>
      <c r="J104" s="108" t="str">
        <f t="shared" si="33"/>
        <v/>
      </c>
      <c r="K104" s="108" t="str">
        <f t="shared" si="34"/>
        <v/>
      </c>
      <c r="L104" s="108" t="str">
        <f t="shared" si="35"/>
        <v/>
      </c>
      <c r="M104" s="108" t="str">
        <f t="shared" si="44"/>
        <v/>
      </c>
      <c r="N104" s="114" t="str">
        <f t="shared" si="45"/>
        <v/>
      </c>
      <c r="O104" s="60">
        <v>0</v>
      </c>
      <c r="P104" s="116">
        <f t="shared" si="46"/>
        <v>0</v>
      </c>
      <c r="R104" s="117" t="str">
        <f t="shared" si="56"/>
        <v/>
      </c>
      <c r="S104" s="118" t="str">
        <f t="shared" si="36"/>
        <v/>
      </c>
      <c r="T104" s="118" t="str">
        <f t="shared" si="37"/>
        <v/>
      </c>
      <c r="U104" s="119">
        <f t="shared" si="47"/>
        <v>0</v>
      </c>
      <c r="V104" s="120" t="str">
        <f>IF(A104="","",IF(A104&lt;=Periodos_Gracia,0,PPMT(Tasa_Anual/360*Días*(1+I.V.A.),Tabla!AM104,No._De_Pagos_con_periodo_de_gracia,-Monto_Crédito)))</f>
        <v/>
      </c>
      <c r="W104" s="110" t="str">
        <f>IF($U$258&lt;=0,V104,IF(SUM($U$18:U104)&lt;=0,V104,PMT($K$5/360*Días,A104,-R104)))</f>
        <v/>
      </c>
      <c r="X104" s="121" t="str">
        <f>IF($U$258&lt;=0,W104,IF(SUM($U$18:U104)&lt;=0,V104,PMT($K$5/360*Días,No._De_Pagos_con_periodo_de_gracia,-Monto_Crédito)-S104-T104))</f>
        <v/>
      </c>
      <c r="Y104" s="117" t="str">
        <f t="shared" si="48"/>
        <v/>
      </c>
      <c r="Z104" s="61" t="str">
        <f>+IF(A104="","",IF(No._de_Pagos-Tabla!A104+1&lt;=0,"",No._de_Pagos-Tabla!A104+1))</f>
        <v/>
      </c>
      <c r="AA104" s="122" t="str">
        <f t="shared" si="49"/>
        <v/>
      </c>
      <c r="AB104" s="124" t="str">
        <f t="shared" si="55"/>
        <v/>
      </c>
      <c r="AC104" s="124" t="str">
        <f t="shared" si="38"/>
        <v/>
      </c>
      <c r="AD104" s="124" t="str">
        <f t="shared" si="39"/>
        <v/>
      </c>
      <c r="AE104" s="119">
        <f t="shared" si="50"/>
        <v>0</v>
      </c>
      <c r="AF104" s="120" t="str">
        <f t="shared" si="40"/>
        <v/>
      </c>
      <c r="AG104" s="110" t="str">
        <f>IF($U$258&lt;=0,AF104,IF(SUM($U$18:U104)&lt;=0,AF104,PMT($K$5/360*Días,A104,-AA104)))</f>
        <v/>
      </c>
      <c r="AH104" s="121" t="str">
        <f>IF(A104&lt;=Periodos_Gracia,0,IF($U$258&lt;=0,AG104,IF(SUM($U$18:U104)&lt;=0,AF104,PMT($K$5/360*Días,No._de_Pagos,-Monto_Crédito)-AC104-AD104)))</f>
        <v/>
      </c>
      <c r="AI104" s="125" t="str">
        <f t="shared" si="51"/>
        <v/>
      </c>
      <c r="AK104" s="126" t="str">
        <f>IF(A104="","",IF(Periodos_Gracia&gt;0,Tabla!AN104,V104+S104))</f>
        <v/>
      </c>
      <c r="AL104" s="126" t="str">
        <f t="shared" si="41"/>
        <v/>
      </c>
      <c r="AM104" s="61" t="str">
        <f t="shared" si="52"/>
        <v/>
      </c>
      <c r="AN104" s="127" t="str">
        <f>IF(A104="","",IF(A104&lt;=Periodos_Gracia,Tabla!S104,PPMT(Tasa_Anual/360*Días*(1+I.V.A.),Tabla!AM104,No._De_Pagos_con_periodo_de_gracia,-Monto_Crédito)+S104))</f>
        <v/>
      </c>
      <c r="AO104" s="127" t="str">
        <f>IF(A104="","",IF(A104&lt;=Periodos_Gracia,Tabla!AC104,Monto_Crédito/(No._De_Pagos_con_periodo_de_gracia)+AC104))</f>
        <v/>
      </c>
      <c r="AP104" s="117"/>
    </row>
    <row r="105" spans="1:42" x14ac:dyDescent="0.2">
      <c r="A105" s="107" t="str">
        <f>IF(A104&lt;Parámetros!$E$6,A104+1,"")</f>
        <v/>
      </c>
      <c r="B105" s="108" t="str">
        <f t="shared" si="53"/>
        <v/>
      </c>
      <c r="C105" s="108" t="str">
        <f t="shared" si="29"/>
        <v/>
      </c>
      <c r="D105" s="108" t="str">
        <f t="shared" si="30"/>
        <v/>
      </c>
      <c r="E105" s="108" t="str">
        <f t="shared" si="31"/>
        <v/>
      </c>
      <c r="F105" s="108" t="str">
        <f t="shared" si="32"/>
        <v/>
      </c>
      <c r="G105" s="114" t="str">
        <f t="shared" si="42"/>
        <v/>
      </c>
      <c r="H105" s="115">
        <f t="shared" si="43"/>
        <v>0</v>
      </c>
      <c r="I105" s="108" t="str">
        <f t="shared" si="54"/>
        <v/>
      </c>
      <c r="J105" s="108" t="str">
        <f t="shared" si="33"/>
        <v/>
      </c>
      <c r="K105" s="108" t="str">
        <f t="shared" si="34"/>
        <v/>
      </c>
      <c r="L105" s="108" t="str">
        <f t="shared" si="35"/>
        <v/>
      </c>
      <c r="M105" s="108" t="str">
        <f t="shared" si="44"/>
        <v/>
      </c>
      <c r="N105" s="114" t="str">
        <f t="shared" si="45"/>
        <v/>
      </c>
      <c r="O105" s="60">
        <v>0</v>
      </c>
      <c r="P105" s="116">
        <f t="shared" si="46"/>
        <v>0</v>
      </c>
      <c r="R105" s="117" t="str">
        <f t="shared" si="56"/>
        <v/>
      </c>
      <c r="S105" s="118" t="str">
        <f t="shared" si="36"/>
        <v/>
      </c>
      <c r="T105" s="118" t="str">
        <f t="shared" si="37"/>
        <v/>
      </c>
      <c r="U105" s="119">
        <f t="shared" si="47"/>
        <v>0</v>
      </c>
      <c r="V105" s="120" t="str">
        <f>IF(A105="","",IF(A105&lt;=Periodos_Gracia,0,PPMT(Tasa_Anual/360*Días*(1+I.V.A.),Tabla!AM105,No._De_Pagos_con_periodo_de_gracia,-Monto_Crédito)))</f>
        <v/>
      </c>
      <c r="W105" s="110" t="str">
        <f>IF($U$258&lt;=0,V105,IF(SUM($U$18:U105)&lt;=0,V105,PMT($K$5/360*Días,A105,-R105)))</f>
        <v/>
      </c>
      <c r="X105" s="121" t="str">
        <f>IF($U$258&lt;=0,W105,IF(SUM($U$18:U105)&lt;=0,V105,PMT($K$5/360*Días,No._De_Pagos_con_periodo_de_gracia,-Monto_Crédito)-S105-T105))</f>
        <v/>
      </c>
      <c r="Y105" s="117" t="str">
        <f t="shared" si="48"/>
        <v/>
      </c>
      <c r="Z105" s="61" t="str">
        <f>+IF(A105="","",IF(No._de_Pagos-Tabla!A105+1&lt;=0,"",No._de_Pagos-Tabla!A105+1))</f>
        <v/>
      </c>
      <c r="AA105" s="122" t="str">
        <f t="shared" si="49"/>
        <v/>
      </c>
      <c r="AB105" s="124" t="str">
        <f t="shared" si="55"/>
        <v/>
      </c>
      <c r="AC105" s="124" t="str">
        <f t="shared" si="38"/>
        <v/>
      </c>
      <c r="AD105" s="124" t="str">
        <f t="shared" si="39"/>
        <v/>
      </c>
      <c r="AE105" s="119">
        <f t="shared" si="50"/>
        <v>0</v>
      </c>
      <c r="AF105" s="120" t="str">
        <f t="shared" si="40"/>
        <v/>
      </c>
      <c r="AG105" s="110" t="str">
        <f>IF($U$258&lt;=0,AF105,IF(SUM($U$18:U105)&lt;=0,AF105,PMT($K$5/360*Días,A105,-AA105)))</f>
        <v/>
      </c>
      <c r="AH105" s="121" t="str">
        <f>IF(A105&lt;=Periodos_Gracia,0,IF($U$258&lt;=0,AG105,IF(SUM($U$18:U105)&lt;=0,AF105,PMT($K$5/360*Días,No._de_Pagos,-Monto_Crédito)-AC105-AD105)))</f>
        <v/>
      </c>
      <c r="AI105" s="125" t="str">
        <f t="shared" si="51"/>
        <v/>
      </c>
      <c r="AK105" s="126" t="str">
        <f>IF(A105="","",IF(Periodos_Gracia&gt;0,Tabla!AN105,V105+S105))</f>
        <v/>
      </c>
      <c r="AL105" s="126" t="str">
        <f t="shared" si="41"/>
        <v/>
      </c>
      <c r="AM105" s="61" t="str">
        <f t="shared" si="52"/>
        <v/>
      </c>
      <c r="AN105" s="127" t="str">
        <f>IF(A105="","",IF(A105&lt;=Periodos_Gracia,Tabla!S105,PPMT(Tasa_Anual/360*Días*(1+I.V.A.),Tabla!AM105,No._De_Pagos_con_periodo_de_gracia,-Monto_Crédito)+S105))</f>
        <v/>
      </c>
      <c r="AO105" s="127" t="str">
        <f>IF(A105="","",IF(A105&lt;=Periodos_Gracia,Tabla!AC105,Monto_Crédito/(No._De_Pagos_con_periodo_de_gracia)+AC105))</f>
        <v/>
      </c>
      <c r="AP105" s="117"/>
    </row>
    <row r="106" spans="1:42" x14ac:dyDescent="0.2">
      <c r="A106" s="107" t="str">
        <f>IF(A105&lt;Parámetros!$E$6,A105+1,"")</f>
        <v/>
      </c>
      <c r="B106" s="108" t="str">
        <f t="shared" si="53"/>
        <v/>
      </c>
      <c r="C106" s="108" t="str">
        <f t="shared" si="29"/>
        <v/>
      </c>
      <c r="D106" s="108" t="str">
        <f t="shared" si="30"/>
        <v/>
      </c>
      <c r="E106" s="108" t="str">
        <f t="shared" si="31"/>
        <v/>
      </c>
      <c r="F106" s="108" t="str">
        <f t="shared" si="32"/>
        <v/>
      </c>
      <c r="G106" s="114" t="str">
        <f t="shared" si="42"/>
        <v/>
      </c>
      <c r="H106" s="115">
        <f t="shared" si="43"/>
        <v>0</v>
      </c>
      <c r="I106" s="108" t="str">
        <f t="shared" si="54"/>
        <v/>
      </c>
      <c r="J106" s="108" t="str">
        <f t="shared" si="33"/>
        <v/>
      </c>
      <c r="K106" s="108" t="str">
        <f t="shared" si="34"/>
        <v/>
      </c>
      <c r="L106" s="108" t="str">
        <f t="shared" si="35"/>
        <v/>
      </c>
      <c r="M106" s="108" t="str">
        <f t="shared" si="44"/>
        <v/>
      </c>
      <c r="N106" s="114" t="str">
        <f t="shared" si="45"/>
        <v/>
      </c>
      <c r="O106" s="60">
        <v>0</v>
      </c>
      <c r="P106" s="116">
        <f t="shared" si="46"/>
        <v>0</v>
      </c>
      <c r="R106" s="117" t="str">
        <f t="shared" si="56"/>
        <v/>
      </c>
      <c r="S106" s="118" t="str">
        <f t="shared" si="36"/>
        <v/>
      </c>
      <c r="T106" s="118" t="str">
        <f t="shared" si="37"/>
        <v/>
      </c>
      <c r="U106" s="119">
        <f t="shared" si="47"/>
        <v>0</v>
      </c>
      <c r="V106" s="120" t="str">
        <f>IF(A106="","",IF(A106&lt;=Periodos_Gracia,0,PPMT(Tasa_Anual/360*Días*(1+I.V.A.),Tabla!AM106,No._De_Pagos_con_periodo_de_gracia,-Monto_Crédito)))</f>
        <v/>
      </c>
      <c r="W106" s="110" t="str">
        <f>IF($U$258&lt;=0,V106,IF(SUM($U$18:U106)&lt;=0,V106,PMT($K$5/360*Días,A106,-R106)))</f>
        <v/>
      </c>
      <c r="X106" s="121" t="str">
        <f>IF($U$258&lt;=0,W106,IF(SUM($U$18:U106)&lt;=0,V106,PMT($K$5/360*Días,No._De_Pagos_con_periodo_de_gracia,-Monto_Crédito)-S106-T106))</f>
        <v/>
      </c>
      <c r="Y106" s="117" t="str">
        <f t="shared" si="48"/>
        <v/>
      </c>
      <c r="Z106" s="61" t="str">
        <f>+IF(A106="","",IF(No._de_Pagos-Tabla!A106+1&lt;=0,"",No._de_Pagos-Tabla!A106+1))</f>
        <v/>
      </c>
      <c r="AA106" s="122" t="str">
        <f t="shared" si="49"/>
        <v/>
      </c>
      <c r="AB106" s="124" t="str">
        <f t="shared" si="55"/>
        <v/>
      </c>
      <c r="AC106" s="124" t="str">
        <f t="shared" si="38"/>
        <v/>
      </c>
      <c r="AD106" s="124" t="str">
        <f t="shared" si="39"/>
        <v/>
      </c>
      <c r="AE106" s="119">
        <f t="shared" si="50"/>
        <v>0</v>
      </c>
      <c r="AF106" s="120" t="str">
        <f t="shared" si="40"/>
        <v/>
      </c>
      <c r="AG106" s="110" t="str">
        <f>IF($U$258&lt;=0,AF106,IF(SUM($U$18:U106)&lt;=0,AF106,PMT($K$5/360*Días,A106,-AA106)))</f>
        <v/>
      </c>
      <c r="AH106" s="121" t="str">
        <f>IF(A106&lt;=Periodos_Gracia,0,IF($U$258&lt;=0,AG106,IF(SUM($U$18:U106)&lt;=0,AF106,PMT($K$5/360*Días,No._de_Pagos,-Monto_Crédito)-AC106-AD106)))</f>
        <v/>
      </c>
      <c r="AI106" s="125" t="str">
        <f t="shared" si="51"/>
        <v/>
      </c>
      <c r="AK106" s="126" t="str">
        <f>IF(A106="","",IF(Periodos_Gracia&gt;0,Tabla!AN106,V106+S106))</f>
        <v/>
      </c>
      <c r="AL106" s="126" t="str">
        <f t="shared" si="41"/>
        <v/>
      </c>
      <c r="AM106" s="61" t="str">
        <f t="shared" si="52"/>
        <v/>
      </c>
      <c r="AN106" s="127" t="str">
        <f>IF(A106="","",IF(A106&lt;=Periodos_Gracia,Tabla!S106,PPMT(Tasa_Anual/360*Días*(1+I.V.A.),Tabla!AM106,No._De_Pagos_con_periodo_de_gracia,-Monto_Crédito)+S106))</f>
        <v/>
      </c>
      <c r="AO106" s="127" t="str">
        <f>IF(A106="","",IF(A106&lt;=Periodos_Gracia,Tabla!AC106,Monto_Crédito/(No._De_Pagos_con_periodo_de_gracia)+AC106))</f>
        <v/>
      </c>
      <c r="AP106" s="117"/>
    </row>
    <row r="107" spans="1:42" x14ac:dyDescent="0.2">
      <c r="A107" s="107" t="str">
        <f>IF(A106&lt;Parámetros!$E$6,A106+1,"")</f>
        <v/>
      </c>
      <c r="B107" s="108" t="str">
        <f t="shared" si="53"/>
        <v/>
      </c>
      <c r="C107" s="108" t="str">
        <f t="shared" si="29"/>
        <v/>
      </c>
      <c r="D107" s="108" t="str">
        <f t="shared" si="30"/>
        <v/>
      </c>
      <c r="E107" s="108" t="str">
        <f t="shared" si="31"/>
        <v/>
      </c>
      <c r="F107" s="108" t="str">
        <f t="shared" si="32"/>
        <v/>
      </c>
      <c r="G107" s="114" t="str">
        <f t="shared" si="42"/>
        <v/>
      </c>
      <c r="H107" s="115">
        <f t="shared" si="43"/>
        <v>0</v>
      </c>
      <c r="I107" s="108" t="str">
        <f t="shared" si="54"/>
        <v/>
      </c>
      <c r="J107" s="108" t="str">
        <f t="shared" si="33"/>
        <v/>
      </c>
      <c r="K107" s="108" t="str">
        <f t="shared" si="34"/>
        <v/>
      </c>
      <c r="L107" s="108" t="str">
        <f t="shared" si="35"/>
        <v/>
      </c>
      <c r="M107" s="108" t="str">
        <f t="shared" si="44"/>
        <v/>
      </c>
      <c r="N107" s="114" t="str">
        <f t="shared" si="45"/>
        <v/>
      </c>
      <c r="O107" s="60">
        <v>0</v>
      </c>
      <c r="P107" s="116">
        <f t="shared" si="46"/>
        <v>0</v>
      </c>
      <c r="R107" s="117" t="str">
        <f t="shared" si="56"/>
        <v/>
      </c>
      <c r="S107" s="118" t="str">
        <f t="shared" si="36"/>
        <v/>
      </c>
      <c r="T107" s="118" t="str">
        <f t="shared" si="37"/>
        <v/>
      </c>
      <c r="U107" s="119">
        <f t="shared" si="47"/>
        <v>0</v>
      </c>
      <c r="V107" s="120" t="str">
        <f>IF(A107="","",IF(A107&lt;=Periodos_Gracia,0,PPMT(Tasa_Anual/360*Días*(1+I.V.A.),Tabla!AM107,No._De_Pagos_con_periodo_de_gracia,-Monto_Crédito)))</f>
        <v/>
      </c>
      <c r="W107" s="110" t="str">
        <f>IF($U$258&lt;=0,V107,IF(SUM($U$18:U107)&lt;=0,V107,PMT($K$5/360*Días,A107,-R107)))</f>
        <v/>
      </c>
      <c r="X107" s="121" t="str">
        <f>IF($U$258&lt;=0,W107,IF(SUM($U$18:U107)&lt;=0,V107,PMT($K$5/360*Días,No._De_Pagos_con_periodo_de_gracia,-Monto_Crédito)-S107-T107))</f>
        <v/>
      </c>
      <c r="Y107" s="117" t="str">
        <f t="shared" si="48"/>
        <v/>
      </c>
      <c r="Z107" s="61" t="str">
        <f>+IF(A107="","",IF(No._de_Pagos-Tabla!A107+1&lt;=0,"",No._de_Pagos-Tabla!A107+1))</f>
        <v/>
      </c>
      <c r="AA107" s="122" t="str">
        <f t="shared" si="49"/>
        <v/>
      </c>
      <c r="AB107" s="124" t="str">
        <f t="shared" si="55"/>
        <v/>
      </c>
      <c r="AC107" s="124" t="str">
        <f t="shared" si="38"/>
        <v/>
      </c>
      <c r="AD107" s="124" t="str">
        <f t="shared" si="39"/>
        <v/>
      </c>
      <c r="AE107" s="119">
        <f t="shared" si="50"/>
        <v>0</v>
      </c>
      <c r="AF107" s="120" t="str">
        <f t="shared" si="40"/>
        <v/>
      </c>
      <c r="AG107" s="110" t="str">
        <f>IF($U$258&lt;=0,AF107,IF(SUM($U$18:U107)&lt;=0,AF107,PMT($K$5/360*Días,A107,-AA107)))</f>
        <v/>
      </c>
      <c r="AH107" s="121" t="str">
        <f>IF(A107&lt;=Periodos_Gracia,0,IF($U$258&lt;=0,AG107,IF(SUM($U$18:U107)&lt;=0,AF107,PMT($K$5/360*Días,No._de_Pagos,-Monto_Crédito)-AC107-AD107)))</f>
        <v/>
      </c>
      <c r="AI107" s="125" t="str">
        <f t="shared" si="51"/>
        <v/>
      </c>
      <c r="AK107" s="126" t="str">
        <f>IF(A107="","",IF(Periodos_Gracia&gt;0,Tabla!AN107,V107+S107))</f>
        <v/>
      </c>
      <c r="AL107" s="126" t="str">
        <f t="shared" si="41"/>
        <v/>
      </c>
      <c r="AM107" s="61" t="str">
        <f t="shared" si="52"/>
        <v/>
      </c>
      <c r="AN107" s="127" t="str">
        <f>IF(A107="","",IF(A107&lt;=Periodos_Gracia,Tabla!S107,PPMT(Tasa_Anual/360*Días*(1+I.V.A.),Tabla!AM107,No._De_Pagos_con_periodo_de_gracia,-Monto_Crédito)+S107))</f>
        <v/>
      </c>
      <c r="AO107" s="127" t="str">
        <f>IF(A107="","",IF(A107&lt;=Periodos_Gracia,Tabla!AC107,Monto_Crédito/(No._De_Pagos_con_periodo_de_gracia)+AC107))</f>
        <v/>
      </c>
      <c r="AP107" s="117"/>
    </row>
    <row r="108" spans="1:42" x14ac:dyDescent="0.2">
      <c r="A108" s="107" t="str">
        <f>IF(A107&lt;Parámetros!$E$6,A107+1,"")</f>
        <v/>
      </c>
      <c r="B108" s="108" t="str">
        <f t="shared" si="53"/>
        <v/>
      </c>
      <c r="C108" s="108" t="str">
        <f t="shared" si="29"/>
        <v/>
      </c>
      <c r="D108" s="108" t="str">
        <f t="shared" si="30"/>
        <v/>
      </c>
      <c r="E108" s="108" t="str">
        <f t="shared" si="31"/>
        <v/>
      </c>
      <c r="F108" s="108" t="str">
        <f t="shared" si="32"/>
        <v/>
      </c>
      <c r="G108" s="114" t="str">
        <f t="shared" si="42"/>
        <v/>
      </c>
      <c r="H108" s="115">
        <f t="shared" si="43"/>
        <v>0</v>
      </c>
      <c r="I108" s="108" t="str">
        <f t="shared" si="54"/>
        <v/>
      </c>
      <c r="J108" s="108" t="str">
        <f t="shared" si="33"/>
        <v/>
      </c>
      <c r="K108" s="108" t="str">
        <f t="shared" si="34"/>
        <v/>
      </c>
      <c r="L108" s="108" t="str">
        <f t="shared" si="35"/>
        <v/>
      </c>
      <c r="M108" s="108" t="str">
        <f t="shared" si="44"/>
        <v/>
      </c>
      <c r="N108" s="114" t="str">
        <f t="shared" si="45"/>
        <v/>
      </c>
      <c r="O108" s="60">
        <v>0</v>
      </c>
      <c r="P108" s="116">
        <f t="shared" si="46"/>
        <v>0</v>
      </c>
      <c r="R108" s="117" t="str">
        <f t="shared" si="56"/>
        <v/>
      </c>
      <c r="S108" s="118" t="str">
        <f t="shared" si="36"/>
        <v/>
      </c>
      <c r="T108" s="118" t="str">
        <f t="shared" si="37"/>
        <v/>
      </c>
      <c r="U108" s="119">
        <f t="shared" si="47"/>
        <v>0</v>
      </c>
      <c r="V108" s="120" t="str">
        <f>IF(A108="","",IF(A108&lt;=Periodos_Gracia,0,PPMT(Tasa_Anual/360*Días*(1+I.V.A.),Tabla!AM108,No._De_Pagos_con_periodo_de_gracia,-Monto_Crédito)))</f>
        <v/>
      </c>
      <c r="W108" s="110" t="str">
        <f>IF($U$258&lt;=0,V108,IF(SUM($U$18:U108)&lt;=0,V108,PMT($K$5/360*Días,A108,-R108)))</f>
        <v/>
      </c>
      <c r="X108" s="121" t="str">
        <f>IF($U$258&lt;=0,W108,IF(SUM($U$18:U108)&lt;=0,V108,PMT($K$5/360*Días,No._De_Pagos_con_periodo_de_gracia,-Monto_Crédito)-S108-T108))</f>
        <v/>
      </c>
      <c r="Y108" s="117" t="str">
        <f t="shared" si="48"/>
        <v/>
      </c>
      <c r="Z108" s="61" t="str">
        <f>+IF(A108="","",IF(No._de_Pagos-Tabla!A108+1&lt;=0,"",No._de_Pagos-Tabla!A108+1))</f>
        <v/>
      </c>
      <c r="AA108" s="122" t="str">
        <f t="shared" si="49"/>
        <v/>
      </c>
      <c r="AB108" s="124" t="str">
        <f t="shared" si="55"/>
        <v/>
      </c>
      <c r="AC108" s="124" t="str">
        <f t="shared" si="38"/>
        <v/>
      </c>
      <c r="AD108" s="124" t="str">
        <f t="shared" si="39"/>
        <v/>
      </c>
      <c r="AE108" s="119">
        <f t="shared" si="50"/>
        <v>0</v>
      </c>
      <c r="AF108" s="120" t="str">
        <f t="shared" si="40"/>
        <v/>
      </c>
      <c r="AG108" s="110" t="str">
        <f>IF($U$258&lt;=0,AF108,IF(SUM($U$18:U108)&lt;=0,AF108,PMT($K$5/360*Días,A108,-AA108)))</f>
        <v/>
      </c>
      <c r="AH108" s="121" t="str">
        <f>IF(A108&lt;=Periodos_Gracia,0,IF($U$258&lt;=0,AG108,IF(SUM($U$18:U108)&lt;=0,AF108,PMT($K$5/360*Días,No._de_Pagos,-Monto_Crédito)-AC108-AD108)))</f>
        <v/>
      </c>
      <c r="AI108" s="125" t="str">
        <f t="shared" si="51"/>
        <v/>
      </c>
      <c r="AK108" s="126" t="str">
        <f>IF(A108="","",IF(Periodos_Gracia&gt;0,Tabla!AN108,V108+S108))</f>
        <v/>
      </c>
      <c r="AL108" s="126" t="str">
        <f t="shared" si="41"/>
        <v/>
      </c>
      <c r="AM108" s="61" t="str">
        <f t="shared" si="52"/>
        <v/>
      </c>
      <c r="AN108" s="127" t="str">
        <f>IF(A108="","",IF(A108&lt;=Periodos_Gracia,Tabla!S108,PPMT(Tasa_Anual/360*Días*(1+I.V.A.),Tabla!AM108,No._De_Pagos_con_periodo_de_gracia,-Monto_Crédito)+S108))</f>
        <v/>
      </c>
      <c r="AO108" s="127" t="str">
        <f>IF(A108="","",IF(A108&lt;=Periodos_Gracia,Tabla!AC108,Monto_Crédito/(No._De_Pagos_con_periodo_de_gracia)+AC108))</f>
        <v/>
      </c>
      <c r="AP108" s="117"/>
    </row>
    <row r="109" spans="1:42" x14ac:dyDescent="0.2">
      <c r="A109" s="107" t="str">
        <f>IF(A108&lt;Parámetros!$E$6,A108+1,"")</f>
        <v/>
      </c>
      <c r="B109" s="108" t="str">
        <f t="shared" si="53"/>
        <v/>
      </c>
      <c r="C109" s="108" t="str">
        <f t="shared" si="29"/>
        <v/>
      </c>
      <c r="D109" s="108" t="str">
        <f t="shared" si="30"/>
        <v/>
      </c>
      <c r="E109" s="108" t="str">
        <f t="shared" si="31"/>
        <v/>
      </c>
      <c r="F109" s="108" t="str">
        <f t="shared" si="32"/>
        <v/>
      </c>
      <c r="G109" s="114" t="str">
        <f t="shared" si="42"/>
        <v/>
      </c>
      <c r="H109" s="115">
        <f t="shared" si="43"/>
        <v>0</v>
      </c>
      <c r="I109" s="108" t="str">
        <f t="shared" si="54"/>
        <v/>
      </c>
      <c r="J109" s="108" t="str">
        <f t="shared" si="33"/>
        <v/>
      </c>
      <c r="K109" s="108" t="str">
        <f t="shared" si="34"/>
        <v/>
      </c>
      <c r="L109" s="108" t="str">
        <f t="shared" si="35"/>
        <v/>
      </c>
      <c r="M109" s="108" t="str">
        <f t="shared" si="44"/>
        <v/>
      </c>
      <c r="N109" s="114" t="str">
        <f t="shared" si="45"/>
        <v/>
      </c>
      <c r="O109" s="60">
        <v>0</v>
      </c>
      <c r="P109" s="116">
        <f t="shared" si="46"/>
        <v>0</v>
      </c>
      <c r="R109" s="117" t="str">
        <f t="shared" si="56"/>
        <v/>
      </c>
      <c r="S109" s="118" t="str">
        <f t="shared" si="36"/>
        <v/>
      </c>
      <c r="T109" s="118" t="str">
        <f t="shared" si="37"/>
        <v/>
      </c>
      <c r="U109" s="119">
        <f t="shared" si="47"/>
        <v>0</v>
      </c>
      <c r="V109" s="120" t="str">
        <f>IF(A109="","",IF(A109&lt;=Periodos_Gracia,0,PPMT(Tasa_Anual/360*Días*(1+I.V.A.),Tabla!AM109,No._De_Pagos_con_periodo_de_gracia,-Monto_Crédito)))</f>
        <v/>
      </c>
      <c r="W109" s="110" t="str">
        <f>IF($U$258&lt;=0,V109,IF(SUM($U$18:U109)&lt;=0,V109,PMT($K$5/360*Días,A109,-R109)))</f>
        <v/>
      </c>
      <c r="X109" s="121" t="str">
        <f>IF($U$258&lt;=0,W109,IF(SUM($U$18:U109)&lt;=0,V109,PMT($K$5/360*Días,No._De_Pagos_con_periodo_de_gracia,-Monto_Crédito)-S109-T109))</f>
        <v/>
      </c>
      <c r="Y109" s="117" t="str">
        <f t="shared" si="48"/>
        <v/>
      </c>
      <c r="Z109" s="61" t="str">
        <f>+IF(A109="","",IF(No._de_Pagos-Tabla!A109+1&lt;=0,"",No._de_Pagos-Tabla!A109+1))</f>
        <v/>
      </c>
      <c r="AA109" s="122" t="str">
        <f t="shared" si="49"/>
        <v/>
      </c>
      <c r="AB109" s="124" t="str">
        <f t="shared" si="55"/>
        <v/>
      </c>
      <c r="AC109" s="124" t="str">
        <f t="shared" si="38"/>
        <v/>
      </c>
      <c r="AD109" s="124" t="str">
        <f t="shared" si="39"/>
        <v/>
      </c>
      <c r="AE109" s="119">
        <f t="shared" si="50"/>
        <v>0</v>
      </c>
      <c r="AF109" s="120" t="str">
        <f t="shared" si="40"/>
        <v/>
      </c>
      <c r="AG109" s="110" t="str">
        <f>IF($U$258&lt;=0,AF109,IF(SUM($U$18:U109)&lt;=0,AF109,PMT($K$5/360*Días,A109,-AA109)))</f>
        <v/>
      </c>
      <c r="AH109" s="121" t="str">
        <f>IF(A109&lt;=Periodos_Gracia,0,IF($U$258&lt;=0,AG109,IF(SUM($U$18:U109)&lt;=0,AF109,PMT($K$5/360*Días,No._de_Pagos,-Monto_Crédito)-AC109-AD109)))</f>
        <v/>
      </c>
      <c r="AI109" s="125" t="str">
        <f t="shared" si="51"/>
        <v/>
      </c>
      <c r="AK109" s="126" t="str">
        <f>IF(A109="","",IF(Periodos_Gracia&gt;0,Tabla!AN109,V109+S109))</f>
        <v/>
      </c>
      <c r="AL109" s="126" t="str">
        <f t="shared" si="41"/>
        <v/>
      </c>
      <c r="AM109" s="61" t="str">
        <f t="shared" si="52"/>
        <v/>
      </c>
      <c r="AN109" s="127" t="str">
        <f>IF(A109="","",IF(A109&lt;=Periodos_Gracia,Tabla!S109,PPMT(Tasa_Anual/360*Días*(1+I.V.A.),Tabla!AM109,No._De_Pagos_con_periodo_de_gracia,-Monto_Crédito)+S109))</f>
        <v/>
      </c>
      <c r="AO109" s="127" t="str">
        <f>IF(A109="","",IF(A109&lt;=Periodos_Gracia,Tabla!AC109,Monto_Crédito/(No._De_Pagos_con_periodo_de_gracia)+AC109))</f>
        <v/>
      </c>
      <c r="AP109" s="117"/>
    </row>
    <row r="110" spans="1:42" x14ac:dyDescent="0.2">
      <c r="A110" s="107" t="str">
        <f>IF(A109&lt;Parámetros!$E$6,A109+1,"")</f>
        <v/>
      </c>
      <c r="B110" s="108" t="str">
        <f t="shared" si="53"/>
        <v/>
      </c>
      <c r="C110" s="108" t="str">
        <f t="shared" si="29"/>
        <v/>
      </c>
      <c r="D110" s="108" t="str">
        <f t="shared" si="30"/>
        <v/>
      </c>
      <c r="E110" s="108" t="str">
        <f t="shared" si="31"/>
        <v/>
      </c>
      <c r="F110" s="108" t="str">
        <f t="shared" si="32"/>
        <v/>
      </c>
      <c r="G110" s="114" t="str">
        <f t="shared" si="42"/>
        <v/>
      </c>
      <c r="H110" s="115">
        <f t="shared" si="43"/>
        <v>0</v>
      </c>
      <c r="I110" s="108" t="str">
        <f t="shared" si="54"/>
        <v/>
      </c>
      <c r="J110" s="108" t="str">
        <f t="shared" si="33"/>
        <v/>
      </c>
      <c r="K110" s="108" t="str">
        <f t="shared" si="34"/>
        <v/>
      </c>
      <c r="L110" s="108" t="str">
        <f t="shared" si="35"/>
        <v/>
      </c>
      <c r="M110" s="108" t="str">
        <f t="shared" si="44"/>
        <v/>
      </c>
      <c r="N110" s="114" t="str">
        <f t="shared" si="45"/>
        <v/>
      </c>
      <c r="O110" s="60">
        <v>0</v>
      </c>
      <c r="P110" s="116">
        <f t="shared" si="46"/>
        <v>0</v>
      </c>
      <c r="R110" s="117" t="str">
        <f t="shared" si="56"/>
        <v/>
      </c>
      <c r="S110" s="118" t="str">
        <f t="shared" si="36"/>
        <v/>
      </c>
      <c r="T110" s="118" t="str">
        <f t="shared" si="37"/>
        <v/>
      </c>
      <c r="U110" s="119">
        <f t="shared" si="47"/>
        <v>0</v>
      </c>
      <c r="V110" s="120" t="str">
        <f>IF(A110="","",IF(A110&lt;=Periodos_Gracia,0,PPMT(Tasa_Anual/360*Días*(1+I.V.A.),Tabla!AM110,No._De_Pagos_con_periodo_de_gracia,-Monto_Crédito)))</f>
        <v/>
      </c>
      <c r="W110" s="110" t="str">
        <f>IF($U$258&lt;=0,V110,IF(SUM($U$18:U110)&lt;=0,V110,PMT($K$5/360*Días,A110,-R110)))</f>
        <v/>
      </c>
      <c r="X110" s="121" t="str">
        <f>IF($U$258&lt;=0,W110,IF(SUM($U$18:U110)&lt;=0,V110,PMT($K$5/360*Días,No._De_Pagos_con_periodo_de_gracia,-Monto_Crédito)-S110-T110))</f>
        <v/>
      </c>
      <c r="Y110" s="117" t="str">
        <f t="shared" si="48"/>
        <v/>
      </c>
      <c r="Z110" s="61" t="str">
        <f>+IF(A110="","",IF(No._de_Pagos-Tabla!A110+1&lt;=0,"",No._de_Pagos-Tabla!A110+1))</f>
        <v/>
      </c>
      <c r="AA110" s="122" t="str">
        <f t="shared" si="49"/>
        <v/>
      </c>
      <c r="AB110" s="124" t="str">
        <f t="shared" si="55"/>
        <v/>
      </c>
      <c r="AC110" s="124" t="str">
        <f t="shared" si="38"/>
        <v/>
      </c>
      <c r="AD110" s="124" t="str">
        <f t="shared" si="39"/>
        <v/>
      </c>
      <c r="AE110" s="119">
        <f t="shared" si="50"/>
        <v>0</v>
      </c>
      <c r="AF110" s="120" t="str">
        <f t="shared" si="40"/>
        <v/>
      </c>
      <c r="AG110" s="110" t="str">
        <f>IF($U$258&lt;=0,AF110,IF(SUM($U$18:U110)&lt;=0,AF110,PMT($K$5/360*Días,A110,-AA110)))</f>
        <v/>
      </c>
      <c r="AH110" s="121" t="str">
        <f>IF(A110&lt;=Periodos_Gracia,0,IF($U$258&lt;=0,AG110,IF(SUM($U$18:U110)&lt;=0,AF110,PMT($K$5/360*Días,No._de_Pagos,-Monto_Crédito)-AC110-AD110)))</f>
        <v/>
      </c>
      <c r="AI110" s="125" t="str">
        <f t="shared" si="51"/>
        <v/>
      </c>
      <c r="AK110" s="126" t="str">
        <f>IF(A110="","",IF(Periodos_Gracia&gt;0,Tabla!AN110,V110+S110))</f>
        <v/>
      </c>
      <c r="AL110" s="126" t="str">
        <f t="shared" si="41"/>
        <v/>
      </c>
      <c r="AM110" s="61" t="str">
        <f t="shared" si="52"/>
        <v/>
      </c>
      <c r="AN110" s="127" t="str">
        <f>IF(A110="","",IF(A110&lt;=Periodos_Gracia,Tabla!S110,PPMT(Tasa_Anual/360*Días*(1+I.V.A.),Tabla!AM110,No._De_Pagos_con_periodo_de_gracia,-Monto_Crédito)+S110))</f>
        <v/>
      </c>
      <c r="AO110" s="127" t="str">
        <f>IF(A110="","",IF(A110&lt;=Periodos_Gracia,Tabla!AC110,Monto_Crédito/(No._De_Pagos_con_periodo_de_gracia)+AC110))</f>
        <v/>
      </c>
      <c r="AP110" s="117"/>
    </row>
    <row r="111" spans="1:42" x14ac:dyDescent="0.2">
      <c r="A111" s="107" t="str">
        <f>IF(A110&lt;Parámetros!$E$6,A110+1,"")</f>
        <v/>
      </c>
      <c r="B111" s="108" t="str">
        <f t="shared" si="53"/>
        <v/>
      </c>
      <c r="C111" s="108" t="str">
        <f t="shared" si="29"/>
        <v/>
      </c>
      <c r="D111" s="108" t="str">
        <f t="shared" si="30"/>
        <v/>
      </c>
      <c r="E111" s="108" t="str">
        <f t="shared" si="31"/>
        <v/>
      </c>
      <c r="F111" s="108" t="str">
        <f t="shared" si="32"/>
        <v/>
      </c>
      <c r="G111" s="114" t="str">
        <f t="shared" si="42"/>
        <v/>
      </c>
      <c r="H111" s="115">
        <f t="shared" si="43"/>
        <v>0</v>
      </c>
      <c r="I111" s="108" t="str">
        <f t="shared" si="54"/>
        <v/>
      </c>
      <c r="J111" s="108" t="str">
        <f t="shared" si="33"/>
        <v/>
      </c>
      <c r="K111" s="108" t="str">
        <f t="shared" si="34"/>
        <v/>
      </c>
      <c r="L111" s="108" t="str">
        <f t="shared" si="35"/>
        <v/>
      </c>
      <c r="M111" s="108" t="str">
        <f t="shared" si="44"/>
        <v/>
      </c>
      <c r="N111" s="114" t="str">
        <f t="shared" si="45"/>
        <v/>
      </c>
      <c r="O111" s="60">
        <v>0</v>
      </c>
      <c r="P111" s="116">
        <f t="shared" si="46"/>
        <v>0</v>
      </c>
      <c r="R111" s="117" t="str">
        <f t="shared" si="56"/>
        <v/>
      </c>
      <c r="S111" s="118" t="str">
        <f t="shared" si="36"/>
        <v/>
      </c>
      <c r="T111" s="118" t="str">
        <f t="shared" si="37"/>
        <v/>
      </c>
      <c r="U111" s="119">
        <f t="shared" si="47"/>
        <v>0</v>
      </c>
      <c r="V111" s="120" t="str">
        <f>IF(A111="","",IF(A111&lt;=Periodos_Gracia,0,PPMT(Tasa_Anual/360*Días*(1+I.V.A.),Tabla!AM111,No._De_Pagos_con_periodo_de_gracia,-Monto_Crédito)))</f>
        <v/>
      </c>
      <c r="W111" s="110" t="str">
        <f>IF($U$258&lt;=0,V111,IF(SUM($U$18:U111)&lt;=0,V111,PMT($K$5/360*Días,A111,-R111)))</f>
        <v/>
      </c>
      <c r="X111" s="121" t="str">
        <f>IF($U$258&lt;=0,W111,IF(SUM($U$18:U111)&lt;=0,V111,PMT($K$5/360*Días,No._De_Pagos_con_periodo_de_gracia,-Monto_Crédito)-S111-T111))</f>
        <v/>
      </c>
      <c r="Y111" s="117" t="str">
        <f t="shared" si="48"/>
        <v/>
      </c>
      <c r="Z111" s="61" t="str">
        <f>+IF(A111="","",IF(No._de_Pagos-Tabla!A111+1&lt;=0,"",No._de_Pagos-Tabla!A111+1))</f>
        <v/>
      </c>
      <c r="AA111" s="122" t="str">
        <f t="shared" si="49"/>
        <v/>
      </c>
      <c r="AB111" s="124" t="str">
        <f t="shared" si="55"/>
        <v/>
      </c>
      <c r="AC111" s="124" t="str">
        <f t="shared" si="38"/>
        <v/>
      </c>
      <c r="AD111" s="124" t="str">
        <f t="shared" si="39"/>
        <v/>
      </c>
      <c r="AE111" s="119">
        <f t="shared" si="50"/>
        <v>0</v>
      </c>
      <c r="AF111" s="120" t="str">
        <f t="shared" si="40"/>
        <v/>
      </c>
      <c r="AG111" s="110" t="str">
        <f>IF($U$258&lt;=0,AF111,IF(SUM($U$18:U111)&lt;=0,AF111,PMT($K$5/360*Días,A111,-AA111)))</f>
        <v/>
      </c>
      <c r="AH111" s="121" t="str">
        <f>IF(A111&lt;=Periodos_Gracia,0,IF($U$258&lt;=0,AG111,IF(SUM($U$18:U111)&lt;=0,AF111,PMT($K$5/360*Días,No._de_Pagos,-Monto_Crédito)-AC111-AD111)))</f>
        <v/>
      </c>
      <c r="AI111" s="125" t="str">
        <f t="shared" si="51"/>
        <v/>
      </c>
      <c r="AK111" s="126" t="str">
        <f>IF(A111="","",IF(Periodos_Gracia&gt;0,Tabla!AN111,V111+S111))</f>
        <v/>
      </c>
      <c r="AL111" s="126" t="str">
        <f t="shared" si="41"/>
        <v/>
      </c>
      <c r="AM111" s="61" t="str">
        <f t="shared" si="52"/>
        <v/>
      </c>
      <c r="AN111" s="127" t="str">
        <f>IF(A111="","",IF(A111&lt;=Periodos_Gracia,Tabla!S111,PPMT(Tasa_Anual/360*Días*(1+I.V.A.),Tabla!AM111,No._De_Pagos_con_periodo_de_gracia,-Monto_Crédito)+S111))</f>
        <v/>
      </c>
      <c r="AO111" s="127" t="str">
        <f>IF(A111="","",IF(A111&lt;=Periodos_Gracia,Tabla!AC111,Monto_Crédito/(No._De_Pagos_con_periodo_de_gracia)+AC111))</f>
        <v/>
      </c>
      <c r="AP111" s="117"/>
    </row>
    <row r="112" spans="1:42" x14ac:dyDescent="0.2">
      <c r="A112" s="107" t="str">
        <f>IF(A111&lt;Parámetros!$E$6,A111+1,"")</f>
        <v/>
      </c>
      <c r="B112" s="108" t="str">
        <f t="shared" si="53"/>
        <v/>
      </c>
      <c r="C112" s="108" t="str">
        <f t="shared" si="29"/>
        <v/>
      </c>
      <c r="D112" s="108" t="str">
        <f t="shared" si="30"/>
        <v/>
      </c>
      <c r="E112" s="108" t="str">
        <f t="shared" si="31"/>
        <v/>
      </c>
      <c r="F112" s="108" t="str">
        <f t="shared" si="32"/>
        <v/>
      </c>
      <c r="G112" s="114" t="str">
        <f t="shared" si="42"/>
        <v/>
      </c>
      <c r="H112" s="115">
        <f t="shared" si="43"/>
        <v>0</v>
      </c>
      <c r="I112" s="108" t="str">
        <f t="shared" si="54"/>
        <v/>
      </c>
      <c r="J112" s="108" t="str">
        <f t="shared" si="33"/>
        <v/>
      </c>
      <c r="K112" s="108" t="str">
        <f t="shared" si="34"/>
        <v/>
      </c>
      <c r="L112" s="108" t="str">
        <f t="shared" si="35"/>
        <v/>
      </c>
      <c r="M112" s="108" t="str">
        <f t="shared" si="44"/>
        <v/>
      </c>
      <c r="N112" s="114" t="str">
        <f t="shared" si="45"/>
        <v/>
      </c>
      <c r="O112" s="60">
        <v>0</v>
      </c>
      <c r="P112" s="116">
        <f t="shared" si="46"/>
        <v>0</v>
      </c>
      <c r="R112" s="117" t="str">
        <f t="shared" si="56"/>
        <v/>
      </c>
      <c r="S112" s="118" t="str">
        <f t="shared" si="36"/>
        <v/>
      </c>
      <c r="T112" s="118" t="str">
        <f t="shared" si="37"/>
        <v/>
      </c>
      <c r="U112" s="119">
        <f t="shared" si="47"/>
        <v>0</v>
      </c>
      <c r="V112" s="120" t="str">
        <f>IF(A112="","",IF(A112&lt;=Periodos_Gracia,0,PPMT(Tasa_Anual/360*Días*(1+I.V.A.),Tabla!AM112,No._De_Pagos_con_periodo_de_gracia,-Monto_Crédito)))</f>
        <v/>
      </c>
      <c r="W112" s="110" t="str">
        <f>IF($U$258&lt;=0,V112,IF(SUM($U$18:U112)&lt;=0,V112,PMT($K$5/360*Días,A112,-R112)))</f>
        <v/>
      </c>
      <c r="X112" s="121" t="str">
        <f>IF($U$258&lt;=0,W112,IF(SUM($U$18:U112)&lt;=0,V112,PMT($K$5/360*Días,No._De_Pagos_con_periodo_de_gracia,-Monto_Crédito)-S112-T112))</f>
        <v/>
      </c>
      <c r="Y112" s="117" t="str">
        <f t="shared" si="48"/>
        <v/>
      </c>
      <c r="Z112" s="61" t="str">
        <f>+IF(A112="","",IF(No._de_Pagos-Tabla!A112+1&lt;=0,"",No._de_Pagos-Tabla!A112+1))</f>
        <v/>
      </c>
      <c r="AA112" s="122" t="str">
        <f t="shared" si="49"/>
        <v/>
      </c>
      <c r="AB112" s="124" t="str">
        <f t="shared" si="55"/>
        <v/>
      </c>
      <c r="AC112" s="124" t="str">
        <f t="shared" si="38"/>
        <v/>
      </c>
      <c r="AD112" s="124" t="str">
        <f t="shared" si="39"/>
        <v/>
      </c>
      <c r="AE112" s="119">
        <f t="shared" si="50"/>
        <v>0</v>
      </c>
      <c r="AF112" s="120" t="str">
        <f t="shared" si="40"/>
        <v/>
      </c>
      <c r="AG112" s="110" t="str">
        <f>IF($U$258&lt;=0,AF112,IF(SUM($U$18:U112)&lt;=0,AF112,PMT($K$5/360*Días,A112,-AA112)))</f>
        <v/>
      </c>
      <c r="AH112" s="121" t="str">
        <f>IF(A112&lt;=Periodos_Gracia,0,IF($U$258&lt;=0,AG112,IF(SUM($U$18:U112)&lt;=0,AF112,PMT($K$5/360*Días,No._de_Pagos,-Monto_Crédito)-AC112-AD112)))</f>
        <v/>
      </c>
      <c r="AI112" s="125" t="str">
        <f t="shared" si="51"/>
        <v/>
      </c>
      <c r="AK112" s="126" t="str">
        <f>IF(A112="","",IF(Periodos_Gracia&gt;0,Tabla!AN112,V112+S112))</f>
        <v/>
      </c>
      <c r="AL112" s="126" t="str">
        <f t="shared" si="41"/>
        <v/>
      </c>
      <c r="AM112" s="61" t="str">
        <f t="shared" si="52"/>
        <v/>
      </c>
      <c r="AN112" s="127" t="str">
        <f>IF(A112="","",IF(A112&lt;=Periodos_Gracia,Tabla!S112,PPMT(Tasa_Anual/360*Días*(1+I.V.A.),Tabla!AM112,No._De_Pagos_con_periodo_de_gracia,-Monto_Crédito)+S112))</f>
        <v/>
      </c>
      <c r="AO112" s="127" t="str">
        <f>IF(A112="","",IF(A112&lt;=Periodos_Gracia,Tabla!AC112,Monto_Crédito/(No._De_Pagos_con_periodo_de_gracia)+AC112))</f>
        <v/>
      </c>
      <c r="AP112" s="117"/>
    </row>
    <row r="113" spans="1:42" x14ac:dyDescent="0.2">
      <c r="A113" s="107" t="str">
        <f>IF(A112&lt;Parámetros!$E$6,A112+1,"")</f>
        <v/>
      </c>
      <c r="B113" s="108" t="str">
        <f t="shared" si="53"/>
        <v/>
      </c>
      <c r="C113" s="108" t="str">
        <f t="shared" si="29"/>
        <v/>
      </c>
      <c r="D113" s="108" t="str">
        <f t="shared" si="30"/>
        <v/>
      </c>
      <c r="E113" s="108" t="str">
        <f t="shared" si="31"/>
        <v/>
      </c>
      <c r="F113" s="108" t="str">
        <f t="shared" si="32"/>
        <v/>
      </c>
      <c r="G113" s="114" t="str">
        <f t="shared" si="42"/>
        <v/>
      </c>
      <c r="H113" s="115">
        <f t="shared" si="43"/>
        <v>0</v>
      </c>
      <c r="I113" s="108" t="str">
        <f t="shared" si="54"/>
        <v/>
      </c>
      <c r="J113" s="108" t="str">
        <f t="shared" si="33"/>
        <v/>
      </c>
      <c r="K113" s="108" t="str">
        <f t="shared" si="34"/>
        <v/>
      </c>
      <c r="L113" s="108" t="str">
        <f t="shared" si="35"/>
        <v/>
      </c>
      <c r="M113" s="108" t="str">
        <f t="shared" si="44"/>
        <v/>
      </c>
      <c r="N113" s="114" t="str">
        <f t="shared" si="45"/>
        <v/>
      </c>
      <c r="O113" s="60">
        <v>0</v>
      </c>
      <c r="P113" s="116">
        <f t="shared" si="46"/>
        <v>0</v>
      </c>
      <c r="R113" s="117" t="str">
        <f t="shared" si="56"/>
        <v/>
      </c>
      <c r="S113" s="118" t="str">
        <f t="shared" si="36"/>
        <v/>
      </c>
      <c r="T113" s="118" t="str">
        <f t="shared" si="37"/>
        <v/>
      </c>
      <c r="U113" s="119">
        <f t="shared" si="47"/>
        <v>0</v>
      </c>
      <c r="V113" s="120" t="str">
        <f>IF(A113="","",IF(A113&lt;=Periodos_Gracia,0,PPMT(Tasa_Anual/360*Días*(1+I.V.A.),Tabla!AM113,No._De_Pagos_con_periodo_de_gracia,-Monto_Crédito)))</f>
        <v/>
      </c>
      <c r="W113" s="110" t="str">
        <f>IF($U$258&lt;=0,V113,IF(SUM($U$18:U113)&lt;=0,V113,PMT($K$5/360*Días,A113,-R113)))</f>
        <v/>
      </c>
      <c r="X113" s="121" t="str">
        <f>IF($U$258&lt;=0,W113,IF(SUM($U$18:U113)&lt;=0,V113,PMT($K$5/360*Días,No._De_Pagos_con_periodo_de_gracia,-Monto_Crédito)-S113-T113))</f>
        <v/>
      </c>
      <c r="Y113" s="117" t="str">
        <f t="shared" si="48"/>
        <v/>
      </c>
      <c r="Z113" s="61" t="str">
        <f>+IF(A113="","",IF(No._de_Pagos-Tabla!A113+1&lt;=0,"",No._de_Pagos-Tabla!A113+1))</f>
        <v/>
      </c>
      <c r="AA113" s="122" t="str">
        <f t="shared" si="49"/>
        <v/>
      </c>
      <c r="AB113" s="124" t="str">
        <f t="shared" si="55"/>
        <v/>
      </c>
      <c r="AC113" s="124" t="str">
        <f t="shared" si="38"/>
        <v/>
      </c>
      <c r="AD113" s="124" t="str">
        <f t="shared" si="39"/>
        <v/>
      </c>
      <c r="AE113" s="119">
        <f t="shared" si="50"/>
        <v>0</v>
      </c>
      <c r="AF113" s="120" t="str">
        <f t="shared" si="40"/>
        <v/>
      </c>
      <c r="AG113" s="110" t="str">
        <f>IF($U$258&lt;=0,AF113,IF(SUM($U$18:U113)&lt;=0,AF113,PMT($K$5/360*Días,A113,-AA113)))</f>
        <v/>
      </c>
      <c r="AH113" s="121" t="str">
        <f>IF(A113&lt;=Periodos_Gracia,0,IF($U$258&lt;=0,AG113,IF(SUM($U$18:U113)&lt;=0,AF113,PMT($K$5/360*Días,No._de_Pagos,-Monto_Crédito)-AC113-AD113)))</f>
        <v/>
      </c>
      <c r="AI113" s="125" t="str">
        <f t="shared" si="51"/>
        <v/>
      </c>
      <c r="AK113" s="126" t="str">
        <f>IF(A113="","",IF(Periodos_Gracia&gt;0,Tabla!AN113,V113+S113))</f>
        <v/>
      </c>
      <c r="AL113" s="126" t="str">
        <f t="shared" si="41"/>
        <v/>
      </c>
      <c r="AM113" s="61" t="str">
        <f t="shared" si="52"/>
        <v/>
      </c>
      <c r="AN113" s="127" t="str">
        <f>IF(A113="","",IF(A113&lt;=Periodos_Gracia,Tabla!S113,PPMT(Tasa_Anual/360*Días*(1+I.V.A.),Tabla!AM113,No._De_Pagos_con_periodo_de_gracia,-Monto_Crédito)+S113))</f>
        <v/>
      </c>
      <c r="AO113" s="127" t="str">
        <f>IF(A113="","",IF(A113&lt;=Periodos_Gracia,Tabla!AC113,Monto_Crédito/(No._De_Pagos_con_periodo_de_gracia)+AC113))</f>
        <v/>
      </c>
      <c r="AP113" s="117"/>
    </row>
    <row r="114" spans="1:42" x14ac:dyDescent="0.2">
      <c r="A114" s="107" t="str">
        <f>IF(A113&lt;Parámetros!$E$6,A113+1,"")</f>
        <v/>
      </c>
      <c r="B114" s="108" t="str">
        <f t="shared" si="53"/>
        <v/>
      </c>
      <c r="C114" s="108" t="str">
        <f t="shared" si="29"/>
        <v/>
      </c>
      <c r="D114" s="108" t="str">
        <f t="shared" si="30"/>
        <v/>
      </c>
      <c r="E114" s="108" t="str">
        <f t="shared" si="31"/>
        <v/>
      </c>
      <c r="F114" s="108" t="str">
        <f t="shared" si="32"/>
        <v/>
      </c>
      <c r="G114" s="114" t="str">
        <f t="shared" si="42"/>
        <v/>
      </c>
      <c r="H114" s="115">
        <f t="shared" si="43"/>
        <v>0</v>
      </c>
      <c r="I114" s="108" t="str">
        <f t="shared" si="54"/>
        <v/>
      </c>
      <c r="J114" s="108" t="str">
        <f t="shared" si="33"/>
        <v/>
      </c>
      <c r="K114" s="108" t="str">
        <f t="shared" si="34"/>
        <v/>
      </c>
      <c r="L114" s="108" t="str">
        <f t="shared" si="35"/>
        <v/>
      </c>
      <c r="M114" s="108" t="str">
        <f t="shared" si="44"/>
        <v/>
      </c>
      <c r="N114" s="114" t="str">
        <f t="shared" si="45"/>
        <v/>
      </c>
      <c r="O114" s="60">
        <v>0</v>
      </c>
      <c r="P114" s="116">
        <f t="shared" si="46"/>
        <v>0</v>
      </c>
      <c r="R114" s="117" t="str">
        <f t="shared" si="56"/>
        <v/>
      </c>
      <c r="S114" s="118" t="str">
        <f t="shared" si="36"/>
        <v/>
      </c>
      <c r="T114" s="118" t="str">
        <f t="shared" si="37"/>
        <v/>
      </c>
      <c r="U114" s="119">
        <f t="shared" si="47"/>
        <v>0</v>
      </c>
      <c r="V114" s="120" t="str">
        <f>IF(A114="","",IF(A114&lt;=Periodos_Gracia,0,PPMT(Tasa_Anual/360*Días*(1+I.V.A.),Tabla!AM114,No._De_Pagos_con_periodo_de_gracia,-Monto_Crédito)))</f>
        <v/>
      </c>
      <c r="W114" s="110" t="str">
        <f>IF($U$258&lt;=0,V114,IF(SUM($U$18:U114)&lt;=0,V114,PMT($K$5/360*Días,A114,-R114)))</f>
        <v/>
      </c>
      <c r="X114" s="121" t="str">
        <f>IF($U$258&lt;=0,W114,IF(SUM($U$18:U114)&lt;=0,V114,PMT($K$5/360*Días,No._De_Pagos_con_periodo_de_gracia,-Monto_Crédito)-S114-T114))</f>
        <v/>
      </c>
      <c r="Y114" s="117" t="str">
        <f t="shared" si="48"/>
        <v/>
      </c>
      <c r="Z114" s="61" t="str">
        <f>+IF(A114="","",IF(No._de_Pagos-Tabla!A114+1&lt;=0,"",No._de_Pagos-Tabla!A114+1))</f>
        <v/>
      </c>
      <c r="AA114" s="122" t="str">
        <f t="shared" si="49"/>
        <v/>
      </c>
      <c r="AB114" s="124" t="str">
        <f t="shared" si="55"/>
        <v/>
      </c>
      <c r="AC114" s="124" t="str">
        <f t="shared" si="38"/>
        <v/>
      </c>
      <c r="AD114" s="124" t="str">
        <f t="shared" si="39"/>
        <v/>
      </c>
      <c r="AE114" s="119">
        <f t="shared" si="50"/>
        <v>0</v>
      </c>
      <c r="AF114" s="120" t="str">
        <f t="shared" si="40"/>
        <v/>
      </c>
      <c r="AG114" s="110" t="str">
        <f>IF($U$258&lt;=0,AF114,IF(SUM($U$18:U114)&lt;=0,AF114,PMT($K$5/360*Días,A114,-AA114)))</f>
        <v/>
      </c>
      <c r="AH114" s="121" t="str">
        <f>IF(A114&lt;=Periodos_Gracia,0,IF($U$258&lt;=0,AG114,IF(SUM($U$18:U114)&lt;=0,AF114,PMT($K$5/360*Días,No._de_Pagos,-Monto_Crédito)-AC114-AD114)))</f>
        <v/>
      </c>
      <c r="AI114" s="125" t="str">
        <f t="shared" si="51"/>
        <v/>
      </c>
      <c r="AK114" s="126" t="str">
        <f>IF(A114="","",IF(Periodos_Gracia&gt;0,Tabla!AN114,V114+S114))</f>
        <v/>
      </c>
      <c r="AL114" s="126" t="str">
        <f t="shared" si="41"/>
        <v/>
      </c>
      <c r="AM114" s="61" t="str">
        <f t="shared" si="52"/>
        <v/>
      </c>
      <c r="AN114" s="127" t="str">
        <f>IF(A114="","",IF(A114&lt;=Periodos_Gracia,Tabla!S114,PPMT(Tasa_Anual/360*Días*(1+I.V.A.),Tabla!AM114,No._De_Pagos_con_periodo_de_gracia,-Monto_Crédito)+S114))</f>
        <v/>
      </c>
      <c r="AO114" s="127" t="str">
        <f>IF(A114="","",IF(A114&lt;=Periodos_Gracia,Tabla!AC114,Monto_Crédito/(No._De_Pagos_con_periodo_de_gracia)+AC114))</f>
        <v/>
      </c>
      <c r="AP114" s="117"/>
    </row>
    <row r="115" spans="1:42" x14ac:dyDescent="0.2">
      <c r="A115" s="107" t="str">
        <f>IF(A114&lt;Parámetros!$E$6,A114+1,"")</f>
        <v/>
      </c>
      <c r="B115" s="108" t="str">
        <f t="shared" si="53"/>
        <v/>
      </c>
      <c r="C115" s="108" t="str">
        <f t="shared" si="29"/>
        <v/>
      </c>
      <c r="D115" s="108" t="str">
        <f t="shared" si="30"/>
        <v/>
      </c>
      <c r="E115" s="108" t="str">
        <f t="shared" si="31"/>
        <v/>
      </c>
      <c r="F115" s="108" t="str">
        <f t="shared" si="32"/>
        <v/>
      </c>
      <c r="G115" s="114" t="str">
        <f t="shared" si="42"/>
        <v/>
      </c>
      <c r="H115" s="115">
        <f t="shared" si="43"/>
        <v>0</v>
      </c>
      <c r="I115" s="108" t="str">
        <f t="shared" si="54"/>
        <v/>
      </c>
      <c r="J115" s="108" t="str">
        <f t="shared" si="33"/>
        <v/>
      </c>
      <c r="K115" s="108" t="str">
        <f t="shared" si="34"/>
        <v/>
      </c>
      <c r="L115" s="108" t="str">
        <f t="shared" si="35"/>
        <v/>
      </c>
      <c r="M115" s="108" t="str">
        <f t="shared" si="44"/>
        <v/>
      </c>
      <c r="N115" s="114" t="str">
        <f t="shared" si="45"/>
        <v/>
      </c>
      <c r="O115" s="60">
        <v>0</v>
      </c>
      <c r="P115" s="116">
        <f t="shared" si="46"/>
        <v>0</v>
      </c>
      <c r="R115" s="117" t="str">
        <f t="shared" si="56"/>
        <v/>
      </c>
      <c r="S115" s="118" t="str">
        <f t="shared" si="36"/>
        <v/>
      </c>
      <c r="T115" s="118" t="str">
        <f t="shared" si="37"/>
        <v/>
      </c>
      <c r="U115" s="119">
        <f t="shared" si="47"/>
        <v>0</v>
      </c>
      <c r="V115" s="120" t="str">
        <f>IF(A115="","",IF(A115&lt;=Periodos_Gracia,0,PPMT(Tasa_Anual/360*Días*(1+I.V.A.),Tabla!AM115,No._De_Pagos_con_periodo_de_gracia,-Monto_Crédito)))</f>
        <v/>
      </c>
      <c r="W115" s="110" t="str">
        <f>IF($U$258&lt;=0,V115,IF(SUM($U$18:U115)&lt;=0,V115,PMT($K$5/360*Días,A115,-R115)))</f>
        <v/>
      </c>
      <c r="X115" s="121" t="str">
        <f>IF($U$258&lt;=0,W115,IF(SUM($U$18:U115)&lt;=0,V115,PMT($K$5/360*Días,No._De_Pagos_con_periodo_de_gracia,-Monto_Crédito)-S115-T115))</f>
        <v/>
      </c>
      <c r="Y115" s="117" t="str">
        <f t="shared" si="48"/>
        <v/>
      </c>
      <c r="Z115" s="61" t="str">
        <f>+IF(A115="","",IF(No._de_Pagos-Tabla!A115+1&lt;=0,"",No._de_Pagos-Tabla!A115+1))</f>
        <v/>
      </c>
      <c r="AA115" s="122" t="str">
        <f t="shared" si="49"/>
        <v/>
      </c>
      <c r="AB115" s="124" t="str">
        <f t="shared" si="55"/>
        <v/>
      </c>
      <c r="AC115" s="124" t="str">
        <f t="shared" si="38"/>
        <v/>
      </c>
      <c r="AD115" s="124" t="str">
        <f t="shared" si="39"/>
        <v/>
      </c>
      <c r="AE115" s="119">
        <f t="shared" si="50"/>
        <v>0</v>
      </c>
      <c r="AF115" s="120" t="str">
        <f t="shared" si="40"/>
        <v/>
      </c>
      <c r="AG115" s="110" t="str">
        <f>IF($U$258&lt;=0,AF115,IF(SUM($U$18:U115)&lt;=0,AF115,PMT($K$5/360*Días,A115,-AA115)))</f>
        <v/>
      </c>
      <c r="AH115" s="121" t="str">
        <f>IF(A115&lt;=Periodos_Gracia,0,IF($U$258&lt;=0,AG115,IF(SUM($U$18:U115)&lt;=0,AF115,PMT($K$5/360*Días,No._de_Pagos,-Monto_Crédito)-AC115-AD115)))</f>
        <v/>
      </c>
      <c r="AI115" s="125" t="str">
        <f t="shared" si="51"/>
        <v/>
      </c>
      <c r="AK115" s="126" t="str">
        <f>IF(A115="","",IF(Periodos_Gracia&gt;0,Tabla!AN115,V115+S115))</f>
        <v/>
      </c>
      <c r="AL115" s="126" t="str">
        <f t="shared" si="41"/>
        <v/>
      </c>
      <c r="AM115" s="61" t="str">
        <f t="shared" si="52"/>
        <v/>
      </c>
      <c r="AN115" s="127" t="str">
        <f>IF(A115="","",IF(A115&lt;=Periodos_Gracia,Tabla!S115,PPMT(Tasa_Anual/360*Días*(1+I.V.A.),Tabla!AM115,No._De_Pagos_con_periodo_de_gracia,-Monto_Crédito)+S115))</f>
        <v/>
      </c>
      <c r="AO115" s="127" t="str">
        <f>IF(A115="","",IF(A115&lt;=Periodos_Gracia,Tabla!AC115,Monto_Crédito/(No._De_Pagos_con_periodo_de_gracia)+AC115))</f>
        <v/>
      </c>
      <c r="AP115" s="117"/>
    </row>
    <row r="116" spans="1:42" x14ac:dyDescent="0.2">
      <c r="A116" s="107" t="str">
        <f>IF(A115&lt;Parámetros!$E$6,A115+1,"")</f>
        <v/>
      </c>
      <c r="B116" s="108" t="str">
        <f t="shared" si="53"/>
        <v/>
      </c>
      <c r="C116" s="108" t="str">
        <f t="shared" si="29"/>
        <v/>
      </c>
      <c r="D116" s="108" t="str">
        <f t="shared" si="30"/>
        <v/>
      </c>
      <c r="E116" s="108" t="str">
        <f t="shared" si="31"/>
        <v/>
      </c>
      <c r="F116" s="108" t="str">
        <f t="shared" si="32"/>
        <v/>
      </c>
      <c r="G116" s="114" t="str">
        <f t="shared" si="42"/>
        <v/>
      </c>
      <c r="H116" s="115">
        <f t="shared" si="43"/>
        <v>0</v>
      </c>
      <c r="I116" s="108" t="str">
        <f t="shared" si="54"/>
        <v/>
      </c>
      <c r="J116" s="108" t="str">
        <f t="shared" si="33"/>
        <v/>
      </c>
      <c r="K116" s="108" t="str">
        <f t="shared" si="34"/>
        <v/>
      </c>
      <c r="L116" s="108" t="str">
        <f t="shared" si="35"/>
        <v/>
      </c>
      <c r="M116" s="108" t="str">
        <f t="shared" si="44"/>
        <v/>
      </c>
      <c r="N116" s="114" t="str">
        <f t="shared" si="45"/>
        <v/>
      </c>
      <c r="O116" s="60">
        <v>0</v>
      </c>
      <c r="P116" s="116">
        <f t="shared" si="46"/>
        <v>0</v>
      </c>
      <c r="R116" s="117" t="str">
        <f t="shared" si="56"/>
        <v/>
      </c>
      <c r="S116" s="118" t="str">
        <f t="shared" si="36"/>
        <v/>
      </c>
      <c r="T116" s="118" t="str">
        <f t="shared" si="37"/>
        <v/>
      </c>
      <c r="U116" s="119">
        <f t="shared" si="47"/>
        <v>0</v>
      </c>
      <c r="V116" s="120" t="str">
        <f>IF(A116="","",IF(A116&lt;=Periodos_Gracia,0,PPMT(Tasa_Anual/360*Días*(1+I.V.A.),Tabla!AM116,No._De_Pagos_con_periodo_de_gracia,-Monto_Crédito)))</f>
        <v/>
      </c>
      <c r="W116" s="110" t="str">
        <f>IF($U$258&lt;=0,V116,IF(SUM($U$18:U116)&lt;=0,V116,PMT($K$5/360*Días,A116,-R116)))</f>
        <v/>
      </c>
      <c r="X116" s="121" t="str">
        <f>IF($U$258&lt;=0,W116,IF(SUM($U$18:U116)&lt;=0,V116,PMT($K$5/360*Días,No._De_Pagos_con_periodo_de_gracia,-Monto_Crédito)-S116-T116))</f>
        <v/>
      </c>
      <c r="Y116" s="117" t="str">
        <f t="shared" si="48"/>
        <v/>
      </c>
      <c r="Z116" s="61" t="str">
        <f>+IF(A116="","",IF(No._de_Pagos-Tabla!A116+1&lt;=0,"",No._de_Pagos-Tabla!A116+1))</f>
        <v/>
      </c>
      <c r="AA116" s="122" t="str">
        <f t="shared" si="49"/>
        <v/>
      </c>
      <c r="AB116" s="124" t="str">
        <f t="shared" si="55"/>
        <v/>
      </c>
      <c r="AC116" s="124" t="str">
        <f t="shared" si="38"/>
        <v/>
      </c>
      <c r="AD116" s="124" t="str">
        <f t="shared" si="39"/>
        <v/>
      </c>
      <c r="AE116" s="119">
        <f t="shared" si="50"/>
        <v>0</v>
      </c>
      <c r="AF116" s="120" t="str">
        <f t="shared" si="40"/>
        <v/>
      </c>
      <c r="AG116" s="110" t="str">
        <f>IF($U$258&lt;=0,AF116,IF(SUM($U$18:U116)&lt;=0,AF116,PMT($K$5/360*Días,A116,-AA116)))</f>
        <v/>
      </c>
      <c r="AH116" s="121" t="str">
        <f>IF(A116&lt;=Periodos_Gracia,0,IF($U$258&lt;=0,AG116,IF(SUM($U$18:U116)&lt;=0,AF116,PMT($K$5/360*Días,No._de_Pagos,-Monto_Crédito)-AC116-AD116)))</f>
        <v/>
      </c>
      <c r="AI116" s="125" t="str">
        <f t="shared" si="51"/>
        <v/>
      </c>
      <c r="AK116" s="126" t="str">
        <f>IF(A116="","",IF(Periodos_Gracia&gt;0,Tabla!AN116,V116+S116))</f>
        <v/>
      </c>
      <c r="AL116" s="126" t="str">
        <f t="shared" si="41"/>
        <v/>
      </c>
      <c r="AM116" s="61" t="str">
        <f t="shared" si="52"/>
        <v/>
      </c>
      <c r="AN116" s="127" t="str">
        <f>IF(A116="","",IF(A116&lt;=Periodos_Gracia,Tabla!S116,PPMT(Tasa_Anual/360*Días*(1+I.V.A.),Tabla!AM116,No._De_Pagos_con_periodo_de_gracia,-Monto_Crédito)+S116))</f>
        <v/>
      </c>
      <c r="AO116" s="127" t="str">
        <f>IF(A116="","",IF(A116&lt;=Periodos_Gracia,Tabla!AC116,Monto_Crédito/(No._De_Pagos_con_periodo_de_gracia)+AC116))</f>
        <v/>
      </c>
      <c r="AP116" s="117"/>
    </row>
    <row r="117" spans="1:42" x14ac:dyDescent="0.2">
      <c r="A117" s="107" t="str">
        <f>IF(A116&lt;Parámetros!$E$6,A116+1,"")</f>
        <v/>
      </c>
      <c r="B117" s="108" t="str">
        <f t="shared" si="53"/>
        <v/>
      </c>
      <c r="C117" s="108" t="str">
        <f t="shared" si="29"/>
        <v/>
      </c>
      <c r="D117" s="108" t="str">
        <f t="shared" si="30"/>
        <v/>
      </c>
      <c r="E117" s="108" t="str">
        <f t="shared" si="31"/>
        <v/>
      </c>
      <c r="F117" s="108" t="str">
        <f t="shared" si="32"/>
        <v/>
      </c>
      <c r="G117" s="114" t="str">
        <f t="shared" si="42"/>
        <v/>
      </c>
      <c r="H117" s="115">
        <f t="shared" si="43"/>
        <v>0</v>
      </c>
      <c r="I117" s="108" t="str">
        <f t="shared" si="54"/>
        <v/>
      </c>
      <c r="J117" s="108" t="str">
        <f t="shared" si="33"/>
        <v/>
      </c>
      <c r="K117" s="108" t="str">
        <f t="shared" si="34"/>
        <v/>
      </c>
      <c r="L117" s="108" t="str">
        <f t="shared" si="35"/>
        <v/>
      </c>
      <c r="M117" s="108" t="str">
        <f t="shared" si="44"/>
        <v/>
      </c>
      <c r="N117" s="114" t="str">
        <f t="shared" si="45"/>
        <v/>
      </c>
      <c r="O117" s="60">
        <v>0</v>
      </c>
      <c r="P117" s="116">
        <f t="shared" si="46"/>
        <v>0</v>
      </c>
      <c r="R117" s="117" t="str">
        <f t="shared" si="56"/>
        <v/>
      </c>
      <c r="S117" s="118" t="str">
        <f t="shared" si="36"/>
        <v/>
      </c>
      <c r="T117" s="118" t="str">
        <f t="shared" si="37"/>
        <v/>
      </c>
      <c r="U117" s="119">
        <f t="shared" si="47"/>
        <v>0</v>
      </c>
      <c r="V117" s="120" t="str">
        <f>IF(A117="","",IF(A117&lt;=Periodos_Gracia,0,PPMT(Tasa_Anual/360*Días*(1+I.V.A.),Tabla!AM117,No._De_Pagos_con_periodo_de_gracia,-Monto_Crédito)))</f>
        <v/>
      </c>
      <c r="W117" s="110" t="str">
        <f>IF($U$258&lt;=0,V117,IF(SUM($U$18:U117)&lt;=0,V117,PMT($K$5/360*Días,A117,-R117)))</f>
        <v/>
      </c>
      <c r="X117" s="121" t="str">
        <f>IF($U$258&lt;=0,W117,IF(SUM($U$18:U117)&lt;=0,V117,PMT($K$5/360*Días,No._De_Pagos_con_periodo_de_gracia,-Monto_Crédito)-S117-T117))</f>
        <v/>
      </c>
      <c r="Y117" s="117" t="str">
        <f t="shared" si="48"/>
        <v/>
      </c>
      <c r="Z117" s="61" t="str">
        <f>+IF(A117="","",IF(No._de_Pagos-Tabla!A117+1&lt;=0,"",No._de_Pagos-Tabla!A117+1))</f>
        <v/>
      </c>
      <c r="AA117" s="122" t="str">
        <f t="shared" si="49"/>
        <v/>
      </c>
      <c r="AB117" s="124" t="str">
        <f t="shared" si="55"/>
        <v/>
      </c>
      <c r="AC117" s="124" t="str">
        <f t="shared" si="38"/>
        <v/>
      </c>
      <c r="AD117" s="124" t="str">
        <f t="shared" si="39"/>
        <v/>
      </c>
      <c r="AE117" s="119">
        <f t="shared" si="50"/>
        <v>0</v>
      </c>
      <c r="AF117" s="120" t="str">
        <f t="shared" si="40"/>
        <v/>
      </c>
      <c r="AG117" s="110" t="str">
        <f>IF($U$258&lt;=0,AF117,IF(SUM($U$18:U117)&lt;=0,AF117,PMT($K$5/360*Días,A117,-AA117)))</f>
        <v/>
      </c>
      <c r="AH117" s="121" t="str">
        <f>IF(A117&lt;=Periodos_Gracia,0,IF($U$258&lt;=0,AG117,IF(SUM($U$18:U117)&lt;=0,AF117,PMT($K$5/360*Días,No._de_Pagos,-Monto_Crédito)-AC117-AD117)))</f>
        <v/>
      </c>
      <c r="AI117" s="125" t="str">
        <f t="shared" si="51"/>
        <v/>
      </c>
      <c r="AK117" s="126" t="str">
        <f>IF(A117="","",IF(Periodos_Gracia&gt;0,Tabla!AN117,V117+S117))</f>
        <v/>
      </c>
      <c r="AL117" s="126" t="str">
        <f t="shared" si="41"/>
        <v/>
      </c>
      <c r="AM117" s="61" t="str">
        <f t="shared" si="52"/>
        <v/>
      </c>
      <c r="AN117" s="127" t="str">
        <f>IF(A117="","",IF(A117&lt;=Periodos_Gracia,Tabla!S117,PPMT(Tasa_Anual/360*Días*(1+I.V.A.),Tabla!AM117,No._De_Pagos_con_periodo_de_gracia,-Monto_Crédito)+S117))</f>
        <v/>
      </c>
      <c r="AO117" s="127" t="str">
        <f>IF(A117="","",IF(A117&lt;=Periodos_Gracia,Tabla!AC117,Monto_Crédito/(No._De_Pagos_con_periodo_de_gracia)+AC117))</f>
        <v/>
      </c>
      <c r="AP117" s="117"/>
    </row>
    <row r="118" spans="1:42" x14ac:dyDescent="0.2">
      <c r="A118" s="107" t="str">
        <f>IF(A117&lt;Parámetros!$E$6,A117+1,"")</f>
        <v/>
      </c>
      <c r="B118" s="108" t="str">
        <f t="shared" si="53"/>
        <v/>
      </c>
      <c r="C118" s="108" t="str">
        <f t="shared" si="29"/>
        <v/>
      </c>
      <c r="D118" s="108" t="str">
        <f t="shared" si="30"/>
        <v/>
      </c>
      <c r="E118" s="108" t="str">
        <f t="shared" si="31"/>
        <v/>
      </c>
      <c r="F118" s="108" t="str">
        <f t="shared" si="32"/>
        <v/>
      </c>
      <c r="G118" s="114" t="str">
        <f t="shared" si="42"/>
        <v/>
      </c>
      <c r="H118" s="115">
        <f t="shared" si="43"/>
        <v>0</v>
      </c>
      <c r="I118" s="108" t="str">
        <f t="shared" si="54"/>
        <v/>
      </c>
      <c r="J118" s="108" t="str">
        <f t="shared" si="33"/>
        <v/>
      </c>
      <c r="K118" s="108" t="str">
        <f t="shared" si="34"/>
        <v/>
      </c>
      <c r="L118" s="108" t="str">
        <f t="shared" si="35"/>
        <v/>
      </c>
      <c r="M118" s="108" t="str">
        <f t="shared" si="44"/>
        <v/>
      </c>
      <c r="N118" s="114" t="str">
        <f t="shared" si="45"/>
        <v/>
      </c>
      <c r="O118" s="60">
        <v>0</v>
      </c>
      <c r="P118" s="116">
        <f t="shared" si="46"/>
        <v>0</v>
      </c>
      <c r="R118" s="117" t="str">
        <f t="shared" si="56"/>
        <v/>
      </c>
      <c r="S118" s="118" t="str">
        <f t="shared" si="36"/>
        <v/>
      </c>
      <c r="T118" s="118" t="str">
        <f t="shared" si="37"/>
        <v/>
      </c>
      <c r="U118" s="119">
        <f t="shared" si="47"/>
        <v>0</v>
      </c>
      <c r="V118" s="120" t="str">
        <f>IF(A118="","",IF(A118&lt;=Periodos_Gracia,0,PPMT(Tasa_Anual/360*Días*(1+I.V.A.),Tabla!AM118,No._De_Pagos_con_periodo_de_gracia,-Monto_Crédito)))</f>
        <v/>
      </c>
      <c r="W118" s="110" t="str">
        <f>IF($U$258&lt;=0,V118,IF(SUM($U$18:U118)&lt;=0,V118,PMT($K$5/360*Días,A118,-R118)))</f>
        <v/>
      </c>
      <c r="X118" s="121" t="str">
        <f>IF($U$258&lt;=0,W118,IF(SUM($U$18:U118)&lt;=0,V118,PMT($K$5/360*Días,No._De_Pagos_con_periodo_de_gracia,-Monto_Crédito)-S118-T118))</f>
        <v/>
      </c>
      <c r="Y118" s="117" t="str">
        <f t="shared" si="48"/>
        <v/>
      </c>
      <c r="Z118" s="61" t="str">
        <f>+IF(A118="","",IF(No._de_Pagos-Tabla!A118+1&lt;=0,"",No._de_Pagos-Tabla!A118+1))</f>
        <v/>
      </c>
      <c r="AA118" s="122" t="str">
        <f t="shared" si="49"/>
        <v/>
      </c>
      <c r="AB118" s="124" t="str">
        <f t="shared" si="55"/>
        <v/>
      </c>
      <c r="AC118" s="124" t="str">
        <f t="shared" si="38"/>
        <v/>
      </c>
      <c r="AD118" s="124" t="str">
        <f t="shared" si="39"/>
        <v/>
      </c>
      <c r="AE118" s="119">
        <f t="shared" si="50"/>
        <v>0</v>
      </c>
      <c r="AF118" s="120" t="str">
        <f t="shared" si="40"/>
        <v/>
      </c>
      <c r="AG118" s="110" t="str">
        <f>IF($U$258&lt;=0,AF118,IF(SUM($U$18:U118)&lt;=0,AF118,PMT($K$5/360*Días,A118,-AA118)))</f>
        <v/>
      </c>
      <c r="AH118" s="121" t="str">
        <f>IF(A118&lt;=Periodos_Gracia,0,IF($U$258&lt;=0,AG118,IF(SUM($U$18:U118)&lt;=0,AF118,PMT($K$5/360*Días,No._de_Pagos,-Monto_Crédito)-AC118-AD118)))</f>
        <v/>
      </c>
      <c r="AI118" s="125" t="str">
        <f t="shared" si="51"/>
        <v/>
      </c>
      <c r="AK118" s="126" t="str">
        <f>IF(A118="","",IF(Periodos_Gracia&gt;0,Tabla!AN118,V118+S118))</f>
        <v/>
      </c>
      <c r="AL118" s="126" t="str">
        <f t="shared" si="41"/>
        <v/>
      </c>
      <c r="AM118" s="61" t="str">
        <f t="shared" si="52"/>
        <v/>
      </c>
      <c r="AN118" s="127" t="str">
        <f>IF(A118="","",IF(A118&lt;=Periodos_Gracia,Tabla!S118,PPMT(Tasa_Anual/360*Días*(1+I.V.A.),Tabla!AM118,No._De_Pagos_con_periodo_de_gracia,-Monto_Crédito)+S118))</f>
        <v/>
      </c>
      <c r="AO118" s="127" t="str">
        <f>IF(A118="","",IF(A118&lt;=Periodos_Gracia,Tabla!AC118,Monto_Crédito/(No._De_Pagos_con_periodo_de_gracia)+AC118))</f>
        <v/>
      </c>
      <c r="AP118" s="117"/>
    </row>
    <row r="119" spans="1:42" x14ac:dyDescent="0.2">
      <c r="A119" s="107" t="str">
        <f>IF(A118&lt;Parámetros!$E$6,A118+1,"")</f>
        <v/>
      </c>
      <c r="B119" s="108" t="str">
        <f t="shared" si="53"/>
        <v/>
      </c>
      <c r="C119" s="108" t="str">
        <f t="shared" si="29"/>
        <v/>
      </c>
      <c r="D119" s="108" t="str">
        <f t="shared" si="30"/>
        <v/>
      </c>
      <c r="E119" s="108" t="str">
        <f t="shared" si="31"/>
        <v/>
      </c>
      <c r="F119" s="108" t="str">
        <f t="shared" si="32"/>
        <v/>
      </c>
      <c r="G119" s="114" t="str">
        <f t="shared" si="42"/>
        <v/>
      </c>
      <c r="H119" s="115">
        <f t="shared" si="43"/>
        <v>0</v>
      </c>
      <c r="I119" s="108" t="str">
        <f t="shared" si="54"/>
        <v/>
      </c>
      <c r="J119" s="108" t="str">
        <f t="shared" si="33"/>
        <v/>
      </c>
      <c r="K119" s="108" t="str">
        <f t="shared" si="34"/>
        <v/>
      </c>
      <c r="L119" s="108" t="str">
        <f t="shared" si="35"/>
        <v/>
      </c>
      <c r="M119" s="108" t="str">
        <f t="shared" si="44"/>
        <v/>
      </c>
      <c r="N119" s="114" t="str">
        <f t="shared" si="45"/>
        <v/>
      </c>
      <c r="O119" s="60">
        <v>0</v>
      </c>
      <c r="P119" s="116">
        <f t="shared" si="46"/>
        <v>0</v>
      </c>
      <c r="R119" s="117" t="str">
        <f t="shared" si="56"/>
        <v/>
      </c>
      <c r="S119" s="118" t="str">
        <f t="shared" si="36"/>
        <v/>
      </c>
      <c r="T119" s="118" t="str">
        <f t="shared" si="37"/>
        <v/>
      </c>
      <c r="U119" s="119">
        <f t="shared" si="47"/>
        <v>0</v>
      </c>
      <c r="V119" s="120" t="str">
        <f>IF(A119="","",IF(A119&lt;=Periodos_Gracia,0,PPMT(Tasa_Anual/360*Días*(1+I.V.A.),Tabla!AM119,No._De_Pagos_con_periodo_de_gracia,-Monto_Crédito)))</f>
        <v/>
      </c>
      <c r="W119" s="110" t="str">
        <f>IF($U$258&lt;=0,V119,IF(SUM($U$18:U119)&lt;=0,V119,PMT($K$5/360*Días,A119,-R119)))</f>
        <v/>
      </c>
      <c r="X119" s="121" t="str">
        <f>IF($U$258&lt;=0,W119,IF(SUM($U$18:U119)&lt;=0,V119,PMT($K$5/360*Días,No._De_Pagos_con_periodo_de_gracia,-Monto_Crédito)-S119-T119))</f>
        <v/>
      </c>
      <c r="Y119" s="117" t="str">
        <f t="shared" si="48"/>
        <v/>
      </c>
      <c r="Z119" s="61" t="str">
        <f>+IF(A119="","",IF(No._de_Pagos-Tabla!A119+1&lt;=0,"",No._de_Pagos-Tabla!A119+1))</f>
        <v/>
      </c>
      <c r="AA119" s="122" t="str">
        <f t="shared" si="49"/>
        <v/>
      </c>
      <c r="AB119" s="124" t="str">
        <f t="shared" si="55"/>
        <v/>
      </c>
      <c r="AC119" s="124" t="str">
        <f t="shared" si="38"/>
        <v/>
      </c>
      <c r="AD119" s="124" t="str">
        <f t="shared" si="39"/>
        <v/>
      </c>
      <c r="AE119" s="119">
        <f t="shared" si="50"/>
        <v>0</v>
      </c>
      <c r="AF119" s="120" t="str">
        <f t="shared" si="40"/>
        <v/>
      </c>
      <c r="AG119" s="110" t="str">
        <f>IF($U$258&lt;=0,AF119,IF(SUM($U$18:U119)&lt;=0,AF119,PMT($K$5/360*Días,A119,-AA119)))</f>
        <v/>
      </c>
      <c r="AH119" s="121" t="str">
        <f>IF(A119&lt;=Periodos_Gracia,0,IF($U$258&lt;=0,AG119,IF(SUM($U$18:U119)&lt;=0,AF119,PMT($K$5/360*Días,No._de_Pagos,-Monto_Crédito)-AC119-AD119)))</f>
        <v/>
      </c>
      <c r="AI119" s="125" t="str">
        <f t="shared" si="51"/>
        <v/>
      </c>
      <c r="AK119" s="126" t="str">
        <f>IF(A119="","",IF(Periodos_Gracia&gt;0,Tabla!AN119,V119+S119))</f>
        <v/>
      </c>
      <c r="AL119" s="126" t="str">
        <f t="shared" si="41"/>
        <v/>
      </c>
      <c r="AM119" s="61" t="str">
        <f t="shared" si="52"/>
        <v/>
      </c>
      <c r="AN119" s="127" t="str">
        <f>IF(A119="","",IF(A119&lt;=Periodos_Gracia,Tabla!S119,PPMT(Tasa_Anual/360*Días*(1+I.V.A.),Tabla!AM119,No._De_Pagos_con_periodo_de_gracia,-Monto_Crédito)+S119))</f>
        <v/>
      </c>
      <c r="AO119" s="127" t="str">
        <f>IF(A119="","",IF(A119&lt;=Periodos_Gracia,Tabla!AC119,Monto_Crédito/(No._De_Pagos_con_periodo_de_gracia)+AC119))</f>
        <v/>
      </c>
      <c r="AP119" s="117"/>
    </row>
    <row r="120" spans="1:42" x14ac:dyDescent="0.2">
      <c r="A120" s="107" t="str">
        <f>IF(A119&lt;Parámetros!$E$6,A119+1,"")</f>
        <v/>
      </c>
      <c r="B120" s="108" t="str">
        <f t="shared" si="53"/>
        <v/>
      </c>
      <c r="C120" s="108" t="str">
        <f t="shared" si="29"/>
        <v/>
      </c>
      <c r="D120" s="108" t="str">
        <f t="shared" si="30"/>
        <v/>
      </c>
      <c r="E120" s="108" t="str">
        <f t="shared" si="31"/>
        <v/>
      </c>
      <c r="F120" s="108" t="str">
        <f t="shared" si="32"/>
        <v/>
      </c>
      <c r="G120" s="114" t="str">
        <f t="shared" si="42"/>
        <v/>
      </c>
      <c r="H120" s="115">
        <f t="shared" si="43"/>
        <v>0</v>
      </c>
      <c r="I120" s="108" t="str">
        <f t="shared" si="54"/>
        <v/>
      </c>
      <c r="J120" s="108" t="str">
        <f t="shared" si="33"/>
        <v/>
      </c>
      <c r="K120" s="108" t="str">
        <f t="shared" si="34"/>
        <v/>
      </c>
      <c r="L120" s="108" t="str">
        <f t="shared" si="35"/>
        <v/>
      </c>
      <c r="M120" s="108" t="str">
        <f t="shared" si="44"/>
        <v/>
      </c>
      <c r="N120" s="114" t="str">
        <f t="shared" si="45"/>
        <v/>
      </c>
      <c r="O120" s="60">
        <v>0</v>
      </c>
      <c r="P120" s="116">
        <f t="shared" si="46"/>
        <v>0</v>
      </c>
      <c r="R120" s="117" t="str">
        <f t="shared" si="56"/>
        <v/>
      </c>
      <c r="S120" s="118" t="str">
        <f t="shared" si="36"/>
        <v/>
      </c>
      <c r="T120" s="118" t="str">
        <f t="shared" si="37"/>
        <v/>
      </c>
      <c r="U120" s="119">
        <f t="shared" si="47"/>
        <v>0</v>
      </c>
      <c r="V120" s="120" t="str">
        <f>IF(A120="","",IF(A120&lt;=Periodos_Gracia,0,PPMT(Tasa_Anual/360*Días*(1+I.V.A.),Tabla!AM120,No._De_Pagos_con_periodo_de_gracia,-Monto_Crédito)))</f>
        <v/>
      </c>
      <c r="W120" s="110" t="str">
        <f>IF($U$258&lt;=0,V120,IF(SUM($U$18:U120)&lt;=0,V120,PMT($K$5/360*Días,A120,-R120)))</f>
        <v/>
      </c>
      <c r="X120" s="121" t="str">
        <f>IF($U$258&lt;=0,W120,IF(SUM($U$18:U120)&lt;=0,V120,PMT($K$5/360*Días,No._De_Pagos_con_periodo_de_gracia,-Monto_Crédito)-S120-T120))</f>
        <v/>
      </c>
      <c r="Y120" s="117" t="str">
        <f t="shared" si="48"/>
        <v/>
      </c>
      <c r="Z120" s="61" t="str">
        <f>+IF(A120="","",IF(No._de_Pagos-Tabla!A120+1&lt;=0,"",No._de_Pagos-Tabla!A120+1))</f>
        <v/>
      </c>
      <c r="AA120" s="122" t="str">
        <f t="shared" si="49"/>
        <v/>
      </c>
      <c r="AB120" s="124" t="str">
        <f t="shared" si="55"/>
        <v/>
      </c>
      <c r="AC120" s="124" t="str">
        <f t="shared" si="38"/>
        <v/>
      </c>
      <c r="AD120" s="124" t="str">
        <f t="shared" si="39"/>
        <v/>
      </c>
      <c r="AE120" s="119">
        <f t="shared" si="50"/>
        <v>0</v>
      </c>
      <c r="AF120" s="120" t="str">
        <f t="shared" si="40"/>
        <v/>
      </c>
      <c r="AG120" s="110" t="str">
        <f>IF($U$258&lt;=0,AF120,IF(SUM($U$18:U120)&lt;=0,AF120,PMT($K$5/360*Días,A120,-AA120)))</f>
        <v/>
      </c>
      <c r="AH120" s="121" t="str">
        <f>IF(A120&lt;=Periodos_Gracia,0,IF($U$258&lt;=0,AG120,IF(SUM($U$18:U120)&lt;=0,AF120,PMT($K$5/360*Días,No._de_Pagos,-Monto_Crédito)-AC120-AD120)))</f>
        <v/>
      </c>
      <c r="AI120" s="125" t="str">
        <f t="shared" si="51"/>
        <v/>
      </c>
      <c r="AK120" s="126" t="str">
        <f>IF(A120="","",IF(Periodos_Gracia&gt;0,Tabla!AN120,V120+S120))</f>
        <v/>
      </c>
      <c r="AL120" s="126" t="str">
        <f t="shared" si="41"/>
        <v/>
      </c>
      <c r="AM120" s="61" t="str">
        <f t="shared" si="52"/>
        <v/>
      </c>
      <c r="AN120" s="127" t="str">
        <f>IF(A120="","",IF(A120&lt;=Periodos_Gracia,Tabla!S120,PPMT(Tasa_Anual/360*Días*(1+I.V.A.),Tabla!AM120,No._De_Pagos_con_periodo_de_gracia,-Monto_Crédito)+S120))</f>
        <v/>
      </c>
      <c r="AO120" s="127" t="str">
        <f>IF(A120="","",IF(A120&lt;=Periodos_Gracia,Tabla!AC120,Monto_Crédito/(No._De_Pagos_con_periodo_de_gracia)+AC120))</f>
        <v/>
      </c>
      <c r="AP120" s="117"/>
    </row>
    <row r="121" spans="1:42" x14ac:dyDescent="0.2">
      <c r="A121" s="107" t="str">
        <f>IF(A120&lt;Parámetros!$E$6,A120+1,"")</f>
        <v/>
      </c>
      <c r="B121" s="108" t="str">
        <f t="shared" si="53"/>
        <v/>
      </c>
      <c r="C121" s="108" t="str">
        <f t="shared" si="29"/>
        <v/>
      </c>
      <c r="D121" s="108" t="str">
        <f t="shared" si="30"/>
        <v/>
      </c>
      <c r="E121" s="108" t="str">
        <f t="shared" si="31"/>
        <v/>
      </c>
      <c r="F121" s="108" t="str">
        <f t="shared" si="32"/>
        <v/>
      </c>
      <c r="G121" s="114" t="str">
        <f t="shared" si="42"/>
        <v/>
      </c>
      <c r="H121" s="115">
        <f t="shared" si="43"/>
        <v>0</v>
      </c>
      <c r="I121" s="108" t="str">
        <f t="shared" si="54"/>
        <v/>
      </c>
      <c r="J121" s="108" t="str">
        <f t="shared" si="33"/>
        <v/>
      </c>
      <c r="K121" s="108" t="str">
        <f t="shared" si="34"/>
        <v/>
      </c>
      <c r="L121" s="108" t="str">
        <f t="shared" si="35"/>
        <v/>
      </c>
      <c r="M121" s="108" t="str">
        <f t="shared" si="44"/>
        <v/>
      </c>
      <c r="N121" s="114" t="str">
        <f t="shared" si="45"/>
        <v/>
      </c>
      <c r="O121" s="60">
        <v>0</v>
      </c>
      <c r="P121" s="116">
        <f t="shared" si="46"/>
        <v>0</v>
      </c>
      <c r="R121" s="117" t="str">
        <f t="shared" si="56"/>
        <v/>
      </c>
      <c r="S121" s="118" t="str">
        <f t="shared" si="36"/>
        <v/>
      </c>
      <c r="T121" s="118" t="str">
        <f t="shared" si="37"/>
        <v/>
      </c>
      <c r="U121" s="119">
        <f t="shared" si="47"/>
        <v>0</v>
      </c>
      <c r="V121" s="120" t="str">
        <f>IF(A121="","",IF(A121&lt;=Periodos_Gracia,0,PPMT(Tasa_Anual/360*Días*(1+I.V.A.),Tabla!AM121,No._De_Pagos_con_periodo_de_gracia,-Monto_Crédito)))</f>
        <v/>
      </c>
      <c r="W121" s="110" t="str">
        <f>IF($U$258&lt;=0,V121,IF(SUM($U$18:U121)&lt;=0,V121,PMT($K$5/360*Días,A121,-R121)))</f>
        <v/>
      </c>
      <c r="X121" s="121" t="str">
        <f>IF($U$258&lt;=0,W121,IF(SUM($U$18:U121)&lt;=0,V121,PMT($K$5/360*Días,No._De_Pagos_con_periodo_de_gracia,-Monto_Crédito)-S121-T121))</f>
        <v/>
      </c>
      <c r="Y121" s="117" t="str">
        <f t="shared" si="48"/>
        <v/>
      </c>
      <c r="Z121" s="61" t="str">
        <f>+IF(A121="","",IF(No._de_Pagos-Tabla!A121+1&lt;=0,"",No._de_Pagos-Tabla!A121+1))</f>
        <v/>
      </c>
      <c r="AA121" s="122" t="str">
        <f t="shared" si="49"/>
        <v/>
      </c>
      <c r="AB121" s="124" t="str">
        <f t="shared" si="55"/>
        <v/>
      </c>
      <c r="AC121" s="124" t="str">
        <f t="shared" si="38"/>
        <v/>
      </c>
      <c r="AD121" s="124" t="str">
        <f t="shared" si="39"/>
        <v/>
      </c>
      <c r="AE121" s="119">
        <f t="shared" si="50"/>
        <v>0</v>
      </c>
      <c r="AF121" s="120" t="str">
        <f t="shared" si="40"/>
        <v/>
      </c>
      <c r="AG121" s="110" t="str">
        <f>IF($U$258&lt;=0,AF121,IF(SUM($U$18:U121)&lt;=0,AF121,PMT($K$5/360*Días,A121,-AA121)))</f>
        <v/>
      </c>
      <c r="AH121" s="121" t="str">
        <f>IF(A121&lt;=Periodos_Gracia,0,IF($U$258&lt;=0,AG121,IF(SUM($U$18:U121)&lt;=0,AF121,PMT($K$5/360*Días,No._de_Pagos,-Monto_Crédito)-AC121-AD121)))</f>
        <v/>
      </c>
      <c r="AI121" s="125" t="str">
        <f t="shared" si="51"/>
        <v/>
      </c>
      <c r="AK121" s="126" t="str">
        <f>IF(A121="","",IF(Periodos_Gracia&gt;0,Tabla!AN121,V121+S121))</f>
        <v/>
      </c>
      <c r="AL121" s="126" t="str">
        <f t="shared" si="41"/>
        <v/>
      </c>
      <c r="AM121" s="61" t="str">
        <f t="shared" si="52"/>
        <v/>
      </c>
      <c r="AN121" s="127" t="str">
        <f>IF(A121="","",IF(A121&lt;=Periodos_Gracia,Tabla!S121,PPMT(Tasa_Anual/360*Días*(1+I.V.A.),Tabla!AM121,No._De_Pagos_con_periodo_de_gracia,-Monto_Crédito)+S121))</f>
        <v/>
      </c>
      <c r="AO121" s="127" t="str">
        <f>IF(A121="","",IF(A121&lt;=Periodos_Gracia,Tabla!AC121,Monto_Crédito/(No._De_Pagos_con_periodo_de_gracia)+AC121))</f>
        <v/>
      </c>
      <c r="AP121" s="117"/>
    </row>
    <row r="122" spans="1:42" x14ac:dyDescent="0.2">
      <c r="A122" s="107" t="str">
        <f>IF(A121&lt;Parámetros!$E$6,A121+1,"")</f>
        <v/>
      </c>
      <c r="B122" s="108" t="str">
        <f t="shared" si="53"/>
        <v/>
      </c>
      <c r="C122" s="108" t="str">
        <f t="shared" si="29"/>
        <v/>
      </c>
      <c r="D122" s="108" t="str">
        <f t="shared" si="30"/>
        <v/>
      </c>
      <c r="E122" s="108" t="str">
        <f t="shared" si="31"/>
        <v/>
      </c>
      <c r="F122" s="108" t="str">
        <f t="shared" si="32"/>
        <v/>
      </c>
      <c r="G122" s="114" t="str">
        <f t="shared" si="42"/>
        <v/>
      </c>
      <c r="H122" s="115">
        <f t="shared" si="43"/>
        <v>0</v>
      </c>
      <c r="I122" s="108" t="str">
        <f t="shared" si="54"/>
        <v/>
      </c>
      <c r="J122" s="108" t="str">
        <f t="shared" si="33"/>
        <v/>
      </c>
      <c r="K122" s="108" t="str">
        <f t="shared" si="34"/>
        <v/>
      </c>
      <c r="L122" s="108" t="str">
        <f t="shared" si="35"/>
        <v/>
      </c>
      <c r="M122" s="108" t="str">
        <f t="shared" si="44"/>
        <v/>
      </c>
      <c r="N122" s="114" t="str">
        <f t="shared" si="45"/>
        <v/>
      </c>
      <c r="O122" s="60">
        <v>0</v>
      </c>
      <c r="P122" s="116">
        <f t="shared" si="46"/>
        <v>0</v>
      </c>
      <c r="R122" s="117" t="str">
        <f t="shared" si="56"/>
        <v/>
      </c>
      <c r="S122" s="118" t="str">
        <f t="shared" si="36"/>
        <v/>
      </c>
      <c r="T122" s="118" t="str">
        <f t="shared" si="37"/>
        <v/>
      </c>
      <c r="U122" s="119">
        <f t="shared" si="47"/>
        <v>0</v>
      </c>
      <c r="V122" s="120" t="str">
        <f>IF(A122="","",IF(A122&lt;=Periodos_Gracia,0,PPMT(Tasa_Anual/360*Días*(1+I.V.A.),Tabla!AM122,No._De_Pagos_con_periodo_de_gracia,-Monto_Crédito)))</f>
        <v/>
      </c>
      <c r="W122" s="110" t="str">
        <f>IF($U$258&lt;=0,V122,IF(SUM($U$18:U122)&lt;=0,V122,PMT($K$5/360*Días,A122,-R122)))</f>
        <v/>
      </c>
      <c r="X122" s="121" t="str">
        <f>IF($U$258&lt;=0,W122,IF(SUM($U$18:U122)&lt;=0,V122,PMT($K$5/360*Días,No._De_Pagos_con_periodo_de_gracia,-Monto_Crédito)-S122-T122))</f>
        <v/>
      </c>
      <c r="Y122" s="117" t="str">
        <f t="shared" si="48"/>
        <v/>
      </c>
      <c r="Z122" s="61" t="str">
        <f>+IF(A122="","",IF(No._de_Pagos-Tabla!A122+1&lt;=0,"",No._de_Pagos-Tabla!A122+1))</f>
        <v/>
      </c>
      <c r="AA122" s="122" t="str">
        <f t="shared" si="49"/>
        <v/>
      </c>
      <c r="AB122" s="124" t="str">
        <f t="shared" si="55"/>
        <v/>
      </c>
      <c r="AC122" s="124" t="str">
        <f t="shared" si="38"/>
        <v/>
      </c>
      <c r="AD122" s="124" t="str">
        <f t="shared" si="39"/>
        <v/>
      </c>
      <c r="AE122" s="119">
        <f t="shared" si="50"/>
        <v>0</v>
      </c>
      <c r="AF122" s="120" t="str">
        <f t="shared" si="40"/>
        <v/>
      </c>
      <c r="AG122" s="110" t="str">
        <f>IF($U$258&lt;=0,AF122,IF(SUM($U$18:U122)&lt;=0,AF122,PMT($K$5/360*Días,A122,-AA122)))</f>
        <v/>
      </c>
      <c r="AH122" s="121" t="str">
        <f>IF(A122&lt;=Periodos_Gracia,0,IF($U$258&lt;=0,AG122,IF(SUM($U$18:U122)&lt;=0,AF122,PMT($K$5/360*Días,No._de_Pagos,-Monto_Crédito)-AC122-AD122)))</f>
        <v/>
      </c>
      <c r="AI122" s="125" t="str">
        <f t="shared" si="51"/>
        <v/>
      </c>
      <c r="AK122" s="126" t="str">
        <f>IF(A122="","",IF(Periodos_Gracia&gt;0,Tabla!AN122,V122+S122))</f>
        <v/>
      </c>
      <c r="AL122" s="126" t="str">
        <f t="shared" si="41"/>
        <v/>
      </c>
      <c r="AM122" s="61" t="str">
        <f t="shared" si="52"/>
        <v/>
      </c>
      <c r="AN122" s="127" t="str">
        <f>IF(A122="","",IF(A122&lt;=Periodos_Gracia,Tabla!S122,PPMT(Tasa_Anual/360*Días*(1+I.V.A.),Tabla!AM122,No._De_Pagos_con_periodo_de_gracia,-Monto_Crédito)+S122))</f>
        <v/>
      </c>
      <c r="AO122" s="127" t="str">
        <f>IF(A122="","",IF(A122&lt;=Periodos_Gracia,Tabla!AC122,Monto_Crédito/(No._De_Pagos_con_periodo_de_gracia)+AC122))</f>
        <v/>
      </c>
      <c r="AP122" s="117"/>
    </row>
    <row r="123" spans="1:42" x14ac:dyDescent="0.2">
      <c r="A123" s="107" t="str">
        <f>IF(A122&lt;Parámetros!$E$6,A122+1,"")</f>
        <v/>
      </c>
      <c r="B123" s="108" t="str">
        <f t="shared" si="53"/>
        <v/>
      </c>
      <c r="C123" s="108" t="str">
        <f t="shared" si="29"/>
        <v/>
      </c>
      <c r="D123" s="108" t="str">
        <f t="shared" si="30"/>
        <v/>
      </c>
      <c r="E123" s="108" t="str">
        <f t="shared" si="31"/>
        <v/>
      </c>
      <c r="F123" s="108" t="str">
        <f t="shared" si="32"/>
        <v/>
      </c>
      <c r="G123" s="114" t="str">
        <f t="shared" si="42"/>
        <v/>
      </c>
      <c r="H123" s="115">
        <f t="shared" si="43"/>
        <v>0</v>
      </c>
      <c r="I123" s="108" t="str">
        <f t="shared" si="54"/>
        <v/>
      </c>
      <c r="J123" s="108" t="str">
        <f t="shared" si="33"/>
        <v/>
      </c>
      <c r="K123" s="108" t="str">
        <f t="shared" si="34"/>
        <v/>
      </c>
      <c r="L123" s="108" t="str">
        <f t="shared" si="35"/>
        <v/>
      </c>
      <c r="M123" s="108" t="str">
        <f t="shared" si="44"/>
        <v/>
      </c>
      <c r="N123" s="114" t="str">
        <f t="shared" si="45"/>
        <v/>
      </c>
      <c r="O123" s="60">
        <v>0</v>
      </c>
      <c r="P123" s="116">
        <f t="shared" si="46"/>
        <v>0</v>
      </c>
      <c r="R123" s="117" t="str">
        <f t="shared" si="56"/>
        <v/>
      </c>
      <c r="S123" s="118" t="str">
        <f t="shared" si="36"/>
        <v/>
      </c>
      <c r="T123" s="118" t="str">
        <f t="shared" si="37"/>
        <v/>
      </c>
      <c r="U123" s="119">
        <f t="shared" si="47"/>
        <v>0</v>
      </c>
      <c r="V123" s="120" t="str">
        <f>IF(A123="","",IF(A123&lt;=Periodos_Gracia,0,PPMT(Tasa_Anual/360*Días*(1+I.V.A.),Tabla!AM123,No._De_Pagos_con_periodo_de_gracia,-Monto_Crédito)))</f>
        <v/>
      </c>
      <c r="W123" s="110" t="str">
        <f>IF($U$258&lt;=0,V123,IF(SUM($U$18:U123)&lt;=0,V123,PMT($K$5/360*Días,A123,-R123)))</f>
        <v/>
      </c>
      <c r="X123" s="121" t="str">
        <f>IF($U$258&lt;=0,W123,IF(SUM($U$18:U123)&lt;=0,V123,PMT($K$5/360*Días,No._De_Pagos_con_periodo_de_gracia,-Monto_Crédito)-S123-T123))</f>
        <v/>
      </c>
      <c r="Y123" s="117" t="str">
        <f t="shared" si="48"/>
        <v/>
      </c>
      <c r="Z123" s="61" t="str">
        <f>+IF(A123="","",IF(No._de_Pagos-Tabla!A123+1&lt;=0,"",No._de_Pagos-Tabla!A123+1))</f>
        <v/>
      </c>
      <c r="AA123" s="122" t="str">
        <f t="shared" si="49"/>
        <v/>
      </c>
      <c r="AB123" s="124" t="str">
        <f t="shared" si="55"/>
        <v/>
      </c>
      <c r="AC123" s="124" t="str">
        <f t="shared" si="38"/>
        <v/>
      </c>
      <c r="AD123" s="124" t="str">
        <f t="shared" si="39"/>
        <v/>
      </c>
      <c r="AE123" s="119">
        <f t="shared" si="50"/>
        <v>0</v>
      </c>
      <c r="AF123" s="120" t="str">
        <f t="shared" si="40"/>
        <v/>
      </c>
      <c r="AG123" s="110" t="str">
        <f>IF($U$258&lt;=0,AF123,IF(SUM($U$18:U123)&lt;=0,AF123,PMT($K$5/360*Días,A123,-AA123)))</f>
        <v/>
      </c>
      <c r="AH123" s="121" t="str">
        <f>IF(A123&lt;=Periodos_Gracia,0,IF($U$258&lt;=0,AG123,IF(SUM($U$18:U123)&lt;=0,AF123,PMT($K$5/360*Días,No._de_Pagos,-Monto_Crédito)-AC123-AD123)))</f>
        <v/>
      </c>
      <c r="AI123" s="125" t="str">
        <f t="shared" si="51"/>
        <v/>
      </c>
      <c r="AK123" s="126" t="str">
        <f>IF(A123="","",IF(Periodos_Gracia&gt;0,Tabla!AN123,V123+S123))</f>
        <v/>
      </c>
      <c r="AL123" s="126" t="str">
        <f t="shared" si="41"/>
        <v/>
      </c>
      <c r="AM123" s="61" t="str">
        <f t="shared" si="52"/>
        <v/>
      </c>
      <c r="AN123" s="127" t="str">
        <f>IF(A123="","",IF(A123&lt;=Periodos_Gracia,Tabla!S123,PPMT(Tasa_Anual/360*Días*(1+I.V.A.),Tabla!AM123,No._De_Pagos_con_periodo_de_gracia,-Monto_Crédito)+S123))</f>
        <v/>
      </c>
      <c r="AO123" s="127" t="str">
        <f>IF(A123="","",IF(A123&lt;=Periodos_Gracia,Tabla!AC123,Monto_Crédito/(No._De_Pagos_con_periodo_de_gracia)+AC123))</f>
        <v/>
      </c>
      <c r="AP123" s="117"/>
    </row>
    <row r="124" spans="1:42" x14ac:dyDescent="0.2">
      <c r="A124" s="107" t="str">
        <f>IF(A123&lt;Parámetros!$E$6,A123+1,"")</f>
        <v/>
      </c>
      <c r="B124" s="108" t="str">
        <f t="shared" si="53"/>
        <v/>
      </c>
      <c r="C124" s="108" t="str">
        <f t="shared" si="29"/>
        <v/>
      </c>
      <c r="D124" s="108" t="str">
        <f t="shared" si="30"/>
        <v/>
      </c>
      <c r="E124" s="108" t="str">
        <f t="shared" si="31"/>
        <v/>
      </c>
      <c r="F124" s="108" t="str">
        <f t="shared" si="32"/>
        <v/>
      </c>
      <c r="G124" s="114" t="str">
        <f t="shared" si="42"/>
        <v/>
      </c>
      <c r="H124" s="115">
        <f t="shared" si="43"/>
        <v>0</v>
      </c>
      <c r="I124" s="108" t="str">
        <f t="shared" si="54"/>
        <v/>
      </c>
      <c r="J124" s="108" t="str">
        <f t="shared" si="33"/>
        <v/>
      </c>
      <c r="K124" s="108" t="str">
        <f t="shared" si="34"/>
        <v/>
      </c>
      <c r="L124" s="108" t="str">
        <f t="shared" si="35"/>
        <v/>
      </c>
      <c r="M124" s="108" t="str">
        <f t="shared" si="44"/>
        <v/>
      </c>
      <c r="N124" s="114" t="str">
        <f t="shared" si="45"/>
        <v/>
      </c>
      <c r="O124" s="60">
        <v>0</v>
      </c>
      <c r="P124" s="116">
        <f t="shared" si="46"/>
        <v>0</v>
      </c>
      <c r="R124" s="117" t="str">
        <f t="shared" si="56"/>
        <v/>
      </c>
      <c r="S124" s="118" t="str">
        <f t="shared" si="36"/>
        <v/>
      </c>
      <c r="T124" s="118" t="str">
        <f t="shared" si="37"/>
        <v/>
      </c>
      <c r="U124" s="119">
        <f t="shared" si="47"/>
        <v>0</v>
      </c>
      <c r="V124" s="120" t="str">
        <f>IF(A124="","",IF(A124&lt;=Periodos_Gracia,0,PPMT(Tasa_Anual/360*Días*(1+I.V.A.),Tabla!AM124,No._De_Pagos_con_periodo_de_gracia,-Monto_Crédito)))</f>
        <v/>
      </c>
      <c r="W124" s="110" t="str">
        <f>IF($U$258&lt;=0,V124,IF(SUM($U$18:U124)&lt;=0,V124,PMT($K$5/360*Días,A124,-R124)))</f>
        <v/>
      </c>
      <c r="X124" s="121" t="str">
        <f>IF($U$258&lt;=0,W124,IF(SUM($U$18:U124)&lt;=0,V124,PMT($K$5/360*Días,No._De_Pagos_con_periodo_de_gracia,-Monto_Crédito)-S124-T124))</f>
        <v/>
      </c>
      <c r="Y124" s="117" t="str">
        <f t="shared" si="48"/>
        <v/>
      </c>
      <c r="Z124" s="61" t="str">
        <f>+IF(A124="","",IF(No._de_Pagos-Tabla!A124+1&lt;=0,"",No._de_Pagos-Tabla!A124+1))</f>
        <v/>
      </c>
      <c r="AA124" s="122" t="str">
        <f t="shared" si="49"/>
        <v/>
      </c>
      <c r="AB124" s="124" t="str">
        <f t="shared" si="55"/>
        <v/>
      </c>
      <c r="AC124" s="124" t="str">
        <f t="shared" si="38"/>
        <v/>
      </c>
      <c r="AD124" s="124" t="str">
        <f t="shared" si="39"/>
        <v/>
      </c>
      <c r="AE124" s="119">
        <f t="shared" si="50"/>
        <v>0</v>
      </c>
      <c r="AF124" s="120" t="str">
        <f t="shared" si="40"/>
        <v/>
      </c>
      <c r="AG124" s="110" t="str">
        <f>IF($U$258&lt;=0,AF124,IF(SUM($U$18:U124)&lt;=0,AF124,PMT($K$5/360*Días,A124,-AA124)))</f>
        <v/>
      </c>
      <c r="AH124" s="121" t="str">
        <f>IF(A124&lt;=Periodos_Gracia,0,IF($U$258&lt;=0,AG124,IF(SUM($U$18:U124)&lt;=0,AF124,PMT($K$5/360*Días,No._de_Pagos,-Monto_Crédito)-AC124-AD124)))</f>
        <v/>
      </c>
      <c r="AI124" s="125" t="str">
        <f t="shared" si="51"/>
        <v/>
      </c>
      <c r="AK124" s="126" t="str">
        <f>IF(A124="","",IF(Periodos_Gracia&gt;0,Tabla!AN124,V124+S124))</f>
        <v/>
      </c>
      <c r="AL124" s="126" t="str">
        <f t="shared" si="41"/>
        <v/>
      </c>
      <c r="AM124" s="61" t="str">
        <f t="shared" si="52"/>
        <v/>
      </c>
      <c r="AN124" s="127" t="str">
        <f>IF(A124="","",IF(A124&lt;=Periodos_Gracia,Tabla!S124,PPMT(Tasa_Anual/360*Días*(1+I.V.A.),Tabla!AM124,No._De_Pagos_con_periodo_de_gracia,-Monto_Crédito)+S124))</f>
        <v/>
      </c>
      <c r="AO124" s="127" t="str">
        <f>IF(A124="","",IF(A124&lt;=Periodos_Gracia,Tabla!AC124,Monto_Crédito/(No._De_Pagos_con_periodo_de_gracia)+AC124))</f>
        <v/>
      </c>
      <c r="AP124" s="117"/>
    </row>
    <row r="125" spans="1:42" x14ac:dyDescent="0.2">
      <c r="A125" s="107" t="str">
        <f>IF(A124&lt;Parámetros!$E$6,A124+1,"")</f>
        <v/>
      </c>
      <c r="B125" s="108" t="str">
        <f t="shared" si="53"/>
        <v/>
      </c>
      <c r="C125" s="108" t="str">
        <f t="shared" si="29"/>
        <v/>
      </c>
      <c r="D125" s="108" t="str">
        <f t="shared" si="30"/>
        <v/>
      </c>
      <c r="E125" s="108" t="str">
        <f t="shared" si="31"/>
        <v/>
      </c>
      <c r="F125" s="108" t="str">
        <f t="shared" si="32"/>
        <v/>
      </c>
      <c r="G125" s="114" t="str">
        <f t="shared" si="42"/>
        <v/>
      </c>
      <c r="H125" s="115">
        <f t="shared" si="43"/>
        <v>0</v>
      </c>
      <c r="I125" s="108" t="str">
        <f t="shared" si="54"/>
        <v/>
      </c>
      <c r="J125" s="108" t="str">
        <f t="shared" si="33"/>
        <v/>
      </c>
      <c r="K125" s="108" t="str">
        <f t="shared" si="34"/>
        <v/>
      </c>
      <c r="L125" s="108" t="str">
        <f t="shared" si="35"/>
        <v/>
      </c>
      <c r="M125" s="108" t="str">
        <f t="shared" si="44"/>
        <v/>
      </c>
      <c r="N125" s="114" t="str">
        <f t="shared" si="45"/>
        <v/>
      </c>
      <c r="O125" s="60">
        <v>0</v>
      </c>
      <c r="P125" s="116">
        <f t="shared" si="46"/>
        <v>0</v>
      </c>
      <c r="R125" s="117" t="str">
        <f t="shared" si="56"/>
        <v/>
      </c>
      <c r="S125" s="118" t="str">
        <f t="shared" si="36"/>
        <v/>
      </c>
      <c r="T125" s="118" t="str">
        <f t="shared" si="37"/>
        <v/>
      </c>
      <c r="U125" s="119">
        <f t="shared" si="47"/>
        <v>0</v>
      </c>
      <c r="V125" s="120" t="str">
        <f>IF(A125="","",IF(A125&lt;=Periodos_Gracia,0,PPMT(Tasa_Anual/360*Días*(1+I.V.A.),Tabla!AM125,No._De_Pagos_con_periodo_de_gracia,-Monto_Crédito)))</f>
        <v/>
      </c>
      <c r="W125" s="110" t="str">
        <f>IF($U$258&lt;=0,V125,IF(SUM($U$18:U125)&lt;=0,V125,PMT($K$5/360*Días,A125,-R125)))</f>
        <v/>
      </c>
      <c r="X125" s="121" t="str">
        <f>IF($U$258&lt;=0,W125,IF(SUM($U$18:U125)&lt;=0,V125,PMT($K$5/360*Días,No._De_Pagos_con_periodo_de_gracia,-Monto_Crédito)-S125-T125))</f>
        <v/>
      </c>
      <c r="Y125" s="117" t="str">
        <f t="shared" si="48"/>
        <v/>
      </c>
      <c r="Z125" s="61" t="str">
        <f>+IF(A125="","",IF(No._de_Pagos-Tabla!A125+1&lt;=0,"",No._de_Pagos-Tabla!A125+1))</f>
        <v/>
      </c>
      <c r="AA125" s="122" t="str">
        <f t="shared" si="49"/>
        <v/>
      </c>
      <c r="AB125" s="124" t="str">
        <f t="shared" si="55"/>
        <v/>
      </c>
      <c r="AC125" s="124" t="str">
        <f t="shared" si="38"/>
        <v/>
      </c>
      <c r="AD125" s="124" t="str">
        <f t="shared" si="39"/>
        <v/>
      </c>
      <c r="AE125" s="119">
        <f t="shared" si="50"/>
        <v>0</v>
      </c>
      <c r="AF125" s="120" t="str">
        <f t="shared" si="40"/>
        <v/>
      </c>
      <c r="AG125" s="110" t="str">
        <f>IF($U$258&lt;=0,AF125,IF(SUM($U$18:U125)&lt;=0,AF125,PMT($K$5/360*Días,A125,-AA125)))</f>
        <v/>
      </c>
      <c r="AH125" s="121" t="str">
        <f>IF(A125&lt;=Periodos_Gracia,0,IF($U$258&lt;=0,AG125,IF(SUM($U$18:U125)&lt;=0,AF125,PMT($K$5/360*Días,No._de_Pagos,-Monto_Crédito)-AC125-AD125)))</f>
        <v/>
      </c>
      <c r="AI125" s="125" t="str">
        <f t="shared" si="51"/>
        <v/>
      </c>
      <c r="AK125" s="126" t="str">
        <f>IF(A125="","",IF(Periodos_Gracia&gt;0,Tabla!AN125,V125+S125))</f>
        <v/>
      </c>
      <c r="AL125" s="126" t="str">
        <f t="shared" si="41"/>
        <v/>
      </c>
      <c r="AM125" s="61" t="str">
        <f t="shared" si="52"/>
        <v/>
      </c>
      <c r="AN125" s="127" t="str">
        <f>IF(A125="","",IF(A125&lt;=Periodos_Gracia,Tabla!S125,PPMT(Tasa_Anual/360*Días*(1+I.V.A.),Tabla!AM125,No._De_Pagos_con_periodo_de_gracia,-Monto_Crédito)+S125))</f>
        <v/>
      </c>
      <c r="AO125" s="127" t="str">
        <f>IF(A125="","",IF(A125&lt;=Periodos_Gracia,Tabla!AC125,Monto_Crédito/(No._De_Pagos_con_periodo_de_gracia)+AC125))</f>
        <v/>
      </c>
      <c r="AP125" s="117"/>
    </row>
    <row r="126" spans="1:42" x14ac:dyDescent="0.2">
      <c r="A126" s="107" t="str">
        <f>IF(A125&lt;Parámetros!$E$6,A125+1,"")</f>
        <v/>
      </c>
      <c r="B126" s="108" t="str">
        <f t="shared" si="53"/>
        <v/>
      </c>
      <c r="C126" s="108" t="str">
        <f t="shared" si="29"/>
        <v/>
      </c>
      <c r="D126" s="108" t="str">
        <f t="shared" si="30"/>
        <v/>
      </c>
      <c r="E126" s="108" t="str">
        <f t="shared" si="31"/>
        <v/>
      </c>
      <c r="F126" s="108" t="str">
        <f t="shared" si="32"/>
        <v/>
      </c>
      <c r="G126" s="114" t="str">
        <f t="shared" si="42"/>
        <v/>
      </c>
      <c r="H126" s="115">
        <f t="shared" si="43"/>
        <v>0</v>
      </c>
      <c r="I126" s="108" t="str">
        <f t="shared" si="54"/>
        <v/>
      </c>
      <c r="J126" s="108" t="str">
        <f t="shared" si="33"/>
        <v/>
      </c>
      <c r="K126" s="108" t="str">
        <f t="shared" si="34"/>
        <v/>
      </c>
      <c r="L126" s="108" t="str">
        <f t="shared" si="35"/>
        <v/>
      </c>
      <c r="M126" s="108" t="str">
        <f t="shared" si="44"/>
        <v/>
      </c>
      <c r="N126" s="114" t="str">
        <f t="shared" si="45"/>
        <v/>
      </c>
      <c r="O126" s="60">
        <v>0</v>
      </c>
      <c r="P126" s="116">
        <f t="shared" si="46"/>
        <v>0</v>
      </c>
      <c r="R126" s="117" t="str">
        <f t="shared" si="56"/>
        <v/>
      </c>
      <c r="S126" s="118" t="str">
        <f t="shared" si="36"/>
        <v/>
      </c>
      <c r="T126" s="118" t="str">
        <f t="shared" si="37"/>
        <v/>
      </c>
      <c r="U126" s="119">
        <f t="shared" si="47"/>
        <v>0</v>
      </c>
      <c r="V126" s="120" t="str">
        <f>IF(A126="","",IF(A126&lt;=Periodos_Gracia,0,PPMT(Tasa_Anual/360*Días*(1+I.V.A.),Tabla!AM126,No._De_Pagos_con_periodo_de_gracia,-Monto_Crédito)))</f>
        <v/>
      </c>
      <c r="W126" s="110" t="str">
        <f>IF($U$258&lt;=0,V126,IF(SUM($U$18:U126)&lt;=0,V126,PMT($K$5/360*Días,A126,-R126)))</f>
        <v/>
      </c>
      <c r="X126" s="121" t="str">
        <f>IF($U$258&lt;=0,W126,IF(SUM($U$18:U126)&lt;=0,V126,PMT($K$5/360*Días,No._De_Pagos_con_periodo_de_gracia,-Monto_Crédito)-S126-T126))</f>
        <v/>
      </c>
      <c r="Y126" s="117" t="str">
        <f t="shared" si="48"/>
        <v/>
      </c>
      <c r="Z126" s="61" t="str">
        <f>+IF(A126="","",IF(No._de_Pagos-Tabla!A126+1&lt;=0,"",No._de_Pagos-Tabla!A126+1))</f>
        <v/>
      </c>
      <c r="AA126" s="122" t="str">
        <f t="shared" si="49"/>
        <v/>
      </c>
      <c r="AB126" s="124" t="str">
        <f t="shared" si="55"/>
        <v/>
      </c>
      <c r="AC126" s="124" t="str">
        <f t="shared" si="38"/>
        <v/>
      </c>
      <c r="AD126" s="124" t="str">
        <f t="shared" si="39"/>
        <v/>
      </c>
      <c r="AE126" s="119">
        <f t="shared" si="50"/>
        <v>0</v>
      </c>
      <c r="AF126" s="120" t="str">
        <f t="shared" si="40"/>
        <v/>
      </c>
      <c r="AG126" s="110" t="str">
        <f>IF($U$258&lt;=0,AF126,IF(SUM($U$18:U126)&lt;=0,AF126,PMT($K$5/360*Días,A126,-AA126)))</f>
        <v/>
      </c>
      <c r="AH126" s="121" t="str">
        <f>IF(A126&lt;=Periodos_Gracia,0,IF($U$258&lt;=0,AG126,IF(SUM($U$18:U126)&lt;=0,AF126,PMT($K$5/360*Días,No._de_Pagos,-Monto_Crédito)-AC126-AD126)))</f>
        <v/>
      </c>
      <c r="AI126" s="125" t="str">
        <f t="shared" si="51"/>
        <v/>
      </c>
      <c r="AK126" s="126" t="str">
        <f>IF(A126="","",IF(Periodos_Gracia&gt;0,Tabla!AN126,V126+S126))</f>
        <v/>
      </c>
      <c r="AL126" s="126" t="str">
        <f t="shared" si="41"/>
        <v/>
      </c>
      <c r="AM126" s="61" t="str">
        <f t="shared" si="52"/>
        <v/>
      </c>
      <c r="AN126" s="127" t="str">
        <f>IF(A126="","",IF(A126&lt;=Periodos_Gracia,Tabla!S126,PPMT(Tasa_Anual/360*Días*(1+I.V.A.),Tabla!AM126,No._De_Pagos_con_periodo_de_gracia,-Monto_Crédito)+S126))</f>
        <v/>
      </c>
      <c r="AO126" s="127" t="str">
        <f>IF(A126="","",IF(A126&lt;=Periodos_Gracia,Tabla!AC126,Monto_Crédito/(No._De_Pagos_con_periodo_de_gracia)+AC126))</f>
        <v/>
      </c>
      <c r="AP126" s="117"/>
    </row>
    <row r="127" spans="1:42" x14ac:dyDescent="0.2">
      <c r="A127" s="107" t="str">
        <f>IF(A126&lt;Parámetros!$E$6,A126+1,"")</f>
        <v/>
      </c>
      <c r="B127" s="108" t="str">
        <f t="shared" si="53"/>
        <v/>
      </c>
      <c r="C127" s="108" t="str">
        <f t="shared" si="29"/>
        <v/>
      </c>
      <c r="D127" s="108" t="str">
        <f t="shared" si="30"/>
        <v/>
      </c>
      <c r="E127" s="108" t="str">
        <f t="shared" si="31"/>
        <v/>
      </c>
      <c r="F127" s="108" t="str">
        <f t="shared" si="32"/>
        <v/>
      </c>
      <c r="G127" s="114" t="str">
        <f t="shared" si="42"/>
        <v/>
      </c>
      <c r="H127" s="115">
        <f t="shared" si="43"/>
        <v>0</v>
      </c>
      <c r="I127" s="108" t="str">
        <f t="shared" si="54"/>
        <v/>
      </c>
      <c r="J127" s="108" t="str">
        <f t="shared" si="33"/>
        <v/>
      </c>
      <c r="K127" s="108" t="str">
        <f t="shared" si="34"/>
        <v/>
      </c>
      <c r="L127" s="108" t="str">
        <f t="shared" si="35"/>
        <v/>
      </c>
      <c r="M127" s="108" t="str">
        <f t="shared" si="44"/>
        <v/>
      </c>
      <c r="N127" s="114" t="str">
        <f t="shared" si="45"/>
        <v/>
      </c>
      <c r="O127" s="60">
        <v>0</v>
      </c>
      <c r="P127" s="116">
        <f t="shared" si="46"/>
        <v>0</v>
      </c>
      <c r="R127" s="117" t="str">
        <f t="shared" si="56"/>
        <v/>
      </c>
      <c r="S127" s="118" t="str">
        <f t="shared" si="36"/>
        <v/>
      </c>
      <c r="T127" s="118" t="str">
        <f t="shared" si="37"/>
        <v/>
      </c>
      <c r="U127" s="119">
        <f t="shared" si="47"/>
        <v>0</v>
      </c>
      <c r="V127" s="120" t="str">
        <f>IF(A127="","",IF(A127&lt;=Periodos_Gracia,0,PPMT(Tasa_Anual/360*Días*(1+I.V.A.),Tabla!AM127,No._De_Pagos_con_periodo_de_gracia,-Monto_Crédito)))</f>
        <v/>
      </c>
      <c r="W127" s="110" t="str">
        <f>IF($U$258&lt;=0,V127,IF(SUM($U$18:U127)&lt;=0,V127,PMT($K$5/360*Días,A127,-R127)))</f>
        <v/>
      </c>
      <c r="X127" s="121" t="str">
        <f>IF($U$258&lt;=0,W127,IF(SUM($U$18:U127)&lt;=0,V127,PMT($K$5/360*Días,No._De_Pagos_con_periodo_de_gracia,-Monto_Crédito)-S127-T127))</f>
        <v/>
      </c>
      <c r="Y127" s="117" t="str">
        <f t="shared" si="48"/>
        <v/>
      </c>
      <c r="Z127" s="61" t="str">
        <f>+IF(A127="","",IF(No._de_Pagos-Tabla!A127+1&lt;=0,"",No._de_Pagos-Tabla!A127+1))</f>
        <v/>
      </c>
      <c r="AA127" s="122" t="str">
        <f t="shared" si="49"/>
        <v/>
      </c>
      <c r="AB127" s="124" t="str">
        <f t="shared" si="55"/>
        <v/>
      </c>
      <c r="AC127" s="124" t="str">
        <f t="shared" si="38"/>
        <v/>
      </c>
      <c r="AD127" s="124" t="str">
        <f t="shared" si="39"/>
        <v/>
      </c>
      <c r="AE127" s="119">
        <f t="shared" si="50"/>
        <v>0</v>
      </c>
      <c r="AF127" s="120" t="str">
        <f t="shared" si="40"/>
        <v/>
      </c>
      <c r="AG127" s="110" t="str">
        <f>IF($U$258&lt;=0,AF127,IF(SUM($U$18:U127)&lt;=0,AF127,PMT($K$5/360*Días,A127,-AA127)))</f>
        <v/>
      </c>
      <c r="AH127" s="121" t="str">
        <f>IF(A127&lt;=Periodos_Gracia,0,IF($U$258&lt;=0,AG127,IF(SUM($U$18:U127)&lt;=0,AF127,PMT($K$5/360*Días,No._de_Pagos,-Monto_Crédito)-AC127-AD127)))</f>
        <v/>
      </c>
      <c r="AI127" s="125" t="str">
        <f t="shared" si="51"/>
        <v/>
      </c>
      <c r="AK127" s="126" t="str">
        <f>IF(A127="","",IF(Periodos_Gracia&gt;0,Tabla!AN127,V127+S127))</f>
        <v/>
      </c>
      <c r="AL127" s="126" t="str">
        <f t="shared" si="41"/>
        <v/>
      </c>
      <c r="AM127" s="61" t="str">
        <f t="shared" si="52"/>
        <v/>
      </c>
      <c r="AN127" s="127" t="str">
        <f>IF(A127="","",IF(A127&lt;=Periodos_Gracia,Tabla!S127,PPMT(Tasa_Anual/360*Días*(1+I.V.A.),Tabla!AM127,No._De_Pagos_con_periodo_de_gracia,-Monto_Crédito)+S127))</f>
        <v/>
      </c>
      <c r="AO127" s="127" t="str">
        <f>IF(A127="","",IF(A127&lt;=Periodos_Gracia,Tabla!AC127,Monto_Crédito/(No._De_Pagos_con_periodo_de_gracia)+AC127))</f>
        <v/>
      </c>
      <c r="AP127" s="117"/>
    </row>
    <row r="128" spans="1:42" x14ac:dyDescent="0.2">
      <c r="A128" s="107" t="str">
        <f>IF(A127&lt;Parámetros!$E$6,A127+1,"")</f>
        <v/>
      </c>
      <c r="B128" s="108" t="str">
        <f t="shared" si="53"/>
        <v/>
      </c>
      <c r="C128" s="108" t="str">
        <f t="shared" si="29"/>
        <v/>
      </c>
      <c r="D128" s="108" t="str">
        <f t="shared" si="30"/>
        <v/>
      </c>
      <c r="E128" s="108" t="str">
        <f t="shared" si="31"/>
        <v/>
      </c>
      <c r="F128" s="108" t="str">
        <f t="shared" si="32"/>
        <v/>
      </c>
      <c r="G128" s="114" t="str">
        <f t="shared" si="42"/>
        <v/>
      </c>
      <c r="H128" s="115">
        <f t="shared" si="43"/>
        <v>0</v>
      </c>
      <c r="I128" s="108" t="str">
        <f t="shared" si="54"/>
        <v/>
      </c>
      <c r="J128" s="108" t="str">
        <f t="shared" si="33"/>
        <v/>
      </c>
      <c r="K128" s="108" t="str">
        <f t="shared" si="34"/>
        <v/>
      </c>
      <c r="L128" s="108" t="str">
        <f t="shared" si="35"/>
        <v/>
      </c>
      <c r="M128" s="108" t="str">
        <f t="shared" si="44"/>
        <v/>
      </c>
      <c r="N128" s="114" t="str">
        <f t="shared" si="45"/>
        <v/>
      </c>
      <c r="O128" s="60">
        <v>0</v>
      </c>
      <c r="P128" s="116">
        <f t="shared" si="46"/>
        <v>0</v>
      </c>
      <c r="R128" s="117" t="str">
        <f t="shared" si="56"/>
        <v/>
      </c>
      <c r="S128" s="118" t="str">
        <f t="shared" si="36"/>
        <v/>
      </c>
      <c r="T128" s="118" t="str">
        <f t="shared" si="37"/>
        <v/>
      </c>
      <c r="U128" s="119">
        <f t="shared" si="47"/>
        <v>0</v>
      </c>
      <c r="V128" s="120" t="str">
        <f>IF(A128="","",IF(A128&lt;=Periodos_Gracia,0,PPMT(Tasa_Anual/360*Días*(1+I.V.A.),Tabla!AM128,No._De_Pagos_con_periodo_de_gracia,-Monto_Crédito)))</f>
        <v/>
      </c>
      <c r="W128" s="110" t="str">
        <f>IF($U$258&lt;=0,V128,IF(SUM($U$18:U128)&lt;=0,V128,PMT($K$5/360*Días,A128,-R128)))</f>
        <v/>
      </c>
      <c r="X128" s="121" t="str">
        <f>IF($U$258&lt;=0,W128,IF(SUM($U$18:U128)&lt;=0,V128,PMT($K$5/360*Días,No._De_Pagos_con_periodo_de_gracia,-Monto_Crédito)-S128-T128))</f>
        <v/>
      </c>
      <c r="Y128" s="117" t="str">
        <f t="shared" si="48"/>
        <v/>
      </c>
      <c r="Z128" s="61" t="str">
        <f>+IF(A128="","",IF(No._de_Pagos-Tabla!A128+1&lt;=0,"",No._de_Pagos-Tabla!A128+1))</f>
        <v/>
      </c>
      <c r="AA128" s="122" t="str">
        <f t="shared" si="49"/>
        <v/>
      </c>
      <c r="AB128" s="124" t="str">
        <f t="shared" si="55"/>
        <v/>
      </c>
      <c r="AC128" s="124" t="str">
        <f t="shared" si="38"/>
        <v/>
      </c>
      <c r="AD128" s="124" t="str">
        <f t="shared" si="39"/>
        <v/>
      </c>
      <c r="AE128" s="119">
        <f t="shared" si="50"/>
        <v>0</v>
      </c>
      <c r="AF128" s="120" t="str">
        <f t="shared" si="40"/>
        <v/>
      </c>
      <c r="AG128" s="110" t="str">
        <f>IF($U$258&lt;=0,AF128,IF(SUM($U$18:U128)&lt;=0,AF128,PMT($K$5/360*Días,A128,-AA128)))</f>
        <v/>
      </c>
      <c r="AH128" s="121" t="str">
        <f>IF(A128&lt;=Periodos_Gracia,0,IF($U$258&lt;=0,AG128,IF(SUM($U$18:U128)&lt;=0,AF128,PMT($K$5/360*Días,No._de_Pagos,-Monto_Crédito)-AC128-AD128)))</f>
        <v/>
      </c>
      <c r="AI128" s="125" t="str">
        <f t="shared" si="51"/>
        <v/>
      </c>
      <c r="AK128" s="126" t="str">
        <f>IF(A128="","",IF(Periodos_Gracia&gt;0,Tabla!AN128,V128+S128))</f>
        <v/>
      </c>
      <c r="AL128" s="126" t="str">
        <f t="shared" si="41"/>
        <v/>
      </c>
      <c r="AM128" s="61" t="str">
        <f t="shared" si="52"/>
        <v/>
      </c>
      <c r="AN128" s="127" t="str">
        <f>IF(A128="","",IF(A128&lt;=Periodos_Gracia,Tabla!S128,PPMT(Tasa_Anual/360*Días*(1+I.V.A.),Tabla!AM128,No._De_Pagos_con_periodo_de_gracia,-Monto_Crédito)+S128))</f>
        <v/>
      </c>
      <c r="AO128" s="127" t="str">
        <f>IF(A128="","",IF(A128&lt;=Periodos_Gracia,Tabla!AC128,Monto_Crédito/(No._De_Pagos_con_periodo_de_gracia)+AC128))</f>
        <v/>
      </c>
      <c r="AP128" s="117"/>
    </row>
    <row r="129" spans="1:42" x14ac:dyDescent="0.2">
      <c r="A129" s="107" t="str">
        <f>IF(A128&lt;Parámetros!$E$6,A128+1,"")</f>
        <v/>
      </c>
      <c r="B129" s="108" t="str">
        <f t="shared" si="53"/>
        <v/>
      </c>
      <c r="C129" s="108" t="str">
        <f t="shared" si="29"/>
        <v/>
      </c>
      <c r="D129" s="108" t="str">
        <f t="shared" si="30"/>
        <v/>
      </c>
      <c r="E129" s="108" t="str">
        <f t="shared" si="31"/>
        <v/>
      </c>
      <c r="F129" s="108" t="str">
        <f t="shared" si="32"/>
        <v/>
      </c>
      <c r="G129" s="114" t="str">
        <f t="shared" si="42"/>
        <v/>
      </c>
      <c r="H129" s="115">
        <f t="shared" si="43"/>
        <v>0</v>
      </c>
      <c r="I129" s="108" t="str">
        <f t="shared" si="54"/>
        <v/>
      </c>
      <c r="J129" s="108" t="str">
        <f t="shared" si="33"/>
        <v/>
      </c>
      <c r="K129" s="108" t="str">
        <f t="shared" si="34"/>
        <v/>
      </c>
      <c r="L129" s="108" t="str">
        <f t="shared" si="35"/>
        <v/>
      </c>
      <c r="M129" s="108" t="str">
        <f t="shared" si="44"/>
        <v/>
      </c>
      <c r="N129" s="114" t="str">
        <f t="shared" si="45"/>
        <v/>
      </c>
      <c r="O129" s="60">
        <v>0</v>
      </c>
      <c r="P129" s="116">
        <f t="shared" si="46"/>
        <v>0</v>
      </c>
      <c r="R129" s="117" t="str">
        <f t="shared" si="56"/>
        <v/>
      </c>
      <c r="S129" s="118" t="str">
        <f t="shared" si="36"/>
        <v/>
      </c>
      <c r="T129" s="118" t="str">
        <f t="shared" si="37"/>
        <v/>
      </c>
      <c r="U129" s="119">
        <f t="shared" si="47"/>
        <v>0</v>
      </c>
      <c r="V129" s="120" t="str">
        <f>IF(A129="","",IF(A129&lt;=Periodos_Gracia,0,PPMT(Tasa_Anual/360*Días*(1+I.V.A.),Tabla!AM129,No._De_Pagos_con_periodo_de_gracia,-Monto_Crédito)))</f>
        <v/>
      </c>
      <c r="W129" s="110" t="str">
        <f>IF($U$258&lt;=0,V129,IF(SUM($U$18:U129)&lt;=0,V129,PMT($K$5/360*Días,A129,-R129)))</f>
        <v/>
      </c>
      <c r="X129" s="121" t="str">
        <f>IF($U$258&lt;=0,W129,IF(SUM($U$18:U129)&lt;=0,V129,PMT($K$5/360*Días,No._De_Pagos_con_periodo_de_gracia,-Monto_Crédito)-S129-T129))</f>
        <v/>
      </c>
      <c r="Y129" s="117" t="str">
        <f t="shared" si="48"/>
        <v/>
      </c>
      <c r="Z129" s="61" t="str">
        <f>+IF(A129="","",IF(No._de_Pagos-Tabla!A129+1&lt;=0,"",No._de_Pagos-Tabla!A129+1))</f>
        <v/>
      </c>
      <c r="AA129" s="122" t="str">
        <f t="shared" si="49"/>
        <v/>
      </c>
      <c r="AB129" s="124" t="str">
        <f t="shared" si="55"/>
        <v/>
      </c>
      <c r="AC129" s="124" t="str">
        <f t="shared" si="38"/>
        <v/>
      </c>
      <c r="AD129" s="124" t="str">
        <f t="shared" si="39"/>
        <v/>
      </c>
      <c r="AE129" s="119">
        <f t="shared" si="50"/>
        <v>0</v>
      </c>
      <c r="AF129" s="120" t="str">
        <f t="shared" si="40"/>
        <v/>
      </c>
      <c r="AG129" s="110" t="str">
        <f>IF($U$258&lt;=0,AF129,IF(SUM($U$18:U129)&lt;=0,AF129,PMT($K$5/360*Días,A129,-AA129)))</f>
        <v/>
      </c>
      <c r="AH129" s="121" t="str">
        <f>IF(A129&lt;=Periodos_Gracia,0,IF($U$258&lt;=0,AG129,IF(SUM($U$18:U129)&lt;=0,AF129,PMT($K$5/360*Días,No._de_Pagos,-Monto_Crédito)-AC129-AD129)))</f>
        <v/>
      </c>
      <c r="AI129" s="125" t="str">
        <f t="shared" si="51"/>
        <v/>
      </c>
      <c r="AK129" s="126" t="str">
        <f>IF(A129="","",IF(Periodos_Gracia&gt;0,Tabla!AN129,V129+S129))</f>
        <v/>
      </c>
      <c r="AL129" s="126" t="str">
        <f t="shared" si="41"/>
        <v/>
      </c>
      <c r="AM129" s="61" t="str">
        <f t="shared" si="52"/>
        <v/>
      </c>
      <c r="AN129" s="127" t="str">
        <f>IF(A129="","",IF(A129&lt;=Periodos_Gracia,Tabla!S129,PPMT(Tasa_Anual/360*Días*(1+I.V.A.),Tabla!AM129,No._De_Pagos_con_periodo_de_gracia,-Monto_Crédito)+S129))</f>
        <v/>
      </c>
      <c r="AO129" s="127" t="str">
        <f>IF(A129="","",IF(A129&lt;=Periodos_Gracia,Tabla!AC129,Monto_Crédito/(No._De_Pagos_con_periodo_de_gracia)+AC129))</f>
        <v/>
      </c>
      <c r="AP129" s="117"/>
    </row>
    <row r="130" spans="1:42" x14ac:dyDescent="0.2">
      <c r="A130" s="107" t="str">
        <f>IF(A129&lt;Parámetros!$E$6,A129+1,"")</f>
        <v/>
      </c>
      <c r="B130" s="108" t="str">
        <f t="shared" si="53"/>
        <v/>
      </c>
      <c r="C130" s="108" t="str">
        <f t="shared" si="29"/>
        <v/>
      </c>
      <c r="D130" s="108" t="str">
        <f t="shared" si="30"/>
        <v/>
      </c>
      <c r="E130" s="108" t="str">
        <f t="shared" si="31"/>
        <v/>
      </c>
      <c r="F130" s="108" t="str">
        <f t="shared" si="32"/>
        <v/>
      </c>
      <c r="G130" s="114" t="str">
        <f t="shared" si="42"/>
        <v/>
      </c>
      <c r="H130" s="115">
        <f t="shared" si="43"/>
        <v>0</v>
      </c>
      <c r="I130" s="108" t="str">
        <f t="shared" si="54"/>
        <v/>
      </c>
      <c r="J130" s="108" t="str">
        <f t="shared" si="33"/>
        <v/>
      </c>
      <c r="K130" s="108" t="str">
        <f t="shared" si="34"/>
        <v/>
      </c>
      <c r="L130" s="108" t="str">
        <f t="shared" si="35"/>
        <v/>
      </c>
      <c r="M130" s="108" t="str">
        <f t="shared" si="44"/>
        <v/>
      </c>
      <c r="N130" s="114" t="str">
        <f t="shared" si="45"/>
        <v/>
      </c>
      <c r="O130" s="60">
        <v>0</v>
      </c>
      <c r="P130" s="116">
        <f t="shared" si="46"/>
        <v>0</v>
      </c>
      <c r="R130" s="117" t="str">
        <f t="shared" si="56"/>
        <v/>
      </c>
      <c r="S130" s="118" t="str">
        <f t="shared" si="36"/>
        <v/>
      </c>
      <c r="T130" s="118" t="str">
        <f t="shared" si="37"/>
        <v/>
      </c>
      <c r="U130" s="119">
        <f t="shared" si="47"/>
        <v>0</v>
      </c>
      <c r="V130" s="120" t="str">
        <f>IF(A130="","",IF(A130&lt;=Periodos_Gracia,0,PPMT(Tasa_Anual/360*Días*(1+I.V.A.),Tabla!AM130,No._De_Pagos_con_periodo_de_gracia,-Monto_Crédito)))</f>
        <v/>
      </c>
      <c r="W130" s="110" t="str">
        <f>IF($U$258&lt;=0,V130,IF(SUM($U$18:U130)&lt;=0,V130,PMT($K$5/360*Días,A130,-R130)))</f>
        <v/>
      </c>
      <c r="X130" s="121" t="str">
        <f>IF($U$258&lt;=0,W130,IF(SUM($U$18:U130)&lt;=0,V130,PMT($K$5/360*Días,No._De_Pagos_con_periodo_de_gracia,-Monto_Crédito)-S130-T130))</f>
        <v/>
      </c>
      <c r="Y130" s="117" t="str">
        <f t="shared" si="48"/>
        <v/>
      </c>
      <c r="Z130" s="61" t="str">
        <f>+IF(A130="","",IF(No._de_Pagos-Tabla!A130+1&lt;=0,"",No._de_Pagos-Tabla!A130+1))</f>
        <v/>
      </c>
      <c r="AA130" s="122" t="str">
        <f t="shared" si="49"/>
        <v/>
      </c>
      <c r="AB130" s="124" t="str">
        <f t="shared" si="55"/>
        <v/>
      </c>
      <c r="AC130" s="124" t="str">
        <f t="shared" si="38"/>
        <v/>
      </c>
      <c r="AD130" s="124" t="str">
        <f t="shared" si="39"/>
        <v/>
      </c>
      <c r="AE130" s="119">
        <f t="shared" si="50"/>
        <v>0</v>
      </c>
      <c r="AF130" s="120" t="str">
        <f t="shared" si="40"/>
        <v/>
      </c>
      <c r="AG130" s="110" t="str">
        <f>IF($U$258&lt;=0,AF130,IF(SUM($U$18:U130)&lt;=0,AF130,PMT($K$5/360*Días,A130,-AA130)))</f>
        <v/>
      </c>
      <c r="AH130" s="121" t="str">
        <f>IF(A130&lt;=Periodos_Gracia,0,IF($U$258&lt;=0,AG130,IF(SUM($U$18:U130)&lt;=0,AF130,PMT($K$5/360*Días,No._de_Pagos,-Monto_Crédito)-AC130-AD130)))</f>
        <v/>
      </c>
      <c r="AI130" s="125" t="str">
        <f t="shared" si="51"/>
        <v/>
      </c>
      <c r="AK130" s="126" t="str">
        <f>IF(A130="","",IF(Periodos_Gracia&gt;0,Tabla!AN130,V130+S130))</f>
        <v/>
      </c>
      <c r="AL130" s="126" t="str">
        <f t="shared" si="41"/>
        <v/>
      </c>
      <c r="AM130" s="61" t="str">
        <f t="shared" si="52"/>
        <v/>
      </c>
      <c r="AN130" s="127" t="str">
        <f>IF(A130="","",IF(A130&lt;=Periodos_Gracia,Tabla!S130,PPMT(Tasa_Anual/360*Días*(1+I.V.A.),Tabla!AM130,No._De_Pagos_con_periodo_de_gracia,-Monto_Crédito)+S130))</f>
        <v/>
      </c>
      <c r="AO130" s="127" t="str">
        <f>IF(A130="","",IF(A130&lt;=Periodos_Gracia,Tabla!AC130,Monto_Crédito/(No._De_Pagos_con_periodo_de_gracia)+AC130))</f>
        <v/>
      </c>
      <c r="AP130" s="117"/>
    </row>
    <row r="131" spans="1:42" x14ac:dyDescent="0.2">
      <c r="A131" s="107" t="str">
        <f>IF(A130&lt;Parámetros!$E$6,A130+1,"")</f>
        <v/>
      </c>
      <c r="B131" s="108" t="str">
        <f t="shared" si="53"/>
        <v/>
      </c>
      <c r="C131" s="108" t="str">
        <f t="shared" si="29"/>
        <v/>
      </c>
      <c r="D131" s="108" t="str">
        <f t="shared" si="30"/>
        <v/>
      </c>
      <c r="E131" s="108" t="str">
        <f t="shared" si="31"/>
        <v/>
      </c>
      <c r="F131" s="108" t="str">
        <f t="shared" si="32"/>
        <v/>
      </c>
      <c r="G131" s="114" t="str">
        <f t="shared" si="42"/>
        <v/>
      </c>
      <c r="H131" s="115">
        <f t="shared" si="43"/>
        <v>0</v>
      </c>
      <c r="I131" s="108" t="str">
        <f t="shared" si="54"/>
        <v/>
      </c>
      <c r="J131" s="108" t="str">
        <f t="shared" si="33"/>
        <v/>
      </c>
      <c r="K131" s="108" t="str">
        <f t="shared" si="34"/>
        <v/>
      </c>
      <c r="L131" s="108" t="str">
        <f t="shared" si="35"/>
        <v/>
      </c>
      <c r="M131" s="108" t="str">
        <f t="shared" si="44"/>
        <v/>
      </c>
      <c r="N131" s="114" t="str">
        <f t="shared" si="45"/>
        <v/>
      </c>
      <c r="O131" s="60">
        <v>0</v>
      </c>
      <c r="P131" s="116">
        <f t="shared" si="46"/>
        <v>0</v>
      </c>
      <c r="R131" s="117" t="str">
        <f t="shared" si="56"/>
        <v/>
      </c>
      <c r="S131" s="118" t="str">
        <f t="shared" si="36"/>
        <v/>
      </c>
      <c r="T131" s="118" t="str">
        <f t="shared" si="37"/>
        <v/>
      </c>
      <c r="U131" s="119">
        <f t="shared" si="47"/>
        <v>0</v>
      </c>
      <c r="V131" s="120" t="str">
        <f>IF(A131="","",IF(A131&lt;=Periodos_Gracia,0,PPMT(Tasa_Anual/360*Días*(1+I.V.A.),Tabla!AM131,No._De_Pagos_con_periodo_de_gracia,-Monto_Crédito)))</f>
        <v/>
      </c>
      <c r="W131" s="110" t="str">
        <f>IF($U$258&lt;=0,V131,IF(SUM($U$18:U131)&lt;=0,V131,PMT($K$5/360*Días,A131,-R131)))</f>
        <v/>
      </c>
      <c r="X131" s="121" t="str">
        <f>IF($U$258&lt;=0,W131,IF(SUM($U$18:U131)&lt;=0,V131,PMT($K$5/360*Días,No._De_Pagos_con_periodo_de_gracia,-Monto_Crédito)-S131-T131))</f>
        <v/>
      </c>
      <c r="Y131" s="117" t="str">
        <f t="shared" si="48"/>
        <v/>
      </c>
      <c r="Z131" s="61" t="str">
        <f>+IF(A131="","",IF(No._de_Pagos-Tabla!A131+1&lt;=0,"",No._de_Pagos-Tabla!A131+1))</f>
        <v/>
      </c>
      <c r="AA131" s="122" t="str">
        <f t="shared" si="49"/>
        <v/>
      </c>
      <c r="AB131" s="124" t="str">
        <f t="shared" si="55"/>
        <v/>
      </c>
      <c r="AC131" s="124" t="str">
        <f t="shared" si="38"/>
        <v/>
      </c>
      <c r="AD131" s="124" t="str">
        <f t="shared" si="39"/>
        <v/>
      </c>
      <c r="AE131" s="119">
        <f t="shared" si="50"/>
        <v>0</v>
      </c>
      <c r="AF131" s="120" t="str">
        <f t="shared" si="40"/>
        <v/>
      </c>
      <c r="AG131" s="110" t="str">
        <f>IF($U$258&lt;=0,AF131,IF(SUM($U$18:U131)&lt;=0,AF131,PMT($K$5/360*Días,A131,-AA131)))</f>
        <v/>
      </c>
      <c r="AH131" s="121" t="str">
        <f>IF(A131&lt;=Periodos_Gracia,0,IF($U$258&lt;=0,AG131,IF(SUM($U$18:U131)&lt;=0,AF131,PMT($K$5/360*Días,No._de_Pagos,-Monto_Crédito)-AC131-AD131)))</f>
        <v/>
      </c>
      <c r="AI131" s="125" t="str">
        <f t="shared" si="51"/>
        <v/>
      </c>
      <c r="AK131" s="126" t="str">
        <f>IF(A131="","",IF(Periodos_Gracia&gt;0,Tabla!AN131,V131+S131))</f>
        <v/>
      </c>
      <c r="AL131" s="126" t="str">
        <f t="shared" si="41"/>
        <v/>
      </c>
      <c r="AM131" s="61" t="str">
        <f t="shared" si="52"/>
        <v/>
      </c>
      <c r="AN131" s="127" t="str">
        <f>IF(A131="","",IF(A131&lt;=Periodos_Gracia,Tabla!S131,PPMT(Tasa_Anual/360*Días*(1+I.V.A.),Tabla!AM131,No._De_Pagos_con_periodo_de_gracia,-Monto_Crédito)+S131))</f>
        <v/>
      </c>
      <c r="AO131" s="127" t="str">
        <f>IF(A131="","",IF(A131&lt;=Periodos_Gracia,Tabla!AC131,Monto_Crédito/(No._De_Pagos_con_periodo_de_gracia)+AC131))</f>
        <v/>
      </c>
      <c r="AP131" s="117"/>
    </row>
    <row r="132" spans="1:42" x14ac:dyDescent="0.2">
      <c r="A132" s="107" t="str">
        <f>IF(A131&lt;Parámetros!$E$6,A131+1,"")</f>
        <v/>
      </c>
      <c r="B132" s="108" t="str">
        <f t="shared" si="53"/>
        <v/>
      </c>
      <c r="C132" s="108" t="str">
        <f t="shared" si="29"/>
        <v/>
      </c>
      <c r="D132" s="108" t="str">
        <f t="shared" si="30"/>
        <v/>
      </c>
      <c r="E132" s="108" t="str">
        <f t="shared" si="31"/>
        <v/>
      </c>
      <c r="F132" s="108" t="str">
        <f t="shared" si="32"/>
        <v/>
      </c>
      <c r="G132" s="114" t="str">
        <f t="shared" si="42"/>
        <v/>
      </c>
      <c r="H132" s="115">
        <f t="shared" si="43"/>
        <v>0</v>
      </c>
      <c r="I132" s="108" t="str">
        <f t="shared" si="54"/>
        <v/>
      </c>
      <c r="J132" s="108" t="str">
        <f t="shared" si="33"/>
        <v/>
      </c>
      <c r="K132" s="108" t="str">
        <f t="shared" si="34"/>
        <v/>
      </c>
      <c r="L132" s="108" t="str">
        <f t="shared" si="35"/>
        <v/>
      </c>
      <c r="M132" s="108" t="str">
        <f t="shared" si="44"/>
        <v/>
      </c>
      <c r="N132" s="114" t="str">
        <f t="shared" si="45"/>
        <v/>
      </c>
      <c r="O132" s="60">
        <v>0</v>
      </c>
      <c r="P132" s="116">
        <f t="shared" si="46"/>
        <v>0</v>
      </c>
      <c r="R132" s="117" t="str">
        <f t="shared" si="56"/>
        <v/>
      </c>
      <c r="S132" s="118" t="str">
        <f t="shared" si="36"/>
        <v/>
      </c>
      <c r="T132" s="118" t="str">
        <f t="shared" si="37"/>
        <v/>
      </c>
      <c r="U132" s="119">
        <f t="shared" si="47"/>
        <v>0</v>
      </c>
      <c r="V132" s="120" t="str">
        <f>IF(A132="","",IF(A132&lt;=Periodos_Gracia,0,PPMT(Tasa_Anual/360*Días*(1+I.V.A.),Tabla!AM132,No._De_Pagos_con_periodo_de_gracia,-Monto_Crédito)))</f>
        <v/>
      </c>
      <c r="W132" s="110" t="str">
        <f>IF($U$258&lt;=0,V132,IF(SUM($U$18:U132)&lt;=0,V132,PMT($K$5/360*Días,A132,-R132)))</f>
        <v/>
      </c>
      <c r="X132" s="121" t="str">
        <f>IF($U$258&lt;=0,W132,IF(SUM($U$18:U132)&lt;=0,V132,PMT($K$5/360*Días,No._De_Pagos_con_periodo_de_gracia,-Monto_Crédito)-S132-T132))</f>
        <v/>
      </c>
      <c r="Y132" s="117" t="str">
        <f t="shared" si="48"/>
        <v/>
      </c>
      <c r="Z132" s="61" t="str">
        <f>+IF(A132="","",IF(No._de_Pagos-Tabla!A132+1&lt;=0,"",No._de_Pagos-Tabla!A132+1))</f>
        <v/>
      </c>
      <c r="AA132" s="122" t="str">
        <f t="shared" si="49"/>
        <v/>
      </c>
      <c r="AB132" s="124" t="str">
        <f t="shared" si="55"/>
        <v/>
      </c>
      <c r="AC132" s="124" t="str">
        <f t="shared" si="38"/>
        <v/>
      </c>
      <c r="AD132" s="124" t="str">
        <f t="shared" si="39"/>
        <v/>
      </c>
      <c r="AE132" s="119">
        <f t="shared" si="50"/>
        <v>0</v>
      </c>
      <c r="AF132" s="120" t="str">
        <f t="shared" si="40"/>
        <v/>
      </c>
      <c r="AG132" s="110" t="str">
        <f>IF($U$258&lt;=0,AF132,IF(SUM($U$18:U132)&lt;=0,AF132,PMT($K$5/360*Días,A132,-AA132)))</f>
        <v/>
      </c>
      <c r="AH132" s="121" t="str">
        <f>IF(A132&lt;=Periodos_Gracia,0,IF($U$258&lt;=0,AG132,IF(SUM($U$18:U132)&lt;=0,AF132,PMT($K$5/360*Días,No._de_Pagos,-Monto_Crédito)-AC132-AD132)))</f>
        <v/>
      </c>
      <c r="AI132" s="125" t="str">
        <f t="shared" si="51"/>
        <v/>
      </c>
      <c r="AK132" s="126" t="str">
        <f>IF(A132="","",IF(Periodos_Gracia&gt;0,Tabla!AN132,V132+S132))</f>
        <v/>
      </c>
      <c r="AL132" s="126" t="str">
        <f t="shared" si="41"/>
        <v/>
      </c>
      <c r="AM132" s="61" t="str">
        <f t="shared" si="52"/>
        <v/>
      </c>
      <c r="AN132" s="127" t="str">
        <f>IF(A132="","",IF(A132&lt;=Periodos_Gracia,Tabla!S132,PPMT(Tasa_Anual/360*Días*(1+I.V.A.),Tabla!AM132,No._De_Pagos_con_periodo_de_gracia,-Monto_Crédito)+S132))</f>
        <v/>
      </c>
      <c r="AO132" s="127" t="str">
        <f>IF(A132="","",IF(A132&lt;=Periodos_Gracia,Tabla!AC132,Monto_Crédito/(No._De_Pagos_con_periodo_de_gracia)+AC132))</f>
        <v/>
      </c>
      <c r="AP132" s="117"/>
    </row>
    <row r="133" spans="1:42" x14ac:dyDescent="0.2">
      <c r="A133" s="107" t="str">
        <f>IF(A132&lt;Parámetros!$E$6,A132+1,"")</f>
        <v/>
      </c>
      <c r="B133" s="108" t="str">
        <f t="shared" si="53"/>
        <v/>
      </c>
      <c r="C133" s="108" t="str">
        <f t="shared" si="29"/>
        <v/>
      </c>
      <c r="D133" s="108" t="str">
        <f t="shared" si="30"/>
        <v/>
      </c>
      <c r="E133" s="108" t="str">
        <f t="shared" si="31"/>
        <v/>
      </c>
      <c r="F133" s="108" t="str">
        <f t="shared" si="32"/>
        <v/>
      </c>
      <c r="G133" s="114" t="str">
        <f t="shared" si="42"/>
        <v/>
      </c>
      <c r="H133" s="115">
        <f t="shared" si="43"/>
        <v>0</v>
      </c>
      <c r="I133" s="108" t="str">
        <f t="shared" si="54"/>
        <v/>
      </c>
      <c r="J133" s="108" t="str">
        <f t="shared" si="33"/>
        <v/>
      </c>
      <c r="K133" s="108" t="str">
        <f t="shared" si="34"/>
        <v/>
      </c>
      <c r="L133" s="108" t="str">
        <f t="shared" si="35"/>
        <v/>
      </c>
      <c r="M133" s="108" t="str">
        <f t="shared" si="44"/>
        <v/>
      </c>
      <c r="N133" s="114" t="str">
        <f t="shared" si="45"/>
        <v/>
      </c>
      <c r="O133" s="60">
        <v>0</v>
      </c>
      <c r="P133" s="116">
        <f t="shared" si="46"/>
        <v>0</v>
      </c>
      <c r="R133" s="117" t="str">
        <f t="shared" si="56"/>
        <v/>
      </c>
      <c r="S133" s="118" t="str">
        <f t="shared" si="36"/>
        <v/>
      </c>
      <c r="T133" s="118" t="str">
        <f t="shared" si="37"/>
        <v/>
      </c>
      <c r="U133" s="119">
        <f t="shared" si="47"/>
        <v>0</v>
      </c>
      <c r="V133" s="120" t="str">
        <f>IF(A133="","",IF(A133&lt;=Periodos_Gracia,0,PPMT(Tasa_Anual/360*Días*(1+I.V.A.),Tabla!AM133,No._De_Pagos_con_periodo_de_gracia,-Monto_Crédito)))</f>
        <v/>
      </c>
      <c r="W133" s="110" t="str">
        <f>IF($U$258&lt;=0,V133,IF(SUM($U$18:U133)&lt;=0,V133,PMT($K$5/360*Días,A133,-R133)))</f>
        <v/>
      </c>
      <c r="X133" s="121" t="str">
        <f>IF($U$258&lt;=0,W133,IF(SUM($U$18:U133)&lt;=0,V133,PMT($K$5/360*Días,No._De_Pagos_con_periodo_de_gracia,-Monto_Crédito)-S133-T133))</f>
        <v/>
      </c>
      <c r="Y133" s="117" t="str">
        <f t="shared" si="48"/>
        <v/>
      </c>
      <c r="Z133" s="61" t="str">
        <f>+IF(A133="","",IF(No._de_Pagos-Tabla!A133+1&lt;=0,"",No._de_Pagos-Tabla!A133+1))</f>
        <v/>
      </c>
      <c r="AA133" s="122" t="str">
        <f t="shared" si="49"/>
        <v/>
      </c>
      <c r="AB133" s="124" t="str">
        <f t="shared" si="55"/>
        <v/>
      </c>
      <c r="AC133" s="124" t="str">
        <f t="shared" si="38"/>
        <v/>
      </c>
      <c r="AD133" s="124" t="str">
        <f t="shared" si="39"/>
        <v/>
      </c>
      <c r="AE133" s="119">
        <f t="shared" si="50"/>
        <v>0</v>
      </c>
      <c r="AF133" s="120" t="str">
        <f t="shared" si="40"/>
        <v/>
      </c>
      <c r="AG133" s="110" t="str">
        <f>IF($U$258&lt;=0,AF133,IF(SUM($U$18:U133)&lt;=0,AF133,PMT($K$5/360*Días,A133,-AA133)))</f>
        <v/>
      </c>
      <c r="AH133" s="121" t="str">
        <f>IF(A133&lt;=Periodos_Gracia,0,IF($U$258&lt;=0,AG133,IF(SUM($U$18:U133)&lt;=0,AF133,PMT($K$5/360*Días,No._de_Pagos,-Monto_Crédito)-AC133-AD133)))</f>
        <v/>
      </c>
      <c r="AI133" s="125" t="str">
        <f t="shared" si="51"/>
        <v/>
      </c>
      <c r="AK133" s="126" t="str">
        <f>IF(A133="","",IF(Periodos_Gracia&gt;0,Tabla!AN133,V133+S133))</f>
        <v/>
      </c>
      <c r="AL133" s="126" t="str">
        <f t="shared" si="41"/>
        <v/>
      </c>
      <c r="AM133" s="61" t="str">
        <f t="shared" si="52"/>
        <v/>
      </c>
      <c r="AN133" s="127" t="str">
        <f>IF(A133="","",IF(A133&lt;=Periodos_Gracia,Tabla!S133,PPMT(Tasa_Anual/360*Días*(1+I.V.A.),Tabla!AM133,No._De_Pagos_con_periodo_de_gracia,-Monto_Crédito)+S133))</f>
        <v/>
      </c>
      <c r="AO133" s="127" t="str">
        <f>IF(A133="","",IF(A133&lt;=Periodos_Gracia,Tabla!AC133,Monto_Crédito/(No._De_Pagos_con_periodo_de_gracia)+AC133))</f>
        <v/>
      </c>
      <c r="AP133" s="117"/>
    </row>
    <row r="134" spans="1:42" x14ac:dyDescent="0.2">
      <c r="A134" s="107" t="str">
        <f>IF(A133&lt;Parámetros!$E$6,A133+1,"")</f>
        <v/>
      </c>
      <c r="B134" s="108" t="str">
        <f t="shared" si="53"/>
        <v/>
      </c>
      <c r="C134" s="108" t="str">
        <f t="shared" si="29"/>
        <v/>
      </c>
      <c r="D134" s="108" t="str">
        <f t="shared" si="30"/>
        <v/>
      </c>
      <c r="E134" s="108" t="str">
        <f t="shared" si="31"/>
        <v/>
      </c>
      <c r="F134" s="108" t="str">
        <f t="shared" si="32"/>
        <v/>
      </c>
      <c r="G134" s="114" t="str">
        <f t="shared" si="42"/>
        <v/>
      </c>
      <c r="H134" s="115">
        <f t="shared" si="43"/>
        <v>0</v>
      </c>
      <c r="I134" s="108" t="str">
        <f t="shared" si="54"/>
        <v/>
      </c>
      <c r="J134" s="108" t="str">
        <f t="shared" si="33"/>
        <v/>
      </c>
      <c r="K134" s="108" t="str">
        <f t="shared" si="34"/>
        <v/>
      </c>
      <c r="L134" s="108" t="str">
        <f t="shared" si="35"/>
        <v/>
      </c>
      <c r="M134" s="108" t="str">
        <f t="shared" si="44"/>
        <v/>
      </c>
      <c r="N134" s="114" t="str">
        <f t="shared" si="45"/>
        <v/>
      </c>
      <c r="O134" s="60">
        <v>0</v>
      </c>
      <c r="P134" s="116">
        <f t="shared" si="46"/>
        <v>0</v>
      </c>
      <c r="R134" s="117" t="str">
        <f t="shared" si="56"/>
        <v/>
      </c>
      <c r="S134" s="118" t="str">
        <f t="shared" si="36"/>
        <v/>
      </c>
      <c r="T134" s="118" t="str">
        <f t="shared" si="37"/>
        <v/>
      </c>
      <c r="U134" s="119">
        <f t="shared" si="47"/>
        <v>0</v>
      </c>
      <c r="V134" s="120" t="str">
        <f>IF(A134="","",IF(A134&lt;=Periodos_Gracia,0,PPMT(Tasa_Anual/360*Días*(1+I.V.A.),Tabla!AM134,No._De_Pagos_con_periodo_de_gracia,-Monto_Crédito)))</f>
        <v/>
      </c>
      <c r="W134" s="110" t="str">
        <f>IF($U$258&lt;=0,V134,IF(SUM($U$18:U134)&lt;=0,V134,PMT($K$5/360*Días,A134,-R134)))</f>
        <v/>
      </c>
      <c r="X134" s="121" t="str">
        <f>IF($U$258&lt;=0,W134,IF(SUM($U$18:U134)&lt;=0,V134,PMT($K$5/360*Días,No._De_Pagos_con_periodo_de_gracia,-Monto_Crédito)-S134-T134))</f>
        <v/>
      </c>
      <c r="Y134" s="117" t="str">
        <f t="shared" si="48"/>
        <v/>
      </c>
      <c r="Z134" s="61" t="str">
        <f>+IF(A134="","",IF(No._de_Pagos-Tabla!A134+1&lt;=0,"",No._de_Pagos-Tabla!A134+1))</f>
        <v/>
      </c>
      <c r="AA134" s="122" t="str">
        <f t="shared" si="49"/>
        <v/>
      </c>
      <c r="AB134" s="124" t="str">
        <f t="shared" si="55"/>
        <v/>
      </c>
      <c r="AC134" s="124" t="str">
        <f t="shared" si="38"/>
        <v/>
      </c>
      <c r="AD134" s="124" t="str">
        <f t="shared" si="39"/>
        <v/>
      </c>
      <c r="AE134" s="119">
        <f t="shared" si="50"/>
        <v>0</v>
      </c>
      <c r="AF134" s="120" t="str">
        <f t="shared" si="40"/>
        <v/>
      </c>
      <c r="AG134" s="110" t="str">
        <f>IF($U$258&lt;=0,AF134,IF(SUM($U$18:U134)&lt;=0,AF134,PMT($K$5/360*Días,A134,-AA134)))</f>
        <v/>
      </c>
      <c r="AH134" s="121" t="str">
        <f>IF(A134&lt;=Periodos_Gracia,0,IF($U$258&lt;=0,AG134,IF(SUM($U$18:U134)&lt;=0,AF134,PMT($K$5/360*Días,No._de_Pagos,-Monto_Crédito)-AC134-AD134)))</f>
        <v/>
      </c>
      <c r="AI134" s="125" t="str">
        <f t="shared" si="51"/>
        <v/>
      </c>
      <c r="AK134" s="126" t="str">
        <f>IF(A134="","",IF(Periodos_Gracia&gt;0,Tabla!AN134,V134+S134))</f>
        <v/>
      </c>
      <c r="AL134" s="126" t="str">
        <f t="shared" si="41"/>
        <v/>
      </c>
      <c r="AM134" s="61" t="str">
        <f t="shared" si="52"/>
        <v/>
      </c>
      <c r="AN134" s="127" t="str">
        <f>IF(A134="","",IF(A134&lt;=Periodos_Gracia,Tabla!S134,PPMT(Tasa_Anual/360*Días*(1+I.V.A.),Tabla!AM134,No._De_Pagos_con_periodo_de_gracia,-Monto_Crédito)+S134))</f>
        <v/>
      </c>
      <c r="AO134" s="127" t="str">
        <f>IF(A134="","",IF(A134&lt;=Periodos_Gracia,Tabla!AC134,Monto_Crédito/(No._De_Pagos_con_periodo_de_gracia)+AC134))</f>
        <v/>
      </c>
      <c r="AP134" s="117"/>
    </row>
    <row r="135" spans="1:42" x14ac:dyDescent="0.2">
      <c r="A135" s="107" t="str">
        <f>IF(A134&lt;Parámetros!$E$6,A134+1,"")</f>
        <v/>
      </c>
      <c r="B135" s="108" t="str">
        <f t="shared" si="53"/>
        <v/>
      </c>
      <c r="C135" s="108" t="str">
        <f t="shared" si="29"/>
        <v/>
      </c>
      <c r="D135" s="108" t="str">
        <f t="shared" si="30"/>
        <v/>
      </c>
      <c r="E135" s="108" t="str">
        <f t="shared" si="31"/>
        <v/>
      </c>
      <c r="F135" s="108" t="str">
        <f t="shared" si="32"/>
        <v/>
      </c>
      <c r="G135" s="114" t="str">
        <f t="shared" si="42"/>
        <v/>
      </c>
      <c r="H135" s="115">
        <f t="shared" si="43"/>
        <v>0</v>
      </c>
      <c r="I135" s="108" t="str">
        <f t="shared" si="54"/>
        <v/>
      </c>
      <c r="J135" s="108" t="str">
        <f t="shared" si="33"/>
        <v/>
      </c>
      <c r="K135" s="108" t="str">
        <f t="shared" si="34"/>
        <v/>
      </c>
      <c r="L135" s="108" t="str">
        <f t="shared" si="35"/>
        <v/>
      </c>
      <c r="M135" s="108" t="str">
        <f t="shared" si="44"/>
        <v/>
      </c>
      <c r="N135" s="114" t="str">
        <f t="shared" si="45"/>
        <v/>
      </c>
      <c r="O135" s="60">
        <v>0</v>
      </c>
      <c r="P135" s="116">
        <f t="shared" si="46"/>
        <v>0</v>
      </c>
      <c r="R135" s="117" t="str">
        <f t="shared" si="56"/>
        <v/>
      </c>
      <c r="S135" s="118" t="str">
        <f t="shared" si="36"/>
        <v/>
      </c>
      <c r="T135" s="118" t="str">
        <f t="shared" si="37"/>
        <v/>
      </c>
      <c r="U135" s="119">
        <f t="shared" si="47"/>
        <v>0</v>
      </c>
      <c r="V135" s="120" t="str">
        <f>IF(A135="","",IF(A135&lt;=Periodos_Gracia,0,PPMT(Tasa_Anual/360*Días*(1+I.V.A.),Tabla!AM135,No._De_Pagos_con_periodo_de_gracia,-Monto_Crédito)))</f>
        <v/>
      </c>
      <c r="W135" s="110" t="str">
        <f>IF($U$258&lt;=0,V135,IF(SUM($U$18:U135)&lt;=0,V135,PMT($K$5/360*Días,A135,-R135)))</f>
        <v/>
      </c>
      <c r="X135" s="121" t="str">
        <f>IF($U$258&lt;=0,W135,IF(SUM($U$18:U135)&lt;=0,V135,PMT($K$5/360*Días,No._De_Pagos_con_periodo_de_gracia,-Monto_Crédito)-S135-T135))</f>
        <v/>
      </c>
      <c r="Y135" s="117" t="str">
        <f t="shared" si="48"/>
        <v/>
      </c>
      <c r="Z135" s="61" t="str">
        <f>+IF(A135="","",IF(No._de_Pagos-Tabla!A135+1&lt;=0,"",No._de_Pagos-Tabla!A135+1))</f>
        <v/>
      </c>
      <c r="AA135" s="122" t="str">
        <f t="shared" si="49"/>
        <v/>
      </c>
      <c r="AB135" s="124" t="str">
        <f t="shared" si="55"/>
        <v/>
      </c>
      <c r="AC135" s="124" t="str">
        <f t="shared" si="38"/>
        <v/>
      </c>
      <c r="AD135" s="124" t="str">
        <f t="shared" si="39"/>
        <v/>
      </c>
      <c r="AE135" s="119">
        <f t="shared" si="50"/>
        <v>0</v>
      </c>
      <c r="AF135" s="120" t="str">
        <f t="shared" si="40"/>
        <v/>
      </c>
      <c r="AG135" s="110" t="str">
        <f>IF($U$258&lt;=0,AF135,IF(SUM($U$18:U135)&lt;=0,AF135,PMT($K$5/360*Días,A135,-AA135)))</f>
        <v/>
      </c>
      <c r="AH135" s="121" t="str">
        <f>IF(A135&lt;=Periodos_Gracia,0,IF($U$258&lt;=0,AG135,IF(SUM($U$18:U135)&lt;=0,AF135,PMT($K$5/360*Días,No._de_Pagos,-Monto_Crédito)-AC135-AD135)))</f>
        <v/>
      </c>
      <c r="AI135" s="125" t="str">
        <f t="shared" si="51"/>
        <v/>
      </c>
      <c r="AK135" s="126" t="str">
        <f>IF(A135="","",IF(Periodos_Gracia&gt;0,Tabla!AN135,V135+S135))</f>
        <v/>
      </c>
      <c r="AL135" s="126" t="str">
        <f t="shared" si="41"/>
        <v/>
      </c>
      <c r="AM135" s="61" t="str">
        <f t="shared" si="52"/>
        <v/>
      </c>
      <c r="AN135" s="127" t="str">
        <f>IF(A135="","",IF(A135&lt;=Periodos_Gracia,Tabla!S135,PPMT(Tasa_Anual/360*Días*(1+I.V.A.),Tabla!AM135,No._De_Pagos_con_periodo_de_gracia,-Monto_Crédito)+S135))</f>
        <v/>
      </c>
      <c r="AO135" s="127" t="str">
        <f>IF(A135="","",IF(A135&lt;=Periodos_Gracia,Tabla!AC135,Monto_Crédito/(No._De_Pagos_con_periodo_de_gracia)+AC135))</f>
        <v/>
      </c>
      <c r="AP135" s="117"/>
    </row>
    <row r="136" spans="1:42" x14ac:dyDescent="0.2">
      <c r="A136" s="107" t="str">
        <f>IF(A135&lt;Parámetros!$E$6,A135+1,"")</f>
        <v/>
      </c>
      <c r="B136" s="108" t="str">
        <f t="shared" si="53"/>
        <v/>
      </c>
      <c r="C136" s="108" t="str">
        <f t="shared" si="29"/>
        <v/>
      </c>
      <c r="D136" s="108" t="str">
        <f t="shared" si="30"/>
        <v/>
      </c>
      <c r="E136" s="108" t="str">
        <f t="shared" si="31"/>
        <v/>
      </c>
      <c r="F136" s="108" t="str">
        <f t="shared" si="32"/>
        <v/>
      </c>
      <c r="G136" s="114" t="str">
        <f t="shared" si="42"/>
        <v/>
      </c>
      <c r="H136" s="115">
        <f t="shared" si="43"/>
        <v>0</v>
      </c>
      <c r="I136" s="108" t="str">
        <f t="shared" si="54"/>
        <v/>
      </c>
      <c r="J136" s="108" t="str">
        <f t="shared" si="33"/>
        <v/>
      </c>
      <c r="K136" s="108" t="str">
        <f t="shared" si="34"/>
        <v/>
      </c>
      <c r="L136" s="108" t="str">
        <f t="shared" si="35"/>
        <v/>
      </c>
      <c r="M136" s="108" t="str">
        <f t="shared" si="44"/>
        <v/>
      </c>
      <c r="N136" s="114" t="str">
        <f t="shared" si="45"/>
        <v/>
      </c>
      <c r="O136" s="60">
        <v>0</v>
      </c>
      <c r="P136" s="116">
        <f t="shared" si="46"/>
        <v>0</v>
      </c>
      <c r="R136" s="117" t="str">
        <f t="shared" si="56"/>
        <v/>
      </c>
      <c r="S136" s="118" t="str">
        <f t="shared" si="36"/>
        <v/>
      </c>
      <c r="T136" s="118" t="str">
        <f t="shared" si="37"/>
        <v/>
      </c>
      <c r="U136" s="119">
        <f t="shared" si="47"/>
        <v>0</v>
      </c>
      <c r="V136" s="120" t="str">
        <f>IF(A136="","",IF(A136&lt;=Periodos_Gracia,0,PPMT(Tasa_Anual/360*Días*(1+I.V.A.),Tabla!AM136,No._De_Pagos_con_periodo_de_gracia,-Monto_Crédito)))</f>
        <v/>
      </c>
      <c r="W136" s="110" t="str">
        <f>IF($U$258&lt;=0,V136,IF(SUM($U$18:U136)&lt;=0,V136,PMT($K$5/360*Días,A136,-R136)))</f>
        <v/>
      </c>
      <c r="X136" s="121" t="str">
        <f>IF($U$258&lt;=0,W136,IF(SUM($U$18:U136)&lt;=0,V136,PMT($K$5/360*Días,No._De_Pagos_con_periodo_de_gracia,-Monto_Crédito)-S136-T136))</f>
        <v/>
      </c>
      <c r="Y136" s="117" t="str">
        <f t="shared" si="48"/>
        <v/>
      </c>
      <c r="Z136" s="61" t="str">
        <f>+IF(A136="","",IF(No._de_Pagos-Tabla!A136+1&lt;=0,"",No._de_Pagos-Tabla!A136+1))</f>
        <v/>
      </c>
      <c r="AA136" s="122" t="str">
        <f t="shared" si="49"/>
        <v/>
      </c>
      <c r="AB136" s="124" t="str">
        <f t="shared" si="55"/>
        <v/>
      </c>
      <c r="AC136" s="124" t="str">
        <f t="shared" si="38"/>
        <v/>
      </c>
      <c r="AD136" s="124" t="str">
        <f t="shared" si="39"/>
        <v/>
      </c>
      <c r="AE136" s="119">
        <f t="shared" si="50"/>
        <v>0</v>
      </c>
      <c r="AF136" s="120" t="str">
        <f t="shared" si="40"/>
        <v/>
      </c>
      <c r="AG136" s="110" t="str">
        <f>IF($U$258&lt;=0,AF136,IF(SUM($U$18:U136)&lt;=0,AF136,PMT($K$5/360*Días,A136,-AA136)))</f>
        <v/>
      </c>
      <c r="AH136" s="121" t="str">
        <f>IF(A136&lt;=Periodos_Gracia,0,IF($U$258&lt;=0,AG136,IF(SUM($U$18:U136)&lt;=0,AF136,PMT($K$5/360*Días,No._de_Pagos,-Monto_Crédito)-AC136-AD136)))</f>
        <v/>
      </c>
      <c r="AI136" s="125" t="str">
        <f t="shared" si="51"/>
        <v/>
      </c>
      <c r="AK136" s="126" t="str">
        <f>IF(A136="","",IF(Periodos_Gracia&gt;0,Tabla!AN136,V136+S136))</f>
        <v/>
      </c>
      <c r="AL136" s="126" t="str">
        <f t="shared" si="41"/>
        <v/>
      </c>
      <c r="AM136" s="61" t="str">
        <f t="shared" si="52"/>
        <v/>
      </c>
      <c r="AN136" s="127" t="str">
        <f>IF(A136="","",IF(A136&lt;=Periodos_Gracia,Tabla!S136,PPMT(Tasa_Anual/360*Días*(1+I.V.A.),Tabla!AM136,No._De_Pagos_con_periodo_de_gracia,-Monto_Crédito)+S136))</f>
        <v/>
      </c>
      <c r="AO136" s="127" t="str">
        <f>IF(A136="","",IF(A136&lt;=Periodos_Gracia,Tabla!AC136,Monto_Crédito/(No._De_Pagos_con_periodo_de_gracia)+AC136))</f>
        <v/>
      </c>
      <c r="AP136" s="117"/>
    </row>
    <row r="137" spans="1:42" x14ac:dyDescent="0.2">
      <c r="A137" s="107" t="str">
        <f>IF(A136&lt;Parámetros!$E$6,A136+1,"")</f>
        <v/>
      </c>
      <c r="B137" s="108" t="str">
        <f t="shared" si="53"/>
        <v/>
      </c>
      <c r="C137" s="108" t="str">
        <f t="shared" si="29"/>
        <v/>
      </c>
      <c r="D137" s="108" t="str">
        <f t="shared" si="30"/>
        <v/>
      </c>
      <c r="E137" s="108" t="str">
        <f t="shared" si="31"/>
        <v/>
      </c>
      <c r="F137" s="108" t="str">
        <f t="shared" si="32"/>
        <v/>
      </c>
      <c r="G137" s="114" t="str">
        <f t="shared" si="42"/>
        <v/>
      </c>
      <c r="H137" s="115">
        <f t="shared" si="43"/>
        <v>0</v>
      </c>
      <c r="I137" s="108" t="str">
        <f t="shared" si="54"/>
        <v/>
      </c>
      <c r="J137" s="108" t="str">
        <f t="shared" si="33"/>
        <v/>
      </c>
      <c r="K137" s="108" t="str">
        <f t="shared" si="34"/>
        <v/>
      </c>
      <c r="L137" s="108" t="str">
        <f t="shared" si="35"/>
        <v/>
      </c>
      <c r="M137" s="108" t="str">
        <f t="shared" si="44"/>
        <v/>
      </c>
      <c r="N137" s="114" t="str">
        <f t="shared" si="45"/>
        <v/>
      </c>
      <c r="O137" s="60">
        <v>0</v>
      </c>
      <c r="P137" s="116">
        <f t="shared" si="46"/>
        <v>0</v>
      </c>
      <c r="R137" s="117" t="str">
        <f t="shared" si="56"/>
        <v/>
      </c>
      <c r="S137" s="118" t="str">
        <f t="shared" si="36"/>
        <v/>
      </c>
      <c r="T137" s="118" t="str">
        <f t="shared" si="37"/>
        <v/>
      </c>
      <c r="U137" s="119">
        <f t="shared" si="47"/>
        <v>0</v>
      </c>
      <c r="V137" s="120" t="str">
        <f>IF(A137="","",IF(A137&lt;=Periodos_Gracia,0,PPMT(Tasa_Anual/360*Días*(1+I.V.A.),Tabla!AM137,No._De_Pagos_con_periodo_de_gracia,-Monto_Crédito)))</f>
        <v/>
      </c>
      <c r="W137" s="110" t="str">
        <f>IF($U$258&lt;=0,V137,IF(SUM($U$18:U137)&lt;=0,V137,PMT($K$5/360*Días,A137,-R137)))</f>
        <v/>
      </c>
      <c r="X137" s="121" t="str">
        <f>IF($U$258&lt;=0,W137,IF(SUM($U$18:U137)&lt;=0,V137,PMT($K$5/360*Días,No._De_Pagos_con_periodo_de_gracia,-Monto_Crédito)-S137-T137))</f>
        <v/>
      </c>
      <c r="Y137" s="117" t="str">
        <f t="shared" si="48"/>
        <v/>
      </c>
      <c r="Z137" s="61" t="str">
        <f>+IF(A137="","",IF(No._de_Pagos-Tabla!A137+1&lt;=0,"",No._de_Pagos-Tabla!A137+1))</f>
        <v/>
      </c>
      <c r="AA137" s="122" t="str">
        <f t="shared" si="49"/>
        <v/>
      </c>
      <c r="AB137" s="124" t="str">
        <f t="shared" si="55"/>
        <v/>
      </c>
      <c r="AC137" s="124" t="str">
        <f t="shared" si="38"/>
        <v/>
      </c>
      <c r="AD137" s="124" t="str">
        <f t="shared" si="39"/>
        <v/>
      </c>
      <c r="AE137" s="119">
        <f t="shared" si="50"/>
        <v>0</v>
      </c>
      <c r="AF137" s="120" t="str">
        <f t="shared" si="40"/>
        <v/>
      </c>
      <c r="AG137" s="110" t="str">
        <f>IF($U$258&lt;=0,AF137,IF(SUM($U$18:U137)&lt;=0,AF137,PMT($K$5/360*Días,A137,-AA137)))</f>
        <v/>
      </c>
      <c r="AH137" s="121" t="str">
        <f>IF(A137&lt;=Periodos_Gracia,0,IF($U$258&lt;=0,AG137,IF(SUM($U$18:U137)&lt;=0,AF137,PMT($K$5/360*Días,No._de_Pagos,-Monto_Crédito)-AC137-AD137)))</f>
        <v/>
      </c>
      <c r="AI137" s="125" t="str">
        <f t="shared" si="51"/>
        <v/>
      </c>
      <c r="AK137" s="126" t="str">
        <f>IF(A137="","",IF(Periodos_Gracia&gt;0,Tabla!AN137,V137+S137))</f>
        <v/>
      </c>
      <c r="AL137" s="126" t="str">
        <f t="shared" si="41"/>
        <v/>
      </c>
      <c r="AM137" s="61" t="str">
        <f t="shared" si="52"/>
        <v/>
      </c>
      <c r="AN137" s="127" t="str">
        <f>IF(A137="","",IF(A137&lt;=Periodos_Gracia,Tabla!S137,PPMT(Tasa_Anual/360*Días*(1+I.V.A.),Tabla!AM137,No._De_Pagos_con_periodo_de_gracia,-Monto_Crédito)+S137))</f>
        <v/>
      </c>
      <c r="AO137" s="127" t="str">
        <f>IF(A137="","",IF(A137&lt;=Periodos_Gracia,Tabla!AC137,Monto_Crédito/(No._De_Pagos_con_periodo_de_gracia)+AC137))</f>
        <v/>
      </c>
      <c r="AP137" s="117"/>
    </row>
    <row r="138" spans="1:42" x14ac:dyDescent="0.2">
      <c r="A138" s="107" t="str">
        <f>IF(A137&lt;Parámetros!$E$6,A137+1,"")</f>
        <v/>
      </c>
      <c r="B138" s="108" t="str">
        <f t="shared" si="53"/>
        <v/>
      </c>
      <c r="C138" s="108" t="str">
        <f t="shared" si="29"/>
        <v/>
      </c>
      <c r="D138" s="108" t="str">
        <f t="shared" si="30"/>
        <v/>
      </c>
      <c r="E138" s="108" t="str">
        <f t="shared" si="31"/>
        <v/>
      </c>
      <c r="F138" s="108" t="str">
        <f t="shared" si="32"/>
        <v/>
      </c>
      <c r="G138" s="114" t="str">
        <f t="shared" si="42"/>
        <v/>
      </c>
      <c r="H138" s="115">
        <f t="shared" si="43"/>
        <v>0</v>
      </c>
      <c r="I138" s="108" t="str">
        <f t="shared" si="54"/>
        <v/>
      </c>
      <c r="J138" s="108" t="str">
        <f t="shared" si="33"/>
        <v/>
      </c>
      <c r="K138" s="108" t="str">
        <f t="shared" si="34"/>
        <v/>
      </c>
      <c r="L138" s="108" t="str">
        <f t="shared" si="35"/>
        <v/>
      </c>
      <c r="M138" s="108" t="str">
        <f t="shared" si="44"/>
        <v/>
      </c>
      <c r="N138" s="114" t="str">
        <f t="shared" si="45"/>
        <v/>
      </c>
      <c r="O138" s="60">
        <v>0</v>
      </c>
      <c r="P138" s="116">
        <f t="shared" si="46"/>
        <v>0</v>
      </c>
      <c r="R138" s="117" t="str">
        <f t="shared" si="56"/>
        <v/>
      </c>
      <c r="S138" s="118" t="str">
        <f t="shared" si="36"/>
        <v/>
      </c>
      <c r="T138" s="118" t="str">
        <f t="shared" si="37"/>
        <v/>
      </c>
      <c r="U138" s="119">
        <f t="shared" si="47"/>
        <v>0</v>
      </c>
      <c r="V138" s="120" t="str">
        <f>IF(A138="","",IF(A138&lt;=Periodos_Gracia,0,PPMT(Tasa_Anual/360*Días*(1+I.V.A.),Tabla!AM138,No._De_Pagos_con_periodo_de_gracia,-Monto_Crédito)))</f>
        <v/>
      </c>
      <c r="W138" s="110" t="str">
        <f>IF($U$258&lt;=0,V138,IF(SUM($U$18:U138)&lt;=0,V138,PMT($K$5/360*Días,A138,-R138)))</f>
        <v/>
      </c>
      <c r="X138" s="121" t="str">
        <f>IF($U$258&lt;=0,W138,IF(SUM($U$18:U138)&lt;=0,V138,PMT($K$5/360*Días,No._De_Pagos_con_periodo_de_gracia,-Monto_Crédito)-S138-T138))</f>
        <v/>
      </c>
      <c r="Y138" s="117" t="str">
        <f t="shared" si="48"/>
        <v/>
      </c>
      <c r="Z138" s="61" t="str">
        <f>+IF(A138="","",IF(No._de_Pagos-Tabla!A138+1&lt;=0,"",No._de_Pagos-Tabla!A138+1))</f>
        <v/>
      </c>
      <c r="AA138" s="122" t="str">
        <f t="shared" si="49"/>
        <v/>
      </c>
      <c r="AB138" s="124" t="str">
        <f t="shared" si="55"/>
        <v/>
      </c>
      <c r="AC138" s="124" t="str">
        <f t="shared" si="38"/>
        <v/>
      </c>
      <c r="AD138" s="124" t="str">
        <f t="shared" si="39"/>
        <v/>
      </c>
      <c r="AE138" s="119">
        <f t="shared" si="50"/>
        <v>0</v>
      </c>
      <c r="AF138" s="120" t="str">
        <f t="shared" si="40"/>
        <v/>
      </c>
      <c r="AG138" s="110" t="str">
        <f>IF($U$258&lt;=0,AF138,IF(SUM($U$18:U138)&lt;=0,AF138,PMT($K$5/360*Días,A138,-AA138)))</f>
        <v/>
      </c>
      <c r="AH138" s="121" t="str">
        <f>IF(A138&lt;=Periodos_Gracia,0,IF($U$258&lt;=0,AG138,IF(SUM($U$18:U138)&lt;=0,AF138,PMT($K$5/360*Días,No._de_Pagos,-Monto_Crédito)-AC138-AD138)))</f>
        <v/>
      </c>
      <c r="AI138" s="125" t="str">
        <f t="shared" si="51"/>
        <v/>
      </c>
      <c r="AK138" s="126" t="str">
        <f>IF(A138="","",IF(Periodos_Gracia&gt;0,Tabla!AN138,V138+S138))</f>
        <v/>
      </c>
      <c r="AL138" s="126" t="str">
        <f t="shared" si="41"/>
        <v/>
      </c>
      <c r="AM138" s="61" t="str">
        <f t="shared" si="52"/>
        <v/>
      </c>
      <c r="AN138" s="127" t="str">
        <f>IF(A138="","",IF(A138&lt;=Periodos_Gracia,Tabla!S138,PPMT(Tasa_Anual/360*Días*(1+I.V.A.),Tabla!AM138,No._De_Pagos_con_periodo_de_gracia,-Monto_Crédito)+S138))</f>
        <v/>
      </c>
      <c r="AO138" s="127" t="str">
        <f>IF(A138="","",IF(A138&lt;=Periodos_Gracia,Tabla!AC138,Monto_Crédito/(No._De_Pagos_con_periodo_de_gracia)+AC138))</f>
        <v/>
      </c>
      <c r="AP138" s="117"/>
    </row>
    <row r="139" spans="1:42" x14ac:dyDescent="0.2">
      <c r="A139" s="107" t="str">
        <f>IF(A138&lt;Parámetros!$E$6,A138+1,"")</f>
        <v/>
      </c>
      <c r="B139" s="108" t="str">
        <f t="shared" si="53"/>
        <v/>
      </c>
      <c r="C139" s="108" t="str">
        <f t="shared" si="29"/>
        <v/>
      </c>
      <c r="D139" s="108" t="str">
        <f t="shared" si="30"/>
        <v/>
      </c>
      <c r="E139" s="108" t="str">
        <f t="shared" si="31"/>
        <v/>
      </c>
      <c r="F139" s="108" t="str">
        <f t="shared" si="32"/>
        <v/>
      </c>
      <c r="G139" s="114" t="str">
        <f t="shared" si="42"/>
        <v/>
      </c>
      <c r="H139" s="115">
        <f t="shared" si="43"/>
        <v>0</v>
      </c>
      <c r="I139" s="108" t="str">
        <f t="shared" si="54"/>
        <v/>
      </c>
      <c r="J139" s="108" t="str">
        <f t="shared" si="33"/>
        <v/>
      </c>
      <c r="K139" s="108" t="str">
        <f t="shared" si="34"/>
        <v/>
      </c>
      <c r="L139" s="108" t="str">
        <f t="shared" si="35"/>
        <v/>
      </c>
      <c r="M139" s="108" t="str">
        <f t="shared" si="44"/>
        <v/>
      </c>
      <c r="N139" s="114" t="str">
        <f t="shared" si="45"/>
        <v/>
      </c>
      <c r="O139" s="60">
        <v>0</v>
      </c>
      <c r="P139" s="116">
        <f t="shared" si="46"/>
        <v>0</v>
      </c>
      <c r="R139" s="117" t="str">
        <f t="shared" si="56"/>
        <v/>
      </c>
      <c r="S139" s="118" t="str">
        <f t="shared" si="36"/>
        <v/>
      </c>
      <c r="T139" s="118" t="str">
        <f t="shared" si="37"/>
        <v/>
      </c>
      <c r="U139" s="119">
        <f t="shared" si="47"/>
        <v>0</v>
      </c>
      <c r="V139" s="120" t="str">
        <f>IF(A139="","",IF(A139&lt;=Periodos_Gracia,0,PPMT(Tasa_Anual/360*Días*(1+I.V.A.),Tabla!AM139,No._De_Pagos_con_periodo_de_gracia,-Monto_Crédito)))</f>
        <v/>
      </c>
      <c r="W139" s="110" t="str">
        <f>IF($U$258&lt;=0,V139,IF(SUM($U$18:U139)&lt;=0,V139,PMT($K$5/360*Días,A139,-R139)))</f>
        <v/>
      </c>
      <c r="X139" s="121" t="str">
        <f>IF($U$258&lt;=0,W139,IF(SUM($U$18:U139)&lt;=0,V139,PMT($K$5/360*Días,No._De_Pagos_con_periodo_de_gracia,-Monto_Crédito)-S139-T139))</f>
        <v/>
      </c>
      <c r="Y139" s="117" t="str">
        <f t="shared" si="48"/>
        <v/>
      </c>
      <c r="Z139" s="61" t="str">
        <f>+IF(A139="","",IF(No._de_Pagos-Tabla!A139+1&lt;=0,"",No._de_Pagos-Tabla!A139+1))</f>
        <v/>
      </c>
      <c r="AA139" s="122" t="str">
        <f t="shared" si="49"/>
        <v/>
      </c>
      <c r="AB139" s="124" t="str">
        <f t="shared" si="55"/>
        <v/>
      </c>
      <c r="AC139" s="124" t="str">
        <f t="shared" si="38"/>
        <v/>
      </c>
      <c r="AD139" s="124" t="str">
        <f t="shared" si="39"/>
        <v/>
      </c>
      <c r="AE139" s="119">
        <f t="shared" si="50"/>
        <v>0</v>
      </c>
      <c r="AF139" s="120" t="str">
        <f t="shared" si="40"/>
        <v/>
      </c>
      <c r="AG139" s="110" t="str">
        <f>IF($U$258&lt;=0,AF139,IF(SUM($U$18:U139)&lt;=0,AF139,PMT($K$5/360*Días,A139,-AA139)))</f>
        <v/>
      </c>
      <c r="AH139" s="121" t="str">
        <f>IF(A139&lt;=Periodos_Gracia,0,IF($U$258&lt;=0,AG139,IF(SUM($U$18:U139)&lt;=0,AF139,PMT($K$5/360*Días,No._de_Pagos,-Monto_Crédito)-AC139-AD139)))</f>
        <v/>
      </c>
      <c r="AI139" s="125" t="str">
        <f t="shared" si="51"/>
        <v/>
      </c>
      <c r="AK139" s="126" t="str">
        <f>IF(A139="","",IF(Periodos_Gracia&gt;0,Tabla!AN139,V139+S139))</f>
        <v/>
      </c>
      <c r="AL139" s="126" t="str">
        <f t="shared" si="41"/>
        <v/>
      </c>
      <c r="AM139" s="61" t="str">
        <f t="shared" si="52"/>
        <v/>
      </c>
      <c r="AN139" s="127" t="str">
        <f>IF(A139="","",IF(A139&lt;=Periodos_Gracia,Tabla!S139,PPMT(Tasa_Anual/360*Días*(1+I.V.A.),Tabla!AM139,No._De_Pagos_con_periodo_de_gracia,-Monto_Crédito)+S139))</f>
        <v/>
      </c>
      <c r="AO139" s="127" t="str">
        <f>IF(A139="","",IF(A139&lt;=Periodos_Gracia,Tabla!AC139,Monto_Crédito/(No._De_Pagos_con_periodo_de_gracia)+AC139))</f>
        <v/>
      </c>
      <c r="AP139" s="117"/>
    </row>
    <row r="140" spans="1:42" x14ac:dyDescent="0.2">
      <c r="A140" s="107" t="str">
        <f>IF(A139&lt;Parámetros!$E$6,A139+1,"")</f>
        <v/>
      </c>
      <c r="B140" s="108" t="str">
        <f t="shared" si="53"/>
        <v/>
      </c>
      <c r="C140" s="108" t="str">
        <f t="shared" si="29"/>
        <v/>
      </c>
      <c r="D140" s="108" t="str">
        <f t="shared" si="30"/>
        <v/>
      </c>
      <c r="E140" s="108" t="str">
        <f t="shared" si="31"/>
        <v/>
      </c>
      <c r="F140" s="108" t="str">
        <f t="shared" si="32"/>
        <v/>
      </c>
      <c r="G140" s="114" t="str">
        <f t="shared" si="42"/>
        <v/>
      </c>
      <c r="H140" s="115">
        <f t="shared" si="43"/>
        <v>0</v>
      </c>
      <c r="I140" s="108" t="str">
        <f t="shared" si="54"/>
        <v/>
      </c>
      <c r="J140" s="108" t="str">
        <f t="shared" si="33"/>
        <v/>
      </c>
      <c r="K140" s="108" t="str">
        <f t="shared" si="34"/>
        <v/>
      </c>
      <c r="L140" s="108" t="str">
        <f t="shared" si="35"/>
        <v/>
      </c>
      <c r="M140" s="108" t="str">
        <f t="shared" si="44"/>
        <v/>
      </c>
      <c r="N140" s="114" t="str">
        <f t="shared" si="45"/>
        <v/>
      </c>
      <c r="O140" s="60">
        <v>0</v>
      </c>
      <c r="P140" s="116">
        <f t="shared" si="46"/>
        <v>0</v>
      </c>
      <c r="R140" s="117" t="str">
        <f t="shared" si="56"/>
        <v/>
      </c>
      <c r="S140" s="118" t="str">
        <f t="shared" si="36"/>
        <v/>
      </c>
      <c r="T140" s="118" t="str">
        <f t="shared" si="37"/>
        <v/>
      </c>
      <c r="U140" s="119">
        <f t="shared" si="47"/>
        <v>0</v>
      </c>
      <c r="V140" s="120" t="str">
        <f>IF(A140="","",IF(A140&lt;=Periodos_Gracia,0,PPMT(Tasa_Anual/360*Días*(1+I.V.A.),Tabla!AM140,No._De_Pagos_con_periodo_de_gracia,-Monto_Crédito)))</f>
        <v/>
      </c>
      <c r="W140" s="110" t="str">
        <f>IF($U$258&lt;=0,V140,IF(SUM($U$18:U140)&lt;=0,V140,PMT($K$5/360*Días,A140,-R140)))</f>
        <v/>
      </c>
      <c r="X140" s="121" t="str">
        <f>IF($U$258&lt;=0,W140,IF(SUM($U$18:U140)&lt;=0,V140,PMT($K$5/360*Días,No._De_Pagos_con_periodo_de_gracia,-Monto_Crédito)-S140-T140))</f>
        <v/>
      </c>
      <c r="Y140" s="117" t="str">
        <f t="shared" si="48"/>
        <v/>
      </c>
      <c r="Z140" s="61" t="str">
        <f>+IF(A140="","",IF(No._de_Pagos-Tabla!A140+1&lt;=0,"",No._de_Pagos-Tabla!A140+1))</f>
        <v/>
      </c>
      <c r="AA140" s="122" t="str">
        <f t="shared" si="49"/>
        <v/>
      </c>
      <c r="AB140" s="124" t="str">
        <f t="shared" si="55"/>
        <v/>
      </c>
      <c r="AC140" s="124" t="str">
        <f t="shared" si="38"/>
        <v/>
      </c>
      <c r="AD140" s="124" t="str">
        <f t="shared" si="39"/>
        <v/>
      </c>
      <c r="AE140" s="119">
        <f t="shared" si="50"/>
        <v>0</v>
      </c>
      <c r="AF140" s="120" t="str">
        <f t="shared" si="40"/>
        <v/>
      </c>
      <c r="AG140" s="110" t="str">
        <f>IF($U$258&lt;=0,AF140,IF(SUM($U$18:U140)&lt;=0,AF140,PMT($K$5/360*Días,A140,-AA140)))</f>
        <v/>
      </c>
      <c r="AH140" s="121" t="str">
        <f>IF(A140&lt;=Periodos_Gracia,0,IF($U$258&lt;=0,AG140,IF(SUM($U$18:U140)&lt;=0,AF140,PMT($K$5/360*Días,No._de_Pagos,-Monto_Crédito)-AC140-AD140)))</f>
        <v/>
      </c>
      <c r="AI140" s="125" t="str">
        <f t="shared" si="51"/>
        <v/>
      </c>
      <c r="AK140" s="126" t="str">
        <f>IF(A140="","",IF(Periodos_Gracia&gt;0,Tabla!AN140,V140+S140))</f>
        <v/>
      </c>
      <c r="AL140" s="126" t="str">
        <f t="shared" si="41"/>
        <v/>
      </c>
      <c r="AM140" s="61" t="str">
        <f t="shared" si="52"/>
        <v/>
      </c>
      <c r="AN140" s="127" t="str">
        <f>IF(A140="","",IF(A140&lt;=Periodos_Gracia,Tabla!S140,PPMT(Tasa_Anual/360*Días*(1+I.V.A.),Tabla!AM140,No._De_Pagos_con_periodo_de_gracia,-Monto_Crédito)+S140))</f>
        <v/>
      </c>
      <c r="AO140" s="127" t="str">
        <f>IF(A140="","",IF(A140&lt;=Periodos_Gracia,Tabla!AC140,Monto_Crédito/(No._De_Pagos_con_periodo_de_gracia)+AC140))</f>
        <v/>
      </c>
      <c r="AP140" s="117"/>
    </row>
    <row r="141" spans="1:42" x14ac:dyDescent="0.2">
      <c r="A141" s="107" t="str">
        <f>IF(A140&lt;Parámetros!$E$6,A140+1,"")</f>
        <v/>
      </c>
      <c r="B141" s="108" t="str">
        <f t="shared" si="53"/>
        <v/>
      </c>
      <c r="C141" s="108" t="str">
        <f t="shared" si="29"/>
        <v/>
      </c>
      <c r="D141" s="108" t="str">
        <f t="shared" si="30"/>
        <v/>
      </c>
      <c r="E141" s="108" t="str">
        <f t="shared" si="31"/>
        <v/>
      </c>
      <c r="F141" s="108" t="str">
        <f t="shared" si="32"/>
        <v/>
      </c>
      <c r="G141" s="114" t="str">
        <f t="shared" si="42"/>
        <v/>
      </c>
      <c r="H141" s="115">
        <f t="shared" si="43"/>
        <v>0</v>
      </c>
      <c r="I141" s="108" t="str">
        <f t="shared" si="54"/>
        <v/>
      </c>
      <c r="J141" s="108" t="str">
        <f t="shared" si="33"/>
        <v/>
      </c>
      <c r="K141" s="108" t="str">
        <f t="shared" si="34"/>
        <v/>
      </c>
      <c r="L141" s="108" t="str">
        <f t="shared" si="35"/>
        <v/>
      </c>
      <c r="M141" s="108" t="str">
        <f t="shared" si="44"/>
        <v/>
      </c>
      <c r="N141" s="114" t="str">
        <f t="shared" si="45"/>
        <v/>
      </c>
      <c r="O141" s="60">
        <v>0</v>
      </c>
      <c r="P141" s="116">
        <f t="shared" si="46"/>
        <v>0</v>
      </c>
      <c r="R141" s="117" t="str">
        <f t="shared" si="56"/>
        <v/>
      </c>
      <c r="S141" s="118" t="str">
        <f t="shared" si="36"/>
        <v/>
      </c>
      <c r="T141" s="118" t="str">
        <f t="shared" si="37"/>
        <v/>
      </c>
      <c r="U141" s="119">
        <f t="shared" si="47"/>
        <v>0</v>
      </c>
      <c r="V141" s="120" t="str">
        <f>IF(A141="","",IF(A141&lt;=Periodos_Gracia,0,PPMT(Tasa_Anual/360*Días*(1+I.V.A.),Tabla!AM141,No._De_Pagos_con_periodo_de_gracia,-Monto_Crédito)))</f>
        <v/>
      </c>
      <c r="W141" s="110" t="str">
        <f>IF($U$258&lt;=0,V141,IF(SUM($U$18:U141)&lt;=0,V141,PMT($K$5/360*Días,A141,-R141)))</f>
        <v/>
      </c>
      <c r="X141" s="121" t="str">
        <f>IF($U$258&lt;=0,W141,IF(SUM($U$18:U141)&lt;=0,V141,PMT($K$5/360*Días,No._De_Pagos_con_periodo_de_gracia,-Monto_Crédito)-S141-T141))</f>
        <v/>
      </c>
      <c r="Y141" s="117" t="str">
        <f t="shared" si="48"/>
        <v/>
      </c>
      <c r="Z141" s="61" t="str">
        <f>+IF(A141="","",IF(No._de_Pagos-Tabla!A141+1&lt;=0,"",No._de_Pagos-Tabla!A141+1))</f>
        <v/>
      </c>
      <c r="AA141" s="122" t="str">
        <f t="shared" si="49"/>
        <v/>
      </c>
      <c r="AB141" s="124" t="str">
        <f t="shared" si="55"/>
        <v/>
      </c>
      <c r="AC141" s="124" t="str">
        <f t="shared" si="38"/>
        <v/>
      </c>
      <c r="AD141" s="124" t="str">
        <f t="shared" si="39"/>
        <v/>
      </c>
      <c r="AE141" s="119">
        <f t="shared" si="50"/>
        <v>0</v>
      </c>
      <c r="AF141" s="120" t="str">
        <f t="shared" si="40"/>
        <v/>
      </c>
      <c r="AG141" s="110" t="str">
        <f>IF($U$258&lt;=0,AF141,IF(SUM($U$18:U141)&lt;=0,AF141,PMT($K$5/360*Días,A141,-AA141)))</f>
        <v/>
      </c>
      <c r="AH141" s="121" t="str">
        <f>IF(A141&lt;=Periodos_Gracia,0,IF($U$258&lt;=0,AG141,IF(SUM($U$18:U141)&lt;=0,AF141,PMT($K$5/360*Días,No._de_Pagos,-Monto_Crédito)-AC141-AD141)))</f>
        <v/>
      </c>
      <c r="AI141" s="125" t="str">
        <f t="shared" si="51"/>
        <v/>
      </c>
      <c r="AK141" s="126" t="str">
        <f>IF(A141="","",IF(Periodos_Gracia&gt;0,Tabla!AN141,V141+S141))</f>
        <v/>
      </c>
      <c r="AL141" s="126" t="str">
        <f t="shared" si="41"/>
        <v/>
      </c>
      <c r="AM141" s="61" t="str">
        <f t="shared" si="52"/>
        <v/>
      </c>
      <c r="AN141" s="127" t="str">
        <f>IF(A141="","",IF(A141&lt;=Periodos_Gracia,Tabla!S141,PPMT(Tasa_Anual/360*Días*(1+I.V.A.),Tabla!AM141,No._De_Pagos_con_periodo_de_gracia,-Monto_Crédito)+S141))</f>
        <v/>
      </c>
      <c r="AO141" s="127" t="str">
        <f>IF(A141="","",IF(A141&lt;=Periodos_Gracia,Tabla!AC141,Monto_Crédito/(No._De_Pagos_con_periodo_de_gracia)+AC141))</f>
        <v/>
      </c>
      <c r="AP141" s="117"/>
    </row>
    <row r="142" spans="1:42" x14ac:dyDescent="0.2">
      <c r="A142" s="107" t="str">
        <f>IF(A141&lt;Parámetros!$E$6,A141+1,"")</f>
        <v/>
      </c>
      <c r="B142" s="108" t="str">
        <f t="shared" si="53"/>
        <v/>
      </c>
      <c r="C142" s="108" t="str">
        <f t="shared" si="29"/>
        <v/>
      </c>
      <c r="D142" s="108" t="str">
        <f t="shared" si="30"/>
        <v/>
      </c>
      <c r="E142" s="108" t="str">
        <f t="shared" si="31"/>
        <v/>
      </c>
      <c r="F142" s="108" t="str">
        <f t="shared" si="32"/>
        <v/>
      </c>
      <c r="G142" s="114" t="str">
        <f t="shared" si="42"/>
        <v/>
      </c>
      <c r="H142" s="115">
        <f t="shared" si="43"/>
        <v>0</v>
      </c>
      <c r="I142" s="108" t="str">
        <f t="shared" si="54"/>
        <v/>
      </c>
      <c r="J142" s="108" t="str">
        <f t="shared" si="33"/>
        <v/>
      </c>
      <c r="K142" s="108" t="str">
        <f t="shared" si="34"/>
        <v/>
      </c>
      <c r="L142" s="108" t="str">
        <f t="shared" si="35"/>
        <v/>
      </c>
      <c r="M142" s="108" t="str">
        <f t="shared" si="44"/>
        <v/>
      </c>
      <c r="N142" s="114" t="str">
        <f t="shared" si="45"/>
        <v/>
      </c>
      <c r="O142" s="60">
        <v>0</v>
      </c>
      <c r="P142" s="116">
        <f t="shared" si="46"/>
        <v>0</v>
      </c>
      <c r="R142" s="117" t="str">
        <f t="shared" si="56"/>
        <v/>
      </c>
      <c r="S142" s="118" t="str">
        <f t="shared" si="36"/>
        <v/>
      </c>
      <c r="T142" s="118" t="str">
        <f t="shared" si="37"/>
        <v/>
      </c>
      <c r="U142" s="119">
        <f t="shared" si="47"/>
        <v>0</v>
      </c>
      <c r="V142" s="120" t="str">
        <f>IF(A142="","",IF(A142&lt;=Periodos_Gracia,0,PPMT(Tasa_Anual/360*Días*(1+I.V.A.),Tabla!AM142,No._De_Pagos_con_periodo_de_gracia,-Monto_Crédito)))</f>
        <v/>
      </c>
      <c r="W142" s="110" t="str">
        <f>IF($U$258&lt;=0,V142,IF(SUM($U$18:U142)&lt;=0,V142,PMT($K$5/360*Días,A142,-R142)))</f>
        <v/>
      </c>
      <c r="X142" s="121" t="str">
        <f>IF($U$258&lt;=0,W142,IF(SUM($U$18:U142)&lt;=0,V142,PMT($K$5/360*Días,No._De_Pagos_con_periodo_de_gracia,-Monto_Crédito)-S142-T142))</f>
        <v/>
      </c>
      <c r="Y142" s="117" t="str">
        <f t="shared" si="48"/>
        <v/>
      </c>
      <c r="Z142" s="61" t="str">
        <f>+IF(A142="","",IF(No._de_Pagos-Tabla!A142+1&lt;=0,"",No._de_Pagos-Tabla!A142+1))</f>
        <v/>
      </c>
      <c r="AA142" s="122" t="str">
        <f t="shared" si="49"/>
        <v/>
      </c>
      <c r="AB142" s="124" t="str">
        <f t="shared" si="55"/>
        <v/>
      </c>
      <c r="AC142" s="124" t="str">
        <f t="shared" si="38"/>
        <v/>
      </c>
      <c r="AD142" s="124" t="str">
        <f t="shared" si="39"/>
        <v/>
      </c>
      <c r="AE142" s="119">
        <f t="shared" si="50"/>
        <v>0</v>
      </c>
      <c r="AF142" s="120" t="str">
        <f t="shared" si="40"/>
        <v/>
      </c>
      <c r="AG142" s="110" t="str">
        <f>IF($U$258&lt;=0,AF142,IF(SUM($U$18:U142)&lt;=0,AF142,PMT($K$5/360*Días,A142,-AA142)))</f>
        <v/>
      </c>
      <c r="AH142" s="121" t="str">
        <f>IF(A142&lt;=Periodos_Gracia,0,IF($U$258&lt;=0,AG142,IF(SUM($U$18:U142)&lt;=0,AF142,PMT($K$5/360*Días,No._de_Pagos,-Monto_Crédito)-AC142-AD142)))</f>
        <v/>
      </c>
      <c r="AI142" s="125" t="str">
        <f t="shared" si="51"/>
        <v/>
      </c>
      <c r="AK142" s="126" t="str">
        <f>IF(A142="","",IF(Periodos_Gracia&gt;0,Tabla!AN142,V142+S142))</f>
        <v/>
      </c>
      <c r="AL142" s="126" t="str">
        <f t="shared" si="41"/>
        <v/>
      </c>
      <c r="AM142" s="61" t="str">
        <f t="shared" si="52"/>
        <v/>
      </c>
      <c r="AN142" s="127" t="str">
        <f>IF(A142="","",IF(A142&lt;=Periodos_Gracia,Tabla!S142,PPMT(Tasa_Anual/360*Días*(1+I.V.A.),Tabla!AM142,No._De_Pagos_con_periodo_de_gracia,-Monto_Crédito)+S142))</f>
        <v/>
      </c>
      <c r="AO142" s="127" t="str">
        <f>IF(A142="","",IF(A142&lt;=Periodos_Gracia,Tabla!AC142,Monto_Crédito/(No._De_Pagos_con_periodo_de_gracia)+AC142))</f>
        <v/>
      </c>
      <c r="AP142" s="117"/>
    </row>
    <row r="143" spans="1:42" x14ac:dyDescent="0.2">
      <c r="A143" s="107" t="str">
        <f>IF(A142&lt;Parámetros!$E$6,A142+1,"")</f>
        <v/>
      </c>
      <c r="B143" s="108" t="str">
        <f t="shared" si="53"/>
        <v/>
      </c>
      <c r="C143" s="108" t="str">
        <f t="shared" si="29"/>
        <v/>
      </c>
      <c r="D143" s="108" t="str">
        <f t="shared" si="30"/>
        <v/>
      </c>
      <c r="E143" s="108" t="str">
        <f t="shared" si="31"/>
        <v/>
      </c>
      <c r="F143" s="108" t="str">
        <f t="shared" si="32"/>
        <v/>
      </c>
      <c r="G143" s="114" t="str">
        <f t="shared" si="42"/>
        <v/>
      </c>
      <c r="H143" s="115">
        <f t="shared" si="43"/>
        <v>0</v>
      </c>
      <c r="I143" s="108" t="str">
        <f t="shared" si="54"/>
        <v/>
      </c>
      <c r="J143" s="108" t="str">
        <f t="shared" si="33"/>
        <v/>
      </c>
      <c r="K143" s="108" t="str">
        <f t="shared" si="34"/>
        <v/>
      </c>
      <c r="L143" s="108" t="str">
        <f t="shared" si="35"/>
        <v/>
      </c>
      <c r="M143" s="108" t="str">
        <f t="shared" si="44"/>
        <v/>
      </c>
      <c r="N143" s="114" t="str">
        <f t="shared" si="45"/>
        <v/>
      </c>
      <c r="O143" s="60">
        <v>0</v>
      </c>
      <c r="P143" s="116">
        <f t="shared" si="46"/>
        <v>0</v>
      </c>
      <c r="R143" s="117" t="str">
        <f t="shared" si="56"/>
        <v/>
      </c>
      <c r="S143" s="118" t="str">
        <f t="shared" si="36"/>
        <v/>
      </c>
      <c r="T143" s="118" t="str">
        <f t="shared" si="37"/>
        <v/>
      </c>
      <c r="U143" s="119">
        <f t="shared" si="47"/>
        <v>0</v>
      </c>
      <c r="V143" s="120" t="str">
        <f>IF(A143="","",IF(A143&lt;=Periodos_Gracia,0,PPMT(Tasa_Anual/360*Días*(1+I.V.A.),Tabla!AM143,No._De_Pagos_con_periodo_de_gracia,-Monto_Crédito)))</f>
        <v/>
      </c>
      <c r="W143" s="110" t="str">
        <f>IF($U$258&lt;=0,V143,IF(SUM($U$18:U143)&lt;=0,V143,PMT($K$5/360*Días,A143,-R143)))</f>
        <v/>
      </c>
      <c r="X143" s="121" t="str">
        <f>IF($U$258&lt;=0,W143,IF(SUM($U$18:U143)&lt;=0,V143,PMT($K$5/360*Días,No._De_Pagos_con_periodo_de_gracia,-Monto_Crédito)-S143-T143))</f>
        <v/>
      </c>
      <c r="Y143" s="117" t="str">
        <f t="shared" si="48"/>
        <v/>
      </c>
      <c r="Z143" s="61" t="str">
        <f>+IF(A143="","",IF(No._de_Pagos-Tabla!A143+1&lt;=0,"",No._de_Pagos-Tabla!A143+1))</f>
        <v/>
      </c>
      <c r="AA143" s="122" t="str">
        <f t="shared" si="49"/>
        <v/>
      </c>
      <c r="AB143" s="124" t="str">
        <f t="shared" si="55"/>
        <v/>
      </c>
      <c r="AC143" s="124" t="str">
        <f t="shared" si="38"/>
        <v/>
      </c>
      <c r="AD143" s="124" t="str">
        <f t="shared" si="39"/>
        <v/>
      </c>
      <c r="AE143" s="119">
        <f t="shared" si="50"/>
        <v>0</v>
      </c>
      <c r="AF143" s="120" t="str">
        <f t="shared" si="40"/>
        <v/>
      </c>
      <c r="AG143" s="110" t="str">
        <f>IF($U$258&lt;=0,AF143,IF(SUM($U$18:U143)&lt;=0,AF143,PMT($K$5/360*Días,A143,-AA143)))</f>
        <v/>
      </c>
      <c r="AH143" s="121" t="str">
        <f>IF(A143&lt;=Periodos_Gracia,0,IF($U$258&lt;=0,AG143,IF(SUM($U$18:U143)&lt;=0,AF143,PMT($K$5/360*Días,No._de_Pagos,-Monto_Crédito)-AC143-AD143)))</f>
        <v/>
      </c>
      <c r="AI143" s="125" t="str">
        <f t="shared" si="51"/>
        <v/>
      </c>
      <c r="AK143" s="126" t="str">
        <f>IF(A143="","",IF(Periodos_Gracia&gt;0,Tabla!AN143,V143+S143))</f>
        <v/>
      </c>
      <c r="AL143" s="126" t="str">
        <f t="shared" si="41"/>
        <v/>
      </c>
      <c r="AM143" s="61" t="str">
        <f t="shared" si="52"/>
        <v/>
      </c>
      <c r="AN143" s="127" t="str">
        <f>IF(A143="","",IF(A143&lt;=Periodos_Gracia,Tabla!S143,PPMT(Tasa_Anual/360*Días*(1+I.V.A.),Tabla!AM143,No._De_Pagos_con_periodo_de_gracia,-Monto_Crédito)+S143))</f>
        <v/>
      </c>
      <c r="AO143" s="127" t="str">
        <f>IF(A143="","",IF(A143&lt;=Periodos_Gracia,Tabla!AC143,Monto_Crédito/(No._De_Pagos_con_periodo_de_gracia)+AC143))</f>
        <v/>
      </c>
      <c r="AP143" s="117"/>
    </row>
    <row r="144" spans="1:42" x14ac:dyDescent="0.2">
      <c r="A144" s="107" t="str">
        <f>IF(A143&lt;Parámetros!$E$6,A143+1,"")</f>
        <v/>
      </c>
      <c r="B144" s="108" t="str">
        <f t="shared" si="53"/>
        <v/>
      </c>
      <c r="C144" s="108" t="str">
        <f t="shared" si="29"/>
        <v/>
      </c>
      <c r="D144" s="108" t="str">
        <f t="shared" si="30"/>
        <v/>
      </c>
      <c r="E144" s="108" t="str">
        <f t="shared" si="31"/>
        <v/>
      </c>
      <c r="F144" s="108" t="str">
        <f t="shared" si="32"/>
        <v/>
      </c>
      <c r="G144" s="114" t="str">
        <f t="shared" si="42"/>
        <v/>
      </c>
      <c r="H144" s="115">
        <f t="shared" si="43"/>
        <v>0</v>
      </c>
      <c r="I144" s="108" t="str">
        <f t="shared" si="54"/>
        <v/>
      </c>
      <c r="J144" s="108" t="str">
        <f t="shared" si="33"/>
        <v/>
      </c>
      <c r="K144" s="108" t="str">
        <f t="shared" si="34"/>
        <v/>
      </c>
      <c r="L144" s="108" t="str">
        <f t="shared" si="35"/>
        <v/>
      </c>
      <c r="M144" s="108" t="str">
        <f t="shared" si="44"/>
        <v/>
      </c>
      <c r="N144" s="114" t="str">
        <f t="shared" si="45"/>
        <v/>
      </c>
      <c r="O144" s="60">
        <v>0</v>
      </c>
      <c r="P144" s="116">
        <f t="shared" si="46"/>
        <v>0</v>
      </c>
      <c r="R144" s="117" t="str">
        <f t="shared" si="56"/>
        <v/>
      </c>
      <c r="S144" s="118" t="str">
        <f t="shared" si="36"/>
        <v/>
      </c>
      <c r="T144" s="118" t="str">
        <f t="shared" si="37"/>
        <v/>
      </c>
      <c r="U144" s="119">
        <f t="shared" si="47"/>
        <v>0</v>
      </c>
      <c r="V144" s="120" t="str">
        <f>IF(A144="","",IF(A144&lt;=Periodos_Gracia,0,PPMT(Tasa_Anual/360*Días*(1+I.V.A.),Tabla!AM144,No._De_Pagos_con_periodo_de_gracia,-Monto_Crédito)))</f>
        <v/>
      </c>
      <c r="W144" s="110" t="str">
        <f>IF($U$258&lt;=0,V144,IF(SUM($U$18:U144)&lt;=0,V144,PMT($K$5/360*Días,A144,-R144)))</f>
        <v/>
      </c>
      <c r="X144" s="121" t="str">
        <f>IF($U$258&lt;=0,W144,IF(SUM($U$18:U144)&lt;=0,V144,PMT($K$5/360*Días,No._De_Pagos_con_periodo_de_gracia,-Monto_Crédito)-S144-T144))</f>
        <v/>
      </c>
      <c r="Y144" s="117" t="str">
        <f t="shared" si="48"/>
        <v/>
      </c>
      <c r="Z144" s="61" t="str">
        <f>+IF(A144="","",IF(No._de_Pagos-Tabla!A144+1&lt;=0,"",No._de_Pagos-Tabla!A144+1))</f>
        <v/>
      </c>
      <c r="AA144" s="122" t="str">
        <f t="shared" si="49"/>
        <v/>
      </c>
      <c r="AB144" s="124" t="str">
        <f t="shared" si="55"/>
        <v/>
      </c>
      <c r="AC144" s="124" t="str">
        <f t="shared" si="38"/>
        <v/>
      </c>
      <c r="AD144" s="124" t="str">
        <f t="shared" si="39"/>
        <v/>
      </c>
      <c r="AE144" s="119">
        <f t="shared" si="50"/>
        <v>0</v>
      </c>
      <c r="AF144" s="120" t="str">
        <f t="shared" si="40"/>
        <v/>
      </c>
      <c r="AG144" s="110" t="str">
        <f>IF($U$258&lt;=0,AF144,IF(SUM($U$18:U144)&lt;=0,AF144,PMT($K$5/360*Días,A144,-AA144)))</f>
        <v/>
      </c>
      <c r="AH144" s="121" t="str">
        <f>IF(A144&lt;=Periodos_Gracia,0,IF($U$258&lt;=0,AG144,IF(SUM($U$18:U144)&lt;=0,AF144,PMT($K$5/360*Días,No._de_Pagos,-Monto_Crédito)-AC144-AD144)))</f>
        <v/>
      </c>
      <c r="AI144" s="125" t="str">
        <f t="shared" si="51"/>
        <v/>
      </c>
      <c r="AK144" s="126" t="str">
        <f>IF(A144="","",IF(Periodos_Gracia&gt;0,Tabla!AN144,V144+S144))</f>
        <v/>
      </c>
      <c r="AL144" s="126" t="str">
        <f t="shared" si="41"/>
        <v/>
      </c>
      <c r="AM144" s="61" t="str">
        <f t="shared" si="52"/>
        <v/>
      </c>
      <c r="AN144" s="127" t="str">
        <f>IF(A144="","",IF(A144&lt;=Periodos_Gracia,Tabla!S144,PPMT(Tasa_Anual/360*Días*(1+I.V.A.),Tabla!AM144,No._De_Pagos_con_periodo_de_gracia,-Monto_Crédito)+S144))</f>
        <v/>
      </c>
      <c r="AO144" s="127" t="str">
        <f>IF(A144="","",IF(A144&lt;=Periodos_Gracia,Tabla!AC144,Monto_Crédito/(No._De_Pagos_con_periodo_de_gracia)+AC144))</f>
        <v/>
      </c>
      <c r="AP144" s="117"/>
    </row>
    <row r="145" spans="1:42" x14ac:dyDescent="0.2">
      <c r="A145" s="107" t="str">
        <f>IF(A144&lt;Parámetros!$E$6,A144+1,"")</f>
        <v/>
      </c>
      <c r="B145" s="108" t="str">
        <f t="shared" si="53"/>
        <v/>
      </c>
      <c r="C145" s="108" t="str">
        <f t="shared" si="29"/>
        <v/>
      </c>
      <c r="D145" s="108" t="str">
        <f t="shared" si="30"/>
        <v/>
      </c>
      <c r="E145" s="108" t="str">
        <f t="shared" si="31"/>
        <v/>
      </c>
      <c r="F145" s="108" t="str">
        <f t="shared" si="32"/>
        <v/>
      </c>
      <c r="G145" s="114" t="str">
        <f t="shared" si="42"/>
        <v/>
      </c>
      <c r="H145" s="115">
        <f t="shared" si="43"/>
        <v>0</v>
      </c>
      <c r="I145" s="108" t="str">
        <f t="shared" si="54"/>
        <v/>
      </c>
      <c r="J145" s="108" t="str">
        <f t="shared" si="33"/>
        <v/>
      </c>
      <c r="K145" s="108" t="str">
        <f t="shared" si="34"/>
        <v/>
      </c>
      <c r="L145" s="108" t="str">
        <f t="shared" si="35"/>
        <v/>
      </c>
      <c r="M145" s="108" t="str">
        <f t="shared" si="44"/>
        <v/>
      </c>
      <c r="N145" s="114" t="str">
        <f t="shared" si="45"/>
        <v/>
      </c>
      <c r="O145" s="60">
        <v>0</v>
      </c>
      <c r="P145" s="116">
        <f t="shared" si="46"/>
        <v>0</v>
      </c>
      <c r="R145" s="117" t="str">
        <f t="shared" si="56"/>
        <v/>
      </c>
      <c r="S145" s="118" t="str">
        <f t="shared" si="36"/>
        <v/>
      </c>
      <c r="T145" s="118" t="str">
        <f t="shared" si="37"/>
        <v/>
      </c>
      <c r="U145" s="119">
        <f t="shared" si="47"/>
        <v>0</v>
      </c>
      <c r="V145" s="120" t="str">
        <f>IF(A145="","",IF(A145&lt;=Periodos_Gracia,0,PPMT(Tasa_Anual/360*Días*(1+I.V.A.),Tabla!AM145,No._De_Pagos_con_periodo_de_gracia,-Monto_Crédito)))</f>
        <v/>
      </c>
      <c r="W145" s="110" t="str">
        <f>IF($U$258&lt;=0,V145,IF(SUM($U$18:U145)&lt;=0,V145,PMT($K$5/360*Días,A145,-R145)))</f>
        <v/>
      </c>
      <c r="X145" s="121" t="str">
        <f>IF($U$258&lt;=0,W145,IF(SUM($U$18:U145)&lt;=0,V145,PMT($K$5/360*Días,No._De_Pagos_con_periodo_de_gracia,-Monto_Crédito)-S145-T145))</f>
        <v/>
      </c>
      <c r="Y145" s="117" t="str">
        <f t="shared" si="48"/>
        <v/>
      </c>
      <c r="Z145" s="61" t="str">
        <f>+IF(A145="","",IF(No._de_Pagos-Tabla!A145+1&lt;=0,"",No._de_Pagos-Tabla!A145+1))</f>
        <v/>
      </c>
      <c r="AA145" s="122" t="str">
        <f t="shared" si="49"/>
        <v/>
      </c>
      <c r="AB145" s="124" t="str">
        <f t="shared" si="55"/>
        <v/>
      </c>
      <c r="AC145" s="124" t="str">
        <f t="shared" si="38"/>
        <v/>
      </c>
      <c r="AD145" s="124" t="str">
        <f t="shared" si="39"/>
        <v/>
      </c>
      <c r="AE145" s="119">
        <f t="shared" si="50"/>
        <v>0</v>
      </c>
      <c r="AF145" s="120" t="str">
        <f t="shared" si="40"/>
        <v/>
      </c>
      <c r="AG145" s="110" t="str">
        <f>IF($U$258&lt;=0,AF145,IF(SUM($U$18:U145)&lt;=0,AF145,PMT($K$5/360*Días,A145,-AA145)))</f>
        <v/>
      </c>
      <c r="AH145" s="121" t="str">
        <f>IF(A145&lt;=Periodos_Gracia,0,IF($U$258&lt;=0,AG145,IF(SUM($U$18:U145)&lt;=0,AF145,PMT($K$5/360*Días,No._de_Pagos,-Monto_Crédito)-AC145-AD145)))</f>
        <v/>
      </c>
      <c r="AI145" s="125" t="str">
        <f t="shared" si="51"/>
        <v/>
      </c>
      <c r="AK145" s="126" t="str">
        <f>IF(A145="","",IF(Periodos_Gracia&gt;0,Tabla!AN145,V145+S145))</f>
        <v/>
      </c>
      <c r="AL145" s="126" t="str">
        <f t="shared" si="41"/>
        <v/>
      </c>
      <c r="AM145" s="61" t="str">
        <f t="shared" si="52"/>
        <v/>
      </c>
      <c r="AN145" s="127" t="str">
        <f>IF(A145="","",IF(A145&lt;=Periodos_Gracia,Tabla!S145,PPMT(Tasa_Anual/360*Días*(1+I.V.A.),Tabla!AM145,No._De_Pagos_con_periodo_de_gracia,-Monto_Crédito)+S145))</f>
        <v/>
      </c>
      <c r="AO145" s="127" t="str">
        <f>IF(A145="","",IF(A145&lt;=Periodos_Gracia,Tabla!AC145,Monto_Crédito/(No._De_Pagos_con_periodo_de_gracia)+AC145))</f>
        <v/>
      </c>
      <c r="AP145" s="117"/>
    </row>
    <row r="146" spans="1:42" x14ac:dyDescent="0.2">
      <c r="A146" s="107" t="str">
        <f>IF(A145&lt;Parámetros!$E$6,A145+1,"")</f>
        <v/>
      </c>
      <c r="B146" s="108" t="str">
        <f t="shared" si="53"/>
        <v/>
      </c>
      <c r="C146" s="108" t="str">
        <f t="shared" ref="C146:C209" si="57">IF(A146="","",IF(A146&lt;=Periodos_Gracia,0,IF(V146&gt;B146,B146,V146)))</f>
        <v/>
      </c>
      <c r="D146" s="108" t="str">
        <f t="shared" ref="D146:D209" si="58">IF(A146="","",B146*Tasa_Anual/Pagos_por_año)</f>
        <v/>
      </c>
      <c r="E146" s="108" t="str">
        <f t="shared" ref="E146:E209" si="59">IF(A146="","",D146*I.V.A.)</f>
        <v/>
      </c>
      <c r="F146" s="108" t="str">
        <f t="shared" ref="F146:F209" si="60">IF(A146="","",IF(B146=0,0,IF(A146&lt;=Periodos_Gracia,(D146+E146),C146+D146+E146)))</f>
        <v/>
      </c>
      <c r="G146" s="114" t="str">
        <f t="shared" si="42"/>
        <v/>
      </c>
      <c r="H146" s="115">
        <f t="shared" si="43"/>
        <v>0</v>
      </c>
      <c r="I146" s="108" t="str">
        <f t="shared" si="54"/>
        <v/>
      </c>
      <c r="J146" s="108" t="str">
        <f t="shared" ref="J146:J209" si="61">IF(A146="","",IF(I146=0,0,IF(A146&lt;=Periodos_Gracia,0,IF((Monto_Crédito/(No._de_Pagos-Periodos_Gracia))&gt;I146,I146,(Monto_Crédito/(No._de_Pagos-Periodos_Gracia))))))</f>
        <v/>
      </c>
      <c r="K146" s="108" t="str">
        <f t="shared" ref="K146:K209" si="62">IF(A146="","",I146*Tasa_Anual/Pagos_por_año)</f>
        <v/>
      </c>
      <c r="L146" s="108" t="str">
        <f t="shared" ref="L146:L209" si="63">IF(A146="","",K146*I.V.A.)</f>
        <v/>
      </c>
      <c r="M146" s="108" t="str">
        <f t="shared" si="44"/>
        <v/>
      </c>
      <c r="N146" s="114" t="str">
        <f t="shared" si="45"/>
        <v/>
      </c>
      <c r="O146" s="60">
        <v>0</v>
      </c>
      <c r="P146" s="116">
        <f t="shared" si="46"/>
        <v>0</v>
      </c>
      <c r="R146" s="117" t="str">
        <f t="shared" si="56"/>
        <v/>
      </c>
      <c r="S146" s="118" t="str">
        <f t="shared" ref="S146:S209" si="64">+IF(A146="","",R146*$K$5/360*Días)</f>
        <v/>
      </c>
      <c r="T146" s="118" t="str">
        <f t="shared" ref="T146:T209" si="65">+IF(A146="","",S146*I.V.A.)</f>
        <v/>
      </c>
      <c r="U146" s="119">
        <f t="shared" si="47"/>
        <v>0</v>
      </c>
      <c r="V146" s="120" t="str">
        <f>IF(A146="","",IF(A146&lt;=Periodos_Gracia,0,PPMT(Tasa_Anual/360*Días*(1+I.V.A.),Tabla!AM146,No._De_Pagos_con_periodo_de_gracia,-Monto_Crédito)))</f>
        <v/>
      </c>
      <c r="W146" s="110" t="str">
        <f>IF($U$258&lt;=0,V146,IF(SUM($U$18:U146)&lt;=0,V146,PMT($K$5/360*Días,A146,-R146)))</f>
        <v/>
      </c>
      <c r="X146" s="121" t="str">
        <f>IF($U$258&lt;=0,W146,IF(SUM($U$18:U146)&lt;=0,V146,PMT($K$5/360*Días,No._De_Pagos_con_periodo_de_gracia,-Monto_Crédito)-S146-T146))</f>
        <v/>
      </c>
      <c r="Y146" s="117" t="str">
        <f t="shared" si="48"/>
        <v/>
      </c>
      <c r="Z146" s="61" t="str">
        <f>+IF(A146="","",IF(No._de_Pagos-Tabla!A146+1&lt;=0,"",No._de_Pagos-Tabla!A146+1))</f>
        <v/>
      </c>
      <c r="AA146" s="122" t="str">
        <f t="shared" si="49"/>
        <v/>
      </c>
      <c r="AB146" s="124" t="str">
        <f t="shared" si="55"/>
        <v/>
      </c>
      <c r="AC146" s="124" t="str">
        <f t="shared" ref="AC146:AC209" si="66">IF(AB146="","",+AB146*($K$5/360*Días))</f>
        <v/>
      </c>
      <c r="AD146" s="124" t="str">
        <f t="shared" ref="AD146:AD209" si="67">IF(AC146="","",+AC146*I.V.A.)</f>
        <v/>
      </c>
      <c r="AE146" s="119">
        <f t="shared" si="50"/>
        <v>0</v>
      </c>
      <c r="AF146" s="120" t="str">
        <f t="shared" ref="AF146:AF209" si="68">IF(A146="","",IF(A146&lt;=Periodos_Gracia,0,Monto_Crédito/(No._De_Pagos_con_periodo_de_gracia)))</f>
        <v/>
      </c>
      <c r="AG146" s="110" t="str">
        <f>IF($U$258&lt;=0,AF146,IF(SUM($U$18:U146)&lt;=0,AF146,PMT($K$5/360*Días,A146,-AA146)))</f>
        <v/>
      </c>
      <c r="AH146" s="121" t="str">
        <f>IF(A146&lt;=Periodos_Gracia,0,IF($U$258&lt;=0,AG146,IF(SUM($U$18:U146)&lt;=0,AF146,PMT($K$5/360*Días,No._de_Pagos,-Monto_Crédito)-AC146-AD146)))</f>
        <v/>
      </c>
      <c r="AI146" s="125" t="str">
        <f t="shared" si="51"/>
        <v/>
      </c>
      <c r="AK146" s="126" t="str">
        <f>IF(A146="","",IF(Periodos_Gracia&gt;0,Tabla!AN146,V146+S146))</f>
        <v/>
      </c>
      <c r="AL146" s="126" t="str">
        <f t="shared" ref="AL146:AL209" si="69">IF(A146="","",IF(Periodos_Gracia&gt;0,AO146,AF146+AC146))</f>
        <v/>
      </c>
      <c r="AM146" s="61" t="str">
        <f t="shared" si="52"/>
        <v/>
      </c>
      <c r="AN146" s="127" t="str">
        <f>IF(A146="","",IF(A146&lt;=Periodos_Gracia,Tabla!S146,PPMT(Tasa_Anual/360*Días*(1+I.V.A.),Tabla!AM146,No._De_Pagos_con_periodo_de_gracia,-Monto_Crédito)+S146))</f>
        <v/>
      </c>
      <c r="AO146" s="127" t="str">
        <f>IF(A146="","",IF(A146&lt;=Periodos_Gracia,Tabla!AC146,Monto_Crédito/(No._De_Pagos_con_periodo_de_gracia)+AC146))</f>
        <v/>
      </c>
      <c r="AP146" s="117"/>
    </row>
    <row r="147" spans="1:42" x14ac:dyDescent="0.2">
      <c r="A147" s="107" t="str">
        <f>IF(A146&lt;Parámetros!$E$6,A146+1,"")</f>
        <v/>
      </c>
      <c r="B147" s="108" t="str">
        <f t="shared" si="53"/>
        <v/>
      </c>
      <c r="C147" s="108" t="str">
        <f t="shared" si="57"/>
        <v/>
      </c>
      <c r="D147" s="108" t="str">
        <f t="shared" si="58"/>
        <v/>
      </c>
      <c r="E147" s="108" t="str">
        <f t="shared" si="59"/>
        <v/>
      </c>
      <c r="F147" s="108" t="str">
        <f t="shared" si="60"/>
        <v/>
      </c>
      <c r="G147" s="114" t="str">
        <f t="shared" ref="G147:G210" si="70">IF(A147="","",IF(+B147-C147-O147&lt;=0,0,+B147-C147-O147))</f>
        <v/>
      </c>
      <c r="H147" s="115">
        <f t="shared" ref="H147:H210" si="71">IF(OR(B147=0,B147=""),0,1)</f>
        <v>0</v>
      </c>
      <c r="I147" s="108" t="str">
        <f t="shared" si="54"/>
        <v/>
      </c>
      <c r="J147" s="108" t="str">
        <f t="shared" si="61"/>
        <v/>
      </c>
      <c r="K147" s="108" t="str">
        <f t="shared" si="62"/>
        <v/>
      </c>
      <c r="L147" s="108" t="str">
        <f t="shared" si="63"/>
        <v/>
      </c>
      <c r="M147" s="108" t="str">
        <f t="shared" ref="M147:M210" si="72">IF(A147="","",IF(I147=0,0,(J147+K147+L147)))</f>
        <v/>
      </c>
      <c r="N147" s="114" t="str">
        <f t="shared" ref="N147:N210" si="73">IF(A147="","",IF(+I147-J147-O147&lt;=0,0,+I147-J147-O147))</f>
        <v/>
      </c>
      <c r="O147" s="60">
        <v>0</v>
      </c>
      <c r="P147" s="116">
        <f t="shared" ref="P147:P210" si="74">IF(OR(I147=0,I147=""),0,1)</f>
        <v>0</v>
      </c>
      <c r="R147" s="117" t="str">
        <f t="shared" si="56"/>
        <v/>
      </c>
      <c r="S147" s="118" t="str">
        <f t="shared" si="64"/>
        <v/>
      </c>
      <c r="T147" s="118" t="str">
        <f t="shared" si="65"/>
        <v/>
      </c>
      <c r="U147" s="119">
        <f t="shared" ref="U147:U210" si="75">+O147</f>
        <v>0</v>
      </c>
      <c r="V147" s="120" t="str">
        <f>IF(A147="","",IF(A147&lt;=Periodos_Gracia,0,PPMT(Tasa_Anual/360*Días*(1+I.V.A.),Tabla!AM147,No._De_Pagos_con_periodo_de_gracia,-Monto_Crédito)))</f>
        <v/>
      </c>
      <c r="W147" s="110" t="str">
        <f>IF($U$258&lt;=0,V147,IF(SUM($U$18:U147)&lt;=0,V147,PMT($K$5/360*Días,A147,-R147)))</f>
        <v/>
      </c>
      <c r="X147" s="121" t="str">
        <f>IF($U$258&lt;=0,W147,IF(SUM($U$18:U147)&lt;=0,V147,PMT($K$5/360*Días,No._De_Pagos_con_periodo_de_gracia,-Monto_Crédito)-S147-T147))</f>
        <v/>
      </c>
      <c r="Y147" s="117" t="str">
        <f t="shared" ref="Y147:Y210" si="76">V147</f>
        <v/>
      </c>
      <c r="Z147" s="61" t="str">
        <f>+IF(A147="","",IF(No._de_Pagos-Tabla!A147+1&lt;=0,"",No._de_Pagos-Tabla!A147+1))</f>
        <v/>
      </c>
      <c r="AA147" s="122" t="str">
        <f t="shared" ref="AA147:AA210" si="77">IF(A147="","",V147+S147+T147)</f>
        <v/>
      </c>
      <c r="AB147" s="124" t="str">
        <f t="shared" si="55"/>
        <v/>
      </c>
      <c r="AC147" s="124" t="str">
        <f t="shared" si="66"/>
        <v/>
      </c>
      <c r="AD147" s="124" t="str">
        <f t="shared" si="67"/>
        <v/>
      </c>
      <c r="AE147" s="119">
        <f t="shared" ref="AE147:AE210" si="78">+O147</f>
        <v>0</v>
      </c>
      <c r="AF147" s="120" t="str">
        <f t="shared" si="68"/>
        <v/>
      </c>
      <c r="AG147" s="110" t="str">
        <f>IF($U$258&lt;=0,AF147,IF(SUM($U$18:U147)&lt;=0,AF147,PMT($K$5/360*Días,A147,-AA147)))</f>
        <v/>
      </c>
      <c r="AH147" s="121" t="str">
        <f>IF(A147&lt;=Periodos_Gracia,0,IF($U$258&lt;=0,AG147,IF(SUM($U$18:U147)&lt;=0,AF147,PMT($K$5/360*Días,No._de_Pagos,-Monto_Crédito)-AC147-AD147)))</f>
        <v/>
      </c>
      <c r="AI147" s="125" t="str">
        <f t="shared" ref="AI147:AI210" si="79">IF(A147="","",AF147+AC147+AD147)</f>
        <v/>
      </c>
      <c r="AK147" s="126" t="str">
        <f>IF(A147="","",IF(Periodos_Gracia&gt;0,Tabla!AN147,V147+S147))</f>
        <v/>
      </c>
      <c r="AL147" s="126" t="str">
        <f t="shared" si="69"/>
        <v/>
      </c>
      <c r="AM147" s="61" t="str">
        <f t="shared" ref="AM147:AM210" si="80">IF(A147="","",IF(A147&lt;=Periodos_Gracia,0,IF(AM146=0,1,IF(AM146&gt;0,AM146+1,A146))))</f>
        <v/>
      </c>
      <c r="AN147" s="127" t="str">
        <f>IF(A147="","",IF(A147&lt;=Periodos_Gracia,Tabla!S147,PPMT(Tasa_Anual/360*Días*(1+I.V.A.),Tabla!AM147,No._De_Pagos_con_periodo_de_gracia,-Monto_Crédito)+S147))</f>
        <v/>
      </c>
      <c r="AO147" s="127" t="str">
        <f>IF(A147="","",IF(A147&lt;=Periodos_Gracia,Tabla!AC147,Monto_Crédito/(No._De_Pagos_con_periodo_de_gracia)+AC147))</f>
        <v/>
      </c>
      <c r="AP147" s="117"/>
    </row>
    <row r="148" spans="1:42" x14ac:dyDescent="0.2">
      <c r="A148" s="107" t="str">
        <f>IF(A147&lt;Parámetros!$E$6,A147+1,"")</f>
        <v/>
      </c>
      <c r="B148" s="108" t="str">
        <f t="shared" ref="B148:B211" si="81">IF(A148="","",IF(G147&lt;=0,0,+G147))</f>
        <v/>
      </c>
      <c r="C148" s="108" t="str">
        <f t="shared" si="57"/>
        <v/>
      </c>
      <c r="D148" s="108" t="str">
        <f t="shared" si="58"/>
        <v/>
      </c>
      <c r="E148" s="108" t="str">
        <f t="shared" si="59"/>
        <v/>
      </c>
      <c r="F148" s="108" t="str">
        <f t="shared" si="60"/>
        <v/>
      </c>
      <c r="G148" s="114" t="str">
        <f t="shared" si="70"/>
        <v/>
      </c>
      <c r="H148" s="115">
        <f t="shared" si="71"/>
        <v>0</v>
      </c>
      <c r="I148" s="108" t="str">
        <f t="shared" ref="I148:I211" si="82">IF(A148="","",IF(+N147&lt;=0,0,N147))</f>
        <v/>
      </c>
      <c r="J148" s="108" t="str">
        <f t="shared" si="61"/>
        <v/>
      </c>
      <c r="K148" s="108" t="str">
        <f t="shared" si="62"/>
        <v/>
      </c>
      <c r="L148" s="108" t="str">
        <f t="shared" si="63"/>
        <v/>
      </c>
      <c r="M148" s="108" t="str">
        <f t="shared" si="72"/>
        <v/>
      </c>
      <c r="N148" s="114" t="str">
        <f t="shared" si="73"/>
        <v/>
      </c>
      <c r="O148" s="60">
        <v>0</v>
      </c>
      <c r="P148" s="116">
        <f t="shared" si="74"/>
        <v>0</v>
      </c>
      <c r="R148" s="117" t="str">
        <f t="shared" si="56"/>
        <v/>
      </c>
      <c r="S148" s="118" t="str">
        <f t="shared" si="64"/>
        <v/>
      </c>
      <c r="T148" s="118" t="str">
        <f t="shared" si="65"/>
        <v/>
      </c>
      <c r="U148" s="119">
        <f t="shared" si="75"/>
        <v>0</v>
      </c>
      <c r="V148" s="120" t="str">
        <f>IF(A148="","",IF(A148&lt;=Periodos_Gracia,0,PPMT(Tasa_Anual/360*Días*(1+I.V.A.),Tabla!AM148,No._De_Pagos_con_periodo_de_gracia,-Monto_Crédito)))</f>
        <v/>
      </c>
      <c r="W148" s="110" t="str">
        <f>IF($U$258&lt;=0,V148,IF(SUM($U$18:U148)&lt;=0,V148,PMT($K$5/360*Días,A148,-R148)))</f>
        <v/>
      </c>
      <c r="X148" s="121" t="str">
        <f>IF($U$258&lt;=0,W148,IF(SUM($U$18:U148)&lt;=0,V148,PMT($K$5/360*Días,No._De_Pagos_con_periodo_de_gracia,-Monto_Crédito)-S148-T148))</f>
        <v/>
      </c>
      <c r="Y148" s="117" t="str">
        <f t="shared" si="76"/>
        <v/>
      </c>
      <c r="Z148" s="61" t="str">
        <f>+IF(A148="","",IF(No._de_Pagos-Tabla!A148+1&lt;=0,"",No._de_Pagos-Tabla!A148+1))</f>
        <v/>
      </c>
      <c r="AA148" s="122" t="str">
        <f t="shared" si="77"/>
        <v/>
      </c>
      <c r="AB148" s="124" t="str">
        <f t="shared" ref="AB148:AB211" si="83">IF(A148="","",AB147-AF147)</f>
        <v/>
      </c>
      <c r="AC148" s="124" t="str">
        <f t="shared" si="66"/>
        <v/>
      </c>
      <c r="AD148" s="124" t="str">
        <f t="shared" si="67"/>
        <v/>
      </c>
      <c r="AE148" s="119">
        <f t="shared" si="78"/>
        <v>0</v>
      </c>
      <c r="AF148" s="120" t="str">
        <f t="shared" si="68"/>
        <v/>
      </c>
      <c r="AG148" s="110" t="str">
        <f>IF($U$258&lt;=0,AF148,IF(SUM($U$18:U148)&lt;=0,AF148,PMT($K$5/360*Días,A148,-AA148)))</f>
        <v/>
      </c>
      <c r="AH148" s="121" t="str">
        <f>IF(A148&lt;=Periodos_Gracia,0,IF($U$258&lt;=0,AG148,IF(SUM($U$18:U148)&lt;=0,AF148,PMT($K$5/360*Días,No._de_Pagos,-Monto_Crédito)-AC148-AD148)))</f>
        <v/>
      </c>
      <c r="AI148" s="125" t="str">
        <f t="shared" si="79"/>
        <v/>
      </c>
      <c r="AK148" s="126" t="str">
        <f>IF(A148="","",IF(Periodos_Gracia&gt;0,Tabla!AN148,V148+S148))</f>
        <v/>
      </c>
      <c r="AL148" s="126" t="str">
        <f t="shared" si="69"/>
        <v/>
      </c>
      <c r="AM148" s="61" t="str">
        <f t="shared" si="80"/>
        <v/>
      </c>
      <c r="AN148" s="127" t="str">
        <f>IF(A148="","",IF(A148&lt;=Periodos_Gracia,Tabla!S148,PPMT(Tasa_Anual/360*Días*(1+I.V.A.),Tabla!AM148,No._De_Pagos_con_periodo_de_gracia,-Monto_Crédito)+S148))</f>
        <v/>
      </c>
      <c r="AO148" s="127" t="str">
        <f>IF(A148="","",IF(A148&lt;=Periodos_Gracia,Tabla!AC148,Monto_Crédito/(No._De_Pagos_con_periodo_de_gracia)+AC148))</f>
        <v/>
      </c>
      <c r="AP148" s="117"/>
    </row>
    <row r="149" spans="1:42" x14ac:dyDescent="0.2">
      <c r="A149" s="107" t="str">
        <f>IF(A148&lt;Parámetros!$E$6,A148+1,"")</f>
        <v/>
      </c>
      <c r="B149" s="108" t="str">
        <f t="shared" si="81"/>
        <v/>
      </c>
      <c r="C149" s="108" t="str">
        <f t="shared" si="57"/>
        <v/>
      </c>
      <c r="D149" s="108" t="str">
        <f t="shared" si="58"/>
        <v/>
      </c>
      <c r="E149" s="108" t="str">
        <f t="shared" si="59"/>
        <v/>
      </c>
      <c r="F149" s="108" t="str">
        <f t="shared" si="60"/>
        <v/>
      </c>
      <c r="G149" s="114" t="str">
        <f t="shared" si="70"/>
        <v/>
      </c>
      <c r="H149" s="115">
        <f t="shared" si="71"/>
        <v>0</v>
      </c>
      <c r="I149" s="108" t="str">
        <f t="shared" si="82"/>
        <v/>
      </c>
      <c r="J149" s="108" t="str">
        <f t="shared" si="61"/>
        <v/>
      </c>
      <c r="K149" s="108" t="str">
        <f t="shared" si="62"/>
        <v/>
      </c>
      <c r="L149" s="108" t="str">
        <f t="shared" si="63"/>
        <v/>
      </c>
      <c r="M149" s="108" t="str">
        <f t="shared" si="72"/>
        <v/>
      </c>
      <c r="N149" s="114" t="str">
        <f t="shared" si="73"/>
        <v/>
      </c>
      <c r="O149" s="60">
        <v>0</v>
      </c>
      <c r="P149" s="116">
        <f t="shared" si="74"/>
        <v>0</v>
      </c>
      <c r="R149" s="117" t="str">
        <f t="shared" si="56"/>
        <v/>
      </c>
      <c r="S149" s="118" t="str">
        <f t="shared" si="64"/>
        <v/>
      </c>
      <c r="T149" s="118" t="str">
        <f t="shared" si="65"/>
        <v/>
      </c>
      <c r="U149" s="119">
        <f t="shared" si="75"/>
        <v>0</v>
      </c>
      <c r="V149" s="120" t="str">
        <f>IF(A149="","",IF(A149&lt;=Periodos_Gracia,0,PPMT(Tasa_Anual/360*Días*(1+I.V.A.),Tabla!AM149,No._De_Pagos_con_periodo_de_gracia,-Monto_Crédito)))</f>
        <v/>
      </c>
      <c r="W149" s="110" t="str">
        <f>IF($U$258&lt;=0,V149,IF(SUM($U$18:U149)&lt;=0,V149,PMT($K$5/360*Días,A149,-R149)))</f>
        <v/>
      </c>
      <c r="X149" s="121" t="str">
        <f>IF($U$258&lt;=0,W149,IF(SUM($U$18:U149)&lt;=0,V149,PMT($K$5/360*Días,No._De_Pagos_con_periodo_de_gracia,-Monto_Crédito)-S149-T149))</f>
        <v/>
      </c>
      <c r="Y149" s="117" t="str">
        <f t="shared" si="76"/>
        <v/>
      </c>
      <c r="Z149" s="61" t="str">
        <f>+IF(A149="","",IF(No._de_Pagos-Tabla!A149+1&lt;=0,"",No._de_Pagos-Tabla!A149+1))</f>
        <v/>
      </c>
      <c r="AA149" s="122" t="str">
        <f t="shared" si="77"/>
        <v/>
      </c>
      <c r="AB149" s="124" t="str">
        <f t="shared" si="83"/>
        <v/>
      </c>
      <c r="AC149" s="124" t="str">
        <f t="shared" si="66"/>
        <v/>
      </c>
      <c r="AD149" s="124" t="str">
        <f t="shared" si="67"/>
        <v/>
      </c>
      <c r="AE149" s="119">
        <f t="shared" si="78"/>
        <v>0</v>
      </c>
      <c r="AF149" s="120" t="str">
        <f t="shared" si="68"/>
        <v/>
      </c>
      <c r="AG149" s="110" t="str">
        <f>IF($U$258&lt;=0,AF149,IF(SUM($U$18:U149)&lt;=0,AF149,PMT($K$5/360*Días,A149,-AA149)))</f>
        <v/>
      </c>
      <c r="AH149" s="121" t="str">
        <f>IF(A149&lt;=Periodos_Gracia,0,IF($U$258&lt;=0,AG149,IF(SUM($U$18:U149)&lt;=0,AF149,PMT($K$5/360*Días,No._de_Pagos,-Monto_Crédito)-AC149-AD149)))</f>
        <v/>
      </c>
      <c r="AI149" s="125" t="str">
        <f t="shared" si="79"/>
        <v/>
      </c>
      <c r="AK149" s="126" t="str">
        <f>IF(A149="","",IF(Periodos_Gracia&gt;0,Tabla!AN149,V149+S149))</f>
        <v/>
      </c>
      <c r="AL149" s="126" t="str">
        <f t="shared" si="69"/>
        <v/>
      </c>
      <c r="AM149" s="61" t="str">
        <f t="shared" si="80"/>
        <v/>
      </c>
      <c r="AN149" s="127" t="str">
        <f>IF(A149="","",IF(A149&lt;=Periodos_Gracia,Tabla!S149,PPMT(Tasa_Anual/360*Días*(1+I.V.A.),Tabla!AM149,No._De_Pagos_con_periodo_de_gracia,-Monto_Crédito)+S149))</f>
        <v/>
      </c>
      <c r="AO149" s="127" t="str">
        <f>IF(A149="","",IF(A149&lt;=Periodos_Gracia,Tabla!AC149,Monto_Crédito/(No._De_Pagos_con_periodo_de_gracia)+AC149))</f>
        <v/>
      </c>
      <c r="AP149" s="117"/>
    </row>
    <row r="150" spans="1:42" x14ac:dyDescent="0.2">
      <c r="A150" s="107" t="str">
        <f>IF(A149&lt;Parámetros!$E$6,A149+1,"")</f>
        <v/>
      </c>
      <c r="B150" s="108" t="str">
        <f t="shared" si="81"/>
        <v/>
      </c>
      <c r="C150" s="108" t="str">
        <f t="shared" si="57"/>
        <v/>
      </c>
      <c r="D150" s="108" t="str">
        <f t="shared" si="58"/>
        <v/>
      </c>
      <c r="E150" s="108" t="str">
        <f t="shared" si="59"/>
        <v/>
      </c>
      <c r="F150" s="108" t="str">
        <f t="shared" si="60"/>
        <v/>
      </c>
      <c r="G150" s="114" t="str">
        <f t="shared" si="70"/>
        <v/>
      </c>
      <c r="H150" s="115">
        <f t="shared" si="71"/>
        <v>0</v>
      </c>
      <c r="I150" s="108" t="str">
        <f t="shared" si="82"/>
        <v/>
      </c>
      <c r="J150" s="108" t="str">
        <f t="shared" si="61"/>
        <v/>
      </c>
      <c r="K150" s="108" t="str">
        <f t="shared" si="62"/>
        <v/>
      </c>
      <c r="L150" s="108" t="str">
        <f t="shared" si="63"/>
        <v/>
      </c>
      <c r="M150" s="108" t="str">
        <f t="shared" si="72"/>
        <v/>
      </c>
      <c r="N150" s="114" t="str">
        <f t="shared" si="73"/>
        <v/>
      </c>
      <c r="O150" s="60">
        <v>0</v>
      </c>
      <c r="P150" s="116">
        <f t="shared" si="74"/>
        <v>0</v>
      </c>
      <c r="R150" s="117" t="str">
        <f t="shared" si="56"/>
        <v/>
      </c>
      <c r="S150" s="118" t="str">
        <f t="shared" si="64"/>
        <v/>
      </c>
      <c r="T150" s="118" t="str">
        <f t="shared" si="65"/>
        <v/>
      </c>
      <c r="U150" s="119">
        <f t="shared" si="75"/>
        <v>0</v>
      </c>
      <c r="V150" s="120" t="str">
        <f>IF(A150="","",IF(A150&lt;=Periodos_Gracia,0,PPMT(Tasa_Anual/360*Días*(1+I.V.A.),Tabla!AM150,No._De_Pagos_con_periodo_de_gracia,-Monto_Crédito)))</f>
        <v/>
      </c>
      <c r="W150" s="110" t="str">
        <f>IF($U$258&lt;=0,V150,IF(SUM($U$18:U150)&lt;=0,V150,PMT($K$5/360*Días,A150,-R150)))</f>
        <v/>
      </c>
      <c r="X150" s="121" t="str">
        <f>IF($U$258&lt;=0,W150,IF(SUM($U$18:U150)&lt;=0,V150,PMT($K$5/360*Días,No._De_Pagos_con_periodo_de_gracia,-Monto_Crédito)-S150-T150))</f>
        <v/>
      </c>
      <c r="Y150" s="117" t="str">
        <f t="shared" si="76"/>
        <v/>
      </c>
      <c r="Z150" s="61" t="str">
        <f>+IF(A150="","",IF(No._de_Pagos-Tabla!A150+1&lt;=0,"",No._de_Pagos-Tabla!A150+1))</f>
        <v/>
      </c>
      <c r="AA150" s="122" t="str">
        <f t="shared" si="77"/>
        <v/>
      </c>
      <c r="AB150" s="124" t="str">
        <f t="shared" si="83"/>
        <v/>
      </c>
      <c r="AC150" s="124" t="str">
        <f t="shared" si="66"/>
        <v/>
      </c>
      <c r="AD150" s="124" t="str">
        <f t="shared" si="67"/>
        <v/>
      </c>
      <c r="AE150" s="119">
        <f t="shared" si="78"/>
        <v>0</v>
      </c>
      <c r="AF150" s="120" t="str">
        <f t="shared" si="68"/>
        <v/>
      </c>
      <c r="AG150" s="110" t="str">
        <f>IF($U$258&lt;=0,AF150,IF(SUM($U$18:U150)&lt;=0,AF150,PMT($K$5/360*Días,A150,-AA150)))</f>
        <v/>
      </c>
      <c r="AH150" s="121" t="str">
        <f>IF(A150&lt;=Periodos_Gracia,0,IF($U$258&lt;=0,AG150,IF(SUM($U$18:U150)&lt;=0,AF150,PMT($K$5/360*Días,No._de_Pagos,-Monto_Crédito)-AC150-AD150)))</f>
        <v/>
      </c>
      <c r="AI150" s="125" t="str">
        <f t="shared" si="79"/>
        <v/>
      </c>
      <c r="AK150" s="126" t="str">
        <f>IF(A150="","",IF(Periodos_Gracia&gt;0,Tabla!AN150,V150+S150))</f>
        <v/>
      </c>
      <c r="AL150" s="126" t="str">
        <f t="shared" si="69"/>
        <v/>
      </c>
      <c r="AM150" s="61" t="str">
        <f t="shared" si="80"/>
        <v/>
      </c>
      <c r="AN150" s="127" t="str">
        <f>IF(A150="","",IF(A150&lt;=Periodos_Gracia,Tabla!S150,PPMT(Tasa_Anual/360*Días*(1+I.V.A.),Tabla!AM150,No._De_Pagos_con_periodo_de_gracia,-Monto_Crédito)+S150))</f>
        <v/>
      </c>
      <c r="AO150" s="127" t="str">
        <f>IF(A150="","",IF(A150&lt;=Periodos_Gracia,Tabla!AC150,Monto_Crédito/(No._De_Pagos_con_periodo_de_gracia)+AC150))</f>
        <v/>
      </c>
      <c r="AP150" s="117"/>
    </row>
    <row r="151" spans="1:42" x14ac:dyDescent="0.2">
      <c r="A151" s="107" t="str">
        <f>IF(A150&lt;Parámetros!$E$6,A150+1,"")</f>
        <v/>
      </c>
      <c r="B151" s="108" t="str">
        <f t="shared" si="81"/>
        <v/>
      </c>
      <c r="C151" s="108" t="str">
        <f t="shared" si="57"/>
        <v/>
      </c>
      <c r="D151" s="108" t="str">
        <f t="shared" si="58"/>
        <v/>
      </c>
      <c r="E151" s="108" t="str">
        <f t="shared" si="59"/>
        <v/>
      </c>
      <c r="F151" s="108" t="str">
        <f t="shared" si="60"/>
        <v/>
      </c>
      <c r="G151" s="114" t="str">
        <f t="shared" si="70"/>
        <v/>
      </c>
      <c r="H151" s="115">
        <f t="shared" si="71"/>
        <v>0</v>
      </c>
      <c r="I151" s="108" t="str">
        <f t="shared" si="82"/>
        <v/>
      </c>
      <c r="J151" s="108" t="str">
        <f t="shared" si="61"/>
        <v/>
      </c>
      <c r="K151" s="108" t="str">
        <f t="shared" si="62"/>
        <v/>
      </c>
      <c r="L151" s="108" t="str">
        <f t="shared" si="63"/>
        <v/>
      </c>
      <c r="M151" s="108" t="str">
        <f t="shared" si="72"/>
        <v/>
      </c>
      <c r="N151" s="114" t="str">
        <f t="shared" si="73"/>
        <v/>
      </c>
      <c r="O151" s="60">
        <v>0</v>
      </c>
      <c r="P151" s="116">
        <f t="shared" si="74"/>
        <v>0</v>
      </c>
      <c r="R151" s="117" t="str">
        <f t="shared" si="56"/>
        <v/>
      </c>
      <c r="S151" s="118" t="str">
        <f t="shared" si="64"/>
        <v/>
      </c>
      <c r="T151" s="118" t="str">
        <f t="shared" si="65"/>
        <v/>
      </c>
      <c r="U151" s="119">
        <f t="shared" si="75"/>
        <v>0</v>
      </c>
      <c r="V151" s="120" t="str">
        <f>IF(A151="","",IF(A151&lt;=Periodos_Gracia,0,PPMT(Tasa_Anual/360*Días*(1+I.V.A.),Tabla!AM151,No._De_Pagos_con_periodo_de_gracia,-Monto_Crédito)))</f>
        <v/>
      </c>
      <c r="W151" s="110" t="str">
        <f>IF($U$258&lt;=0,V151,IF(SUM($U$18:U151)&lt;=0,V151,PMT($K$5/360*Días,A151,-R151)))</f>
        <v/>
      </c>
      <c r="X151" s="121" t="str">
        <f>IF($U$258&lt;=0,W151,IF(SUM($U$18:U151)&lt;=0,V151,PMT($K$5/360*Días,No._De_Pagos_con_periodo_de_gracia,-Monto_Crédito)-S151-T151))</f>
        <v/>
      </c>
      <c r="Y151" s="117" t="str">
        <f t="shared" si="76"/>
        <v/>
      </c>
      <c r="Z151" s="61" t="str">
        <f>+IF(A151="","",IF(No._de_Pagos-Tabla!A151+1&lt;=0,"",No._de_Pagos-Tabla!A151+1))</f>
        <v/>
      </c>
      <c r="AA151" s="122" t="str">
        <f t="shared" si="77"/>
        <v/>
      </c>
      <c r="AB151" s="124" t="str">
        <f t="shared" si="83"/>
        <v/>
      </c>
      <c r="AC151" s="124" t="str">
        <f t="shared" si="66"/>
        <v/>
      </c>
      <c r="AD151" s="124" t="str">
        <f t="shared" si="67"/>
        <v/>
      </c>
      <c r="AE151" s="119">
        <f t="shared" si="78"/>
        <v>0</v>
      </c>
      <c r="AF151" s="120" t="str">
        <f t="shared" si="68"/>
        <v/>
      </c>
      <c r="AG151" s="110" t="str">
        <f>IF($U$258&lt;=0,AF151,IF(SUM($U$18:U151)&lt;=0,AF151,PMT($K$5/360*Días,A151,-AA151)))</f>
        <v/>
      </c>
      <c r="AH151" s="121" t="str">
        <f>IF(A151&lt;=Periodos_Gracia,0,IF($U$258&lt;=0,AG151,IF(SUM($U$18:U151)&lt;=0,AF151,PMT($K$5/360*Días,No._de_Pagos,-Monto_Crédito)-AC151-AD151)))</f>
        <v/>
      </c>
      <c r="AI151" s="125" t="str">
        <f t="shared" si="79"/>
        <v/>
      </c>
      <c r="AK151" s="126" t="str">
        <f>IF(A151="","",IF(Periodos_Gracia&gt;0,Tabla!AN151,V151+S151))</f>
        <v/>
      </c>
      <c r="AL151" s="126" t="str">
        <f t="shared" si="69"/>
        <v/>
      </c>
      <c r="AM151" s="61" t="str">
        <f t="shared" si="80"/>
        <v/>
      </c>
      <c r="AN151" s="127" t="str">
        <f>IF(A151="","",IF(A151&lt;=Periodos_Gracia,Tabla!S151,PPMT(Tasa_Anual/360*Días*(1+I.V.A.),Tabla!AM151,No._De_Pagos_con_periodo_de_gracia,-Monto_Crédito)+S151))</f>
        <v/>
      </c>
      <c r="AO151" s="127" t="str">
        <f>IF(A151="","",IF(A151&lt;=Periodos_Gracia,Tabla!AC151,Monto_Crédito/(No._De_Pagos_con_periodo_de_gracia)+AC151))</f>
        <v/>
      </c>
      <c r="AP151" s="117"/>
    </row>
    <row r="152" spans="1:42" x14ac:dyDescent="0.2">
      <c r="A152" s="107" t="str">
        <f>IF(A151&lt;Parámetros!$E$6,A151+1,"")</f>
        <v/>
      </c>
      <c r="B152" s="108" t="str">
        <f t="shared" si="81"/>
        <v/>
      </c>
      <c r="C152" s="108" t="str">
        <f t="shared" si="57"/>
        <v/>
      </c>
      <c r="D152" s="108" t="str">
        <f t="shared" si="58"/>
        <v/>
      </c>
      <c r="E152" s="108" t="str">
        <f t="shared" si="59"/>
        <v/>
      </c>
      <c r="F152" s="108" t="str">
        <f t="shared" si="60"/>
        <v/>
      </c>
      <c r="G152" s="114" t="str">
        <f t="shared" si="70"/>
        <v/>
      </c>
      <c r="H152" s="115">
        <f t="shared" si="71"/>
        <v>0</v>
      </c>
      <c r="I152" s="108" t="str">
        <f t="shared" si="82"/>
        <v/>
      </c>
      <c r="J152" s="108" t="str">
        <f t="shared" si="61"/>
        <v/>
      </c>
      <c r="K152" s="108" t="str">
        <f t="shared" si="62"/>
        <v/>
      </c>
      <c r="L152" s="108" t="str">
        <f t="shared" si="63"/>
        <v/>
      </c>
      <c r="M152" s="108" t="str">
        <f t="shared" si="72"/>
        <v/>
      </c>
      <c r="N152" s="114" t="str">
        <f t="shared" si="73"/>
        <v/>
      </c>
      <c r="O152" s="60">
        <v>0</v>
      </c>
      <c r="P152" s="116">
        <f t="shared" si="74"/>
        <v>0</v>
      </c>
      <c r="R152" s="117" t="str">
        <f t="shared" si="56"/>
        <v/>
      </c>
      <c r="S152" s="118" t="str">
        <f t="shared" si="64"/>
        <v/>
      </c>
      <c r="T152" s="118" t="str">
        <f t="shared" si="65"/>
        <v/>
      </c>
      <c r="U152" s="119">
        <f t="shared" si="75"/>
        <v>0</v>
      </c>
      <c r="V152" s="120" t="str">
        <f>IF(A152="","",IF(A152&lt;=Periodos_Gracia,0,PPMT(Tasa_Anual/360*Días*(1+I.V.A.),Tabla!AM152,No._De_Pagos_con_periodo_de_gracia,-Monto_Crédito)))</f>
        <v/>
      </c>
      <c r="W152" s="110" t="str">
        <f>IF($U$258&lt;=0,V152,IF(SUM($U$18:U152)&lt;=0,V152,PMT($K$5/360*Días,A152,-R152)))</f>
        <v/>
      </c>
      <c r="X152" s="121" t="str">
        <f>IF($U$258&lt;=0,W152,IF(SUM($U$18:U152)&lt;=0,V152,PMT($K$5/360*Días,No._De_Pagos_con_periodo_de_gracia,-Monto_Crédito)-S152-T152))</f>
        <v/>
      </c>
      <c r="Y152" s="117" t="str">
        <f t="shared" si="76"/>
        <v/>
      </c>
      <c r="Z152" s="61" t="str">
        <f>+IF(A152="","",IF(No._de_Pagos-Tabla!A152+1&lt;=0,"",No._de_Pagos-Tabla!A152+1))</f>
        <v/>
      </c>
      <c r="AA152" s="122" t="str">
        <f t="shared" si="77"/>
        <v/>
      </c>
      <c r="AB152" s="124" t="str">
        <f t="shared" si="83"/>
        <v/>
      </c>
      <c r="AC152" s="124" t="str">
        <f t="shared" si="66"/>
        <v/>
      </c>
      <c r="AD152" s="124" t="str">
        <f t="shared" si="67"/>
        <v/>
      </c>
      <c r="AE152" s="119">
        <f t="shared" si="78"/>
        <v>0</v>
      </c>
      <c r="AF152" s="120" t="str">
        <f t="shared" si="68"/>
        <v/>
      </c>
      <c r="AG152" s="110" t="str">
        <f>IF($U$258&lt;=0,AF152,IF(SUM($U$18:U152)&lt;=0,AF152,PMT($K$5/360*Días,A152,-AA152)))</f>
        <v/>
      </c>
      <c r="AH152" s="121" t="str">
        <f>IF(A152&lt;=Periodos_Gracia,0,IF($U$258&lt;=0,AG152,IF(SUM($U$18:U152)&lt;=0,AF152,PMT($K$5/360*Días,No._de_Pagos,-Monto_Crédito)-AC152-AD152)))</f>
        <v/>
      </c>
      <c r="AI152" s="125" t="str">
        <f t="shared" si="79"/>
        <v/>
      </c>
      <c r="AK152" s="126" t="str">
        <f>IF(A152="","",IF(Periodos_Gracia&gt;0,Tabla!AN152,V152+S152))</f>
        <v/>
      </c>
      <c r="AL152" s="126" t="str">
        <f t="shared" si="69"/>
        <v/>
      </c>
      <c r="AM152" s="61" t="str">
        <f t="shared" si="80"/>
        <v/>
      </c>
      <c r="AN152" s="127" t="str">
        <f>IF(A152="","",IF(A152&lt;=Periodos_Gracia,Tabla!S152,PPMT(Tasa_Anual/360*Días*(1+I.V.A.),Tabla!AM152,No._De_Pagos_con_periodo_de_gracia,-Monto_Crédito)+S152))</f>
        <v/>
      </c>
      <c r="AO152" s="127" t="str">
        <f>IF(A152="","",IF(A152&lt;=Periodos_Gracia,Tabla!AC152,Monto_Crédito/(No._De_Pagos_con_periodo_de_gracia)+AC152))</f>
        <v/>
      </c>
      <c r="AP152" s="117"/>
    </row>
    <row r="153" spans="1:42" x14ac:dyDescent="0.2">
      <c r="A153" s="107" t="str">
        <f>IF(A152&lt;Parámetros!$E$6,A152+1,"")</f>
        <v/>
      </c>
      <c r="B153" s="108" t="str">
        <f t="shared" si="81"/>
        <v/>
      </c>
      <c r="C153" s="108" t="str">
        <f t="shared" si="57"/>
        <v/>
      </c>
      <c r="D153" s="108" t="str">
        <f t="shared" si="58"/>
        <v/>
      </c>
      <c r="E153" s="108" t="str">
        <f t="shared" si="59"/>
        <v/>
      </c>
      <c r="F153" s="108" t="str">
        <f t="shared" si="60"/>
        <v/>
      </c>
      <c r="G153" s="114" t="str">
        <f t="shared" si="70"/>
        <v/>
      </c>
      <c r="H153" s="115">
        <f t="shared" si="71"/>
        <v>0</v>
      </c>
      <c r="I153" s="108" t="str">
        <f t="shared" si="82"/>
        <v/>
      </c>
      <c r="J153" s="108" t="str">
        <f t="shared" si="61"/>
        <v/>
      </c>
      <c r="K153" s="108" t="str">
        <f t="shared" si="62"/>
        <v/>
      </c>
      <c r="L153" s="108" t="str">
        <f t="shared" si="63"/>
        <v/>
      </c>
      <c r="M153" s="108" t="str">
        <f t="shared" si="72"/>
        <v/>
      </c>
      <c r="N153" s="114" t="str">
        <f t="shared" si="73"/>
        <v/>
      </c>
      <c r="O153" s="60">
        <v>0</v>
      </c>
      <c r="P153" s="116">
        <f t="shared" si="74"/>
        <v>0</v>
      </c>
      <c r="R153" s="117" t="str">
        <f t="shared" si="56"/>
        <v/>
      </c>
      <c r="S153" s="118" t="str">
        <f t="shared" si="64"/>
        <v/>
      </c>
      <c r="T153" s="118" t="str">
        <f t="shared" si="65"/>
        <v/>
      </c>
      <c r="U153" s="119">
        <f t="shared" si="75"/>
        <v>0</v>
      </c>
      <c r="V153" s="120" t="str">
        <f>IF(A153="","",IF(A153&lt;=Periodos_Gracia,0,PPMT(Tasa_Anual/360*Días*(1+I.V.A.),Tabla!AM153,No._De_Pagos_con_periodo_de_gracia,-Monto_Crédito)))</f>
        <v/>
      </c>
      <c r="W153" s="110" t="str">
        <f>IF($U$258&lt;=0,V153,IF(SUM($U$18:U153)&lt;=0,V153,PMT($K$5/360*Días,A153,-R153)))</f>
        <v/>
      </c>
      <c r="X153" s="121" t="str">
        <f>IF($U$258&lt;=0,W153,IF(SUM($U$18:U153)&lt;=0,V153,PMT($K$5/360*Días,No._De_Pagos_con_periodo_de_gracia,-Monto_Crédito)-S153-T153))</f>
        <v/>
      </c>
      <c r="Y153" s="117" t="str">
        <f t="shared" si="76"/>
        <v/>
      </c>
      <c r="Z153" s="61" t="str">
        <f>+IF(A153="","",IF(No._de_Pagos-Tabla!A153+1&lt;=0,"",No._de_Pagos-Tabla!A153+1))</f>
        <v/>
      </c>
      <c r="AA153" s="122" t="str">
        <f t="shared" si="77"/>
        <v/>
      </c>
      <c r="AB153" s="124" t="str">
        <f t="shared" si="83"/>
        <v/>
      </c>
      <c r="AC153" s="124" t="str">
        <f t="shared" si="66"/>
        <v/>
      </c>
      <c r="AD153" s="124" t="str">
        <f t="shared" si="67"/>
        <v/>
      </c>
      <c r="AE153" s="119">
        <f t="shared" si="78"/>
        <v>0</v>
      </c>
      <c r="AF153" s="120" t="str">
        <f t="shared" si="68"/>
        <v/>
      </c>
      <c r="AG153" s="110" t="str">
        <f>IF($U$258&lt;=0,AF153,IF(SUM($U$18:U153)&lt;=0,AF153,PMT($K$5/360*Días,A153,-AA153)))</f>
        <v/>
      </c>
      <c r="AH153" s="121" t="str">
        <f>IF(A153&lt;=Periodos_Gracia,0,IF($U$258&lt;=0,AG153,IF(SUM($U$18:U153)&lt;=0,AF153,PMT($K$5/360*Días,No._de_Pagos,-Monto_Crédito)-AC153-AD153)))</f>
        <v/>
      </c>
      <c r="AI153" s="125" t="str">
        <f t="shared" si="79"/>
        <v/>
      </c>
      <c r="AK153" s="126" t="str">
        <f>IF(A153="","",IF(Periodos_Gracia&gt;0,Tabla!AN153,V153+S153))</f>
        <v/>
      </c>
      <c r="AL153" s="126" t="str">
        <f t="shared" si="69"/>
        <v/>
      </c>
      <c r="AM153" s="61" t="str">
        <f t="shared" si="80"/>
        <v/>
      </c>
      <c r="AN153" s="127" t="str">
        <f>IF(A153="","",IF(A153&lt;=Periodos_Gracia,Tabla!S153,PPMT(Tasa_Anual/360*Días*(1+I.V.A.),Tabla!AM153,No._De_Pagos_con_periodo_de_gracia,-Monto_Crédito)+S153))</f>
        <v/>
      </c>
      <c r="AO153" s="127" t="str">
        <f>IF(A153="","",IF(A153&lt;=Periodos_Gracia,Tabla!AC153,Monto_Crédito/(No._De_Pagos_con_periodo_de_gracia)+AC153))</f>
        <v/>
      </c>
      <c r="AP153" s="117"/>
    </row>
    <row r="154" spans="1:42" x14ac:dyDescent="0.2">
      <c r="A154" s="107" t="str">
        <f>IF(A153&lt;Parámetros!$E$6,A153+1,"")</f>
        <v/>
      </c>
      <c r="B154" s="108" t="str">
        <f t="shared" si="81"/>
        <v/>
      </c>
      <c r="C154" s="108" t="str">
        <f t="shared" si="57"/>
        <v/>
      </c>
      <c r="D154" s="108" t="str">
        <f t="shared" si="58"/>
        <v/>
      </c>
      <c r="E154" s="108" t="str">
        <f t="shared" si="59"/>
        <v/>
      </c>
      <c r="F154" s="108" t="str">
        <f t="shared" si="60"/>
        <v/>
      </c>
      <c r="G154" s="114" t="str">
        <f t="shared" si="70"/>
        <v/>
      </c>
      <c r="H154" s="115">
        <f t="shared" si="71"/>
        <v>0</v>
      </c>
      <c r="I154" s="108" t="str">
        <f t="shared" si="82"/>
        <v/>
      </c>
      <c r="J154" s="108" t="str">
        <f t="shared" si="61"/>
        <v/>
      </c>
      <c r="K154" s="108" t="str">
        <f t="shared" si="62"/>
        <v/>
      </c>
      <c r="L154" s="108" t="str">
        <f t="shared" si="63"/>
        <v/>
      </c>
      <c r="M154" s="108" t="str">
        <f t="shared" si="72"/>
        <v/>
      </c>
      <c r="N154" s="114" t="str">
        <f t="shared" si="73"/>
        <v/>
      </c>
      <c r="O154" s="60">
        <v>0</v>
      </c>
      <c r="P154" s="116">
        <f t="shared" si="74"/>
        <v>0</v>
      </c>
      <c r="R154" s="117" t="str">
        <f t="shared" ref="R154:R217" si="84">IF(A154="","",+R153-V153)</f>
        <v/>
      </c>
      <c r="S154" s="118" t="str">
        <f t="shared" si="64"/>
        <v/>
      </c>
      <c r="T154" s="118" t="str">
        <f t="shared" si="65"/>
        <v/>
      </c>
      <c r="U154" s="119">
        <f t="shared" si="75"/>
        <v>0</v>
      </c>
      <c r="V154" s="120" t="str">
        <f>IF(A154="","",IF(A154&lt;=Periodos_Gracia,0,PPMT(Tasa_Anual/360*Días*(1+I.V.A.),Tabla!AM154,No._De_Pagos_con_periodo_de_gracia,-Monto_Crédito)))</f>
        <v/>
      </c>
      <c r="W154" s="110" t="str">
        <f>IF($U$258&lt;=0,V154,IF(SUM($U$18:U154)&lt;=0,V154,PMT($K$5/360*Días,A154,-R154)))</f>
        <v/>
      </c>
      <c r="X154" s="121" t="str">
        <f>IF($U$258&lt;=0,W154,IF(SUM($U$18:U154)&lt;=0,V154,PMT($K$5/360*Días,No._De_Pagos_con_periodo_de_gracia,-Monto_Crédito)-S154-T154))</f>
        <v/>
      </c>
      <c r="Y154" s="117" t="str">
        <f t="shared" si="76"/>
        <v/>
      </c>
      <c r="Z154" s="61" t="str">
        <f>+IF(A154="","",IF(No._de_Pagos-Tabla!A154+1&lt;=0,"",No._de_Pagos-Tabla!A154+1))</f>
        <v/>
      </c>
      <c r="AA154" s="122" t="str">
        <f t="shared" si="77"/>
        <v/>
      </c>
      <c r="AB154" s="124" t="str">
        <f t="shared" si="83"/>
        <v/>
      </c>
      <c r="AC154" s="124" t="str">
        <f t="shared" si="66"/>
        <v/>
      </c>
      <c r="AD154" s="124" t="str">
        <f t="shared" si="67"/>
        <v/>
      </c>
      <c r="AE154" s="119">
        <f t="shared" si="78"/>
        <v>0</v>
      </c>
      <c r="AF154" s="120" t="str">
        <f t="shared" si="68"/>
        <v/>
      </c>
      <c r="AG154" s="110" t="str">
        <f>IF($U$258&lt;=0,AF154,IF(SUM($U$18:U154)&lt;=0,AF154,PMT($K$5/360*Días,A154,-AA154)))</f>
        <v/>
      </c>
      <c r="AH154" s="121" t="str">
        <f>IF(A154&lt;=Periodos_Gracia,0,IF($U$258&lt;=0,AG154,IF(SUM($U$18:U154)&lt;=0,AF154,PMT($K$5/360*Días,No._de_Pagos,-Monto_Crédito)-AC154-AD154)))</f>
        <v/>
      </c>
      <c r="AI154" s="125" t="str">
        <f t="shared" si="79"/>
        <v/>
      </c>
      <c r="AK154" s="126" t="str">
        <f>IF(A154="","",IF(Periodos_Gracia&gt;0,Tabla!AN154,V154+S154))</f>
        <v/>
      </c>
      <c r="AL154" s="126" t="str">
        <f t="shared" si="69"/>
        <v/>
      </c>
      <c r="AM154" s="61" t="str">
        <f t="shared" si="80"/>
        <v/>
      </c>
      <c r="AN154" s="127" t="str">
        <f>IF(A154="","",IF(A154&lt;=Periodos_Gracia,Tabla!S154,PPMT(Tasa_Anual/360*Días*(1+I.V.A.),Tabla!AM154,No._De_Pagos_con_periodo_de_gracia,-Monto_Crédito)+S154))</f>
        <v/>
      </c>
      <c r="AO154" s="127" t="str">
        <f>IF(A154="","",IF(A154&lt;=Periodos_Gracia,Tabla!AC154,Monto_Crédito/(No._De_Pagos_con_periodo_de_gracia)+AC154))</f>
        <v/>
      </c>
      <c r="AP154" s="117"/>
    </row>
    <row r="155" spans="1:42" x14ac:dyDescent="0.2">
      <c r="A155" s="107" t="str">
        <f>IF(A154&lt;Parámetros!$E$6,A154+1,"")</f>
        <v/>
      </c>
      <c r="B155" s="108" t="str">
        <f t="shared" si="81"/>
        <v/>
      </c>
      <c r="C155" s="108" t="str">
        <f t="shared" si="57"/>
        <v/>
      </c>
      <c r="D155" s="108" t="str">
        <f t="shared" si="58"/>
        <v/>
      </c>
      <c r="E155" s="108" t="str">
        <f t="shared" si="59"/>
        <v/>
      </c>
      <c r="F155" s="108" t="str">
        <f t="shared" si="60"/>
        <v/>
      </c>
      <c r="G155" s="114" t="str">
        <f t="shared" si="70"/>
        <v/>
      </c>
      <c r="H155" s="115">
        <f t="shared" si="71"/>
        <v>0</v>
      </c>
      <c r="I155" s="108" t="str">
        <f t="shared" si="82"/>
        <v/>
      </c>
      <c r="J155" s="108" t="str">
        <f t="shared" si="61"/>
        <v/>
      </c>
      <c r="K155" s="108" t="str">
        <f t="shared" si="62"/>
        <v/>
      </c>
      <c r="L155" s="108" t="str">
        <f t="shared" si="63"/>
        <v/>
      </c>
      <c r="M155" s="108" t="str">
        <f t="shared" si="72"/>
        <v/>
      </c>
      <c r="N155" s="114" t="str">
        <f t="shared" si="73"/>
        <v/>
      </c>
      <c r="O155" s="60">
        <v>0</v>
      </c>
      <c r="P155" s="116">
        <f t="shared" si="74"/>
        <v>0</v>
      </c>
      <c r="R155" s="117" t="str">
        <f t="shared" si="84"/>
        <v/>
      </c>
      <c r="S155" s="118" t="str">
        <f t="shared" si="64"/>
        <v/>
      </c>
      <c r="T155" s="118" t="str">
        <f t="shared" si="65"/>
        <v/>
      </c>
      <c r="U155" s="119">
        <f t="shared" si="75"/>
        <v>0</v>
      </c>
      <c r="V155" s="120" t="str">
        <f>IF(A155="","",IF(A155&lt;=Periodos_Gracia,0,PPMT(Tasa_Anual/360*Días*(1+I.V.A.),Tabla!AM155,No._De_Pagos_con_periodo_de_gracia,-Monto_Crédito)))</f>
        <v/>
      </c>
      <c r="W155" s="110" t="str">
        <f>IF($U$258&lt;=0,V155,IF(SUM($U$18:U155)&lt;=0,V155,PMT($K$5/360*Días,A155,-R155)))</f>
        <v/>
      </c>
      <c r="X155" s="121" t="str">
        <f>IF($U$258&lt;=0,W155,IF(SUM($U$18:U155)&lt;=0,V155,PMT($K$5/360*Días,No._De_Pagos_con_periodo_de_gracia,-Monto_Crédito)-S155-T155))</f>
        <v/>
      </c>
      <c r="Y155" s="117" t="str">
        <f t="shared" si="76"/>
        <v/>
      </c>
      <c r="Z155" s="61" t="str">
        <f>+IF(A155="","",IF(No._de_Pagos-Tabla!A155+1&lt;=0,"",No._de_Pagos-Tabla!A155+1))</f>
        <v/>
      </c>
      <c r="AA155" s="122" t="str">
        <f t="shared" si="77"/>
        <v/>
      </c>
      <c r="AB155" s="124" t="str">
        <f t="shared" si="83"/>
        <v/>
      </c>
      <c r="AC155" s="124" t="str">
        <f t="shared" si="66"/>
        <v/>
      </c>
      <c r="AD155" s="124" t="str">
        <f t="shared" si="67"/>
        <v/>
      </c>
      <c r="AE155" s="119">
        <f t="shared" si="78"/>
        <v>0</v>
      </c>
      <c r="AF155" s="120" t="str">
        <f t="shared" si="68"/>
        <v/>
      </c>
      <c r="AG155" s="110" t="str">
        <f>IF($U$258&lt;=0,AF155,IF(SUM($U$18:U155)&lt;=0,AF155,PMT($K$5/360*Días,A155,-AA155)))</f>
        <v/>
      </c>
      <c r="AH155" s="121" t="str">
        <f>IF(A155&lt;=Periodos_Gracia,0,IF($U$258&lt;=0,AG155,IF(SUM($U$18:U155)&lt;=0,AF155,PMT($K$5/360*Días,No._de_Pagos,-Monto_Crédito)-AC155-AD155)))</f>
        <v/>
      </c>
      <c r="AI155" s="125" t="str">
        <f t="shared" si="79"/>
        <v/>
      </c>
      <c r="AK155" s="126" t="str">
        <f>IF(A155="","",IF(Periodos_Gracia&gt;0,Tabla!AN155,V155+S155))</f>
        <v/>
      </c>
      <c r="AL155" s="126" t="str">
        <f t="shared" si="69"/>
        <v/>
      </c>
      <c r="AM155" s="61" t="str">
        <f t="shared" si="80"/>
        <v/>
      </c>
      <c r="AN155" s="127" t="str">
        <f>IF(A155="","",IF(A155&lt;=Periodos_Gracia,Tabla!S155,PPMT(Tasa_Anual/360*Días*(1+I.V.A.),Tabla!AM155,No._De_Pagos_con_periodo_de_gracia,-Monto_Crédito)+S155))</f>
        <v/>
      </c>
      <c r="AO155" s="127" t="str">
        <f>IF(A155="","",IF(A155&lt;=Periodos_Gracia,Tabla!AC155,Monto_Crédito/(No._De_Pagos_con_periodo_de_gracia)+AC155))</f>
        <v/>
      </c>
      <c r="AP155" s="117"/>
    </row>
    <row r="156" spans="1:42" x14ac:dyDescent="0.2">
      <c r="A156" s="107" t="str">
        <f>IF(A155&lt;Parámetros!$E$6,A155+1,"")</f>
        <v/>
      </c>
      <c r="B156" s="108" t="str">
        <f t="shared" si="81"/>
        <v/>
      </c>
      <c r="C156" s="108" t="str">
        <f t="shared" si="57"/>
        <v/>
      </c>
      <c r="D156" s="108" t="str">
        <f t="shared" si="58"/>
        <v/>
      </c>
      <c r="E156" s="108" t="str">
        <f t="shared" si="59"/>
        <v/>
      </c>
      <c r="F156" s="108" t="str">
        <f t="shared" si="60"/>
        <v/>
      </c>
      <c r="G156" s="114" t="str">
        <f t="shared" si="70"/>
        <v/>
      </c>
      <c r="H156" s="115">
        <f t="shared" si="71"/>
        <v>0</v>
      </c>
      <c r="I156" s="108" t="str">
        <f t="shared" si="82"/>
        <v/>
      </c>
      <c r="J156" s="108" t="str">
        <f t="shared" si="61"/>
        <v/>
      </c>
      <c r="K156" s="108" t="str">
        <f t="shared" si="62"/>
        <v/>
      </c>
      <c r="L156" s="108" t="str">
        <f t="shared" si="63"/>
        <v/>
      </c>
      <c r="M156" s="108" t="str">
        <f t="shared" si="72"/>
        <v/>
      </c>
      <c r="N156" s="114" t="str">
        <f t="shared" si="73"/>
        <v/>
      </c>
      <c r="O156" s="60">
        <v>0</v>
      </c>
      <c r="P156" s="116">
        <f t="shared" si="74"/>
        <v>0</v>
      </c>
      <c r="R156" s="117" t="str">
        <f t="shared" si="84"/>
        <v/>
      </c>
      <c r="S156" s="118" t="str">
        <f t="shared" si="64"/>
        <v/>
      </c>
      <c r="T156" s="118" t="str">
        <f t="shared" si="65"/>
        <v/>
      </c>
      <c r="U156" s="119">
        <f t="shared" si="75"/>
        <v>0</v>
      </c>
      <c r="V156" s="120" t="str">
        <f>IF(A156="","",IF(A156&lt;=Periodos_Gracia,0,PPMT(Tasa_Anual/360*Días*(1+I.V.A.),Tabla!AM156,No._De_Pagos_con_periodo_de_gracia,-Monto_Crédito)))</f>
        <v/>
      </c>
      <c r="W156" s="110" t="str">
        <f>IF($U$258&lt;=0,V156,IF(SUM($U$18:U156)&lt;=0,V156,PMT($K$5/360*Días,A156,-R156)))</f>
        <v/>
      </c>
      <c r="X156" s="121" t="str">
        <f>IF($U$258&lt;=0,W156,IF(SUM($U$18:U156)&lt;=0,V156,PMT($K$5/360*Días,No._De_Pagos_con_periodo_de_gracia,-Monto_Crédito)-S156-T156))</f>
        <v/>
      </c>
      <c r="Y156" s="117" t="str">
        <f t="shared" si="76"/>
        <v/>
      </c>
      <c r="Z156" s="61" t="str">
        <f>+IF(A156="","",IF(No._de_Pagos-Tabla!A156+1&lt;=0,"",No._de_Pagos-Tabla!A156+1))</f>
        <v/>
      </c>
      <c r="AA156" s="122" t="str">
        <f t="shared" si="77"/>
        <v/>
      </c>
      <c r="AB156" s="124" t="str">
        <f t="shared" si="83"/>
        <v/>
      </c>
      <c r="AC156" s="124" t="str">
        <f t="shared" si="66"/>
        <v/>
      </c>
      <c r="AD156" s="124" t="str">
        <f t="shared" si="67"/>
        <v/>
      </c>
      <c r="AE156" s="119">
        <f t="shared" si="78"/>
        <v>0</v>
      </c>
      <c r="AF156" s="120" t="str">
        <f t="shared" si="68"/>
        <v/>
      </c>
      <c r="AG156" s="110" t="str">
        <f>IF($U$258&lt;=0,AF156,IF(SUM($U$18:U156)&lt;=0,AF156,PMT($K$5/360*Días,A156,-AA156)))</f>
        <v/>
      </c>
      <c r="AH156" s="121" t="str">
        <f>IF(A156&lt;=Periodos_Gracia,0,IF($U$258&lt;=0,AG156,IF(SUM($U$18:U156)&lt;=0,AF156,PMT($K$5/360*Días,No._de_Pagos,-Monto_Crédito)-AC156-AD156)))</f>
        <v/>
      </c>
      <c r="AI156" s="125" t="str">
        <f t="shared" si="79"/>
        <v/>
      </c>
      <c r="AK156" s="126" t="str">
        <f>IF(A156="","",IF(Periodos_Gracia&gt;0,Tabla!AN156,V156+S156))</f>
        <v/>
      </c>
      <c r="AL156" s="126" t="str">
        <f t="shared" si="69"/>
        <v/>
      </c>
      <c r="AM156" s="61" t="str">
        <f t="shared" si="80"/>
        <v/>
      </c>
      <c r="AN156" s="127" t="str">
        <f>IF(A156="","",IF(A156&lt;=Periodos_Gracia,Tabla!S156,PPMT(Tasa_Anual/360*Días*(1+I.V.A.),Tabla!AM156,No._De_Pagos_con_periodo_de_gracia,-Monto_Crédito)+S156))</f>
        <v/>
      </c>
      <c r="AO156" s="127" t="str">
        <f>IF(A156="","",IF(A156&lt;=Periodos_Gracia,Tabla!AC156,Monto_Crédito/(No._De_Pagos_con_periodo_de_gracia)+AC156))</f>
        <v/>
      </c>
      <c r="AP156" s="117"/>
    </row>
    <row r="157" spans="1:42" x14ac:dyDescent="0.2">
      <c r="A157" s="107" t="str">
        <f>IF(A156&lt;Parámetros!$E$6,A156+1,"")</f>
        <v/>
      </c>
      <c r="B157" s="108" t="str">
        <f t="shared" si="81"/>
        <v/>
      </c>
      <c r="C157" s="108" t="str">
        <f t="shared" si="57"/>
        <v/>
      </c>
      <c r="D157" s="108" t="str">
        <f t="shared" si="58"/>
        <v/>
      </c>
      <c r="E157" s="108" t="str">
        <f t="shared" si="59"/>
        <v/>
      </c>
      <c r="F157" s="108" t="str">
        <f t="shared" si="60"/>
        <v/>
      </c>
      <c r="G157" s="114" t="str">
        <f t="shared" si="70"/>
        <v/>
      </c>
      <c r="H157" s="115">
        <f t="shared" si="71"/>
        <v>0</v>
      </c>
      <c r="I157" s="108" t="str">
        <f t="shared" si="82"/>
        <v/>
      </c>
      <c r="J157" s="108" t="str">
        <f t="shared" si="61"/>
        <v/>
      </c>
      <c r="K157" s="108" t="str">
        <f t="shared" si="62"/>
        <v/>
      </c>
      <c r="L157" s="108" t="str">
        <f t="shared" si="63"/>
        <v/>
      </c>
      <c r="M157" s="108" t="str">
        <f t="shared" si="72"/>
        <v/>
      </c>
      <c r="N157" s="114" t="str">
        <f t="shared" si="73"/>
        <v/>
      </c>
      <c r="O157" s="60">
        <v>0</v>
      </c>
      <c r="P157" s="116">
        <f t="shared" si="74"/>
        <v>0</v>
      </c>
      <c r="R157" s="117" t="str">
        <f t="shared" si="84"/>
        <v/>
      </c>
      <c r="S157" s="118" t="str">
        <f t="shared" si="64"/>
        <v/>
      </c>
      <c r="T157" s="118" t="str">
        <f t="shared" si="65"/>
        <v/>
      </c>
      <c r="U157" s="119">
        <f t="shared" si="75"/>
        <v>0</v>
      </c>
      <c r="V157" s="120" t="str">
        <f>IF(A157="","",IF(A157&lt;=Periodos_Gracia,0,PPMT(Tasa_Anual/360*Días*(1+I.V.A.),Tabla!AM157,No._De_Pagos_con_periodo_de_gracia,-Monto_Crédito)))</f>
        <v/>
      </c>
      <c r="W157" s="110" t="str">
        <f>IF($U$258&lt;=0,V157,IF(SUM($U$18:U157)&lt;=0,V157,PMT($K$5/360*Días,A157,-R157)))</f>
        <v/>
      </c>
      <c r="X157" s="121" t="str">
        <f>IF($U$258&lt;=0,W157,IF(SUM($U$18:U157)&lt;=0,V157,PMT($K$5/360*Días,No._De_Pagos_con_periodo_de_gracia,-Monto_Crédito)-S157-T157))</f>
        <v/>
      </c>
      <c r="Y157" s="117" t="str">
        <f t="shared" si="76"/>
        <v/>
      </c>
      <c r="Z157" s="61" t="str">
        <f>+IF(A157="","",IF(No._de_Pagos-Tabla!A157+1&lt;=0,"",No._de_Pagos-Tabla!A157+1))</f>
        <v/>
      </c>
      <c r="AA157" s="122" t="str">
        <f t="shared" si="77"/>
        <v/>
      </c>
      <c r="AB157" s="124" t="str">
        <f t="shared" si="83"/>
        <v/>
      </c>
      <c r="AC157" s="124" t="str">
        <f t="shared" si="66"/>
        <v/>
      </c>
      <c r="AD157" s="124" t="str">
        <f t="shared" si="67"/>
        <v/>
      </c>
      <c r="AE157" s="119">
        <f t="shared" si="78"/>
        <v>0</v>
      </c>
      <c r="AF157" s="120" t="str">
        <f t="shared" si="68"/>
        <v/>
      </c>
      <c r="AG157" s="110" t="str">
        <f>IF($U$258&lt;=0,AF157,IF(SUM($U$18:U157)&lt;=0,AF157,PMT($K$5/360*Días,A157,-AA157)))</f>
        <v/>
      </c>
      <c r="AH157" s="121" t="str">
        <f>IF(A157&lt;=Periodos_Gracia,0,IF($U$258&lt;=0,AG157,IF(SUM($U$18:U157)&lt;=0,AF157,PMT($K$5/360*Días,No._de_Pagos,-Monto_Crédito)-AC157-AD157)))</f>
        <v/>
      </c>
      <c r="AI157" s="125" t="str">
        <f t="shared" si="79"/>
        <v/>
      </c>
      <c r="AK157" s="126" t="str">
        <f>IF(A157="","",IF(Periodos_Gracia&gt;0,Tabla!AN157,V157+S157))</f>
        <v/>
      </c>
      <c r="AL157" s="126" t="str">
        <f t="shared" si="69"/>
        <v/>
      </c>
      <c r="AM157" s="61" t="str">
        <f t="shared" si="80"/>
        <v/>
      </c>
      <c r="AN157" s="127" t="str">
        <f>IF(A157="","",IF(A157&lt;=Periodos_Gracia,Tabla!S157,PPMT(Tasa_Anual/360*Días*(1+I.V.A.),Tabla!AM157,No._De_Pagos_con_periodo_de_gracia,-Monto_Crédito)+S157))</f>
        <v/>
      </c>
      <c r="AO157" s="127" t="str">
        <f>IF(A157="","",IF(A157&lt;=Periodos_Gracia,Tabla!AC157,Monto_Crédito/(No._De_Pagos_con_periodo_de_gracia)+AC157))</f>
        <v/>
      </c>
      <c r="AP157" s="117"/>
    </row>
    <row r="158" spans="1:42" x14ac:dyDescent="0.2">
      <c r="A158" s="107" t="str">
        <f>IF(A157&lt;Parámetros!$E$6,A157+1,"")</f>
        <v/>
      </c>
      <c r="B158" s="108" t="str">
        <f t="shared" si="81"/>
        <v/>
      </c>
      <c r="C158" s="108" t="str">
        <f t="shared" si="57"/>
        <v/>
      </c>
      <c r="D158" s="108" t="str">
        <f t="shared" si="58"/>
        <v/>
      </c>
      <c r="E158" s="108" t="str">
        <f t="shared" si="59"/>
        <v/>
      </c>
      <c r="F158" s="108" t="str">
        <f t="shared" si="60"/>
        <v/>
      </c>
      <c r="G158" s="114" t="str">
        <f t="shared" si="70"/>
        <v/>
      </c>
      <c r="H158" s="115">
        <f t="shared" si="71"/>
        <v>0</v>
      </c>
      <c r="I158" s="108" t="str">
        <f t="shared" si="82"/>
        <v/>
      </c>
      <c r="J158" s="108" t="str">
        <f t="shared" si="61"/>
        <v/>
      </c>
      <c r="K158" s="108" t="str">
        <f t="shared" si="62"/>
        <v/>
      </c>
      <c r="L158" s="108" t="str">
        <f t="shared" si="63"/>
        <v/>
      </c>
      <c r="M158" s="108" t="str">
        <f t="shared" si="72"/>
        <v/>
      </c>
      <c r="N158" s="114" t="str">
        <f t="shared" si="73"/>
        <v/>
      </c>
      <c r="O158" s="60">
        <v>0</v>
      </c>
      <c r="P158" s="116">
        <f t="shared" si="74"/>
        <v>0</v>
      </c>
      <c r="R158" s="117" t="str">
        <f t="shared" si="84"/>
        <v/>
      </c>
      <c r="S158" s="118" t="str">
        <f t="shared" si="64"/>
        <v/>
      </c>
      <c r="T158" s="118" t="str">
        <f t="shared" si="65"/>
        <v/>
      </c>
      <c r="U158" s="119">
        <f t="shared" si="75"/>
        <v>0</v>
      </c>
      <c r="V158" s="120" t="str">
        <f>IF(A158="","",IF(A158&lt;=Periodos_Gracia,0,PPMT(Tasa_Anual/360*Días*(1+I.V.A.),Tabla!AM158,No._De_Pagos_con_periodo_de_gracia,-Monto_Crédito)))</f>
        <v/>
      </c>
      <c r="W158" s="110" t="str">
        <f>IF($U$258&lt;=0,V158,IF(SUM($U$18:U158)&lt;=0,V158,PMT($K$5/360*Días,A158,-R158)))</f>
        <v/>
      </c>
      <c r="X158" s="121" t="str">
        <f>IF($U$258&lt;=0,W158,IF(SUM($U$18:U158)&lt;=0,V158,PMT($K$5/360*Días,No._De_Pagos_con_periodo_de_gracia,-Monto_Crédito)-S158-T158))</f>
        <v/>
      </c>
      <c r="Y158" s="117" t="str">
        <f t="shared" si="76"/>
        <v/>
      </c>
      <c r="Z158" s="61" t="str">
        <f>+IF(A158="","",IF(No._de_Pagos-Tabla!A158+1&lt;=0,"",No._de_Pagos-Tabla!A158+1))</f>
        <v/>
      </c>
      <c r="AA158" s="122" t="str">
        <f t="shared" si="77"/>
        <v/>
      </c>
      <c r="AB158" s="124" t="str">
        <f t="shared" si="83"/>
        <v/>
      </c>
      <c r="AC158" s="124" t="str">
        <f t="shared" si="66"/>
        <v/>
      </c>
      <c r="AD158" s="124" t="str">
        <f t="shared" si="67"/>
        <v/>
      </c>
      <c r="AE158" s="119">
        <f t="shared" si="78"/>
        <v>0</v>
      </c>
      <c r="AF158" s="120" t="str">
        <f t="shared" si="68"/>
        <v/>
      </c>
      <c r="AG158" s="110" t="str">
        <f>IF($U$258&lt;=0,AF158,IF(SUM($U$18:U158)&lt;=0,AF158,PMT($K$5/360*Días,A158,-AA158)))</f>
        <v/>
      </c>
      <c r="AH158" s="121" t="str">
        <f>IF(A158&lt;=Periodos_Gracia,0,IF($U$258&lt;=0,AG158,IF(SUM($U$18:U158)&lt;=0,AF158,PMT($K$5/360*Días,No._de_Pagos,-Monto_Crédito)-AC158-AD158)))</f>
        <v/>
      </c>
      <c r="AI158" s="125" t="str">
        <f t="shared" si="79"/>
        <v/>
      </c>
      <c r="AK158" s="126" t="str">
        <f>IF(A158="","",IF(Periodos_Gracia&gt;0,Tabla!AN158,V158+S158))</f>
        <v/>
      </c>
      <c r="AL158" s="126" t="str">
        <f t="shared" si="69"/>
        <v/>
      </c>
      <c r="AM158" s="61" t="str">
        <f t="shared" si="80"/>
        <v/>
      </c>
      <c r="AN158" s="127" t="str">
        <f>IF(A158="","",IF(A158&lt;=Periodos_Gracia,Tabla!S158,PPMT(Tasa_Anual/360*Días*(1+I.V.A.),Tabla!AM158,No._De_Pagos_con_periodo_de_gracia,-Monto_Crédito)+S158))</f>
        <v/>
      </c>
      <c r="AO158" s="127" t="str">
        <f>IF(A158="","",IF(A158&lt;=Periodos_Gracia,Tabla!AC158,Monto_Crédito/(No._De_Pagos_con_periodo_de_gracia)+AC158))</f>
        <v/>
      </c>
      <c r="AP158" s="117"/>
    </row>
    <row r="159" spans="1:42" x14ac:dyDescent="0.2">
      <c r="A159" s="107" t="str">
        <f>IF(A158&lt;Parámetros!$E$6,A158+1,"")</f>
        <v/>
      </c>
      <c r="B159" s="108" t="str">
        <f t="shared" si="81"/>
        <v/>
      </c>
      <c r="C159" s="108" t="str">
        <f t="shared" si="57"/>
        <v/>
      </c>
      <c r="D159" s="108" t="str">
        <f t="shared" si="58"/>
        <v/>
      </c>
      <c r="E159" s="108" t="str">
        <f t="shared" si="59"/>
        <v/>
      </c>
      <c r="F159" s="108" t="str">
        <f t="shared" si="60"/>
        <v/>
      </c>
      <c r="G159" s="114" t="str">
        <f t="shared" si="70"/>
        <v/>
      </c>
      <c r="H159" s="115">
        <f t="shared" si="71"/>
        <v>0</v>
      </c>
      <c r="I159" s="108" t="str">
        <f t="shared" si="82"/>
        <v/>
      </c>
      <c r="J159" s="108" t="str">
        <f t="shared" si="61"/>
        <v/>
      </c>
      <c r="K159" s="108" t="str">
        <f t="shared" si="62"/>
        <v/>
      </c>
      <c r="L159" s="108" t="str">
        <f t="shared" si="63"/>
        <v/>
      </c>
      <c r="M159" s="108" t="str">
        <f t="shared" si="72"/>
        <v/>
      </c>
      <c r="N159" s="114" t="str">
        <f t="shared" si="73"/>
        <v/>
      </c>
      <c r="O159" s="60">
        <v>0</v>
      </c>
      <c r="P159" s="116">
        <f t="shared" si="74"/>
        <v>0</v>
      </c>
      <c r="R159" s="117" t="str">
        <f t="shared" si="84"/>
        <v/>
      </c>
      <c r="S159" s="118" t="str">
        <f t="shared" si="64"/>
        <v/>
      </c>
      <c r="T159" s="118" t="str">
        <f t="shared" si="65"/>
        <v/>
      </c>
      <c r="U159" s="119">
        <f t="shared" si="75"/>
        <v>0</v>
      </c>
      <c r="V159" s="120" t="str">
        <f>IF(A159="","",IF(A159&lt;=Periodos_Gracia,0,PPMT(Tasa_Anual/360*Días*(1+I.V.A.),Tabla!AM159,No._De_Pagos_con_periodo_de_gracia,-Monto_Crédito)))</f>
        <v/>
      </c>
      <c r="W159" s="110" t="str">
        <f>IF($U$258&lt;=0,V159,IF(SUM($U$18:U159)&lt;=0,V159,PMT($K$5/360*Días,A159,-R159)))</f>
        <v/>
      </c>
      <c r="X159" s="121" t="str">
        <f>IF($U$258&lt;=0,W159,IF(SUM($U$18:U159)&lt;=0,V159,PMT($K$5/360*Días,No._De_Pagos_con_periodo_de_gracia,-Monto_Crédito)-S159-T159))</f>
        <v/>
      </c>
      <c r="Y159" s="117" t="str">
        <f t="shared" si="76"/>
        <v/>
      </c>
      <c r="Z159" s="61" t="str">
        <f>+IF(A159="","",IF(No._de_Pagos-Tabla!A159+1&lt;=0,"",No._de_Pagos-Tabla!A159+1))</f>
        <v/>
      </c>
      <c r="AA159" s="122" t="str">
        <f t="shared" si="77"/>
        <v/>
      </c>
      <c r="AB159" s="124" t="str">
        <f t="shared" si="83"/>
        <v/>
      </c>
      <c r="AC159" s="124" t="str">
        <f t="shared" si="66"/>
        <v/>
      </c>
      <c r="AD159" s="124" t="str">
        <f t="shared" si="67"/>
        <v/>
      </c>
      <c r="AE159" s="119">
        <f t="shared" si="78"/>
        <v>0</v>
      </c>
      <c r="AF159" s="120" t="str">
        <f t="shared" si="68"/>
        <v/>
      </c>
      <c r="AG159" s="110" t="str">
        <f>IF($U$258&lt;=0,AF159,IF(SUM($U$18:U159)&lt;=0,AF159,PMT($K$5/360*Días,A159,-AA159)))</f>
        <v/>
      </c>
      <c r="AH159" s="121" t="str">
        <f>IF(A159&lt;=Periodos_Gracia,0,IF($U$258&lt;=0,AG159,IF(SUM($U$18:U159)&lt;=0,AF159,PMT($K$5/360*Días,No._de_Pagos,-Monto_Crédito)-AC159-AD159)))</f>
        <v/>
      </c>
      <c r="AI159" s="125" t="str">
        <f t="shared" si="79"/>
        <v/>
      </c>
      <c r="AK159" s="126" t="str">
        <f>IF(A159="","",IF(Periodos_Gracia&gt;0,Tabla!AN159,V159+S159))</f>
        <v/>
      </c>
      <c r="AL159" s="126" t="str">
        <f t="shared" si="69"/>
        <v/>
      </c>
      <c r="AM159" s="61" t="str">
        <f t="shared" si="80"/>
        <v/>
      </c>
      <c r="AN159" s="127" t="str">
        <f>IF(A159="","",IF(A159&lt;=Periodos_Gracia,Tabla!S159,PPMT(Tasa_Anual/360*Días*(1+I.V.A.),Tabla!AM159,No._De_Pagos_con_periodo_de_gracia,-Monto_Crédito)+S159))</f>
        <v/>
      </c>
      <c r="AO159" s="127" t="str">
        <f>IF(A159="","",IF(A159&lt;=Periodos_Gracia,Tabla!AC159,Monto_Crédito/(No._De_Pagos_con_periodo_de_gracia)+AC159))</f>
        <v/>
      </c>
      <c r="AP159" s="117"/>
    </row>
    <row r="160" spans="1:42" x14ac:dyDescent="0.2">
      <c r="A160" s="107" t="str">
        <f>IF(A159&lt;Parámetros!$E$6,A159+1,"")</f>
        <v/>
      </c>
      <c r="B160" s="108" t="str">
        <f t="shared" si="81"/>
        <v/>
      </c>
      <c r="C160" s="108" t="str">
        <f t="shared" si="57"/>
        <v/>
      </c>
      <c r="D160" s="108" t="str">
        <f t="shared" si="58"/>
        <v/>
      </c>
      <c r="E160" s="108" t="str">
        <f t="shared" si="59"/>
        <v/>
      </c>
      <c r="F160" s="108" t="str">
        <f t="shared" si="60"/>
        <v/>
      </c>
      <c r="G160" s="114" t="str">
        <f t="shared" si="70"/>
        <v/>
      </c>
      <c r="H160" s="115">
        <f t="shared" si="71"/>
        <v>0</v>
      </c>
      <c r="I160" s="108" t="str">
        <f t="shared" si="82"/>
        <v/>
      </c>
      <c r="J160" s="108" t="str">
        <f t="shared" si="61"/>
        <v/>
      </c>
      <c r="K160" s="108" t="str">
        <f t="shared" si="62"/>
        <v/>
      </c>
      <c r="L160" s="108" t="str">
        <f t="shared" si="63"/>
        <v/>
      </c>
      <c r="M160" s="108" t="str">
        <f t="shared" si="72"/>
        <v/>
      </c>
      <c r="N160" s="114" t="str">
        <f t="shared" si="73"/>
        <v/>
      </c>
      <c r="O160" s="60">
        <v>0</v>
      </c>
      <c r="P160" s="116">
        <f t="shared" si="74"/>
        <v>0</v>
      </c>
      <c r="R160" s="117" t="str">
        <f t="shared" si="84"/>
        <v/>
      </c>
      <c r="S160" s="118" t="str">
        <f t="shared" si="64"/>
        <v/>
      </c>
      <c r="T160" s="118" t="str">
        <f t="shared" si="65"/>
        <v/>
      </c>
      <c r="U160" s="119">
        <f t="shared" si="75"/>
        <v>0</v>
      </c>
      <c r="V160" s="120" t="str">
        <f>IF(A160="","",IF(A160&lt;=Periodos_Gracia,0,PPMT(Tasa_Anual/360*Días*(1+I.V.A.),Tabla!AM160,No._De_Pagos_con_periodo_de_gracia,-Monto_Crédito)))</f>
        <v/>
      </c>
      <c r="W160" s="110" t="str">
        <f>IF($U$258&lt;=0,V160,IF(SUM($U$18:U160)&lt;=0,V160,PMT($K$5/360*Días,A160,-R160)))</f>
        <v/>
      </c>
      <c r="X160" s="121" t="str">
        <f>IF($U$258&lt;=0,W160,IF(SUM($U$18:U160)&lt;=0,V160,PMT($K$5/360*Días,No._De_Pagos_con_periodo_de_gracia,-Monto_Crédito)-S160-T160))</f>
        <v/>
      </c>
      <c r="Y160" s="117" t="str">
        <f t="shared" si="76"/>
        <v/>
      </c>
      <c r="Z160" s="61" t="str">
        <f>+IF(A160="","",IF(No._de_Pagos-Tabla!A160+1&lt;=0,"",No._de_Pagos-Tabla!A160+1))</f>
        <v/>
      </c>
      <c r="AA160" s="122" t="str">
        <f t="shared" si="77"/>
        <v/>
      </c>
      <c r="AB160" s="124" t="str">
        <f t="shared" si="83"/>
        <v/>
      </c>
      <c r="AC160" s="124" t="str">
        <f t="shared" si="66"/>
        <v/>
      </c>
      <c r="AD160" s="124" t="str">
        <f t="shared" si="67"/>
        <v/>
      </c>
      <c r="AE160" s="119">
        <f t="shared" si="78"/>
        <v>0</v>
      </c>
      <c r="AF160" s="120" t="str">
        <f t="shared" si="68"/>
        <v/>
      </c>
      <c r="AG160" s="110" t="str">
        <f>IF($U$258&lt;=0,AF160,IF(SUM($U$18:U160)&lt;=0,AF160,PMT($K$5/360*Días,A160,-AA160)))</f>
        <v/>
      </c>
      <c r="AH160" s="121" t="str">
        <f>IF(A160&lt;=Periodos_Gracia,0,IF($U$258&lt;=0,AG160,IF(SUM($U$18:U160)&lt;=0,AF160,PMT($K$5/360*Días,No._de_Pagos,-Monto_Crédito)-AC160-AD160)))</f>
        <v/>
      </c>
      <c r="AI160" s="125" t="str">
        <f t="shared" si="79"/>
        <v/>
      </c>
      <c r="AK160" s="126" t="str">
        <f>IF(A160="","",IF(Periodos_Gracia&gt;0,Tabla!AN160,V160+S160))</f>
        <v/>
      </c>
      <c r="AL160" s="126" t="str">
        <f t="shared" si="69"/>
        <v/>
      </c>
      <c r="AM160" s="61" t="str">
        <f t="shared" si="80"/>
        <v/>
      </c>
      <c r="AN160" s="127" t="str">
        <f>IF(A160="","",IF(A160&lt;=Periodos_Gracia,Tabla!S160,PPMT(Tasa_Anual/360*Días*(1+I.V.A.),Tabla!AM160,No._De_Pagos_con_periodo_de_gracia,-Monto_Crédito)+S160))</f>
        <v/>
      </c>
      <c r="AO160" s="127" t="str">
        <f>IF(A160="","",IF(A160&lt;=Periodos_Gracia,Tabla!AC160,Monto_Crédito/(No._De_Pagos_con_periodo_de_gracia)+AC160))</f>
        <v/>
      </c>
      <c r="AP160" s="117"/>
    </row>
    <row r="161" spans="1:42" x14ac:dyDescent="0.2">
      <c r="A161" s="107" t="str">
        <f>IF(A160&lt;Parámetros!$E$6,A160+1,"")</f>
        <v/>
      </c>
      <c r="B161" s="108" t="str">
        <f t="shared" si="81"/>
        <v/>
      </c>
      <c r="C161" s="108" t="str">
        <f t="shared" si="57"/>
        <v/>
      </c>
      <c r="D161" s="108" t="str">
        <f t="shared" si="58"/>
        <v/>
      </c>
      <c r="E161" s="108" t="str">
        <f t="shared" si="59"/>
        <v/>
      </c>
      <c r="F161" s="108" t="str">
        <f t="shared" si="60"/>
        <v/>
      </c>
      <c r="G161" s="114" t="str">
        <f t="shared" si="70"/>
        <v/>
      </c>
      <c r="H161" s="115">
        <f t="shared" si="71"/>
        <v>0</v>
      </c>
      <c r="I161" s="108" t="str">
        <f t="shared" si="82"/>
        <v/>
      </c>
      <c r="J161" s="108" t="str">
        <f t="shared" si="61"/>
        <v/>
      </c>
      <c r="K161" s="108" t="str">
        <f t="shared" si="62"/>
        <v/>
      </c>
      <c r="L161" s="108" t="str">
        <f t="shared" si="63"/>
        <v/>
      </c>
      <c r="M161" s="108" t="str">
        <f t="shared" si="72"/>
        <v/>
      </c>
      <c r="N161" s="114" t="str">
        <f t="shared" si="73"/>
        <v/>
      </c>
      <c r="O161" s="60">
        <v>0</v>
      </c>
      <c r="P161" s="116">
        <f t="shared" si="74"/>
        <v>0</v>
      </c>
      <c r="R161" s="117" t="str">
        <f t="shared" si="84"/>
        <v/>
      </c>
      <c r="S161" s="118" t="str">
        <f t="shared" si="64"/>
        <v/>
      </c>
      <c r="T161" s="118" t="str">
        <f t="shared" si="65"/>
        <v/>
      </c>
      <c r="U161" s="119">
        <f t="shared" si="75"/>
        <v>0</v>
      </c>
      <c r="V161" s="120" t="str">
        <f>IF(A161="","",IF(A161&lt;=Periodos_Gracia,0,PPMT(Tasa_Anual/360*Días*(1+I.V.A.),Tabla!AM161,No._De_Pagos_con_periodo_de_gracia,-Monto_Crédito)))</f>
        <v/>
      </c>
      <c r="W161" s="110" t="str">
        <f>IF($U$258&lt;=0,V161,IF(SUM($U$18:U161)&lt;=0,V161,PMT($K$5/360*Días,A161,-R161)))</f>
        <v/>
      </c>
      <c r="X161" s="121" t="str">
        <f>IF($U$258&lt;=0,W161,IF(SUM($U$18:U161)&lt;=0,V161,PMT($K$5/360*Días,No._De_Pagos_con_periodo_de_gracia,-Monto_Crédito)-S161-T161))</f>
        <v/>
      </c>
      <c r="Y161" s="117" t="str">
        <f t="shared" si="76"/>
        <v/>
      </c>
      <c r="Z161" s="61" t="str">
        <f>+IF(A161="","",IF(No._de_Pagos-Tabla!A161+1&lt;=0,"",No._de_Pagos-Tabla!A161+1))</f>
        <v/>
      </c>
      <c r="AA161" s="122" t="str">
        <f t="shared" si="77"/>
        <v/>
      </c>
      <c r="AB161" s="124" t="str">
        <f t="shared" si="83"/>
        <v/>
      </c>
      <c r="AC161" s="124" t="str">
        <f t="shared" si="66"/>
        <v/>
      </c>
      <c r="AD161" s="124" t="str">
        <f t="shared" si="67"/>
        <v/>
      </c>
      <c r="AE161" s="119">
        <f t="shared" si="78"/>
        <v>0</v>
      </c>
      <c r="AF161" s="120" t="str">
        <f t="shared" si="68"/>
        <v/>
      </c>
      <c r="AG161" s="110" t="str">
        <f>IF($U$258&lt;=0,AF161,IF(SUM($U$18:U161)&lt;=0,AF161,PMT($K$5/360*Días,A161,-AA161)))</f>
        <v/>
      </c>
      <c r="AH161" s="121" t="str">
        <f>IF(A161&lt;=Periodos_Gracia,0,IF($U$258&lt;=0,AG161,IF(SUM($U$18:U161)&lt;=0,AF161,PMT($K$5/360*Días,No._de_Pagos,-Monto_Crédito)-AC161-AD161)))</f>
        <v/>
      </c>
      <c r="AI161" s="125" t="str">
        <f t="shared" si="79"/>
        <v/>
      </c>
      <c r="AK161" s="126" t="str">
        <f>IF(A161="","",IF(Periodos_Gracia&gt;0,Tabla!AN161,V161+S161))</f>
        <v/>
      </c>
      <c r="AL161" s="126" t="str">
        <f t="shared" si="69"/>
        <v/>
      </c>
      <c r="AM161" s="61" t="str">
        <f t="shared" si="80"/>
        <v/>
      </c>
      <c r="AN161" s="127" t="str">
        <f>IF(A161="","",IF(A161&lt;=Periodos_Gracia,Tabla!S161,PPMT(Tasa_Anual/360*Días*(1+I.V.A.),Tabla!AM161,No._De_Pagos_con_periodo_de_gracia,-Monto_Crédito)+S161))</f>
        <v/>
      </c>
      <c r="AO161" s="127" t="str">
        <f>IF(A161="","",IF(A161&lt;=Periodos_Gracia,Tabla!AC161,Monto_Crédito/(No._De_Pagos_con_periodo_de_gracia)+AC161))</f>
        <v/>
      </c>
      <c r="AP161" s="117"/>
    </row>
    <row r="162" spans="1:42" x14ac:dyDescent="0.2">
      <c r="A162" s="107" t="str">
        <f>IF(A161&lt;Parámetros!$E$6,A161+1,"")</f>
        <v/>
      </c>
      <c r="B162" s="108" t="str">
        <f t="shared" si="81"/>
        <v/>
      </c>
      <c r="C162" s="108" t="str">
        <f t="shared" si="57"/>
        <v/>
      </c>
      <c r="D162" s="108" t="str">
        <f t="shared" si="58"/>
        <v/>
      </c>
      <c r="E162" s="108" t="str">
        <f t="shared" si="59"/>
        <v/>
      </c>
      <c r="F162" s="108" t="str">
        <f t="shared" si="60"/>
        <v/>
      </c>
      <c r="G162" s="114" t="str">
        <f t="shared" si="70"/>
        <v/>
      </c>
      <c r="H162" s="115">
        <f t="shared" si="71"/>
        <v>0</v>
      </c>
      <c r="I162" s="108" t="str">
        <f t="shared" si="82"/>
        <v/>
      </c>
      <c r="J162" s="108" t="str">
        <f t="shared" si="61"/>
        <v/>
      </c>
      <c r="K162" s="108" t="str">
        <f t="shared" si="62"/>
        <v/>
      </c>
      <c r="L162" s="108" t="str">
        <f t="shared" si="63"/>
        <v/>
      </c>
      <c r="M162" s="108" t="str">
        <f t="shared" si="72"/>
        <v/>
      </c>
      <c r="N162" s="114" t="str">
        <f t="shared" si="73"/>
        <v/>
      </c>
      <c r="O162" s="60">
        <v>0</v>
      </c>
      <c r="P162" s="116">
        <f t="shared" si="74"/>
        <v>0</v>
      </c>
      <c r="R162" s="117" t="str">
        <f t="shared" si="84"/>
        <v/>
      </c>
      <c r="S162" s="118" t="str">
        <f t="shared" si="64"/>
        <v/>
      </c>
      <c r="T162" s="118" t="str">
        <f t="shared" si="65"/>
        <v/>
      </c>
      <c r="U162" s="119">
        <f t="shared" si="75"/>
        <v>0</v>
      </c>
      <c r="V162" s="120" t="str">
        <f>IF(A162="","",IF(A162&lt;=Periodos_Gracia,0,PPMT(Tasa_Anual/360*Días*(1+I.V.A.),Tabla!AM162,No._De_Pagos_con_periodo_de_gracia,-Monto_Crédito)))</f>
        <v/>
      </c>
      <c r="W162" s="110" t="str">
        <f>IF($U$258&lt;=0,V162,IF(SUM($U$18:U162)&lt;=0,V162,PMT($K$5/360*Días,A162,-R162)))</f>
        <v/>
      </c>
      <c r="X162" s="121" t="str">
        <f>IF($U$258&lt;=0,W162,IF(SUM($U$18:U162)&lt;=0,V162,PMT($K$5/360*Días,No._De_Pagos_con_periodo_de_gracia,-Monto_Crédito)-S162-T162))</f>
        <v/>
      </c>
      <c r="Y162" s="117" t="str">
        <f t="shared" si="76"/>
        <v/>
      </c>
      <c r="Z162" s="61" t="str">
        <f>+IF(A162="","",IF(No._de_Pagos-Tabla!A162+1&lt;=0,"",No._de_Pagos-Tabla!A162+1))</f>
        <v/>
      </c>
      <c r="AA162" s="122" t="str">
        <f t="shared" si="77"/>
        <v/>
      </c>
      <c r="AB162" s="124" t="str">
        <f t="shared" si="83"/>
        <v/>
      </c>
      <c r="AC162" s="124" t="str">
        <f t="shared" si="66"/>
        <v/>
      </c>
      <c r="AD162" s="124" t="str">
        <f t="shared" si="67"/>
        <v/>
      </c>
      <c r="AE162" s="119">
        <f t="shared" si="78"/>
        <v>0</v>
      </c>
      <c r="AF162" s="120" t="str">
        <f t="shared" si="68"/>
        <v/>
      </c>
      <c r="AG162" s="110" t="str">
        <f>IF($U$258&lt;=0,AF162,IF(SUM($U$18:U162)&lt;=0,AF162,PMT($K$5/360*Días,A162,-AA162)))</f>
        <v/>
      </c>
      <c r="AH162" s="121" t="str">
        <f>IF(A162&lt;=Periodos_Gracia,0,IF($U$258&lt;=0,AG162,IF(SUM($U$18:U162)&lt;=0,AF162,PMT($K$5/360*Días,No._de_Pagos,-Monto_Crédito)-AC162-AD162)))</f>
        <v/>
      </c>
      <c r="AI162" s="125" t="str">
        <f t="shared" si="79"/>
        <v/>
      </c>
      <c r="AK162" s="126" t="str">
        <f>IF(A162="","",IF(Periodos_Gracia&gt;0,Tabla!AN162,V162+S162))</f>
        <v/>
      </c>
      <c r="AL162" s="126" t="str">
        <f t="shared" si="69"/>
        <v/>
      </c>
      <c r="AM162" s="61" t="str">
        <f t="shared" si="80"/>
        <v/>
      </c>
      <c r="AN162" s="127" t="str">
        <f>IF(A162="","",IF(A162&lt;=Periodos_Gracia,Tabla!S162,PPMT(Tasa_Anual/360*Días*(1+I.V.A.),Tabla!AM162,No._De_Pagos_con_periodo_de_gracia,-Monto_Crédito)+S162))</f>
        <v/>
      </c>
      <c r="AO162" s="127" t="str">
        <f>IF(A162="","",IF(A162&lt;=Periodos_Gracia,Tabla!AC162,Monto_Crédito/(No._De_Pagos_con_periodo_de_gracia)+AC162))</f>
        <v/>
      </c>
      <c r="AP162" s="117"/>
    </row>
    <row r="163" spans="1:42" x14ac:dyDescent="0.2">
      <c r="A163" s="107" t="str">
        <f>IF(A162&lt;Parámetros!$E$6,A162+1,"")</f>
        <v/>
      </c>
      <c r="B163" s="108" t="str">
        <f t="shared" si="81"/>
        <v/>
      </c>
      <c r="C163" s="108" t="str">
        <f t="shared" si="57"/>
        <v/>
      </c>
      <c r="D163" s="108" t="str">
        <f t="shared" si="58"/>
        <v/>
      </c>
      <c r="E163" s="108" t="str">
        <f t="shared" si="59"/>
        <v/>
      </c>
      <c r="F163" s="108" t="str">
        <f t="shared" si="60"/>
        <v/>
      </c>
      <c r="G163" s="114" t="str">
        <f t="shared" si="70"/>
        <v/>
      </c>
      <c r="H163" s="115">
        <f t="shared" si="71"/>
        <v>0</v>
      </c>
      <c r="I163" s="108" t="str">
        <f t="shared" si="82"/>
        <v/>
      </c>
      <c r="J163" s="108" t="str">
        <f t="shared" si="61"/>
        <v/>
      </c>
      <c r="K163" s="108" t="str">
        <f t="shared" si="62"/>
        <v/>
      </c>
      <c r="L163" s="108" t="str">
        <f t="shared" si="63"/>
        <v/>
      </c>
      <c r="M163" s="108" t="str">
        <f t="shared" si="72"/>
        <v/>
      </c>
      <c r="N163" s="114" t="str">
        <f t="shared" si="73"/>
        <v/>
      </c>
      <c r="O163" s="60">
        <v>0</v>
      </c>
      <c r="P163" s="116">
        <f t="shared" si="74"/>
        <v>0</v>
      </c>
      <c r="R163" s="117" t="str">
        <f t="shared" si="84"/>
        <v/>
      </c>
      <c r="S163" s="118" t="str">
        <f t="shared" si="64"/>
        <v/>
      </c>
      <c r="T163" s="118" t="str">
        <f t="shared" si="65"/>
        <v/>
      </c>
      <c r="U163" s="119">
        <f t="shared" si="75"/>
        <v>0</v>
      </c>
      <c r="V163" s="120" t="str">
        <f>IF(A163="","",IF(A163&lt;=Periodos_Gracia,0,PPMT(Tasa_Anual/360*Días*(1+I.V.A.),Tabla!AM163,No._De_Pagos_con_periodo_de_gracia,-Monto_Crédito)))</f>
        <v/>
      </c>
      <c r="W163" s="110" t="str">
        <f>IF($U$258&lt;=0,V163,IF(SUM($U$18:U163)&lt;=0,V163,PMT($K$5/360*Días,A163,-R163)))</f>
        <v/>
      </c>
      <c r="X163" s="121" t="str">
        <f>IF($U$258&lt;=0,W163,IF(SUM($U$18:U163)&lt;=0,V163,PMT($K$5/360*Días,No._De_Pagos_con_periodo_de_gracia,-Monto_Crédito)-S163-T163))</f>
        <v/>
      </c>
      <c r="Y163" s="117" t="str">
        <f t="shared" si="76"/>
        <v/>
      </c>
      <c r="Z163" s="61" t="str">
        <f>+IF(A163="","",IF(No._de_Pagos-Tabla!A163+1&lt;=0,"",No._de_Pagos-Tabla!A163+1))</f>
        <v/>
      </c>
      <c r="AA163" s="122" t="str">
        <f t="shared" si="77"/>
        <v/>
      </c>
      <c r="AB163" s="124" t="str">
        <f t="shared" si="83"/>
        <v/>
      </c>
      <c r="AC163" s="124" t="str">
        <f t="shared" si="66"/>
        <v/>
      </c>
      <c r="AD163" s="124" t="str">
        <f t="shared" si="67"/>
        <v/>
      </c>
      <c r="AE163" s="119">
        <f t="shared" si="78"/>
        <v>0</v>
      </c>
      <c r="AF163" s="120" t="str">
        <f t="shared" si="68"/>
        <v/>
      </c>
      <c r="AG163" s="110" t="str">
        <f>IF($U$258&lt;=0,AF163,IF(SUM($U$18:U163)&lt;=0,AF163,PMT($K$5/360*Días,A163,-AA163)))</f>
        <v/>
      </c>
      <c r="AH163" s="121" t="str">
        <f>IF(A163&lt;=Periodos_Gracia,0,IF($U$258&lt;=0,AG163,IF(SUM($U$18:U163)&lt;=0,AF163,PMT($K$5/360*Días,No._de_Pagos,-Monto_Crédito)-AC163-AD163)))</f>
        <v/>
      </c>
      <c r="AI163" s="125" t="str">
        <f t="shared" si="79"/>
        <v/>
      </c>
      <c r="AK163" s="126" t="str">
        <f>IF(A163="","",IF(Periodos_Gracia&gt;0,Tabla!AN163,V163+S163))</f>
        <v/>
      </c>
      <c r="AL163" s="126" t="str">
        <f t="shared" si="69"/>
        <v/>
      </c>
      <c r="AM163" s="61" t="str">
        <f t="shared" si="80"/>
        <v/>
      </c>
      <c r="AN163" s="127" t="str">
        <f>IF(A163="","",IF(A163&lt;=Periodos_Gracia,Tabla!S163,PPMT(Tasa_Anual/360*Días*(1+I.V.A.),Tabla!AM163,No._De_Pagos_con_periodo_de_gracia,-Monto_Crédito)+S163))</f>
        <v/>
      </c>
      <c r="AO163" s="127" t="str">
        <f>IF(A163="","",IF(A163&lt;=Periodos_Gracia,Tabla!AC163,Monto_Crédito/(No._De_Pagos_con_periodo_de_gracia)+AC163))</f>
        <v/>
      </c>
      <c r="AP163" s="117"/>
    </row>
    <row r="164" spans="1:42" x14ac:dyDescent="0.2">
      <c r="A164" s="107" t="str">
        <f>IF(A163&lt;Parámetros!$E$6,A163+1,"")</f>
        <v/>
      </c>
      <c r="B164" s="108" t="str">
        <f t="shared" si="81"/>
        <v/>
      </c>
      <c r="C164" s="108" t="str">
        <f t="shared" si="57"/>
        <v/>
      </c>
      <c r="D164" s="108" t="str">
        <f t="shared" si="58"/>
        <v/>
      </c>
      <c r="E164" s="108" t="str">
        <f t="shared" si="59"/>
        <v/>
      </c>
      <c r="F164" s="108" t="str">
        <f t="shared" si="60"/>
        <v/>
      </c>
      <c r="G164" s="114" t="str">
        <f t="shared" si="70"/>
        <v/>
      </c>
      <c r="H164" s="115">
        <f t="shared" si="71"/>
        <v>0</v>
      </c>
      <c r="I164" s="108" t="str">
        <f t="shared" si="82"/>
        <v/>
      </c>
      <c r="J164" s="108" t="str">
        <f t="shared" si="61"/>
        <v/>
      </c>
      <c r="K164" s="108" t="str">
        <f t="shared" si="62"/>
        <v/>
      </c>
      <c r="L164" s="108" t="str">
        <f t="shared" si="63"/>
        <v/>
      </c>
      <c r="M164" s="108" t="str">
        <f t="shared" si="72"/>
        <v/>
      </c>
      <c r="N164" s="114" t="str">
        <f t="shared" si="73"/>
        <v/>
      </c>
      <c r="O164" s="60">
        <v>0</v>
      </c>
      <c r="P164" s="116">
        <f t="shared" si="74"/>
        <v>0</v>
      </c>
      <c r="R164" s="117" t="str">
        <f t="shared" si="84"/>
        <v/>
      </c>
      <c r="S164" s="118" t="str">
        <f t="shared" si="64"/>
        <v/>
      </c>
      <c r="T164" s="118" t="str">
        <f t="shared" si="65"/>
        <v/>
      </c>
      <c r="U164" s="119">
        <f t="shared" si="75"/>
        <v>0</v>
      </c>
      <c r="V164" s="120" t="str">
        <f>IF(A164="","",IF(A164&lt;=Periodos_Gracia,0,PPMT(Tasa_Anual/360*Días*(1+I.V.A.),Tabla!AM164,No._De_Pagos_con_periodo_de_gracia,-Monto_Crédito)))</f>
        <v/>
      </c>
      <c r="W164" s="110" t="str">
        <f>IF($U$258&lt;=0,V164,IF(SUM($U$18:U164)&lt;=0,V164,PMT($K$5/360*Días,A164,-R164)))</f>
        <v/>
      </c>
      <c r="X164" s="121" t="str">
        <f>IF($U$258&lt;=0,W164,IF(SUM($U$18:U164)&lt;=0,V164,PMT($K$5/360*Días,No._De_Pagos_con_periodo_de_gracia,-Monto_Crédito)-S164-T164))</f>
        <v/>
      </c>
      <c r="Y164" s="117" t="str">
        <f t="shared" si="76"/>
        <v/>
      </c>
      <c r="Z164" s="61" t="str">
        <f>+IF(A164="","",IF(No._de_Pagos-Tabla!A164+1&lt;=0,"",No._de_Pagos-Tabla!A164+1))</f>
        <v/>
      </c>
      <c r="AA164" s="122" t="str">
        <f t="shared" si="77"/>
        <v/>
      </c>
      <c r="AB164" s="124" t="str">
        <f t="shared" si="83"/>
        <v/>
      </c>
      <c r="AC164" s="124" t="str">
        <f t="shared" si="66"/>
        <v/>
      </c>
      <c r="AD164" s="124" t="str">
        <f t="shared" si="67"/>
        <v/>
      </c>
      <c r="AE164" s="119">
        <f t="shared" si="78"/>
        <v>0</v>
      </c>
      <c r="AF164" s="120" t="str">
        <f t="shared" si="68"/>
        <v/>
      </c>
      <c r="AG164" s="110" t="str">
        <f>IF($U$258&lt;=0,AF164,IF(SUM($U$18:U164)&lt;=0,AF164,PMT($K$5/360*Días,A164,-AA164)))</f>
        <v/>
      </c>
      <c r="AH164" s="121" t="str">
        <f>IF(A164&lt;=Periodos_Gracia,0,IF($U$258&lt;=0,AG164,IF(SUM($U$18:U164)&lt;=0,AF164,PMT($K$5/360*Días,No._de_Pagos,-Monto_Crédito)-AC164-AD164)))</f>
        <v/>
      </c>
      <c r="AI164" s="125" t="str">
        <f t="shared" si="79"/>
        <v/>
      </c>
      <c r="AK164" s="126" t="str">
        <f>IF(A164="","",IF(Periodos_Gracia&gt;0,Tabla!AN164,V164+S164))</f>
        <v/>
      </c>
      <c r="AL164" s="126" t="str">
        <f t="shared" si="69"/>
        <v/>
      </c>
      <c r="AM164" s="61" t="str">
        <f t="shared" si="80"/>
        <v/>
      </c>
      <c r="AN164" s="127" t="str">
        <f>IF(A164="","",IF(A164&lt;=Periodos_Gracia,Tabla!S164,PPMT(Tasa_Anual/360*Días*(1+I.V.A.),Tabla!AM164,No._De_Pagos_con_periodo_de_gracia,-Monto_Crédito)+S164))</f>
        <v/>
      </c>
      <c r="AO164" s="127" t="str">
        <f>IF(A164="","",IF(A164&lt;=Periodos_Gracia,Tabla!AC164,Monto_Crédito/(No._De_Pagos_con_periodo_de_gracia)+AC164))</f>
        <v/>
      </c>
      <c r="AP164" s="117"/>
    </row>
    <row r="165" spans="1:42" x14ac:dyDescent="0.2">
      <c r="A165" s="107" t="str">
        <f>IF(A164&lt;Parámetros!$E$6,A164+1,"")</f>
        <v/>
      </c>
      <c r="B165" s="108" t="str">
        <f t="shared" si="81"/>
        <v/>
      </c>
      <c r="C165" s="108" t="str">
        <f t="shared" si="57"/>
        <v/>
      </c>
      <c r="D165" s="108" t="str">
        <f t="shared" si="58"/>
        <v/>
      </c>
      <c r="E165" s="108" t="str">
        <f t="shared" si="59"/>
        <v/>
      </c>
      <c r="F165" s="108" t="str">
        <f t="shared" si="60"/>
        <v/>
      </c>
      <c r="G165" s="114" t="str">
        <f t="shared" si="70"/>
        <v/>
      </c>
      <c r="H165" s="115">
        <f t="shared" si="71"/>
        <v>0</v>
      </c>
      <c r="I165" s="108" t="str">
        <f t="shared" si="82"/>
        <v/>
      </c>
      <c r="J165" s="108" t="str">
        <f t="shared" si="61"/>
        <v/>
      </c>
      <c r="K165" s="108" t="str">
        <f t="shared" si="62"/>
        <v/>
      </c>
      <c r="L165" s="108" t="str">
        <f t="shared" si="63"/>
        <v/>
      </c>
      <c r="M165" s="108" t="str">
        <f t="shared" si="72"/>
        <v/>
      </c>
      <c r="N165" s="114" t="str">
        <f t="shared" si="73"/>
        <v/>
      </c>
      <c r="O165" s="60">
        <v>0</v>
      </c>
      <c r="P165" s="116">
        <f t="shared" si="74"/>
        <v>0</v>
      </c>
      <c r="R165" s="117" t="str">
        <f t="shared" si="84"/>
        <v/>
      </c>
      <c r="S165" s="118" t="str">
        <f t="shared" si="64"/>
        <v/>
      </c>
      <c r="T165" s="118" t="str">
        <f t="shared" si="65"/>
        <v/>
      </c>
      <c r="U165" s="119">
        <f t="shared" si="75"/>
        <v>0</v>
      </c>
      <c r="V165" s="120" t="str">
        <f>IF(A165="","",IF(A165&lt;=Periodos_Gracia,0,PPMT(Tasa_Anual/360*Días*(1+I.V.A.),Tabla!AM165,No._De_Pagos_con_periodo_de_gracia,-Monto_Crédito)))</f>
        <v/>
      </c>
      <c r="W165" s="110" t="str">
        <f>IF($U$258&lt;=0,V165,IF(SUM($U$18:U165)&lt;=0,V165,PMT($K$5/360*Días,A165,-R165)))</f>
        <v/>
      </c>
      <c r="X165" s="121" t="str">
        <f>IF($U$258&lt;=0,W165,IF(SUM($U$18:U165)&lt;=0,V165,PMT($K$5/360*Días,No._De_Pagos_con_periodo_de_gracia,-Monto_Crédito)-S165-T165))</f>
        <v/>
      </c>
      <c r="Y165" s="117" t="str">
        <f t="shared" si="76"/>
        <v/>
      </c>
      <c r="Z165" s="61" t="str">
        <f>+IF(A165="","",IF(No._de_Pagos-Tabla!A165+1&lt;=0,"",No._de_Pagos-Tabla!A165+1))</f>
        <v/>
      </c>
      <c r="AA165" s="122" t="str">
        <f t="shared" si="77"/>
        <v/>
      </c>
      <c r="AB165" s="124" t="str">
        <f t="shared" si="83"/>
        <v/>
      </c>
      <c r="AC165" s="124" t="str">
        <f t="shared" si="66"/>
        <v/>
      </c>
      <c r="AD165" s="124" t="str">
        <f t="shared" si="67"/>
        <v/>
      </c>
      <c r="AE165" s="119">
        <f t="shared" si="78"/>
        <v>0</v>
      </c>
      <c r="AF165" s="120" t="str">
        <f t="shared" si="68"/>
        <v/>
      </c>
      <c r="AG165" s="110" t="str">
        <f>IF($U$258&lt;=0,AF165,IF(SUM($U$18:U165)&lt;=0,AF165,PMT($K$5/360*Días,A165,-AA165)))</f>
        <v/>
      </c>
      <c r="AH165" s="121" t="str">
        <f>IF(A165&lt;=Periodos_Gracia,0,IF($U$258&lt;=0,AG165,IF(SUM($U$18:U165)&lt;=0,AF165,PMT($K$5/360*Días,No._de_Pagos,-Monto_Crédito)-AC165-AD165)))</f>
        <v/>
      </c>
      <c r="AI165" s="125" t="str">
        <f t="shared" si="79"/>
        <v/>
      </c>
      <c r="AK165" s="126" t="str">
        <f>IF(A165="","",IF(Periodos_Gracia&gt;0,Tabla!AN165,V165+S165))</f>
        <v/>
      </c>
      <c r="AL165" s="126" t="str">
        <f t="shared" si="69"/>
        <v/>
      </c>
      <c r="AM165" s="61" t="str">
        <f t="shared" si="80"/>
        <v/>
      </c>
      <c r="AN165" s="127" t="str">
        <f>IF(A165="","",IF(A165&lt;=Periodos_Gracia,Tabla!S165,PPMT(Tasa_Anual/360*Días*(1+I.V.A.),Tabla!AM165,No._De_Pagos_con_periodo_de_gracia,-Monto_Crédito)+S165))</f>
        <v/>
      </c>
      <c r="AO165" s="127" t="str">
        <f>IF(A165="","",IF(A165&lt;=Periodos_Gracia,Tabla!AC165,Monto_Crédito/(No._De_Pagos_con_periodo_de_gracia)+AC165))</f>
        <v/>
      </c>
      <c r="AP165" s="117"/>
    </row>
    <row r="166" spans="1:42" x14ac:dyDescent="0.2">
      <c r="A166" s="107" t="str">
        <f>IF(A165&lt;Parámetros!$E$6,A165+1,"")</f>
        <v/>
      </c>
      <c r="B166" s="108" t="str">
        <f t="shared" si="81"/>
        <v/>
      </c>
      <c r="C166" s="108" t="str">
        <f t="shared" si="57"/>
        <v/>
      </c>
      <c r="D166" s="108" t="str">
        <f t="shared" si="58"/>
        <v/>
      </c>
      <c r="E166" s="108" t="str">
        <f t="shared" si="59"/>
        <v/>
      </c>
      <c r="F166" s="108" t="str">
        <f t="shared" si="60"/>
        <v/>
      </c>
      <c r="G166" s="114" t="str">
        <f t="shared" si="70"/>
        <v/>
      </c>
      <c r="H166" s="115">
        <f t="shared" si="71"/>
        <v>0</v>
      </c>
      <c r="I166" s="108" t="str">
        <f t="shared" si="82"/>
        <v/>
      </c>
      <c r="J166" s="108" t="str">
        <f t="shared" si="61"/>
        <v/>
      </c>
      <c r="K166" s="108" t="str">
        <f t="shared" si="62"/>
        <v/>
      </c>
      <c r="L166" s="108" t="str">
        <f t="shared" si="63"/>
        <v/>
      </c>
      <c r="M166" s="108" t="str">
        <f t="shared" si="72"/>
        <v/>
      </c>
      <c r="N166" s="114" t="str">
        <f t="shared" si="73"/>
        <v/>
      </c>
      <c r="O166" s="60">
        <v>0</v>
      </c>
      <c r="P166" s="116">
        <f t="shared" si="74"/>
        <v>0</v>
      </c>
      <c r="R166" s="117" t="str">
        <f t="shared" si="84"/>
        <v/>
      </c>
      <c r="S166" s="118" t="str">
        <f t="shared" si="64"/>
        <v/>
      </c>
      <c r="T166" s="118" t="str">
        <f t="shared" si="65"/>
        <v/>
      </c>
      <c r="U166" s="119">
        <f t="shared" si="75"/>
        <v>0</v>
      </c>
      <c r="V166" s="120" t="str">
        <f>IF(A166="","",IF(A166&lt;=Periodos_Gracia,0,PPMT(Tasa_Anual/360*Días*(1+I.V.A.),Tabla!AM166,No._De_Pagos_con_periodo_de_gracia,-Monto_Crédito)))</f>
        <v/>
      </c>
      <c r="W166" s="110" t="str">
        <f>IF($U$258&lt;=0,V166,IF(SUM($U$18:U166)&lt;=0,V166,PMT($K$5/360*Días,A166,-R166)))</f>
        <v/>
      </c>
      <c r="X166" s="121" t="str">
        <f>IF($U$258&lt;=0,W166,IF(SUM($U$18:U166)&lt;=0,V166,PMT($K$5/360*Días,No._De_Pagos_con_periodo_de_gracia,-Monto_Crédito)-S166-T166))</f>
        <v/>
      </c>
      <c r="Y166" s="117" t="str">
        <f t="shared" si="76"/>
        <v/>
      </c>
      <c r="Z166" s="61" t="str">
        <f>+IF(A166="","",IF(No._de_Pagos-Tabla!A166+1&lt;=0,"",No._de_Pagos-Tabla!A166+1))</f>
        <v/>
      </c>
      <c r="AA166" s="122" t="str">
        <f t="shared" si="77"/>
        <v/>
      </c>
      <c r="AB166" s="124" t="str">
        <f t="shared" si="83"/>
        <v/>
      </c>
      <c r="AC166" s="124" t="str">
        <f t="shared" si="66"/>
        <v/>
      </c>
      <c r="AD166" s="124" t="str">
        <f t="shared" si="67"/>
        <v/>
      </c>
      <c r="AE166" s="119">
        <f t="shared" si="78"/>
        <v>0</v>
      </c>
      <c r="AF166" s="120" t="str">
        <f t="shared" si="68"/>
        <v/>
      </c>
      <c r="AG166" s="110" t="str">
        <f>IF($U$258&lt;=0,AF166,IF(SUM($U$18:U166)&lt;=0,AF166,PMT($K$5/360*Días,A166,-AA166)))</f>
        <v/>
      </c>
      <c r="AH166" s="121" t="str">
        <f>IF(A166&lt;=Periodos_Gracia,0,IF($U$258&lt;=0,AG166,IF(SUM($U$18:U166)&lt;=0,AF166,PMT($K$5/360*Días,No._de_Pagos,-Monto_Crédito)-AC166-AD166)))</f>
        <v/>
      </c>
      <c r="AI166" s="125" t="str">
        <f t="shared" si="79"/>
        <v/>
      </c>
      <c r="AK166" s="126" t="str">
        <f>IF(A166="","",IF(Periodos_Gracia&gt;0,Tabla!AN166,V166+S166))</f>
        <v/>
      </c>
      <c r="AL166" s="126" t="str">
        <f t="shared" si="69"/>
        <v/>
      </c>
      <c r="AM166" s="61" t="str">
        <f t="shared" si="80"/>
        <v/>
      </c>
      <c r="AN166" s="127" t="str">
        <f>IF(A166="","",IF(A166&lt;=Periodos_Gracia,Tabla!S166,PPMT(Tasa_Anual/360*Días*(1+I.V.A.),Tabla!AM166,No._De_Pagos_con_periodo_de_gracia,-Monto_Crédito)+S166))</f>
        <v/>
      </c>
      <c r="AO166" s="127" t="str">
        <f>IF(A166="","",IF(A166&lt;=Periodos_Gracia,Tabla!AC166,Monto_Crédito/(No._De_Pagos_con_periodo_de_gracia)+AC166))</f>
        <v/>
      </c>
      <c r="AP166" s="117"/>
    </row>
    <row r="167" spans="1:42" x14ac:dyDescent="0.2">
      <c r="A167" s="107" t="str">
        <f>IF(A166&lt;Parámetros!$E$6,A166+1,"")</f>
        <v/>
      </c>
      <c r="B167" s="108" t="str">
        <f t="shared" si="81"/>
        <v/>
      </c>
      <c r="C167" s="108" t="str">
        <f t="shared" si="57"/>
        <v/>
      </c>
      <c r="D167" s="108" t="str">
        <f t="shared" si="58"/>
        <v/>
      </c>
      <c r="E167" s="108" t="str">
        <f t="shared" si="59"/>
        <v/>
      </c>
      <c r="F167" s="108" t="str">
        <f t="shared" si="60"/>
        <v/>
      </c>
      <c r="G167" s="114" t="str">
        <f t="shared" si="70"/>
        <v/>
      </c>
      <c r="H167" s="115">
        <f t="shared" si="71"/>
        <v>0</v>
      </c>
      <c r="I167" s="108" t="str">
        <f t="shared" si="82"/>
        <v/>
      </c>
      <c r="J167" s="108" t="str">
        <f t="shared" si="61"/>
        <v/>
      </c>
      <c r="K167" s="108" t="str">
        <f t="shared" si="62"/>
        <v/>
      </c>
      <c r="L167" s="108" t="str">
        <f t="shared" si="63"/>
        <v/>
      </c>
      <c r="M167" s="108" t="str">
        <f t="shared" si="72"/>
        <v/>
      </c>
      <c r="N167" s="114" t="str">
        <f t="shared" si="73"/>
        <v/>
      </c>
      <c r="O167" s="60">
        <v>0</v>
      </c>
      <c r="P167" s="116">
        <f t="shared" si="74"/>
        <v>0</v>
      </c>
      <c r="R167" s="117" t="str">
        <f t="shared" si="84"/>
        <v/>
      </c>
      <c r="S167" s="118" t="str">
        <f t="shared" si="64"/>
        <v/>
      </c>
      <c r="T167" s="118" t="str">
        <f t="shared" si="65"/>
        <v/>
      </c>
      <c r="U167" s="119">
        <f t="shared" si="75"/>
        <v>0</v>
      </c>
      <c r="V167" s="120" t="str">
        <f>IF(A167="","",IF(A167&lt;=Periodos_Gracia,0,PPMT(Tasa_Anual/360*Días*(1+I.V.A.),Tabla!AM167,No._De_Pagos_con_periodo_de_gracia,-Monto_Crédito)))</f>
        <v/>
      </c>
      <c r="W167" s="110" t="str">
        <f>IF($U$258&lt;=0,V167,IF(SUM($U$18:U167)&lt;=0,V167,PMT($K$5/360*Días,A167,-R167)))</f>
        <v/>
      </c>
      <c r="X167" s="121" t="str">
        <f>IF($U$258&lt;=0,W167,IF(SUM($U$18:U167)&lt;=0,V167,PMT($K$5/360*Días,No._De_Pagos_con_periodo_de_gracia,-Monto_Crédito)-S167-T167))</f>
        <v/>
      </c>
      <c r="Y167" s="117" t="str">
        <f t="shared" si="76"/>
        <v/>
      </c>
      <c r="Z167" s="61" t="str">
        <f>+IF(A167="","",IF(No._de_Pagos-Tabla!A167+1&lt;=0,"",No._de_Pagos-Tabla!A167+1))</f>
        <v/>
      </c>
      <c r="AA167" s="122" t="str">
        <f t="shared" si="77"/>
        <v/>
      </c>
      <c r="AB167" s="124" t="str">
        <f t="shared" si="83"/>
        <v/>
      </c>
      <c r="AC167" s="124" t="str">
        <f t="shared" si="66"/>
        <v/>
      </c>
      <c r="AD167" s="124" t="str">
        <f t="shared" si="67"/>
        <v/>
      </c>
      <c r="AE167" s="119">
        <f t="shared" si="78"/>
        <v>0</v>
      </c>
      <c r="AF167" s="120" t="str">
        <f t="shared" si="68"/>
        <v/>
      </c>
      <c r="AG167" s="110" t="str">
        <f>IF($U$258&lt;=0,AF167,IF(SUM($U$18:U167)&lt;=0,AF167,PMT($K$5/360*Días,A167,-AA167)))</f>
        <v/>
      </c>
      <c r="AH167" s="121" t="str">
        <f>IF(A167&lt;=Periodos_Gracia,0,IF($U$258&lt;=0,AG167,IF(SUM($U$18:U167)&lt;=0,AF167,PMT($K$5/360*Días,No._de_Pagos,-Monto_Crédito)-AC167-AD167)))</f>
        <v/>
      </c>
      <c r="AI167" s="125" t="str">
        <f t="shared" si="79"/>
        <v/>
      </c>
      <c r="AK167" s="126" t="str">
        <f>IF(A167="","",IF(Periodos_Gracia&gt;0,Tabla!AN167,V167+S167))</f>
        <v/>
      </c>
      <c r="AL167" s="126" t="str">
        <f t="shared" si="69"/>
        <v/>
      </c>
      <c r="AM167" s="61" t="str">
        <f t="shared" si="80"/>
        <v/>
      </c>
      <c r="AN167" s="127" t="str">
        <f>IF(A167="","",IF(A167&lt;=Periodos_Gracia,Tabla!S167,PPMT(Tasa_Anual/360*Días*(1+I.V.A.),Tabla!AM167,No._De_Pagos_con_periodo_de_gracia,-Monto_Crédito)+S167))</f>
        <v/>
      </c>
      <c r="AO167" s="127" t="str">
        <f>IF(A167="","",IF(A167&lt;=Periodos_Gracia,Tabla!AC167,Monto_Crédito/(No._De_Pagos_con_periodo_de_gracia)+AC167))</f>
        <v/>
      </c>
      <c r="AP167" s="117"/>
    </row>
    <row r="168" spans="1:42" x14ac:dyDescent="0.2">
      <c r="A168" s="107" t="str">
        <f>IF(A167&lt;Parámetros!$E$6,A167+1,"")</f>
        <v/>
      </c>
      <c r="B168" s="108" t="str">
        <f t="shared" si="81"/>
        <v/>
      </c>
      <c r="C168" s="108" t="str">
        <f t="shared" si="57"/>
        <v/>
      </c>
      <c r="D168" s="108" t="str">
        <f t="shared" si="58"/>
        <v/>
      </c>
      <c r="E168" s="108" t="str">
        <f t="shared" si="59"/>
        <v/>
      </c>
      <c r="F168" s="108" t="str">
        <f t="shared" si="60"/>
        <v/>
      </c>
      <c r="G168" s="114" t="str">
        <f t="shared" si="70"/>
        <v/>
      </c>
      <c r="H168" s="115">
        <f t="shared" si="71"/>
        <v>0</v>
      </c>
      <c r="I168" s="108" t="str">
        <f t="shared" si="82"/>
        <v/>
      </c>
      <c r="J168" s="108" t="str">
        <f t="shared" si="61"/>
        <v/>
      </c>
      <c r="K168" s="108" t="str">
        <f t="shared" si="62"/>
        <v/>
      </c>
      <c r="L168" s="108" t="str">
        <f t="shared" si="63"/>
        <v/>
      </c>
      <c r="M168" s="108" t="str">
        <f t="shared" si="72"/>
        <v/>
      </c>
      <c r="N168" s="114" t="str">
        <f t="shared" si="73"/>
        <v/>
      </c>
      <c r="O168" s="60">
        <v>0</v>
      </c>
      <c r="P168" s="116">
        <f t="shared" si="74"/>
        <v>0</v>
      </c>
      <c r="R168" s="117" t="str">
        <f t="shared" si="84"/>
        <v/>
      </c>
      <c r="S168" s="118" t="str">
        <f t="shared" si="64"/>
        <v/>
      </c>
      <c r="T168" s="118" t="str">
        <f t="shared" si="65"/>
        <v/>
      </c>
      <c r="U168" s="119">
        <f t="shared" si="75"/>
        <v>0</v>
      </c>
      <c r="V168" s="120" t="str">
        <f>IF(A168="","",IF(A168&lt;=Periodos_Gracia,0,PPMT(Tasa_Anual/360*Días*(1+I.V.A.),Tabla!AM168,No._De_Pagos_con_periodo_de_gracia,-Monto_Crédito)))</f>
        <v/>
      </c>
      <c r="W168" s="110" t="str">
        <f>IF($U$258&lt;=0,V168,IF(SUM($U$18:U168)&lt;=0,V168,PMT($K$5/360*Días,A168,-R168)))</f>
        <v/>
      </c>
      <c r="X168" s="121" t="str">
        <f>IF($U$258&lt;=0,W168,IF(SUM($U$18:U168)&lt;=0,V168,PMT($K$5/360*Días,No._De_Pagos_con_periodo_de_gracia,-Monto_Crédito)-S168-T168))</f>
        <v/>
      </c>
      <c r="Y168" s="117" t="str">
        <f t="shared" si="76"/>
        <v/>
      </c>
      <c r="Z168" s="61" t="str">
        <f>+IF(A168="","",IF(No._de_Pagos-Tabla!A168+1&lt;=0,"",No._de_Pagos-Tabla!A168+1))</f>
        <v/>
      </c>
      <c r="AA168" s="122" t="str">
        <f t="shared" si="77"/>
        <v/>
      </c>
      <c r="AB168" s="124" t="str">
        <f t="shared" si="83"/>
        <v/>
      </c>
      <c r="AC168" s="124" t="str">
        <f t="shared" si="66"/>
        <v/>
      </c>
      <c r="AD168" s="124" t="str">
        <f t="shared" si="67"/>
        <v/>
      </c>
      <c r="AE168" s="119">
        <f t="shared" si="78"/>
        <v>0</v>
      </c>
      <c r="AF168" s="120" t="str">
        <f t="shared" si="68"/>
        <v/>
      </c>
      <c r="AG168" s="110" t="str">
        <f>IF($U$258&lt;=0,AF168,IF(SUM($U$18:U168)&lt;=0,AF168,PMT($K$5/360*Días,A168,-AA168)))</f>
        <v/>
      </c>
      <c r="AH168" s="121" t="str">
        <f>IF(A168&lt;=Periodos_Gracia,0,IF($U$258&lt;=0,AG168,IF(SUM($U$18:U168)&lt;=0,AF168,PMT($K$5/360*Días,No._de_Pagos,-Monto_Crédito)-AC168-AD168)))</f>
        <v/>
      </c>
      <c r="AI168" s="125" t="str">
        <f t="shared" si="79"/>
        <v/>
      </c>
      <c r="AK168" s="126" t="str">
        <f>IF(A168="","",IF(Periodos_Gracia&gt;0,Tabla!AN168,V168+S168))</f>
        <v/>
      </c>
      <c r="AL168" s="126" t="str">
        <f t="shared" si="69"/>
        <v/>
      </c>
      <c r="AM168" s="61" t="str">
        <f t="shared" si="80"/>
        <v/>
      </c>
      <c r="AN168" s="127" t="str">
        <f>IF(A168="","",IF(A168&lt;=Periodos_Gracia,Tabla!S168,PPMT(Tasa_Anual/360*Días*(1+I.V.A.),Tabla!AM168,No._De_Pagos_con_periodo_de_gracia,-Monto_Crédito)+S168))</f>
        <v/>
      </c>
      <c r="AO168" s="127" t="str">
        <f>IF(A168="","",IF(A168&lt;=Periodos_Gracia,Tabla!AC168,Monto_Crédito/(No._De_Pagos_con_periodo_de_gracia)+AC168))</f>
        <v/>
      </c>
      <c r="AP168" s="117"/>
    </row>
    <row r="169" spans="1:42" x14ac:dyDescent="0.2">
      <c r="A169" s="107" t="str">
        <f>IF(A168&lt;Parámetros!$E$6,A168+1,"")</f>
        <v/>
      </c>
      <c r="B169" s="108" t="str">
        <f t="shared" si="81"/>
        <v/>
      </c>
      <c r="C169" s="108" t="str">
        <f t="shared" si="57"/>
        <v/>
      </c>
      <c r="D169" s="108" t="str">
        <f t="shared" si="58"/>
        <v/>
      </c>
      <c r="E169" s="108" t="str">
        <f t="shared" si="59"/>
        <v/>
      </c>
      <c r="F169" s="108" t="str">
        <f t="shared" si="60"/>
        <v/>
      </c>
      <c r="G169" s="114" t="str">
        <f t="shared" si="70"/>
        <v/>
      </c>
      <c r="H169" s="115">
        <f t="shared" si="71"/>
        <v>0</v>
      </c>
      <c r="I169" s="108" t="str">
        <f t="shared" si="82"/>
        <v/>
      </c>
      <c r="J169" s="108" t="str">
        <f t="shared" si="61"/>
        <v/>
      </c>
      <c r="K169" s="108" t="str">
        <f t="shared" si="62"/>
        <v/>
      </c>
      <c r="L169" s="108" t="str">
        <f t="shared" si="63"/>
        <v/>
      </c>
      <c r="M169" s="108" t="str">
        <f t="shared" si="72"/>
        <v/>
      </c>
      <c r="N169" s="114" t="str">
        <f t="shared" si="73"/>
        <v/>
      </c>
      <c r="O169" s="60">
        <v>0</v>
      </c>
      <c r="P169" s="116">
        <f t="shared" si="74"/>
        <v>0</v>
      </c>
      <c r="R169" s="117" t="str">
        <f t="shared" si="84"/>
        <v/>
      </c>
      <c r="S169" s="118" t="str">
        <f t="shared" si="64"/>
        <v/>
      </c>
      <c r="T169" s="118" t="str">
        <f t="shared" si="65"/>
        <v/>
      </c>
      <c r="U169" s="119">
        <f t="shared" si="75"/>
        <v>0</v>
      </c>
      <c r="V169" s="120" t="str">
        <f>IF(A169="","",IF(A169&lt;=Periodos_Gracia,0,PPMT(Tasa_Anual/360*Días*(1+I.V.A.),Tabla!AM169,No._De_Pagos_con_periodo_de_gracia,-Monto_Crédito)))</f>
        <v/>
      </c>
      <c r="W169" s="110" t="str">
        <f>IF($U$258&lt;=0,V169,IF(SUM($U$18:U169)&lt;=0,V169,PMT($K$5/360*Días,A169,-R169)))</f>
        <v/>
      </c>
      <c r="X169" s="121" t="str">
        <f>IF($U$258&lt;=0,W169,IF(SUM($U$18:U169)&lt;=0,V169,PMT($K$5/360*Días,No._De_Pagos_con_periodo_de_gracia,-Monto_Crédito)-S169-T169))</f>
        <v/>
      </c>
      <c r="Y169" s="117" t="str">
        <f t="shared" si="76"/>
        <v/>
      </c>
      <c r="Z169" s="61" t="str">
        <f>+IF(A169="","",IF(No._de_Pagos-Tabla!A169+1&lt;=0,"",No._de_Pagos-Tabla!A169+1))</f>
        <v/>
      </c>
      <c r="AA169" s="122" t="str">
        <f t="shared" si="77"/>
        <v/>
      </c>
      <c r="AB169" s="124" t="str">
        <f t="shared" si="83"/>
        <v/>
      </c>
      <c r="AC169" s="124" t="str">
        <f t="shared" si="66"/>
        <v/>
      </c>
      <c r="AD169" s="124" t="str">
        <f t="shared" si="67"/>
        <v/>
      </c>
      <c r="AE169" s="119">
        <f t="shared" si="78"/>
        <v>0</v>
      </c>
      <c r="AF169" s="120" t="str">
        <f t="shared" si="68"/>
        <v/>
      </c>
      <c r="AG169" s="110" t="str">
        <f>IF($U$258&lt;=0,AF169,IF(SUM($U$18:U169)&lt;=0,AF169,PMT($K$5/360*Días,A169,-AA169)))</f>
        <v/>
      </c>
      <c r="AH169" s="121" t="str">
        <f>IF(A169&lt;=Periodos_Gracia,0,IF($U$258&lt;=0,AG169,IF(SUM($U$18:U169)&lt;=0,AF169,PMT($K$5/360*Días,No._de_Pagos,-Monto_Crédito)-AC169-AD169)))</f>
        <v/>
      </c>
      <c r="AI169" s="125" t="str">
        <f t="shared" si="79"/>
        <v/>
      </c>
      <c r="AK169" s="126" t="str">
        <f>IF(A169="","",IF(Periodos_Gracia&gt;0,Tabla!AN169,V169+S169))</f>
        <v/>
      </c>
      <c r="AL169" s="126" t="str">
        <f t="shared" si="69"/>
        <v/>
      </c>
      <c r="AM169" s="61" t="str">
        <f t="shared" si="80"/>
        <v/>
      </c>
      <c r="AN169" s="127" t="str">
        <f>IF(A169="","",IF(A169&lt;=Periodos_Gracia,Tabla!S169,PPMT(Tasa_Anual/360*Días*(1+I.V.A.),Tabla!AM169,No._De_Pagos_con_periodo_de_gracia,-Monto_Crédito)+S169))</f>
        <v/>
      </c>
      <c r="AO169" s="127" t="str">
        <f>IF(A169="","",IF(A169&lt;=Periodos_Gracia,Tabla!AC169,Monto_Crédito/(No._De_Pagos_con_periodo_de_gracia)+AC169))</f>
        <v/>
      </c>
      <c r="AP169" s="117"/>
    </row>
    <row r="170" spans="1:42" x14ac:dyDescent="0.2">
      <c r="A170" s="107" t="str">
        <f>IF(A169&lt;Parámetros!$E$6,A169+1,"")</f>
        <v/>
      </c>
      <c r="B170" s="108" t="str">
        <f t="shared" si="81"/>
        <v/>
      </c>
      <c r="C170" s="108" t="str">
        <f t="shared" si="57"/>
        <v/>
      </c>
      <c r="D170" s="108" t="str">
        <f t="shared" si="58"/>
        <v/>
      </c>
      <c r="E170" s="108" t="str">
        <f t="shared" si="59"/>
        <v/>
      </c>
      <c r="F170" s="108" t="str">
        <f t="shared" si="60"/>
        <v/>
      </c>
      <c r="G170" s="114" t="str">
        <f t="shared" si="70"/>
        <v/>
      </c>
      <c r="H170" s="115">
        <f t="shared" si="71"/>
        <v>0</v>
      </c>
      <c r="I170" s="108" t="str">
        <f t="shared" si="82"/>
        <v/>
      </c>
      <c r="J170" s="108" t="str">
        <f t="shared" si="61"/>
        <v/>
      </c>
      <c r="K170" s="108" t="str">
        <f t="shared" si="62"/>
        <v/>
      </c>
      <c r="L170" s="108" t="str">
        <f t="shared" si="63"/>
        <v/>
      </c>
      <c r="M170" s="108" t="str">
        <f t="shared" si="72"/>
        <v/>
      </c>
      <c r="N170" s="114" t="str">
        <f t="shared" si="73"/>
        <v/>
      </c>
      <c r="O170" s="60">
        <v>0</v>
      </c>
      <c r="P170" s="116">
        <f t="shared" si="74"/>
        <v>0</v>
      </c>
      <c r="R170" s="117" t="str">
        <f t="shared" si="84"/>
        <v/>
      </c>
      <c r="S170" s="118" t="str">
        <f t="shared" si="64"/>
        <v/>
      </c>
      <c r="T170" s="118" t="str">
        <f t="shared" si="65"/>
        <v/>
      </c>
      <c r="U170" s="119">
        <f t="shared" si="75"/>
        <v>0</v>
      </c>
      <c r="V170" s="120" t="str">
        <f>IF(A170="","",IF(A170&lt;=Periodos_Gracia,0,PPMT(Tasa_Anual/360*Días*(1+I.V.A.),Tabla!AM170,No._De_Pagos_con_periodo_de_gracia,-Monto_Crédito)))</f>
        <v/>
      </c>
      <c r="W170" s="110" t="str">
        <f>IF($U$258&lt;=0,V170,IF(SUM($U$18:U170)&lt;=0,V170,PMT($K$5/360*Días,A170,-R170)))</f>
        <v/>
      </c>
      <c r="X170" s="121" t="str">
        <f>IF($U$258&lt;=0,W170,IF(SUM($U$18:U170)&lt;=0,V170,PMT($K$5/360*Días,No._De_Pagos_con_periodo_de_gracia,-Monto_Crédito)-S170-T170))</f>
        <v/>
      </c>
      <c r="Y170" s="117" t="str">
        <f t="shared" si="76"/>
        <v/>
      </c>
      <c r="Z170" s="61" t="str">
        <f>+IF(A170="","",IF(No._de_Pagos-Tabla!A170+1&lt;=0,"",No._de_Pagos-Tabla!A170+1))</f>
        <v/>
      </c>
      <c r="AA170" s="122" t="str">
        <f t="shared" si="77"/>
        <v/>
      </c>
      <c r="AB170" s="124" t="str">
        <f t="shared" si="83"/>
        <v/>
      </c>
      <c r="AC170" s="124" t="str">
        <f t="shared" si="66"/>
        <v/>
      </c>
      <c r="AD170" s="124" t="str">
        <f t="shared" si="67"/>
        <v/>
      </c>
      <c r="AE170" s="119">
        <f t="shared" si="78"/>
        <v>0</v>
      </c>
      <c r="AF170" s="120" t="str">
        <f t="shared" si="68"/>
        <v/>
      </c>
      <c r="AG170" s="110" t="str">
        <f>IF($U$258&lt;=0,AF170,IF(SUM($U$18:U170)&lt;=0,AF170,PMT($K$5/360*Días,A170,-AA170)))</f>
        <v/>
      </c>
      <c r="AH170" s="121" t="str">
        <f>IF(A170&lt;=Periodos_Gracia,0,IF($U$258&lt;=0,AG170,IF(SUM($U$18:U170)&lt;=0,AF170,PMT($K$5/360*Días,No._de_Pagos,-Monto_Crédito)-AC170-AD170)))</f>
        <v/>
      </c>
      <c r="AI170" s="125" t="str">
        <f t="shared" si="79"/>
        <v/>
      </c>
      <c r="AK170" s="126" t="str">
        <f>IF(A170="","",IF(Periodos_Gracia&gt;0,Tabla!AN170,V170+S170))</f>
        <v/>
      </c>
      <c r="AL170" s="126" t="str">
        <f t="shared" si="69"/>
        <v/>
      </c>
      <c r="AM170" s="61" t="str">
        <f t="shared" si="80"/>
        <v/>
      </c>
      <c r="AN170" s="127" t="str">
        <f>IF(A170="","",IF(A170&lt;=Periodos_Gracia,Tabla!S170,PPMT(Tasa_Anual/360*Días*(1+I.V.A.),Tabla!AM170,No._De_Pagos_con_periodo_de_gracia,-Monto_Crédito)+S170))</f>
        <v/>
      </c>
      <c r="AO170" s="127" t="str">
        <f>IF(A170="","",IF(A170&lt;=Periodos_Gracia,Tabla!AC170,Monto_Crédito/(No._De_Pagos_con_periodo_de_gracia)+AC170))</f>
        <v/>
      </c>
      <c r="AP170" s="117"/>
    </row>
    <row r="171" spans="1:42" x14ac:dyDescent="0.2">
      <c r="A171" s="107" t="str">
        <f>IF(A170&lt;Parámetros!$E$6,A170+1,"")</f>
        <v/>
      </c>
      <c r="B171" s="108" t="str">
        <f t="shared" si="81"/>
        <v/>
      </c>
      <c r="C171" s="108" t="str">
        <f t="shared" si="57"/>
        <v/>
      </c>
      <c r="D171" s="108" t="str">
        <f t="shared" si="58"/>
        <v/>
      </c>
      <c r="E171" s="108" t="str">
        <f t="shared" si="59"/>
        <v/>
      </c>
      <c r="F171" s="108" t="str">
        <f t="shared" si="60"/>
        <v/>
      </c>
      <c r="G171" s="114" t="str">
        <f t="shared" si="70"/>
        <v/>
      </c>
      <c r="H171" s="115">
        <f t="shared" si="71"/>
        <v>0</v>
      </c>
      <c r="I171" s="108" t="str">
        <f t="shared" si="82"/>
        <v/>
      </c>
      <c r="J171" s="108" t="str">
        <f t="shared" si="61"/>
        <v/>
      </c>
      <c r="K171" s="108" t="str">
        <f t="shared" si="62"/>
        <v/>
      </c>
      <c r="L171" s="108" t="str">
        <f t="shared" si="63"/>
        <v/>
      </c>
      <c r="M171" s="108" t="str">
        <f t="shared" si="72"/>
        <v/>
      </c>
      <c r="N171" s="114" t="str">
        <f t="shared" si="73"/>
        <v/>
      </c>
      <c r="O171" s="60">
        <v>0</v>
      </c>
      <c r="P171" s="116">
        <f t="shared" si="74"/>
        <v>0</v>
      </c>
      <c r="R171" s="117" t="str">
        <f t="shared" si="84"/>
        <v/>
      </c>
      <c r="S171" s="118" t="str">
        <f t="shared" si="64"/>
        <v/>
      </c>
      <c r="T171" s="118" t="str">
        <f t="shared" si="65"/>
        <v/>
      </c>
      <c r="U171" s="119">
        <f t="shared" si="75"/>
        <v>0</v>
      </c>
      <c r="V171" s="120" t="str">
        <f>IF(A171="","",IF(A171&lt;=Periodos_Gracia,0,PPMT(Tasa_Anual/360*Días*(1+I.V.A.),Tabla!AM171,No._De_Pagos_con_periodo_de_gracia,-Monto_Crédito)))</f>
        <v/>
      </c>
      <c r="W171" s="110" t="str">
        <f>IF($U$258&lt;=0,V171,IF(SUM($U$18:U171)&lt;=0,V171,PMT($K$5/360*Días,A171,-R171)))</f>
        <v/>
      </c>
      <c r="X171" s="121" t="str">
        <f>IF($U$258&lt;=0,W171,IF(SUM($U$18:U171)&lt;=0,V171,PMT($K$5/360*Días,No._De_Pagos_con_periodo_de_gracia,-Monto_Crédito)-S171-T171))</f>
        <v/>
      </c>
      <c r="Y171" s="117" t="str">
        <f t="shared" si="76"/>
        <v/>
      </c>
      <c r="Z171" s="61" t="str">
        <f>+IF(A171="","",IF(No._de_Pagos-Tabla!A171+1&lt;=0,"",No._de_Pagos-Tabla!A171+1))</f>
        <v/>
      </c>
      <c r="AA171" s="122" t="str">
        <f t="shared" si="77"/>
        <v/>
      </c>
      <c r="AB171" s="124" t="str">
        <f t="shared" si="83"/>
        <v/>
      </c>
      <c r="AC171" s="124" t="str">
        <f t="shared" si="66"/>
        <v/>
      </c>
      <c r="AD171" s="124" t="str">
        <f t="shared" si="67"/>
        <v/>
      </c>
      <c r="AE171" s="119">
        <f t="shared" si="78"/>
        <v>0</v>
      </c>
      <c r="AF171" s="120" t="str">
        <f t="shared" si="68"/>
        <v/>
      </c>
      <c r="AG171" s="110" t="str">
        <f>IF($U$258&lt;=0,AF171,IF(SUM($U$18:U171)&lt;=0,AF171,PMT($K$5/360*Días,A171,-AA171)))</f>
        <v/>
      </c>
      <c r="AH171" s="121" t="str">
        <f>IF(A171&lt;=Periodos_Gracia,0,IF($U$258&lt;=0,AG171,IF(SUM($U$18:U171)&lt;=0,AF171,PMT($K$5/360*Días,No._de_Pagos,-Monto_Crédito)-AC171-AD171)))</f>
        <v/>
      </c>
      <c r="AI171" s="125" t="str">
        <f t="shared" si="79"/>
        <v/>
      </c>
      <c r="AK171" s="126" t="str">
        <f>IF(A171="","",IF(Periodos_Gracia&gt;0,Tabla!AN171,V171+S171))</f>
        <v/>
      </c>
      <c r="AL171" s="126" t="str">
        <f t="shared" si="69"/>
        <v/>
      </c>
      <c r="AM171" s="61" t="str">
        <f t="shared" si="80"/>
        <v/>
      </c>
      <c r="AN171" s="127" t="str">
        <f>IF(A171="","",IF(A171&lt;=Periodos_Gracia,Tabla!S171,PPMT(Tasa_Anual/360*Días*(1+I.V.A.),Tabla!AM171,No._De_Pagos_con_periodo_de_gracia,-Monto_Crédito)+S171))</f>
        <v/>
      </c>
      <c r="AO171" s="127" t="str">
        <f>IF(A171="","",IF(A171&lt;=Periodos_Gracia,Tabla!AC171,Monto_Crédito/(No._De_Pagos_con_periodo_de_gracia)+AC171))</f>
        <v/>
      </c>
      <c r="AP171" s="117"/>
    </row>
    <row r="172" spans="1:42" x14ac:dyDescent="0.2">
      <c r="A172" s="107" t="str">
        <f>IF(A171&lt;Parámetros!$E$6,A171+1,"")</f>
        <v/>
      </c>
      <c r="B172" s="108" t="str">
        <f t="shared" si="81"/>
        <v/>
      </c>
      <c r="C172" s="108" t="str">
        <f t="shared" si="57"/>
        <v/>
      </c>
      <c r="D172" s="108" t="str">
        <f t="shared" si="58"/>
        <v/>
      </c>
      <c r="E172" s="108" t="str">
        <f t="shared" si="59"/>
        <v/>
      </c>
      <c r="F172" s="108" t="str">
        <f t="shared" si="60"/>
        <v/>
      </c>
      <c r="G172" s="114" t="str">
        <f t="shared" si="70"/>
        <v/>
      </c>
      <c r="H172" s="115">
        <f t="shared" si="71"/>
        <v>0</v>
      </c>
      <c r="I172" s="108" t="str">
        <f t="shared" si="82"/>
        <v/>
      </c>
      <c r="J172" s="108" t="str">
        <f t="shared" si="61"/>
        <v/>
      </c>
      <c r="K172" s="108" t="str">
        <f t="shared" si="62"/>
        <v/>
      </c>
      <c r="L172" s="108" t="str">
        <f t="shared" si="63"/>
        <v/>
      </c>
      <c r="M172" s="108" t="str">
        <f t="shared" si="72"/>
        <v/>
      </c>
      <c r="N172" s="114" t="str">
        <f t="shared" si="73"/>
        <v/>
      </c>
      <c r="O172" s="60">
        <v>0</v>
      </c>
      <c r="P172" s="116">
        <f t="shared" si="74"/>
        <v>0</v>
      </c>
      <c r="R172" s="117" t="str">
        <f t="shared" si="84"/>
        <v/>
      </c>
      <c r="S172" s="118" t="str">
        <f t="shared" si="64"/>
        <v/>
      </c>
      <c r="T172" s="118" t="str">
        <f t="shared" si="65"/>
        <v/>
      </c>
      <c r="U172" s="119">
        <f t="shared" si="75"/>
        <v>0</v>
      </c>
      <c r="V172" s="120" t="str">
        <f>IF(A172="","",IF(A172&lt;=Periodos_Gracia,0,PPMT(Tasa_Anual/360*Días*(1+I.V.A.),Tabla!AM172,No._De_Pagos_con_periodo_de_gracia,-Monto_Crédito)))</f>
        <v/>
      </c>
      <c r="W172" s="110" t="str">
        <f>IF($U$258&lt;=0,V172,IF(SUM($U$18:U172)&lt;=0,V172,PMT($K$5/360*Días,A172,-R172)))</f>
        <v/>
      </c>
      <c r="X172" s="121" t="str">
        <f>IF($U$258&lt;=0,W172,IF(SUM($U$18:U172)&lt;=0,V172,PMT($K$5/360*Días,No._De_Pagos_con_periodo_de_gracia,-Monto_Crédito)-S172-T172))</f>
        <v/>
      </c>
      <c r="Y172" s="117" t="str">
        <f t="shared" si="76"/>
        <v/>
      </c>
      <c r="Z172" s="61" t="str">
        <f>+IF(A172="","",IF(No._de_Pagos-Tabla!A172+1&lt;=0,"",No._de_Pagos-Tabla!A172+1))</f>
        <v/>
      </c>
      <c r="AA172" s="122" t="str">
        <f t="shared" si="77"/>
        <v/>
      </c>
      <c r="AB172" s="124" t="str">
        <f t="shared" si="83"/>
        <v/>
      </c>
      <c r="AC172" s="124" t="str">
        <f t="shared" si="66"/>
        <v/>
      </c>
      <c r="AD172" s="124" t="str">
        <f t="shared" si="67"/>
        <v/>
      </c>
      <c r="AE172" s="119">
        <f t="shared" si="78"/>
        <v>0</v>
      </c>
      <c r="AF172" s="120" t="str">
        <f t="shared" si="68"/>
        <v/>
      </c>
      <c r="AG172" s="110" t="str">
        <f>IF($U$258&lt;=0,AF172,IF(SUM($U$18:U172)&lt;=0,AF172,PMT($K$5/360*Días,A172,-AA172)))</f>
        <v/>
      </c>
      <c r="AH172" s="121" t="str">
        <f>IF(A172&lt;=Periodos_Gracia,0,IF($U$258&lt;=0,AG172,IF(SUM($U$18:U172)&lt;=0,AF172,PMT($K$5/360*Días,No._de_Pagos,-Monto_Crédito)-AC172-AD172)))</f>
        <v/>
      </c>
      <c r="AI172" s="125" t="str">
        <f t="shared" si="79"/>
        <v/>
      </c>
      <c r="AK172" s="126" t="str">
        <f>IF(A172="","",IF(Periodos_Gracia&gt;0,Tabla!AN172,V172+S172))</f>
        <v/>
      </c>
      <c r="AL172" s="126" t="str">
        <f t="shared" si="69"/>
        <v/>
      </c>
      <c r="AM172" s="61" t="str">
        <f t="shared" si="80"/>
        <v/>
      </c>
      <c r="AN172" s="127" t="str">
        <f>IF(A172="","",IF(A172&lt;=Periodos_Gracia,Tabla!S172,PPMT(Tasa_Anual/360*Días*(1+I.V.A.),Tabla!AM172,No._De_Pagos_con_periodo_de_gracia,-Monto_Crédito)+S172))</f>
        <v/>
      </c>
      <c r="AO172" s="127" t="str">
        <f>IF(A172="","",IF(A172&lt;=Periodos_Gracia,Tabla!AC172,Monto_Crédito/(No._De_Pagos_con_periodo_de_gracia)+AC172))</f>
        <v/>
      </c>
      <c r="AP172" s="117"/>
    </row>
    <row r="173" spans="1:42" x14ac:dyDescent="0.2">
      <c r="A173" s="107" t="str">
        <f>IF(A172&lt;Parámetros!$E$6,A172+1,"")</f>
        <v/>
      </c>
      <c r="B173" s="108" t="str">
        <f t="shared" si="81"/>
        <v/>
      </c>
      <c r="C173" s="108" t="str">
        <f t="shared" si="57"/>
        <v/>
      </c>
      <c r="D173" s="108" t="str">
        <f t="shared" si="58"/>
        <v/>
      </c>
      <c r="E173" s="108" t="str">
        <f t="shared" si="59"/>
        <v/>
      </c>
      <c r="F173" s="108" t="str">
        <f t="shared" si="60"/>
        <v/>
      </c>
      <c r="G173" s="114" t="str">
        <f t="shared" si="70"/>
        <v/>
      </c>
      <c r="H173" s="115">
        <f t="shared" si="71"/>
        <v>0</v>
      </c>
      <c r="I173" s="108" t="str">
        <f t="shared" si="82"/>
        <v/>
      </c>
      <c r="J173" s="108" t="str">
        <f t="shared" si="61"/>
        <v/>
      </c>
      <c r="K173" s="108" t="str">
        <f t="shared" si="62"/>
        <v/>
      </c>
      <c r="L173" s="108" t="str">
        <f t="shared" si="63"/>
        <v/>
      </c>
      <c r="M173" s="108" t="str">
        <f t="shared" si="72"/>
        <v/>
      </c>
      <c r="N173" s="114" t="str">
        <f t="shared" si="73"/>
        <v/>
      </c>
      <c r="O173" s="60">
        <v>0</v>
      </c>
      <c r="P173" s="116">
        <f t="shared" si="74"/>
        <v>0</v>
      </c>
      <c r="R173" s="117" t="str">
        <f t="shared" si="84"/>
        <v/>
      </c>
      <c r="S173" s="118" t="str">
        <f t="shared" si="64"/>
        <v/>
      </c>
      <c r="T173" s="118" t="str">
        <f t="shared" si="65"/>
        <v/>
      </c>
      <c r="U173" s="119">
        <f t="shared" si="75"/>
        <v>0</v>
      </c>
      <c r="V173" s="120" t="str">
        <f>IF(A173="","",IF(A173&lt;=Periodos_Gracia,0,PPMT(Tasa_Anual/360*Días*(1+I.V.A.),Tabla!AM173,No._De_Pagos_con_periodo_de_gracia,-Monto_Crédito)))</f>
        <v/>
      </c>
      <c r="W173" s="110" t="str">
        <f>IF($U$258&lt;=0,V173,IF(SUM($U$18:U173)&lt;=0,V173,PMT($K$5/360*Días,A173,-R173)))</f>
        <v/>
      </c>
      <c r="X173" s="121" t="str">
        <f>IF($U$258&lt;=0,W173,IF(SUM($U$18:U173)&lt;=0,V173,PMT($K$5/360*Días,No._De_Pagos_con_periodo_de_gracia,-Monto_Crédito)-S173-T173))</f>
        <v/>
      </c>
      <c r="Y173" s="117" t="str">
        <f t="shared" si="76"/>
        <v/>
      </c>
      <c r="Z173" s="61" t="str">
        <f>+IF(A173="","",IF(No._de_Pagos-Tabla!A173+1&lt;=0,"",No._de_Pagos-Tabla!A173+1))</f>
        <v/>
      </c>
      <c r="AA173" s="122" t="str">
        <f t="shared" si="77"/>
        <v/>
      </c>
      <c r="AB173" s="124" t="str">
        <f t="shared" si="83"/>
        <v/>
      </c>
      <c r="AC173" s="124" t="str">
        <f t="shared" si="66"/>
        <v/>
      </c>
      <c r="AD173" s="124" t="str">
        <f t="shared" si="67"/>
        <v/>
      </c>
      <c r="AE173" s="119">
        <f t="shared" si="78"/>
        <v>0</v>
      </c>
      <c r="AF173" s="120" t="str">
        <f t="shared" si="68"/>
        <v/>
      </c>
      <c r="AG173" s="110" t="str">
        <f>IF($U$258&lt;=0,AF173,IF(SUM($U$18:U173)&lt;=0,AF173,PMT($K$5/360*Días,A173,-AA173)))</f>
        <v/>
      </c>
      <c r="AH173" s="121" t="str">
        <f>IF(A173&lt;=Periodos_Gracia,0,IF($U$258&lt;=0,AG173,IF(SUM($U$18:U173)&lt;=0,AF173,PMT($K$5/360*Días,No._de_Pagos,-Monto_Crédito)-AC173-AD173)))</f>
        <v/>
      </c>
      <c r="AI173" s="125" t="str">
        <f t="shared" si="79"/>
        <v/>
      </c>
      <c r="AK173" s="126" t="str">
        <f>IF(A173="","",IF(Periodos_Gracia&gt;0,Tabla!AN173,V173+S173))</f>
        <v/>
      </c>
      <c r="AL173" s="126" t="str">
        <f t="shared" si="69"/>
        <v/>
      </c>
      <c r="AM173" s="61" t="str">
        <f t="shared" si="80"/>
        <v/>
      </c>
      <c r="AN173" s="127" t="str">
        <f>IF(A173="","",IF(A173&lt;=Periodos_Gracia,Tabla!S173,PPMT(Tasa_Anual/360*Días*(1+I.V.A.),Tabla!AM173,No._De_Pagos_con_periodo_de_gracia,-Monto_Crédito)+S173))</f>
        <v/>
      </c>
      <c r="AO173" s="127" t="str">
        <f>IF(A173="","",IF(A173&lt;=Periodos_Gracia,Tabla!AC173,Monto_Crédito/(No._De_Pagos_con_periodo_de_gracia)+AC173))</f>
        <v/>
      </c>
      <c r="AP173" s="117"/>
    </row>
    <row r="174" spans="1:42" x14ac:dyDescent="0.2">
      <c r="A174" s="107" t="str">
        <f>IF(A173&lt;Parámetros!$E$6,A173+1,"")</f>
        <v/>
      </c>
      <c r="B174" s="108" t="str">
        <f t="shared" si="81"/>
        <v/>
      </c>
      <c r="C174" s="108" t="str">
        <f t="shared" si="57"/>
        <v/>
      </c>
      <c r="D174" s="108" t="str">
        <f t="shared" si="58"/>
        <v/>
      </c>
      <c r="E174" s="108" t="str">
        <f t="shared" si="59"/>
        <v/>
      </c>
      <c r="F174" s="108" t="str">
        <f t="shared" si="60"/>
        <v/>
      </c>
      <c r="G174" s="114" t="str">
        <f t="shared" si="70"/>
        <v/>
      </c>
      <c r="H174" s="115">
        <f t="shared" si="71"/>
        <v>0</v>
      </c>
      <c r="I174" s="108" t="str">
        <f t="shared" si="82"/>
        <v/>
      </c>
      <c r="J174" s="108" t="str">
        <f t="shared" si="61"/>
        <v/>
      </c>
      <c r="K174" s="108" t="str">
        <f t="shared" si="62"/>
        <v/>
      </c>
      <c r="L174" s="108" t="str">
        <f t="shared" si="63"/>
        <v/>
      </c>
      <c r="M174" s="108" t="str">
        <f t="shared" si="72"/>
        <v/>
      </c>
      <c r="N174" s="114" t="str">
        <f t="shared" si="73"/>
        <v/>
      </c>
      <c r="O174" s="60">
        <v>0</v>
      </c>
      <c r="P174" s="116">
        <f t="shared" si="74"/>
        <v>0</v>
      </c>
      <c r="R174" s="117" t="str">
        <f t="shared" si="84"/>
        <v/>
      </c>
      <c r="S174" s="118" t="str">
        <f t="shared" si="64"/>
        <v/>
      </c>
      <c r="T174" s="118" t="str">
        <f t="shared" si="65"/>
        <v/>
      </c>
      <c r="U174" s="119">
        <f t="shared" si="75"/>
        <v>0</v>
      </c>
      <c r="V174" s="120" t="str">
        <f>IF(A174="","",IF(A174&lt;=Periodos_Gracia,0,PPMT(Tasa_Anual/360*Días*(1+I.V.A.),Tabla!AM174,No._De_Pagos_con_periodo_de_gracia,-Monto_Crédito)))</f>
        <v/>
      </c>
      <c r="W174" s="110" t="str">
        <f>IF($U$258&lt;=0,V174,IF(SUM($U$18:U174)&lt;=0,V174,PMT($K$5/360*Días,A174,-R174)))</f>
        <v/>
      </c>
      <c r="X174" s="121" t="str">
        <f>IF($U$258&lt;=0,W174,IF(SUM($U$18:U174)&lt;=0,V174,PMT($K$5/360*Días,No._De_Pagos_con_periodo_de_gracia,-Monto_Crédito)-S174-T174))</f>
        <v/>
      </c>
      <c r="Y174" s="117" t="str">
        <f t="shared" si="76"/>
        <v/>
      </c>
      <c r="Z174" s="61" t="str">
        <f>+IF(A174="","",IF(No._de_Pagos-Tabla!A174+1&lt;=0,"",No._de_Pagos-Tabla!A174+1))</f>
        <v/>
      </c>
      <c r="AA174" s="122" t="str">
        <f t="shared" si="77"/>
        <v/>
      </c>
      <c r="AB174" s="124" t="str">
        <f t="shared" si="83"/>
        <v/>
      </c>
      <c r="AC174" s="124" t="str">
        <f t="shared" si="66"/>
        <v/>
      </c>
      <c r="AD174" s="124" t="str">
        <f t="shared" si="67"/>
        <v/>
      </c>
      <c r="AE174" s="119">
        <f t="shared" si="78"/>
        <v>0</v>
      </c>
      <c r="AF174" s="120" t="str">
        <f t="shared" si="68"/>
        <v/>
      </c>
      <c r="AG174" s="110" t="str">
        <f>IF($U$258&lt;=0,AF174,IF(SUM($U$18:U174)&lt;=0,AF174,PMT($K$5/360*Días,A174,-AA174)))</f>
        <v/>
      </c>
      <c r="AH174" s="121" t="str">
        <f>IF(A174&lt;=Periodos_Gracia,0,IF($U$258&lt;=0,AG174,IF(SUM($U$18:U174)&lt;=0,AF174,PMT($K$5/360*Días,No._de_Pagos,-Monto_Crédito)-AC174-AD174)))</f>
        <v/>
      </c>
      <c r="AI174" s="125" t="str">
        <f t="shared" si="79"/>
        <v/>
      </c>
      <c r="AK174" s="126" t="str">
        <f>IF(A174="","",IF(Periodos_Gracia&gt;0,Tabla!AN174,V174+S174))</f>
        <v/>
      </c>
      <c r="AL174" s="126" t="str">
        <f t="shared" si="69"/>
        <v/>
      </c>
      <c r="AM174" s="61" t="str">
        <f t="shared" si="80"/>
        <v/>
      </c>
      <c r="AN174" s="127" t="str">
        <f>IF(A174="","",IF(A174&lt;=Periodos_Gracia,Tabla!S174,PPMT(Tasa_Anual/360*Días*(1+I.V.A.),Tabla!AM174,No._De_Pagos_con_periodo_de_gracia,-Monto_Crédito)+S174))</f>
        <v/>
      </c>
      <c r="AO174" s="127" t="str">
        <f>IF(A174="","",IF(A174&lt;=Periodos_Gracia,Tabla!AC174,Monto_Crédito/(No._De_Pagos_con_periodo_de_gracia)+AC174))</f>
        <v/>
      </c>
      <c r="AP174" s="117"/>
    </row>
    <row r="175" spans="1:42" x14ac:dyDescent="0.2">
      <c r="A175" s="107" t="str">
        <f>IF(A174&lt;Parámetros!$E$6,A174+1,"")</f>
        <v/>
      </c>
      <c r="B175" s="108" t="str">
        <f t="shared" si="81"/>
        <v/>
      </c>
      <c r="C175" s="108" t="str">
        <f t="shared" si="57"/>
        <v/>
      </c>
      <c r="D175" s="108" t="str">
        <f t="shared" si="58"/>
        <v/>
      </c>
      <c r="E175" s="108" t="str">
        <f t="shared" si="59"/>
        <v/>
      </c>
      <c r="F175" s="108" t="str">
        <f t="shared" si="60"/>
        <v/>
      </c>
      <c r="G175" s="114" t="str">
        <f t="shared" si="70"/>
        <v/>
      </c>
      <c r="H175" s="115">
        <f t="shared" si="71"/>
        <v>0</v>
      </c>
      <c r="I175" s="108" t="str">
        <f t="shared" si="82"/>
        <v/>
      </c>
      <c r="J175" s="108" t="str">
        <f t="shared" si="61"/>
        <v/>
      </c>
      <c r="K175" s="108" t="str">
        <f t="shared" si="62"/>
        <v/>
      </c>
      <c r="L175" s="108" t="str">
        <f t="shared" si="63"/>
        <v/>
      </c>
      <c r="M175" s="108" t="str">
        <f t="shared" si="72"/>
        <v/>
      </c>
      <c r="N175" s="114" t="str">
        <f t="shared" si="73"/>
        <v/>
      </c>
      <c r="O175" s="60">
        <v>0</v>
      </c>
      <c r="P175" s="116">
        <f t="shared" si="74"/>
        <v>0</v>
      </c>
      <c r="R175" s="117" t="str">
        <f t="shared" si="84"/>
        <v/>
      </c>
      <c r="S175" s="118" t="str">
        <f t="shared" si="64"/>
        <v/>
      </c>
      <c r="T175" s="118" t="str">
        <f t="shared" si="65"/>
        <v/>
      </c>
      <c r="U175" s="119">
        <f t="shared" si="75"/>
        <v>0</v>
      </c>
      <c r="V175" s="120" t="str">
        <f>IF(A175="","",IF(A175&lt;=Periodos_Gracia,0,PPMT(Tasa_Anual/360*Días*(1+I.V.A.),Tabla!AM175,No._De_Pagos_con_periodo_de_gracia,-Monto_Crédito)))</f>
        <v/>
      </c>
      <c r="W175" s="110" t="str">
        <f>IF($U$258&lt;=0,V175,IF(SUM($U$18:U175)&lt;=0,V175,PMT($K$5/360*Días,A175,-R175)))</f>
        <v/>
      </c>
      <c r="X175" s="121" t="str">
        <f>IF($U$258&lt;=0,W175,IF(SUM($U$18:U175)&lt;=0,V175,PMT($K$5/360*Días,No._De_Pagos_con_periodo_de_gracia,-Monto_Crédito)-S175-T175))</f>
        <v/>
      </c>
      <c r="Y175" s="117" t="str">
        <f t="shared" si="76"/>
        <v/>
      </c>
      <c r="Z175" s="61" t="str">
        <f>+IF(A175="","",IF(No._de_Pagos-Tabla!A175+1&lt;=0,"",No._de_Pagos-Tabla!A175+1))</f>
        <v/>
      </c>
      <c r="AA175" s="122" t="str">
        <f t="shared" si="77"/>
        <v/>
      </c>
      <c r="AB175" s="124" t="str">
        <f t="shared" si="83"/>
        <v/>
      </c>
      <c r="AC175" s="124" t="str">
        <f t="shared" si="66"/>
        <v/>
      </c>
      <c r="AD175" s="124" t="str">
        <f t="shared" si="67"/>
        <v/>
      </c>
      <c r="AE175" s="119">
        <f t="shared" si="78"/>
        <v>0</v>
      </c>
      <c r="AF175" s="120" t="str">
        <f t="shared" si="68"/>
        <v/>
      </c>
      <c r="AG175" s="110" t="str">
        <f>IF($U$258&lt;=0,AF175,IF(SUM($U$18:U175)&lt;=0,AF175,PMT($K$5/360*Días,A175,-AA175)))</f>
        <v/>
      </c>
      <c r="AH175" s="121" t="str">
        <f>IF(A175&lt;=Periodos_Gracia,0,IF($U$258&lt;=0,AG175,IF(SUM($U$18:U175)&lt;=0,AF175,PMT($K$5/360*Días,No._de_Pagos,-Monto_Crédito)-AC175-AD175)))</f>
        <v/>
      </c>
      <c r="AI175" s="125" t="str">
        <f t="shared" si="79"/>
        <v/>
      </c>
      <c r="AK175" s="126" t="str">
        <f>IF(A175="","",IF(Periodos_Gracia&gt;0,Tabla!AN175,V175+S175))</f>
        <v/>
      </c>
      <c r="AL175" s="126" t="str">
        <f t="shared" si="69"/>
        <v/>
      </c>
      <c r="AM175" s="61" t="str">
        <f t="shared" si="80"/>
        <v/>
      </c>
      <c r="AN175" s="127" t="str">
        <f>IF(A175="","",IF(A175&lt;=Periodos_Gracia,Tabla!S175,PPMT(Tasa_Anual/360*Días*(1+I.V.A.),Tabla!AM175,No._De_Pagos_con_periodo_de_gracia,-Monto_Crédito)+S175))</f>
        <v/>
      </c>
      <c r="AO175" s="127" t="str">
        <f>IF(A175="","",IF(A175&lt;=Periodos_Gracia,Tabla!AC175,Monto_Crédito/(No._De_Pagos_con_periodo_de_gracia)+AC175))</f>
        <v/>
      </c>
      <c r="AP175" s="117"/>
    </row>
    <row r="176" spans="1:42" x14ac:dyDescent="0.2">
      <c r="A176" s="107" t="str">
        <f>IF(A175&lt;Parámetros!$E$6,A175+1,"")</f>
        <v/>
      </c>
      <c r="B176" s="108" t="str">
        <f t="shared" si="81"/>
        <v/>
      </c>
      <c r="C176" s="108" t="str">
        <f t="shared" si="57"/>
        <v/>
      </c>
      <c r="D176" s="108" t="str">
        <f t="shared" si="58"/>
        <v/>
      </c>
      <c r="E176" s="108" t="str">
        <f t="shared" si="59"/>
        <v/>
      </c>
      <c r="F176" s="108" t="str">
        <f t="shared" si="60"/>
        <v/>
      </c>
      <c r="G176" s="114" t="str">
        <f t="shared" si="70"/>
        <v/>
      </c>
      <c r="H176" s="115">
        <f t="shared" si="71"/>
        <v>0</v>
      </c>
      <c r="I176" s="108" t="str">
        <f t="shared" si="82"/>
        <v/>
      </c>
      <c r="J176" s="108" t="str">
        <f t="shared" si="61"/>
        <v/>
      </c>
      <c r="K176" s="108" t="str">
        <f t="shared" si="62"/>
        <v/>
      </c>
      <c r="L176" s="108" t="str">
        <f t="shared" si="63"/>
        <v/>
      </c>
      <c r="M176" s="108" t="str">
        <f t="shared" si="72"/>
        <v/>
      </c>
      <c r="N176" s="114" t="str">
        <f t="shared" si="73"/>
        <v/>
      </c>
      <c r="O176" s="60">
        <v>0</v>
      </c>
      <c r="P176" s="116">
        <f t="shared" si="74"/>
        <v>0</v>
      </c>
      <c r="R176" s="117" t="str">
        <f t="shared" si="84"/>
        <v/>
      </c>
      <c r="S176" s="118" t="str">
        <f t="shared" si="64"/>
        <v/>
      </c>
      <c r="T176" s="118" t="str">
        <f t="shared" si="65"/>
        <v/>
      </c>
      <c r="U176" s="119">
        <f t="shared" si="75"/>
        <v>0</v>
      </c>
      <c r="V176" s="120" t="str">
        <f>IF(A176="","",IF(A176&lt;=Periodos_Gracia,0,PPMT(Tasa_Anual/360*Días*(1+I.V.A.),Tabla!AM176,No._De_Pagos_con_periodo_de_gracia,-Monto_Crédito)))</f>
        <v/>
      </c>
      <c r="W176" s="110" t="str">
        <f>IF($U$258&lt;=0,V176,IF(SUM($U$18:U176)&lt;=0,V176,PMT($K$5/360*Días,A176,-R176)))</f>
        <v/>
      </c>
      <c r="X176" s="121" t="str">
        <f>IF($U$258&lt;=0,W176,IF(SUM($U$18:U176)&lt;=0,V176,PMT($K$5/360*Días,No._De_Pagos_con_periodo_de_gracia,-Monto_Crédito)-S176-T176))</f>
        <v/>
      </c>
      <c r="Y176" s="117" t="str">
        <f t="shared" si="76"/>
        <v/>
      </c>
      <c r="Z176" s="61" t="str">
        <f>+IF(A176="","",IF(No._de_Pagos-Tabla!A176+1&lt;=0,"",No._de_Pagos-Tabla!A176+1))</f>
        <v/>
      </c>
      <c r="AA176" s="122" t="str">
        <f t="shared" si="77"/>
        <v/>
      </c>
      <c r="AB176" s="124" t="str">
        <f t="shared" si="83"/>
        <v/>
      </c>
      <c r="AC176" s="124" t="str">
        <f t="shared" si="66"/>
        <v/>
      </c>
      <c r="AD176" s="124" t="str">
        <f t="shared" si="67"/>
        <v/>
      </c>
      <c r="AE176" s="119">
        <f t="shared" si="78"/>
        <v>0</v>
      </c>
      <c r="AF176" s="120" t="str">
        <f t="shared" si="68"/>
        <v/>
      </c>
      <c r="AG176" s="110" t="str">
        <f>IF($U$258&lt;=0,AF176,IF(SUM($U$18:U176)&lt;=0,AF176,PMT($K$5/360*Días,A176,-AA176)))</f>
        <v/>
      </c>
      <c r="AH176" s="121" t="str">
        <f>IF(A176&lt;=Periodos_Gracia,0,IF($U$258&lt;=0,AG176,IF(SUM($U$18:U176)&lt;=0,AF176,PMT($K$5/360*Días,No._de_Pagos,-Monto_Crédito)-AC176-AD176)))</f>
        <v/>
      </c>
      <c r="AI176" s="125" t="str">
        <f t="shared" si="79"/>
        <v/>
      </c>
      <c r="AK176" s="126" t="str">
        <f>IF(A176="","",IF(Periodos_Gracia&gt;0,Tabla!AN176,V176+S176))</f>
        <v/>
      </c>
      <c r="AL176" s="126" t="str">
        <f t="shared" si="69"/>
        <v/>
      </c>
      <c r="AM176" s="61" t="str">
        <f t="shared" si="80"/>
        <v/>
      </c>
      <c r="AN176" s="127" t="str">
        <f>IF(A176="","",IF(A176&lt;=Periodos_Gracia,Tabla!S176,PPMT(Tasa_Anual/360*Días*(1+I.V.A.),Tabla!AM176,No._De_Pagos_con_periodo_de_gracia,-Monto_Crédito)+S176))</f>
        <v/>
      </c>
      <c r="AO176" s="127" t="str">
        <f>IF(A176="","",IF(A176&lt;=Periodos_Gracia,Tabla!AC176,Monto_Crédito/(No._De_Pagos_con_periodo_de_gracia)+AC176))</f>
        <v/>
      </c>
      <c r="AP176" s="117"/>
    </row>
    <row r="177" spans="1:42" x14ac:dyDescent="0.2">
      <c r="A177" s="107" t="str">
        <f>IF(A176&lt;Parámetros!$E$6,A176+1,"")</f>
        <v/>
      </c>
      <c r="B177" s="108" t="str">
        <f t="shared" si="81"/>
        <v/>
      </c>
      <c r="C177" s="108" t="str">
        <f t="shared" si="57"/>
        <v/>
      </c>
      <c r="D177" s="108" t="str">
        <f t="shared" si="58"/>
        <v/>
      </c>
      <c r="E177" s="108" t="str">
        <f t="shared" si="59"/>
        <v/>
      </c>
      <c r="F177" s="108" t="str">
        <f t="shared" si="60"/>
        <v/>
      </c>
      <c r="G177" s="114" t="str">
        <f t="shared" si="70"/>
        <v/>
      </c>
      <c r="H177" s="115">
        <f t="shared" si="71"/>
        <v>0</v>
      </c>
      <c r="I177" s="108" t="str">
        <f t="shared" si="82"/>
        <v/>
      </c>
      <c r="J177" s="108" t="str">
        <f t="shared" si="61"/>
        <v/>
      </c>
      <c r="K177" s="108" t="str">
        <f t="shared" si="62"/>
        <v/>
      </c>
      <c r="L177" s="108" t="str">
        <f t="shared" si="63"/>
        <v/>
      </c>
      <c r="M177" s="108" t="str">
        <f t="shared" si="72"/>
        <v/>
      </c>
      <c r="N177" s="114" t="str">
        <f t="shared" si="73"/>
        <v/>
      </c>
      <c r="O177" s="60">
        <v>0</v>
      </c>
      <c r="P177" s="116">
        <f t="shared" si="74"/>
        <v>0</v>
      </c>
      <c r="R177" s="117" t="str">
        <f t="shared" si="84"/>
        <v/>
      </c>
      <c r="S177" s="118" t="str">
        <f t="shared" si="64"/>
        <v/>
      </c>
      <c r="T177" s="118" t="str">
        <f t="shared" si="65"/>
        <v/>
      </c>
      <c r="U177" s="119">
        <f t="shared" si="75"/>
        <v>0</v>
      </c>
      <c r="V177" s="120" t="str">
        <f>IF(A177="","",IF(A177&lt;=Periodos_Gracia,0,PPMT(Tasa_Anual/360*Días*(1+I.V.A.),Tabla!AM177,No._De_Pagos_con_periodo_de_gracia,-Monto_Crédito)))</f>
        <v/>
      </c>
      <c r="W177" s="110" t="str">
        <f>IF($U$258&lt;=0,V177,IF(SUM($U$18:U177)&lt;=0,V177,PMT($K$5/360*Días,A177,-R177)))</f>
        <v/>
      </c>
      <c r="X177" s="121" t="str">
        <f>IF($U$258&lt;=0,W177,IF(SUM($U$18:U177)&lt;=0,V177,PMT($K$5/360*Días,No._De_Pagos_con_periodo_de_gracia,-Monto_Crédito)-S177-T177))</f>
        <v/>
      </c>
      <c r="Y177" s="117" t="str">
        <f t="shared" si="76"/>
        <v/>
      </c>
      <c r="Z177" s="61" t="str">
        <f>+IF(A177="","",IF(No._de_Pagos-Tabla!A177+1&lt;=0,"",No._de_Pagos-Tabla!A177+1))</f>
        <v/>
      </c>
      <c r="AA177" s="122" t="str">
        <f t="shared" si="77"/>
        <v/>
      </c>
      <c r="AB177" s="124" t="str">
        <f t="shared" si="83"/>
        <v/>
      </c>
      <c r="AC177" s="124" t="str">
        <f t="shared" si="66"/>
        <v/>
      </c>
      <c r="AD177" s="124" t="str">
        <f t="shared" si="67"/>
        <v/>
      </c>
      <c r="AE177" s="119">
        <f t="shared" si="78"/>
        <v>0</v>
      </c>
      <c r="AF177" s="120" t="str">
        <f t="shared" si="68"/>
        <v/>
      </c>
      <c r="AG177" s="110" t="str">
        <f>IF($U$258&lt;=0,AF177,IF(SUM($U$18:U177)&lt;=0,AF177,PMT($K$5/360*Días,A177,-AA177)))</f>
        <v/>
      </c>
      <c r="AH177" s="121" t="str">
        <f>IF(A177&lt;=Periodos_Gracia,0,IF($U$258&lt;=0,AG177,IF(SUM($U$18:U177)&lt;=0,AF177,PMT($K$5/360*Días,No._de_Pagos,-Monto_Crédito)-AC177-AD177)))</f>
        <v/>
      </c>
      <c r="AI177" s="125" t="str">
        <f t="shared" si="79"/>
        <v/>
      </c>
      <c r="AK177" s="126" t="str">
        <f>IF(A177="","",IF(Periodos_Gracia&gt;0,Tabla!AN177,V177+S177))</f>
        <v/>
      </c>
      <c r="AL177" s="126" t="str">
        <f t="shared" si="69"/>
        <v/>
      </c>
      <c r="AM177" s="61" t="str">
        <f t="shared" si="80"/>
        <v/>
      </c>
      <c r="AN177" s="127" t="str">
        <f>IF(A177="","",IF(A177&lt;=Periodos_Gracia,Tabla!S177,PPMT(Tasa_Anual/360*Días*(1+I.V.A.),Tabla!AM177,No._De_Pagos_con_periodo_de_gracia,-Monto_Crédito)+S177))</f>
        <v/>
      </c>
      <c r="AO177" s="127" t="str">
        <f>IF(A177="","",IF(A177&lt;=Periodos_Gracia,Tabla!AC177,Monto_Crédito/(No._De_Pagos_con_periodo_de_gracia)+AC177))</f>
        <v/>
      </c>
      <c r="AP177" s="117"/>
    </row>
    <row r="178" spans="1:42" x14ac:dyDescent="0.2">
      <c r="A178" s="107" t="str">
        <f>IF(A177&lt;Parámetros!$E$6,A177+1,"")</f>
        <v/>
      </c>
      <c r="B178" s="108" t="str">
        <f t="shared" si="81"/>
        <v/>
      </c>
      <c r="C178" s="108" t="str">
        <f t="shared" si="57"/>
        <v/>
      </c>
      <c r="D178" s="108" t="str">
        <f t="shared" si="58"/>
        <v/>
      </c>
      <c r="E178" s="108" t="str">
        <f t="shared" si="59"/>
        <v/>
      </c>
      <c r="F178" s="108" t="str">
        <f t="shared" si="60"/>
        <v/>
      </c>
      <c r="G178" s="114" t="str">
        <f t="shared" si="70"/>
        <v/>
      </c>
      <c r="H178" s="115">
        <f t="shared" si="71"/>
        <v>0</v>
      </c>
      <c r="I178" s="108" t="str">
        <f t="shared" si="82"/>
        <v/>
      </c>
      <c r="J178" s="108" t="str">
        <f t="shared" si="61"/>
        <v/>
      </c>
      <c r="K178" s="108" t="str">
        <f t="shared" si="62"/>
        <v/>
      </c>
      <c r="L178" s="108" t="str">
        <f t="shared" si="63"/>
        <v/>
      </c>
      <c r="M178" s="108" t="str">
        <f t="shared" si="72"/>
        <v/>
      </c>
      <c r="N178" s="114" t="str">
        <f t="shared" si="73"/>
        <v/>
      </c>
      <c r="O178" s="60">
        <v>0</v>
      </c>
      <c r="P178" s="116">
        <f t="shared" si="74"/>
        <v>0</v>
      </c>
      <c r="R178" s="117" t="str">
        <f t="shared" si="84"/>
        <v/>
      </c>
      <c r="S178" s="118" t="str">
        <f t="shared" si="64"/>
        <v/>
      </c>
      <c r="T178" s="118" t="str">
        <f t="shared" si="65"/>
        <v/>
      </c>
      <c r="U178" s="119">
        <f t="shared" si="75"/>
        <v>0</v>
      </c>
      <c r="V178" s="120" t="str">
        <f>IF(A178="","",IF(A178&lt;=Periodos_Gracia,0,PPMT(Tasa_Anual/360*Días*(1+I.V.A.),Tabla!AM178,No._De_Pagos_con_periodo_de_gracia,-Monto_Crédito)))</f>
        <v/>
      </c>
      <c r="W178" s="110" t="str">
        <f>IF($U$258&lt;=0,V178,IF(SUM($U$18:U178)&lt;=0,V178,PMT($K$5/360*Días,A178,-R178)))</f>
        <v/>
      </c>
      <c r="X178" s="121" t="str">
        <f>IF($U$258&lt;=0,W178,IF(SUM($U$18:U178)&lt;=0,V178,PMT($K$5/360*Días,No._De_Pagos_con_periodo_de_gracia,-Monto_Crédito)-S178-T178))</f>
        <v/>
      </c>
      <c r="Y178" s="117" t="str">
        <f t="shared" si="76"/>
        <v/>
      </c>
      <c r="Z178" s="61" t="str">
        <f>+IF(A178="","",IF(No._de_Pagos-Tabla!A178+1&lt;=0,"",No._de_Pagos-Tabla!A178+1))</f>
        <v/>
      </c>
      <c r="AA178" s="122" t="str">
        <f t="shared" si="77"/>
        <v/>
      </c>
      <c r="AB178" s="124" t="str">
        <f t="shared" si="83"/>
        <v/>
      </c>
      <c r="AC178" s="124" t="str">
        <f t="shared" si="66"/>
        <v/>
      </c>
      <c r="AD178" s="124" t="str">
        <f t="shared" si="67"/>
        <v/>
      </c>
      <c r="AE178" s="119">
        <f t="shared" si="78"/>
        <v>0</v>
      </c>
      <c r="AF178" s="120" t="str">
        <f t="shared" si="68"/>
        <v/>
      </c>
      <c r="AG178" s="110" t="str">
        <f>IF($U$258&lt;=0,AF178,IF(SUM($U$18:U178)&lt;=0,AF178,PMT($K$5/360*Días,A178,-AA178)))</f>
        <v/>
      </c>
      <c r="AH178" s="121" t="str">
        <f>IF(A178&lt;=Periodos_Gracia,0,IF($U$258&lt;=0,AG178,IF(SUM($U$18:U178)&lt;=0,AF178,PMT($K$5/360*Días,No._de_Pagos,-Monto_Crédito)-AC178-AD178)))</f>
        <v/>
      </c>
      <c r="AI178" s="125" t="str">
        <f t="shared" si="79"/>
        <v/>
      </c>
      <c r="AK178" s="126" t="str">
        <f>IF(A178="","",IF(Periodos_Gracia&gt;0,Tabla!AN178,V178+S178))</f>
        <v/>
      </c>
      <c r="AL178" s="126" t="str">
        <f t="shared" si="69"/>
        <v/>
      </c>
      <c r="AM178" s="61" t="str">
        <f t="shared" si="80"/>
        <v/>
      </c>
      <c r="AN178" s="127" t="str">
        <f>IF(A178="","",IF(A178&lt;=Periodos_Gracia,Tabla!S178,PPMT(Tasa_Anual/360*Días*(1+I.V.A.),Tabla!AM178,No._De_Pagos_con_periodo_de_gracia,-Monto_Crédito)+S178))</f>
        <v/>
      </c>
      <c r="AO178" s="127" t="str">
        <f>IF(A178="","",IF(A178&lt;=Periodos_Gracia,Tabla!AC178,Monto_Crédito/(No._De_Pagos_con_periodo_de_gracia)+AC178))</f>
        <v/>
      </c>
      <c r="AP178" s="117"/>
    </row>
    <row r="179" spans="1:42" x14ac:dyDescent="0.2">
      <c r="A179" s="107" t="str">
        <f>IF(A178&lt;Parámetros!$E$6,A178+1,"")</f>
        <v/>
      </c>
      <c r="B179" s="108" t="str">
        <f t="shared" si="81"/>
        <v/>
      </c>
      <c r="C179" s="108" t="str">
        <f t="shared" si="57"/>
        <v/>
      </c>
      <c r="D179" s="108" t="str">
        <f t="shared" si="58"/>
        <v/>
      </c>
      <c r="E179" s="108" t="str">
        <f t="shared" si="59"/>
        <v/>
      </c>
      <c r="F179" s="108" t="str">
        <f t="shared" si="60"/>
        <v/>
      </c>
      <c r="G179" s="114" t="str">
        <f t="shared" si="70"/>
        <v/>
      </c>
      <c r="H179" s="115">
        <f t="shared" si="71"/>
        <v>0</v>
      </c>
      <c r="I179" s="108" t="str">
        <f t="shared" si="82"/>
        <v/>
      </c>
      <c r="J179" s="108" t="str">
        <f t="shared" si="61"/>
        <v/>
      </c>
      <c r="K179" s="108" t="str">
        <f t="shared" si="62"/>
        <v/>
      </c>
      <c r="L179" s="108" t="str">
        <f t="shared" si="63"/>
        <v/>
      </c>
      <c r="M179" s="108" t="str">
        <f t="shared" si="72"/>
        <v/>
      </c>
      <c r="N179" s="114" t="str">
        <f t="shared" si="73"/>
        <v/>
      </c>
      <c r="O179" s="60">
        <v>0</v>
      </c>
      <c r="P179" s="116">
        <f t="shared" si="74"/>
        <v>0</v>
      </c>
      <c r="R179" s="117" t="str">
        <f t="shared" si="84"/>
        <v/>
      </c>
      <c r="S179" s="118" t="str">
        <f t="shared" si="64"/>
        <v/>
      </c>
      <c r="T179" s="118" t="str">
        <f t="shared" si="65"/>
        <v/>
      </c>
      <c r="U179" s="119">
        <f t="shared" si="75"/>
        <v>0</v>
      </c>
      <c r="V179" s="120" t="str">
        <f>IF(A179="","",IF(A179&lt;=Periodos_Gracia,0,PPMT(Tasa_Anual/360*Días*(1+I.V.A.),Tabla!AM179,No._De_Pagos_con_periodo_de_gracia,-Monto_Crédito)))</f>
        <v/>
      </c>
      <c r="W179" s="110" t="str">
        <f>IF($U$258&lt;=0,V179,IF(SUM($U$18:U179)&lt;=0,V179,PMT($K$5/360*Días,A179,-R179)))</f>
        <v/>
      </c>
      <c r="X179" s="121" t="str">
        <f>IF($U$258&lt;=0,W179,IF(SUM($U$18:U179)&lt;=0,V179,PMT($K$5/360*Días,No._De_Pagos_con_periodo_de_gracia,-Monto_Crédito)-S179-T179))</f>
        <v/>
      </c>
      <c r="Y179" s="117" t="str">
        <f t="shared" si="76"/>
        <v/>
      </c>
      <c r="Z179" s="61" t="str">
        <f>+IF(A179="","",IF(No._de_Pagos-Tabla!A179+1&lt;=0,"",No._de_Pagos-Tabla!A179+1))</f>
        <v/>
      </c>
      <c r="AA179" s="122" t="str">
        <f t="shared" si="77"/>
        <v/>
      </c>
      <c r="AB179" s="124" t="str">
        <f t="shared" si="83"/>
        <v/>
      </c>
      <c r="AC179" s="124" t="str">
        <f t="shared" si="66"/>
        <v/>
      </c>
      <c r="AD179" s="124" t="str">
        <f t="shared" si="67"/>
        <v/>
      </c>
      <c r="AE179" s="119">
        <f t="shared" si="78"/>
        <v>0</v>
      </c>
      <c r="AF179" s="120" t="str">
        <f t="shared" si="68"/>
        <v/>
      </c>
      <c r="AG179" s="110" t="str">
        <f>IF($U$258&lt;=0,AF179,IF(SUM($U$18:U179)&lt;=0,AF179,PMT($K$5/360*Días,A179,-AA179)))</f>
        <v/>
      </c>
      <c r="AH179" s="121" t="str">
        <f>IF(A179&lt;=Periodos_Gracia,0,IF($U$258&lt;=0,AG179,IF(SUM($U$18:U179)&lt;=0,AF179,PMT($K$5/360*Días,No._de_Pagos,-Monto_Crédito)-AC179-AD179)))</f>
        <v/>
      </c>
      <c r="AI179" s="125" t="str">
        <f t="shared" si="79"/>
        <v/>
      </c>
      <c r="AK179" s="126" t="str">
        <f>IF(A179="","",IF(Periodos_Gracia&gt;0,Tabla!AN179,V179+S179))</f>
        <v/>
      </c>
      <c r="AL179" s="126" t="str">
        <f t="shared" si="69"/>
        <v/>
      </c>
      <c r="AM179" s="61" t="str">
        <f t="shared" si="80"/>
        <v/>
      </c>
      <c r="AN179" s="127" t="str">
        <f>IF(A179="","",IF(A179&lt;=Periodos_Gracia,Tabla!S179,PPMT(Tasa_Anual/360*Días*(1+I.V.A.),Tabla!AM179,No._De_Pagos_con_periodo_de_gracia,-Monto_Crédito)+S179))</f>
        <v/>
      </c>
      <c r="AO179" s="127" t="str">
        <f>IF(A179="","",IF(A179&lt;=Periodos_Gracia,Tabla!AC179,Monto_Crédito/(No._De_Pagos_con_periodo_de_gracia)+AC179))</f>
        <v/>
      </c>
      <c r="AP179" s="117"/>
    </row>
    <row r="180" spans="1:42" x14ac:dyDescent="0.2">
      <c r="A180" s="107" t="str">
        <f>IF(A179&lt;Parámetros!$E$6,A179+1,"")</f>
        <v/>
      </c>
      <c r="B180" s="108" t="str">
        <f t="shared" si="81"/>
        <v/>
      </c>
      <c r="C180" s="108" t="str">
        <f t="shared" si="57"/>
        <v/>
      </c>
      <c r="D180" s="108" t="str">
        <f t="shared" si="58"/>
        <v/>
      </c>
      <c r="E180" s="108" t="str">
        <f t="shared" si="59"/>
        <v/>
      </c>
      <c r="F180" s="108" t="str">
        <f t="shared" si="60"/>
        <v/>
      </c>
      <c r="G180" s="114" t="str">
        <f t="shared" si="70"/>
        <v/>
      </c>
      <c r="H180" s="115">
        <f t="shared" si="71"/>
        <v>0</v>
      </c>
      <c r="I180" s="108" t="str">
        <f t="shared" si="82"/>
        <v/>
      </c>
      <c r="J180" s="108" t="str">
        <f t="shared" si="61"/>
        <v/>
      </c>
      <c r="K180" s="108" t="str">
        <f t="shared" si="62"/>
        <v/>
      </c>
      <c r="L180" s="108" t="str">
        <f t="shared" si="63"/>
        <v/>
      </c>
      <c r="M180" s="108" t="str">
        <f t="shared" si="72"/>
        <v/>
      </c>
      <c r="N180" s="114" t="str">
        <f t="shared" si="73"/>
        <v/>
      </c>
      <c r="O180" s="60">
        <v>0</v>
      </c>
      <c r="P180" s="116">
        <f t="shared" si="74"/>
        <v>0</v>
      </c>
      <c r="R180" s="117" t="str">
        <f t="shared" si="84"/>
        <v/>
      </c>
      <c r="S180" s="118" t="str">
        <f t="shared" si="64"/>
        <v/>
      </c>
      <c r="T180" s="118" t="str">
        <f t="shared" si="65"/>
        <v/>
      </c>
      <c r="U180" s="119">
        <f t="shared" si="75"/>
        <v>0</v>
      </c>
      <c r="V180" s="120" t="str">
        <f>IF(A180="","",IF(A180&lt;=Periodos_Gracia,0,PPMT(Tasa_Anual/360*Días*(1+I.V.A.),Tabla!AM180,No._De_Pagos_con_periodo_de_gracia,-Monto_Crédito)))</f>
        <v/>
      </c>
      <c r="W180" s="110" t="str">
        <f>IF($U$258&lt;=0,V180,IF(SUM($U$18:U180)&lt;=0,V180,PMT($K$5/360*Días,A180,-R180)))</f>
        <v/>
      </c>
      <c r="X180" s="121" t="str">
        <f>IF($U$258&lt;=0,W180,IF(SUM($U$18:U180)&lt;=0,V180,PMT($K$5/360*Días,No._De_Pagos_con_periodo_de_gracia,-Monto_Crédito)-S180-T180))</f>
        <v/>
      </c>
      <c r="Y180" s="117" t="str">
        <f t="shared" si="76"/>
        <v/>
      </c>
      <c r="Z180" s="61" t="str">
        <f>+IF(A180="","",IF(No._de_Pagos-Tabla!A180+1&lt;=0,"",No._de_Pagos-Tabla!A180+1))</f>
        <v/>
      </c>
      <c r="AA180" s="122" t="str">
        <f t="shared" si="77"/>
        <v/>
      </c>
      <c r="AB180" s="124" t="str">
        <f t="shared" si="83"/>
        <v/>
      </c>
      <c r="AC180" s="124" t="str">
        <f t="shared" si="66"/>
        <v/>
      </c>
      <c r="AD180" s="124" t="str">
        <f t="shared" si="67"/>
        <v/>
      </c>
      <c r="AE180" s="119">
        <f t="shared" si="78"/>
        <v>0</v>
      </c>
      <c r="AF180" s="120" t="str">
        <f t="shared" si="68"/>
        <v/>
      </c>
      <c r="AG180" s="110" t="str">
        <f>IF($U$258&lt;=0,AF180,IF(SUM($U$18:U180)&lt;=0,AF180,PMT($K$5/360*Días,A180,-AA180)))</f>
        <v/>
      </c>
      <c r="AH180" s="121" t="str">
        <f>IF(A180&lt;=Periodos_Gracia,0,IF($U$258&lt;=0,AG180,IF(SUM($U$18:U180)&lt;=0,AF180,PMT($K$5/360*Días,No._de_Pagos,-Monto_Crédito)-AC180-AD180)))</f>
        <v/>
      </c>
      <c r="AI180" s="125" t="str">
        <f t="shared" si="79"/>
        <v/>
      </c>
      <c r="AK180" s="126" t="str">
        <f>IF(A180="","",IF(Periodos_Gracia&gt;0,Tabla!AN180,V180+S180))</f>
        <v/>
      </c>
      <c r="AL180" s="126" t="str">
        <f t="shared" si="69"/>
        <v/>
      </c>
      <c r="AM180" s="61" t="str">
        <f t="shared" si="80"/>
        <v/>
      </c>
      <c r="AN180" s="127" t="str">
        <f>IF(A180="","",IF(A180&lt;=Periodos_Gracia,Tabla!S180,PPMT(Tasa_Anual/360*Días*(1+I.V.A.),Tabla!AM180,No._De_Pagos_con_periodo_de_gracia,-Monto_Crédito)+S180))</f>
        <v/>
      </c>
      <c r="AO180" s="127" t="str">
        <f>IF(A180="","",IF(A180&lt;=Periodos_Gracia,Tabla!AC180,Monto_Crédito/(No._De_Pagos_con_periodo_de_gracia)+AC180))</f>
        <v/>
      </c>
      <c r="AP180" s="117"/>
    </row>
    <row r="181" spans="1:42" x14ac:dyDescent="0.2">
      <c r="A181" s="107" t="str">
        <f>IF(A180&lt;Parámetros!$E$6,A180+1,"")</f>
        <v/>
      </c>
      <c r="B181" s="108" t="str">
        <f t="shared" si="81"/>
        <v/>
      </c>
      <c r="C181" s="108" t="str">
        <f t="shared" si="57"/>
        <v/>
      </c>
      <c r="D181" s="108" t="str">
        <f t="shared" si="58"/>
        <v/>
      </c>
      <c r="E181" s="108" t="str">
        <f t="shared" si="59"/>
        <v/>
      </c>
      <c r="F181" s="108" t="str">
        <f t="shared" si="60"/>
        <v/>
      </c>
      <c r="G181" s="114" t="str">
        <f t="shared" si="70"/>
        <v/>
      </c>
      <c r="H181" s="115">
        <f t="shared" si="71"/>
        <v>0</v>
      </c>
      <c r="I181" s="108" t="str">
        <f t="shared" si="82"/>
        <v/>
      </c>
      <c r="J181" s="108" t="str">
        <f t="shared" si="61"/>
        <v/>
      </c>
      <c r="K181" s="108" t="str">
        <f t="shared" si="62"/>
        <v/>
      </c>
      <c r="L181" s="108" t="str">
        <f t="shared" si="63"/>
        <v/>
      </c>
      <c r="M181" s="108" t="str">
        <f t="shared" si="72"/>
        <v/>
      </c>
      <c r="N181" s="114" t="str">
        <f t="shared" si="73"/>
        <v/>
      </c>
      <c r="O181" s="60">
        <v>0</v>
      </c>
      <c r="P181" s="116">
        <f t="shared" si="74"/>
        <v>0</v>
      </c>
      <c r="R181" s="117" t="str">
        <f t="shared" si="84"/>
        <v/>
      </c>
      <c r="S181" s="118" t="str">
        <f t="shared" si="64"/>
        <v/>
      </c>
      <c r="T181" s="118" t="str">
        <f t="shared" si="65"/>
        <v/>
      </c>
      <c r="U181" s="119">
        <f t="shared" si="75"/>
        <v>0</v>
      </c>
      <c r="V181" s="120" t="str">
        <f>IF(A181="","",IF(A181&lt;=Periodos_Gracia,0,PPMT(Tasa_Anual/360*Días*(1+I.V.A.),Tabla!AM181,No._De_Pagos_con_periodo_de_gracia,-Monto_Crédito)))</f>
        <v/>
      </c>
      <c r="W181" s="110" t="str">
        <f>IF($U$258&lt;=0,V181,IF(SUM($U$18:U181)&lt;=0,V181,PMT($K$5/360*Días,A181,-R181)))</f>
        <v/>
      </c>
      <c r="X181" s="121" t="str">
        <f>IF($U$258&lt;=0,W181,IF(SUM($U$18:U181)&lt;=0,V181,PMT($K$5/360*Días,No._De_Pagos_con_periodo_de_gracia,-Monto_Crédito)-S181-T181))</f>
        <v/>
      </c>
      <c r="Y181" s="117" t="str">
        <f t="shared" si="76"/>
        <v/>
      </c>
      <c r="Z181" s="61" t="str">
        <f>+IF(A181="","",IF(No._de_Pagos-Tabla!A181+1&lt;=0,"",No._de_Pagos-Tabla!A181+1))</f>
        <v/>
      </c>
      <c r="AA181" s="122" t="str">
        <f t="shared" si="77"/>
        <v/>
      </c>
      <c r="AB181" s="124" t="str">
        <f t="shared" si="83"/>
        <v/>
      </c>
      <c r="AC181" s="124" t="str">
        <f t="shared" si="66"/>
        <v/>
      </c>
      <c r="AD181" s="124" t="str">
        <f t="shared" si="67"/>
        <v/>
      </c>
      <c r="AE181" s="119">
        <f t="shared" si="78"/>
        <v>0</v>
      </c>
      <c r="AF181" s="120" t="str">
        <f t="shared" si="68"/>
        <v/>
      </c>
      <c r="AG181" s="110" t="str">
        <f>IF($U$258&lt;=0,AF181,IF(SUM($U$18:U181)&lt;=0,AF181,PMT($K$5/360*Días,A181,-AA181)))</f>
        <v/>
      </c>
      <c r="AH181" s="121" t="str">
        <f>IF(A181&lt;=Periodos_Gracia,0,IF($U$258&lt;=0,AG181,IF(SUM($U$18:U181)&lt;=0,AF181,PMT($K$5/360*Días,No._de_Pagos,-Monto_Crédito)-AC181-AD181)))</f>
        <v/>
      </c>
      <c r="AI181" s="125" t="str">
        <f t="shared" si="79"/>
        <v/>
      </c>
      <c r="AK181" s="126" t="str">
        <f>IF(A181="","",IF(Periodos_Gracia&gt;0,Tabla!AN181,V181+S181))</f>
        <v/>
      </c>
      <c r="AL181" s="126" t="str">
        <f t="shared" si="69"/>
        <v/>
      </c>
      <c r="AM181" s="61" t="str">
        <f t="shared" si="80"/>
        <v/>
      </c>
      <c r="AN181" s="127" t="str">
        <f>IF(A181="","",IF(A181&lt;=Periodos_Gracia,Tabla!S181,PPMT(Tasa_Anual/360*Días*(1+I.V.A.),Tabla!AM181,No._De_Pagos_con_periodo_de_gracia,-Monto_Crédito)+S181))</f>
        <v/>
      </c>
      <c r="AO181" s="127" t="str">
        <f>IF(A181="","",IF(A181&lt;=Periodos_Gracia,Tabla!AC181,Monto_Crédito/(No._De_Pagos_con_periodo_de_gracia)+AC181))</f>
        <v/>
      </c>
      <c r="AP181" s="117"/>
    </row>
    <row r="182" spans="1:42" x14ac:dyDescent="0.2">
      <c r="A182" s="107" t="str">
        <f>IF(A181&lt;Parámetros!$E$6,A181+1,"")</f>
        <v/>
      </c>
      <c r="B182" s="108" t="str">
        <f t="shared" si="81"/>
        <v/>
      </c>
      <c r="C182" s="108" t="str">
        <f t="shared" si="57"/>
        <v/>
      </c>
      <c r="D182" s="108" t="str">
        <f t="shared" si="58"/>
        <v/>
      </c>
      <c r="E182" s="108" t="str">
        <f t="shared" si="59"/>
        <v/>
      </c>
      <c r="F182" s="108" t="str">
        <f t="shared" si="60"/>
        <v/>
      </c>
      <c r="G182" s="114" t="str">
        <f t="shared" si="70"/>
        <v/>
      </c>
      <c r="H182" s="115">
        <f t="shared" si="71"/>
        <v>0</v>
      </c>
      <c r="I182" s="108" t="str">
        <f t="shared" si="82"/>
        <v/>
      </c>
      <c r="J182" s="108" t="str">
        <f t="shared" si="61"/>
        <v/>
      </c>
      <c r="K182" s="108" t="str">
        <f t="shared" si="62"/>
        <v/>
      </c>
      <c r="L182" s="108" t="str">
        <f t="shared" si="63"/>
        <v/>
      </c>
      <c r="M182" s="108" t="str">
        <f t="shared" si="72"/>
        <v/>
      </c>
      <c r="N182" s="114" t="str">
        <f t="shared" si="73"/>
        <v/>
      </c>
      <c r="O182" s="60">
        <v>0</v>
      </c>
      <c r="P182" s="116">
        <f t="shared" si="74"/>
        <v>0</v>
      </c>
      <c r="R182" s="117" t="str">
        <f t="shared" si="84"/>
        <v/>
      </c>
      <c r="S182" s="118" t="str">
        <f t="shared" si="64"/>
        <v/>
      </c>
      <c r="T182" s="118" t="str">
        <f t="shared" si="65"/>
        <v/>
      </c>
      <c r="U182" s="119">
        <f t="shared" si="75"/>
        <v>0</v>
      </c>
      <c r="V182" s="120" t="str">
        <f>IF(A182="","",IF(A182&lt;=Periodos_Gracia,0,PPMT(Tasa_Anual/360*Días*(1+I.V.A.),Tabla!AM182,No._De_Pagos_con_periodo_de_gracia,-Monto_Crédito)))</f>
        <v/>
      </c>
      <c r="W182" s="110" t="str">
        <f>IF($U$258&lt;=0,V182,IF(SUM($U$18:U182)&lt;=0,V182,PMT($K$5/360*Días,A182,-R182)))</f>
        <v/>
      </c>
      <c r="X182" s="121" t="str">
        <f>IF($U$258&lt;=0,W182,IF(SUM($U$18:U182)&lt;=0,V182,PMT($K$5/360*Días,No._De_Pagos_con_periodo_de_gracia,-Monto_Crédito)-S182-T182))</f>
        <v/>
      </c>
      <c r="Y182" s="117" t="str">
        <f t="shared" si="76"/>
        <v/>
      </c>
      <c r="Z182" s="61" t="str">
        <f>+IF(A182="","",IF(No._de_Pagos-Tabla!A182+1&lt;=0,"",No._de_Pagos-Tabla!A182+1))</f>
        <v/>
      </c>
      <c r="AA182" s="122" t="str">
        <f t="shared" si="77"/>
        <v/>
      </c>
      <c r="AB182" s="124" t="str">
        <f t="shared" si="83"/>
        <v/>
      </c>
      <c r="AC182" s="124" t="str">
        <f t="shared" si="66"/>
        <v/>
      </c>
      <c r="AD182" s="124" t="str">
        <f t="shared" si="67"/>
        <v/>
      </c>
      <c r="AE182" s="119">
        <f t="shared" si="78"/>
        <v>0</v>
      </c>
      <c r="AF182" s="120" t="str">
        <f t="shared" si="68"/>
        <v/>
      </c>
      <c r="AG182" s="110" t="str">
        <f>IF($U$258&lt;=0,AF182,IF(SUM($U$18:U182)&lt;=0,AF182,PMT($K$5/360*Días,A182,-AA182)))</f>
        <v/>
      </c>
      <c r="AH182" s="121" t="str">
        <f>IF(A182&lt;=Periodos_Gracia,0,IF($U$258&lt;=0,AG182,IF(SUM($U$18:U182)&lt;=0,AF182,PMT($K$5/360*Días,No._de_Pagos,-Monto_Crédito)-AC182-AD182)))</f>
        <v/>
      </c>
      <c r="AI182" s="125" t="str">
        <f t="shared" si="79"/>
        <v/>
      </c>
      <c r="AK182" s="126" t="str">
        <f>IF(A182="","",IF(Periodos_Gracia&gt;0,Tabla!AN182,V182+S182))</f>
        <v/>
      </c>
      <c r="AL182" s="126" t="str">
        <f t="shared" si="69"/>
        <v/>
      </c>
      <c r="AM182" s="61" t="str">
        <f t="shared" si="80"/>
        <v/>
      </c>
      <c r="AN182" s="127" t="str">
        <f>IF(A182="","",IF(A182&lt;=Periodos_Gracia,Tabla!S182,PPMT(Tasa_Anual/360*Días*(1+I.V.A.),Tabla!AM182,No._De_Pagos_con_periodo_de_gracia,-Monto_Crédito)+S182))</f>
        <v/>
      </c>
      <c r="AO182" s="127" t="str">
        <f>IF(A182="","",IF(A182&lt;=Periodos_Gracia,Tabla!AC182,Monto_Crédito/(No._De_Pagos_con_periodo_de_gracia)+AC182))</f>
        <v/>
      </c>
      <c r="AP182" s="117"/>
    </row>
    <row r="183" spans="1:42" x14ac:dyDescent="0.2">
      <c r="A183" s="107" t="str">
        <f>IF(A182&lt;Parámetros!$E$6,A182+1,"")</f>
        <v/>
      </c>
      <c r="B183" s="108" t="str">
        <f t="shared" si="81"/>
        <v/>
      </c>
      <c r="C183" s="108" t="str">
        <f t="shared" si="57"/>
        <v/>
      </c>
      <c r="D183" s="108" t="str">
        <f t="shared" si="58"/>
        <v/>
      </c>
      <c r="E183" s="108" t="str">
        <f t="shared" si="59"/>
        <v/>
      </c>
      <c r="F183" s="108" t="str">
        <f t="shared" si="60"/>
        <v/>
      </c>
      <c r="G183" s="114" t="str">
        <f t="shared" si="70"/>
        <v/>
      </c>
      <c r="H183" s="115">
        <f t="shared" si="71"/>
        <v>0</v>
      </c>
      <c r="I183" s="108" t="str">
        <f t="shared" si="82"/>
        <v/>
      </c>
      <c r="J183" s="108" t="str">
        <f t="shared" si="61"/>
        <v/>
      </c>
      <c r="K183" s="108" t="str">
        <f t="shared" si="62"/>
        <v/>
      </c>
      <c r="L183" s="108" t="str">
        <f t="shared" si="63"/>
        <v/>
      </c>
      <c r="M183" s="108" t="str">
        <f t="shared" si="72"/>
        <v/>
      </c>
      <c r="N183" s="114" t="str">
        <f t="shared" si="73"/>
        <v/>
      </c>
      <c r="O183" s="60">
        <v>0</v>
      </c>
      <c r="P183" s="116">
        <f t="shared" si="74"/>
        <v>0</v>
      </c>
      <c r="R183" s="117" t="str">
        <f t="shared" si="84"/>
        <v/>
      </c>
      <c r="S183" s="118" t="str">
        <f t="shared" si="64"/>
        <v/>
      </c>
      <c r="T183" s="118" t="str">
        <f t="shared" si="65"/>
        <v/>
      </c>
      <c r="U183" s="119">
        <f t="shared" si="75"/>
        <v>0</v>
      </c>
      <c r="V183" s="120" t="str">
        <f>IF(A183="","",IF(A183&lt;=Periodos_Gracia,0,PPMT(Tasa_Anual/360*Días*(1+I.V.A.),Tabla!AM183,No._De_Pagos_con_periodo_de_gracia,-Monto_Crédito)))</f>
        <v/>
      </c>
      <c r="W183" s="110" t="str">
        <f>IF($U$258&lt;=0,V183,IF(SUM($U$18:U183)&lt;=0,V183,PMT($K$5/360*Días,A183,-R183)))</f>
        <v/>
      </c>
      <c r="X183" s="121" t="str">
        <f>IF($U$258&lt;=0,W183,IF(SUM($U$18:U183)&lt;=0,V183,PMT($K$5/360*Días,No._De_Pagos_con_periodo_de_gracia,-Monto_Crédito)-S183-T183))</f>
        <v/>
      </c>
      <c r="Y183" s="117" t="str">
        <f t="shared" si="76"/>
        <v/>
      </c>
      <c r="Z183" s="61" t="str">
        <f>+IF(A183="","",IF(No._de_Pagos-Tabla!A183+1&lt;=0,"",No._de_Pagos-Tabla!A183+1))</f>
        <v/>
      </c>
      <c r="AA183" s="122" t="str">
        <f t="shared" si="77"/>
        <v/>
      </c>
      <c r="AB183" s="124" t="str">
        <f t="shared" si="83"/>
        <v/>
      </c>
      <c r="AC183" s="124" t="str">
        <f t="shared" si="66"/>
        <v/>
      </c>
      <c r="AD183" s="124" t="str">
        <f t="shared" si="67"/>
        <v/>
      </c>
      <c r="AE183" s="119">
        <f t="shared" si="78"/>
        <v>0</v>
      </c>
      <c r="AF183" s="120" t="str">
        <f t="shared" si="68"/>
        <v/>
      </c>
      <c r="AG183" s="110" t="str">
        <f>IF($U$258&lt;=0,AF183,IF(SUM($U$18:U183)&lt;=0,AF183,PMT($K$5/360*Días,A183,-AA183)))</f>
        <v/>
      </c>
      <c r="AH183" s="121" t="str">
        <f>IF(A183&lt;=Periodos_Gracia,0,IF($U$258&lt;=0,AG183,IF(SUM($U$18:U183)&lt;=0,AF183,PMT($K$5/360*Días,No._de_Pagos,-Monto_Crédito)-AC183-AD183)))</f>
        <v/>
      </c>
      <c r="AI183" s="125" t="str">
        <f t="shared" si="79"/>
        <v/>
      </c>
      <c r="AK183" s="126" t="str">
        <f>IF(A183="","",IF(Periodos_Gracia&gt;0,Tabla!AN183,V183+S183))</f>
        <v/>
      </c>
      <c r="AL183" s="126" t="str">
        <f t="shared" si="69"/>
        <v/>
      </c>
      <c r="AM183" s="61" t="str">
        <f t="shared" si="80"/>
        <v/>
      </c>
      <c r="AN183" s="127" t="str">
        <f>IF(A183="","",IF(A183&lt;=Periodos_Gracia,Tabla!S183,PPMT(Tasa_Anual/360*Días*(1+I.V.A.),Tabla!AM183,No._De_Pagos_con_periodo_de_gracia,-Monto_Crédito)+S183))</f>
        <v/>
      </c>
      <c r="AO183" s="127" t="str">
        <f>IF(A183="","",IF(A183&lt;=Periodos_Gracia,Tabla!AC183,Monto_Crédito/(No._De_Pagos_con_periodo_de_gracia)+AC183))</f>
        <v/>
      </c>
      <c r="AP183" s="117"/>
    </row>
    <row r="184" spans="1:42" x14ac:dyDescent="0.2">
      <c r="A184" s="107" t="str">
        <f>IF(A183&lt;Parámetros!$E$6,A183+1,"")</f>
        <v/>
      </c>
      <c r="B184" s="108" t="str">
        <f t="shared" si="81"/>
        <v/>
      </c>
      <c r="C184" s="108" t="str">
        <f t="shared" si="57"/>
        <v/>
      </c>
      <c r="D184" s="108" t="str">
        <f t="shared" si="58"/>
        <v/>
      </c>
      <c r="E184" s="108" t="str">
        <f t="shared" si="59"/>
        <v/>
      </c>
      <c r="F184" s="108" t="str">
        <f t="shared" si="60"/>
        <v/>
      </c>
      <c r="G184" s="114" t="str">
        <f t="shared" si="70"/>
        <v/>
      </c>
      <c r="H184" s="115">
        <f t="shared" si="71"/>
        <v>0</v>
      </c>
      <c r="I184" s="108" t="str">
        <f t="shared" si="82"/>
        <v/>
      </c>
      <c r="J184" s="108" t="str">
        <f t="shared" si="61"/>
        <v/>
      </c>
      <c r="K184" s="108" t="str">
        <f t="shared" si="62"/>
        <v/>
      </c>
      <c r="L184" s="108" t="str">
        <f t="shared" si="63"/>
        <v/>
      </c>
      <c r="M184" s="108" t="str">
        <f t="shared" si="72"/>
        <v/>
      </c>
      <c r="N184" s="114" t="str">
        <f t="shared" si="73"/>
        <v/>
      </c>
      <c r="O184" s="60">
        <v>0</v>
      </c>
      <c r="P184" s="116">
        <f t="shared" si="74"/>
        <v>0</v>
      </c>
      <c r="R184" s="117" t="str">
        <f t="shared" si="84"/>
        <v/>
      </c>
      <c r="S184" s="118" t="str">
        <f t="shared" si="64"/>
        <v/>
      </c>
      <c r="T184" s="118" t="str">
        <f t="shared" si="65"/>
        <v/>
      </c>
      <c r="U184" s="119">
        <f t="shared" si="75"/>
        <v>0</v>
      </c>
      <c r="V184" s="120" t="str">
        <f>IF(A184="","",IF(A184&lt;=Periodos_Gracia,0,PPMT(Tasa_Anual/360*Días*(1+I.V.A.),Tabla!AM184,No._De_Pagos_con_periodo_de_gracia,-Monto_Crédito)))</f>
        <v/>
      </c>
      <c r="W184" s="110" t="str">
        <f>IF($U$258&lt;=0,V184,IF(SUM($U$18:U184)&lt;=0,V184,PMT($K$5/360*Días,A184,-R184)))</f>
        <v/>
      </c>
      <c r="X184" s="121" t="str">
        <f>IF($U$258&lt;=0,W184,IF(SUM($U$18:U184)&lt;=0,V184,PMT($K$5/360*Días,No._De_Pagos_con_periodo_de_gracia,-Monto_Crédito)-S184-T184))</f>
        <v/>
      </c>
      <c r="Y184" s="117" t="str">
        <f t="shared" si="76"/>
        <v/>
      </c>
      <c r="Z184" s="61" t="str">
        <f>+IF(A184="","",IF(No._de_Pagos-Tabla!A184+1&lt;=0,"",No._de_Pagos-Tabla!A184+1))</f>
        <v/>
      </c>
      <c r="AA184" s="122" t="str">
        <f t="shared" si="77"/>
        <v/>
      </c>
      <c r="AB184" s="124" t="str">
        <f t="shared" si="83"/>
        <v/>
      </c>
      <c r="AC184" s="124" t="str">
        <f t="shared" si="66"/>
        <v/>
      </c>
      <c r="AD184" s="124" t="str">
        <f t="shared" si="67"/>
        <v/>
      </c>
      <c r="AE184" s="119">
        <f t="shared" si="78"/>
        <v>0</v>
      </c>
      <c r="AF184" s="120" t="str">
        <f t="shared" si="68"/>
        <v/>
      </c>
      <c r="AG184" s="110" t="str">
        <f>IF($U$258&lt;=0,AF184,IF(SUM($U$18:U184)&lt;=0,AF184,PMT($K$5/360*Días,A184,-AA184)))</f>
        <v/>
      </c>
      <c r="AH184" s="121" t="str">
        <f>IF(A184&lt;=Periodos_Gracia,0,IF($U$258&lt;=0,AG184,IF(SUM($U$18:U184)&lt;=0,AF184,PMT($K$5/360*Días,No._de_Pagos,-Monto_Crédito)-AC184-AD184)))</f>
        <v/>
      </c>
      <c r="AI184" s="125" t="str">
        <f t="shared" si="79"/>
        <v/>
      </c>
      <c r="AK184" s="126" t="str">
        <f>IF(A184="","",IF(Periodos_Gracia&gt;0,Tabla!AN184,V184+S184))</f>
        <v/>
      </c>
      <c r="AL184" s="126" t="str">
        <f t="shared" si="69"/>
        <v/>
      </c>
      <c r="AM184" s="61" t="str">
        <f t="shared" si="80"/>
        <v/>
      </c>
      <c r="AN184" s="127" t="str">
        <f>IF(A184="","",IF(A184&lt;=Periodos_Gracia,Tabla!S184,PPMT(Tasa_Anual/360*Días*(1+I.V.A.),Tabla!AM184,No._De_Pagos_con_periodo_de_gracia,-Monto_Crédito)+S184))</f>
        <v/>
      </c>
      <c r="AO184" s="127" t="str">
        <f>IF(A184="","",IF(A184&lt;=Periodos_Gracia,Tabla!AC184,Monto_Crédito/(No._De_Pagos_con_periodo_de_gracia)+AC184))</f>
        <v/>
      </c>
      <c r="AP184" s="117"/>
    </row>
    <row r="185" spans="1:42" x14ac:dyDescent="0.2">
      <c r="A185" s="107" t="str">
        <f>IF(A184&lt;Parámetros!$E$6,A184+1,"")</f>
        <v/>
      </c>
      <c r="B185" s="108" t="str">
        <f t="shared" si="81"/>
        <v/>
      </c>
      <c r="C185" s="108" t="str">
        <f t="shared" si="57"/>
        <v/>
      </c>
      <c r="D185" s="108" t="str">
        <f t="shared" si="58"/>
        <v/>
      </c>
      <c r="E185" s="108" t="str">
        <f t="shared" si="59"/>
        <v/>
      </c>
      <c r="F185" s="108" t="str">
        <f t="shared" si="60"/>
        <v/>
      </c>
      <c r="G185" s="114" t="str">
        <f t="shared" si="70"/>
        <v/>
      </c>
      <c r="H185" s="115">
        <f t="shared" si="71"/>
        <v>0</v>
      </c>
      <c r="I185" s="108" t="str">
        <f t="shared" si="82"/>
        <v/>
      </c>
      <c r="J185" s="108" t="str">
        <f t="shared" si="61"/>
        <v/>
      </c>
      <c r="K185" s="108" t="str">
        <f t="shared" si="62"/>
        <v/>
      </c>
      <c r="L185" s="108" t="str">
        <f t="shared" si="63"/>
        <v/>
      </c>
      <c r="M185" s="108" t="str">
        <f t="shared" si="72"/>
        <v/>
      </c>
      <c r="N185" s="114" t="str">
        <f t="shared" si="73"/>
        <v/>
      </c>
      <c r="O185" s="60">
        <v>0</v>
      </c>
      <c r="P185" s="116">
        <f t="shared" si="74"/>
        <v>0</v>
      </c>
      <c r="R185" s="117" t="str">
        <f t="shared" si="84"/>
        <v/>
      </c>
      <c r="S185" s="118" t="str">
        <f t="shared" si="64"/>
        <v/>
      </c>
      <c r="T185" s="118" t="str">
        <f t="shared" si="65"/>
        <v/>
      </c>
      <c r="U185" s="119">
        <f t="shared" si="75"/>
        <v>0</v>
      </c>
      <c r="V185" s="120" t="str">
        <f>IF(A185="","",IF(A185&lt;=Periodos_Gracia,0,PPMT(Tasa_Anual/360*Días*(1+I.V.A.),Tabla!AM185,No._De_Pagos_con_periodo_de_gracia,-Monto_Crédito)))</f>
        <v/>
      </c>
      <c r="W185" s="110" t="str">
        <f>IF($U$258&lt;=0,V185,IF(SUM($U$18:U185)&lt;=0,V185,PMT($K$5/360*Días,A185,-R185)))</f>
        <v/>
      </c>
      <c r="X185" s="121" t="str">
        <f>IF($U$258&lt;=0,W185,IF(SUM($U$18:U185)&lt;=0,V185,PMT($K$5/360*Días,No._De_Pagos_con_periodo_de_gracia,-Monto_Crédito)-S185-T185))</f>
        <v/>
      </c>
      <c r="Y185" s="117" t="str">
        <f t="shared" si="76"/>
        <v/>
      </c>
      <c r="Z185" s="61" t="str">
        <f>+IF(A185="","",IF(No._de_Pagos-Tabla!A185+1&lt;=0,"",No._de_Pagos-Tabla!A185+1))</f>
        <v/>
      </c>
      <c r="AA185" s="122" t="str">
        <f t="shared" si="77"/>
        <v/>
      </c>
      <c r="AB185" s="124" t="str">
        <f t="shared" si="83"/>
        <v/>
      </c>
      <c r="AC185" s="124" t="str">
        <f t="shared" si="66"/>
        <v/>
      </c>
      <c r="AD185" s="124" t="str">
        <f t="shared" si="67"/>
        <v/>
      </c>
      <c r="AE185" s="119">
        <f t="shared" si="78"/>
        <v>0</v>
      </c>
      <c r="AF185" s="120" t="str">
        <f t="shared" si="68"/>
        <v/>
      </c>
      <c r="AG185" s="110" t="str">
        <f>IF($U$258&lt;=0,AF185,IF(SUM($U$18:U185)&lt;=0,AF185,PMT($K$5/360*Días,A185,-AA185)))</f>
        <v/>
      </c>
      <c r="AH185" s="121" t="str">
        <f>IF(A185&lt;=Periodos_Gracia,0,IF($U$258&lt;=0,AG185,IF(SUM($U$18:U185)&lt;=0,AF185,PMT($K$5/360*Días,No._de_Pagos,-Monto_Crédito)-AC185-AD185)))</f>
        <v/>
      </c>
      <c r="AI185" s="125" t="str">
        <f t="shared" si="79"/>
        <v/>
      </c>
      <c r="AK185" s="126" t="str">
        <f>IF(A185="","",IF(Periodos_Gracia&gt;0,Tabla!AN185,V185+S185))</f>
        <v/>
      </c>
      <c r="AL185" s="126" t="str">
        <f t="shared" si="69"/>
        <v/>
      </c>
      <c r="AM185" s="61" t="str">
        <f t="shared" si="80"/>
        <v/>
      </c>
      <c r="AN185" s="127" t="str">
        <f>IF(A185="","",IF(A185&lt;=Periodos_Gracia,Tabla!S185,PPMT(Tasa_Anual/360*Días*(1+I.V.A.),Tabla!AM185,No._De_Pagos_con_periodo_de_gracia,-Monto_Crédito)+S185))</f>
        <v/>
      </c>
      <c r="AO185" s="127" t="str">
        <f>IF(A185="","",IF(A185&lt;=Periodos_Gracia,Tabla!AC185,Monto_Crédito/(No._De_Pagos_con_periodo_de_gracia)+AC185))</f>
        <v/>
      </c>
      <c r="AP185" s="117"/>
    </row>
    <row r="186" spans="1:42" x14ac:dyDescent="0.2">
      <c r="A186" s="107" t="str">
        <f>IF(A185&lt;Parámetros!$E$6,A185+1,"")</f>
        <v/>
      </c>
      <c r="B186" s="108" t="str">
        <f t="shared" si="81"/>
        <v/>
      </c>
      <c r="C186" s="108" t="str">
        <f t="shared" si="57"/>
        <v/>
      </c>
      <c r="D186" s="108" t="str">
        <f t="shared" si="58"/>
        <v/>
      </c>
      <c r="E186" s="108" t="str">
        <f t="shared" si="59"/>
        <v/>
      </c>
      <c r="F186" s="108" t="str">
        <f t="shared" si="60"/>
        <v/>
      </c>
      <c r="G186" s="114" t="str">
        <f t="shared" si="70"/>
        <v/>
      </c>
      <c r="H186" s="115">
        <f t="shared" si="71"/>
        <v>0</v>
      </c>
      <c r="I186" s="108" t="str">
        <f t="shared" si="82"/>
        <v/>
      </c>
      <c r="J186" s="108" t="str">
        <f t="shared" si="61"/>
        <v/>
      </c>
      <c r="K186" s="108" t="str">
        <f t="shared" si="62"/>
        <v/>
      </c>
      <c r="L186" s="108" t="str">
        <f t="shared" si="63"/>
        <v/>
      </c>
      <c r="M186" s="108" t="str">
        <f t="shared" si="72"/>
        <v/>
      </c>
      <c r="N186" s="114" t="str">
        <f t="shared" si="73"/>
        <v/>
      </c>
      <c r="O186" s="60">
        <v>0</v>
      </c>
      <c r="P186" s="116">
        <f t="shared" si="74"/>
        <v>0</v>
      </c>
      <c r="R186" s="117" t="str">
        <f t="shared" si="84"/>
        <v/>
      </c>
      <c r="S186" s="118" t="str">
        <f t="shared" si="64"/>
        <v/>
      </c>
      <c r="T186" s="118" t="str">
        <f t="shared" si="65"/>
        <v/>
      </c>
      <c r="U186" s="119">
        <f t="shared" si="75"/>
        <v>0</v>
      </c>
      <c r="V186" s="120" t="str">
        <f>IF(A186="","",IF(A186&lt;=Periodos_Gracia,0,PPMT(Tasa_Anual/360*Días*(1+I.V.A.),Tabla!AM186,No._De_Pagos_con_periodo_de_gracia,-Monto_Crédito)))</f>
        <v/>
      </c>
      <c r="W186" s="110" t="str">
        <f>IF($U$258&lt;=0,V186,IF(SUM($U$18:U186)&lt;=0,V186,PMT($K$5/360*Días,A186,-R186)))</f>
        <v/>
      </c>
      <c r="X186" s="121" t="str">
        <f>IF($U$258&lt;=0,W186,IF(SUM($U$18:U186)&lt;=0,V186,PMT($K$5/360*Días,No._De_Pagos_con_periodo_de_gracia,-Monto_Crédito)-S186-T186))</f>
        <v/>
      </c>
      <c r="Y186" s="117" t="str">
        <f t="shared" si="76"/>
        <v/>
      </c>
      <c r="Z186" s="61" t="str">
        <f>+IF(A186="","",IF(No._de_Pagos-Tabla!A186+1&lt;=0,"",No._de_Pagos-Tabla!A186+1))</f>
        <v/>
      </c>
      <c r="AA186" s="122" t="str">
        <f t="shared" si="77"/>
        <v/>
      </c>
      <c r="AB186" s="124" t="str">
        <f t="shared" si="83"/>
        <v/>
      </c>
      <c r="AC186" s="124" t="str">
        <f t="shared" si="66"/>
        <v/>
      </c>
      <c r="AD186" s="124" t="str">
        <f t="shared" si="67"/>
        <v/>
      </c>
      <c r="AE186" s="119">
        <f t="shared" si="78"/>
        <v>0</v>
      </c>
      <c r="AF186" s="120" t="str">
        <f t="shared" si="68"/>
        <v/>
      </c>
      <c r="AG186" s="110" t="str">
        <f>IF($U$258&lt;=0,AF186,IF(SUM($U$18:U186)&lt;=0,AF186,PMT($K$5/360*Días,A186,-AA186)))</f>
        <v/>
      </c>
      <c r="AH186" s="121" t="str">
        <f>IF(A186&lt;=Periodos_Gracia,0,IF($U$258&lt;=0,AG186,IF(SUM($U$18:U186)&lt;=0,AF186,PMT($K$5/360*Días,No._de_Pagos,-Monto_Crédito)-AC186-AD186)))</f>
        <v/>
      </c>
      <c r="AI186" s="125" t="str">
        <f t="shared" si="79"/>
        <v/>
      </c>
      <c r="AK186" s="126" t="str">
        <f>IF(A186="","",IF(Periodos_Gracia&gt;0,Tabla!AN186,V186+S186))</f>
        <v/>
      </c>
      <c r="AL186" s="126" t="str">
        <f t="shared" si="69"/>
        <v/>
      </c>
      <c r="AM186" s="61" t="str">
        <f t="shared" si="80"/>
        <v/>
      </c>
      <c r="AN186" s="127" t="str">
        <f>IF(A186="","",IF(A186&lt;=Periodos_Gracia,Tabla!S186,PPMT(Tasa_Anual/360*Días*(1+I.V.A.),Tabla!AM186,No._De_Pagos_con_periodo_de_gracia,-Monto_Crédito)+S186))</f>
        <v/>
      </c>
      <c r="AO186" s="127" t="str">
        <f>IF(A186="","",IF(A186&lt;=Periodos_Gracia,Tabla!AC186,Monto_Crédito/(No._De_Pagos_con_periodo_de_gracia)+AC186))</f>
        <v/>
      </c>
      <c r="AP186" s="117"/>
    </row>
    <row r="187" spans="1:42" x14ac:dyDescent="0.2">
      <c r="A187" s="107" t="str">
        <f>IF(A186&lt;Parámetros!$E$6,A186+1,"")</f>
        <v/>
      </c>
      <c r="B187" s="108" t="str">
        <f t="shared" si="81"/>
        <v/>
      </c>
      <c r="C187" s="108" t="str">
        <f t="shared" si="57"/>
        <v/>
      </c>
      <c r="D187" s="108" t="str">
        <f t="shared" si="58"/>
        <v/>
      </c>
      <c r="E187" s="108" t="str">
        <f t="shared" si="59"/>
        <v/>
      </c>
      <c r="F187" s="108" t="str">
        <f t="shared" si="60"/>
        <v/>
      </c>
      <c r="G187" s="114" t="str">
        <f t="shared" si="70"/>
        <v/>
      </c>
      <c r="H187" s="115">
        <f t="shared" si="71"/>
        <v>0</v>
      </c>
      <c r="I187" s="108" t="str">
        <f t="shared" si="82"/>
        <v/>
      </c>
      <c r="J187" s="108" t="str">
        <f t="shared" si="61"/>
        <v/>
      </c>
      <c r="K187" s="108" t="str">
        <f t="shared" si="62"/>
        <v/>
      </c>
      <c r="L187" s="108" t="str">
        <f t="shared" si="63"/>
        <v/>
      </c>
      <c r="M187" s="108" t="str">
        <f t="shared" si="72"/>
        <v/>
      </c>
      <c r="N187" s="114" t="str">
        <f t="shared" si="73"/>
        <v/>
      </c>
      <c r="O187" s="60">
        <v>0</v>
      </c>
      <c r="P187" s="116">
        <f t="shared" si="74"/>
        <v>0</v>
      </c>
      <c r="R187" s="117" t="str">
        <f t="shared" si="84"/>
        <v/>
      </c>
      <c r="S187" s="118" t="str">
        <f t="shared" si="64"/>
        <v/>
      </c>
      <c r="T187" s="118" t="str">
        <f t="shared" si="65"/>
        <v/>
      </c>
      <c r="U187" s="119">
        <f t="shared" si="75"/>
        <v>0</v>
      </c>
      <c r="V187" s="120" t="str">
        <f>IF(A187="","",IF(A187&lt;=Periodos_Gracia,0,PPMT(Tasa_Anual/360*Días*(1+I.V.A.),Tabla!AM187,No._De_Pagos_con_periodo_de_gracia,-Monto_Crédito)))</f>
        <v/>
      </c>
      <c r="W187" s="110" t="str">
        <f>IF($U$258&lt;=0,V187,IF(SUM($U$18:U187)&lt;=0,V187,PMT($K$5/360*Días,A187,-R187)))</f>
        <v/>
      </c>
      <c r="X187" s="121" t="str">
        <f>IF($U$258&lt;=0,W187,IF(SUM($U$18:U187)&lt;=0,V187,PMT($K$5/360*Días,No._De_Pagos_con_periodo_de_gracia,-Monto_Crédito)-S187-T187))</f>
        <v/>
      </c>
      <c r="Y187" s="117" t="str">
        <f t="shared" si="76"/>
        <v/>
      </c>
      <c r="Z187" s="61" t="str">
        <f>+IF(A187="","",IF(No._de_Pagos-Tabla!A187+1&lt;=0,"",No._de_Pagos-Tabla!A187+1))</f>
        <v/>
      </c>
      <c r="AA187" s="122" t="str">
        <f t="shared" si="77"/>
        <v/>
      </c>
      <c r="AB187" s="124" t="str">
        <f t="shared" si="83"/>
        <v/>
      </c>
      <c r="AC187" s="124" t="str">
        <f t="shared" si="66"/>
        <v/>
      </c>
      <c r="AD187" s="124" t="str">
        <f t="shared" si="67"/>
        <v/>
      </c>
      <c r="AE187" s="119">
        <f t="shared" si="78"/>
        <v>0</v>
      </c>
      <c r="AF187" s="120" t="str">
        <f t="shared" si="68"/>
        <v/>
      </c>
      <c r="AG187" s="110" t="str">
        <f>IF($U$258&lt;=0,AF187,IF(SUM($U$18:U187)&lt;=0,AF187,PMT($K$5/360*Días,A187,-AA187)))</f>
        <v/>
      </c>
      <c r="AH187" s="121" t="str">
        <f>IF(A187&lt;=Periodos_Gracia,0,IF($U$258&lt;=0,AG187,IF(SUM($U$18:U187)&lt;=0,AF187,PMT($K$5/360*Días,No._de_Pagos,-Monto_Crédito)-AC187-AD187)))</f>
        <v/>
      </c>
      <c r="AI187" s="125" t="str">
        <f t="shared" si="79"/>
        <v/>
      </c>
      <c r="AK187" s="126" t="str">
        <f>IF(A187="","",IF(Periodos_Gracia&gt;0,Tabla!AN187,V187+S187))</f>
        <v/>
      </c>
      <c r="AL187" s="126" t="str">
        <f t="shared" si="69"/>
        <v/>
      </c>
      <c r="AM187" s="61" t="str">
        <f t="shared" si="80"/>
        <v/>
      </c>
      <c r="AN187" s="127" t="str">
        <f>IF(A187="","",IF(A187&lt;=Periodos_Gracia,Tabla!S187,PPMT(Tasa_Anual/360*Días*(1+I.V.A.),Tabla!AM187,No._De_Pagos_con_periodo_de_gracia,-Monto_Crédito)+S187))</f>
        <v/>
      </c>
      <c r="AO187" s="127" t="str">
        <f>IF(A187="","",IF(A187&lt;=Periodos_Gracia,Tabla!AC187,Monto_Crédito/(No._De_Pagos_con_periodo_de_gracia)+AC187))</f>
        <v/>
      </c>
      <c r="AP187" s="117"/>
    </row>
    <row r="188" spans="1:42" x14ac:dyDescent="0.2">
      <c r="A188" s="107" t="str">
        <f>IF(A187&lt;Parámetros!$E$6,A187+1,"")</f>
        <v/>
      </c>
      <c r="B188" s="108" t="str">
        <f t="shared" si="81"/>
        <v/>
      </c>
      <c r="C188" s="108" t="str">
        <f t="shared" si="57"/>
        <v/>
      </c>
      <c r="D188" s="108" t="str">
        <f t="shared" si="58"/>
        <v/>
      </c>
      <c r="E188" s="108" t="str">
        <f t="shared" si="59"/>
        <v/>
      </c>
      <c r="F188" s="108" t="str">
        <f t="shared" si="60"/>
        <v/>
      </c>
      <c r="G188" s="114" t="str">
        <f t="shared" si="70"/>
        <v/>
      </c>
      <c r="H188" s="115">
        <f t="shared" si="71"/>
        <v>0</v>
      </c>
      <c r="I188" s="108" t="str">
        <f t="shared" si="82"/>
        <v/>
      </c>
      <c r="J188" s="108" t="str">
        <f t="shared" si="61"/>
        <v/>
      </c>
      <c r="K188" s="108" t="str">
        <f t="shared" si="62"/>
        <v/>
      </c>
      <c r="L188" s="108" t="str">
        <f t="shared" si="63"/>
        <v/>
      </c>
      <c r="M188" s="108" t="str">
        <f t="shared" si="72"/>
        <v/>
      </c>
      <c r="N188" s="114" t="str">
        <f t="shared" si="73"/>
        <v/>
      </c>
      <c r="O188" s="60">
        <v>0</v>
      </c>
      <c r="P188" s="116">
        <f t="shared" si="74"/>
        <v>0</v>
      </c>
      <c r="R188" s="117" t="str">
        <f t="shared" si="84"/>
        <v/>
      </c>
      <c r="S188" s="118" t="str">
        <f t="shared" si="64"/>
        <v/>
      </c>
      <c r="T188" s="118" t="str">
        <f t="shared" si="65"/>
        <v/>
      </c>
      <c r="U188" s="119">
        <f t="shared" si="75"/>
        <v>0</v>
      </c>
      <c r="V188" s="120" t="str">
        <f>IF(A188="","",IF(A188&lt;=Periodos_Gracia,0,PPMT(Tasa_Anual/360*Días*(1+I.V.A.),Tabla!AM188,No._De_Pagos_con_periodo_de_gracia,-Monto_Crédito)))</f>
        <v/>
      </c>
      <c r="W188" s="110" t="str">
        <f>IF($U$258&lt;=0,V188,IF(SUM($U$18:U188)&lt;=0,V188,PMT($K$5/360*Días,A188,-R188)))</f>
        <v/>
      </c>
      <c r="X188" s="121" t="str">
        <f>IF($U$258&lt;=0,W188,IF(SUM($U$18:U188)&lt;=0,V188,PMT($K$5/360*Días,No._De_Pagos_con_periodo_de_gracia,-Monto_Crédito)-S188-T188))</f>
        <v/>
      </c>
      <c r="Y188" s="117" t="str">
        <f t="shared" si="76"/>
        <v/>
      </c>
      <c r="Z188" s="61" t="str">
        <f>+IF(A188="","",IF(No._de_Pagos-Tabla!A188+1&lt;=0,"",No._de_Pagos-Tabla!A188+1))</f>
        <v/>
      </c>
      <c r="AA188" s="122" t="str">
        <f t="shared" si="77"/>
        <v/>
      </c>
      <c r="AB188" s="124" t="str">
        <f t="shared" si="83"/>
        <v/>
      </c>
      <c r="AC188" s="124" t="str">
        <f t="shared" si="66"/>
        <v/>
      </c>
      <c r="AD188" s="124" t="str">
        <f t="shared" si="67"/>
        <v/>
      </c>
      <c r="AE188" s="119">
        <f t="shared" si="78"/>
        <v>0</v>
      </c>
      <c r="AF188" s="120" t="str">
        <f t="shared" si="68"/>
        <v/>
      </c>
      <c r="AG188" s="110" t="str">
        <f>IF($U$258&lt;=0,AF188,IF(SUM($U$18:U188)&lt;=0,AF188,PMT($K$5/360*Días,A188,-AA188)))</f>
        <v/>
      </c>
      <c r="AH188" s="121" t="str">
        <f>IF(A188&lt;=Periodos_Gracia,0,IF($U$258&lt;=0,AG188,IF(SUM($U$18:U188)&lt;=0,AF188,PMT($K$5/360*Días,No._de_Pagos,-Monto_Crédito)-AC188-AD188)))</f>
        <v/>
      </c>
      <c r="AI188" s="125" t="str">
        <f t="shared" si="79"/>
        <v/>
      </c>
      <c r="AK188" s="126" t="str">
        <f>IF(A188="","",IF(Periodos_Gracia&gt;0,Tabla!AN188,V188+S188))</f>
        <v/>
      </c>
      <c r="AL188" s="126" t="str">
        <f t="shared" si="69"/>
        <v/>
      </c>
      <c r="AM188" s="61" t="str">
        <f t="shared" si="80"/>
        <v/>
      </c>
      <c r="AN188" s="127" t="str">
        <f>IF(A188="","",IF(A188&lt;=Periodos_Gracia,Tabla!S188,PPMT(Tasa_Anual/360*Días*(1+I.V.A.),Tabla!AM188,No._De_Pagos_con_periodo_de_gracia,-Monto_Crédito)+S188))</f>
        <v/>
      </c>
      <c r="AO188" s="127" t="str">
        <f>IF(A188="","",IF(A188&lt;=Periodos_Gracia,Tabla!AC188,Monto_Crédito/(No._De_Pagos_con_periodo_de_gracia)+AC188))</f>
        <v/>
      </c>
      <c r="AP188" s="117"/>
    </row>
    <row r="189" spans="1:42" x14ac:dyDescent="0.2">
      <c r="A189" s="107" t="str">
        <f>IF(A188&lt;Parámetros!$E$6,A188+1,"")</f>
        <v/>
      </c>
      <c r="B189" s="108" t="str">
        <f t="shared" si="81"/>
        <v/>
      </c>
      <c r="C189" s="108" t="str">
        <f t="shared" si="57"/>
        <v/>
      </c>
      <c r="D189" s="108" t="str">
        <f t="shared" si="58"/>
        <v/>
      </c>
      <c r="E189" s="108" t="str">
        <f t="shared" si="59"/>
        <v/>
      </c>
      <c r="F189" s="108" t="str">
        <f t="shared" si="60"/>
        <v/>
      </c>
      <c r="G189" s="114" t="str">
        <f t="shared" si="70"/>
        <v/>
      </c>
      <c r="H189" s="115">
        <f t="shared" si="71"/>
        <v>0</v>
      </c>
      <c r="I189" s="108" t="str">
        <f t="shared" si="82"/>
        <v/>
      </c>
      <c r="J189" s="108" t="str">
        <f t="shared" si="61"/>
        <v/>
      </c>
      <c r="K189" s="108" t="str">
        <f t="shared" si="62"/>
        <v/>
      </c>
      <c r="L189" s="108" t="str">
        <f t="shared" si="63"/>
        <v/>
      </c>
      <c r="M189" s="108" t="str">
        <f t="shared" si="72"/>
        <v/>
      </c>
      <c r="N189" s="114" t="str">
        <f t="shared" si="73"/>
        <v/>
      </c>
      <c r="O189" s="60">
        <v>0</v>
      </c>
      <c r="P189" s="116">
        <f t="shared" si="74"/>
        <v>0</v>
      </c>
      <c r="R189" s="117" t="str">
        <f t="shared" si="84"/>
        <v/>
      </c>
      <c r="S189" s="118" t="str">
        <f t="shared" si="64"/>
        <v/>
      </c>
      <c r="T189" s="118" t="str">
        <f t="shared" si="65"/>
        <v/>
      </c>
      <c r="U189" s="119">
        <f t="shared" si="75"/>
        <v>0</v>
      </c>
      <c r="V189" s="120" t="str">
        <f>IF(A189="","",IF(A189&lt;=Periodos_Gracia,0,PPMT(Tasa_Anual/360*Días*(1+I.V.A.),Tabla!AM189,No._De_Pagos_con_periodo_de_gracia,-Monto_Crédito)))</f>
        <v/>
      </c>
      <c r="W189" s="110" t="str">
        <f>IF($U$258&lt;=0,V189,IF(SUM($U$18:U189)&lt;=0,V189,PMT($K$5/360*Días,A189,-R189)))</f>
        <v/>
      </c>
      <c r="X189" s="121" t="str">
        <f>IF($U$258&lt;=0,W189,IF(SUM($U$18:U189)&lt;=0,V189,PMT($K$5/360*Días,No._De_Pagos_con_periodo_de_gracia,-Monto_Crédito)-S189-T189))</f>
        <v/>
      </c>
      <c r="Y189" s="117" t="str">
        <f t="shared" si="76"/>
        <v/>
      </c>
      <c r="Z189" s="61" t="str">
        <f>+IF(A189="","",IF(No._de_Pagos-Tabla!A189+1&lt;=0,"",No._de_Pagos-Tabla!A189+1))</f>
        <v/>
      </c>
      <c r="AA189" s="122" t="str">
        <f t="shared" si="77"/>
        <v/>
      </c>
      <c r="AB189" s="124" t="str">
        <f t="shared" si="83"/>
        <v/>
      </c>
      <c r="AC189" s="124" t="str">
        <f t="shared" si="66"/>
        <v/>
      </c>
      <c r="AD189" s="124" t="str">
        <f t="shared" si="67"/>
        <v/>
      </c>
      <c r="AE189" s="119">
        <f t="shared" si="78"/>
        <v>0</v>
      </c>
      <c r="AF189" s="120" t="str">
        <f t="shared" si="68"/>
        <v/>
      </c>
      <c r="AG189" s="110" t="str">
        <f>IF($U$258&lt;=0,AF189,IF(SUM($U$18:U189)&lt;=0,AF189,PMT($K$5/360*Días,A189,-AA189)))</f>
        <v/>
      </c>
      <c r="AH189" s="121" t="str">
        <f>IF(A189&lt;=Periodos_Gracia,0,IF($U$258&lt;=0,AG189,IF(SUM($U$18:U189)&lt;=0,AF189,PMT($K$5/360*Días,No._de_Pagos,-Monto_Crédito)-AC189-AD189)))</f>
        <v/>
      </c>
      <c r="AI189" s="125" t="str">
        <f t="shared" si="79"/>
        <v/>
      </c>
      <c r="AK189" s="126" t="str">
        <f>IF(A189="","",IF(Periodos_Gracia&gt;0,Tabla!AN189,V189+S189))</f>
        <v/>
      </c>
      <c r="AL189" s="126" t="str">
        <f t="shared" si="69"/>
        <v/>
      </c>
      <c r="AM189" s="61" t="str">
        <f t="shared" si="80"/>
        <v/>
      </c>
      <c r="AN189" s="127" t="str">
        <f>IF(A189="","",IF(A189&lt;=Periodos_Gracia,Tabla!S189,PPMT(Tasa_Anual/360*Días*(1+I.V.A.),Tabla!AM189,No._De_Pagos_con_periodo_de_gracia,-Monto_Crédito)+S189))</f>
        <v/>
      </c>
      <c r="AO189" s="127" t="str">
        <f>IF(A189="","",IF(A189&lt;=Periodos_Gracia,Tabla!AC189,Monto_Crédito/(No._De_Pagos_con_periodo_de_gracia)+AC189))</f>
        <v/>
      </c>
      <c r="AP189" s="117"/>
    </row>
    <row r="190" spans="1:42" x14ac:dyDescent="0.2">
      <c r="A190" s="107" t="str">
        <f>IF(A189&lt;Parámetros!$E$6,A189+1,"")</f>
        <v/>
      </c>
      <c r="B190" s="108" t="str">
        <f t="shared" si="81"/>
        <v/>
      </c>
      <c r="C190" s="108" t="str">
        <f t="shared" si="57"/>
        <v/>
      </c>
      <c r="D190" s="108" t="str">
        <f t="shared" si="58"/>
        <v/>
      </c>
      <c r="E190" s="108" t="str">
        <f t="shared" si="59"/>
        <v/>
      </c>
      <c r="F190" s="108" t="str">
        <f t="shared" si="60"/>
        <v/>
      </c>
      <c r="G190" s="114" t="str">
        <f t="shared" si="70"/>
        <v/>
      </c>
      <c r="H190" s="115">
        <f t="shared" si="71"/>
        <v>0</v>
      </c>
      <c r="I190" s="108" t="str">
        <f t="shared" si="82"/>
        <v/>
      </c>
      <c r="J190" s="108" t="str">
        <f t="shared" si="61"/>
        <v/>
      </c>
      <c r="K190" s="108" t="str">
        <f t="shared" si="62"/>
        <v/>
      </c>
      <c r="L190" s="108" t="str">
        <f t="shared" si="63"/>
        <v/>
      </c>
      <c r="M190" s="108" t="str">
        <f t="shared" si="72"/>
        <v/>
      </c>
      <c r="N190" s="114" t="str">
        <f t="shared" si="73"/>
        <v/>
      </c>
      <c r="O190" s="60">
        <v>0</v>
      </c>
      <c r="P190" s="116">
        <f t="shared" si="74"/>
        <v>0</v>
      </c>
      <c r="R190" s="117" t="str">
        <f t="shared" si="84"/>
        <v/>
      </c>
      <c r="S190" s="118" t="str">
        <f t="shared" si="64"/>
        <v/>
      </c>
      <c r="T190" s="118" t="str">
        <f t="shared" si="65"/>
        <v/>
      </c>
      <c r="U190" s="119">
        <f t="shared" si="75"/>
        <v>0</v>
      </c>
      <c r="V190" s="120" t="str">
        <f>IF(A190="","",IF(A190&lt;=Periodos_Gracia,0,PPMT(Tasa_Anual/360*Días*(1+I.V.A.),Tabla!AM190,No._De_Pagos_con_periodo_de_gracia,-Monto_Crédito)))</f>
        <v/>
      </c>
      <c r="W190" s="110" t="str">
        <f>IF($U$258&lt;=0,V190,IF(SUM($U$18:U190)&lt;=0,V190,PMT($K$5/360*Días,A190,-R190)))</f>
        <v/>
      </c>
      <c r="X190" s="121" t="str">
        <f>IF($U$258&lt;=0,W190,IF(SUM($U$18:U190)&lt;=0,V190,PMT($K$5/360*Días,No._De_Pagos_con_periodo_de_gracia,-Monto_Crédito)-S190-T190))</f>
        <v/>
      </c>
      <c r="Y190" s="117" t="str">
        <f t="shared" si="76"/>
        <v/>
      </c>
      <c r="Z190" s="61" t="str">
        <f>+IF(A190="","",IF(No._de_Pagos-Tabla!A190+1&lt;=0,"",No._de_Pagos-Tabla!A190+1))</f>
        <v/>
      </c>
      <c r="AA190" s="122" t="str">
        <f t="shared" si="77"/>
        <v/>
      </c>
      <c r="AB190" s="124" t="str">
        <f t="shared" si="83"/>
        <v/>
      </c>
      <c r="AC190" s="124" t="str">
        <f t="shared" si="66"/>
        <v/>
      </c>
      <c r="AD190" s="124" t="str">
        <f t="shared" si="67"/>
        <v/>
      </c>
      <c r="AE190" s="119">
        <f t="shared" si="78"/>
        <v>0</v>
      </c>
      <c r="AF190" s="120" t="str">
        <f t="shared" si="68"/>
        <v/>
      </c>
      <c r="AG190" s="110" t="str">
        <f>IF($U$258&lt;=0,AF190,IF(SUM($U$18:U190)&lt;=0,AF190,PMT($K$5/360*Días,A190,-AA190)))</f>
        <v/>
      </c>
      <c r="AH190" s="121" t="str">
        <f>IF(A190&lt;=Periodos_Gracia,0,IF($U$258&lt;=0,AG190,IF(SUM($U$18:U190)&lt;=0,AF190,PMT($K$5/360*Días,No._de_Pagos,-Monto_Crédito)-AC190-AD190)))</f>
        <v/>
      </c>
      <c r="AI190" s="125" t="str">
        <f t="shared" si="79"/>
        <v/>
      </c>
      <c r="AK190" s="126" t="str">
        <f>IF(A190="","",IF(Periodos_Gracia&gt;0,Tabla!AN190,V190+S190))</f>
        <v/>
      </c>
      <c r="AL190" s="126" t="str">
        <f t="shared" si="69"/>
        <v/>
      </c>
      <c r="AM190" s="61" t="str">
        <f t="shared" si="80"/>
        <v/>
      </c>
      <c r="AN190" s="127" t="str">
        <f>IF(A190="","",IF(A190&lt;=Periodos_Gracia,Tabla!S190,PPMT(Tasa_Anual/360*Días*(1+I.V.A.),Tabla!AM190,No._De_Pagos_con_periodo_de_gracia,-Monto_Crédito)+S190))</f>
        <v/>
      </c>
      <c r="AO190" s="127" t="str">
        <f>IF(A190="","",IF(A190&lt;=Periodos_Gracia,Tabla!AC190,Monto_Crédito/(No._De_Pagos_con_periodo_de_gracia)+AC190))</f>
        <v/>
      </c>
      <c r="AP190" s="117"/>
    </row>
    <row r="191" spans="1:42" x14ac:dyDescent="0.2">
      <c r="A191" s="107" t="str">
        <f>IF(A190&lt;Parámetros!$E$6,A190+1,"")</f>
        <v/>
      </c>
      <c r="B191" s="108" t="str">
        <f t="shared" si="81"/>
        <v/>
      </c>
      <c r="C191" s="108" t="str">
        <f t="shared" si="57"/>
        <v/>
      </c>
      <c r="D191" s="108" t="str">
        <f t="shared" si="58"/>
        <v/>
      </c>
      <c r="E191" s="108" t="str">
        <f t="shared" si="59"/>
        <v/>
      </c>
      <c r="F191" s="108" t="str">
        <f t="shared" si="60"/>
        <v/>
      </c>
      <c r="G191" s="114" t="str">
        <f t="shared" si="70"/>
        <v/>
      </c>
      <c r="H191" s="115">
        <f t="shared" si="71"/>
        <v>0</v>
      </c>
      <c r="I191" s="108" t="str">
        <f t="shared" si="82"/>
        <v/>
      </c>
      <c r="J191" s="108" t="str">
        <f t="shared" si="61"/>
        <v/>
      </c>
      <c r="K191" s="108" t="str">
        <f t="shared" si="62"/>
        <v/>
      </c>
      <c r="L191" s="108" t="str">
        <f t="shared" si="63"/>
        <v/>
      </c>
      <c r="M191" s="108" t="str">
        <f t="shared" si="72"/>
        <v/>
      </c>
      <c r="N191" s="114" t="str">
        <f t="shared" si="73"/>
        <v/>
      </c>
      <c r="O191" s="60">
        <v>0</v>
      </c>
      <c r="P191" s="116">
        <f t="shared" si="74"/>
        <v>0</v>
      </c>
      <c r="R191" s="117" t="str">
        <f t="shared" si="84"/>
        <v/>
      </c>
      <c r="S191" s="118" t="str">
        <f t="shared" si="64"/>
        <v/>
      </c>
      <c r="T191" s="118" t="str">
        <f t="shared" si="65"/>
        <v/>
      </c>
      <c r="U191" s="119">
        <f t="shared" si="75"/>
        <v>0</v>
      </c>
      <c r="V191" s="120" t="str">
        <f>IF(A191="","",IF(A191&lt;=Periodos_Gracia,0,PPMT(Tasa_Anual/360*Días*(1+I.V.A.),Tabla!AM191,No._De_Pagos_con_periodo_de_gracia,-Monto_Crédito)))</f>
        <v/>
      </c>
      <c r="W191" s="110" t="str">
        <f>IF($U$258&lt;=0,V191,IF(SUM($U$18:U191)&lt;=0,V191,PMT($K$5/360*Días,A191,-R191)))</f>
        <v/>
      </c>
      <c r="X191" s="121" t="str">
        <f>IF($U$258&lt;=0,W191,IF(SUM($U$18:U191)&lt;=0,V191,PMT($K$5/360*Días,No._De_Pagos_con_periodo_de_gracia,-Monto_Crédito)-S191-T191))</f>
        <v/>
      </c>
      <c r="Y191" s="117" t="str">
        <f t="shared" si="76"/>
        <v/>
      </c>
      <c r="Z191" s="61" t="str">
        <f>+IF(A191="","",IF(No._de_Pagos-Tabla!A191+1&lt;=0,"",No._de_Pagos-Tabla!A191+1))</f>
        <v/>
      </c>
      <c r="AA191" s="122" t="str">
        <f t="shared" si="77"/>
        <v/>
      </c>
      <c r="AB191" s="124" t="str">
        <f t="shared" si="83"/>
        <v/>
      </c>
      <c r="AC191" s="124" t="str">
        <f t="shared" si="66"/>
        <v/>
      </c>
      <c r="AD191" s="124" t="str">
        <f t="shared" si="67"/>
        <v/>
      </c>
      <c r="AE191" s="119">
        <f t="shared" si="78"/>
        <v>0</v>
      </c>
      <c r="AF191" s="120" t="str">
        <f t="shared" si="68"/>
        <v/>
      </c>
      <c r="AG191" s="110" t="str">
        <f>IF($U$258&lt;=0,AF191,IF(SUM($U$18:U191)&lt;=0,AF191,PMT($K$5/360*Días,A191,-AA191)))</f>
        <v/>
      </c>
      <c r="AH191" s="121" t="str">
        <f>IF(A191&lt;=Periodos_Gracia,0,IF($U$258&lt;=0,AG191,IF(SUM($U$18:U191)&lt;=0,AF191,PMT($K$5/360*Días,No._de_Pagos,-Monto_Crédito)-AC191-AD191)))</f>
        <v/>
      </c>
      <c r="AI191" s="125" t="str">
        <f t="shared" si="79"/>
        <v/>
      </c>
      <c r="AK191" s="126" t="str">
        <f>IF(A191="","",IF(Periodos_Gracia&gt;0,Tabla!AN191,V191+S191))</f>
        <v/>
      </c>
      <c r="AL191" s="126" t="str">
        <f t="shared" si="69"/>
        <v/>
      </c>
      <c r="AM191" s="61" t="str">
        <f t="shared" si="80"/>
        <v/>
      </c>
      <c r="AN191" s="127" t="str">
        <f>IF(A191="","",IF(A191&lt;=Periodos_Gracia,Tabla!S191,PPMT(Tasa_Anual/360*Días*(1+I.V.A.),Tabla!AM191,No._De_Pagos_con_periodo_de_gracia,-Monto_Crédito)+S191))</f>
        <v/>
      </c>
      <c r="AO191" s="127" t="str">
        <f>IF(A191="","",IF(A191&lt;=Periodos_Gracia,Tabla!AC191,Monto_Crédito/(No._De_Pagos_con_periodo_de_gracia)+AC191))</f>
        <v/>
      </c>
      <c r="AP191" s="117"/>
    </row>
    <row r="192" spans="1:42" x14ac:dyDescent="0.2">
      <c r="A192" s="107" t="str">
        <f>IF(A191&lt;Parámetros!$E$6,A191+1,"")</f>
        <v/>
      </c>
      <c r="B192" s="108" t="str">
        <f t="shared" si="81"/>
        <v/>
      </c>
      <c r="C192" s="108" t="str">
        <f t="shared" si="57"/>
        <v/>
      </c>
      <c r="D192" s="108" t="str">
        <f t="shared" si="58"/>
        <v/>
      </c>
      <c r="E192" s="108" t="str">
        <f t="shared" si="59"/>
        <v/>
      </c>
      <c r="F192" s="108" t="str">
        <f t="shared" si="60"/>
        <v/>
      </c>
      <c r="G192" s="114" t="str">
        <f t="shared" si="70"/>
        <v/>
      </c>
      <c r="H192" s="115">
        <f t="shared" si="71"/>
        <v>0</v>
      </c>
      <c r="I192" s="108" t="str">
        <f t="shared" si="82"/>
        <v/>
      </c>
      <c r="J192" s="108" t="str">
        <f t="shared" si="61"/>
        <v/>
      </c>
      <c r="K192" s="108" t="str">
        <f t="shared" si="62"/>
        <v/>
      </c>
      <c r="L192" s="108" t="str">
        <f t="shared" si="63"/>
        <v/>
      </c>
      <c r="M192" s="108" t="str">
        <f t="shared" si="72"/>
        <v/>
      </c>
      <c r="N192" s="114" t="str">
        <f t="shared" si="73"/>
        <v/>
      </c>
      <c r="O192" s="60">
        <v>0</v>
      </c>
      <c r="P192" s="116">
        <f t="shared" si="74"/>
        <v>0</v>
      </c>
      <c r="R192" s="117" t="str">
        <f t="shared" si="84"/>
        <v/>
      </c>
      <c r="S192" s="118" t="str">
        <f t="shared" si="64"/>
        <v/>
      </c>
      <c r="T192" s="118" t="str">
        <f t="shared" si="65"/>
        <v/>
      </c>
      <c r="U192" s="119">
        <f t="shared" si="75"/>
        <v>0</v>
      </c>
      <c r="V192" s="120" t="str">
        <f>IF(A192="","",IF(A192&lt;=Periodos_Gracia,0,PPMT(Tasa_Anual/360*Días*(1+I.V.A.),Tabla!AM192,No._De_Pagos_con_periodo_de_gracia,-Monto_Crédito)))</f>
        <v/>
      </c>
      <c r="W192" s="110" t="str">
        <f>IF($U$258&lt;=0,V192,IF(SUM($U$18:U192)&lt;=0,V192,PMT($K$5/360*Días,A192,-R192)))</f>
        <v/>
      </c>
      <c r="X192" s="121" t="str">
        <f>IF($U$258&lt;=0,W192,IF(SUM($U$18:U192)&lt;=0,V192,PMT($K$5/360*Días,No._De_Pagos_con_periodo_de_gracia,-Monto_Crédito)-S192-T192))</f>
        <v/>
      </c>
      <c r="Y192" s="117" t="str">
        <f t="shared" si="76"/>
        <v/>
      </c>
      <c r="Z192" s="61" t="str">
        <f>+IF(A192="","",IF(No._de_Pagos-Tabla!A192+1&lt;=0,"",No._de_Pagos-Tabla!A192+1))</f>
        <v/>
      </c>
      <c r="AA192" s="122" t="str">
        <f t="shared" si="77"/>
        <v/>
      </c>
      <c r="AB192" s="124" t="str">
        <f t="shared" si="83"/>
        <v/>
      </c>
      <c r="AC192" s="124" t="str">
        <f t="shared" si="66"/>
        <v/>
      </c>
      <c r="AD192" s="124" t="str">
        <f t="shared" si="67"/>
        <v/>
      </c>
      <c r="AE192" s="119">
        <f t="shared" si="78"/>
        <v>0</v>
      </c>
      <c r="AF192" s="120" t="str">
        <f t="shared" si="68"/>
        <v/>
      </c>
      <c r="AG192" s="110" t="str">
        <f>IF($U$258&lt;=0,AF192,IF(SUM($U$18:U192)&lt;=0,AF192,PMT($K$5/360*Días,A192,-AA192)))</f>
        <v/>
      </c>
      <c r="AH192" s="121" t="str">
        <f>IF(A192&lt;=Periodos_Gracia,0,IF($U$258&lt;=0,AG192,IF(SUM($U$18:U192)&lt;=0,AF192,PMT($K$5/360*Días,No._de_Pagos,-Monto_Crédito)-AC192-AD192)))</f>
        <v/>
      </c>
      <c r="AI192" s="125" t="str">
        <f t="shared" si="79"/>
        <v/>
      </c>
      <c r="AK192" s="126" t="str">
        <f>IF(A192="","",IF(Periodos_Gracia&gt;0,Tabla!AN192,V192+S192))</f>
        <v/>
      </c>
      <c r="AL192" s="126" t="str">
        <f t="shared" si="69"/>
        <v/>
      </c>
      <c r="AM192" s="61" t="str">
        <f t="shared" si="80"/>
        <v/>
      </c>
      <c r="AN192" s="127" t="str">
        <f>IF(A192="","",IF(A192&lt;=Periodos_Gracia,Tabla!S192,PPMT(Tasa_Anual/360*Días*(1+I.V.A.),Tabla!AM192,No._De_Pagos_con_periodo_de_gracia,-Monto_Crédito)+S192))</f>
        <v/>
      </c>
      <c r="AO192" s="127" t="str">
        <f>IF(A192="","",IF(A192&lt;=Periodos_Gracia,Tabla!AC192,Monto_Crédito/(No._De_Pagos_con_periodo_de_gracia)+AC192))</f>
        <v/>
      </c>
      <c r="AP192" s="117"/>
    </row>
    <row r="193" spans="1:42" x14ac:dyDescent="0.2">
      <c r="A193" s="107" t="str">
        <f>IF(A192&lt;Parámetros!$E$6,A192+1,"")</f>
        <v/>
      </c>
      <c r="B193" s="108" t="str">
        <f t="shared" si="81"/>
        <v/>
      </c>
      <c r="C193" s="108" t="str">
        <f t="shared" si="57"/>
        <v/>
      </c>
      <c r="D193" s="108" t="str">
        <f t="shared" si="58"/>
        <v/>
      </c>
      <c r="E193" s="108" t="str">
        <f t="shared" si="59"/>
        <v/>
      </c>
      <c r="F193" s="108" t="str">
        <f t="shared" si="60"/>
        <v/>
      </c>
      <c r="G193" s="114" t="str">
        <f t="shared" si="70"/>
        <v/>
      </c>
      <c r="H193" s="115">
        <f t="shared" si="71"/>
        <v>0</v>
      </c>
      <c r="I193" s="108" t="str">
        <f t="shared" si="82"/>
        <v/>
      </c>
      <c r="J193" s="108" t="str">
        <f t="shared" si="61"/>
        <v/>
      </c>
      <c r="K193" s="108" t="str">
        <f t="shared" si="62"/>
        <v/>
      </c>
      <c r="L193" s="108" t="str">
        <f t="shared" si="63"/>
        <v/>
      </c>
      <c r="M193" s="108" t="str">
        <f t="shared" si="72"/>
        <v/>
      </c>
      <c r="N193" s="114" t="str">
        <f t="shared" si="73"/>
        <v/>
      </c>
      <c r="O193" s="60">
        <v>0</v>
      </c>
      <c r="P193" s="116">
        <f t="shared" si="74"/>
        <v>0</v>
      </c>
      <c r="R193" s="117" t="str">
        <f t="shared" si="84"/>
        <v/>
      </c>
      <c r="S193" s="118" t="str">
        <f t="shared" si="64"/>
        <v/>
      </c>
      <c r="T193" s="118" t="str">
        <f t="shared" si="65"/>
        <v/>
      </c>
      <c r="U193" s="119">
        <f t="shared" si="75"/>
        <v>0</v>
      </c>
      <c r="V193" s="120" t="str">
        <f>IF(A193="","",IF(A193&lt;=Periodos_Gracia,0,PPMT(Tasa_Anual/360*Días*(1+I.V.A.),Tabla!AM193,No._De_Pagos_con_periodo_de_gracia,-Monto_Crédito)))</f>
        <v/>
      </c>
      <c r="W193" s="110" t="str">
        <f>IF($U$258&lt;=0,V193,IF(SUM($U$18:U193)&lt;=0,V193,PMT($K$5/360*Días,A193,-R193)))</f>
        <v/>
      </c>
      <c r="X193" s="121" t="str">
        <f>IF($U$258&lt;=0,W193,IF(SUM($U$18:U193)&lt;=0,V193,PMT($K$5/360*Días,No._De_Pagos_con_periodo_de_gracia,-Monto_Crédito)-S193-T193))</f>
        <v/>
      </c>
      <c r="Y193" s="117" t="str">
        <f t="shared" si="76"/>
        <v/>
      </c>
      <c r="Z193" s="61" t="str">
        <f>+IF(A193="","",IF(No._de_Pagos-Tabla!A193+1&lt;=0,"",No._de_Pagos-Tabla!A193+1))</f>
        <v/>
      </c>
      <c r="AA193" s="122" t="str">
        <f t="shared" si="77"/>
        <v/>
      </c>
      <c r="AB193" s="124" t="str">
        <f t="shared" si="83"/>
        <v/>
      </c>
      <c r="AC193" s="124" t="str">
        <f t="shared" si="66"/>
        <v/>
      </c>
      <c r="AD193" s="124" t="str">
        <f t="shared" si="67"/>
        <v/>
      </c>
      <c r="AE193" s="119">
        <f t="shared" si="78"/>
        <v>0</v>
      </c>
      <c r="AF193" s="120" t="str">
        <f t="shared" si="68"/>
        <v/>
      </c>
      <c r="AG193" s="110" t="str">
        <f>IF($U$258&lt;=0,AF193,IF(SUM($U$18:U193)&lt;=0,AF193,PMT($K$5/360*Días,A193,-AA193)))</f>
        <v/>
      </c>
      <c r="AH193" s="121" t="str">
        <f>IF(A193&lt;=Periodos_Gracia,0,IF($U$258&lt;=0,AG193,IF(SUM($U$18:U193)&lt;=0,AF193,PMT($K$5/360*Días,No._de_Pagos,-Monto_Crédito)-AC193-AD193)))</f>
        <v/>
      </c>
      <c r="AI193" s="125" t="str">
        <f t="shared" si="79"/>
        <v/>
      </c>
      <c r="AK193" s="126" t="str">
        <f>IF(A193="","",IF(Periodos_Gracia&gt;0,Tabla!AN193,V193+S193))</f>
        <v/>
      </c>
      <c r="AL193" s="126" t="str">
        <f t="shared" si="69"/>
        <v/>
      </c>
      <c r="AM193" s="61" t="str">
        <f t="shared" si="80"/>
        <v/>
      </c>
      <c r="AN193" s="127" t="str">
        <f>IF(A193="","",IF(A193&lt;=Periodos_Gracia,Tabla!S193,PPMT(Tasa_Anual/360*Días*(1+I.V.A.),Tabla!AM193,No._De_Pagos_con_periodo_de_gracia,-Monto_Crédito)+S193))</f>
        <v/>
      </c>
      <c r="AO193" s="127" t="str">
        <f>IF(A193="","",IF(A193&lt;=Periodos_Gracia,Tabla!AC193,Monto_Crédito/(No._De_Pagos_con_periodo_de_gracia)+AC193))</f>
        <v/>
      </c>
      <c r="AP193" s="117"/>
    </row>
    <row r="194" spans="1:42" x14ac:dyDescent="0.2">
      <c r="A194" s="107" t="str">
        <f>IF(A193&lt;Parámetros!$E$6,A193+1,"")</f>
        <v/>
      </c>
      <c r="B194" s="108" t="str">
        <f t="shared" si="81"/>
        <v/>
      </c>
      <c r="C194" s="108" t="str">
        <f t="shared" si="57"/>
        <v/>
      </c>
      <c r="D194" s="108" t="str">
        <f t="shared" si="58"/>
        <v/>
      </c>
      <c r="E194" s="108" t="str">
        <f t="shared" si="59"/>
        <v/>
      </c>
      <c r="F194" s="108" t="str">
        <f t="shared" si="60"/>
        <v/>
      </c>
      <c r="G194" s="114" t="str">
        <f t="shared" si="70"/>
        <v/>
      </c>
      <c r="H194" s="115">
        <f t="shared" si="71"/>
        <v>0</v>
      </c>
      <c r="I194" s="108" t="str">
        <f t="shared" si="82"/>
        <v/>
      </c>
      <c r="J194" s="108" t="str">
        <f t="shared" si="61"/>
        <v/>
      </c>
      <c r="K194" s="108" t="str">
        <f t="shared" si="62"/>
        <v/>
      </c>
      <c r="L194" s="108" t="str">
        <f t="shared" si="63"/>
        <v/>
      </c>
      <c r="M194" s="108" t="str">
        <f t="shared" si="72"/>
        <v/>
      </c>
      <c r="N194" s="114" t="str">
        <f t="shared" si="73"/>
        <v/>
      </c>
      <c r="O194" s="60">
        <v>0</v>
      </c>
      <c r="P194" s="116">
        <f t="shared" si="74"/>
        <v>0</v>
      </c>
      <c r="R194" s="117" t="str">
        <f t="shared" si="84"/>
        <v/>
      </c>
      <c r="S194" s="118" t="str">
        <f t="shared" si="64"/>
        <v/>
      </c>
      <c r="T194" s="118" t="str">
        <f t="shared" si="65"/>
        <v/>
      </c>
      <c r="U194" s="119">
        <f t="shared" si="75"/>
        <v>0</v>
      </c>
      <c r="V194" s="120" t="str">
        <f>IF(A194="","",IF(A194&lt;=Periodos_Gracia,0,PPMT(Tasa_Anual/360*Días*(1+I.V.A.),Tabla!AM194,No._De_Pagos_con_periodo_de_gracia,-Monto_Crédito)))</f>
        <v/>
      </c>
      <c r="W194" s="110" t="str">
        <f>IF($U$258&lt;=0,V194,IF(SUM($U$18:U194)&lt;=0,V194,PMT($K$5/360*Días,A194,-R194)))</f>
        <v/>
      </c>
      <c r="X194" s="121" t="str">
        <f>IF($U$258&lt;=0,W194,IF(SUM($U$18:U194)&lt;=0,V194,PMT($K$5/360*Días,No._De_Pagos_con_periodo_de_gracia,-Monto_Crédito)-S194-T194))</f>
        <v/>
      </c>
      <c r="Y194" s="117" t="str">
        <f t="shared" si="76"/>
        <v/>
      </c>
      <c r="Z194" s="61" t="str">
        <f>+IF(A194="","",IF(No._de_Pagos-Tabla!A194+1&lt;=0,"",No._de_Pagos-Tabla!A194+1))</f>
        <v/>
      </c>
      <c r="AA194" s="122" t="str">
        <f t="shared" si="77"/>
        <v/>
      </c>
      <c r="AB194" s="124" t="str">
        <f t="shared" si="83"/>
        <v/>
      </c>
      <c r="AC194" s="124" t="str">
        <f t="shared" si="66"/>
        <v/>
      </c>
      <c r="AD194" s="124" t="str">
        <f t="shared" si="67"/>
        <v/>
      </c>
      <c r="AE194" s="119">
        <f t="shared" si="78"/>
        <v>0</v>
      </c>
      <c r="AF194" s="120" t="str">
        <f t="shared" si="68"/>
        <v/>
      </c>
      <c r="AG194" s="110" t="str">
        <f>IF($U$258&lt;=0,AF194,IF(SUM($U$18:U194)&lt;=0,AF194,PMT($K$5/360*Días,A194,-AA194)))</f>
        <v/>
      </c>
      <c r="AH194" s="121" t="str">
        <f>IF(A194&lt;=Periodos_Gracia,0,IF($U$258&lt;=0,AG194,IF(SUM($U$18:U194)&lt;=0,AF194,PMT($K$5/360*Días,No._de_Pagos,-Monto_Crédito)-AC194-AD194)))</f>
        <v/>
      </c>
      <c r="AI194" s="125" t="str">
        <f t="shared" si="79"/>
        <v/>
      </c>
      <c r="AK194" s="126" t="str">
        <f>IF(A194="","",IF(Periodos_Gracia&gt;0,Tabla!AN194,V194+S194))</f>
        <v/>
      </c>
      <c r="AL194" s="126" t="str">
        <f t="shared" si="69"/>
        <v/>
      </c>
      <c r="AM194" s="61" t="str">
        <f t="shared" si="80"/>
        <v/>
      </c>
      <c r="AN194" s="127" t="str">
        <f>IF(A194="","",IF(A194&lt;=Periodos_Gracia,Tabla!S194,PPMT(Tasa_Anual/360*Días*(1+I.V.A.),Tabla!AM194,No._De_Pagos_con_periodo_de_gracia,-Monto_Crédito)+S194))</f>
        <v/>
      </c>
      <c r="AO194" s="127" t="str">
        <f>IF(A194="","",IF(A194&lt;=Periodos_Gracia,Tabla!AC194,Monto_Crédito/(No._De_Pagos_con_periodo_de_gracia)+AC194))</f>
        <v/>
      </c>
      <c r="AP194" s="117"/>
    </row>
    <row r="195" spans="1:42" x14ac:dyDescent="0.2">
      <c r="A195" s="107" t="str">
        <f>IF(A194&lt;Parámetros!$E$6,A194+1,"")</f>
        <v/>
      </c>
      <c r="B195" s="108" t="str">
        <f t="shared" si="81"/>
        <v/>
      </c>
      <c r="C195" s="108" t="str">
        <f t="shared" si="57"/>
        <v/>
      </c>
      <c r="D195" s="108" t="str">
        <f t="shared" si="58"/>
        <v/>
      </c>
      <c r="E195" s="108" t="str">
        <f t="shared" si="59"/>
        <v/>
      </c>
      <c r="F195" s="108" t="str">
        <f t="shared" si="60"/>
        <v/>
      </c>
      <c r="G195" s="114" t="str">
        <f t="shared" si="70"/>
        <v/>
      </c>
      <c r="H195" s="115">
        <f t="shared" si="71"/>
        <v>0</v>
      </c>
      <c r="I195" s="108" t="str">
        <f t="shared" si="82"/>
        <v/>
      </c>
      <c r="J195" s="108" t="str">
        <f t="shared" si="61"/>
        <v/>
      </c>
      <c r="K195" s="108" t="str">
        <f t="shared" si="62"/>
        <v/>
      </c>
      <c r="L195" s="108" t="str">
        <f t="shared" si="63"/>
        <v/>
      </c>
      <c r="M195" s="108" t="str">
        <f t="shared" si="72"/>
        <v/>
      </c>
      <c r="N195" s="114" t="str">
        <f t="shared" si="73"/>
        <v/>
      </c>
      <c r="O195" s="60">
        <v>0</v>
      </c>
      <c r="P195" s="116">
        <f t="shared" si="74"/>
        <v>0</v>
      </c>
      <c r="R195" s="117" t="str">
        <f t="shared" si="84"/>
        <v/>
      </c>
      <c r="S195" s="118" t="str">
        <f t="shared" si="64"/>
        <v/>
      </c>
      <c r="T195" s="118" t="str">
        <f t="shared" si="65"/>
        <v/>
      </c>
      <c r="U195" s="119">
        <f t="shared" si="75"/>
        <v>0</v>
      </c>
      <c r="V195" s="120" t="str">
        <f>IF(A195="","",IF(A195&lt;=Periodos_Gracia,0,PPMT(Tasa_Anual/360*Días*(1+I.V.A.),Tabla!AM195,No._De_Pagos_con_periodo_de_gracia,-Monto_Crédito)))</f>
        <v/>
      </c>
      <c r="W195" s="110" t="str">
        <f>IF($U$258&lt;=0,V195,IF(SUM($U$18:U195)&lt;=0,V195,PMT($K$5/360*Días,A195,-R195)))</f>
        <v/>
      </c>
      <c r="X195" s="121" t="str">
        <f>IF($U$258&lt;=0,W195,IF(SUM($U$18:U195)&lt;=0,V195,PMT($K$5/360*Días,No._De_Pagos_con_periodo_de_gracia,-Monto_Crédito)-S195-T195))</f>
        <v/>
      </c>
      <c r="Y195" s="117" t="str">
        <f t="shared" si="76"/>
        <v/>
      </c>
      <c r="Z195" s="61" t="str">
        <f>+IF(A195="","",IF(No._de_Pagos-Tabla!A195+1&lt;=0,"",No._de_Pagos-Tabla!A195+1))</f>
        <v/>
      </c>
      <c r="AA195" s="122" t="str">
        <f t="shared" si="77"/>
        <v/>
      </c>
      <c r="AB195" s="124" t="str">
        <f t="shared" si="83"/>
        <v/>
      </c>
      <c r="AC195" s="124" t="str">
        <f t="shared" si="66"/>
        <v/>
      </c>
      <c r="AD195" s="124" t="str">
        <f t="shared" si="67"/>
        <v/>
      </c>
      <c r="AE195" s="119">
        <f t="shared" si="78"/>
        <v>0</v>
      </c>
      <c r="AF195" s="120" t="str">
        <f t="shared" si="68"/>
        <v/>
      </c>
      <c r="AG195" s="110" t="str">
        <f>IF($U$258&lt;=0,AF195,IF(SUM($U$18:U195)&lt;=0,AF195,PMT($K$5/360*Días,A195,-AA195)))</f>
        <v/>
      </c>
      <c r="AH195" s="121" t="str">
        <f>IF(A195&lt;=Periodos_Gracia,0,IF($U$258&lt;=0,AG195,IF(SUM($U$18:U195)&lt;=0,AF195,PMT($K$5/360*Días,No._de_Pagos,-Monto_Crédito)-AC195-AD195)))</f>
        <v/>
      </c>
      <c r="AI195" s="125" t="str">
        <f t="shared" si="79"/>
        <v/>
      </c>
      <c r="AK195" s="126" t="str">
        <f>IF(A195="","",IF(Periodos_Gracia&gt;0,Tabla!AN195,V195+S195))</f>
        <v/>
      </c>
      <c r="AL195" s="126" t="str">
        <f t="shared" si="69"/>
        <v/>
      </c>
      <c r="AM195" s="61" t="str">
        <f t="shared" si="80"/>
        <v/>
      </c>
      <c r="AN195" s="127" t="str">
        <f>IF(A195="","",IF(A195&lt;=Periodos_Gracia,Tabla!S195,PPMT(Tasa_Anual/360*Días*(1+I.V.A.),Tabla!AM195,No._De_Pagos_con_periodo_de_gracia,-Monto_Crédito)+S195))</f>
        <v/>
      </c>
      <c r="AO195" s="127" t="str">
        <f>IF(A195="","",IF(A195&lt;=Periodos_Gracia,Tabla!AC195,Monto_Crédito/(No._De_Pagos_con_periodo_de_gracia)+AC195))</f>
        <v/>
      </c>
      <c r="AP195" s="117"/>
    </row>
    <row r="196" spans="1:42" x14ac:dyDescent="0.2">
      <c r="A196" s="107" t="str">
        <f>IF(A195&lt;Parámetros!$E$6,A195+1,"")</f>
        <v/>
      </c>
      <c r="B196" s="108" t="str">
        <f t="shared" si="81"/>
        <v/>
      </c>
      <c r="C196" s="108" t="str">
        <f t="shared" si="57"/>
        <v/>
      </c>
      <c r="D196" s="108" t="str">
        <f t="shared" si="58"/>
        <v/>
      </c>
      <c r="E196" s="108" t="str">
        <f t="shared" si="59"/>
        <v/>
      </c>
      <c r="F196" s="108" t="str">
        <f t="shared" si="60"/>
        <v/>
      </c>
      <c r="G196" s="114" t="str">
        <f t="shared" si="70"/>
        <v/>
      </c>
      <c r="H196" s="115">
        <f t="shared" si="71"/>
        <v>0</v>
      </c>
      <c r="I196" s="108" t="str">
        <f t="shared" si="82"/>
        <v/>
      </c>
      <c r="J196" s="108" t="str">
        <f t="shared" si="61"/>
        <v/>
      </c>
      <c r="K196" s="108" t="str">
        <f t="shared" si="62"/>
        <v/>
      </c>
      <c r="L196" s="108" t="str">
        <f t="shared" si="63"/>
        <v/>
      </c>
      <c r="M196" s="108" t="str">
        <f t="shared" si="72"/>
        <v/>
      </c>
      <c r="N196" s="114" t="str">
        <f t="shared" si="73"/>
        <v/>
      </c>
      <c r="O196" s="60">
        <v>0</v>
      </c>
      <c r="P196" s="116">
        <f t="shared" si="74"/>
        <v>0</v>
      </c>
      <c r="R196" s="117" t="str">
        <f t="shared" si="84"/>
        <v/>
      </c>
      <c r="S196" s="118" t="str">
        <f t="shared" si="64"/>
        <v/>
      </c>
      <c r="T196" s="118" t="str">
        <f t="shared" si="65"/>
        <v/>
      </c>
      <c r="U196" s="119">
        <f t="shared" si="75"/>
        <v>0</v>
      </c>
      <c r="V196" s="120" t="str">
        <f>IF(A196="","",IF(A196&lt;=Periodos_Gracia,0,PPMT(Tasa_Anual/360*Días*(1+I.V.A.),Tabla!AM196,No._De_Pagos_con_periodo_de_gracia,-Monto_Crédito)))</f>
        <v/>
      </c>
      <c r="W196" s="110" t="str">
        <f>IF($U$258&lt;=0,V196,IF(SUM($U$18:U196)&lt;=0,V196,PMT($K$5/360*Días,A196,-R196)))</f>
        <v/>
      </c>
      <c r="X196" s="121" t="str">
        <f>IF($U$258&lt;=0,W196,IF(SUM($U$18:U196)&lt;=0,V196,PMT($K$5/360*Días,No._De_Pagos_con_periodo_de_gracia,-Monto_Crédito)-S196-T196))</f>
        <v/>
      </c>
      <c r="Y196" s="117" t="str">
        <f t="shared" si="76"/>
        <v/>
      </c>
      <c r="Z196" s="61" t="str">
        <f>+IF(A196="","",IF(No._de_Pagos-Tabla!A196+1&lt;=0,"",No._de_Pagos-Tabla!A196+1))</f>
        <v/>
      </c>
      <c r="AA196" s="122" t="str">
        <f t="shared" si="77"/>
        <v/>
      </c>
      <c r="AB196" s="124" t="str">
        <f t="shared" si="83"/>
        <v/>
      </c>
      <c r="AC196" s="124" t="str">
        <f t="shared" si="66"/>
        <v/>
      </c>
      <c r="AD196" s="124" t="str">
        <f t="shared" si="67"/>
        <v/>
      </c>
      <c r="AE196" s="119">
        <f t="shared" si="78"/>
        <v>0</v>
      </c>
      <c r="AF196" s="120" t="str">
        <f t="shared" si="68"/>
        <v/>
      </c>
      <c r="AG196" s="110" t="str">
        <f>IF($U$258&lt;=0,AF196,IF(SUM($U$18:U196)&lt;=0,AF196,PMT($K$5/360*Días,A196,-AA196)))</f>
        <v/>
      </c>
      <c r="AH196" s="121" t="str">
        <f>IF(A196&lt;=Periodos_Gracia,0,IF($U$258&lt;=0,AG196,IF(SUM($U$18:U196)&lt;=0,AF196,PMT($K$5/360*Días,No._de_Pagos,-Monto_Crédito)-AC196-AD196)))</f>
        <v/>
      </c>
      <c r="AI196" s="125" t="str">
        <f t="shared" si="79"/>
        <v/>
      </c>
      <c r="AK196" s="126" t="str">
        <f>IF(A196="","",IF(Periodos_Gracia&gt;0,Tabla!AN196,V196+S196))</f>
        <v/>
      </c>
      <c r="AL196" s="126" t="str">
        <f t="shared" si="69"/>
        <v/>
      </c>
      <c r="AM196" s="61" t="str">
        <f t="shared" si="80"/>
        <v/>
      </c>
      <c r="AN196" s="127" t="str">
        <f>IF(A196="","",IF(A196&lt;=Periodos_Gracia,Tabla!S196,PPMT(Tasa_Anual/360*Días*(1+I.V.A.),Tabla!AM196,No._De_Pagos_con_periodo_de_gracia,-Monto_Crédito)+S196))</f>
        <v/>
      </c>
      <c r="AO196" s="127" t="str">
        <f>IF(A196="","",IF(A196&lt;=Periodos_Gracia,Tabla!AC196,Monto_Crédito/(No._De_Pagos_con_periodo_de_gracia)+AC196))</f>
        <v/>
      </c>
      <c r="AP196" s="117"/>
    </row>
    <row r="197" spans="1:42" x14ac:dyDescent="0.2">
      <c r="A197" s="107" t="str">
        <f>IF(A196&lt;Parámetros!$E$6,A196+1,"")</f>
        <v/>
      </c>
      <c r="B197" s="108" t="str">
        <f t="shared" si="81"/>
        <v/>
      </c>
      <c r="C197" s="108" t="str">
        <f t="shared" si="57"/>
        <v/>
      </c>
      <c r="D197" s="108" t="str">
        <f t="shared" si="58"/>
        <v/>
      </c>
      <c r="E197" s="108" t="str">
        <f t="shared" si="59"/>
        <v/>
      </c>
      <c r="F197" s="108" t="str">
        <f t="shared" si="60"/>
        <v/>
      </c>
      <c r="G197" s="114" t="str">
        <f t="shared" si="70"/>
        <v/>
      </c>
      <c r="H197" s="115">
        <f t="shared" si="71"/>
        <v>0</v>
      </c>
      <c r="I197" s="108" t="str">
        <f t="shared" si="82"/>
        <v/>
      </c>
      <c r="J197" s="108" t="str">
        <f t="shared" si="61"/>
        <v/>
      </c>
      <c r="K197" s="108" t="str">
        <f t="shared" si="62"/>
        <v/>
      </c>
      <c r="L197" s="108" t="str">
        <f t="shared" si="63"/>
        <v/>
      </c>
      <c r="M197" s="108" t="str">
        <f t="shared" si="72"/>
        <v/>
      </c>
      <c r="N197" s="114" t="str">
        <f t="shared" si="73"/>
        <v/>
      </c>
      <c r="O197" s="60">
        <v>0</v>
      </c>
      <c r="P197" s="116">
        <f t="shared" si="74"/>
        <v>0</v>
      </c>
      <c r="R197" s="117" t="str">
        <f t="shared" si="84"/>
        <v/>
      </c>
      <c r="S197" s="118" t="str">
        <f t="shared" si="64"/>
        <v/>
      </c>
      <c r="T197" s="118" t="str">
        <f t="shared" si="65"/>
        <v/>
      </c>
      <c r="U197" s="119">
        <f t="shared" si="75"/>
        <v>0</v>
      </c>
      <c r="V197" s="120" t="str">
        <f>IF(A197="","",IF(A197&lt;=Periodos_Gracia,0,PPMT(Tasa_Anual/360*Días*(1+I.V.A.),Tabla!AM197,No._De_Pagos_con_periodo_de_gracia,-Monto_Crédito)))</f>
        <v/>
      </c>
      <c r="W197" s="110" t="str">
        <f>IF($U$258&lt;=0,V197,IF(SUM($U$18:U197)&lt;=0,V197,PMT($K$5/360*Días,A197,-R197)))</f>
        <v/>
      </c>
      <c r="X197" s="121" t="str">
        <f>IF($U$258&lt;=0,W197,IF(SUM($U$18:U197)&lt;=0,V197,PMT($K$5/360*Días,No._De_Pagos_con_periodo_de_gracia,-Monto_Crédito)-S197-T197))</f>
        <v/>
      </c>
      <c r="Y197" s="117" t="str">
        <f t="shared" si="76"/>
        <v/>
      </c>
      <c r="Z197" s="61" t="str">
        <f>+IF(A197="","",IF(No._de_Pagos-Tabla!A197+1&lt;=0,"",No._de_Pagos-Tabla!A197+1))</f>
        <v/>
      </c>
      <c r="AA197" s="122" t="str">
        <f t="shared" si="77"/>
        <v/>
      </c>
      <c r="AB197" s="124" t="str">
        <f t="shared" si="83"/>
        <v/>
      </c>
      <c r="AC197" s="124" t="str">
        <f t="shared" si="66"/>
        <v/>
      </c>
      <c r="AD197" s="124" t="str">
        <f t="shared" si="67"/>
        <v/>
      </c>
      <c r="AE197" s="119">
        <f t="shared" si="78"/>
        <v>0</v>
      </c>
      <c r="AF197" s="120" t="str">
        <f t="shared" si="68"/>
        <v/>
      </c>
      <c r="AG197" s="110" t="str">
        <f>IF($U$258&lt;=0,AF197,IF(SUM($U$18:U197)&lt;=0,AF197,PMT($K$5/360*Días,A197,-AA197)))</f>
        <v/>
      </c>
      <c r="AH197" s="121" t="str">
        <f>IF(A197&lt;=Periodos_Gracia,0,IF($U$258&lt;=0,AG197,IF(SUM($U$18:U197)&lt;=0,AF197,PMT($K$5/360*Días,No._de_Pagos,-Monto_Crédito)-AC197-AD197)))</f>
        <v/>
      </c>
      <c r="AI197" s="125" t="str">
        <f t="shared" si="79"/>
        <v/>
      </c>
      <c r="AK197" s="126" t="str">
        <f>IF(A197="","",IF(Periodos_Gracia&gt;0,Tabla!AN197,V197+S197))</f>
        <v/>
      </c>
      <c r="AL197" s="126" t="str">
        <f t="shared" si="69"/>
        <v/>
      </c>
      <c r="AM197" s="61" t="str">
        <f t="shared" si="80"/>
        <v/>
      </c>
      <c r="AN197" s="127" t="str">
        <f>IF(A197="","",IF(A197&lt;=Periodos_Gracia,Tabla!S197,PPMT(Tasa_Anual/360*Días*(1+I.V.A.),Tabla!AM197,No._De_Pagos_con_periodo_de_gracia,-Monto_Crédito)+S197))</f>
        <v/>
      </c>
      <c r="AO197" s="127" t="str">
        <f>IF(A197="","",IF(A197&lt;=Periodos_Gracia,Tabla!AC197,Monto_Crédito/(No._De_Pagos_con_periodo_de_gracia)+AC197))</f>
        <v/>
      </c>
      <c r="AP197" s="117"/>
    </row>
    <row r="198" spans="1:42" x14ac:dyDescent="0.2">
      <c r="A198" s="107" t="str">
        <f>IF(A197&lt;Parámetros!$E$6,A197+1,"")</f>
        <v/>
      </c>
      <c r="B198" s="108" t="str">
        <f t="shared" si="81"/>
        <v/>
      </c>
      <c r="C198" s="108" t="str">
        <f t="shared" si="57"/>
        <v/>
      </c>
      <c r="D198" s="108" t="str">
        <f t="shared" si="58"/>
        <v/>
      </c>
      <c r="E198" s="108" t="str">
        <f t="shared" si="59"/>
        <v/>
      </c>
      <c r="F198" s="108" t="str">
        <f t="shared" si="60"/>
        <v/>
      </c>
      <c r="G198" s="114" t="str">
        <f t="shared" si="70"/>
        <v/>
      </c>
      <c r="H198" s="115">
        <f t="shared" si="71"/>
        <v>0</v>
      </c>
      <c r="I198" s="108" t="str">
        <f t="shared" si="82"/>
        <v/>
      </c>
      <c r="J198" s="108" t="str">
        <f t="shared" si="61"/>
        <v/>
      </c>
      <c r="K198" s="108" t="str">
        <f t="shared" si="62"/>
        <v/>
      </c>
      <c r="L198" s="108" t="str">
        <f t="shared" si="63"/>
        <v/>
      </c>
      <c r="M198" s="108" t="str">
        <f t="shared" si="72"/>
        <v/>
      </c>
      <c r="N198" s="114" t="str">
        <f t="shared" si="73"/>
        <v/>
      </c>
      <c r="O198" s="60">
        <v>0</v>
      </c>
      <c r="P198" s="116">
        <f t="shared" si="74"/>
        <v>0</v>
      </c>
      <c r="R198" s="117" t="str">
        <f t="shared" si="84"/>
        <v/>
      </c>
      <c r="S198" s="118" t="str">
        <f t="shared" si="64"/>
        <v/>
      </c>
      <c r="T198" s="118" t="str">
        <f t="shared" si="65"/>
        <v/>
      </c>
      <c r="U198" s="119">
        <f t="shared" si="75"/>
        <v>0</v>
      </c>
      <c r="V198" s="120" t="str">
        <f>IF(A198="","",IF(A198&lt;=Periodos_Gracia,0,PPMT(Tasa_Anual/360*Días*(1+I.V.A.),Tabla!AM198,No._De_Pagos_con_periodo_de_gracia,-Monto_Crédito)))</f>
        <v/>
      </c>
      <c r="W198" s="110" t="str">
        <f>IF($U$258&lt;=0,V198,IF(SUM($U$18:U198)&lt;=0,V198,PMT($K$5/360*Días,A198,-R198)))</f>
        <v/>
      </c>
      <c r="X198" s="121" t="str">
        <f>IF($U$258&lt;=0,W198,IF(SUM($U$18:U198)&lt;=0,V198,PMT($K$5/360*Días,No._De_Pagos_con_periodo_de_gracia,-Monto_Crédito)-S198-T198))</f>
        <v/>
      </c>
      <c r="Y198" s="117" t="str">
        <f t="shared" si="76"/>
        <v/>
      </c>
      <c r="Z198" s="61" t="str">
        <f>+IF(A198="","",IF(No._de_Pagos-Tabla!A198+1&lt;=0,"",No._de_Pagos-Tabla!A198+1))</f>
        <v/>
      </c>
      <c r="AA198" s="122" t="str">
        <f t="shared" si="77"/>
        <v/>
      </c>
      <c r="AB198" s="124" t="str">
        <f t="shared" si="83"/>
        <v/>
      </c>
      <c r="AC198" s="124" t="str">
        <f t="shared" si="66"/>
        <v/>
      </c>
      <c r="AD198" s="124" t="str">
        <f t="shared" si="67"/>
        <v/>
      </c>
      <c r="AE198" s="119">
        <f t="shared" si="78"/>
        <v>0</v>
      </c>
      <c r="AF198" s="120" t="str">
        <f t="shared" si="68"/>
        <v/>
      </c>
      <c r="AG198" s="110" t="str">
        <f>IF($U$258&lt;=0,AF198,IF(SUM($U$18:U198)&lt;=0,AF198,PMT($K$5/360*Días,A198,-AA198)))</f>
        <v/>
      </c>
      <c r="AH198" s="121" t="str">
        <f>IF(A198&lt;=Periodos_Gracia,0,IF($U$258&lt;=0,AG198,IF(SUM($U$18:U198)&lt;=0,AF198,PMT($K$5/360*Días,No._de_Pagos,-Monto_Crédito)-AC198-AD198)))</f>
        <v/>
      </c>
      <c r="AI198" s="125" t="str">
        <f t="shared" si="79"/>
        <v/>
      </c>
      <c r="AK198" s="126" t="str">
        <f>IF(A198="","",IF(Periodos_Gracia&gt;0,Tabla!AN198,V198+S198))</f>
        <v/>
      </c>
      <c r="AL198" s="126" t="str">
        <f t="shared" si="69"/>
        <v/>
      </c>
      <c r="AM198" s="61" t="str">
        <f t="shared" si="80"/>
        <v/>
      </c>
      <c r="AN198" s="127" t="str">
        <f>IF(A198="","",IF(A198&lt;=Periodos_Gracia,Tabla!S198,PPMT(Tasa_Anual/360*Días*(1+I.V.A.),Tabla!AM198,No._De_Pagos_con_periodo_de_gracia,-Monto_Crédito)+S198))</f>
        <v/>
      </c>
      <c r="AO198" s="127" t="str">
        <f>IF(A198="","",IF(A198&lt;=Periodos_Gracia,Tabla!AC198,Monto_Crédito/(No._De_Pagos_con_periodo_de_gracia)+AC198))</f>
        <v/>
      </c>
      <c r="AP198" s="117"/>
    </row>
    <row r="199" spans="1:42" x14ac:dyDescent="0.2">
      <c r="A199" s="107" t="str">
        <f>IF(A198&lt;Parámetros!$E$6,A198+1,"")</f>
        <v/>
      </c>
      <c r="B199" s="108" t="str">
        <f t="shared" si="81"/>
        <v/>
      </c>
      <c r="C199" s="108" t="str">
        <f t="shared" si="57"/>
        <v/>
      </c>
      <c r="D199" s="108" t="str">
        <f t="shared" si="58"/>
        <v/>
      </c>
      <c r="E199" s="108" t="str">
        <f t="shared" si="59"/>
        <v/>
      </c>
      <c r="F199" s="108" t="str">
        <f t="shared" si="60"/>
        <v/>
      </c>
      <c r="G199" s="114" t="str">
        <f t="shared" si="70"/>
        <v/>
      </c>
      <c r="H199" s="115">
        <f t="shared" si="71"/>
        <v>0</v>
      </c>
      <c r="I199" s="108" t="str">
        <f t="shared" si="82"/>
        <v/>
      </c>
      <c r="J199" s="108" t="str">
        <f t="shared" si="61"/>
        <v/>
      </c>
      <c r="K199" s="108" t="str">
        <f t="shared" si="62"/>
        <v/>
      </c>
      <c r="L199" s="108" t="str">
        <f t="shared" si="63"/>
        <v/>
      </c>
      <c r="M199" s="108" t="str">
        <f t="shared" si="72"/>
        <v/>
      </c>
      <c r="N199" s="114" t="str">
        <f t="shared" si="73"/>
        <v/>
      </c>
      <c r="O199" s="60">
        <v>0</v>
      </c>
      <c r="P199" s="116">
        <f t="shared" si="74"/>
        <v>0</v>
      </c>
      <c r="R199" s="117" t="str">
        <f t="shared" si="84"/>
        <v/>
      </c>
      <c r="S199" s="118" t="str">
        <f t="shared" si="64"/>
        <v/>
      </c>
      <c r="T199" s="118" t="str">
        <f t="shared" si="65"/>
        <v/>
      </c>
      <c r="U199" s="119">
        <f t="shared" si="75"/>
        <v>0</v>
      </c>
      <c r="V199" s="120" t="str">
        <f>IF(A199="","",IF(A199&lt;=Periodos_Gracia,0,PPMT(Tasa_Anual/360*Días*(1+I.V.A.),Tabla!AM199,No._De_Pagos_con_periodo_de_gracia,-Monto_Crédito)))</f>
        <v/>
      </c>
      <c r="W199" s="110" t="str">
        <f>IF($U$258&lt;=0,V199,IF(SUM($U$18:U199)&lt;=0,V199,PMT($K$5/360*Días,A199,-R199)))</f>
        <v/>
      </c>
      <c r="X199" s="121" t="str">
        <f>IF($U$258&lt;=0,W199,IF(SUM($U$18:U199)&lt;=0,V199,PMT($K$5/360*Días,No._De_Pagos_con_periodo_de_gracia,-Monto_Crédito)-S199-T199))</f>
        <v/>
      </c>
      <c r="Y199" s="117" t="str">
        <f t="shared" si="76"/>
        <v/>
      </c>
      <c r="Z199" s="61" t="str">
        <f>+IF(A199="","",IF(No._de_Pagos-Tabla!A199+1&lt;=0,"",No._de_Pagos-Tabla!A199+1))</f>
        <v/>
      </c>
      <c r="AA199" s="122" t="str">
        <f t="shared" si="77"/>
        <v/>
      </c>
      <c r="AB199" s="124" t="str">
        <f t="shared" si="83"/>
        <v/>
      </c>
      <c r="AC199" s="124" t="str">
        <f t="shared" si="66"/>
        <v/>
      </c>
      <c r="AD199" s="124" t="str">
        <f t="shared" si="67"/>
        <v/>
      </c>
      <c r="AE199" s="119">
        <f t="shared" si="78"/>
        <v>0</v>
      </c>
      <c r="AF199" s="120" t="str">
        <f t="shared" si="68"/>
        <v/>
      </c>
      <c r="AG199" s="110" t="str">
        <f>IF($U$258&lt;=0,AF199,IF(SUM($U$18:U199)&lt;=0,AF199,PMT($K$5/360*Días,A199,-AA199)))</f>
        <v/>
      </c>
      <c r="AH199" s="121" t="str">
        <f>IF(A199&lt;=Periodos_Gracia,0,IF($U$258&lt;=0,AG199,IF(SUM($U$18:U199)&lt;=0,AF199,PMT($K$5/360*Días,No._de_Pagos,-Monto_Crédito)-AC199-AD199)))</f>
        <v/>
      </c>
      <c r="AI199" s="125" t="str">
        <f t="shared" si="79"/>
        <v/>
      </c>
      <c r="AK199" s="126" t="str">
        <f>IF(A199="","",IF(Periodos_Gracia&gt;0,Tabla!AN199,V199+S199))</f>
        <v/>
      </c>
      <c r="AL199" s="126" t="str">
        <f t="shared" si="69"/>
        <v/>
      </c>
      <c r="AM199" s="61" t="str">
        <f t="shared" si="80"/>
        <v/>
      </c>
      <c r="AN199" s="127" t="str">
        <f>IF(A199="","",IF(A199&lt;=Periodos_Gracia,Tabla!S199,PPMT(Tasa_Anual/360*Días*(1+I.V.A.),Tabla!AM199,No._De_Pagos_con_periodo_de_gracia,-Monto_Crédito)+S199))</f>
        <v/>
      </c>
      <c r="AO199" s="127" t="str">
        <f>IF(A199="","",IF(A199&lt;=Periodos_Gracia,Tabla!AC199,Monto_Crédito/(No._De_Pagos_con_periodo_de_gracia)+AC199))</f>
        <v/>
      </c>
      <c r="AP199" s="117"/>
    </row>
    <row r="200" spans="1:42" x14ac:dyDescent="0.2">
      <c r="A200" s="107" t="str">
        <f>IF(A199&lt;Parámetros!$E$6,A199+1,"")</f>
        <v/>
      </c>
      <c r="B200" s="108" t="str">
        <f t="shared" si="81"/>
        <v/>
      </c>
      <c r="C200" s="108" t="str">
        <f t="shared" si="57"/>
        <v/>
      </c>
      <c r="D200" s="108" t="str">
        <f t="shared" si="58"/>
        <v/>
      </c>
      <c r="E200" s="108" t="str">
        <f t="shared" si="59"/>
        <v/>
      </c>
      <c r="F200" s="108" t="str">
        <f t="shared" si="60"/>
        <v/>
      </c>
      <c r="G200" s="114" t="str">
        <f t="shared" si="70"/>
        <v/>
      </c>
      <c r="H200" s="115">
        <f t="shared" si="71"/>
        <v>0</v>
      </c>
      <c r="I200" s="108" t="str">
        <f t="shared" si="82"/>
        <v/>
      </c>
      <c r="J200" s="108" t="str">
        <f t="shared" si="61"/>
        <v/>
      </c>
      <c r="K200" s="108" t="str">
        <f t="shared" si="62"/>
        <v/>
      </c>
      <c r="L200" s="108" t="str">
        <f t="shared" si="63"/>
        <v/>
      </c>
      <c r="M200" s="108" t="str">
        <f t="shared" si="72"/>
        <v/>
      </c>
      <c r="N200" s="114" t="str">
        <f t="shared" si="73"/>
        <v/>
      </c>
      <c r="O200" s="60">
        <v>0</v>
      </c>
      <c r="P200" s="116">
        <f t="shared" si="74"/>
        <v>0</v>
      </c>
      <c r="R200" s="117" t="str">
        <f t="shared" si="84"/>
        <v/>
      </c>
      <c r="S200" s="118" t="str">
        <f t="shared" si="64"/>
        <v/>
      </c>
      <c r="T200" s="118" t="str">
        <f t="shared" si="65"/>
        <v/>
      </c>
      <c r="U200" s="119">
        <f t="shared" si="75"/>
        <v>0</v>
      </c>
      <c r="V200" s="120" t="str">
        <f>IF(A200="","",IF(A200&lt;=Periodos_Gracia,0,PPMT(Tasa_Anual/360*Días*(1+I.V.A.),Tabla!AM200,No._De_Pagos_con_periodo_de_gracia,-Monto_Crédito)))</f>
        <v/>
      </c>
      <c r="W200" s="110" t="str">
        <f>IF($U$258&lt;=0,V200,IF(SUM($U$18:U200)&lt;=0,V200,PMT($K$5/360*Días,A200,-R200)))</f>
        <v/>
      </c>
      <c r="X200" s="121" t="str">
        <f>IF($U$258&lt;=0,W200,IF(SUM($U$18:U200)&lt;=0,V200,PMT($K$5/360*Días,No._De_Pagos_con_periodo_de_gracia,-Monto_Crédito)-S200-T200))</f>
        <v/>
      </c>
      <c r="Y200" s="117" t="str">
        <f t="shared" si="76"/>
        <v/>
      </c>
      <c r="Z200" s="61" t="str">
        <f>+IF(A200="","",IF(No._de_Pagos-Tabla!A200+1&lt;=0,"",No._de_Pagos-Tabla!A200+1))</f>
        <v/>
      </c>
      <c r="AA200" s="122" t="str">
        <f t="shared" si="77"/>
        <v/>
      </c>
      <c r="AB200" s="124" t="str">
        <f t="shared" si="83"/>
        <v/>
      </c>
      <c r="AC200" s="124" t="str">
        <f t="shared" si="66"/>
        <v/>
      </c>
      <c r="AD200" s="124" t="str">
        <f t="shared" si="67"/>
        <v/>
      </c>
      <c r="AE200" s="119">
        <f t="shared" si="78"/>
        <v>0</v>
      </c>
      <c r="AF200" s="120" t="str">
        <f t="shared" si="68"/>
        <v/>
      </c>
      <c r="AG200" s="110" t="str">
        <f>IF($U$258&lt;=0,AF200,IF(SUM($U$18:U200)&lt;=0,AF200,PMT($K$5/360*Días,A200,-AA200)))</f>
        <v/>
      </c>
      <c r="AH200" s="121" t="str">
        <f>IF(A200&lt;=Periodos_Gracia,0,IF($U$258&lt;=0,AG200,IF(SUM($U$18:U200)&lt;=0,AF200,PMT($K$5/360*Días,No._de_Pagos,-Monto_Crédito)-AC200-AD200)))</f>
        <v/>
      </c>
      <c r="AI200" s="125" t="str">
        <f t="shared" si="79"/>
        <v/>
      </c>
      <c r="AK200" s="126" t="str">
        <f>IF(A200="","",IF(Periodos_Gracia&gt;0,Tabla!AN200,V200+S200))</f>
        <v/>
      </c>
      <c r="AL200" s="126" t="str">
        <f t="shared" si="69"/>
        <v/>
      </c>
      <c r="AM200" s="61" t="str">
        <f t="shared" si="80"/>
        <v/>
      </c>
      <c r="AN200" s="127" t="str">
        <f>IF(A200="","",IF(A200&lt;=Periodos_Gracia,Tabla!S200,PPMT(Tasa_Anual/360*Días*(1+I.V.A.),Tabla!AM200,No._De_Pagos_con_periodo_de_gracia,-Monto_Crédito)+S200))</f>
        <v/>
      </c>
      <c r="AO200" s="127" t="str">
        <f>IF(A200="","",IF(A200&lt;=Periodos_Gracia,Tabla!AC200,Monto_Crédito/(No._De_Pagos_con_periodo_de_gracia)+AC200))</f>
        <v/>
      </c>
      <c r="AP200" s="117"/>
    </row>
    <row r="201" spans="1:42" x14ac:dyDescent="0.2">
      <c r="A201" s="107" t="str">
        <f>IF(A200&lt;Parámetros!$E$6,A200+1,"")</f>
        <v/>
      </c>
      <c r="B201" s="108" t="str">
        <f t="shared" si="81"/>
        <v/>
      </c>
      <c r="C201" s="108" t="str">
        <f t="shared" si="57"/>
        <v/>
      </c>
      <c r="D201" s="108" t="str">
        <f t="shared" si="58"/>
        <v/>
      </c>
      <c r="E201" s="108" t="str">
        <f t="shared" si="59"/>
        <v/>
      </c>
      <c r="F201" s="108" t="str">
        <f t="shared" si="60"/>
        <v/>
      </c>
      <c r="G201" s="114" t="str">
        <f t="shared" si="70"/>
        <v/>
      </c>
      <c r="H201" s="115">
        <f t="shared" si="71"/>
        <v>0</v>
      </c>
      <c r="I201" s="108" t="str">
        <f t="shared" si="82"/>
        <v/>
      </c>
      <c r="J201" s="108" t="str">
        <f t="shared" si="61"/>
        <v/>
      </c>
      <c r="K201" s="108" t="str">
        <f t="shared" si="62"/>
        <v/>
      </c>
      <c r="L201" s="108" t="str">
        <f t="shared" si="63"/>
        <v/>
      </c>
      <c r="M201" s="108" t="str">
        <f t="shared" si="72"/>
        <v/>
      </c>
      <c r="N201" s="114" t="str">
        <f t="shared" si="73"/>
        <v/>
      </c>
      <c r="O201" s="60">
        <v>0</v>
      </c>
      <c r="P201" s="116">
        <f t="shared" si="74"/>
        <v>0</v>
      </c>
      <c r="R201" s="117" t="str">
        <f t="shared" si="84"/>
        <v/>
      </c>
      <c r="S201" s="118" t="str">
        <f t="shared" si="64"/>
        <v/>
      </c>
      <c r="T201" s="118" t="str">
        <f t="shared" si="65"/>
        <v/>
      </c>
      <c r="U201" s="119">
        <f t="shared" si="75"/>
        <v>0</v>
      </c>
      <c r="V201" s="120" t="str">
        <f>IF(A201="","",IF(A201&lt;=Periodos_Gracia,0,PPMT(Tasa_Anual/360*Días*(1+I.V.A.),Tabla!AM201,No._De_Pagos_con_periodo_de_gracia,-Monto_Crédito)))</f>
        <v/>
      </c>
      <c r="W201" s="110" t="str">
        <f>IF($U$258&lt;=0,V201,IF(SUM($U$18:U201)&lt;=0,V201,PMT($K$5/360*Días,A201,-R201)))</f>
        <v/>
      </c>
      <c r="X201" s="121" t="str">
        <f>IF($U$258&lt;=0,W201,IF(SUM($U$18:U201)&lt;=0,V201,PMT($K$5/360*Días,No._De_Pagos_con_periodo_de_gracia,-Monto_Crédito)-S201-T201))</f>
        <v/>
      </c>
      <c r="Y201" s="117" t="str">
        <f t="shared" si="76"/>
        <v/>
      </c>
      <c r="Z201" s="61" t="str">
        <f>+IF(A201="","",IF(No._de_Pagos-Tabla!A201+1&lt;=0,"",No._de_Pagos-Tabla!A201+1))</f>
        <v/>
      </c>
      <c r="AA201" s="122" t="str">
        <f t="shared" si="77"/>
        <v/>
      </c>
      <c r="AB201" s="124" t="str">
        <f t="shared" si="83"/>
        <v/>
      </c>
      <c r="AC201" s="124" t="str">
        <f t="shared" si="66"/>
        <v/>
      </c>
      <c r="AD201" s="124" t="str">
        <f t="shared" si="67"/>
        <v/>
      </c>
      <c r="AE201" s="119">
        <f t="shared" si="78"/>
        <v>0</v>
      </c>
      <c r="AF201" s="120" t="str">
        <f t="shared" si="68"/>
        <v/>
      </c>
      <c r="AG201" s="110" t="str">
        <f>IF($U$258&lt;=0,AF201,IF(SUM($U$18:U201)&lt;=0,AF201,PMT($K$5/360*Días,A201,-AA201)))</f>
        <v/>
      </c>
      <c r="AH201" s="121" t="str">
        <f>IF(A201&lt;=Periodos_Gracia,0,IF($U$258&lt;=0,AG201,IF(SUM($U$18:U201)&lt;=0,AF201,PMT($K$5/360*Días,No._de_Pagos,-Monto_Crédito)-AC201-AD201)))</f>
        <v/>
      </c>
      <c r="AI201" s="125" t="str">
        <f t="shared" si="79"/>
        <v/>
      </c>
      <c r="AK201" s="126" t="str">
        <f>IF(A201="","",IF(Periodos_Gracia&gt;0,Tabla!AN201,V201+S201))</f>
        <v/>
      </c>
      <c r="AL201" s="126" t="str">
        <f t="shared" si="69"/>
        <v/>
      </c>
      <c r="AM201" s="61" t="str">
        <f t="shared" si="80"/>
        <v/>
      </c>
      <c r="AN201" s="127" t="str">
        <f>IF(A201="","",IF(A201&lt;=Periodos_Gracia,Tabla!S201,PPMT(Tasa_Anual/360*Días*(1+I.V.A.),Tabla!AM201,No._De_Pagos_con_periodo_de_gracia,-Monto_Crédito)+S201))</f>
        <v/>
      </c>
      <c r="AO201" s="127" t="str">
        <f>IF(A201="","",IF(A201&lt;=Periodos_Gracia,Tabla!AC201,Monto_Crédito/(No._De_Pagos_con_periodo_de_gracia)+AC201))</f>
        <v/>
      </c>
      <c r="AP201" s="117"/>
    </row>
    <row r="202" spans="1:42" x14ac:dyDescent="0.2">
      <c r="A202" s="107" t="str">
        <f>IF(A201&lt;Parámetros!$E$6,A201+1,"")</f>
        <v/>
      </c>
      <c r="B202" s="108" t="str">
        <f t="shared" si="81"/>
        <v/>
      </c>
      <c r="C202" s="108" t="str">
        <f t="shared" si="57"/>
        <v/>
      </c>
      <c r="D202" s="108" t="str">
        <f t="shared" si="58"/>
        <v/>
      </c>
      <c r="E202" s="108" t="str">
        <f t="shared" si="59"/>
        <v/>
      </c>
      <c r="F202" s="108" t="str">
        <f t="shared" si="60"/>
        <v/>
      </c>
      <c r="G202" s="114" t="str">
        <f t="shared" si="70"/>
        <v/>
      </c>
      <c r="H202" s="115">
        <f t="shared" si="71"/>
        <v>0</v>
      </c>
      <c r="I202" s="108" t="str">
        <f t="shared" si="82"/>
        <v/>
      </c>
      <c r="J202" s="108" t="str">
        <f t="shared" si="61"/>
        <v/>
      </c>
      <c r="K202" s="108" t="str">
        <f t="shared" si="62"/>
        <v/>
      </c>
      <c r="L202" s="108" t="str">
        <f t="shared" si="63"/>
        <v/>
      </c>
      <c r="M202" s="108" t="str">
        <f t="shared" si="72"/>
        <v/>
      </c>
      <c r="N202" s="114" t="str">
        <f t="shared" si="73"/>
        <v/>
      </c>
      <c r="O202" s="60">
        <v>0</v>
      </c>
      <c r="P202" s="116">
        <f t="shared" si="74"/>
        <v>0</v>
      </c>
      <c r="R202" s="117" t="str">
        <f t="shared" si="84"/>
        <v/>
      </c>
      <c r="S202" s="118" t="str">
        <f t="shared" si="64"/>
        <v/>
      </c>
      <c r="T202" s="118" t="str">
        <f t="shared" si="65"/>
        <v/>
      </c>
      <c r="U202" s="119">
        <f t="shared" si="75"/>
        <v>0</v>
      </c>
      <c r="V202" s="120" t="str">
        <f>IF(A202="","",IF(A202&lt;=Periodos_Gracia,0,PPMT(Tasa_Anual/360*Días*(1+I.V.A.),Tabla!AM202,No._De_Pagos_con_periodo_de_gracia,-Monto_Crédito)))</f>
        <v/>
      </c>
      <c r="W202" s="110" t="str">
        <f>IF($U$258&lt;=0,V202,IF(SUM($U$18:U202)&lt;=0,V202,PMT($K$5/360*Días,A202,-R202)))</f>
        <v/>
      </c>
      <c r="X202" s="121" t="str">
        <f>IF($U$258&lt;=0,W202,IF(SUM($U$18:U202)&lt;=0,V202,PMT($K$5/360*Días,No._De_Pagos_con_periodo_de_gracia,-Monto_Crédito)-S202-T202))</f>
        <v/>
      </c>
      <c r="Y202" s="117" t="str">
        <f t="shared" si="76"/>
        <v/>
      </c>
      <c r="Z202" s="61" t="str">
        <f>+IF(A202="","",IF(No._de_Pagos-Tabla!A202+1&lt;=0,"",No._de_Pagos-Tabla!A202+1))</f>
        <v/>
      </c>
      <c r="AA202" s="122" t="str">
        <f t="shared" si="77"/>
        <v/>
      </c>
      <c r="AB202" s="124" t="str">
        <f t="shared" si="83"/>
        <v/>
      </c>
      <c r="AC202" s="124" t="str">
        <f t="shared" si="66"/>
        <v/>
      </c>
      <c r="AD202" s="124" t="str">
        <f t="shared" si="67"/>
        <v/>
      </c>
      <c r="AE202" s="119">
        <f t="shared" si="78"/>
        <v>0</v>
      </c>
      <c r="AF202" s="120" t="str">
        <f t="shared" si="68"/>
        <v/>
      </c>
      <c r="AG202" s="110" t="str">
        <f>IF($U$258&lt;=0,AF202,IF(SUM($U$18:U202)&lt;=0,AF202,PMT($K$5/360*Días,A202,-AA202)))</f>
        <v/>
      </c>
      <c r="AH202" s="121" t="str">
        <f>IF(A202&lt;=Periodos_Gracia,0,IF($U$258&lt;=0,AG202,IF(SUM($U$18:U202)&lt;=0,AF202,PMT($K$5/360*Días,No._de_Pagos,-Monto_Crédito)-AC202-AD202)))</f>
        <v/>
      </c>
      <c r="AI202" s="125" t="str">
        <f t="shared" si="79"/>
        <v/>
      </c>
      <c r="AK202" s="126" t="str">
        <f>IF(A202="","",IF(Periodos_Gracia&gt;0,Tabla!AN202,V202+S202))</f>
        <v/>
      </c>
      <c r="AL202" s="126" t="str">
        <f t="shared" si="69"/>
        <v/>
      </c>
      <c r="AM202" s="61" t="str">
        <f t="shared" si="80"/>
        <v/>
      </c>
      <c r="AN202" s="127" t="str">
        <f>IF(A202="","",IF(A202&lt;=Periodos_Gracia,Tabla!S202,PPMT(Tasa_Anual/360*Días*(1+I.V.A.),Tabla!AM202,No._De_Pagos_con_periodo_de_gracia,-Monto_Crédito)+S202))</f>
        <v/>
      </c>
      <c r="AO202" s="127" t="str">
        <f>IF(A202="","",IF(A202&lt;=Periodos_Gracia,Tabla!AC202,Monto_Crédito/(No._De_Pagos_con_periodo_de_gracia)+AC202))</f>
        <v/>
      </c>
      <c r="AP202" s="117"/>
    </row>
    <row r="203" spans="1:42" x14ac:dyDescent="0.2">
      <c r="A203" s="107" t="str">
        <f>IF(A202&lt;Parámetros!$E$6,A202+1,"")</f>
        <v/>
      </c>
      <c r="B203" s="108" t="str">
        <f t="shared" si="81"/>
        <v/>
      </c>
      <c r="C203" s="108" t="str">
        <f t="shared" si="57"/>
        <v/>
      </c>
      <c r="D203" s="108" t="str">
        <f t="shared" si="58"/>
        <v/>
      </c>
      <c r="E203" s="108" t="str">
        <f t="shared" si="59"/>
        <v/>
      </c>
      <c r="F203" s="108" t="str">
        <f t="shared" si="60"/>
        <v/>
      </c>
      <c r="G203" s="114" t="str">
        <f t="shared" si="70"/>
        <v/>
      </c>
      <c r="H203" s="115">
        <f t="shared" si="71"/>
        <v>0</v>
      </c>
      <c r="I203" s="108" t="str">
        <f t="shared" si="82"/>
        <v/>
      </c>
      <c r="J203" s="108" t="str">
        <f t="shared" si="61"/>
        <v/>
      </c>
      <c r="K203" s="108" t="str">
        <f t="shared" si="62"/>
        <v/>
      </c>
      <c r="L203" s="108" t="str">
        <f t="shared" si="63"/>
        <v/>
      </c>
      <c r="M203" s="108" t="str">
        <f t="shared" si="72"/>
        <v/>
      </c>
      <c r="N203" s="114" t="str">
        <f t="shared" si="73"/>
        <v/>
      </c>
      <c r="O203" s="60">
        <v>0</v>
      </c>
      <c r="P203" s="116">
        <f t="shared" si="74"/>
        <v>0</v>
      </c>
      <c r="R203" s="117" t="str">
        <f t="shared" si="84"/>
        <v/>
      </c>
      <c r="S203" s="118" t="str">
        <f t="shared" si="64"/>
        <v/>
      </c>
      <c r="T203" s="118" t="str">
        <f t="shared" si="65"/>
        <v/>
      </c>
      <c r="U203" s="119">
        <f t="shared" si="75"/>
        <v>0</v>
      </c>
      <c r="V203" s="120" t="str">
        <f>IF(A203="","",IF(A203&lt;=Periodos_Gracia,0,PPMT(Tasa_Anual/360*Días*(1+I.V.A.),Tabla!AM203,No._De_Pagos_con_periodo_de_gracia,-Monto_Crédito)))</f>
        <v/>
      </c>
      <c r="W203" s="110" t="str">
        <f>IF($U$258&lt;=0,V203,IF(SUM($U$18:U203)&lt;=0,V203,PMT($K$5/360*Días,A203,-R203)))</f>
        <v/>
      </c>
      <c r="X203" s="121" t="str">
        <f>IF($U$258&lt;=0,W203,IF(SUM($U$18:U203)&lt;=0,V203,PMT($K$5/360*Días,No._De_Pagos_con_periodo_de_gracia,-Monto_Crédito)-S203-T203))</f>
        <v/>
      </c>
      <c r="Y203" s="117" t="str">
        <f t="shared" si="76"/>
        <v/>
      </c>
      <c r="Z203" s="61" t="str">
        <f>+IF(A203="","",IF(No._de_Pagos-Tabla!A203+1&lt;=0,"",No._de_Pagos-Tabla!A203+1))</f>
        <v/>
      </c>
      <c r="AA203" s="122" t="str">
        <f t="shared" si="77"/>
        <v/>
      </c>
      <c r="AB203" s="124" t="str">
        <f t="shared" si="83"/>
        <v/>
      </c>
      <c r="AC203" s="124" t="str">
        <f t="shared" si="66"/>
        <v/>
      </c>
      <c r="AD203" s="124" t="str">
        <f t="shared" si="67"/>
        <v/>
      </c>
      <c r="AE203" s="119">
        <f t="shared" si="78"/>
        <v>0</v>
      </c>
      <c r="AF203" s="120" t="str">
        <f t="shared" si="68"/>
        <v/>
      </c>
      <c r="AG203" s="110" t="str">
        <f>IF($U$258&lt;=0,AF203,IF(SUM($U$18:U203)&lt;=0,AF203,PMT($K$5/360*Días,A203,-AA203)))</f>
        <v/>
      </c>
      <c r="AH203" s="121" t="str">
        <f>IF(A203&lt;=Periodos_Gracia,0,IF($U$258&lt;=0,AG203,IF(SUM($U$18:U203)&lt;=0,AF203,PMT($K$5/360*Días,No._de_Pagos,-Monto_Crédito)-AC203-AD203)))</f>
        <v/>
      </c>
      <c r="AI203" s="125" t="str">
        <f t="shared" si="79"/>
        <v/>
      </c>
      <c r="AK203" s="126" t="str">
        <f>IF(A203="","",IF(Periodos_Gracia&gt;0,Tabla!AN203,V203+S203))</f>
        <v/>
      </c>
      <c r="AL203" s="126" t="str">
        <f t="shared" si="69"/>
        <v/>
      </c>
      <c r="AM203" s="61" t="str">
        <f t="shared" si="80"/>
        <v/>
      </c>
      <c r="AN203" s="127" t="str">
        <f>IF(A203="","",IF(A203&lt;=Periodos_Gracia,Tabla!S203,PPMT(Tasa_Anual/360*Días*(1+I.V.A.),Tabla!AM203,No._De_Pagos_con_periodo_de_gracia,-Monto_Crédito)+S203))</f>
        <v/>
      </c>
      <c r="AO203" s="127" t="str">
        <f>IF(A203="","",IF(A203&lt;=Periodos_Gracia,Tabla!AC203,Monto_Crédito/(No._De_Pagos_con_periodo_de_gracia)+AC203))</f>
        <v/>
      </c>
      <c r="AP203" s="117"/>
    </row>
    <row r="204" spans="1:42" x14ac:dyDescent="0.2">
      <c r="A204" s="107" t="str">
        <f>IF(A203&lt;Parámetros!$E$6,A203+1,"")</f>
        <v/>
      </c>
      <c r="B204" s="108" t="str">
        <f t="shared" si="81"/>
        <v/>
      </c>
      <c r="C204" s="108" t="str">
        <f t="shared" si="57"/>
        <v/>
      </c>
      <c r="D204" s="108" t="str">
        <f t="shared" si="58"/>
        <v/>
      </c>
      <c r="E204" s="108" t="str">
        <f t="shared" si="59"/>
        <v/>
      </c>
      <c r="F204" s="108" t="str">
        <f t="shared" si="60"/>
        <v/>
      </c>
      <c r="G204" s="114" t="str">
        <f t="shared" si="70"/>
        <v/>
      </c>
      <c r="H204" s="115">
        <f t="shared" si="71"/>
        <v>0</v>
      </c>
      <c r="I204" s="108" t="str">
        <f t="shared" si="82"/>
        <v/>
      </c>
      <c r="J204" s="108" t="str">
        <f t="shared" si="61"/>
        <v/>
      </c>
      <c r="K204" s="108" t="str">
        <f t="shared" si="62"/>
        <v/>
      </c>
      <c r="L204" s="108" t="str">
        <f t="shared" si="63"/>
        <v/>
      </c>
      <c r="M204" s="108" t="str">
        <f t="shared" si="72"/>
        <v/>
      </c>
      <c r="N204" s="114" t="str">
        <f t="shared" si="73"/>
        <v/>
      </c>
      <c r="O204" s="60">
        <v>0</v>
      </c>
      <c r="P204" s="116">
        <f t="shared" si="74"/>
        <v>0</v>
      </c>
      <c r="R204" s="117" t="str">
        <f t="shared" si="84"/>
        <v/>
      </c>
      <c r="S204" s="118" t="str">
        <f t="shared" si="64"/>
        <v/>
      </c>
      <c r="T204" s="118" t="str">
        <f t="shared" si="65"/>
        <v/>
      </c>
      <c r="U204" s="119">
        <f t="shared" si="75"/>
        <v>0</v>
      </c>
      <c r="V204" s="120" t="str">
        <f>IF(A204="","",IF(A204&lt;=Periodos_Gracia,0,PPMT(Tasa_Anual/360*Días*(1+I.V.A.),Tabla!AM204,No._De_Pagos_con_periodo_de_gracia,-Monto_Crédito)))</f>
        <v/>
      </c>
      <c r="W204" s="110" t="str">
        <f>IF($U$258&lt;=0,V204,IF(SUM($U$18:U204)&lt;=0,V204,PMT($K$5/360*Días,A204,-R204)))</f>
        <v/>
      </c>
      <c r="X204" s="121" t="str">
        <f>IF($U$258&lt;=0,W204,IF(SUM($U$18:U204)&lt;=0,V204,PMT($K$5/360*Días,No._De_Pagos_con_periodo_de_gracia,-Monto_Crédito)-S204-T204))</f>
        <v/>
      </c>
      <c r="Y204" s="117" t="str">
        <f t="shared" si="76"/>
        <v/>
      </c>
      <c r="Z204" s="61" t="str">
        <f>+IF(A204="","",IF(No._de_Pagos-Tabla!A204+1&lt;=0,"",No._de_Pagos-Tabla!A204+1))</f>
        <v/>
      </c>
      <c r="AA204" s="122" t="str">
        <f t="shared" si="77"/>
        <v/>
      </c>
      <c r="AB204" s="124" t="str">
        <f t="shared" si="83"/>
        <v/>
      </c>
      <c r="AC204" s="124" t="str">
        <f t="shared" si="66"/>
        <v/>
      </c>
      <c r="AD204" s="124" t="str">
        <f t="shared" si="67"/>
        <v/>
      </c>
      <c r="AE204" s="119">
        <f t="shared" si="78"/>
        <v>0</v>
      </c>
      <c r="AF204" s="120" t="str">
        <f t="shared" si="68"/>
        <v/>
      </c>
      <c r="AG204" s="110" t="str">
        <f>IF($U$258&lt;=0,AF204,IF(SUM($U$18:U204)&lt;=0,AF204,PMT($K$5/360*Días,A204,-AA204)))</f>
        <v/>
      </c>
      <c r="AH204" s="121" t="str">
        <f>IF(A204&lt;=Periodos_Gracia,0,IF($U$258&lt;=0,AG204,IF(SUM($U$18:U204)&lt;=0,AF204,PMT($K$5/360*Días,No._de_Pagos,-Monto_Crédito)-AC204-AD204)))</f>
        <v/>
      </c>
      <c r="AI204" s="125" t="str">
        <f t="shared" si="79"/>
        <v/>
      </c>
      <c r="AK204" s="126" t="str">
        <f>IF(A204="","",IF(Periodos_Gracia&gt;0,Tabla!AN204,V204+S204))</f>
        <v/>
      </c>
      <c r="AL204" s="126" t="str">
        <f t="shared" si="69"/>
        <v/>
      </c>
      <c r="AM204" s="61" t="str">
        <f t="shared" si="80"/>
        <v/>
      </c>
      <c r="AN204" s="127" t="str">
        <f>IF(A204="","",IF(A204&lt;=Periodos_Gracia,Tabla!S204,PPMT(Tasa_Anual/360*Días*(1+I.V.A.),Tabla!AM204,No._De_Pagos_con_periodo_de_gracia,-Monto_Crédito)+S204))</f>
        <v/>
      </c>
      <c r="AO204" s="127" t="str">
        <f>IF(A204="","",IF(A204&lt;=Periodos_Gracia,Tabla!AC204,Monto_Crédito/(No._De_Pagos_con_periodo_de_gracia)+AC204))</f>
        <v/>
      </c>
      <c r="AP204" s="117"/>
    </row>
    <row r="205" spans="1:42" x14ac:dyDescent="0.2">
      <c r="A205" s="107" t="str">
        <f>IF(A204&lt;Parámetros!$E$6,A204+1,"")</f>
        <v/>
      </c>
      <c r="B205" s="108" t="str">
        <f t="shared" si="81"/>
        <v/>
      </c>
      <c r="C205" s="108" t="str">
        <f t="shared" si="57"/>
        <v/>
      </c>
      <c r="D205" s="108" t="str">
        <f t="shared" si="58"/>
        <v/>
      </c>
      <c r="E205" s="108" t="str">
        <f t="shared" si="59"/>
        <v/>
      </c>
      <c r="F205" s="108" t="str">
        <f t="shared" si="60"/>
        <v/>
      </c>
      <c r="G205" s="114" t="str">
        <f t="shared" si="70"/>
        <v/>
      </c>
      <c r="H205" s="115">
        <f t="shared" si="71"/>
        <v>0</v>
      </c>
      <c r="I205" s="108" t="str">
        <f t="shared" si="82"/>
        <v/>
      </c>
      <c r="J205" s="108" t="str">
        <f t="shared" si="61"/>
        <v/>
      </c>
      <c r="K205" s="108" t="str">
        <f t="shared" si="62"/>
        <v/>
      </c>
      <c r="L205" s="108" t="str">
        <f t="shared" si="63"/>
        <v/>
      </c>
      <c r="M205" s="108" t="str">
        <f t="shared" si="72"/>
        <v/>
      </c>
      <c r="N205" s="114" t="str">
        <f t="shared" si="73"/>
        <v/>
      </c>
      <c r="O205" s="60">
        <v>0</v>
      </c>
      <c r="P205" s="116">
        <f t="shared" si="74"/>
        <v>0</v>
      </c>
      <c r="R205" s="117" t="str">
        <f t="shared" si="84"/>
        <v/>
      </c>
      <c r="S205" s="118" t="str">
        <f t="shared" si="64"/>
        <v/>
      </c>
      <c r="T205" s="118" t="str">
        <f t="shared" si="65"/>
        <v/>
      </c>
      <c r="U205" s="119">
        <f t="shared" si="75"/>
        <v>0</v>
      </c>
      <c r="V205" s="120" t="str">
        <f>IF(A205="","",IF(A205&lt;=Periodos_Gracia,0,PPMT(Tasa_Anual/360*Días*(1+I.V.A.),Tabla!AM205,No._De_Pagos_con_periodo_de_gracia,-Monto_Crédito)))</f>
        <v/>
      </c>
      <c r="W205" s="110" t="str">
        <f>IF($U$258&lt;=0,V205,IF(SUM($U$18:U205)&lt;=0,V205,PMT($K$5/360*Días,A205,-R205)))</f>
        <v/>
      </c>
      <c r="X205" s="121" t="str">
        <f>IF($U$258&lt;=0,W205,IF(SUM($U$18:U205)&lt;=0,V205,PMT($K$5/360*Días,No._De_Pagos_con_periodo_de_gracia,-Monto_Crédito)-S205-T205))</f>
        <v/>
      </c>
      <c r="Y205" s="117" t="str">
        <f t="shared" si="76"/>
        <v/>
      </c>
      <c r="Z205" s="61" t="str">
        <f>+IF(A205="","",IF(No._de_Pagos-Tabla!A205+1&lt;=0,"",No._de_Pagos-Tabla!A205+1))</f>
        <v/>
      </c>
      <c r="AA205" s="122" t="str">
        <f t="shared" si="77"/>
        <v/>
      </c>
      <c r="AB205" s="124" t="str">
        <f t="shared" si="83"/>
        <v/>
      </c>
      <c r="AC205" s="124" t="str">
        <f t="shared" si="66"/>
        <v/>
      </c>
      <c r="AD205" s="124" t="str">
        <f t="shared" si="67"/>
        <v/>
      </c>
      <c r="AE205" s="119">
        <f t="shared" si="78"/>
        <v>0</v>
      </c>
      <c r="AF205" s="120" t="str">
        <f t="shared" si="68"/>
        <v/>
      </c>
      <c r="AG205" s="110" t="str">
        <f>IF($U$258&lt;=0,AF205,IF(SUM($U$18:U205)&lt;=0,AF205,PMT($K$5/360*Días,A205,-AA205)))</f>
        <v/>
      </c>
      <c r="AH205" s="121" t="str">
        <f>IF(A205&lt;=Periodos_Gracia,0,IF($U$258&lt;=0,AG205,IF(SUM($U$18:U205)&lt;=0,AF205,PMT($K$5/360*Días,No._de_Pagos,-Monto_Crédito)-AC205-AD205)))</f>
        <v/>
      </c>
      <c r="AI205" s="125" t="str">
        <f t="shared" si="79"/>
        <v/>
      </c>
      <c r="AK205" s="126" t="str">
        <f>IF(A205="","",IF(Periodos_Gracia&gt;0,Tabla!AN205,V205+S205))</f>
        <v/>
      </c>
      <c r="AL205" s="126" t="str">
        <f t="shared" si="69"/>
        <v/>
      </c>
      <c r="AM205" s="61" t="str">
        <f t="shared" si="80"/>
        <v/>
      </c>
      <c r="AN205" s="127" t="str">
        <f>IF(A205="","",IF(A205&lt;=Periodos_Gracia,Tabla!S205,PPMT(Tasa_Anual/360*Días*(1+I.V.A.),Tabla!AM205,No._De_Pagos_con_periodo_de_gracia,-Monto_Crédito)+S205))</f>
        <v/>
      </c>
      <c r="AO205" s="127" t="str">
        <f>IF(A205="","",IF(A205&lt;=Periodos_Gracia,Tabla!AC205,Monto_Crédito/(No._De_Pagos_con_periodo_de_gracia)+AC205))</f>
        <v/>
      </c>
      <c r="AP205" s="117"/>
    </row>
    <row r="206" spans="1:42" x14ac:dyDescent="0.2">
      <c r="A206" s="107" t="str">
        <f>IF(A205&lt;Parámetros!$E$6,A205+1,"")</f>
        <v/>
      </c>
      <c r="B206" s="108" t="str">
        <f t="shared" si="81"/>
        <v/>
      </c>
      <c r="C206" s="108" t="str">
        <f t="shared" si="57"/>
        <v/>
      </c>
      <c r="D206" s="108" t="str">
        <f t="shared" si="58"/>
        <v/>
      </c>
      <c r="E206" s="108" t="str">
        <f t="shared" si="59"/>
        <v/>
      </c>
      <c r="F206" s="108" t="str">
        <f t="shared" si="60"/>
        <v/>
      </c>
      <c r="G206" s="114" t="str">
        <f t="shared" si="70"/>
        <v/>
      </c>
      <c r="H206" s="115">
        <f t="shared" si="71"/>
        <v>0</v>
      </c>
      <c r="I206" s="108" t="str">
        <f t="shared" si="82"/>
        <v/>
      </c>
      <c r="J206" s="108" t="str">
        <f t="shared" si="61"/>
        <v/>
      </c>
      <c r="K206" s="108" t="str">
        <f t="shared" si="62"/>
        <v/>
      </c>
      <c r="L206" s="108" t="str">
        <f t="shared" si="63"/>
        <v/>
      </c>
      <c r="M206" s="108" t="str">
        <f t="shared" si="72"/>
        <v/>
      </c>
      <c r="N206" s="114" t="str">
        <f t="shared" si="73"/>
        <v/>
      </c>
      <c r="O206" s="60">
        <v>0</v>
      </c>
      <c r="P206" s="116">
        <f t="shared" si="74"/>
        <v>0</v>
      </c>
      <c r="R206" s="117" t="str">
        <f t="shared" si="84"/>
        <v/>
      </c>
      <c r="S206" s="118" t="str">
        <f t="shared" si="64"/>
        <v/>
      </c>
      <c r="T206" s="118" t="str">
        <f t="shared" si="65"/>
        <v/>
      </c>
      <c r="U206" s="119">
        <f t="shared" si="75"/>
        <v>0</v>
      </c>
      <c r="V206" s="120" t="str">
        <f>IF(A206="","",IF(A206&lt;=Periodos_Gracia,0,PPMT(Tasa_Anual/360*Días*(1+I.V.A.),Tabla!AM206,No._De_Pagos_con_periodo_de_gracia,-Monto_Crédito)))</f>
        <v/>
      </c>
      <c r="W206" s="110" t="str">
        <f>IF($U$258&lt;=0,V206,IF(SUM($U$18:U206)&lt;=0,V206,PMT($K$5/360*Días,A206,-R206)))</f>
        <v/>
      </c>
      <c r="X206" s="121" t="str">
        <f>IF($U$258&lt;=0,W206,IF(SUM($U$18:U206)&lt;=0,V206,PMT($K$5/360*Días,No._De_Pagos_con_periodo_de_gracia,-Monto_Crédito)-S206-T206))</f>
        <v/>
      </c>
      <c r="Y206" s="117" t="str">
        <f t="shared" si="76"/>
        <v/>
      </c>
      <c r="Z206" s="61" t="str">
        <f>+IF(A206="","",IF(No._de_Pagos-Tabla!A206+1&lt;=0,"",No._de_Pagos-Tabla!A206+1))</f>
        <v/>
      </c>
      <c r="AA206" s="122" t="str">
        <f t="shared" si="77"/>
        <v/>
      </c>
      <c r="AB206" s="124" t="str">
        <f t="shared" si="83"/>
        <v/>
      </c>
      <c r="AC206" s="124" t="str">
        <f t="shared" si="66"/>
        <v/>
      </c>
      <c r="AD206" s="124" t="str">
        <f t="shared" si="67"/>
        <v/>
      </c>
      <c r="AE206" s="119">
        <f t="shared" si="78"/>
        <v>0</v>
      </c>
      <c r="AF206" s="120" t="str">
        <f t="shared" si="68"/>
        <v/>
      </c>
      <c r="AG206" s="110" t="str">
        <f>IF($U$258&lt;=0,AF206,IF(SUM($U$18:U206)&lt;=0,AF206,PMT($K$5/360*Días,A206,-AA206)))</f>
        <v/>
      </c>
      <c r="AH206" s="121" t="str">
        <f>IF(A206&lt;=Periodos_Gracia,0,IF($U$258&lt;=0,AG206,IF(SUM($U$18:U206)&lt;=0,AF206,PMT($K$5/360*Días,No._de_Pagos,-Monto_Crédito)-AC206-AD206)))</f>
        <v/>
      </c>
      <c r="AI206" s="125" t="str">
        <f t="shared" si="79"/>
        <v/>
      </c>
      <c r="AK206" s="126" t="str">
        <f>IF(A206="","",IF(Periodos_Gracia&gt;0,Tabla!AN206,V206+S206))</f>
        <v/>
      </c>
      <c r="AL206" s="126" t="str">
        <f t="shared" si="69"/>
        <v/>
      </c>
      <c r="AM206" s="61" t="str">
        <f t="shared" si="80"/>
        <v/>
      </c>
      <c r="AN206" s="127" t="str">
        <f>IF(A206="","",IF(A206&lt;=Periodos_Gracia,Tabla!S206,PPMT(Tasa_Anual/360*Días*(1+I.V.A.),Tabla!AM206,No._De_Pagos_con_periodo_de_gracia,-Monto_Crédito)+S206))</f>
        <v/>
      </c>
      <c r="AO206" s="127" t="str">
        <f>IF(A206="","",IF(A206&lt;=Periodos_Gracia,Tabla!AC206,Monto_Crédito/(No._De_Pagos_con_periodo_de_gracia)+AC206))</f>
        <v/>
      </c>
      <c r="AP206" s="117"/>
    </row>
    <row r="207" spans="1:42" x14ac:dyDescent="0.2">
      <c r="A207" s="107" t="str">
        <f>IF(A206&lt;Parámetros!$E$6,A206+1,"")</f>
        <v/>
      </c>
      <c r="B207" s="108" t="str">
        <f t="shared" si="81"/>
        <v/>
      </c>
      <c r="C207" s="108" t="str">
        <f t="shared" si="57"/>
        <v/>
      </c>
      <c r="D207" s="108" t="str">
        <f t="shared" si="58"/>
        <v/>
      </c>
      <c r="E207" s="108" t="str">
        <f t="shared" si="59"/>
        <v/>
      </c>
      <c r="F207" s="108" t="str">
        <f t="shared" si="60"/>
        <v/>
      </c>
      <c r="G207" s="114" t="str">
        <f t="shared" si="70"/>
        <v/>
      </c>
      <c r="H207" s="115">
        <f t="shared" si="71"/>
        <v>0</v>
      </c>
      <c r="I207" s="108" t="str">
        <f t="shared" si="82"/>
        <v/>
      </c>
      <c r="J207" s="108" t="str">
        <f t="shared" si="61"/>
        <v/>
      </c>
      <c r="K207" s="108" t="str">
        <f t="shared" si="62"/>
        <v/>
      </c>
      <c r="L207" s="108" t="str">
        <f t="shared" si="63"/>
        <v/>
      </c>
      <c r="M207" s="108" t="str">
        <f t="shared" si="72"/>
        <v/>
      </c>
      <c r="N207" s="114" t="str">
        <f t="shared" si="73"/>
        <v/>
      </c>
      <c r="O207" s="60">
        <v>0</v>
      </c>
      <c r="P207" s="116">
        <f t="shared" si="74"/>
        <v>0</v>
      </c>
      <c r="R207" s="117" t="str">
        <f t="shared" si="84"/>
        <v/>
      </c>
      <c r="S207" s="118" t="str">
        <f t="shared" si="64"/>
        <v/>
      </c>
      <c r="T207" s="118" t="str">
        <f t="shared" si="65"/>
        <v/>
      </c>
      <c r="U207" s="119">
        <f t="shared" si="75"/>
        <v>0</v>
      </c>
      <c r="V207" s="120" t="str">
        <f>IF(A207="","",IF(A207&lt;=Periodos_Gracia,0,PPMT(Tasa_Anual/360*Días*(1+I.V.A.),Tabla!AM207,No._De_Pagos_con_periodo_de_gracia,-Monto_Crédito)))</f>
        <v/>
      </c>
      <c r="W207" s="110" t="str">
        <f>IF($U$258&lt;=0,V207,IF(SUM($U$18:U207)&lt;=0,V207,PMT($K$5/360*Días,A207,-R207)))</f>
        <v/>
      </c>
      <c r="X207" s="121" t="str">
        <f>IF($U$258&lt;=0,W207,IF(SUM($U$18:U207)&lt;=0,V207,PMT($K$5/360*Días,No._De_Pagos_con_periodo_de_gracia,-Monto_Crédito)-S207-T207))</f>
        <v/>
      </c>
      <c r="Y207" s="117" t="str">
        <f t="shared" si="76"/>
        <v/>
      </c>
      <c r="Z207" s="61" t="str">
        <f>+IF(A207="","",IF(No._de_Pagos-Tabla!A207+1&lt;=0,"",No._de_Pagos-Tabla!A207+1))</f>
        <v/>
      </c>
      <c r="AA207" s="122" t="str">
        <f t="shared" si="77"/>
        <v/>
      </c>
      <c r="AB207" s="124" t="str">
        <f t="shared" si="83"/>
        <v/>
      </c>
      <c r="AC207" s="124" t="str">
        <f t="shared" si="66"/>
        <v/>
      </c>
      <c r="AD207" s="124" t="str">
        <f t="shared" si="67"/>
        <v/>
      </c>
      <c r="AE207" s="119">
        <f t="shared" si="78"/>
        <v>0</v>
      </c>
      <c r="AF207" s="120" t="str">
        <f t="shared" si="68"/>
        <v/>
      </c>
      <c r="AG207" s="110" t="str">
        <f>IF($U$258&lt;=0,AF207,IF(SUM($U$18:U207)&lt;=0,AF207,PMT($K$5/360*Días,A207,-AA207)))</f>
        <v/>
      </c>
      <c r="AH207" s="121" t="str">
        <f>IF(A207&lt;=Periodos_Gracia,0,IF($U$258&lt;=0,AG207,IF(SUM($U$18:U207)&lt;=0,AF207,PMT($K$5/360*Días,No._de_Pagos,-Monto_Crédito)-AC207-AD207)))</f>
        <v/>
      </c>
      <c r="AI207" s="125" t="str">
        <f t="shared" si="79"/>
        <v/>
      </c>
      <c r="AK207" s="126" t="str">
        <f>IF(A207="","",IF(Periodos_Gracia&gt;0,Tabla!AN207,V207+S207))</f>
        <v/>
      </c>
      <c r="AL207" s="126" t="str">
        <f t="shared" si="69"/>
        <v/>
      </c>
      <c r="AM207" s="61" t="str">
        <f t="shared" si="80"/>
        <v/>
      </c>
      <c r="AN207" s="127" t="str">
        <f>IF(A207="","",IF(A207&lt;=Periodos_Gracia,Tabla!S207,PPMT(Tasa_Anual/360*Días*(1+I.V.A.),Tabla!AM207,No._De_Pagos_con_periodo_de_gracia,-Monto_Crédito)+S207))</f>
        <v/>
      </c>
      <c r="AO207" s="127" t="str">
        <f>IF(A207="","",IF(A207&lt;=Periodos_Gracia,Tabla!AC207,Monto_Crédito/(No._De_Pagos_con_periodo_de_gracia)+AC207))</f>
        <v/>
      </c>
      <c r="AP207" s="117"/>
    </row>
    <row r="208" spans="1:42" x14ac:dyDescent="0.2">
      <c r="A208" s="107" t="str">
        <f>IF(A207&lt;Parámetros!$E$6,A207+1,"")</f>
        <v/>
      </c>
      <c r="B208" s="108" t="str">
        <f t="shared" si="81"/>
        <v/>
      </c>
      <c r="C208" s="108" t="str">
        <f t="shared" si="57"/>
        <v/>
      </c>
      <c r="D208" s="108" t="str">
        <f t="shared" si="58"/>
        <v/>
      </c>
      <c r="E208" s="108" t="str">
        <f t="shared" si="59"/>
        <v/>
      </c>
      <c r="F208" s="108" t="str">
        <f t="shared" si="60"/>
        <v/>
      </c>
      <c r="G208" s="114" t="str">
        <f t="shared" si="70"/>
        <v/>
      </c>
      <c r="H208" s="115">
        <f t="shared" si="71"/>
        <v>0</v>
      </c>
      <c r="I208" s="108" t="str">
        <f t="shared" si="82"/>
        <v/>
      </c>
      <c r="J208" s="108" t="str">
        <f t="shared" si="61"/>
        <v/>
      </c>
      <c r="K208" s="108" t="str">
        <f t="shared" si="62"/>
        <v/>
      </c>
      <c r="L208" s="108" t="str">
        <f t="shared" si="63"/>
        <v/>
      </c>
      <c r="M208" s="108" t="str">
        <f t="shared" si="72"/>
        <v/>
      </c>
      <c r="N208" s="114" t="str">
        <f t="shared" si="73"/>
        <v/>
      </c>
      <c r="O208" s="60">
        <v>0</v>
      </c>
      <c r="P208" s="116">
        <f t="shared" si="74"/>
        <v>0</v>
      </c>
      <c r="R208" s="117" t="str">
        <f t="shared" si="84"/>
        <v/>
      </c>
      <c r="S208" s="118" t="str">
        <f t="shared" si="64"/>
        <v/>
      </c>
      <c r="T208" s="118" t="str">
        <f t="shared" si="65"/>
        <v/>
      </c>
      <c r="U208" s="119">
        <f t="shared" si="75"/>
        <v>0</v>
      </c>
      <c r="V208" s="120" t="str">
        <f>IF(A208="","",IF(A208&lt;=Periodos_Gracia,0,PPMT(Tasa_Anual/360*Días*(1+I.V.A.),Tabla!AM208,No._De_Pagos_con_periodo_de_gracia,-Monto_Crédito)))</f>
        <v/>
      </c>
      <c r="W208" s="110" t="str">
        <f>IF($U$258&lt;=0,V208,IF(SUM($U$18:U208)&lt;=0,V208,PMT($K$5/360*Días,A208,-R208)))</f>
        <v/>
      </c>
      <c r="X208" s="121" t="str">
        <f>IF($U$258&lt;=0,W208,IF(SUM($U$18:U208)&lt;=0,V208,PMT($K$5/360*Días,No._De_Pagos_con_periodo_de_gracia,-Monto_Crédito)-S208-T208))</f>
        <v/>
      </c>
      <c r="Y208" s="117" t="str">
        <f t="shared" si="76"/>
        <v/>
      </c>
      <c r="Z208" s="61" t="str">
        <f>+IF(A208="","",IF(No._de_Pagos-Tabla!A208+1&lt;=0,"",No._de_Pagos-Tabla!A208+1))</f>
        <v/>
      </c>
      <c r="AA208" s="122" t="str">
        <f t="shared" si="77"/>
        <v/>
      </c>
      <c r="AB208" s="124" t="str">
        <f t="shared" si="83"/>
        <v/>
      </c>
      <c r="AC208" s="124" t="str">
        <f t="shared" si="66"/>
        <v/>
      </c>
      <c r="AD208" s="124" t="str">
        <f t="shared" si="67"/>
        <v/>
      </c>
      <c r="AE208" s="119">
        <f t="shared" si="78"/>
        <v>0</v>
      </c>
      <c r="AF208" s="120" t="str">
        <f t="shared" si="68"/>
        <v/>
      </c>
      <c r="AG208" s="110" t="str">
        <f>IF($U$258&lt;=0,AF208,IF(SUM($U$18:U208)&lt;=0,AF208,PMT($K$5/360*Días,A208,-AA208)))</f>
        <v/>
      </c>
      <c r="AH208" s="121" t="str">
        <f>IF(A208&lt;=Periodos_Gracia,0,IF($U$258&lt;=0,AG208,IF(SUM($U$18:U208)&lt;=0,AF208,PMT($K$5/360*Días,No._de_Pagos,-Monto_Crédito)-AC208-AD208)))</f>
        <v/>
      </c>
      <c r="AI208" s="125" t="str">
        <f t="shared" si="79"/>
        <v/>
      </c>
      <c r="AK208" s="126" t="str">
        <f>IF(A208="","",IF(Periodos_Gracia&gt;0,Tabla!AN208,V208+S208))</f>
        <v/>
      </c>
      <c r="AL208" s="126" t="str">
        <f t="shared" si="69"/>
        <v/>
      </c>
      <c r="AM208" s="61" t="str">
        <f t="shared" si="80"/>
        <v/>
      </c>
      <c r="AN208" s="127" t="str">
        <f>IF(A208="","",IF(A208&lt;=Periodos_Gracia,Tabla!S208,PPMT(Tasa_Anual/360*Días*(1+I.V.A.),Tabla!AM208,No._De_Pagos_con_periodo_de_gracia,-Monto_Crédito)+S208))</f>
        <v/>
      </c>
      <c r="AO208" s="127" t="str">
        <f>IF(A208="","",IF(A208&lt;=Periodos_Gracia,Tabla!AC208,Monto_Crédito/(No._De_Pagos_con_periodo_de_gracia)+AC208))</f>
        <v/>
      </c>
      <c r="AP208" s="117"/>
    </row>
    <row r="209" spans="1:42" x14ac:dyDescent="0.2">
      <c r="A209" s="107" t="str">
        <f>IF(A208&lt;Parámetros!$E$6,A208+1,"")</f>
        <v/>
      </c>
      <c r="B209" s="108" t="str">
        <f t="shared" si="81"/>
        <v/>
      </c>
      <c r="C209" s="108" t="str">
        <f t="shared" si="57"/>
        <v/>
      </c>
      <c r="D209" s="108" t="str">
        <f t="shared" si="58"/>
        <v/>
      </c>
      <c r="E209" s="108" t="str">
        <f t="shared" si="59"/>
        <v/>
      </c>
      <c r="F209" s="108" t="str">
        <f t="shared" si="60"/>
        <v/>
      </c>
      <c r="G209" s="114" t="str">
        <f t="shared" si="70"/>
        <v/>
      </c>
      <c r="H209" s="115">
        <f t="shared" si="71"/>
        <v>0</v>
      </c>
      <c r="I209" s="108" t="str">
        <f t="shared" si="82"/>
        <v/>
      </c>
      <c r="J209" s="108" t="str">
        <f t="shared" si="61"/>
        <v/>
      </c>
      <c r="K209" s="108" t="str">
        <f t="shared" si="62"/>
        <v/>
      </c>
      <c r="L209" s="108" t="str">
        <f t="shared" si="63"/>
        <v/>
      </c>
      <c r="M209" s="108" t="str">
        <f t="shared" si="72"/>
        <v/>
      </c>
      <c r="N209" s="114" t="str">
        <f t="shared" si="73"/>
        <v/>
      </c>
      <c r="O209" s="60">
        <v>0</v>
      </c>
      <c r="P209" s="116">
        <f t="shared" si="74"/>
        <v>0</v>
      </c>
      <c r="R209" s="117" t="str">
        <f t="shared" si="84"/>
        <v/>
      </c>
      <c r="S209" s="118" t="str">
        <f t="shared" si="64"/>
        <v/>
      </c>
      <c r="T209" s="118" t="str">
        <f t="shared" si="65"/>
        <v/>
      </c>
      <c r="U209" s="119">
        <f t="shared" si="75"/>
        <v>0</v>
      </c>
      <c r="V209" s="120" t="str">
        <f>IF(A209="","",IF(A209&lt;=Periodos_Gracia,0,PPMT(Tasa_Anual/360*Días*(1+I.V.A.),Tabla!AM209,No._De_Pagos_con_periodo_de_gracia,-Monto_Crédito)))</f>
        <v/>
      </c>
      <c r="W209" s="110" t="str">
        <f>IF($U$258&lt;=0,V209,IF(SUM($U$18:U209)&lt;=0,V209,PMT($K$5/360*Días,A209,-R209)))</f>
        <v/>
      </c>
      <c r="X209" s="121" t="str">
        <f>IF($U$258&lt;=0,W209,IF(SUM($U$18:U209)&lt;=0,V209,PMT($K$5/360*Días,No._De_Pagos_con_periodo_de_gracia,-Monto_Crédito)-S209-T209))</f>
        <v/>
      </c>
      <c r="Y209" s="117" t="str">
        <f t="shared" si="76"/>
        <v/>
      </c>
      <c r="Z209" s="61" t="str">
        <f>+IF(A209="","",IF(No._de_Pagos-Tabla!A209+1&lt;=0,"",No._de_Pagos-Tabla!A209+1))</f>
        <v/>
      </c>
      <c r="AA209" s="122" t="str">
        <f t="shared" si="77"/>
        <v/>
      </c>
      <c r="AB209" s="124" t="str">
        <f t="shared" si="83"/>
        <v/>
      </c>
      <c r="AC209" s="124" t="str">
        <f t="shared" si="66"/>
        <v/>
      </c>
      <c r="AD209" s="124" t="str">
        <f t="shared" si="67"/>
        <v/>
      </c>
      <c r="AE209" s="119">
        <f t="shared" si="78"/>
        <v>0</v>
      </c>
      <c r="AF209" s="120" t="str">
        <f t="shared" si="68"/>
        <v/>
      </c>
      <c r="AG209" s="110" t="str">
        <f>IF($U$258&lt;=0,AF209,IF(SUM($U$18:U209)&lt;=0,AF209,PMT($K$5/360*Días,A209,-AA209)))</f>
        <v/>
      </c>
      <c r="AH209" s="121" t="str">
        <f>IF(A209&lt;=Periodos_Gracia,0,IF($U$258&lt;=0,AG209,IF(SUM($U$18:U209)&lt;=0,AF209,PMT($K$5/360*Días,No._de_Pagos,-Monto_Crédito)-AC209-AD209)))</f>
        <v/>
      </c>
      <c r="AI209" s="125" t="str">
        <f t="shared" si="79"/>
        <v/>
      </c>
      <c r="AK209" s="126" t="str">
        <f>IF(A209="","",IF(Periodos_Gracia&gt;0,Tabla!AN209,V209+S209))</f>
        <v/>
      </c>
      <c r="AL209" s="126" t="str">
        <f t="shared" si="69"/>
        <v/>
      </c>
      <c r="AM209" s="61" t="str">
        <f t="shared" si="80"/>
        <v/>
      </c>
      <c r="AN209" s="127" t="str">
        <f>IF(A209="","",IF(A209&lt;=Periodos_Gracia,Tabla!S209,PPMT(Tasa_Anual/360*Días*(1+I.V.A.),Tabla!AM209,No._De_Pagos_con_periodo_de_gracia,-Monto_Crédito)+S209))</f>
        <v/>
      </c>
      <c r="AO209" s="127" t="str">
        <f>IF(A209="","",IF(A209&lt;=Periodos_Gracia,Tabla!AC209,Monto_Crédito/(No._De_Pagos_con_periodo_de_gracia)+AC209))</f>
        <v/>
      </c>
      <c r="AP209" s="117"/>
    </row>
    <row r="210" spans="1:42" x14ac:dyDescent="0.2">
      <c r="A210" s="107" t="str">
        <f>IF(A209&lt;Parámetros!$E$6,A209+1,"")</f>
        <v/>
      </c>
      <c r="B210" s="108" t="str">
        <f t="shared" si="81"/>
        <v/>
      </c>
      <c r="C210" s="108" t="str">
        <f t="shared" ref="C210:C257" si="85">IF(A210="","",IF(A210&lt;=Periodos_Gracia,0,IF(V210&gt;B210,B210,V210)))</f>
        <v/>
      </c>
      <c r="D210" s="108" t="str">
        <f t="shared" ref="D210:D257" si="86">IF(A210="","",B210*Tasa_Anual/Pagos_por_año)</f>
        <v/>
      </c>
      <c r="E210" s="108" t="str">
        <f t="shared" ref="E210:E257" si="87">IF(A210="","",D210*I.V.A.)</f>
        <v/>
      </c>
      <c r="F210" s="108" t="str">
        <f t="shared" ref="F210:F257" si="88">IF(A210="","",IF(B210=0,0,IF(A210&lt;=Periodos_Gracia,(D210+E210),C210+D210+E210)))</f>
        <v/>
      </c>
      <c r="G210" s="114" t="str">
        <f t="shared" si="70"/>
        <v/>
      </c>
      <c r="H210" s="115">
        <f t="shared" si="71"/>
        <v>0</v>
      </c>
      <c r="I210" s="108" t="str">
        <f t="shared" si="82"/>
        <v/>
      </c>
      <c r="J210" s="108" t="str">
        <f t="shared" ref="J210:J257" si="89">IF(A210="","",IF(I210=0,0,IF(A210&lt;=Periodos_Gracia,0,IF((Monto_Crédito/(No._de_Pagos-Periodos_Gracia))&gt;I210,I210,(Monto_Crédito/(No._de_Pagos-Periodos_Gracia))))))</f>
        <v/>
      </c>
      <c r="K210" s="108" t="str">
        <f t="shared" ref="K210:K257" si="90">IF(A210="","",I210*Tasa_Anual/Pagos_por_año)</f>
        <v/>
      </c>
      <c r="L210" s="108" t="str">
        <f t="shared" ref="L210:L257" si="91">IF(A210="","",K210*I.V.A.)</f>
        <v/>
      </c>
      <c r="M210" s="108" t="str">
        <f t="shared" si="72"/>
        <v/>
      </c>
      <c r="N210" s="114" t="str">
        <f t="shared" si="73"/>
        <v/>
      </c>
      <c r="O210" s="60">
        <v>0</v>
      </c>
      <c r="P210" s="116">
        <f t="shared" si="74"/>
        <v>0</v>
      </c>
      <c r="R210" s="117" t="str">
        <f t="shared" si="84"/>
        <v/>
      </c>
      <c r="S210" s="118" t="str">
        <f t="shared" ref="S210:S257" si="92">+IF(A210="","",R210*$K$5/360*Días)</f>
        <v/>
      </c>
      <c r="T210" s="118" t="str">
        <f t="shared" ref="T210:T257" si="93">+IF(A210="","",S210*I.V.A.)</f>
        <v/>
      </c>
      <c r="U210" s="119">
        <f t="shared" si="75"/>
        <v>0</v>
      </c>
      <c r="V210" s="120" t="str">
        <f>IF(A210="","",IF(A210&lt;=Periodos_Gracia,0,PPMT(Tasa_Anual/360*Días*(1+I.V.A.),Tabla!AM210,No._De_Pagos_con_periodo_de_gracia,-Monto_Crédito)))</f>
        <v/>
      </c>
      <c r="W210" s="110" t="str">
        <f>IF($U$258&lt;=0,V210,IF(SUM($U$18:U210)&lt;=0,V210,PMT($K$5/360*Días,A210,-R210)))</f>
        <v/>
      </c>
      <c r="X210" s="121" t="str">
        <f>IF($U$258&lt;=0,W210,IF(SUM($U$18:U210)&lt;=0,V210,PMT($K$5/360*Días,No._De_Pagos_con_periodo_de_gracia,-Monto_Crédito)-S210-T210))</f>
        <v/>
      </c>
      <c r="Y210" s="117" t="str">
        <f t="shared" si="76"/>
        <v/>
      </c>
      <c r="Z210" s="61" t="str">
        <f>+IF(A210="","",IF(No._de_Pagos-Tabla!A210+1&lt;=0,"",No._de_Pagos-Tabla!A210+1))</f>
        <v/>
      </c>
      <c r="AA210" s="122" t="str">
        <f t="shared" si="77"/>
        <v/>
      </c>
      <c r="AB210" s="124" t="str">
        <f t="shared" si="83"/>
        <v/>
      </c>
      <c r="AC210" s="124" t="str">
        <f t="shared" ref="AC210:AC257" si="94">IF(AB210="","",+AB210*($K$5/360*Días))</f>
        <v/>
      </c>
      <c r="AD210" s="124" t="str">
        <f t="shared" ref="AD210:AD257" si="95">IF(AC210="","",+AC210*I.V.A.)</f>
        <v/>
      </c>
      <c r="AE210" s="119">
        <f t="shared" si="78"/>
        <v>0</v>
      </c>
      <c r="AF210" s="120" t="str">
        <f t="shared" ref="AF210:AF257" si="96">IF(A210="","",IF(A210&lt;=Periodos_Gracia,0,Monto_Crédito/(No._De_Pagos_con_periodo_de_gracia)))</f>
        <v/>
      </c>
      <c r="AG210" s="110" t="str">
        <f>IF($U$258&lt;=0,AF210,IF(SUM($U$18:U210)&lt;=0,AF210,PMT($K$5/360*Días,A210,-AA210)))</f>
        <v/>
      </c>
      <c r="AH210" s="121" t="str">
        <f>IF(A210&lt;=Periodos_Gracia,0,IF($U$258&lt;=0,AG210,IF(SUM($U$18:U210)&lt;=0,AF210,PMT($K$5/360*Días,No._de_Pagos,-Monto_Crédito)-AC210-AD210)))</f>
        <v/>
      </c>
      <c r="AI210" s="125" t="str">
        <f t="shared" si="79"/>
        <v/>
      </c>
      <c r="AK210" s="126" t="str">
        <f>IF(A210="","",IF(Periodos_Gracia&gt;0,Tabla!AN210,V210+S210))</f>
        <v/>
      </c>
      <c r="AL210" s="126" t="str">
        <f t="shared" ref="AL210:AL257" si="97">IF(A210="","",IF(Periodos_Gracia&gt;0,AO210,AF210+AC210))</f>
        <v/>
      </c>
      <c r="AM210" s="61" t="str">
        <f t="shared" si="80"/>
        <v/>
      </c>
      <c r="AN210" s="127" t="str">
        <f>IF(A210="","",IF(A210&lt;=Periodos_Gracia,Tabla!S210,PPMT(Tasa_Anual/360*Días*(1+I.V.A.),Tabla!AM210,No._De_Pagos_con_periodo_de_gracia,-Monto_Crédito)+S210))</f>
        <v/>
      </c>
      <c r="AO210" s="127" t="str">
        <f>IF(A210="","",IF(A210&lt;=Periodos_Gracia,Tabla!AC210,Monto_Crédito/(No._De_Pagos_con_periodo_de_gracia)+AC210))</f>
        <v/>
      </c>
      <c r="AP210" s="117"/>
    </row>
    <row r="211" spans="1:42" x14ac:dyDescent="0.2">
      <c r="A211" s="107" t="str">
        <f>IF(A210&lt;Parámetros!$E$6,A210+1,"")</f>
        <v/>
      </c>
      <c r="B211" s="108" t="str">
        <f t="shared" si="81"/>
        <v/>
      </c>
      <c r="C211" s="108" t="str">
        <f t="shared" si="85"/>
        <v/>
      </c>
      <c r="D211" s="108" t="str">
        <f t="shared" si="86"/>
        <v/>
      </c>
      <c r="E211" s="108" t="str">
        <f t="shared" si="87"/>
        <v/>
      </c>
      <c r="F211" s="108" t="str">
        <f t="shared" si="88"/>
        <v/>
      </c>
      <c r="G211" s="114" t="str">
        <f t="shared" ref="G211:G257" si="98">IF(A211="","",IF(+B211-C211-O211&lt;=0,0,+B211-C211-O211))</f>
        <v/>
      </c>
      <c r="H211" s="115">
        <f t="shared" ref="H211:H257" si="99">IF(OR(B211=0,B211=""),0,1)</f>
        <v>0</v>
      </c>
      <c r="I211" s="108" t="str">
        <f t="shared" si="82"/>
        <v/>
      </c>
      <c r="J211" s="108" t="str">
        <f t="shared" si="89"/>
        <v/>
      </c>
      <c r="K211" s="108" t="str">
        <f t="shared" si="90"/>
        <v/>
      </c>
      <c r="L211" s="108" t="str">
        <f t="shared" si="91"/>
        <v/>
      </c>
      <c r="M211" s="108" t="str">
        <f t="shared" ref="M211:M257" si="100">IF(A211="","",IF(I211=0,0,(J211+K211+L211)))</f>
        <v/>
      </c>
      <c r="N211" s="114" t="str">
        <f t="shared" ref="N211:N257" si="101">IF(A211="","",IF(+I211-J211-O211&lt;=0,0,+I211-J211-O211))</f>
        <v/>
      </c>
      <c r="O211" s="60">
        <v>0</v>
      </c>
      <c r="P211" s="116">
        <f t="shared" ref="P211:P257" si="102">IF(OR(I211=0,I211=""),0,1)</f>
        <v>0</v>
      </c>
      <c r="R211" s="117" t="str">
        <f t="shared" si="84"/>
        <v/>
      </c>
      <c r="S211" s="118" t="str">
        <f t="shared" si="92"/>
        <v/>
      </c>
      <c r="T211" s="118" t="str">
        <f t="shared" si="93"/>
        <v/>
      </c>
      <c r="U211" s="119">
        <f t="shared" ref="U211:U257" si="103">+O211</f>
        <v>0</v>
      </c>
      <c r="V211" s="120" t="str">
        <f>IF(A211="","",IF(A211&lt;=Periodos_Gracia,0,PPMT(Tasa_Anual/360*Días*(1+I.V.A.),Tabla!AM211,No._De_Pagos_con_periodo_de_gracia,-Monto_Crédito)))</f>
        <v/>
      </c>
      <c r="W211" s="110" t="str">
        <f>IF($U$258&lt;=0,V211,IF(SUM($U$18:U211)&lt;=0,V211,PMT($K$5/360*Días,A211,-R211)))</f>
        <v/>
      </c>
      <c r="X211" s="121" t="str">
        <f>IF($U$258&lt;=0,W211,IF(SUM($U$18:U211)&lt;=0,V211,PMT($K$5/360*Días,No._De_Pagos_con_periodo_de_gracia,-Monto_Crédito)-S211-T211))</f>
        <v/>
      </c>
      <c r="Y211" s="117" t="str">
        <f t="shared" ref="Y211:Y257" si="104">V211</f>
        <v/>
      </c>
      <c r="Z211" s="61" t="str">
        <f>+IF(A211="","",IF(No._de_Pagos-Tabla!A211+1&lt;=0,"",No._de_Pagos-Tabla!A211+1))</f>
        <v/>
      </c>
      <c r="AA211" s="122" t="str">
        <f t="shared" ref="AA211:AA257" si="105">IF(A211="","",V211+S211+T211)</f>
        <v/>
      </c>
      <c r="AB211" s="124" t="str">
        <f t="shared" si="83"/>
        <v/>
      </c>
      <c r="AC211" s="124" t="str">
        <f t="shared" si="94"/>
        <v/>
      </c>
      <c r="AD211" s="124" t="str">
        <f t="shared" si="95"/>
        <v/>
      </c>
      <c r="AE211" s="119">
        <f t="shared" ref="AE211:AE258" si="106">+O211</f>
        <v>0</v>
      </c>
      <c r="AF211" s="120" t="str">
        <f t="shared" si="96"/>
        <v/>
      </c>
      <c r="AG211" s="110" t="str">
        <f>IF($U$258&lt;=0,AF211,IF(SUM($U$18:U211)&lt;=0,AF211,PMT($K$5/360*Días,A211,-AA211)))</f>
        <v/>
      </c>
      <c r="AH211" s="121" t="str">
        <f>IF(A211&lt;=Periodos_Gracia,0,IF($U$258&lt;=0,AG211,IF(SUM($U$18:U211)&lt;=0,AF211,PMT($K$5/360*Días,No._de_Pagos,-Monto_Crédito)-AC211-AD211)))</f>
        <v/>
      </c>
      <c r="AI211" s="125" t="str">
        <f t="shared" ref="AI211:AI257" si="107">IF(A211="","",AF211+AC211+AD211)</f>
        <v/>
      </c>
      <c r="AK211" s="126" t="str">
        <f>IF(A211="","",IF(Periodos_Gracia&gt;0,Tabla!AN211,V211+S211))</f>
        <v/>
      </c>
      <c r="AL211" s="126" t="str">
        <f t="shared" si="97"/>
        <v/>
      </c>
      <c r="AM211" s="61" t="str">
        <f t="shared" ref="AM211:AM257" si="108">IF(A211="","",IF(A211&lt;=Periodos_Gracia,0,IF(AM210=0,1,IF(AM210&gt;0,AM210+1,A210))))</f>
        <v/>
      </c>
      <c r="AN211" s="127" t="str">
        <f>IF(A211="","",IF(A211&lt;=Periodos_Gracia,Tabla!S211,PPMT(Tasa_Anual/360*Días*(1+I.V.A.),Tabla!AM211,No._De_Pagos_con_periodo_de_gracia,-Monto_Crédito)+S211))</f>
        <v/>
      </c>
      <c r="AO211" s="127" t="str">
        <f>IF(A211="","",IF(A211&lt;=Periodos_Gracia,Tabla!AC211,Monto_Crédito/(No._De_Pagos_con_periodo_de_gracia)+AC211))</f>
        <v/>
      </c>
      <c r="AP211" s="117"/>
    </row>
    <row r="212" spans="1:42" x14ac:dyDescent="0.2">
      <c r="A212" s="107" t="str">
        <f>IF(A211&lt;Parámetros!$E$6,A211+1,"")</f>
        <v/>
      </c>
      <c r="B212" s="108" t="str">
        <f t="shared" ref="B212:B257" si="109">IF(A212="","",IF(G211&lt;=0,0,+G211))</f>
        <v/>
      </c>
      <c r="C212" s="108" t="str">
        <f t="shared" si="85"/>
        <v/>
      </c>
      <c r="D212" s="108" t="str">
        <f t="shared" si="86"/>
        <v/>
      </c>
      <c r="E212" s="108" t="str">
        <f t="shared" si="87"/>
        <v/>
      </c>
      <c r="F212" s="108" t="str">
        <f t="shared" si="88"/>
        <v/>
      </c>
      <c r="G212" s="114" t="str">
        <f t="shared" si="98"/>
        <v/>
      </c>
      <c r="H212" s="115">
        <f t="shared" si="99"/>
        <v>0</v>
      </c>
      <c r="I212" s="108" t="str">
        <f t="shared" ref="I212:I257" si="110">IF(A212="","",IF(+N211&lt;=0,0,N211))</f>
        <v/>
      </c>
      <c r="J212" s="108" t="str">
        <f t="shared" si="89"/>
        <v/>
      </c>
      <c r="K212" s="108" t="str">
        <f t="shared" si="90"/>
        <v/>
      </c>
      <c r="L212" s="108" t="str">
        <f t="shared" si="91"/>
        <v/>
      </c>
      <c r="M212" s="108" t="str">
        <f t="shared" si="100"/>
        <v/>
      </c>
      <c r="N212" s="114" t="str">
        <f t="shared" si="101"/>
        <v/>
      </c>
      <c r="O212" s="60">
        <v>0</v>
      </c>
      <c r="P212" s="116">
        <f t="shared" si="102"/>
        <v>0</v>
      </c>
      <c r="R212" s="117" t="str">
        <f t="shared" si="84"/>
        <v/>
      </c>
      <c r="S212" s="118" t="str">
        <f t="shared" si="92"/>
        <v/>
      </c>
      <c r="T212" s="118" t="str">
        <f t="shared" si="93"/>
        <v/>
      </c>
      <c r="U212" s="119">
        <f t="shared" si="103"/>
        <v>0</v>
      </c>
      <c r="V212" s="120" t="str">
        <f>IF(A212="","",IF(A212&lt;=Periodos_Gracia,0,PPMT(Tasa_Anual/360*Días*(1+I.V.A.),Tabla!AM212,No._De_Pagos_con_periodo_de_gracia,-Monto_Crédito)))</f>
        <v/>
      </c>
      <c r="W212" s="110" t="str">
        <f>IF($U$258&lt;=0,V212,IF(SUM($U$18:U212)&lt;=0,V212,PMT($K$5/360*Días,A212,-R212)))</f>
        <v/>
      </c>
      <c r="X212" s="121" t="str">
        <f>IF($U$258&lt;=0,W212,IF(SUM($U$18:U212)&lt;=0,V212,PMT($K$5/360*Días,No._De_Pagos_con_periodo_de_gracia,-Monto_Crédito)-S212-T212))</f>
        <v/>
      </c>
      <c r="Y212" s="117" t="str">
        <f t="shared" si="104"/>
        <v/>
      </c>
      <c r="Z212" s="61" t="str">
        <f>+IF(A212="","",IF(No._de_Pagos-Tabla!A212+1&lt;=0,"",No._de_Pagos-Tabla!A212+1))</f>
        <v/>
      </c>
      <c r="AA212" s="122" t="str">
        <f t="shared" si="105"/>
        <v/>
      </c>
      <c r="AB212" s="124" t="str">
        <f t="shared" ref="AB212:AB257" si="111">IF(A212="","",AB211-AF211)</f>
        <v/>
      </c>
      <c r="AC212" s="124" t="str">
        <f t="shared" si="94"/>
        <v/>
      </c>
      <c r="AD212" s="124" t="str">
        <f t="shared" si="95"/>
        <v/>
      </c>
      <c r="AE212" s="119">
        <f t="shared" si="106"/>
        <v>0</v>
      </c>
      <c r="AF212" s="120" t="str">
        <f t="shared" si="96"/>
        <v/>
      </c>
      <c r="AG212" s="110" t="str">
        <f>IF($U$258&lt;=0,AF212,IF(SUM($U$18:U212)&lt;=0,AF212,PMT($K$5/360*Días,A212,-AA212)))</f>
        <v/>
      </c>
      <c r="AH212" s="121" t="str">
        <f>IF(A212&lt;=Periodos_Gracia,0,IF($U$258&lt;=0,AG212,IF(SUM($U$18:U212)&lt;=0,AF212,PMT($K$5/360*Días,No._de_Pagos,-Monto_Crédito)-AC212-AD212)))</f>
        <v/>
      </c>
      <c r="AI212" s="125" t="str">
        <f t="shared" si="107"/>
        <v/>
      </c>
      <c r="AK212" s="126" t="str">
        <f>IF(A212="","",IF(Periodos_Gracia&gt;0,Tabla!AN212,V212+S212))</f>
        <v/>
      </c>
      <c r="AL212" s="126" t="str">
        <f t="shared" si="97"/>
        <v/>
      </c>
      <c r="AM212" s="61" t="str">
        <f t="shared" si="108"/>
        <v/>
      </c>
      <c r="AN212" s="127" t="str">
        <f>IF(A212="","",IF(A212&lt;=Periodos_Gracia,Tabla!S212,PPMT(Tasa_Anual/360*Días*(1+I.V.A.),Tabla!AM212,No._De_Pagos_con_periodo_de_gracia,-Monto_Crédito)+S212))</f>
        <v/>
      </c>
      <c r="AO212" s="127" t="str">
        <f>IF(A212="","",IF(A212&lt;=Periodos_Gracia,Tabla!AC212,Monto_Crédito/(No._De_Pagos_con_periodo_de_gracia)+AC212))</f>
        <v/>
      </c>
      <c r="AP212" s="117"/>
    </row>
    <row r="213" spans="1:42" x14ac:dyDescent="0.2">
      <c r="A213" s="107" t="str">
        <f>IF(A212&lt;Parámetros!$E$6,A212+1,"")</f>
        <v/>
      </c>
      <c r="B213" s="108" t="str">
        <f t="shared" si="109"/>
        <v/>
      </c>
      <c r="C213" s="108" t="str">
        <f t="shared" si="85"/>
        <v/>
      </c>
      <c r="D213" s="108" t="str">
        <f t="shared" si="86"/>
        <v/>
      </c>
      <c r="E213" s="108" t="str">
        <f t="shared" si="87"/>
        <v/>
      </c>
      <c r="F213" s="108" t="str">
        <f t="shared" si="88"/>
        <v/>
      </c>
      <c r="G213" s="114" t="str">
        <f t="shared" si="98"/>
        <v/>
      </c>
      <c r="H213" s="115">
        <f t="shared" si="99"/>
        <v>0</v>
      </c>
      <c r="I213" s="108" t="str">
        <f t="shared" si="110"/>
        <v/>
      </c>
      <c r="J213" s="108" t="str">
        <f t="shared" si="89"/>
        <v/>
      </c>
      <c r="K213" s="108" t="str">
        <f t="shared" si="90"/>
        <v/>
      </c>
      <c r="L213" s="108" t="str">
        <f t="shared" si="91"/>
        <v/>
      </c>
      <c r="M213" s="108" t="str">
        <f t="shared" si="100"/>
        <v/>
      </c>
      <c r="N213" s="114" t="str">
        <f t="shared" si="101"/>
        <v/>
      </c>
      <c r="O213" s="60">
        <v>0</v>
      </c>
      <c r="P213" s="116">
        <f t="shared" si="102"/>
        <v>0</v>
      </c>
      <c r="R213" s="117" t="str">
        <f t="shared" si="84"/>
        <v/>
      </c>
      <c r="S213" s="118" t="str">
        <f t="shared" si="92"/>
        <v/>
      </c>
      <c r="T213" s="118" t="str">
        <f t="shared" si="93"/>
        <v/>
      </c>
      <c r="U213" s="119">
        <f t="shared" si="103"/>
        <v>0</v>
      </c>
      <c r="V213" s="120" t="str">
        <f>IF(A213="","",IF(A213&lt;=Periodos_Gracia,0,PPMT(Tasa_Anual/360*Días*(1+I.V.A.),Tabla!AM213,No._De_Pagos_con_periodo_de_gracia,-Monto_Crédito)))</f>
        <v/>
      </c>
      <c r="W213" s="110" t="str">
        <f>IF($U$258&lt;=0,V213,IF(SUM($U$18:U213)&lt;=0,V213,PMT($K$5/360*Días,A213,-R213)))</f>
        <v/>
      </c>
      <c r="X213" s="121" t="str">
        <f>IF($U$258&lt;=0,W213,IF(SUM($U$18:U213)&lt;=0,V213,PMT($K$5/360*Días,No._De_Pagos_con_periodo_de_gracia,-Monto_Crédito)-S213-T213))</f>
        <v/>
      </c>
      <c r="Y213" s="117" t="str">
        <f t="shared" si="104"/>
        <v/>
      </c>
      <c r="Z213" s="61" t="str">
        <f>+IF(A213="","",IF(No._de_Pagos-Tabla!A213+1&lt;=0,"",No._de_Pagos-Tabla!A213+1))</f>
        <v/>
      </c>
      <c r="AA213" s="122" t="str">
        <f t="shared" si="105"/>
        <v/>
      </c>
      <c r="AB213" s="124" t="str">
        <f t="shared" si="111"/>
        <v/>
      </c>
      <c r="AC213" s="124" t="str">
        <f t="shared" si="94"/>
        <v/>
      </c>
      <c r="AD213" s="124" t="str">
        <f t="shared" si="95"/>
        <v/>
      </c>
      <c r="AE213" s="119">
        <f t="shared" si="106"/>
        <v>0</v>
      </c>
      <c r="AF213" s="120" t="str">
        <f t="shared" si="96"/>
        <v/>
      </c>
      <c r="AG213" s="110" t="str">
        <f>IF($U$258&lt;=0,AF213,IF(SUM($U$18:U213)&lt;=0,AF213,PMT($K$5/360*Días,A213,-AA213)))</f>
        <v/>
      </c>
      <c r="AH213" s="121" t="str">
        <f>IF(A213&lt;=Periodos_Gracia,0,IF($U$258&lt;=0,AG213,IF(SUM($U$18:U213)&lt;=0,AF213,PMT($K$5/360*Días,No._de_Pagos,-Monto_Crédito)-AC213-AD213)))</f>
        <v/>
      </c>
      <c r="AI213" s="125" t="str">
        <f t="shared" si="107"/>
        <v/>
      </c>
      <c r="AK213" s="126" t="str">
        <f>IF(A213="","",IF(Periodos_Gracia&gt;0,Tabla!AN213,V213+S213))</f>
        <v/>
      </c>
      <c r="AL213" s="126" t="str">
        <f t="shared" si="97"/>
        <v/>
      </c>
      <c r="AM213" s="61" t="str">
        <f t="shared" si="108"/>
        <v/>
      </c>
      <c r="AN213" s="127" t="str">
        <f>IF(A213="","",IF(A213&lt;=Periodos_Gracia,Tabla!S213,PPMT(Tasa_Anual/360*Días*(1+I.V.A.),Tabla!AM213,No._De_Pagos_con_periodo_de_gracia,-Monto_Crédito)+S213))</f>
        <v/>
      </c>
      <c r="AO213" s="127" t="str">
        <f>IF(A213="","",IF(A213&lt;=Periodos_Gracia,Tabla!AC213,Monto_Crédito/(No._De_Pagos_con_periodo_de_gracia)+AC213))</f>
        <v/>
      </c>
      <c r="AP213" s="117"/>
    </row>
    <row r="214" spans="1:42" x14ac:dyDescent="0.2">
      <c r="A214" s="107" t="str">
        <f>IF(A213&lt;Parámetros!$E$6,A213+1,"")</f>
        <v/>
      </c>
      <c r="B214" s="108" t="str">
        <f t="shared" si="109"/>
        <v/>
      </c>
      <c r="C214" s="108" t="str">
        <f t="shared" si="85"/>
        <v/>
      </c>
      <c r="D214" s="108" t="str">
        <f t="shared" si="86"/>
        <v/>
      </c>
      <c r="E214" s="108" t="str">
        <f t="shared" si="87"/>
        <v/>
      </c>
      <c r="F214" s="108" t="str">
        <f t="shared" si="88"/>
        <v/>
      </c>
      <c r="G214" s="114" t="str">
        <f t="shared" si="98"/>
        <v/>
      </c>
      <c r="H214" s="115">
        <f t="shared" si="99"/>
        <v>0</v>
      </c>
      <c r="I214" s="108" t="str">
        <f t="shared" si="110"/>
        <v/>
      </c>
      <c r="J214" s="108" t="str">
        <f t="shared" si="89"/>
        <v/>
      </c>
      <c r="K214" s="108" t="str">
        <f t="shared" si="90"/>
        <v/>
      </c>
      <c r="L214" s="108" t="str">
        <f t="shared" si="91"/>
        <v/>
      </c>
      <c r="M214" s="108" t="str">
        <f t="shared" si="100"/>
        <v/>
      </c>
      <c r="N214" s="114" t="str">
        <f t="shared" si="101"/>
        <v/>
      </c>
      <c r="O214" s="60">
        <v>0</v>
      </c>
      <c r="P214" s="116">
        <f t="shared" si="102"/>
        <v>0</v>
      </c>
      <c r="R214" s="117" t="str">
        <f t="shared" si="84"/>
        <v/>
      </c>
      <c r="S214" s="118" t="str">
        <f t="shared" si="92"/>
        <v/>
      </c>
      <c r="T214" s="118" t="str">
        <f t="shared" si="93"/>
        <v/>
      </c>
      <c r="U214" s="119">
        <f t="shared" si="103"/>
        <v>0</v>
      </c>
      <c r="V214" s="120" t="str">
        <f>IF(A214="","",IF(A214&lt;=Periodos_Gracia,0,PPMT(Tasa_Anual/360*Días*(1+I.V.A.),Tabla!AM214,No._De_Pagos_con_periodo_de_gracia,-Monto_Crédito)))</f>
        <v/>
      </c>
      <c r="W214" s="110" t="str">
        <f>IF($U$258&lt;=0,V214,IF(SUM($U$18:U214)&lt;=0,V214,PMT($K$5/360*Días,A214,-R214)))</f>
        <v/>
      </c>
      <c r="X214" s="121" t="str">
        <f>IF($U$258&lt;=0,W214,IF(SUM($U$18:U214)&lt;=0,V214,PMT($K$5/360*Días,No._De_Pagos_con_periodo_de_gracia,-Monto_Crédito)-S214-T214))</f>
        <v/>
      </c>
      <c r="Y214" s="117" t="str">
        <f t="shared" si="104"/>
        <v/>
      </c>
      <c r="Z214" s="61" t="str">
        <f>+IF(A214="","",IF(No._de_Pagos-Tabla!A214+1&lt;=0,"",No._de_Pagos-Tabla!A214+1))</f>
        <v/>
      </c>
      <c r="AA214" s="122" t="str">
        <f t="shared" si="105"/>
        <v/>
      </c>
      <c r="AB214" s="124" t="str">
        <f t="shared" si="111"/>
        <v/>
      </c>
      <c r="AC214" s="124" t="str">
        <f t="shared" si="94"/>
        <v/>
      </c>
      <c r="AD214" s="124" t="str">
        <f t="shared" si="95"/>
        <v/>
      </c>
      <c r="AE214" s="119">
        <f t="shared" si="106"/>
        <v>0</v>
      </c>
      <c r="AF214" s="120" t="str">
        <f t="shared" si="96"/>
        <v/>
      </c>
      <c r="AG214" s="110" t="str">
        <f>IF($U$258&lt;=0,AF214,IF(SUM($U$18:U214)&lt;=0,AF214,PMT($K$5/360*Días,A214,-AA214)))</f>
        <v/>
      </c>
      <c r="AH214" s="121" t="str">
        <f>IF(A214&lt;=Periodos_Gracia,0,IF($U$258&lt;=0,AG214,IF(SUM($U$18:U214)&lt;=0,AF214,PMT($K$5/360*Días,No._de_Pagos,-Monto_Crédito)-AC214-AD214)))</f>
        <v/>
      </c>
      <c r="AI214" s="125" t="str">
        <f t="shared" si="107"/>
        <v/>
      </c>
      <c r="AK214" s="126" t="str">
        <f>IF(A214="","",IF(Periodos_Gracia&gt;0,Tabla!AN214,V214+S214))</f>
        <v/>
      </c>
      <c r="AL214" s="126" t="str">
        <f t="shared" si="97"/>
        <v/>
      </c>
      <c r="AM214" s="61" t="str">
        <f t="shared" si="108"/>
        <v/>
      </c>
      <c r="AN214" s="127" t="str">
        <f>IF(A214="","",IF(A214&lt;=Periodos_Gracia,Tabla!S214,PPMT(Tasa_Anual/360*Días*(1+I.V.A.),Tabla!AM214,No._De_Pagos_con_periodo_de_gracia,-Monto_Crédito)+S214))</f>
        <v/>
      </c>
      <c r="AO214" s="127" t="str">
        <f>IF(A214="","",IF(A214&lt;=Periodos_Gracia,Tabla!AC214,Monto_Crédito/(No._De_Pagos_con_periodo_de_gracia)+AC214))</f>
        <v/>
      </c>
      <c r="AP214" s="117"/>
    </row>
    <row r="215" spans="1:42" x14ac:dyDescent="0.2">
      <c r="A215" s="107" t="str">
        <f>IF(A214&lt;Parámetros!$E$6,A214+1,"")</f>
        <v/>
      </c>
      <c r="B215" s="108" t="str">
        <f t="shared" si="109"/>
        <v/>
      </c>
      <c r="C215" s="108" t="str">
        <f t="shared" si="85"/>
        <v/>
      </c>
      <c r="D215" s="108" t="str">
        <f t="shared" si="86"/>
        <v/>
      </c>
      <c r="E215" s="108" t="str">
        <f t="shared" si="87"/>
        <v/>
      </c>
      <c r="F215" s="108" t="str">
        <f t="shared" si="88"/>
        <v/>
      </c>
      <c r="G215" s="114" t="str">
        <f t="shared" si="98"/>
        <v/>
      </c>
      <c r="H215" s="115">
        <f t="shared" si="99"/>
        <v>0</v>
      </c>
      <c r="I215" s="108" t="str">
        <f t="shared" si="110"/>
        <v/>
      </c>
      <c r="J215" s="108" t="str">
        <f t="shared" si="89"/>
        <v/>
      </c>
      <c r="K215" s="108" t="str">
        <f t="shared" si="90"/>
        <v/>
      </c>
      <c r="L215" s="108" t="str">
        <f t="shared" si="91"/>
        <v/>
      </c>
      <c r="M215" s="108" t="str">
        <f t="shared" si="100"/>
        <v/>
      </c>
      <c r="N215" s="114" t="str">
        <f t="shared" si="101"/>
        <v/>
      </c>
      <c r="O215" s="60">
        <v>0</v>
      </c>
      <c r="P215" s="116">
        <f t="shared" si="102"/>
        <v>0</v>
      </c>
      <c r="R215" s="117" t="str">
        <f t="shared" si="84"/>
        <v/>
      </c>
      <c r="S215" s="118" t="str">
        <f t="shared" si="92"/>
        <v/>
      </c>
      <c r="T215" s="118" t="str">
        <f t="shared" si="93"/>
        <v/>
      </c>
      <c r="U215" s="119">
        <f t="shared" si="103"/>
        <v>0</v>
      </c>
      <c r="V215" s="120" t="str">
        <f>IF(A215="","",IF(A215&lt;=Periodos_Gracia,0,PPMT(Tasa_Anual/360*Días*(1+I.V.A.),Tabla!AM215,No._De_Pagos_con_periodo_de_gracia,-Monto_Crédito)))</f>
        <v/>
      </c>
      <c r="W215" s="110" t="str">
        <f>IF($U$258&lt;=0,V215,IF(SUM($U$18:U215)&lt;=0,V215,PMT($K$5/360*Días,A215,-R215)))</f>
        <v/>
      </c>
      <c r="X215" s="121" t="str">
        <f>IF($U$258&lt;=0,W215,IF(SUM($U$18:U215)&lt;=0,V215,PMT($K$5/360*Días,No._De_Pagos_con_periodo_de_gracia,-Monto_Crédito)-S215-T215))</f>
        <v/>
      </c>
      <c r="Y215" s="117" t="str">
        <f t="shared" si="104"/>
        <v/>
      </c>
      <c r="Z215" s="61" t="str">
        <f>+IF(A215="","",IF(No._de_Pagos-Tabla!A215+1&lt;=0,"",No._de_Pagos-Tabla!A215+1))</f>
        <v/>
      </c>
      <c r="AA215" s="122" t="str">
        <f t="shared" si="105"/>
        <v/>
      </c>
      <c r="AB215" s="124" t="str">
        <f t="shared" si="111"/>
        <v/>
      </c>
      <c r="AC215" s="124" t="str">
        <f t="shared" si="94"/>
        <v/>
      </c>
      <c r="AD215" s="124" t="str">
        <f t="shared" si="95"/>
        <v/>
      </c>
      <c r="AE215" s="119">
        <f t="shared" si="106"/>
        <v>0</v>
      </c>
      <c r="AF215" s="120" t="str">
        <f t="shared" si="96"/>
        <v/>
      </c>
      <c r="AG215" s="110" t="str">
        <f>IF($U$258&lt;=0,AF215,IF(SUM($U$18:U215)&lt;=0,AF215,PMT($K$5/360*Días,A215,-AA215)))</f>
        <v/>
      </c>
      <c r="AH215" s="121" t="str">
        <f>IF(A215&lt;=Periodos_Gracia,0,IF($U$258&lt;=0,AG215,IF(SUM($U$18:U215)&lt;=0,AF215,PMT($K$5/360*Días,No._de_Pagos,-Monto_Crédito)-AC215-AD215)))</f>
        <v/>
      </c>
      <c r="AI215" s="125" t="str">
        <f t="shared" si="107"/>
        <v/>
      </c>
      <c r="AK215" s="126" t="str">
        <f>IF(A215="","",IF(Periodos_Gracia&gt;0,Tabla!AN215,V215+S215))</f>
        <v/>
      </c>
      <c r="AL215" s="126" t="str">
        <f t="shared" si="97"/>
        <v/>
      </c>
      <c r="AM215" s="61" t="str">
        <f t="shared" si="108"/>
        <v/>
      </c>
      <c r="AN215" s="127" t="str">
        <f>IF(A215="","",IF(A215&lt;=Periodos_Gracia,Tabla!S215,PPMT(Tasa_Anual/360*Días*(1+I.V.A.),Tabla!AM215,No._De_Pagos_con_periodo_de_gracia,-Monto_Crédito)+S215))</f>
        <v/>
      </c>
      <c r="AO215" s="127" t="str">
        <f>IF(A215="","",IF(A215&lt;=Periodos_Gracia,Tabla!AC215,Monto_Crédito/(No._De_Pagos_con_periodo_de_gracia)+AC215))</f>
        <v/>
      </c>
      <c r="AP215" s="117"/>
    </row>
    <row r="216" spans="1:42" x14ac:dyDescent="0.2">
      <c r="A216" s="107" t="str">
        <f>IF(A215&lt;Parámetros!$E$6,A215+1,"")</f>
        <v/>
      </c>
      <c r="B216" s="108" t="str">
        <f t="shared" si="109"/>
        <v/>
      </c>
      <c r="C216" s="108" t="str">
        <f t="shared" si="85"/>
        <v/>
      </c>
      <c r="D216" s="108" t="str">
        <f t="shared" si="86"/>
        <v/>
      </c>
      <c r="E216" s="108" t="str">
        <f t="shared" si="87"/>
        <v/>
      </c>
      <c r="F216" s="108" t="str">
        <f t="shared" si="88"/>
        <v/>
      </c>
      <c r="G216" s="114" t="str">
        <f t="shared" si="98"/>
        <v/>
      </c>
      <c r="H216" s="115">
        <f t="shared" si="99"/>
        <v>0</v>
      </c>
      <c r="I216" s="108" t="str">
        <f t="shared" si="110"/>
        <v/>
      </c>
      <c r="J216" s="108" t="str">
        <f t="shared" si="89"/>
        <v/>
      </c>
      <c r="K216" s="108" t="str">
        <f t="shared" si="90"/>
        <v/>
      </c>
      <c r="L216" s="108" t="str">
        <f t="shared" si="91"/>
        <v/>
      </c>
      <c r="M216" s="108" t="str">
        <f t="shared" si="100"/>
        <v/>
      </c>
      <c r="N216" s="114" t="str">
        <f t="shared" si="101"/>
        <v/>
      </c>
      <c r="O216" s="60">
        <v>0</v>
      </c>
      <c r="P216" s="116">
        <f t="shared" si="102"/>
        <v>0</v>
      </c>
      <c r="R216" s="117" t="str">
        <f t="shared" si="84"/>
        <v/>
      </c>
      <c r="S216" s="118" t="str">
        <f t="shared" si="92"/>
        <v/>
      </c>
      <c r="T216" s="118" t="str">
        <f t="shared" si="93"/>
        <v/>
      </c>
      <c r="U216" s="119">
        <f t="shared" si="103"/>
        <v>0</v>
      </c>
      <c r="V216" s="120" t="str">
        <f>IF(A216="","",IF(A216&lt;=Periodos_Gracia,0,PPMT(Tasa_Anual/360*Días*(1+I.V.A.),Tabla!AM216,No._De_Pagos_con_periodo_de_gracia,-Monto_Crédito)))</f>
        <v/>
      </c>
      <c r="W216" s="110" t="str">
        <f>IF($U$258&lt;=0,V216,IF(SUM($U$18:U216)&lt;=0,V216,PMT($K$5/360*Días,A216,-R216)))</f>
        <v/>
      </c>
      <c r="X216" s="121" t="str">
        <f>IF($U$258&lt;=0,W216,IF(SUM($U$18:U216)&lt;=0,V216,PMT($K$5/360*Días,No._De_Pagos_con_periodo_de_gracia,-Monto_Crédito)-S216-T216))</f>
        <v/>
      </c>
      <c r="Y216" s="117" t="str">
        <f t="shared" si="104"/>
        <v/>
      </c>
      <c r="Z216" s="61" t="str">
        <f>+IF(A216="","",IF(No._de_Pagos-Tabla!A216+1&lt;=0,"",No._de_Pagos-Tabla!A216+1))</f>
        <v/>
      </c>
      <c r="AA216" s="122" t="str">
        <f t="shared" si="105"/>
        <v/>
      </c>
      <c r="AB216" s="124" t="str">
        <f t="shared" si="111"/>
        <v/>
      </c>
      <c r="AC216" s="124" t="str">
        <f t="shared" si="94"/>
        <v/>
      </c>
      <c r="AD216" s="124" t="str">
        <f t="shared" si="95"/>
        <v/>
      </c>
      <c r="AE216" s="119">
        <f t="shared" si="106"/>
        <v>0</v>
      </c>
      <c r="AF216" s="120" t="str">
        <f t="shared" si="96"/>
        <v/>
      </c>
      <c r="AG216" s="110" t="str">
        <f>IF($U$258&lt;=0,AF216,IF(SUM($U$18:U216)&lt;=0,AF216,PMT($K$5/360*Días,A216,-AA216)))</f>
        <v/>
      </c>
      <c r="AH216" s="121" t="str">
        <f>IF(A216&lt;=Periodos_Gracia,0,IF($U$258&lt;=0,AG216,IF(SUM($U$18:U216)&lt;=0,AF216,PMT($K$5/360*Días,No._de_Pagos,-Monto_Crédito)-AC216-AD216)))</f>
        <v/>
      </c>
      <c r="AI216" s="125" t="str">
        <f t="shared" si="107"/>
        <v/>
      </c>
      <c r="AK216" s="126" t="str">
        <f>IF(A216="","",IF(Periodos_Gracia&gt;0,Tabla!AN216,V216+S216))</f>
        <v/>
      </c>
      <c r="AL216" s="126" t="str">
        <f t="shared" si="97"/>
        <v/>
      </c>
      <c r="AM216" s="61" t="str">
        <f t="shared" si="108"/>
        <v/>
      </c>
      <c r="AN216" s="127" t="str">
        <f>IF(A216="","",IF(A216&lt;=Periodos_Gracia,Tabla!S216,PPMT(Tasa_Anual/360*Días*(1+I.V.A.),Tabla!AM216,No._De_Pagos_con_periodo_de_gracia,-Monto_Crédito)+S216))</f>
        <v/>
      </c>
      <c r="AO216" s="127" t="str">
        <f>IF(A216="","",IF(A216&lt;=Periodos_Gracia,Tabla!AC216,Monto_Crédito/(No._De_Pagos_con_periodo_de_gracia)+AC216))</f>
        <v/>
      </c>
      <c r="AP216" s="117"/>
    </row>
    <row r="217" spans="1:42" x14ac:dyDescent="0.2">
      <c r="A217" s="107" t="str">
        <f>IF(A216&lt;Parámetros!$E$6,A216+1,"")</f>
        <v/>
      </c>
      <c r="B217" s="108" t="str">
        <f t="shared" si="109"/>
        <v/>
      </c>
      <c r="C217" s="108" t="str">
        <f t="shared" si="85"/>
        <v/>
      </c>
      <c r="D217" s="108" t="str">
        <f t="shared" si="86"/>
        <v/>
      </c>
      <c r="E217" s="108" t="str">
        <f t="shared" si="87"/>
        <v/>
      </c>
      <c r="F217" s="108" t="str">
        <f t="shared" si="88"/>
        <v/>
      </c>
      <c r="G217" s="114" t="str">
        <f t="shared" si="98"/>
        <v/>
      </c>
      <c r="H217" s="115">
        <f t="shared" si="99"/>
        <v>0</v>
      </c>
      <c r="I217" s="108" t="str">
        <f t="shared" si="110"/>
        <v/>
      </c>
      <c r="J217" s="108" t="str">
        <f t="shared" si="89"/>
        <v/>
      </c>
      <c r="K217" s="108" t="str">
        <f t="shared" si="90"/>
        <v/>
      </c>
      <c r="L217" s="108" t="str">
        <f t="shared" si="91"/>
        <v/>
      </c>
      <c r="M217" s="108" t="str">
        <f t="shared" si="100"/>
        <v/>
      </c>
      <c r="N217" s="114" t="str">
        <f t="shared" si="101"/>
        <v/>
      </c>
      <c r="O217" s="60">
        <v>0</v>
      </c>
      <c r="P217" s="116">
        <f t="shared" si="102"/>
        <v>0</v>
      </c>
      <c r="R217" s="117" t="str">
        <f t="shared" si="84"/>
        <v/>
      </c>
      <c r="S217" s="118" t="str">
        <f t="shared" si="92"/>
        <v/>
      </c>
      <c r="T217" s="118" t="str">
        <f t="shared" si="93"/>
        <v/>
      </c>
      <c r="U217" s="119">
        <f t="shared" si="103"/>
        <v>0</v>
      </c>
      <c r="V217" s="120" t="str">
        <f>IF(A217="","",IF(A217&lt;=Periodos_Gracia,0,PPMT(Tasa_Anual/360*Días*(1+I.V.A.),Tabla!AM217,No._De_Pagos_con_periodo_de_gracia,-Monto_Crédito)))</f>
        <v/>
      </c>
      <c r="W217" s="110" t="str">
        <f>IF($U$258&lt;=0,V217,IF(SUM($U$18:U217)&lt;=0,V217,PMT($K$5/360*Días,A217,-R217)))</f>
        <v/>
      </c>
      <c r="X217" s="121" t="str">
        <f>IF($U$258&lt;=0,W217,IF(SUM($U$18:U217)&lt;=0,V217,PMT($K$5/360*Días,No._De_Pagos_con_periodo_de_gracia,-Monto_Crédito)-S217-T217))</f>
        <v/>
      </c>
      <c r="Y217" s="117" t="str">
        <f t="shared" si="104"/>
        <v/>
      </c>
      <c r="Z217" s="61" t="str">
        <f>+IF(A217="","",IF(No._de_Pagos-Tabla!A217+1&lt;=0,"",No._de_Pagos-Tabla!A217+1))</f>
        <v/>
      </c>
      <c r="AA217" s="122" t="str">
        <f t="shared" si="105"/>
        <v/>
      </c>
      <c r="AB217" s="124" t="str">
        <f t="shared" si="111"/>
        <v/>
      </c>
      <c r="AC217" s="124" t="str">
        <f t="shared" si="94"/>
        <v/>
      </c>
      <c r="AD217" s="124" t="str">
        <f t="shared" si="95"/>
        <v/>
      </c>
      <c r="AE217" s="119">
        <f t="shared" si="106"/>
        <v>0</v>
      </c>
      <c r="AF217" s="120" t="str">
        <f t="shared" si="96"/>
        <v/>
      </c>
      <c r="AG217" s="110" t="str">
        <f>IF($U$258&lt;=0,AF217,IF(SUM($U$18:U217)&lt;=0,AF217,PMT($K$5/360*Días,A217,-AA217)))</f>
        <v/>
      </c>
      <c r="AH217" s="121" t="str">
        <f>IF(A217&lt;=Periodos_Gracia,0,IF($U$258&lt;=0,AG217,IF(SUM($U$18:U217)&lt;=0,AF217,PMT($K$5/360*Días,No._de_Pagos,-Monto_Crédito)-AC217-AD217)))</f>
        <v/>
      </c>
      <c r="AI217" s="125" t="str">
        <f t="shared" si="107"/>
        <v/>
      </c>
      <c r="AK217" s="126" t="str">
        <f>IF(A217="","",IF(Periodos_Gracia&gt;0,Tabla!AN217,V217+S217))</f>
        <v/>
      </c>
      <c r="AL217" s="126" t="str">
        <f t="shared" si="97"/>
        <v/>
      </c>
      <c r="AM217" s="61" t="str">
        <f t="shared" si="108"/>
        <v/>
      </c>
      <c r="AN217" s="127" t="str">
        <f>IF(A217="","",IF(A217&lt;=Periodos_Gracia,Tabla!S217,PPMT(Tasa_Anual/360*Días*(1+I.V.A.),Tabla!AM217,No._De_Pagos_con_periodo_de_gracia,-Monto_Crédito)+S217))</f>
        <v/>
      </c>
      <c r="AO217" s="127" t="str">
        <f>IF(A217="","",IF(A217&lt;=Periodos_Gracia,Tabla!AC217,Monto_Crédito/(No._De_Pagos_con_periodo_de_gracia)+AC217))</f>
        <v/>
      </c>
      <c r="AP217" s="117"/>
    </row>
    <row r="218" spans="1:42" x14ac:dyDescent="0.2">
      <c r="A218" s="107" t="str">
        <f>IF(A217&lt;Parámetros!$E$6,A217+1,"")</f>
        <v/>
      </c>
      <c r="B218" s="108" t="str">
        <f t="shared" si="109"/>
        <v/>
      </c>
      <c r="C218" s="108" t="str">
        <f t="shared" si="85"/>
        <v/>
      </c>
      <c r="D218" s="108" t="str">
        <f t="shared" si="86"/>
        <v/>
      </c>
      <c r="E218" s="108" t="str">
        <f t="shared" si="87"/>
        <v/>
      </c>
      <c r="F218" s="108" t="str">
        <f t="shared" si="88"/>
        <v/>
      </c>
      <c r="G218" s="114" t="str">
        <f t="shared" si="98"/>
        <v/>
      </c>
      <c r="H218" s="115">
        <f t="shared" si="99"/>
        <v>0</v>
      </c>
      <c r="I218" s="108" t="str">
        <f t="shared" si="110"/>
        <v/>
      </c>
      <c r="J218" s="108" t="str">
        <f t="shared" si="89"/>
        <v/>
      </c>
      <c r="K218" s="108" t="str">
        <f t="shared" si="90"/>
        <v/>
      </c>
      <c r="L218" s="108" t="str">
        <f t="shared" si="91"/>
        <v/>
      </c>
      <c r="M218" s="108" t="str">
        <f t="shared" si="100"/>
        <v/>
      </c>
      <c r="N218" s="114" t="str">
        <f t="shared" si="101"/>
        <v/>
      </c>
      <c r="O218" s="60">
        <v>0</v>
      </c>
      <c r="P218" s="116">
        <f t="shared" si="102"/>
        <v>0</v>
      </c>
      <c r="R218" s="117" t="str">
        <f t="shared" ref="R218:R257" si="112">IF(A218="","",+R217-V217)</f>
        <v/>
      </c>
      <c r="S218" s="118" t="str">
        <f t="shared" si="92"/>
        <v/>
      </c>
      <c r="T218" s="118" t="str">
        <f t="shared" si="93"/>
        <v/>
      </c>
      <c r="U218" s="119">
        <f t="shared" si="103"/>
        <v>0</v>
      </c>
      <c r="V218" s="120" t="str">
        <f>IF(A218="","",IF(A218&lt;=Periodos_Gracia,0,PPMT(Tasa_Anual/360*Días*(1+I.V.A.),Tabla!AM218,No._De_Pagos_con_periodo_de_gracia,-Monto_Crédito)))</f>
        <v/>
      </c>
      <c r="W218" s="110" t="str">
        <f>IF($U$258&lt;=0,V218,IF(SUM($U$18:U218)&lt;=0,V218,PMT($K$5/360*Días,A218,-R218)))</f>
        <v/>
      </c>
      <c r="X218" s="121" t="str">
        <f>IF($U$258&lt;=0,W218,IF(SUM($U$18:U218)&lt;=0,V218,PMT($K$5/360*Días,No._De_Pagos_con_periodo_de_gracia,-Monto_Crédito)-S218-T218))</f>
        <v/>
      </c>
      <c r="Y218" s="117" t="str">
        <f t="shared" si="104"/>
        <v/>
      </c>
      <c r="Z218" s="61" t="str">
        <f>+IF(A218="","",IF(No._de_Pagos-Tabla!A218+1&lt;=0,"",No._de_Pagos-Tabla!A218+1))</f>
        <v/>
      </c>
      <c r="AA218" s="122" t="str">
        <f t="shared" si="105"/>
        <v/>
      </c>
      <c r="AB218" s="124" t="str">
        <f t="shared" si="111"/>
        <v/>
      </c>
      <c r="AC218" s="124" t="str">
        <f t="shared" si="94"/>
        <v/>
      </c>
      <c r="AD218" s="124" t="str">
        <f t="shared" si="95"/>
        <v/>
      </c>
      <c r="AE218" s="119">
        <f t="shared" si="106"/>
        <v>0</v>
      </c>
      <c r="AF218" s="120" t="str">
        <f t="shared" si="96"/>
        <v/>
      </c>
      <c r="AG218" s="110" t="str">
        <f>IF($U$258&lt;=0,AF218,IF(SUM($U$18:U218)&lt;=0,AF218,PMT($K$5/360*Días,A218,-AA218)))</f>
        <v/>
      </c>
      <c r="AH218" s="121" t="str">
        <f>IF(A218&lt;=Periodos_Gracia,0,IF($U$258&lt;=0,AG218,IF(SUM($U$18:U218)&lt;=0,AF218,PMT($K$5/360*Días,No._de_Pagos,-Monto_Crédito)-AC218-AD218)))</f>
        <v/>
      </c>
      <c r="AI218" s="125" t="str">
        <f t="shared" si="107"/>
        <v/>
      </c>
      <c r="AK218" s="126" t="str">
        <f>IF(A218="","",IF(Periodos_Gracia&gt;0,Tabla!AN218,V218+S218))</f>
        <v/>
      </c>
      <c r="AL218" s="126" t="str">
        <f t="shared" si="97"/>
        <v/>
      </c>
      <c r="AM218" s="61" t="str">
        <f t="shared" si="108"/>
        <v/>
      </c>
      <c r="AN218" s="127" t="str">
        <f>IF(A218="","",IF(A218&lt;=Periodos_Gracia,Tabla!S218,PPMT(Tasa_Anual/360*Días*(1+I.V.A.),Tabla!AM218,No._De_Pagos_con_periodo_de_gracia,-Monto_Crédito)+S218))</f>
        <v/>
      </c>
      <c r="AO218" s="127" t="str">
        <f>IF(A218="","",IF(A218&lt;=Periodos_Gracia,Tabla!AC218,Monto_Crédito/(No._De_Pagos_con_periodo_de_gracia)+AC218))</f>
        <v/>
      </c>
      <c r="AP218" s="117"/>
    </row>
    <row r="219" spans="1:42" x14ac:dyDescent="0.2">
      <c r="A219" s="107" t="str">
        <f>IF(A218&lt;Parámetros!$E$6,A218+1,"")</f>
        <v/>
      </c>
      <c r="B219" s="108" t="str">
        <f t="shared" si="109"/>
        <v/>
      </c>
      <c r="C219" s="108" t="str">
        <f t="shared" si="85"/>
        <v/>
      </c>
      <c r="D219" s="108" t="str">
        <f t="shared" si="86"/>
        <v/>
      </c>
      <c r="E219" s="108" t="str">
        <f t="shared" si="87"/>
        <v/>
      </c>
      <c r="F219" s="108" t="str">
        <f t="shared" si="88"/>
        <v/>
      </c>
      <c r="G219" s="114" t="str">
        <f t="shared" si="98"/>
        <v/>
      </c>
      <c r="H219" s="115">
        <f t="shared" si="99"/>
        <v>0</v>
      </c>
      <c r="I219" s="108" t="str">
        <f t="shared" si="110"/>
        <v/>
      </c>
      <c r="J219" s="108" t="str">
        <f t="shared" si="89"/>
        <v/>
      </c>
      <c r="K219" s="108" t="str">
        <f t="shared" si="90"/>
        <v/>
      </c>
      <c r="L219" s="108" t="str">
        <f t="shared" si="91"/>
        <v/>
      </c>
      <c r="M219" s="108" t="str">
        <f t="shared" si="100"/>
        <v/>
      </c>
      <c r="N219" s="114" t="str">
        <f t="shared" si="101"/>
        <v/>
      </c>
      <c r="O219" s="60">
        <v>0</v>
      </c>
      <c r="P219" s="116">
        <f t="shared" si="102"/>
        <v>0</v>
      </c>
      <c r="R219" s="117" t="str">
        <f t="shared" si="112"/>
        <v/>
      </c>
      <c r="S219" s="118" t="str">
        <f t="shared" si="92"/>
        <v/>
      </c>
      <c r="T219" s="118" t="str">
        <f t="shared" si="93"/>
        <v/>
      </c>
      <c r="U219" s="119">
        <f t="shared" si="103"/>
        <v>0</v>
      </c>
      <c r="V219" s="120" t="str">
        <f>IF(A219="","",IF(A219&lt;=Periodos_Gracia,0,PPMT(Tasa_Anual/360*Días*(1+I.V.A.),Tabla!AM219,No._De_Pagos_con_periodo_de_gracia,-Monto_Crédito)))</f>
        <v/>
      </c>
      <c r="W219" s="110" t="str">
        <f>IF($U$258&lt;=0,V219,IF(SUM($U$18:U219)&lt;=0,V219,PMT($K$5/360*Días,A219,-R219)))</f>
        <v/>
      </c>
      <c r="X219" s="121" t="str">
        <f>IF($U$258&lt;=0,W219,IF(SUM($U$18:U219)&lt;=0,V219,PMT($K$5/360*Días,No._De_Pagos_con_periodo_de_gracia,-Monto_Crédito)-S219-T219))</f>
        <v/>
      </c>
      <c r="Y219" s="117" t="str">
        <f t="shared" si="104"/>
        <v/>
      </c>
      <c r="Z219" s="61" t="str">
        <f>+IF(A219="","",IF(No._de_Pagos-Tabla!A219+1&lt;=0,"",No._de_Pagos-Tabla!A219+1))</f>
        <v/>
      </c>
      <c r="AA219" s="122" t="str">
        <f t="shared" si="105"/>
        <v/>
      </c>
      <c r="AB219" s="124" t="str">
        <f t="shared" si="111"/>
        <v/>
      </c>
      <c r="AC219" s="124" t="str">
        <f t="shared" si="94"/>
        <v/>
      </c>
      <c r="AD219" s="124" t="str">
        <f t="shared" si="95"/>
        <v/>
      </c>
      <c r="AE219" s="119">
        <f t="shared" si="106"/>
        <v>0</v>
      </c>
      <c r="AF219" s="120" t="str">
        <f t="shared" si="96"/>
        <v/>
      </c>
      <c r="AG219" s="110" t="str">
        <f>IF($U$258&lt;=0,AF219,IF(SUM($U$18:U219)&lt;=0,AF219,PMT($K$5/360*Días,A219,-AA219)))</f>
        <v/>
      </c>
      <c r="AH219" s="121" t="str">
        <f>IF(A219&lt;=Periodos_Gracia,0,IF($U$258&lt;=0,AG219,IF(SUM($U$18:U219)&lt;=0,AF219,PMT($K$5/360*Días,No._de_Pagos,-Monto_Crédito)-AC219-AD219)))</f>
        <v/>
      </c>
      <c r="AI219" s="125" t="str">
        <f t="shared" si="107"/>
        <v/>
      </c>
      <c r="AK219" s="126" t="str">
        <f>IF(A219="","",IF(Periodos_Gracia&gt;0,Tabla!AN219,V219+S219))</f>
        <v/>
      </c>
      <c r="AL219" s="126" t="str">
        <f t="shared" si="97"/>
        <v/>
      </c>
      <c r="AM219" s="61" t="str">
        <f t="shared" si="108"/>
        <v/>
      </c>
      <c r="AN219" s="127" t="str">
        <f>IF(A219="","",IF(A219&lt;=Periodos_Gracia,Tabla!S219,PPMT(Tasa_Anual/360*Días*(1+I.V.A.),Tabla!AM219,No._De_Pagos_con_periodo_de_gracia,-Monto_Crédito)+S219))</f>
        <v/>
      </c>
      <c r="AO219" s="127" t="str">
        <f>IF(A219="","",IF(A219&lt;=Periodos_Gracia,Tabla!AC219,Monto_Crédito/(No._De_Pagos_con_periodo_de_gracia)+AC219))</f>
        <v/>
      </c>
      <c r="AP219" s="117"/>
    </row>
    <row r="220" spans="1:42" x14ac:dyDescent="0.2">
      <c r="A220" s="107" t="str">
        <f>IF(A219&lt;Parámetros!$E$6,A219+1,"")</f>
        <v/>
      </c>
      <c r="B220" s="108" t="str">
        <f t="shared" si="109"/>
        <v/>
      </c>
      <c r="C220" s="108" t="str">
        <f t="shared" si="85"/>
        <v/>
      </c>
      <c r="D220" s="108" t="str">
        <f t="shared" si="86"/>
        <v/>
      </c>
      <c r="E220" s="108" t="str">
        <f t="shared" si="87"/>
        <v/>
      </c>
      <c r="F220" s="108" t="str">
        <f t="shared" si="88"/>
        <v/>
      </c>
      <c r="G220" s="114" t="str">
        <f t="shared" si="98"/>
        <v/>
      </c>
      <c r="H220" s="115">
        <f t="shared" si="99"/>
        <v>0</v>
      </c>
      <c r="I220" s="108" t="str">
        <f t="shared" si="110"/>
        <v/>
      </c>
      <c r="J220" s="108" t="str">
        <f t="shared" si="89"/>
        <v/>
      </c>
      <c r="K220" s="108" t="str">
        <f t="shared" si="90"/>
        <v/>
      </c>
      <c r="L220" s="108" t="str">
        <f t="shared" si="91"/>
        <v/>
      </c>
      <c r="M220" s="108" t="str">
        <f t="shared" si="100"/>
        <v/>
      </c>
      <c r="N220" s="114" t="str">
        <f t="shared" si="101"/>
        <v/>
      </c>
      <c r="O220" s="60">
        <v>0</v>
      </c>
      <c r="P220" s="116">
        <f t="shared" si="102"/>
        <v>0</v>
      </c>
      <c r="R220" s="117" t="str">
        <f t="shared" si="112"/>
        <v/>
      </c>
      <c r="S220" s="118" t="str">
        <f t="shared" si="92"/>
        <v/>
      </c>
      <c r="T220" s="118" t="str">
        <f t="shared" si="93"/>
        <v/>
      </c>
      <c r="U220" s="119">
        <f t="shared" si="103"/>
        <v>0</v>
      </c>
      <c r="V220" s="120" t="str">
        <f>IF(A220="","",IF(A220&lt;=Periodos_Gracia,0,PPMT(Tasa_Anual/360*Días*(1+I.V.A.),Tabla!AM220,No._De_Pagos_con_periodo_de_gracia,-Monto_Crédito)))</f>
        <v/>
      </c>
      <c r="W220" s="110" t="str">
        <f>IF($U$258&lt;=0,V220,IF(SUM($U$18:U220)&lt;=0,V220,PMT($K$5/360*Días,A220,-R220)))</f>
        <v/>
      </c>
      <c r="X220" s="121" t="str">
        <f>IF($U$258&lt;=0,W220,IF(SUM($U$18:U220)&lt;=0,V220,PMT($K$5/360*Días,No._De_Pagos_con_periodo_de_gracia,-Monto_Crédito)-S220-T220))</f>
        <v/>
      </c>
      <c r="Y220" s="117" t="str">
        <f t="shared" si="104"/>
        <v/>
      </c>
      <c r="Z220" s="61" t="str">
        <f>+IF(A220="","",IF(No._de_Pagos-Tabla!A220+1&lt;=0,"",No._de_Pagos-Tabla!A220+1))</f>
        <v/>
      </c>
      <c r="AA220" s="122" t="str">
        <f t="shared" si="105"/>
        <v/>
      </c>
      <c r="AB220" s="124" t="str">
        <f t="shared" si="111"/>
        <v/>
      </c>
      <c r="AC220" s="124" t="str">
        <f t="shared" si="94"/>
        <v/>
      </c>
      <c r="AD220" s="124" t="str">
        <f t="shared" si="95"/>
        <v/>
      </c>
      <c r="AE220" s="119">
        <f t="shared" si="106"/>
        <v>0</v>
      </c>
      <c r="AF220" s="120" t="str">
        <f t="shared" si="96"/>
        <v/>
      </c>
      <c r="AG220" s="110" t="str">
        <f>IF($U$258&lt;=0,AF220,IF(SUM($U$18:U220)&lt;=0,AF220,PMT($K$5/360*Días,A220,-AA220)))</f>
        <v/>
      </c>
      <c r="AH220" s="121" t="str">
        <f>IF(A220&lt;=Periodos_Gracia,0,IF($U$258&lt;=0,AG220,IF(SUM($U$18:U220)&lt;=0,AF220,PMT($K$5/360*Días,No._de_Pagos,-Monto_Crédito)-AC220-AD220)))</f>
        <v/>
      </c>
      <c r="AI220" s="125" t="str">
        <f t="shared" si="107"/>
        <v/>
      </c>
      <c r="AK220" s="126" t="str">
        <f>IF(A220="","",IF(Periodos_Gracia&gt;0,Tabla!AN220,V220+S220))</f>
        <v/>
      </c>
      <c r="AL220" s="126" t="str">
        <f t="shared" si="97"/>
        <v/>
      </c>
      <c r="AM220" s="61" t="str">
        <f t="shared" si="108"/>
        <v/>
      </c>
      <c r="AN220" s="127" t="str">
        <f>IF(A220="","",IF(A220&lt;=Periodos_Gracia,Tabla!S220,PPMT(Tasa_Anual/360*Días*(1+I.V.A.),Tabla!AM220,No._De_Pagos_con_periodo_de_gracia,-Monto_Crédito)+S220))</f>
        <v/>
      </c>
      <c r="AO220" s="127" t="str">
        <f>IF(A220="","",IF(A220&lt;=Periodos_Gracia,Tabla!AC220,Monto_Crédito/(No._De_Pagos_con_periodo_de_gracia)+AC220))</f>
        <v/>
      </c>
      <c r="AP220" s="117"/>
    </row>
    <row r="221" spans="1:42" x14ac:dyDescent="0.2">
      <c r="A221" s="107" t="str">
        <f>IF(A220&lt;Parámetros!$E$6,A220+1,"")</f>
        <v/>
      </c>
      <c r="B221" s="108" t="str">
        <f t="shared" si="109"/>
        <v/>
      </c>
      <c r="C221" s="108" t="str">
        <f t="shared" si="85"/>
        <v/>
      </c>
      <c r="D221" s="108" t="str">
        <f t="shared" si="86"/>
        <v/>
      </c>
      <c r="E221" s="108" t="str">
        <f t="shared" si="87"/>
        <v/>
      </c>
      <c r="F221" s="108" t="str">
        <f t="shared" si="88"/>
        <v/>
      </c>
      <c r="G221" s="114" t="str">
        <f t="shared" si="98"/>
        <v/>
      </c>
      <c r="H221" s="115">
        <f t="shared" si="99"/>
        <v>0</v>
      </c>
      <c r="I221" s="108" t="str">
        <f t="shared" si="110"/>
        <v/>
      </c>
      <c r="J221" s="108" t="str">
        <f t="shared" si="89"/>
        <v/>
      </c>
      <c r="K221" s="108" t="str">
        <f t="shared" si="90"/>
        <v/>
      </c>
      <c r="L221" s="108" t="str">
        <f t="shared" si="91"/>
        <v/>
      </c>
      <c r="M221" s="108" t="str">
        <f t="shared" si="100"/>
        <v/>
      </c>
      <c r="N221" s="114" t="str">
        <f t="shared" si="101"/>
        <v/>
      </c>
      <c r="O221" s="60">
        <v>0</v>
      </c>
      <c r="P221" s="116">
        <f t="shared" si="102"/>
        <v>0</v>
      </c>
      <c r="R221" s="117" t="str">
        <f t="shared" si="112"/>
        <v/>
      </c>
      <c r="S221" s="118" t="str">
        <f t="shared" si="92"/>
        <v/>
      </c>
      <c r="T221" s="118" t="str">
        <f t="shared" si="93"/>
        <v/>
      </c>
      <c r="U221" s="119">
        <f t="shared" si="103"/>
        <v>0</v>
      </c>
      <c r="V221" s="120" t="str">
        <f>IF(A221="","",IF(A221&lt;=Periodos_Gracia,0,PPMT(Tasa_Anual/360*Días*(1+I.V.A.),Tabla!AM221,No._De_Pagos_con_periodo_de_gracia,-Monto_Crédito)))</f>
        <v/>
      </c>
      <c r="W221" s="110" t="str">
        <f>IF($U$258&lt;=0,V221,IF(SUM($U$18:U221)&lt;=0,V221,PMT($K$5/360*Días,A221,-R221)))</f>
        <v/>
      </c>
      <c r="X221" s="121" t="str">
        <f>IF($U$258&lt;=0,W221,IF(SUM($U$18:U221)&lt;=0,V221,PMT($K$5/360*Días,No._De_Pagos_con_periodo_de_gracia,-Monto_Crédito)-S221-T221))</f>
        <v/>
      </c>
      <c r="Y221" s="117" t="str">
        <f t="shared" si="104"/>
        <v/>
      </c>
      <c r="Z221" s="61" t="str">
        <f>+IF(A221="","",IF(No._de_Pagos-Tabla!A221+1&lt;=0,"",No._de_Pagos-Tabla!A221+1))</f>
        <v/>
      </c>
      <c r="AA221" s="122" t="str">
        <f t="shared" si="105"/>
        <v/>
      </c>
      <c r="AB221" s="124" t="str">
        <f t="shared" si="111"/>
        <v/>
      </c>
      <c r="AC221" s="124" t="str">
        <f t="shared" si="94"/>
        <v/>
      </c>
      <c r="AD221" s="124" t="str">
        <f t="shared" si="95"/>
        <v/>
      </c>
      <c r="AE221" s="119">
        <f t="shared" si="106"/>
        <v>0</v>
      </c>
      <c r="AF221" s="120" t="str">
        <f t="shared" si="96"/>
        <v/>
      </c>
      <c r="AG221" s="110" t="str">
        <f>IF($U$258&lt;=0,AF221,IF(SUM($U$18:U221)&lt;=0,AF221,PMT($K$5/360*Días,A221,-AA221)))</f>
        <v/>
      </c>
      <c r="AH221" s="121" t="str">
        <f>IF(A221&lt;=Periodos_Gracia,0,IF($U$258&lt;=0,AG221,IF(SUM($U$18:U221)&lt;=0,AF221,PMT($K$5/360*Días,No._de_Pagos,-Monto_Crédito)-AC221-AD221)))</f>
        <v/>
      </c>
      <c r="AI221" s="125" t="str">
        <f t="shared" si="107"/>
        <v/>
      </c>
      <c r="AK221" s="126" t="str">
        <f>IF(A221="","",IF(Periodos_Gracia&gt;0,Tabla!AN221,V221+S221))</f>
        <v/>
      </c>
      <c r="AL221" s="126" t="str">
        <f t="shared" si="97"/>
        <v/>
      </c>
      <c r="AM221" s="61" t="str">
        <f t="shared" si="108"/>
        <v/>
      </c>
      <c r="AN221" s="127" t="str">
        <f>IF(A221="","",IF(A221&lt;=Periodos_Gracia,Tabla!S221,PPMT(Tasa_Anual/360*Días*(1+I.V.A.),Tabla!AM221,No._De_Pagos_con_periodo_de_gracia,-Monto_Crédito)+S221))</f>
        <v/>
      </c>
      <c r="AO221" s="127" t="str">
        <f>IF(A221="","",IF(A221&lt;=Periodos_Gracia,Tabla!AC221,Monto_Crédito/(No._De_Pagos_con_periodo_de_gracia)+AC221))</f>
        <v/>
      </c>
      <c r="AP221" s="117"/>
    </row>
    <row r="222" spans="1:42" x14ac:dyDescent="0.2">
      <c r="A222" s="107" t="str">
        <f>IF(A221&lt;Parámetros!$E$6,A221+1,"")</f>
        <v/>
      </c>
      <c r="B222" s="108" t="str">
        <f t="shared" si="109"/>
        <v/>
      </c>
      <c r="C222" s="108" t="str">
        <f t="shared" si="85"/>
        <v/>
      </c>
      <c r="D222" s="108" t="str">
        <f t="shared" si="86"/>
        <v/>
      </c>
      <c r="E222" s="108" t="str">
        <f t="shared" si="87"/>
        <v/>
      </c>
      <c r="F222" s="108" t="str">
        <f t="shared" si="88"/>
        <v/>
      </c>
      <c r="G222" s="114" t="str">
        <f t="shared" si="98"/>
        <v/>
      </c>
      <c r="H222" s="115">
        <f t="shared" si="99"/>
        <v>0</v>
      </c>
      <c r="I222" s="108" t="str">
        <f t="shared" si="110"/>
        <v/>
      </c>
      <c r="J222" s="108" t="str">
        <f t="shared" si="89"/>
        <v/>
      </c>
      <c r="K222" s="108" t="str">
        <f t="shared" si="90"/>
        <v/>
      </c>
      <c r="L222" s="108" t="str">
        <f t="shared" si="91"/>
        <v/>
      </c>
      <c r="M222" s="108" t="str">
        <f t="shared" si="100"/>
        <v/>
      </c>
      <c r="N222" s="114" t="str">
        <f t="shared" si="101"/>
        <v/>
      </c>
      <c r="O222" s="60">
        <v>0</v>
      </c>
      <c r="P222" s="116">
        <f t="shared" si="102"/>
        <v>0</v>
      </c>
      <c r="R222" s="117" t="str">
        <f t="shared" si="112"/>
        <v/>
      </c>
      <c r="S222" s="118" t="str">
        <f t="shared" si="92"/>
        <v/>
      </c>
      <c r="T222" s="118" t="str">
        <f t="shared" si="93"/>
        <v/>
      </c>
      <c r="U222" s="119">
        <f t="shared" si="103"/>
        <v>0</v>
      </c>
      <c r="V222" s="120" t="str">
        <f>IF(A222="","",IF(A222&lt;=Periodos_Gracia,0,PPMT(Tasa_Anual/360*Días*(1+I.V.A.),Tabla!AM222,No._De_Pagos_con_periodo_de_gracia,-Monto_Crédito)))</f>
        <v/>
      </c>
      <c r="W222" s="110" t="str">
        <f>IF($U$258&lt;=0,V222,IF(SUM($U$18:U222)&lt;=0,V222,PMT($K$5/360*Días,A222,-R222)))</f>
        <v/>
      </c>
      <c r="X222" s="121" t="str">
        <f>IF($U$258&lt;=0,W222,IF(SUM($U$18:U222)&lt;=0,V222,PMT($K$5/360*Días,No._De_Pagos_con_periodo_de_gracia,-Monto_Crédito)-S222-T222))</f>
        <v/>
      </c>
      <c r="Y222" s="117" t="str">
        <f t="shared" si="104"/>
        <v/>
      </c>
      <c r="Z222" s="61" t="str">
        <f>+IF(A222="","",IF(No._de_Pagos-Tabla!A222+1&lt;=0,"",No._de_Pagos-Tabla!A222+1))</f>
        <v/>
      </c>
      <c r="AA222" s="122" t="str">
        <f t="shared" si="105"/>
        <v/>
      </c>
      <c r="AB222" s="124" t="str">
        <f t="shared" si="111"/>
        <v/>
      </c>
      <c r="AC222" s="124" t="str">
        <f t="shared" si="94"/>
        <v/>
      </c>
      <c r="AD222" s="124" t="str">
        <f t="shared" si="95"/>
        <v/>
      </c>
      <c r="AE222" s="119">
        <f t="shared" si="106"/>
        <v>0</v>
      </c>
      <c r="AF222" s="120" t="str">
        <f t="shared" si="96"/>
        <v/>
      </c>
      <c r="AG222" s="110" t="str">
        <f>IF($U$258&lt;=0,AF222,IF(SUM($U$18:U222)&lt;=0,AF222,PMT($K$5/360*Días,A222,-AA222)))</f>
        <v/>
      </c>
      <c r="AH222" s="121" t="str">
        <f>IF(A222&lt;=Periodos_Gracia,0,IF($U$258&lt;=0,AG222,IF(SUM($U$18:U222)&lt;=0,AF222,PMT($K$5/360*Días,No._de_Pagos,-Monto_Crédito)-AC222-AD222)))</f>
        <v/>
      </c>
      <c r="AI222" s="125" t="str">
        <f t="shared" si="107"/>
        <v/>
      </c>
      <c r="AK222" s="126" t="str">
        <f>IF(A222="","",IF(Periodos_Gracia&gt;0,Tabla!AN222,V222+S222))</f>
        <v/>
      </c>
      <c r="AL222" s="126" t="str">
        <f t="shared" si="97"/>
        <v/>
      </c>
      <c r="AM222" s="61" t="str">
        <f t="shared" si="108"/>
        <v/>
      </c>
      <c r="AN222" s="127" t="str">
        <f>IF(A222="","",IF(A222&lt;=Periodos_Gracia,Tabla!S222,PPMT(Tasa_Anual/360*Días*(1+I.V.A.),Tabla!AM222,No._De_Pagos_con_periodo_de_gracia,-Monto_Crédito)+S222))</f>
        <v/>
      </c>
      <c r="AO222" s="127" t="str">
        <f>IF(A222="","",IF(A222&lt;=Periodos_Gracia,Tabla!AC222,Monto_Crédito/(No._De_Pagos_con_periodo_de_gracia)+AC222))</f>
        <v/>
      </c>
      <c r="AP222" s="117"/>
    </row>
    <row r="223" spans="1:42" x14ac:dyDescent="0.2">
      <c r="A223" s="107" t="str">
        <f>IF(A222&lt;Parámetros!$E$6,A222+1,"")</f>
        <v/>
      </c>
      <c r="B223" s="108" t="str">
        <f t="shared" si="109"/>
        <v/>
      </c>
      <c r="C223" s="108" t="str">
        <f t="shared" si="85"/>
        <v/>
      </c>
      <c r="D223" s="108" t="str">
        <f t="shared" si="86"/>
        <v/>
      </c>
      <c r="E223" s="108" t="str">
        <f t="shared" si="87"/>
        <v/>
      </c>
      <c r="F223" s="108" t="str">
        <f t="shared" si="88"/>
        <v/>
      </c>
      <c r="G223" s="114" t="str">
        <f t="shared" si="98"/>
        <v/>
      </c>
      <c r="H223" s="115">
        <f t="shared" si="99"/>
        <v>0</v>
      </c>
      <c r="I223" s="108" t="str">
        <f t="shared" si="110"/>
        <v/>
      </c>
      <c r="J223" s="108" t="str">
        <f t="shared" si="89"/>
        <v/>
      </c>
      <c r="K223" s="108" t="str">
        <f t="shared" si="90"/>
        <v/>
      </c>
      <c r="L223" s="108" t="str">
        <f t="shared" si="91"/>
        <v/>
      </c>
      <c r="M223" s="108" t="str">
        <f t="shared" si="100"/>
        <v/>
      </c>
      <c r="N223" s="114" t="str">
        <f t="shared" si="101"/>
        <v/>
      </c>
      <c r="O223" s="60">
        <v>0</v>
      </c>
      <c r="P223" s="116">
        <f t="shared" si="102"/>
        <v>0</v>
      </c>
      <c r="R223" s="117" t="str">
        <f t="shared" si="112"/>
        <v/>
      </c>
      <c r="S223" s="118" t="str">
        <f t="shared" si="92"/>
        <v/>
      </c>
      <c r="T223" s="118" t="str">
        <f t="shared" si="93"/>
        <v/>
      </c>
      <c r="U223" s="119">
        <f t="shared" si="103"/>
        <v>0</v>
      </c>
      <c r="V223" s="120" t="str">
        <f>IF(A223="","",IF(A223&lt;=Periodos_Gracia,0,PPMT(Tasa_Anual/360*Días*(1+I.V.A.),Tabla!AM223,No._De_Pagos_con_periodo_de_gracia,-Monto_Crédito)))</f>
        <v/>
      </c>
      <c r="W223" s="110" t="str">
        <f>IF($U$258&lt;=0,V223,IF(SUM($U$18:U223)&lt;=0,V223,PMT($K$5/360*Días,A223,-R223)))</f>
        <v/>
      </c>
      <c r="X223" s="121" t="str">
        <f>IF($U$258&lt;=0,W223,IF(SUM($U$18:U223)&lt;=0,V223,PMT($K$5/360*Días,No._De_Pagos_con_periodo_de_gracia,-Monto_Crédito)-S223-T223))</f>
        <v/>
      </c>
      <c r="Y223" s="117" t="str">
        <f t="shared" si="104"/>
        <v/>
      </c>
      <c r="Z223" s="61" t="str">
        <f>+IF(A223="","",IF(No._de_Pagos-Tabla!A223+1&lt;=0,"",No._de_Pagos-Tabla!A223+1))</f>
        <v/>
      </c>
      <c r="AA223" s="122" t="str">
        <f t="shared" si="105"/>
        <v/>
      </c>
      <c r="AB223" s="124" t="str">
        <f t="shared" si="111"/>
        <v/>
      </c>
      <c r="AC223" s="124" t="str">
        <f t="shared" si="94"/>
        <v/>
      </c>
      <c r="AD223" s="124" t="str">
        <f t="shared" si="95"/>
        <v/>
      </c>
      <c r="AE223" s="119">
        <f t="shared" si="106"/>
        <v>0</v>
      </c>
      <c r="AF223" s="120" t="str">
        <f t="shared" si="96"/>
        <v/>
      </c>
      <c r="AG223" s="110" t="str">
        <f>IF($U$258&lt;=0,AF223,IF(SUM($U$18:U223)&lt;=0,AF223,PMT($K$5/360*Días,A223,-AA223)))</f>
        <v/>
      </c>
      <c r="AH223" s="121" t="str">
        <f>IF(A223&lt;=Periodos_Gracia,0,IF($U$258&lt;=0,AG223,IF(SUM($U$18:U223)&lt;=0,AF223,PMT($K$5/360*Días,No._de_Pagos,-Monto_Crédito)-AC223-AD223)))</f>
        <v/>
      </c>
      <c r="AI223" s="125" t="str">
        <f t="shared" si="107"/>
        <v/>
      </c>
      <c r="AK223" s="126" t="str">
        <f>IF(A223="","",IF(Periodos_Gracia&gt;0,Tabla!AN223,V223+S223))</f>
        <v/>
      </c>
      <c r="AL223" s="126" t="str">
        <f t="shared" si="97"/>
        <v/>
      </c>
      <c r="AM223" s="61" t="str">
        <f t="shared" si="108"/>
        <v/>
      </c>
      <c r="AN223" s="127" t="str">
        <f>IF(A223="","",IF(A223&lt;=Periodos_Gracia,Tabla!S223,PPMT(Tasa_Anual/360*Días*(1+I.V.A.),Tabla!AM223,No._De_Pagos_con_periodo_de_gracia,-Monto_Crédito)+S223))</f>
        <v/>
      </c>
      <c r="AO223" s="127" t="str">
        <f>IF(A223="","",IF(A223&lt;=Periodos_Gracia,Tabla!AC223,Monto_Crédito/(No._De_Pagos_con_periodo_de_gracia)+AC223))</f>
        <v/>
      </c>
      <c r="AP223" s="117"/>
    </row>
    <row r="224" spans="1:42" x14ac:dyDescent="0.2">
      <c r="A224" s="107" t="str">
        <f>IF(A223&lt;Parámetros!$E$6,A223+1,"")</f>
        <v/>
      </c>
      <c r="B224" s="108" t="str">
        <f t="shared" si="109"/>
        <v/>
      </c>
      <c r="C224" s="108" t="str">
        <f t="shared" si="85"/>
        <v/>
      </c>
      <c r="D224" s="108" t="str">
        <f t="shared" si="86"/>
        <v/>
      </c>
      <c r="E224" s="108" t="str">
        <f t="shared" si="87"/>
        <v/>
      </c>
      <c r="F224" s="108" t="str">
        <f t="shared" si="88"/>
        <v/>
      </c>
      <c r="G224" s="114" t="str">
        <f t="shared" si="98"/>
        <v/>
      </c>
      <c r="H224" s="115">
        <f t="shared" si="99"/>
        <v>0</v>
      </c>
      <c r="I224" s="108" t="str">
        <f t="shared" si="110"/>
        <v/>
      </c>
      <c r="J224" s="108" t="str">
        <f t="shared" si="89"/>
        <v/>
      </c>
      <c r="K224" s="108" t="str">
        <f t="shared" si="90"/>
        <v/>
      </c>
      <c r="L224" s="108" t="str">
        <f t="shared" si="91"/>
        <v/>
      </c>
      <c r="M224" s="108" t="str">
        <f t="shared" si="100"/>
        <v/>
      </c>
      <c r="N224" s="114" t="str">
        <f t="shared" si="101"/>
        <v/>
      </c>
      <c r="O224" s="60">
        <v>0</v>
      </c>
      <c r="P224" s="116">
        <f t="shared" si="102"/>
        <v>0</v>
      </c>
      <c r="R224" s="117" t="str">
        <f t="shared" si="112"/>
        <v/>
      </c>
      <c r="S224" s="118" t="str">
        <f t="shared" si="92"/>
        <v/>
      </c>
      <c r="T224" s="118" t="str">
        <f t="shared" si="93"/>
        <v/>
      </c>
      <c r="U224" s="119">
        <f t="shared" si="103"/>
        <v>0</v>
      </c>
      <c r="V224" s="120" t="str">
        <f>IF(A224="","",IF(A224&lt;=Periodos_Gracia,0,PPMT(Tasa_Anual/360*Días*(1+I.V.A.),Tabla!AM224,No._De_Pagos_con_periodo_de_gracia,-Monto_Crédito)))</f>
        <v/>
      </c>
      <c r="W224" s="110" t="str">
        <f>IF($U$258&lt;=0,V224,IF(SUM($U$18:U224)&lt;=0,V224,PMT($K$5/360*Días,A224,-R224)))</f>
        <v/>
      </c>
      <c r="X224" s="121" t="str">
        <f>IF($U$258&lt;=0,W224,IF(SUM($U$18:U224)&lt;=0,V224,PMT($K$5/360*Días,No._De_Pagos_con_periodo_de_gracia,-Monto_Crédito)-S224-T224))</f>
        <v/>
      </c>
      <c r="Y224" s="117" t="str">
        <f t="shared" si="104"/>
        <v/>
      </c>
      <c r="Z224" s="61" t="str">
        <f>+IF(A224="","",IF(No._de_Pagos-Tabla!A224+1&lt;=0,"",No._de_Pagos-Tabla!A224+1))</f>
        <v/>
      </c>
      <c r="AA224" s="122" t="str">
        <f t="shared" si="105"/>
        <v/>
      </c>
      <c r="AB224" s="124" t="str">
        <f t="shared" si="111"/>
        <v/>
      </c>
      <c r="AC224" s="124" t="str">
        <f t="shared" si="94"/>
        <v/>
      </c>
      <c r="AD224" s="124" t="str">
        <f t="shared" si="95"/>
        <v/>
      </c>
      <c r="AE224" s="119">
        <f t="shared" si="106"/>
        <v>0</v>
      </c>
      <c r="AF224" s="120" t="str">
        <f t="shared" si="96"/>
        <v/>
      </c>
      <c r="AG224" s="110" t="str">
        <f>IF($U$258&lt;=0,AF224,IF(SUM($U$18:U224)&lt;=0,AF224,PMT($K$5/360*Días,A224,-AA224)))</f>
        <v/>
      </c>
      <c r="AH224" s="121" t="str">
        <f>IF(A224&lt;=Periodos_Gracia,0,IF($U$258&lt;=0,AG224,IF(SUM($U$18:U224)&lt;=0,AF224,PMT($K$5/360*Días,No._de_Pagos,-Monto_Crédito)-AC224-AD224)))</f>
        <v/>
      </c>
      <c r="AI224" s="125" t="str">
        <f t="shared" si="107"/>
        <v/>
      </c>
      <c r="AK224" s="126" t="str">
        <f>IF(A224="","",IF(Periodos_Gracia&gt;0,Tabla!AN224,V224+S224))</f>
        <v/>
      </c>
      <c r="AL224" s="126" t="str">
        <f t="shared" si="97"/>
        <v/>
      </c>
      <c r="AM224" s="61" t="str">
        <f t="shared" si="108"/>
        <v/>
      </c>
      <c r="AN224" s="127" t="str">
        <f>IF(A224="","",IF(A224&lt;=Periodos_Gracia,Tabla!S224,PPMT(Tasa_Anual/360*Días*(1+I.V.A.),Tabla!AM224,No._De_Pagos_con_periodo_de_gracia,-Monto_Crédito)+S224))</f>
        <v/>
      </c>
      <c r="AO224" s="127" t="str">
        <f>IF(A224="","",IF(A224&lt;=Periodos_Gracia,Tabla!AC224,Monto_Crédito/(No._De_Pagos_con_periodo_de_gracia)+AC224))</f>
        <v/>
      </c>
      <c r="AP224" s="117"/>
    </row>
    <row r="225" spans="1:42" x14ac:dyDescent="0.2">
      <c r="A225" s="107" t="str">
        <f>IF(A224&lt;Parámetros!$E$6,A224+1,"")</f>
        <v/>
      </c>
      <c r="B225" s="108" t="str">
        <f t="shared" si="109"/>
        <v/>
      </c>
      <c r="C225" s="108" t="str">
        <f t="shared" si="85"/>
        <v/>
      </c>
      <c r="D225" s="108" t="str">
        <f t="shared" si="86"/>
        <v/>
      </c>
      <c r="E225" s="108" t="str">
        <f t="shared" si="87"/>
        <v/>
      </c>
      <c r="F225" s="108" t="str">
        <f t="shared" si="88"/>
        <v/>
      </c>
      <c r="G225" s="114" t="str">
        <f t="shared" si="98"/>
        <v/>
      </c>
      <c r="H225" s="115">
        <f t="shared" si="99"/>
        <v>0</v>
      </c>
      <c r="I225" s="108" t="str">
        <f t="shared" si="110"/>
        <v/>
      </c>
      <c r="J225" s="108" t="str">
        <f t="shared" si="89"/>
        <v/>
      </c>
      <c r="K225" s="108" t="str">
        <f t="shared" si="90"/>
        <v/>
      </c>
      <c r="L225" s="108" t="str">
        <f t="shared" si="91"/>
        <v/>
      </c>
      <c r="M225" s="108" t="str">
        <f t="shared" si="100"/>
        <v/>
      </c>
      <c r="N225" s="114" t="str">
        <f t="shared" si="101"/>
        <v/>
      </c>
      <c r="O225" s="60">
        <v>0</v>
      </c>
      <c r="P225" s="116">
        <f t="shared" si="102"/>
        <v>0</v>
      </c>
      <c r="R225" s="117" t="str">
        <f t="shared" si="112"/>
        <v/>
      </c>
      <c r="S225" s="118" t="str">
        <f t="shared" si="92"/>
        <v/>
      </c>
      <c r="T225" s="118" t="str">
        <f t="shared" si="93"/>
        <v/>
      </c>
      <c r="U225" s="119">
        <f t="shared" si="103"/>
        <v>0</v>
      </c>
      <c r="V225" s="120" t="str">
        <f>IF(A225="","",IF(A225&lt;=Periodos_Gracia,0,PPMT(Tasa_Anual/360*Días*(1+I.V.A.),Tabla!AM225,No._De_Pagos_con_periodo_de_gracia,-Monto_Crédito)))</f>
        <v/>
      </c>
      <c r="W225" s="110" t="str">
        <f>IF($U$258&lt;=0,V225,IF(SUM($U$18:U225)&lt;=0,V225,PMT($K$5/360*Días,A225,-R225)))</f>
        <v/>
      </c>
      <c r="X225" s="121" t="str">
        <f>IF($U$258&lt;=0,W225,IF(SUM($U$18:U225)&lt;=0,V225,PMT($K$5/360*Días,No._De_Pagos_con_periodo_de_gracia,-Monto_Crédito)-S225-T225))</f>
        <v/>
      </c>
      <c r="Y225" s="117" t="str">
        <f t="shared" si="104"/>
        <v/>
      </c>
      <c r="Z225" s="61" t="str">
        <f>+IF(A225="","",IF(No._de_Pagos-Tabla!A225+1&lt;=0,"",No._de_Pagos-Tabla!A225+1))</f>
        <v/>
      </c>
      <c r="AA225" s="122" t="str">
        <f t="shared" si="105"/>
        <v/>
      </c>
      <c r="AB225" s="124" t="str">
        <f t="shared" si="111"/>
        <v/>
      </c>
      <c r="AC225" s="124" t="str">
        <f t="shared" si="94"/>
        <v/>
      </c>
      <c r="AD225" s="124" t="str">
        <f t="shared" si="95"/>
        <v/>
      </c>
      <c r="AE225" s="119">
        <f t="shared" si="106"/>
        <v>0</v>
      </c>
      <c r="AF225" s="120" t="str">
        <f t="shared" si="96"/>
        <v/>
      </c>
      <c r="AG225" s="110" t="str">
        <f>IF($U$258&lt;=0,AF225,IF(SUM($U$18:U225)&lt;=0,AF225,PMT($K$5/360*Días,A225,-AA225)))</f>
        <v/>
      </c>
      <c r="AH225" s="121" t="str">
        <f>IF(A225&lt;=Periodos_Gracia,0,IF($U$258&lt;=0,AG225,IF(SUM($U$18:U225)&lt;=0,AF225,PMT($K$5/360*Días,No._de_Pagos,-Monto_Crédito)-AC225-AD225)))</f>
        <v/>
      </c>
      <c r="AI225" s="125" t="str">
        <f t="shared" si="107"/>
        <v/>
      </c>
      <c r="AK225" s="126" t="str">
        <f>IF(A225="","",IF(Periodos_Gracia&gt;0,Tabla!AN225,V225+S225))</f>
        <v/>
      </c>
      <c r="AL225" s="126" t="str">
        <f t="shared" si="97"/>
        <v/>
      </c>
      <c r="AM225" s="61" t="str">
        <f t="shared" si="108"/>
        <v/>
      </c>
      <c r="AN225" s="127" t="str">
        <f>IF(A225="","",IF(A225&lt;=Periodos_Gracia,Tabla!S225,PPMT(Tasa_Anual/360*Días*(1+I.V.A.),Tabla!AM225,No._De_Pagos_con_periodo_de_gracia,-Monto_Crédito)+S225))</f>
        <v/>
      </c>
      <c r="AO225" s="127" t="str">
        <f>IF(A225="","",IF(A225&lt;=Periodos_Gracia,Tabla!AC225,Monto_Crédito/(No._De_Pagos_con_periodo_de_gracia)+AC225))</f>
        <v/>
      </c>
      <c r="AP225" s="117"/>
    </row>
    <row r="226" spans="1:42" x14ac:dyDescent="0.2">
      <c r="A226" s="107" t="str">
        <f>IF(A225&lt;Parámetros!$E$6,A225+1,"")</f>
        <v/>
      </c>
      <c r="B226" s="108" t="str">
        <f t="shared" si="109"/>
        <v/>
      </c>
      <c r="C226" s="108" t="str">
        <f t="shared" si="85"/>
        <v/>
      </c>
      <c r="D226" s="108" t="str">
        <f t="shared" si="86"/>
        <v/>
      </c>
      <c r="E226" s="108" t="str">
        <f t="shared" si="87"/>
        <v/>
      </c>
      <c r="F226" s="108" t="str">
        <f t="shared" si="88"/>
        <v/>
      </c>
      <c r="G226" s="114" t="str">
        <f t="shared" si="98"/>
        <v/>
      </c>
      <c r="H226" s="115">
        <f t="shared" si="99"/>
        <v>0</v>
      </c>
      <c r="I226" s="108" t="str">
        <f t="shared" si="110"/>
        <v/>
      </c>
      <c r="J226" s="108" t="str">
        <f t="shared" si="89"/>
        <v/>
      </c>
      <c r="K226" s="108" t="str">
        <f t="shared" si="90"/>
        <v/>
      </c>
      <c r="L226" s="108" t="str">
        <f t="shared" si="91"/>
        <v/>
      </c>
      <c r="M226" s="108" t="str">
        <f t="shared" si="100"/>
        <v/>
      </c>
      <c r="N226" s="114" t="str">
        <f t="shared" si="101"/>
        <v/>
      </c>
      <c r="O226" s="60">
        <v>0</v>
      </c>
      <c r="P226" s="116">
        <f t="shared" si="102"/>
        <v>0</v>
      </c>
      <c r="R226" s="117" t="str">
        <f t="shared" si="112"/>
        <v/>
      </c>
      <c r="S226" s="118" t="str">
        <f t="shared" si="92"/>
        <v/>
      </c>
      <c r="T226" s="118" t="str">
        <f t="shared" si="93"/>
        <v/>
      </c>
      <c r="U226" s="119">
        <f t="shared" si="103"/>
        <v>0</v>
      </c>
      <c r="V226" s="120" t="str">
        <f>IF(A226="","",IF(A226&lt;=Periodos_Gracia,0,PPMT(Tasa_Anual/360*Días*(1+I.V.A.),Tabla!AM226,No._De_Pagos_con_periodo_de_gracia,-Monto_Crédito)))</f>
        <v/>
      </c>
      <c r="W226" s="110" t="str">
        <f>IF($U$258&lt;=0,V226,IF(SUM($U$18:U226)&lt;=0,V226,PMT($K$5/360*Días,A226,-R226)))</f>
        <v/>
      </c>
      <c r="X226" s="121" t="str">
        <f>IF($U$258&lt;=0,W226,IF(SUM($U$18:U226)&lt;=0,V226,PMT($K$5/360*Días,No._De_Pagos_con_periodo_de_gracia,-Monto_Crédito)-S226-T226))</f>
        <v/>
      </c>
      <c r="Y226" s="117" t="str">
        <f t="shared" si="104"/>
        <v/>
      </c>
      <c r="Z226" s="61" t="str">
        <f>+IF(A226="","",IF(No._de_Pagos-Tabla!A226+1&lt;=0,"",No._de_Pagos-Tabla!A226+1))</f>
        <v/>
      </c>
      <c r="AA226" s="122" t="str">
        <f t="shared" si="105"/>
        <v/>
      </c>
      <c r="AB226" s="124" t="str">
        <f t="shared" si="111"/>
        <v/>
      </c>
      <c r="AC226" s="124" t="str">
        <f t="shared" si="94"/>
        <v/>
      </c>
      <c r="AD226" s="124" t="str">
        <f t="shared" si="95"/>
        <v/>
      </c>
      <c r="AE226" s="119">
        <f t="shared" si="106"/>
        <v>0</v>
      </c>
      <c r="AF226" s="120" t="str">
        <f t="shared" si="96"/>
        <v/>
      </c>
      <c r="AG226" s="110" t="str">
        <f>IF($U$258&lt;=0,AF226,IF(SUM($U$18:U226)&lt;=0,AF226,PMT($K$5/360*Días,A226,-AA226)))</f>
        <v/>
      </c>
      <c r="AH226" s="121" t="str">
        <f>IF(A226&lt;=Periodos_Gracia,0,IF($U$258&lt;=0,AG226,IF(SUM($U$18:U226)&lt;=0,AF226,PMT($K$5/360*Días,No._de_Pagos,-Monto_Crédito)-AC226-AD226)))</f>
        <v/>
      </c>
      <c r="AI226" s="125" t="str">
        <f t="shared" si="107"/>
        <v/>
      </c>
      <c r="AK226" s="126" t="str">
        <f>IF(A226="","",IF(Periodos_Gracia&gt;0,Tabla!AN226,V226+S226))</f>
        <v/>
      </c>
      <c r="AL226" s="126" t="str">
        <f t="shared" si="97"/>
        <v/>
      </c>
      <c r="AM226" s="61" t="str">
        <f t="shared" si="108"/>
        <v/>
      </c>
      <c r="AN226" s="127" t="str">
        <f>IF(A226="","",IF(A226&lt;=Periodos_Gracia,Tabla!S226,PPMT(Tasa_Anual/360*Días*(1+I.V.A.),Tabla!AM226,No._De_Pagos_con_periodo_de_gracia,-Monto_Crédito)+S226))</f>
        <v/>
      </c>
      <c r="AO226" s="127" t="str">
        <f>IF(A226="","",IF(A226&lt;=Periodos_Gracia,Tabla!AC226,Monto_Crédito/(No._De_Pagos_con_periodo_de_gracia)+AC226))</f>
        <v/>
      </c>
      <c r="AP226" s="117"/>
    </row>
    <row r="227" spans="1:42" x14ac:dyDescent="0.2">
      <c r="A227" s="107" t="str">
        <f>IF(A226&lt;Parámetros!$E$6,A226+1,"")</f>
        <v/>
      </c>
      <c r="B227" s="108" t="str">
        <f t="shared" si="109"/>
        <v/>
      </c>
      <c r="C227" s="108" t="str">
        <f t="shared" si="85"/>
        <v/>
      </c>
      <c r="D227" s="108" t="str">
        <f t="shared" si="86"/>
        <v/>
      </c>
      <c r="E227" s="108" t="str">
        <f t="shared" si="87"/>
        <v/>
      </c>
      <c r="F227" s="108" t="str">
        <f t="shared" si="88"/>
        <v/>
      </c>
      <c r="G227" s="114" t="str">
        <f t="shared" si="98"/>
        <v/>
      </c>
      <c r="H227" s="115">
        <f t="shared" si="99"/>
        <v>0</v>
      </c>
      <c r="I227" s="108" t="str">
        <f t="shared" si="110"/>
        <v/>
      </c>
      <c r="J227" s="108" t="str">
        <f t="shared" si="89"/>
        <v/>
      </c>
      <c r="K227" s="108" t="str">
        <f t="shared" si="90"/>
        <v/>
      </c>
      <c r="L227" s="108" t="str">
        <f t="shared" si="91"/>
        <v/>
      </c>
      <c r="M227" s="108" t="str">
        <f t="shared" si="100"/>
        <v/>
      </c>
      <c r="N227" s="114" t="str">
        <f t="shared" si="101"/>
        <v/>
      </c>
      <c r="O227" s="60">
        <v>0</v>
      </c>
      <c r="P227" s="116">
        <f t="shared" si="102"/>
        <v>0</v>
      </c>
      <c r="R227" s="117" t="str">
        <f t="shared" si="112"/>
        <v/>
      </c>
      <c r="S227" s="118" t="str">
        <f t="shared" si="92"/>
        <v/>
      </c>
      <c r="T227" s="118" t="str">
        <f t="shared" si="93"/>
        <v/>
      </c>
      <c r="U227" s="119">
        <f t="shared" si="103"/>
        <v>0</v>
      </c>
      <c r="V227" s="120" t="str">
        <f>IF(A227="","",IF(A227&lt;=Periodos_Gracia,0,PPMT(Tasa_Anual/360*Días*(1+I.V.A.),Tabla!AM227,No._De_Pagos_con_periodo_de_gracia,-Monto_Crédito)))</f>
        <v/>
      </c>
      <c r="W227" s="110" t="str">
        <f>IF($U$258&lt;=0,V227,IF(SUM($U$18:U227)&lt;=0,V227,PMT($K$5/360*Días,A227,-R227)))</f>
        <v/>
      </c>
      <c r="X227" s="121" t="str">
        <f>IF($U$258&lt;=0,W227,IF(SUM($U$18:U227)&lt;=0,V227,PMT($K$5/360*Días,No._De_Pagos_con_periodo_de_gracia,-Monto_Crédito)-S227-T227))</f>
        <v/>
      </c>
      <c r="Y227" s="117" t="str">
        <f t="shared" si="104"/>
        <v/>
      </c>
      <c r="Z227" s="61" t="str">
        <f>+IF(A227="","",IF(No._de_Pagos-Tabla!A227+1&lt;=0,"",No._de_Pagos-Tabla!A227+1))</f>
        <v/>
      </c>
      <c r="AA227" s="122" t="str">
        <f t="shared" si="105"/>
        <v/>
      </c>
      <c r="AB227" s="124" t="str">
        <f t="shared" si="111"/>
        <v/>
      </c>
      <c r="AC227" s="124" t="str">
        <f t="shared" si="94"/>
        <v/>
      </c>
      <c r="AD227" s="124" t="str">
        <f t="shared" si="95"/>
        <v/>
      </c>
      <c r="AE227" s="119">
        <f t="shared" si="106"/>
        <v>0</v>
      </c>
      <c r="AF227" s="120" t="str">
        <f t="shared" si="96"/>
        <v/>
      </c>
      <c r="AG227" s="110" t="str">
        <f>IF($U$258&lt;=0,AF227,IF(SUM($U$18:U227)&lt;=0,AF227,PMT($K$5/360*Días,A227,-AA227)))</f>
        <v/>
      </c>
      <c r="AH227" s="121" t="str">
        <f>IF(A227&lt;=Periodos_Gracia,0,IF($U$258&lt;=0,AG227,IF(SUM($U$18:U227)&lt;=0,AF227,PMT($K$5/360*Días,No._de_Pagos,-Monto_Crédito)-AC227-AD227)))</f>
        <v/>
      </c>
      <c r="AI227" s="125" t="str">
        <f t="shared" si="107"/>
        <v/>
      </c>
      <c r="AK227" s="126" t="str">
        <f>IF(A227="","",IF(Periodos_Gracia&gt;0,Tabla!AN227,V227+S227))</f>
        <v/>
      </c>
      <c r="AL227" s="126" t="str">
        <f t="shared" si="97"/>
        <v/>
      </c>
      <c r="AM227" s="61" t="str">
        <f t="shared" si="108"/>
        <v/>
      </c>
      <c r="AN227" s="127" t="str">
        <f>IF(A227="","",IF(A227&lt;=Periodos_Gracia,Tabla!S227,PPMT(Tasa_Anual/360*Días*(1+I.V.A.),Tabla!AM227,No._De_Pagos_con_periodo_de_gracia,-Monto_Crédito)+S227))</f>
        <v/>
      </c>
      <c r="AO227" s="127" t="str">
        <f>IF(A227="","",IF(A227&lt;=Periodos_Gracia,Tabla!AC227,Monto_Crédito/(No._De_Pagos_con_periodo_de_gracia)+AC227))</f>
        <v/>
      </c>
      <c r="AP227" s="117"/>
    </row>
    <row r="228" spans="1:42" x14ac:dyDescent="0.2">
      <c r="A228" s="107" t="str">
        <f>IF(A227&lt;Parámetros!$E$6,A227+1,"")</f>
        <v/>
      </c>
      <c r="B228" s="108" t="str">
        <f t="shared" si="109"/>
        <v/>
      </c>
      <c r="C228" s="108" t="str">
        <f t="shared" si="85"/>
        <v/>
      </c>
      <c r="D228" s="108" t="str">
        <f t="shared" si="86"/>
        <v/>
      </c>
      <c r="E228" s="108" t="str">
        <f t="shared" si="87"/>
        <v/>
      </c>
      <c r="F228" s="108" t="str">
        <f t="shared" si="88"/>
        <v/>
      </c>
      <c r="G228" s="114" t="str">
        <f t="shared" si="98"/>
        <v/>
      </c>
      <c r="H228" s="115">
        <f t="shared" si="99"/>
        <v>0</v>
      </c>
      <c r="I228" s="108" t="str">
        <f t="shared" si="110"/>
        <v/>
      </c>
      <c r="J228" s="108" t="str">
        <f t="shared" si="89"/>
        <v/>
      </c>
      <c r="K228" s="108" t="str">
        <f t="shared" si="90"/>
        <v/>
      </c>
      <c r="L228" s="108" t="str">
        <f t="shared" si="91"/>
        <v/>
      </c>
      <c r="M228" s="108" t="str">
        <f t="shared" si="100"/>
        <v/>
      </c>
      <c r="N228" s="114" t="str">
        <f t="shared" si="101"/>
        <v/>
      </c>
      <c r="O228" s="60">
        <v>0</v>
      </c>
      <c r="P228" s="116">
        <f t="shared" si="102"/>
        <v>0</v>
      </c>
      <c r="R228" s="117" t="str">
        <f t="shared" si="112"/>
        <v/>
      </c>
      <c r="S228" s="118" t="str">
        <f t="shared" si="92"/>
        <v/>
      </c>
      <c r="T228" s="118" t="str">
        <f t="shared" si="93"/>
        <v/>
      </c>
      <c r="U228" s="119">
        <f t="shared" si="103"/>
        <v>0</v>
      </c>
      <c r="V228" s="120" t="str">
        <f>IF(A228="","",IF(A228&lt;=Periodos_Gracia,0,PPMT(Tasa_Anual/360*Días*(1+I.V.A.),Tabla!AM228,No._De_Pagos_con_periodo_de_gracia,-Monto_Crédito)))</f>
        <v/>
      </c>
      <c r="W228" s="110" t="str">
        <f>IF($U$258&lt;=0,V228,IF(SUM($U$18:U228)&lt;=0,V228,PMT($K$5/360*Días,A228,-R228)))</f>
        <v/>
      </c>
      <c r="X228" s="121" t="str">
        <f>IF($U$258&lt;=0,W228,IF(SUM($U$18:U228)&lt;=0,V228,PMT($K$5/360*Días,No._De_Pagos_con_periodo_de_gracia,-Monto_Crédito)-S228-T228))</f>
        <v/>
      </c>
      <c r="Y228" s="117" t="str">
        <f t="shared" si="104"/>
        <v/>
      </c>
      <c r="Z228" s="61" t="str">
        <f>+IF(A228="","",IF(No._de_Pagos-Tabla!A228+1&lt;=0,"",No._de_Pagos-Tabla!A228+1))</f>
        <v/>
      </c>
      <c r="AA228" s="122" t="str">
        <f t="shared" si="105"/>
        <v/>
      </c>
      <c r="AB228" s="124" t="str">
        <f t="shared" si="111"/>
        <v/>
      </c>
      <c r="AC228" s="124" t="str">
        <f t="shared" si="94"/>
        <v/>
      </c>
      <c r="AD228" s="124" t="str">
        <f t="shared" si="95"/>
        <v/>
      </c>
      <c r="AE228" s="119">
        <f t="shared" si="106"/>
        <v>0</v>
      </c>
      <c r="AF228" s="120" t="str">
        <f t="shared" si="96"/>
        <v/>
      </c>
      <c r="AG228" s="110" t="str">
        <f>IF($U$258&lt;=0,AF228,IF(SUM($U$18:U228)&lt;=0,AF228,PMT($K$5/360*Días,A228,-AA228)))</f>
        <v/>
      </c>
      <c r="AH228" s="121" t="str">
        <f>IF(A228&lt;=Periodos_Gracia,0,IF($U$258&lt;=0,AG228,IF(SUM($U$18:U228)&lt;=0,AF228,PMT($K$5/360*Días,No._de_Pagos,-Monto_Crédito)-AC228-AD228)))</f>
        <v/>
      </c>
      <c r="AI228" s="125" t="str">
        <f t="shared" si="107"/>
        <v/>
      </c>
      <c r="AK228" s="126" t="str">
        <f>IF(A228="","",IF(Periodos_Gracia&gt;0,Tabla!AN228,V228+S228))</f>
        <v/>
      </c>
      <c r="AL228" s="126" t="str">
        <f t="shared" si="97"/>
        <v/>
      </c>
      <c r="AM228" s="61" t="str">
        <f t="shared" si="108"/>
        <v/>
      </c>
      <c r="AN228" s="127" t="str">
        <f>IF(A228="","",IF(A228&lt;=Periodos_Gracia,Tabla!S228,PPMT(Tasa_Anual/360*Días*(1+I.V.A.),Tabla!AM228,No._De_Pagos_con_periodo_de_gracia,-Monto_Crédito)+S228))</f>
        <v/>
      </c>
      <c r="AO228" s="127" t="str">
        <f>IF(A228="","",IF(A228&lt;=Periodos_Gracia,Tabla!AC228,Monto_Crédito/(No._De_Pagos_con_periodo_de_gracia)+AC228))</f>
        <v/>
      </c>
      <c r="AP228" s="117"/>
    </row>
    <row r="229" spans="1:42" x14ac:dyDescent="0.2">
      <c r="A229" s="107" t="str">
        <f>IF(A228&lt;Parámetros!$E$6,A228+1,"")</f>
        <v/>
      </c>
      <c r="B229" s="108" t="str">
        <f t="shared" si="109"/>
        <v/>
      </c>
      <c r="C229" s="108" t="str">
        <f t="shared" si="85"/>
        <v/>
      </c>
      <c r="D229" s="108" t="str">
        <f t="shared" si="86"/>
        <v/>
      </c>
      <c r="E229" s="108" t="str">
        <f t="shared" si="87"/>
        <v/>
      </c>
      <c r="F229" s="108" t="str">
        <f t="shared" si="88"/>
        <v/>
      </c>
      <c r="G229" s="114" t="str">
        <f t="shared" si="98"/>
        <v/>
      </c>
      <c r="H229" s="115">
        <f t="shared" si="99"/>
        <v>0</v>
      </c>
      <c r="I229" s="108" t="str">
        <f t="shared" si="110"/>
        <v/>
      </c>
      <c r="J229" s="108" t="str">
        <f t="shared" si="89"/>
        <v/>
      </c>
      <c r="K229" s="108" t="str">
        <f t="shared" si="90"/>
        <v/>
      </c>
      <c r="L229" s="108" t="str">
        <f t="shared" si="91"/>
        <v/>
      </c>
      <c r="M229" s="108" t="str">
        <f t="shared" si="100"/>
        <v/>
      </c>
      <c r="N229" s="114" t="str">
        <f t="shared" si="101"/>
        <v/>
      </c>
      <c r="O229" s="60">
        <v>0</v>
      </c>
      <c r="P229" s="116">
        <f t="shared" si="102"/>
        <v>0</v>
      </c>
      <c r="R229" s="117" t="str">
        <f t="shared" si="112"/>
        <v/>
      </c>
      <c r="S229" s="118" t="str">
        <f t="shared" si="92"/>
        <v/>
      </c>
      <c r="T229" s="118" t="str">
        <f t="shared" si="93"/>
        <v/>
      </c>
      <c r="U229" s="119">
        <f t="shared" si="103"/>
        <v>0</v>
      </c>
      <c r="V229" s="120" t="str">
        <f>IF(A229="","",IF(A229&lt;=Periodos_Gracia,0,PPMT(Tasa_Anual/360*Días*(1+I.V.A.),Tabla!AM229,No._De_Pagos_con_periodo_de_gracia,-Monto_Crédito)))</f>
        <v/>
      </c>
      <c r="W229" s="110" t="str">
        <f>IF($U$258&lt;=0,V229,IF(SUM($U$18:U229)&lt;=0,V229,PMT($K$5/360*Días,A229,-R229)))</f>
        <v/>
      </c>
      <c r="X229" s="121" t="str">
        <f>IF($U$258&lt;=0,W229,IF(SUM($U$18:U229)&lt;=0,V229,PMT($K$5/360*Días,No._De_Pagos_con_periodo_de_gracia,-Monto_Crédito)-S229-T229))</f>
        <v/>
      </c>
      <c r="Y229" s="117" t="str">
        <f t="shared" si="104"/>
        <v/>
      </c>
      <c r="Z229" s="61" t="str">
        <f>+IF(A229="","",IF(No._de_Pagos-Tabla!A229+1&lt;=0,"",No._de_Pagos-Tabla!A229+1))</f>
        <v/>
      </c>
      <c r="AA229" s="122" t="str">
        <f t="shared" si="105"/>
        <v/>
      </c>
      <c r="AB229" s="124" t="str">
        <f t="shared" si="111"/>
        <v/>
      </c>
      <c r="AC229" s="124" t="str">
        <f t="shared" si="94"/>
        <v/>
      </c>
      <c r="AD229" s="124" t="str">
        <f t="shared" si="95"/>
        <v/>
      </c>
      <c r="AE229" s="119">
        <f t="shared" si="106"/>
        <v>0</v>
      </c>
      <c r="AF229" s="120" t="str">
        <f t="shared" si="96"/>
        <v/>
      </c>
      <c r="AG229" s="110" t="str">
        <f>IF($U$258&lt;=0,AF229,IF(SUM($U$18:U229)&lt;=0,AF229,PMT($K$5/360*Días,A229,-AA229)))</f>
        <v/>
      </c>
      <c r="AH229" s="121" t="str">
        <f>IF(A229&lt;=Periodos_Gracia,0,IF($U$258&lt;=0,AG229,IF(SUM($U$18:U229)&lt;=0,AF229,PMT($K$5/360*Días,No._de_Pagos,-Monto_Crédito)-AC229-AD229)))</f>
        <v/>
      </c>
      <c r="AI229" s="125" t="str">
        <f t="shared" si="107"/>
        <v/>
      </c>
      <c r="AK229" s="126" t="str">
        <f>IF(A229="","",IF(Periodos_Gracia&gt;0,Tabla!AN229,V229+S229))</f>
        <v/>
      </c>
      <c r="AL229" s="126" t="str">
        <f t="shared" si="97"/>
        <v/>
      </c>
      <c r="AM229" s="61" t="str">
        <f t="shared" si="108"/>
        <v/>
      </c>
      <c r="AN229" s="127" t="str">
        <f>IF(A229="","",IF(A229&lt;=Periodos_Gracia,Tabla!S229,PPMT(Tasa_Anual/360*Días*(1+I.V.A.),Tabla!AM229,No._De_Pagos_con_periodo_de_gracia,-Monto_Crédito)+S229))</f>
        <v/>
      </c>
      <c r="AO229" s="127" t="str">
        <f>IF(A229="","",IF(A229&lt;=Periodos_Gracia,Tabla!AC229,Monto_Crédito/(No._De_Pagos_con_periodo_de_gracia)+AC229))</f>
        <v/>
      </c>
      <c r="AP229" s="117"/>
    </row>
    <row r="230" spans="1:42" x14ac:dyDescent="0.2">
      <c r="A230" s="107" t="str">
        <f>IF(A229&lt;Parámetros!$E$6,A229+1,"")</f>
        <v/>
      </c>
      <c r="B230" s="108" t="str">
        <f t="shared" si="109"/>
        <v/>
      </c>
      <c r="C230" s="108" t="str">
        <f t="shared" si="85"/>
        <v/>
      </c>
      <c r="D230" s="108" t="str">
        <f t="shared" si="86"/>
        <v/>
      </c>
      <c r="E230" s="108" t="str">
        <f t="shared" si="87"/>
        <v/>
      </c>
      <c r="F230" s="108" t="str">
        <f t="shared" si="88"/>
        <v/>
      </c>
      <c r="G230" s="114" t="str">
        <f t="shared" si="98"/>
        <v/>
      </c>
      <c r="H230" s="115">
        <f t="shared" si="99"/>
        <v>0</v>
      </c>
      <c r="I230" s="108" t="str">
        <f t="shared" si="110"/>
        <v/>
      </c>
      <c r="J230" s="108" t="str">
        <f t="shared" si="89"/>
        <v/>
      </c>
      <c r="K230" s="108" t="str">
        <f t="shared" si="90"/>
        <v/>
      </c>
      <c r="L230" s="108" t="str">
        <f t="shared" si="91"/>
        <v/>
      </c>
      <c r="M230" s="108" t="str">
        <f t="shared" si="100"/>
        <v/>
      </c>
      <c r="N230" s="114" t="str">
        <f t="shared" si="101"/>
        <v/>
      </c>
      <c r="O230" s="60">
        <v>0</v>
      </c>
      <c r="P230" s="116">
        <f t="shared" si="102"/>
        <v>0</v>
      </c>
      <c r="R230" s="117" t="str">
        <f t="shared" si="112"/>
        <v/>
      </c>
      <c r="S230" s="118" t="str">
        <f t="shared" si="92"/>
        <v/>
      </c>
      <c r="T230" s="118" t="str">
        <f t="shared" si="93"/>
        <v/>
      </c>
      <c r="U230" s="119">
        <f t="shared" si="103"/>
        <v>0</v>
      </c>
      <c r="V230" s="120" t="str">
        <f>IF(A230="","",IF(A230&lt;=Periodos_Gracia,0,PPMT(Tasa_Anual/360*Días*(1+I.V.A.),Tabla!AM230,No._De_Pagos_con_periodo_de_gracia,-Monto_Crédito)))</f>
        <v/>
      </c>
      <c r="W230" s="110" t="str">
        <f>IF($U$258&lt;=0,V230,IF(SUM($U$18:U230)&lt;=0,V230,PMT($K$5/360*Días,A230,-R230)))</f>
        <v/>
      </c>
      <c r="X230" s="121" t="str">
        <f>IF($U$258&lt;=0,W230,IF(SUM($U$18:U230)&lt;=0,V230,PMT($K$5/360*Días,No._De_Pagos_con_periodo_de_gracia,-Monto_Crédito)-S230-T230))</f>
        <v/>
      </c>
      <c r="Y230" s="117" t="str">
        <f t="shared" si="104"/>
        <v/>
      </c>
      <c r="Z230" s="61" t="str">
        <f>+IF(A230="","",IF(No._de_Pagos-Tabla!A230+1&lt;=0,"",No._de_Pagos-Tabla!A230+1))</f>
        <v/>
      </c>
      <c r="AA230" s="122" t="str">
        <f t="shared" si="105"/>
        <v/>
      </c>
      <c r="AB230" s="124" t="str">
        <f t="shared" si="111"/>
        <v/>
      </c>
      <c r="AC230" s="124" t="str">
        <f t="shared" si="94"/>
        <v/>
      </c>
      <c r="AD230" s="124" t="str">
        <f t="shared" si="95"/>
        <v/>
      </c>
      <c r="AE230" s="119">
        <f t="shared" si="106"/>
        <v>0</v>
      </c>
      <c r="AF230" s="120" t="str">
        <f t="shared" si="96"/>
        <v/>
      </c>
      <c r="AG230" s="110" t="str">
        <f>IF($U$258&lt;=0,AF230,IF(SUM($U$18:U230)&lt;=0,AF230,PMT($K$5/360*Días,A230,-AA230)))</f>
        <v/>
      </c>
      <c r="AH230" s="121" t="str">
        <f>IF(A230&lt;=Periodos_Gracia,0,IF($U$258&lt;=0,AG230,IF(SUM($U$18:U230)&lt;=0,AF230,PMT($K$5/360*Días,No._de_Pagos,-Monto_Crédito)-AC230-AD230)))</f>
        <v/>
      </c>
      <c r="AI230" s="125" t="str">
        <f t="shared" si="107"/>
        <v/>
      </c>
      <c r="AK230" s="126" t="str">
        <f>IF(A230="","",IF(Periodos_Gracia&gt;0,Tabla!AN230,V230+S230))</f>
        <v/>
      </c>
      <c r="AL230" s="126" t="str">
        <f t="shared" si="97"/>
        <v/>
      </c>
      <c r="AM230" s="61" t="str">
        <f t="shared" si="108"/>
        <v/>
      </c>
      <c r="AN230" s="127" t="str">
        <f>IF(A230="","",IF(A230&lt;=Periodos_Gracia,Tabla!S230,PPMT(Tasa_Anual/360*Días*(1+I.V.A.),Tabla!AM230,No._De_Pagos_con_periodo_de_gracia,-Monto_Crédito)+S230))</f>
        <v/>
      </c>
      <c r="AO230" s="127" t="str">
        <f>IF(A230="","",IF(A230&lt;=Periodos_Gracia,Tabla!AC230,Monto_Crédito/(No._De_Pagos_con_periodo_de_gracia)+AC230))</f>
        <v/>
      </c>
      <c r="AP230" s="117"/>
    </row>
    <row r="231" spans="1:42" x14ac:dyDescent="0.2">
      <c r="A231" s="107" t="str">
        <f>IF(A230&lt;Parámetros!$E$6,A230+1,"")</f>
        <v/>
      </c>
      <c r="B231" s="108" t="str">
        <f t="shared" si="109"/>
        <v/>
      </c>
      <c r="C231" s="108" t="str">
        <f t="shared" si="85"/>
        <v/>
      </c>
      <c r="D231" s="108" t="str">
        <f t="shared" si="86"/>
        <v/>
      </c>
      <c r="E231" s="108" t="str">
        <f t="shared" si="87"/>
        <v/>
      </c>
      <c r="F231" s="108" t="str">
        <f t="shared" si="88"/>
        <v/>
      </c>
      <c r="G231" s="114" t="str">
        <f t="shared" si="98"/>
        <v/>
      </c>
      <c r="H231" s="115">
        <f t="shared" si="99"/>
        <v>0</v>
      </c>
      <c r="I231" s="108" t="str">
        <f t="shared" si="110"/>
        <v/>
      </c>
      <c r="J231" s="108" t="str">
        <f t="shared" si="89"/>
        <v/>
      </c>
      <c r="K231" s="108" t="str">
        <f t="shared" si="90"/>
        <v/>
      </c>
      <c r="L231" s="108" t="str">
        <f t="shared" si="91"/>
        <v/>
      </c>
      <c r="M231" s="108" t="str">
        <f t="shared" si="100"/>
        <v/>
      </c>
      <c r="N231" s="114" t="str">
        <f t="shared" si="101"/>
        <v/>
      </c>
      <c r="O231" s="60">
        <v>0</v>
      </c>
      <c r="P231" s="116">
        <f t="shared" si="102"/>
        <v>0</v>
      </c>
      <c r="R231" s="117" t="str">
        <f t="shared" si="112"/>
        <v/>
      </c>
      <c r="S231" s="118" t="str">
        <f t="shared" si="92"/>
        <v/>
      </c>
      <c r="T231" s="118" t="str">
        <f t="shared" si="93"/>
        <v/>
      </c>
      <c r="U231" s="119">
        <f t="shared" si="103"/>
        <v>0</v>
      </c>
      <c r="V231" s="120" t="str">
        <f>IF(A231="","",IF(A231&lt;=Periodos_Gracia,0,PPMT(Tasa_Anual/360*Días*(1+I.V.A.),Tabla!AM231,No._De_Pagos_con_periodo_de_gracia,-Monto_Crédito)))</f>
        <v/>
      </c>
      <c r="W231" s="110" t="str">
        <f>IF($U$258&lt;=0,V231,IF(SUM($U$18:U231)&lt;=0,V231,PMT($K$5/360*Días,A231,-R231)))</f>
        <v/>
      </c>
      <c r="X231" s="121" t="str">
        <f>IF($U$258&lt;=0,W231,IF(SUM($U$18:U231)&lt;=0,V231,PMT($K$5/360*Días,No._De_Pagos_con_periodo_de_gracia,-Monto_Crédito)-S231-T231))</f>
        <v/>
      </c>
      <c r="Y231" s="117" t="str">
        <f t="shared" si="104"/>
        <v/>
      </c>
      <c r="Z231" s="61" t="str">
        <f>+IF(A231="","",IF(No._de_Pagos-Tabla!A231+1&lt;=0,"",No._de_Pagos-Tabla!A231+1))</f>
        <v/>
      </c>
      <c r="AA231" s="122" t="str">
        <f t="shared" si="105"/>
        <v/>
      </c>
      <c r="AB231" s="124" t="str">
        <f t="shared" si="111"/>
        <v/>
      </c>
      <c r="AC231" s="124" t="str">
        <f t="shared" si="94"/>
        <v/>
      </c>
      <c r="AD231" s="124" t="str">
        <f t="shared" si="95"/>
        <v/>
      </c>
      <c r="AE231" s="119">
        <f t="shared" si="106"/>
        <v>0</v>
      </c>
      <c r="AF231" s="120" t="str">
        <f t="shared" si="96"/>
        <v/>
      </c>
      <c r="AG231" s="110" t="str">
        <f>IF($U$258&lt;=0,AF231,IF(SUM($U$18:U231)&lt;=0,AF231,PMT($K$5/360*Días,A231,-AA231)))</f>
        <v/>
      </c>
      <c r="AH231" s="121" t="str">
        <f>IF(A231&lt;=Periodos_Gracia,0,IF($U$258&lt;=0,AG231,IF(SUM($U$18:U231)&lt;=0,AF231,PMT($K$5/360*Días,No._de_Pagos,-Monto_Crédito)-AC231-AD231)))</f>
        <v/>
      </c>
      <c r="AI231" s="125" t="str">
        <f t="shared" si="107"/>
        <v/>
      </c>
      <c r="AK231" s="126" t="str">
        <f>IF(A231="","",IF(Periodos_Gracia&gt;0,Tabla!AN231,V231+S231))</f>
        <v/>
      </c>
      <c r="AL231" s="126" t="str">
        <f t="shared" si="97"/>
        <v/>
      </c>
      <c r="AM231" s="61" t="str">
        <f t="shared" si="108"/>
        <v/>
      </c>
      <c r="AN231" s="127" t="str">
        <f>IF(A231="","",IF(A231&lt;=Periodos_Gracia,Tabla!S231,PPMT(Tasa_Anual/360*Días*(1+I.V.A.),Tabla!AM231,No._De_Pagos_con_periodo_de_gracia,-Monto_Crédito)+S231))</f>
        <v/>
      </c>
      <c r="AO231" s="127" t="str">
        <f>IF(A231="","",IF(A231&lt;=Periodos_Gracia,Tabla!AC231,Monto_Crédito/(No._De_Pagos_con_periodo_de_gracia)+AC231))</f>
        <v/>
      </c>
      <c r="AP231" s="117"/>
    </row>
    <row r="232" spans="1:42" x14ac:dyDescent="0.2">
      <c r="A232" s="107" t="str">
        <f>IF(A231&lt;Parámetros!$E$6,A231+1,"")</f>
        <v/>
      </c>
      <c r="B232" s="108" t="str">
        <f t="shared" si="109"/>
        <v/>
      </c>
      <c r="C232" s="108" t="str">
        <f t="shared" si="85"/>
        <v/>
      </c>
      <c r="D232" s="108" t="str">
        <f t="shared" si="86"/>
        <v/>
      </c>
      <c r="E232" s="108" t="str">
        <f t="shared" si="87"/>
        <v/>
      </c>
      <c r="F232" s="108" t="str">
        <f t="shared" si="88"/>
        <v/>
      </c>
      <c r="G232" s="114" t="str">
        <f t="shared" si="98"/>
        <v/>
      </c>
      <c r="H232" s="115">
        <f t="shared" si="99"/>
        <v>0</v>
      </c>
      <c r="I232" s="108" t="str">
        <f t="shared" si="110"/>
        <v/>
      </c>
      <c r="J232" s="108" t="str">
        <f t="shared" si="89"/>
        <v/>
      </c>
      <c r="K232" s="108" t="str">
        <f t="shared" si="90"/>
        <v/>
      </c>
      <c r="L232" s="108" t="str">
        <f t="shared" si="91"/>
        <v/>
      </c>
      <c r="M232" s="108" t="str">
        <f t="shared" si="100"/>
        <v/>
      </c>
      <c r="N232" s="114" t="str">
        <f t="shared" si="101"/>
        <v/>
      </c>
      <c r="O232" s="60">
        <v>0</v>
      </c>
      <c r="P232" s="116">
        <f t="shared" si="102"/>
        <v>0</v>
      </c>
      <c r="R232" s="117" t="str">
        <f t="shared" si="112"/>
        <v/>
      </c>
      <c r="S232" s="118" t="str">
        <f t="shared" si="92"/>
        <v/>
      </c>
      <c r="T232" s="118" t="str">
        <f t="shared" si="93"/>
        <v/>
      </c>
      <c r="U232" s="119">
        <f t="shared" si="103"/>
        <v>0</v>
      </c>
      <c r="V232" s="120" t="str">
        <f>IF(A232="","",IF(A232&lt;=Periodos_Gracia,0,PPMT(Tasa_Anual/360*Días*(1+I.V.A.),Tabla!AM232,No._De_Pagos_con_periodo_de_gracia,-Monto_Crédito)))</f>
        <v/>
      </c>
      <c r="W232" s="110" t="str">
        <f>IF($U$258&lt;=0,V232,IF(SUM($U$18:U232)&lt;=0,V232,PMT($K$5/360*Días,A232,-R232)))</f>
        <v/>
      </c>
      <c r="X232" s="121" t="str">
        <f>IF($U$258&lt;=0,W232,IF(SUM($U$18:U232)&lt;=0,V232,PMT($K$5/360*Días,No._De_Pagos_con_periodo_de_gracia,-Monto_Crédito)-S232-T232))</f>
        <v/>
      </c>
      <c r="Y232" s="117" t="str">
        <f t="shared" si="104"/>
        <v/>
      </c>
      <c r="Z232" s="61" t="str">
        <f>+IF(A232="","",IF(No._de_Pagos-Tabla!A232+1&lt;=0,"",No._de_Pagos-Tabla!A232+1))</f>
        <v/>
      </c>
      <c r="AA232" s="122" t="str">
        <f t="shared" si="105"/>
        <v/>
      </c>
      <c r="AB232" s="124" t="str">
        <f t="shared" si="111"/>
        <v/>
      </c>
      <c r="AC232" s="124" t="str">
        <f t="shared" si="94"/>
        <v/>
      </c>
      <c r="AD232" s="124" t="str">
        <f t="shared" si="95"/>
        <v/>
      </c>
      <c r="AE232" s="119">
        <f t="shared" si="106"/>
        <v>0</v>
      </c>
      <c r="AF232" s="120" t="str">
        <f t="shared" si="96"/>
        <v/>
      </c>
      <c r="AG232" s="110" t="str">
        <f>IF($U$258&lt;=0,AF232,IF(SUM($U$18:U232)&lt;=0,AF232,PMT($K$5/360*Días,A232,-AA232)))</f>
        <v/>
      </c>
      <c r="AH232" s="121" t="str">
        <f>IF(A232&lt;=Periodos_Gracia,0,IF($U$258&lt;=0,AG232,IF(SUM($U$18:U232)&lt;=0,AF232,PMT($K$5/360*Días,No._de_Pagos,-Monto_Crédito)-AC232-AD232)))</f>
        <v/>
      </c>
      <c r="AI232" s="125" t="str">
        <f t="shared" si="107"/>
        <v/>
      </c>
      <c r="AK232" s="126" t="str">
        <f>IF(A232="","",IF(Periodos_Gracia&gt;0,Tabla!AN232,V232+S232))</f>
        <v/>
      </c>
      <c r="AL232" s="126" t="str">
        <f t="shared" si="97"/>
        <v/>
      </c>
      <c r="AM232" s="61" t="str">
        <f t="shared" si="108"/>
        <v/>
      </c>
      <c r="AN232" s="127" t="str">
        <f>IF(A232="","",IF(A232&lt;=Periodos_Gracia,Tabla!S232,PPMT(Tasa_Anual/360*Días*(1+I.V.A.),Tabla!AM232,No._De_Pagos_con_periodo_de_gracia,-Monto_Crédito)+S232))</f>
        <v/>
      </c>
      <c r="AO232" s="127" t="str">
        <f>IF(A232="","",IF(A232&lt;=Periodos_Gracia,Tabla!AC232,Monto_Crédito/(No._De_Pagos_con_periodo_de_gracia)+AC232))</f>
        <v/>
      </c>
      <c r="AP232" s="117"/>
    </row>
    <row r="233" spans="1:42" x14ac:dyDescent="0.2">
      <c r="A233" s="107" t="str">
        <f>IF(A232&lt;Parámetros!$E$6,A232+1,"")</f>
        <v/>
      </c>
      <c r="B233" s="108" t="str">
        <f t="shared" si="109"/>
        <v/>
      </c>
      <c r="C233" s="108" t="str">
        <f t="shared" si="85"/>
        <v/>
      </c>
      <c r="D233" s="108" t="str">
        <f t="shared" si="86"/>
        <v/>
      </c>
      <c r="E233" s="108" t="str">
        <f t="shared" si="87"/>
        <v/>
      </c>
      <c r="F233" s="108" t="str">
        <f t="shared" si="88"/>
        <v/>
      </c>
      <c r="G233" s="114" t="str">
        <f t="shared" si="98"/>
        <v/>
      </c>
      <c r="H233" s="115">
        <f t="shared" si="99"/>
        <v>0</v>
      </c>
      <c r="I233" s="108" t="str">
        <f t="shared" si="110"/>
        <v/>
      </c>
      <c r="J233" s="108" t="str">
        <f t="shared" si="89"/>
        <v/>
      </c>
      <c r="K233" s="108" t="str">
        <f t="shared" si="90"/>
        <v/>
      </c>
      <c r="L233" s="108" t="str">
        <f t="shared" si="91"/>
        <v/>
      </c>
      <c r="M233" s="108" t="str">
        <f t="shared" si="100"/>
        <v/>
      </c>
      <c r="N233" s="114" t="str">
        <f t="shared" si="101"/>
        <v/>
      </c>
      <c r="O233" s="60">
        <v>0</v>
      </c>
      <c r="P233" s="116">
        <f t="shared" si="102"/>
        <v>0</v>
      </c>
      <c r="R233" s="117" t="str">
        <f t="shared" si="112"/>
        <v/>
      </c>
      <c r="S233" s="118" t="str">
        <f t="shared" si="92"/>
        <v/>
      </c>
      <c r="T233" s="118" t="str">
        <f t="shared" si="93"/>
        <v/>
      </c>
      <c r="U233" s="119">
        <f t="shared" si="103"/>
        <v>0</v>
      </c>
      <c r="V233" s="120" t="str">
        <f>IF(A233="","",IF(A233&lt;=Periodos_Gracia,0,PPMT(Tasa_Anual/360*Días*(1+I.V.A.),Tabla!AM233,No._De_Pagos_con_periodo_de_gracia,-Monto_Crédito)))</f>
        <v/>
      </c>
      <c r="W233" s="110" t="str">
        <f>IF($U$258&lt;=0,V233,IF(SUM($U$18:U233)&lt;=0,V233,PMT($K$5/360*Días,A233,-R233)))</f>
        <v/>
      </c>
      <c r="X233" s="121" t="str">
        <f>IF($U$258&lt;=0,W233,IF(SUM($U$18:U233)&lt;=0,V233,PMT($K$5/360*Días,No._De_Pagos_con_periodo_de_gracia,-Monto_Crédito)-S233-T233))</f>
        <v/>
      </c>
      <c r="Y233" s="117" t="str">
        <f t="shared" si="104"/>
        <v/>
      </c>
      <c r="Z233" s="61" t="str">
        <f>+IF(A233="","",IF(No._de_Pagos-Tabla!A233+1&lt;=0,"",No._de_Pagos-Tabla!A233+1))</f>
        <v/>
      </c>
      <c r="AA233" s="122" t="str">
        <f t="shared" si="105"/>
        <v/>
      </c>
      <c r="AB233" s="124" t="str">
        <f t="shared" si="111"/>
        <v/>
      </c>
      <c r="AC233" s="124" t="str">
        <f t="shared" si="94"/>
        <v/>
      </c>
      <c r="AD233" s="124" t="str">
        <f t="shared" si="95"/>
        <v/>
      </c>
      <c r="AE233" s="119">
        <f t="shared" si="106"/>
        <v>0</v>
      </c>
      <c r="AF233" s="120" t="str">
        <f t="shared" si="96"/>
        <v/>
      </c>
      <c r="AG233" s="110" t="str">
        <f>IF($U$258&lt;=0,AF233,IF(SUM($U$18:U233)&lt;=0,AF233,PMT($K$5/360*Días,A233,-AA233)))</f>
        <v/>
      </c>
      <c r="AH233" s="121" t="str">
        <f>IF(A233&lt;=Periodos_Gracia,0,IF($U$258&lt;=0,AG233,IF(SUM($U$18:U233)&lt;=0,AF233,PMT($K$5/360*Días,No._de_Pagos,-Monto_Crédito)-AC233-AD233)))</f>
        <v/>
      </c>
      <c r="AI233" s="125" t="str">
        <f t="shared" si="107"/>
        <v/>
      </c>
      <c r="AK233" s="126" t="str">
        <f>IF(A233="","",IF(Periodos_Gracia&gt;0,Tabla!AN233,V233+S233))</f>
        <v/>
      </c>
      <c r="AL233" s="126" t="str">
        <f t="shared" si="97"/>
        <v/>
      </c>
      <c r="AM233" s="61" t="str">
        <f t="shared" si="108"/>
        <v/>
      </c>
      <c r="AN233" s="127" t="str">
        <f>IF(A233="","",IF(A233&lt;=Periodos_Gracia,Tabla!S233,PPMT(Tasa_Anual/360*Días*(1+I.V.A.),Tabla!AM233,No._De_Pagos_con_periodo_de_gracia,-Monto_Crédito)+S233))</f>
        <v/>
      </c>
      <c r="AO233" s="127" t="str">
        <f>IF(A233="","",IF(A233&lt;=Periodos_Gracia,Tabla!AC233,Monto_Crédito/(No._De_Pagos_con_periodo_de_gracia)+AC233))</f>
        <v/>
      </c>
      <c r="AP233" s="117"/>
    </row>
    <row r="234" spans="1:42" x14ac:dyDescent="0.2">
      <c r="A234" s="107" t="str">
        <f>IF(A233&lt;Parámetros!$E$6,A233+1,"")</f>
        <v/>
      </c>
      <c r="B234" s="108" t="str">
        <f t="shared" si="109"/>
        <v/>
      </c>
      <c r="C234" s="108" t="str">
        <f t="shared" si="85"/>
        <v/>
      </c>
      <c r="D234" s="108" t="str">
        <f t="shared" si="86"/>
        <v/>
      </c>
      <c r="E234" s="108" t="str">
        <f t="shared" si="87"/>
        <v/>
      </c>
      <c r="F234" s="108" t="str">
        <f t="shared" si="88"/>
        <v/>
      </c>
      <c r="G234" s="114" t="str">
        <f t="shared" si="98"/>
        <v/>
      </c>
      <c r="H234" s="115">
        <f t="shared" si="99"/>
        <v>0</v>
      </c>
      <c r="I234" s="108" t="str">
        <f t="shared" si="110"/>
        <v/>
      </c>
      <c r="J234" s="108" t="str">
        <f t="shared" si="89"/>
        <v/>
      </c>
      <c r="K234" s="108" t="str">
        <f t="shared" si="90"/>
        <v/>
      </c>
      <c r="L234" s="108" t="str">
        <f t="shared" si="91"/>
        <v/>
      </c>
      <c r="M234" s="108" t="str">
        <f t="shared" si="100"/>
        <v/>
      </c>
      <c r="N234" s="114" t="str">
        <f t="shared" si="101"/>
        <v/>
      </c>
      <c r="O234" s="60">
        <v>0</v>
      </c>
      <c r="P234" s="116">
        <f t="shared" si="102"/>
        <v>0</v>
      </c>
      <c r="R234" s="117" t="str">
        <f t="shared" si="112"/>
        <v/>
      </c>
      <c r="S234" s="118" t="str">
        <f t="shared" si="92"/>
        <v/>
      </c>
      <c r="T234" s="118" t="str">
        <f t="shared" si="93"/>
        <v/>
      </c>
      <c r="U234" s="119">
        <f t="shared" si="103"/>
        <v>0</v>
      </c>
      <c r="V234" s="120" t="str">
        <f>IF(A234="","",IF(A234&lt;=Periodos_Gracia,0,PPMT(Tasa_Anual/360*Días*(1+I.V.A.),Tabla!AM234,No._De_Pagos_con_periodo_de_gracia,-Monto_Crédito)))</f>
        <v/>
      </c>
      <c r="W234" s="110" t="str">
        <f>IF($U$258&lt;=0,V234,IF(SUM($U$18:U234)&lt;=0,V234,PMT($K$5/360*Días,A234,-R234)))</f>
        <v/>
      </c>
      <c r="X234" s="121" t="str">
        <f>IF($U$258&lt;=0,W234,IF(SUM($U$18:U234)&lt;=0,V234,PMT($K$5/360*Días,No._De_Pagos_con_periodo_de_gracia,-Monto_Crédito)-S234-T234))</f>
        <v/>
      </c>
      <c r="Y234" s="117" t="str">
        <f t="shared" si="104"/>
        <v/>
      </c>
      <c r="Z234" s="61" t="str">
        <f>+IF(A234="","",IF(No._de_Pagos-Tabla!A234+1&lt;=0,"",No._de_Pagos-Tabla!A234+1))</f>
        <v/>
      </c>
      <c r="AA234" s="122" t="str">
        <f t="shared" si="105"/>
        <v/>
      </c>
      <c r="AB234" s="124" t="str">
        <f t="shared" si="111"/>
        <v/>
      </c>
      <c r="AC234" s="124" t="str">
        <f t="shared" si="94"/>
        <v/>
      </c>
      <c r="AD234" s="124" t="str">
        <f t="shared" si="95"/>
        <v/>
      </c>
      <c r="AE234" s="119">
        <f t="shared" si="106"/>
        <v>0</v>
      </c>
      <c r="AF234" s="120" t="str">
        <f t="shared" si="96"/>
        <v/>
      </c>
      <c r="AG234" s="110" t="str">
        <f>IF($U$258&lt;=0,AF234,IF(SUM($U$18:U234)&lt;=0,AF234,PMT($K$5/360*Días,A234,-AA234)))</f>
        <v/>
      </c>
      <c r="AH234" s="121" t="str">
        <f>IF(A234&lt;=Periodos_Gracia,0,IF($U$258&lt;=0,AG234,IF(SUM($U$18:U234)&lt;=0,AF234,PMT($K$5/360*Días,No._de_Pagos,-Monto_Crédito)-AC234-AD234)))</f>
        <v/>
      </c>
      <c r="AI234" s="125" t="str">
        <f t="shared" si="107"/>
        <v/>
      </c>
      <c r="AK234" s="126" t="str">
        <f>IF(A234="","",IF(Periodos_Gracia&gt;0,Tabla!AN234,V234+S234))</f>
        <v/>
      </c>
      <c r="AL234" s="126" t="str">
        <f t="shared" si="97"/>
        <v/>
      </c>
      <c r="AM234" s="61" t="str">
        <f t="shared" si="108"/>
        <v/>
      </c>
      <c r="AN234" s="127" t="str">
        <f>IF(A234="","",IF(A234&lt;=Periodos_Gracia,Tabla!S234,PPMT(Tasa_Anual/360*Días*(1+I.V.A.),Tabla!AM234,No._De_Pagos_con_periodo_de_gracia,-Monto_Crédito)+S234))</f>
        <v/>
      </c>
      <c r="AO234" s="127" t="str">
        <f>IF(A234="","",IF(A234&lt;=Periodos_Gracia,Tabla!AC234,Monto_Crédito/(No._De_Pagos_con_periodo_de_gracia)+AC234))</f>
        <v/>
      </c>
      <c r="AP234" s="117"/>
    </row>
    <row r="235" spans="1:42" x14ac:dyDescent="0.2">
      <c r="A235" s="107" t="str">
        <f>IF(A234&lt;Parámetros!$E$6,A234+1,"")</f>
        <v/>
      </c>
      <c r="B235" s="108" t="str">
        <f t="shared" si="109"/>
        <v/>
      </c>
      <c r="C235" s="108" t="str">
        <f t="shared" si="85"/>
        <v/>
      </c>
      <c r="D235" s="108" t="str">
        <f t="shared" si="86"/>
        <v/>
      </c>
      <c r="E235" s="108" t="str">
        <f t="shared" si="87"/>
        <v/>
      </c>
      <c r="F235" s="108" t="str">
        <f t="shared" si="88"/>
        <v/>
      </c>
      <c r="G235" s="114" t="str">
        <f t="shared" si="98"/>
        <v/>
      </c>
      <c r="H235" s="115">
        <f t="shared" si="99"/>
        <v>0</v>
      </c>
      <c r="I235" s="108" t="str">
        <f t="shared" si="110"/>
        <v/>
      </c>
      <c r="J235" s="108" t="str">
        <f t="shared" si="89"/>
        <v/>
      </c>
      <c r="K235" s="108" t="str">
        <f t="shared" si="90"/>
        <v/>
      </c>
      <c r="L235" s="108" t="str">
        <f t="shared" si="91"/>
        <v/>
      </c>
      <c r="M235" s="108" t="str">
        <f t="shared" si="100"/>
        <v/>
      </c>
      <c r="N235" s="114" t="str">
        <f t="shared" si="101"/>
        <v/>
      </c>
      <c r="O235" s="60">
        <v>0</v>
      </c>
      <c r="P235" s="116">
        <f t="shared" si="102"/>
        <v>0</v>
      </c>
      <c r="R235" s="117" t="str">
        <f t="shared" si="112"/>
        <v/>
      </c>
      <c r="S235" s="118" t="str">
        <f t="shared" si="92"/>
        <v/>
      </c>
      <c r="T235" s="118" t="str">
        <f t="shared" si="93"/>
        <v/>
      </c>
      <c r="U235" s="119">
        <f t="shared" si="103"/>
        <v>0</v>
      </c>
      <c r="V235" s="120" t="str">
        <f>IF(A235="","",IF(A235&lt;=Periodos_Gracia,0,PPMT(Tasa_Anual/360*Días*(1+I.V.A.),Tabla!AM235,No._De_Pagos_con_periodo_de_gracia,-Monto_Crédito)))</f>
        <v/>
      </c>
      <c r="W235" s="110" t="str">
        <f>IF($U$258&lt;=0,V235,IF(SUM($U$18:U235)&lt;=0,V235,PMT($K$5/360*Días,A235,-R235)))</f>
        <v/>
      </c>
      <c r="X235" s="121" t="str">
        <f>IF($U$258&lt;=0,W235,IF(SUM($U$18:U235)&lt;=0,V235,PMT($K$5/360*Días,No._De_Pagos_con_periodo_de_gracia,-Monto_Crédito)-S235-T235))</f>
        <v/>
      </c>
      <c r="Y235" s="117" t="str">
        <f t="shared" si="104"/>
        <v/>
      </c>
      <c r="Z235" s="61" t="str">
        <f>+IF(A235="","",IF(No._de_Pagos-Tabla!A235+1&lt;=0,"",No._de_Pagos-Tabla!A235+1))</f>
        <v/>
      </c>
      <c r="AA235" s="122" t="str">
        <f t="shared" si="105"/>
        <v/>
      </c>
      <c r="AB235" s="124" t="str">
        <f t="shared" si="111"/>
        <v/>
      </c>
      <c r="AC235" s="124" t="str">
        <f t="shared" si="94"/>
        <v/>
      </c>
      <c r="AD235" s="124" t="str">
        <f t="shared" si="95"/>
        <v/>
      </c>
      <c r="AE235" s="119">
        <f t="shared" si="106"/>
        <v>0</v>
      </c>
      <c r="AF235" s="120" t="str">
        <f t="shared" si="96"/>
        <v/>
      </c>
      <c r="AG235" s="110" t="str">
        <f>IF($U$258&lt;=0,AF235,IF(SUM($U$18:U235)&lt;=0,AF235,PMT($K$5/360*Días,A235,-AA235)))</f>
        <v/>
      </c>
      <c r="AH235" s="121" t="str">
        <f>IF(A235&lt;=Periodos_Gracia,0,IF($U$258&lt;=0,AG235,IF(SUM($U$18:U235)&lt;=0,AF235,PMT($K$5/360*Días,No._de_Pagos,-Monto_Crédito)-AC235-AD235)))</f>
        <v/>
      </c>
      <c r="AI235" s="125" t="str">
        <f t="shared" si="107"/>
        <v/>
      </c>
      <c r="AK235" s="126" t="str">
        <f>IF(A235="","",IF(Periodos_Gracia&gt;0,Tabla!AN235,V235+S235))</f>
        <v/>
      </c>
      <c r="AL235" s="126" t="str">
        <f t="shared" si="97"/>
        <v/>
      </c>
      <c r="AM235" s="61" t="str">
        <f t="shared" si="108"/>
        <v/>
      </c>
      <c r="AN235" s="127" t="str">
        <f>IF(A235="","",IF(A235&lt;=Periodos_Gracia,Tabla!S235,PPMT(Tasa_Anual/360*Días*(1+I.V.A.),Tabla!AM235,No._De_Pagos_con_periodo_de_gracia,-Monto_Crédito)+S235))</f>
        <v/>
      </c>
      <c r="AO235" s="127" t="str">
        <f>IF(A235="","",IF(A235&lt;=Periodos_Gracia,Tabla!AC235,Monto_Crédito/(No._De_Pagos_con_periodo_de_gracia)+AC235))</f>
        <v/>
      </c>
      <c r="AP235" s="117"/>
    </row>
    <row r="236" spans="1:42" x14ac:dyDescent="0.2">
      <c r="A236" s="107" t="str">
        <f>IF(A235&lt;Parámetros!$E$6,A235+1,"")</f>
        <v/>
      </c>
      <c r="B236" s="108" t="str">
        <f t="shared" si="109"/>
        <v/>
      </c>
      <c r="C236" s="108" t="str">
        <f t="shared" si="85"/>
        <v/>
      </c>
      <c r="D236" s="108" t="str">
        <f t="shared" si="86"/>
        <v/>
      </c>
      <c r="E236" s="108" t="str">
        <f t="shared" si="87"/>
        <v/>
      </c>
      <c r="F236" s="108" t="str">
        <f t="shared" si="88"/>
        <v/>
      </c>
      <c r="G236" s="114" t="str">
        <f t="shared" si="98"/>
        <v/>
      </c>
      <c r="H236" s="115">
        <f t="shared" si="99"/>
        <v>0</v>
      </c>
      <c r="I236" s="108" t="str">
        <f t="shared" si="110"/>
        <v/>
      </c>
      <c r="J236" s="108" t="str">
        <f t="shared" si="89"/>
        <v/>
      </c>
      <c r="K236" s="108" t="str">
        <f t="shared" si="90"/>
        <v/>
      </c>
      <c r="L236" s="108" t="str">
        <f t="shared" si="91"/>
        <v/>
      </c>
      <c r="M236" s="108" t="str">
        <f t="shared" si="100"/>
        <v/>
      </c>
      <c r="N236" s="114" t="str">
        <f t="shared" si="101"/>
        <v/>
      </c>
      <c r="O236" s="60">
        <v>0</v>
      </c>
      <c r="P236" s="116">
        <f t="shared" si="102"/>
        <v>0</v>
      </c>
      <c r="R236" s="117" t="str">
        <f t="shared" si="112"/>
        <v/>
      </c>
      <c r="S236" s="118" t="str">
        <f t="shared" si="92"/>
        <v/>
      </c>
      <c r="T236" s="118" t="str">
        <f t="shared" si="93"/>
        <v/>
      </c>
      <c r="U236" s="119">
        <f t="shared" si="103"/>
        <v>0</v>
      </c>
      <c r="V236" s="120" t="str">
        <f>IF(A236="","",IF(A236&lt;=Periodos_Gracia,0,PPMT(Tasa_Anual/360*Días*(1+I.V.A.),Tabla!AM236,No._De_Pagos_con_periodo_de_gracia,-Monto_Crédito)))</f>
        <v/>
      </c>
      <c r="W236" s="110" t="str">
        <f>IF($U$258&lt;=0,V236,IF(SUM($U$18:U236)&lt;=0,V236,PMT($K$5/360*Días,A236,-R236)))</f>
        <v/>
      </c>
      <c r="X236" s="121" t="str">
        <f>IF($U$258&lt;=0,W236,IF(SUM($U$18:U236)&lt;=0,V236,PMT($K$5/360*Días,No._De_Pagos_con_periodo_de_gracia,-Monto_Crédito)-S236-T236))</f>
        <v/>
      </c>
      <c r="Y236" s="117" t="str">
        <f t="shared" si="104"/>
        <v/>
      </c>
      <c r="Z236" s="61" t="str">
        <f>+IF(A236="","",IF(No._de_Pagos-Tabla!A236+1&lt;=0,"",No._de_Pagos-Tabla!A236+1))</f>
        <v/>
      </c>
      <c r="AA236" s="122" t="str">
        <f t="shared" si="105"/>
        <v/>
      </c>
      <c r="AB236" s="124" t="str">
        <f t="shared" si="111"/>
        <v/>
      </c>
      <c r="AC236" s="124" t="str">
        <f t="shared" si="94"/>
        <v/>
      </c>
      <c r="AD236" s="124" t="str">
        <f t="shared" si="95"/>
        <v/>
      </c>
      <c r="AE236" s="119">
        <f t="shared" si="106"/>
        <v>0</v>
      </c>
      <c r="AF236" s="120" t="str">
        <f t="shared" si="96"/>
        <v/>
      </c>
      <c r="AG236" s="110" t="str">
        <f>IF($U$258&lt;=0,AF236,IF(SUM($U$18:U236)&lt;=0,AF236,PMT($K$5/360*Días,A236,-AA236)))</f>
        <v/>
      </c>
      <c r="AH236" s="121" t="str">
        <f>IF(A236&lt;=Periodos_Gracia,0,IF($U$258&lt;=0,AG236,IF(SUM($U$18:U236)&lt;=0,AF236,PMT($K$5/360*Días,No._de_Pagos,-Monto_Crédito)-AC236-AD236)))</f>
        <v/>
      </c>
      <c r="AI236" s="125" t="str">
        <f t="shared" si="107"/>
        <v/>
      </c>
      <c r="AK236" s="126" t="str">
        <f>IF(A236="","",IF(Periodos_Gracia&gt;0,Tabla!AN236,V236+S236))</f>
        <v/>
      </c>
      <c r="AL236" s="126" t="str">
        <f t="shared" si="97"/>
        <v/>
      </c>
      <c r="AM236" s="61" t="str">
        <f t="shared" si="108"/>
        <v/>
      </c>
      <c r="AN236" s="127" t="str">
        <f>IF(A236="","",IF(A236&lt;=Periodos_Gracia,Tabla!S236,PPMT(Tasa_Anual/360*Días*(1+I.V.A.),Tabla!AM236,No._De_Pagos_con_periodo_de_gracia,-Monto_Crédito)+S236))</f>
        <v/>
      </c>
      <c r="AO236" s="127" t="str">
        <f>IF(A236="","",IF(A236&lt;=Periodos_Gracia,Tabla!AC236,Monto_Crédito/(No._De_Pagos_con_periodo_de_gracia)+AC236))</f>
        <v/>
      </c>
      <c r="AP236" s="117"/>
    </row>
    <row r="237" spans="1:42" x14ac:dyDescent="0.2">
      <c r="A237" s="107" t="str">
        <f>IF(A236&lt;Parámetros!$E$6,A236+1,"")</f>
        <v/>
      </c>
      <c r="B237" s="108" t="str">
        <f t="shared" si="109"/>
        <v/>
      </c>
      <c r="C237" s="108" t="str">
        <f t="shared" si="85"/>
        <v/>
      </c>
      <c r="D237" s="108" t="str">
        <f t="shared" si="86"/>
        <v/>
      </c>
      <c r="E237" s="108" t="str">
        <f t="shared" si="87"/>
        <v/>
      </c>
      <c r="F237" s="108" t="str">
        <f t="shared" si="88"/>
        <v/>
      </c>
      <c r="G237" s="114" t="str">
        <f t="shared" si="98"/>
        <v/>
      </c>
      <c r="H237" s="115">
        <f t="shared" si="99"/>
        <v>0</v>
      </c>
      <c r="I237" s="108" t="str">
        <f t="shared" si="110"/>
        <v/>
      </c>
      <c r="J237" s="108" t="str">
        <f t="shared" si="89"/>
        <v/>
      </c>
      <c r="K237" s="108" t="str">
        <f t="shared" si="90"/>
        <v/>
      </c>
      <c r="L237" s="108" t="str">
        <f t="shared" si="91"/>
        <v/>
      </c>
      <c r="M237" s="108" t="str">
        <f t="shared" si="100"/>
        <v/>
      </c>
      <c r="N237" s="114" t="str">
        <f t="shared" si="101"/>
        <v/>
      </c>
      <c r="O237" s="60">
        <v>0</v>
      </c>
      <c r="P237" s="116">
        <f t="shared" si="102"/>
        <v>0</v>
      </c>
      <c r="R237" s="117" t="str">
        <f t="shared" si="112"/>
        <v/>
      </c>
      <c r="S237" s="118" t="str">
        <f t="shared" si="92"/>
        <v/>
      </c>
      <c r="T237" s="118" t="str">
        <f t="shared" si="93"/>
        <v/>
      </c>
      <c r="U237" s="119">
        <f t="shared" si="103"/>
        <v>0</v>
      </c>
      <c r="V237" s="120" t="str">
        <f>IF(A237="","",IF(A237&lt;=Periodos_Gracia,0,PPMT(Tasa_Anual/360*Días*(1+I.V.A.),Tabla!AM237,No._De_Pagos_con_periodo_de_gracia,-Monto_Crédito)))</f>
        <v/>
      </c>
      <c r="W237" s="110" t="str">
        <f>IF($U$258&lt;=0,V237,IF(SUM($U$18:U237)&lt;=0,V237,PMT($K$5/360*Días,A237,-R237)))</f>
        <v/>
      </c>
      <c r="X237" s="121" t="str">
        <f>IF($U$258&lt;=0,W237,IF(SUM($U$18:U237)&lt;=0,V237,PMT($K$5/360*Días,No._De_Pagos_con_periodo_de_gracia,-Monto_Crédito)-S237-T237))</f>
        <v/>
      </c>
      <c r="Y237" s="117" t="str">
        <f t="shared" si="104"/>
        <v/>
      </c>
      <c r="Z237" s="61" t="str">
        <f>+IF(A237="","",IF(No._de_Pagos-Tabla!A237+1&lt;=0,"",No._de_Pagos-Tabla!A237+1))</f>
        <v/>
      </c>
      <c r="AA237" s="122" t="str">
        <f t="shared" si="105"/>
        <v/>
      </c>
      <c r="AB237" s="124" t="str">
        <f t="shared" si="111"/>
        <v/>
      </c>
      <c r="AC237" s="124" t="str">
        <f t="shared" si="94"/>
        <v/>
      </c>
      <c r="AD237" s="124" t="str">
        <f t="shared" si="95"/>
        <v/>
      </c>
      <c r="AE237" s="119">
        <f t="shared" si="106"/>
        <v>0</v>
      </c>
      <c r="AF237" s="120" t="str">
        <f t="shared" si="96"/>
        <v/>
      </c>
      <c r="AG237" s="110" t="str">
        <f>IF($U$258&lt;=0,AF237,IF(SUM($U$18:U237)&lt;=0,AF237,PMT($K$5/360*Días,A237,-AA237)))</f>
        <v/>
      </c>
      <c r="AH237" s="121" t="str">
        <f>IF(A237&lt;=Periodos_Gracia,0,IF($U$258&lt;=0,AG237,IF(SUM($U$18:U237)&lt;=0,AF237,PMT($K$5/360*Días,No._de_Pagos,-Monto_Crédito)-AC237-AD237)))</f>
        <v/>
      </c>
      <c r="AI237" s="125" t="str">
        <f t="shared" si="107"/>
        <v/>
      </c>
      <c r="AK237" s="126" t="str">
        <f>IF(A237="","",IF(Periodos_Gracia&gt;0,Tabla!AN237,V237+S237))</f>
        <v/>
      </c>
      <c r="AL237" s="126" t="str">
        <f t="shared" si="97"/>
        <v/>
      </c>
      <c r="AM237" s="61" t="str">
        <f t="shared" si="108"/>
        <v/>
      </c>
      <c r="AN237" s="127" t="str">
        <f>IF(A237="","",IF(A237&lt;=Periodos_Gracia,Tabla!S237,PPMT(Tasa_Anual/360*Días*(1+I.V.A.),Tabla!AM237,No._De_Pagos_con_periodo_de_gracia,-Monto_Crédito)+S237))</f>
        <v/>
      </c>
      <c r="AO237" s="127" t="str">
        <f>IF(A237="","",IF(A237&lt;=Periodos_Gracia,Tabla!AC237,Monto_Crédito/(No._De_Pagos_con_periodo_de_gracia)+AC237))</f>
        <v/>
      </c>
      <c r="AP237" s="117"/>
    </row>
    <row r="238" spans="1:42" x14ac:dyDescent="0.2">
      <c r="A238" s="107" t="str">
        <f>IF(A237&lt;Parámetros!$E$6,A237+1,"")</f>
        <v/>
      </c>
      <c r="B238" s="108" t="str">
        <f t="shared" si="109"/>
        <v/>
      </c>
      <c r="C238" s="108" t="str">
        <f t="shared" si="85"/>
        <v/>
      </c>
      <c r="D238" s="108" t="str">
        <f t="shared" si="86"/>
        <v/>
      </c>
      <c r="E238" s="108" t="str">
        <f t="shared" si="87"/>
        <v/>
      </c>
      <c r="F238" s="108" t="str">
        <f t="shared" si="88"/>
        <v/>
      </c>
      <c r="G238" s="114" t="str">
        <f t="shared" si="98"/>
        <v/>
      </c>
      <c r="H238" s="115">
        <f t="shared" si="99"/>
        <v>0</v>
      </c>
      <c r="I238" s="108" t="str">
        <f t="shared" si="110"/>
        <v/>
      </c>
      <c r="J238" s="108" t="str">
        <f t="shared" si="89"/>
        <v/>
      </c>
      <c r="K238" s="108" t="str">
        <f t="shared" si="90"/>
        <v/>
      </c>
      <c r="L238" s="108" t="str">
        <f t="shared" si="91"/>
        <v/>
      </c>
      <c r="M238" s="108" t="str">
        <f t="shared" si="100"/>
        <v/>
      </c>
      <c r="N238" s="114" t="str">
        <f t="shared" si="101"/>
        <v/>
      </c>
      <c r="O238" s="60">
        <v>0</v>
      </c>
      <c r="P238" s="116">
        <f t="shared" si="102"/>
        <v>0</v>
      </c>
      <c r="R238" s="117" t="str">
        <f t="shared" si="112"/>
        <v/>
      </c>
      <c r="S238" s="118" t="str">
        <f t="shared" si="92"/>
        <v/>
      </c>
      <c r="T238" s="118" t="str">
        <f t="shared" si="93"/>
        <v/>
      </c>
      <c r="U238" s="119">
        <f t="shared" si="103"/>
        <v>0</v>
      </c>
      <c r="V238" s="120" t="str">
        <f>IF(A238="","",IF(A238&lt;=Periodos_Gracia,0,PPMT(Tasa_Anual/360*Días*(1+I.V.A.),Tabla!AM238,No._De_Pagos_con_periodo_de_gracia,-Monto_Crédito)))</f>
        <v/>
      </c>
      <c r="W238" s="110" t="str">
        <f>IF($U$258&lt;=0,V238,IF(SUM($U$18:U238)&lt;=0,V238,PMT($K$5/360*Días,A238,-R238)))</f>
        <v/>
      </c>
      <c r="X238" s="121" t="str">
        <f>IF($U$258&lt;=0,W238,IF(SUM($U$18:U238)&lt;=0,V238,PMT($K$5/360*Días,No._De_Pagos_con_periodo_de_gracia,-Monto_Crédito)-S238-T238))</f>
        <v/>
      </c>
      <c r="Y238" s="117" t="str">
        <f t="shared" si="104"/>
        <v/>
      </c>
      <c r="Z238" s="61" t="str">
        <f>+IF(A238="","",IF(No._de_Pagos-Tabla!A238+1&lt;=0,"",No._de_Pagos-Tabla!A238+1))</f>
        <v/>
      </c>
      <c r="AA238" s="122" t="str">
        <f t="shared" si="105"/>
        <v/>
      </c>
      <c r="AB238" s="124" t="str">
        <f t="shared" si="111"/>
        <v/>
      </c>
      <c r="AC238" s="124" t="str">
        <f t="shared" si="94"/>
        <v/>
      </c>
      <c r="AD238" s="124" t="str">
        <f t="shared" si="95"/>
        <v/>
      </c>
      <c r="AE238" s="119">
        <f t="shared" si="106"/>
        <v>0</v>
      </c>
      <c r="AF238" s="120" t="str">
        <f t="shared" si="96"/>
        <v/>
      </c>
      <c r="AG238" s="110" t="str">
        <f>IF($U$258&lt;=0,AF238,IF(SUM($U$18:U238)&lt;=0,AF238,PMT($K$5/360*Días,A238,-AA238)))</f>
        <v/>
      </c>
      <c r="AH238" s="121" t="str">
        <f>IF(A238&lt;=Periodos_Gracia,0,IF($U$258&lt;=0,AG238,IF(SUM($U$18:U238)&lt;=0,AF238,PMT($K$5/360*Días,No._de_Pagos,-Monto_Crédito)-AC238-AD238)))</f>
        <v/>
      </c>
      <c r="AI238" s="125" t="str">
        <f t="shared" si="107"/>
        <v/>
      </c>
      <c r="AK238" s="126" t="str">
        <f>IF(A238="","",IF(Periodos_Gracia&gt;0,Tabla!AN238,V238+S238))</f>
        <v/>
      </c>
      <c r="AL238" s="126" t="str">
        <f t="shared" si="97"/>
        <v/>
      </c>
      <c r="AM238" s="61" t="str">
        <f t="shared" si="108"/>
        <v/>
      </c>
      <c r="AN238" s="127" t="str">
        <f>IF(A238="","",IF(A238&lt;=Periodos_Gracia,Tabla!S238,PPMT(Tasa_Anual/360*Días*(1+I.V.A.),Tabla!AM238,No._De_Pagos_con_periodo_de_gracia,-Monto_Crédito)+S238))</f>
        <v/>
      </c>
      <c r="AO238" s="127" t="str">
        <f>IF(A238="","",IF(A238&lt;=Periodos_Gracia,Tabla!AC238,Monto_Crédito/(No._De_Pagos_con_periodo_de_gracia)+AC238))</f>
        <v/>
      </c>
      <c r="AP238" s="117"/>
    </row>
    <row r="239" spans="1:42" x14ac:dyDescent="0.2">
      <c r="A239" s="107" t="str">
        <f>IF(A238&lt;Parámetros!$E$6,A238+1,"")</f>
        <v/>
      </c>
      <c r="B239" s="108" t="str">
        <f t="shared" si="109"/>
        <v/>
      </c>
      <c r="C239" s="108" t="str">
        <f t="shared" si="85"/>
        <v/>
      </c>
      <c r="D239" s="108" t="str">
        <f t="shared" si="86"/>
        <v/>
      </c>
      <c r="E239" s="108" t="str">
        <f t="shared" si="87"/>
        <v/>
      </c>
      <c r="F239" s="108" t="str">
        <f t="shared" si="88"/>
        <v/>
      </c>
      <c r="G239" s="114" t="str">
        <f t="shared" si="98"/>
        <v/>
      </c>
      <c r="H239" s="115">
        <f t="shared" si="99"/>
        <v>0</v>
      </c>
      <c r="I239" s="108" t="str">
        <f t="shared" si="110"/>
        <v/>
      </c>
      <c r="J239" s="108" t="str">
        <f t="shared" si="89"/>
        <v/>
      </c>
      <c r="K239" s="108" t="str">
        <f t="shared" si="90"/>
        <v/>
      </c>
      <c r="L239" s="108" t="str">
        <f t="shared" si="91"/>
        <v/>
      </c>
      <c r="M239" s="108" t="str">
        <f t="shared" si="100"/>
        <v/>
      </c>
      <c r="N239" s="114" t="str">
        <f t="shared" si="101"/>
        <v/>
      </c>
      <c r="O239" s="60">
        <v>0</v>
      </c>
      <c r="P239" s="116">
        <f t="shared" si="102"/>
        <v>0</v>
      </c>
      <c r="R239" s="117" t="str">
        <f t="shared" si="112"/>
        <v/>
      </c>
      <c r="S239" s="118" t="str">
        <f t="shared" si="92"/>
        <v/>
      </c>
      <c r="T239" s="118" t="str">
        <f t="shared" si="93"/>
        <v/>
      </c>
      <c r="U239" s="119">
        <f t="shared" si="103"/>
        <v>0</v>
      </c>
      <c r="V239" s="120" t="str">
        <f>IF(A239="","",IF(A239&lt;=Periodos_Gracia,0,PPMT(Tasa_Anual/360*Días*(1+I.V.A.),Tabla!AM239,No._De_Pagos_con_periodo_de_gracia,-Monto_Crédito)))</f>
        <v/>
      </c>
      <c r="W239" s="110" t="str">
        <f>IF($U$258&lt;=0,V239,IF(SUM($U$18:U239)&lt;=0,V239,PMT($K$5/360*Días,A239,-R239)))</f>
        <v/>
      </c>
      <c r="X239" s="121" t="str">
        <f>IF($U$258&lt;=0,W239,IF(SUM($U$18:U239)&lt;=0,V239,PMT($K$5/360*Días,No._De_Pagos_con_periodo_de_gracia,-Monto_Crédito)-S239-T239))</f>
        <v/>
      </c>
      <c r="Y239" s="117" t="str">
        <f t="shared" si="104"/>
        <v/>
      </c>
      <c r="Z239" s="61" t="str">
        <f>+IF(A239="","",IF(No._de_Pagos-Tabla!A239+1&lt;=0,"",No._de_Pagos-Tabla!A239+1))</f>
        <v/>
      </c>
      <c r="AA239" s="122" t="str">
        <f t="shared" si="105"/>
        <v/>
      </c>
      <c r="AB239" s="124" t="str">
        <f t="shared" si="111"/>
        <v/>
      </c>
      <c r="AC239" s="124" t="str">
        <f t="shared" si="94"/>
        <v/>
      </c>
      <c r="AD239" s="124" t="str">
        <f t="shared" si="95"/>
        <v/>
      </c>
      <c r="AE239" s="119">
        <f t="shared" si="106"/>
        <v>0</v>
      </c>
      <c r="AF239" s="120" t="str">
        <f t="shared" si="96"/>
        <v/>
      </c>
      <c r="AG239" s="110" t="str">
        <f>IF($U$258&lt;=0,AF239,IF(SUM($U$18:U239)&lt;=0,AF239,PMT($K$5/360*Días,A239,-AA239)))</f>
        <v/>
      </c>
      <c r="AH239" s="121" t="str">
        <f>IF(A239&lt;=Periodos_Gracia,0,IF($U$258&lt;=0,AG239,IF(SUM($U$18:U239)&lt;=0,AF239,PMT($K$5/360*Días,No._de_Pagos,-Monto_Crédito)-AC239-AD239)))</f>
        <v/>
      </c>
      <c r="AI239" s="125" t="str">
        <f t="shared" si="107"/>
        <v/>
      </c>
      <c r="AK239" s="126" t="str">
        <f>IF(A239="","",IF(Periodos_Gracia&gt;0,Tabla!AN239,V239+S239))</f>
        <v/>
      </c>
      <c r="AL239" s="126" t="str">
        <f t="shared" si="97"/>
        <v/>
      </c>
      <c r="AM239" s="61" t="str">
        <f t="shared" si="108"/>
        <v/>
      </c>
      <c r="AN239" s="127" t="str">
        <f>IF(A239="","",IF(A239&lt;=Periodos_Gracia,Tabla!S239,PPMT(Tasa_Anual/360*Días*(1+I.V.A.),Tabla!AM239,No._De_Pagos_con_periodo_de_gracia,-Monto_Crédito)+S239))</f>
        <v/>
      </c>
      <c r="AO239" s="127" t="str">
        <f>IF(A239="","",IF(A239&lt;=Periodos_Gracia,Tabla!AC239,Monto_Crédito/(No._De_Pagos_con_periodo_de_gracia)+AC239))</f>
        <v/>
      </c>
      <c r="AP239" s="117"/>
    </row>
    <row r="240" spans="1:42" x14ac:dyDescent="0.2">
      <c r="A240" s="107" t="str">
        <f>IF(A239&lt;Parámetros!$E$6,A239+1,"")</f>
        <v/>
      </c>
      <c r="B240" s="108" t="str">
        <f t="shared" si="109"/>
        <v/>
      </c>
      <c r="C240" s="108" t="str">
        <f t="shared" si="85"/>
        <v/>
      </c>
      <c r="D240" s="108" t="str">
        <f t="shared" si="86"/>
        <v/>
      </c>
      <c r="E240" s="108" t="str">
        <f t="shared" si="87"/>
        <v/>
      </c>
      <c r="F240" s="108" t="str">
        <f t="shared" si="88"/>
        <v/>
      </c>
      <c r="G240" s="114" t="str">
        <f t="shared" si="98"/>
        <v/>
      </c>
      <c r="H240" s="115">
        <f t="shared" si="99"/>
        <v>0</v>
      </c>
      <c r="I240" s="108" t="str">
        <f t="shared" si="110"/>
        <v/>
      </c>
      <c r="J240" s="108" t="str">
        <f t="shared" si="89"/>
        <v/>
      </c>
      <c r="K240" s="108" t="str">
        <f t="shared" si="90"/>
        <v/>
      </c>
      <c r="L240" s="108" t="str">
        <f t="shared" si="91"/>
        <v/>
      </c>
      <c r="M240" s="108" t="str">
        <f t="shared" si="100"/>
        <v/>
      </c>
      <c r="N240" s="114" t="str">
        <f t="shared" si="101"/>
        <v/>
      </c>
      <c r="O240" s="60">
        <v>0</v>
      </c>
      <c r="P240" s="116">
        <f t="shared" si="102"/>
        <v>0</v>
      </c>
      <c r="R240" s="117" t="str">
        <f t="shared" si="112"/>
        <v/>
      </c>
      <c r="S240" s="118" t="str">
        <f t="shared" si="92"/>
        <v/>
      </c>
      <c r="T240" s="118" t="str">
        <f t="shared" si="93"/>
        <v/>
      </c>
      <c r="U240" s="119">
        <f t="shared" si="103"/>
        <v>0</v>
      </c>
      <c r="V240" s="120" t="str">
        <f>IF(A240="","",IF(A240&lt;=Periodos_Gracia,0,PPMT(Tasa_Anual/360*Días*(1+I.V.A.),Tabla!AM240,No._De_Pagos_con_periodo_de_gracia,-Monto_Crédito)))</f>
        <v/>
      </c>
      <c r="W240" s="110" t="str">
        <f>IF($U$258&lt;=0,V240,IF(SUM($U$18:U240)&lt;=0,V240,PMT($K$5/360*Días,A240,-R240)))</f>
        <v/>
      </c>
      <c r="X240" s="121" t="str">
        <f>IF($U$258&lt;=0,W240,IF(SUM($U$18:U240)&lt;=0,V240,PMT($K$5/360*Días,No._De_Pagos_con_periodo_de_gracia,-Monto_Crédito)-S240-T240))</f>
        <v/>
      </c>
      <c r="Y240" s="117" t="str">
        <f t="shared" si="104"/>
        <v/>
      </c>
      <c r="Z240" s="61" t="str">
        <f>+IF(A240="","",IF(No._de_Pagos-Tabla!A240+1&lt;=0,"",No._de_Pagos-Tabla!A240+1))</f>
        <v/>
      </c>
      <c r="AA240" s="122" t="str">
        <f t="shared" si="105"/>
        <v/>
      </c>
      <c r="AB240" s="124" t="str">
        <f t="shared" si="111"/>
        <v/>
      </c>
      <c r="AC240" s="124" t="str">
        <f t="shared" si="94"/>
        <v/>
      </c>
      <c r="AD240" s="124" t="str">
        <f t="shared" si="95"/>
        <v/>
      </c>
      <c r="AE240" s="119">
        <f t="shared" si="106"/>
        <v>0</v>
      </c>
      <c r="AF240" s="120" t="str">
        <f t="shared" si="96"/>
        <v/>
      </c>
      <c r="AG240" s="110" t="str">
        <f>IF($U$258&lt;=0,AF240,IF(SUM($U$18:U240)&lt;=0,AF240,PMT($K$5/360*Días,A240,-AA240)))</f>
        <v/>
      </c>
      <c r="AH240" s="121" t="str">
        <f>IF(A240&lt;=Periodos_Gracia,0,IF($U$258&lt;=0,AG240,IF(SUM($U$18:U240)&lt;=0,AF240,PMT($K$5/360*Días,No._de_Pagos,-Monto_Crédito)-AC240-AD240)))</f>
        <v/>
      </c>
      <c r="AI240" s="125" t="str">
        <f t="shared" si="107"/>
        <v/>
      </c>
      <c r="AK240" s="126" t="str">
        <f>IF(A240="","",IF(Periodos_Gracia&gt;0,Tabla!AN240,V240+S240))</f>
        <v/>
      </c>
      <c r="AL240" s="126" t="str">
        <f t="shared" si="97"/>
        <v/>
      </c>
      <c r="AM240" s="61" t="str">
        <f t="shared" si="108"/>
        <v/>
      </c>
      <c r="AN240" s="127" t="str">
        <f>IF(A240="","",IF(A240&lt;=Periodos_Gracia,Tabla!S240,PPMT(Tasa_Anual/360*Días*(1+I.V.A.),Tabla!AM240,No._De_Pagos_con_periodo_de_gracia,-Monto_Crédito)+S240))</f>
        <v/>
      </c>
      <c r="AO240" s="127" t="str">
        <f>IF(A240="","",IF(A240&lt;=Periodos_Gracia,Tabla!AC240,Monto_Crédito/(No._De_Pagos_con_periodo_de_gracia)+AC240))</f>
        <v/>
      </c>
      <c r="AP240" s="117"/>
    </row>
    <row r="241" spans="1:42" x14ac:dyDescent="0.2">
      <c r="A241" s="107" t="str">
        <f>IF(A240&lt;Parámetros!$E$6,A240+1,"")</f>
        <v/>
      </c>
      <c r="B241" s="108" t="str">
        <f t="shared" si="109"/>
        <v/>
      </c>
      <c r="C241" s="108" t="str">
        <f t="shared" si="85"/>
        <v/>
      </c>
      <c r="D241" s="108" t="str">
        <f t="shared" si="86"/>
        <v/>
      </c>
      <c r="E241" s="108" t="str">
        <f t="shared" si="87"/>
        <v/>
      </c>
      <c r="F241" s="108" t="str">
        <f t="shared" si="88"/>
        <v/>
      </c>
      <c r="G241" s="114" t="str">
        <f t="shared" si="98"/>
        <v/>
      </c>
      <c r="H241" s="115">
        <f t="shared" si="99"/>
        <v>0</v>
      </c>
      <c r="I241" s="108" t="str">
        <f t="shared" si="110"/>
        <v/>
      </c>
      <c r="J241" s="108" t="str">
        <f t="shared" si="89"/>
        <v/>
      </c>
      <c r="K241" s="108" t="str">
        <f t="shared" si="90"/>
        <v/>
      </c>
      <c r="L241" s="108" t="str">
        <f t="shared" si="91"/>
        <v/>
      </c>
      <c r="M241" s="108" t="str">
        <f t="shared" si="100"/>
        <v/>
      </c>
      <c r="N241" s="114" t="str">
        <f t="shared" si="101"/>
        <v/>
      </c>
      <c r="O241" s="60">
        <v>0</v>
      </c>
      <c r="P241" s="116">
        <f t="shared" si="102"/>
        <v>0</v>
      </c>
      <c r="R241" s="117" t="str">
        <f t="shared" si="112"/>
        <v/>
      </c>
      <c r="S241" s="118" t="str">
        <f t="shared" si="92"/>
        <v/>
      </c>
      <c r="T241" s="118" t="str">
        <f t="shared" si="93"/>
        <v/>
      </c>
      <c r="U241" s="119">
        <f t="shared" si="103"/>
        <v>0</v>
      </c>
      <c r="V241" s="120" t="str">
        <f>IF(A241="","",IF(A241&lt;=Periodos_Gracia,0,PPMT(Tasa_Anual/360*Días*(1+I.V.A.),Tabla!AM241,No._De_Pagos_con_periodo_de_gracia,-Monto_Crédito)))</f>
        <v/>
      </c>
      <c r="W241" s="110" t="str">
        <f>IF($U$258&lt;=0,V241,IF(SUM($U$18:U241)&lt;=0,V241,PMT($K$5/360*Días,A241,-R241)))</f>
        <v/>
      </c>
      <c r="X241" s="121" t="str">
        <f>IF($U$258&lt;=0,W241,IF(SUM($U$18:U241)&lt;=0,V241,PMT($K$5/360*Días,No._De_Pagos_con_periodo_de_gracia,-Monto_Crédito)-S241-T241))</f>
        <v/>
      </c>
      <c r="Y241" s="117" t="str">
        <f t="shared" si="104"/>
        <v/>
      </c>
      <c r="Z241" s="61" t="str">
        <f>+IF(A241="","",IF(No._de_Pagos-Tabla!A241+1&lt;=0,"",No._de_Pagos-Tabla!A241+1))</f>
        <v/>
      </c>
      <c r="AA241" s="122" t="str">
        <f t="shared" si="105"/>
        <v/>
      </c>
      <c r="AB241" s="124" t="str">
        <f t="shared" si="111"/>
        <v/>
      </c>
      <c r="AC241" s="124" t="str">
        <f t="shared" si="94"/>
        <v/>
      </c>
      <c r="AD241" s="124" t="str">
        <f t="shared" si="95"/>
        <v/>
      </c>
      <c r="AE241" s="119">
        <f t="shared" si="106"/>
        <v>0</v>
      </c>
      <c r="AF241" s="120" t="str">
        <f t="shared" si="96"/>
        <v/>
      </c>
      <c r="AG241" s="110" t="str">
        <f>IF($U$258&lt;=0,AF241,IF(SUM($U$18:U241)&lt;=0,AF241,PMT($K$5/360*Días,A241,-AA241)))</f>
        <v/>
      </c>
      <c r="AH241" s="121" t="str">
        <f>IF(A241&lt;=Periodos_Gracia,0,IF($U$258&lt;=0,AG241,IF(SUM($U$18:U241)&lt;=0,AF241,PMT($K$5/360*Días,No._de_Pagos,-Monto_Crédito)-AC241-AD241)))</f>
        <v/>
      </c>
      <c r="AI241" s="125" t="str">
        <f t="shared" si="107"/>
        <v/>
      </c>
      <c r="AK241" s="126" t="str">
        <f>IF(A241="","",IF(Periodos_Gracia&gt;0,Tabla!AN241,V241+S241))</f>
        <v/>
      </c>
      <c r="AL241" s="126" t="str">
        <f t="shared" si="97"/>
        <v/>
      </c>
      <c r="AM241" s="61" t="str">
        <f t="shared" si="108"/>
        <v/>
      </c>
      <c r="AN241" s="127" t="str">
        <f>IF(A241="","",IF(A241&lt;=Periodos_Gracia,Tabla!S241,PPMT(Tasa_Anual/360*Días*(1+I.V.A.),Tabla!AM241,No._De_Pagos_con_periodo_de_gracia,-Monto_Crédito)+S241))</f>
        <v/>
      </c>
      <c r="AO241" s="127" t="str">
        <f>IF(A241="","",IF(A241&lt;=Periodos_Gracia,Tabla!AC241,Monto_Crédito/(No._De_Pagos_con_periodo_de_gracia)+AC241))</f>
        <v/>
      </c>
      <c r="AP241" s="117"/>
    </row>
    <row r="242" spans="1:42" x14ac:dyDescent="0.2">
      <c r="A242" s="107" t="str">
        <f>IF(A241&lt;Parámetros!$E$6,A241+1,"")</f>
        <v/>
      </c>
      <c r="B242" s="108" t="str">
        <f t="shared" si="109"/>
        <v/>
      </c>
      <c r="C242" s="108" t="str">
        <f t="shared" si="85"/>
        <v/>
      </c>
      <c r="D242" s="108" t="str">
        <f t="shared" si="86"/>
        <v/>
      </c>
      <c r="E242" s="108" t="str">
        <f t="shared" si="87"/>
        <v/>
      </c>
      <c r="F242" s="108" t="str">
        <f t="shared" si="88"/>
        <v/>
      </c>
      <c r="G242" s="114" t="str">
        <f t="shared" si="98"/>
        <v/>
      </c>
      <c r="H242" s="115">
        <f t="shared" si="99"/>
        <v>0</v>
      </c>
      <c r="I242" s="108" t="str">
        <f t="shared" si="110"/>
        <v/>
      </c>
      <c r="J242" s="108" t="str">
        <f t="shared" si="89"/>
        <v/>
      </c>
      <c r="K242" s="108" t="str">
        <f t="shared" si="90"/>
        <v/>
      </c>
      <c r="L242" s="108" t="str">
        <f t="shared" si="91"/>
        <v/>
      </c>
      <c r="M242" s="108" t="str">
        <f t="shared" si="100"/>
        <v/>
      </c>
      <c r="N242" s="114" t="str">
        <f t="shared" si="101"/>
        <v/>
      </c>
      <c r="O242" s="60">
        <v>0</v>
      </c>
      <c r="P242" s="116">
        <f t="shared" si="102"/>
        <v>0</v>
      </c>
      <c r="R242" s="117" t="str">
        <f t="shared" si="112"/>
        <v/>
      </c>
      <c r="S242" s="118" t="str">
        <f t="shared" si="92"/>
        <v/>
      </c>
      <c r="T242" s="118" t="str">
        <f t="shared" si="93"/>
        <v/>
      </c>
      <c r="U242" s="119">
        <f t="shared" si="103"/>
        <v>0</v>
      </c>
      <c r="V242" s="120" t="str">
        <f>IF(A242="","",IF(A242&lt;=Periodos_Gracia,0,PPMT(Tasa_Anual/360*Días*(1+I.V.A.),Tabla!AM242,No._De_Pagos_con_periodo_de_gracia,-Monto_Crédito)))</f>
        <v/>
      </c>
      <c r="W242" s="110" t="str">
        <f>IF($U$258&lt;=0,V242,IF(SUM($U$18:U242)&lt;=0,V242,PMT($K$5/360*Días,A242,-R242)))</f>
        <v/>
      </c>
      <c r="X242" s="121" t="str">
        <f>IF($U$258&lt;=0,W242,IF(SUM($U$18:U242)&lt;=0,V242,PMT($K$5/360*Días,No._De_Pagos_con_periodo_de_gracia,-Monto_Crédito)-S242-T242))</f>
        <v/>
      </c>
      <c r="Y242" s="117" t="str">
        <f t="shared" si="104"/>
        <v/>
      </c>
      <c r="Z242" s="61" t="str">
        <f>+IF(A242="","",IF(No._de_Pagos-Tabla!A242+1&lt;=0,"",No._de_Pagos-Tabla!A242+1))</f>
        <v/>
      </c>
      <c r="AA242" s="122" t="str">
        <f t="shared" si="105"/>
        <v/>
      </c>
      <c r="AB242" s="124" t="str">
        <f t="shared" si="111"/>
        <v/>
      </c>
      <c r="AC242" s="124" t="str">
        <f t="shared" si="94"/>
        <v/>
      </c>
      <c r="AD242" s="124" t="str">
        <f t="shared" si="95"/>
        <v/>
      </c>
      <c r="AE242" s="119">
        <f t="shared" si="106"/>
        <v>0</v>
      </c>
      <c r="AF242" s="120" t="str">
        <f t="shared" si="96"/>
        <v/>
      </c>
      <c r="AG242" s="110" t="str">
        <f>IF($U$258&lt;=0,AF242,IF(SUM($U$18:U242)&lt;=0,AF242,PMT($K$5/360*Días,A242,-AA242)))</f>
        <v/>
      </c>
      <c r="AH242" s="121" t="str">
        <f>IF(A242&lt;=Periodos_Gracia,0,IF($U$258&lt;=0,AG242,IF(SUM($U$18:U242)&lt;=0,AF242,PMT($K$5/360*Días,No._de_Pagos,-Monto_Crédito)-AC242-AD242)))</f>
        <v/>
      </c>
      <c r="AI242" s="125" t="str">
        <f t="shared" si="107"/>
        <v/>
      </c>
      <c r="AK242" s="126" t="str">
        <f>IF(A242="","",IF(Periodos_Gracia&gt;0,Tabla!AN242,V242+S242))</f>
        <v/>
      </c>
      <c r="AL242" s="126" t="str">
        <f t="shared" si="97"/>
        <v/>
      </c>
      <c r="AM242" s="61" t="str">
        <f t="shared" si="108"/>
        <v/>
      </c>
      <c r="AN242" s="127" t="str">
        <f>IF(A242="","",IF(A242&lt;=Periodos_Gracia,Tabla!S242,PPMT(Tasa_Anual/360*Días*(1+I.V.A.),Tabla!AM242,No._De_Pagos_con_periodo_de_gracia,-Monto_Crédito)+S242))</f>
        <v/>
      </c>
      <c r="AO242" s="127" t="str">
        <f>IF(A242="","",IF(A242&lt;=Periodos_Gracia,Tabla!AC242,Monto_Crédito/(No._De_Pagos_con_periodo_de_gracia)+AC242))</f>
        <v/>
      </c>
      <c r="AP242" s="117"/>
    </row>
    <row r="243" spans="1:42" x14ac:dyDescent="0.2">
      <c r="A243" s="107" t="str">
        <f>IF(A242&lt;Parámetros!$E$6,A242+1,"")</f>
        <v/>
      </c>
      <c r="B243" s="108" t="str">
        <f t="shared" si="109"/>
        <v/>
      </c>
      <c r="C243" s="108" t="str">
        <f t="shared" si="85"/>
        <v/>
      </c>
      <c r="D243" s="108" t="str">
        <f t="shared" si="86"/>
        <v/>
      </c>
      <c r="E243" s="108" t="str">
        <f t="shared" si="87"/>
        <v/>
      </c>
      <c r="F243" s="108" t="str">
        <f t="shared" si="88"/>
        <v/>
      </c>
      <c r="G243" s="114" t="str">
        <f t="shared" si="98"/>
        <v/>
      </c>
      <c r="H243" s="115">
        <f t="shared" si="99"/>
        <v>0</v>
      </c>
      <c r="I243" s="108" t="str">
        <f t="shared" si="110"/>
        <v/>
      </c>
      <c r="J243" s="108" t="str">
        <f t="shared" si="89"/>
        <v/>
      </c>
      <c r="K243" s="108" t="str">
        <f t="shared" si="90"/>
        <v/>
      </c>
      <c r="L243" s="108" t="str">
        <f t="shared" si="91"/>
        <v/>
      </c>
      <c r="M243" s="108" t="str">
        <f t="shared" si="100"/>
        <v/>
      </c>
      <c r="N243" s="114" t="str">
        <f t="shared" si="101"/>
        <v/>
      </c>
      <c r="O243" s="60">
        <v>0</v>
      </c>
      <c r="P243" s="116">
        <f t="shared" si="102"/>
        <v>0</v>
      </c>
      <c r="R243" s="117" t="str">
        <f t="shared" si="112"/>
        <v/>
      </c>
      <c r="S243" s="118" t="str">
        <f t="shared" si="92"/>
        <v/>
      </c>
      <c r="T243" s="118" t="str">
        <f t="shared" si="93"/>
        <v/>
      </c>
      <c r="U243" s="119">
        <f t="shared" si="103"/>
        <v>0</v>
      </c>
      <c r="V243" s="120" t="str">
        <f>IF(A243="","",IF(A243&lt;=Periodos_Gracia,0,PPMT(Tasa_Anual/360*Días*(1+I.V.A.),Tabla!AM243,No._De_Pagos_con_periodo_de_gracia,-Monto_Crédito)))</f>
        <v/>
      </c>
      <c r="W243" s="110" t="str">
        <f>IF($U$258&lt;=0,V243,IF(SUM($U$18:U243)&lt;=0,V243,PMT($K$5/360*Días,A243,-R243)))</f>
        <v/>
      </c>
      <c r="X243" s="121" t="str">
        <f>IF($U$258&lt;=0,W243,IF(SUM($U$18:U243)&lt;=0,V243,PMT($K$5/360*Días,No._De_Pagos_con_periodo_de_gracia,-Monto_Crédito)-S243-T243))</f>
        <v/>
      </c>
      <c r="Y243" s="117" t="str">
        <f t="shared" si="104"/>
        <v/>
      </c>
      <c r="Z243" s="61" t="str">
        <f>+IF(A243="","",IF(No._de_Pagos-Tabla!A243+1&lt;=0,"",No._de_Pagos-Tabla!A243+1))</f>
        <v/>
      </c>
      <c r="AA243" s="122" t="str">
        <f t="shared" si="105"/>
        <v/>
      </c>
      <c r="AB243" s="124" t="str">
        <f t="shared" si="111"/>
        <v/>
      </c>
      <c r="AC243" s="124" t="str">
        <f t="shared" si="94"/>
        <v/>
      </c>
      <c r="AD243" s="124" t="str">
        <f t="shared" si="95"/>
        <v/>
      </c>
      <c r="AE243" s="119">
        <f t="shared" si="106"/>
        <v>0</v>
      </c>
      <c r="AF243" s="120" t="str">
        <f t="shared" si="96"/>
        <v/>
      </c>
      <c r="AG243" s="110" t="str">
        <f>IF($U$258&lt;=0,AF243,IF(SUM($U$18:U243)&lt;=0,AF243,PMT($K$5/360*Días,A243,-AA243)))</f>
        <v/>
      </c>
      <c r="AH243" s="121" t="str">
        <f>IF(A243&lt;=Periodos_Gracia,0,IF($U$258&lt;=0,AG243,IF(SUM($U$18:U243)&lt;=0,AF243,PMT($K$5/360*Días,No._de_Pagos,-Monto_Crédito)-AC243-AD243)))</f>
        <v/>
      </c>
      <c r="AI243" s="125" t="str">
        <f t="shared" si="107"/>
        <v/>
      </c>
      <c r="AK243" s="126" t="str">
        <f>IF(A243="","",IF(Periodos_Gracia&gt;0,Tabla!AN243,V243+S243))</f>
        <v/>
      </c>
      <c r="AL243" s="126" t="str">
        <f t="shared" si="97"/>
        <v/>
      </c>
      <c r="AM243" s="61" t="str">
        <f t="shared" si="108"/>
        <v/>
      </c>
      <c r="AN243" s="127" t="str">
        <f>IF(A243="","",IF(A243&lt;=Periodos_Gracia,Tabla!S243,PPMT(Tasa_Anual/360*Días*(1+I.V.A.),Tabla!AM243,No._De_Pagos_con_periodo_de_gracia,-Monto_Crédito)+S243))</f>
        <v/>
      </c>
      <c r="AO243" s="127" t="str">
        <f>IF(A243="","",IF(A243&lt;=Periodos_Gracia,Tabla!AC243,Monto_Crédito/(No._De_Pagos_con_periodo_de_gracia)+AC243))</f>
        <v/>
      </c>
      <c r="AP243" s="117"/>
    </row>
    <row r="244" spans="1:42" x14ac:dyDescent="0.2">
      <c r="A244" s="107" t="str">
        <f>IF(A243&lt;Parámetros!$E$6,A243+1,"")</f>
        <v/>
      </c>
      <c r="B244" s="108" t="str">
        <f t="shared" si="109"/>
        <v/>
      </c>
      <c r="C244" s="108" t="str">
        <f t="shared" si="85"/>
        <v/>
      </c>
      <c r="D244" s="108" t="str">
        <f t="shared" si="86"/>
        <v/>
      </c>
      <c r="E244" s="108" t="str">
        <f t="shared" si="87"/>
        <v/>
      </c>
      <c r="F244" s="108" t="str">
        <f t="shared" si="88"/>
        <v/>
      </c>
      <c r="G244" s="114" t="str">
        <f t="shared" si="98"/>
        <v/>
      </c>
      <c r="H244" s="115">
        <f t="shared" si="99"/>
        <v>0</v>
      </c>
      <c r="I244" s="108" t="str">
        <f t="shared" si="110"/>
        <v/>
      </c>
      <c r="J244" s="108" t="str">
        <f t="shared" si="89"/>
        <v/>
      </c>
      <c r="K244" s="108" t="str">
        <f t="shared" si="90"/>
        <v/>
      </c>
      <c r="L244" s="108" t="str">
        <f t="shared" si="91"/>
        <v/>
      </c>
      <c r="M244" s="108" t="str">
        <f t="shared" si="100"/>
        <v/>
      </c>
      <c r="N244" s="114" t="str">
        <f t="shared" si="101"/>
        <v/>
      </c>
      <c r="O244" s="60">
        <v>0</v>
      </c>
      <c r="P244" s="116">
        <f t="shared" si="102"/>
        <v>0</v>
      </c>
      <c r="R244" s="117" t="str">
        <f t="shared" si="112"/>
        <v/>
      </c>
      <c r="S244" s="118" t="str">
        <f t="shared" si="92"/>
        <v/>
      </c>
      <c r="T244" s="118" t="str">
        <f t="shared" si="93"/>
        <v/>
      </c>
      <c r="U244" s="119">
        <f t="shared" si="103"/>
        <v>0</v>
      </c>
      <c r="V244" s="120" t="str">
        <f>IF(A244="","",IF(A244&lt;=Periodos_Gracia,0,PPMT(Tasa_Anual/360*Días*(1+I.V.A.),Tabla!AM244,No._De_Pagos_con_periodo_de_gracia,-Monto_Crédito)))</f>
        <v/>
      </c>
      <c r="W244" s="110" t="str">
        <f>IF($U$258&lt;=0,V244,IF(SUM($U$18:U244)&lt;=0,V244,PMT($K$5/360*Días,A244,-R244)))</f>
        <v/>
      </c>
      <c r="X244" s="121" t="str">
        <f>IF($U$258&lt;=0,W244,IF(SUM($U$18:U244)&lt;=0,V244,PMT($K$5/360*Días,No._De_Pagos_con_periodo_de_gracia,-Monto_Crédito)-S244-T244))</f>
        <v/>
      </c>
      <c r="Y244" s="117" t="str">
        <f t="shared" si="104"/>
        <v/>
      </c>
      <c r="Z244" s="61" t="str">
        <f>+IF(A244="","",IF(No._de_Pagos-Tabla!A244+1&lt;=0,"",No._de_Pagos-Tabla!A244+1))</f>
        <v/>
      </c>
      <c r="AA244" s="122" t="str">
        <f t="shared" si="105"/>
        <v/>
      </c>
      <c r="AB244" s="124" t="str">
        <f t="shared" si="111"/>
        <v/>
      </c>
      <c r="AC244" s="124" t="str">
        <f t="shared" si="94"/>
        <v/>
      </c>
      <c r="AD244" s="124" t="str">
        <f t="shared" si="95"/>
        <v/>
      </c>
      <c r="AE244" s="119">
        <f t="shared" si="106"/>
        <v>0</v>
      </c>
      <c r="AF244" s="120" t="str">
        <f t="shared" si="96"/>
        <v/>
      </c>
      <c r="AG244" s="110" t="str">
        <f>IF($U$258&lt;=0,AF244,IF(SUM($U$18:U244)&lt;=0,AF244,PMT($K$5/360*Días,A244,-AA244)))</f>
        <v/>
      </c>
      <c r="AH244" s="121" t="str">
        <f>IF(A244&lt;=Periodos_Gracia,0,IF($U$258&lt;=0,AG244,IF(SUM($U$18:U244)&lt;=0,AF244,PMT($K$5/360*Días,No._de_Pagos,-Monto_Crédito)-AC244-AD244)))</f>
        <v/>
      </c>
      <c r="AI244" s="125" t="str">
        <f t="shared" si="107"/>
        <v/>
      </c>
      <c r="AK244" s="126" t="str">
        <f>IF(A244="","",IF(Periodos_Gracia&gt;0,Tabla!AN244,V244+S244))</f>
        <v/>
      </c>
      <c r="AL244" s="126" t="str">
        <f t="shared" si="97"/>
        <v/>
      </c>
      <c r="AM244" s="61" t="str">
        <f t="shared" si="108"/>
        <v/>
      </c>
      <c r="AN244" s="127" t="str">
        <f>IF(A244="","",IF(A244&lt;=Periodos_Gracia,Tabla!S244,PPMT(Tasa_Anual/360*Días*(1+I.V.A.),Tabla!AM244,No._De_Pagos_con_periodo_de_gracia,-Monto_Crédito)+S244))</f>
        <v/>
      </c>
      <c r="AO244" s="127" t="str">
        <f>IF(A244="","",IF(A244&lt;=Periodos_Gracia,Tabla!AC244,Monto_Crédito/(No._De_Pagos_con_periodo_de_gracia)+AC244))</f>
        <v/>
      </c>
      <c r="AP244" s="117"/>
    </row>
    <row r="245" spans="1:42" x14ac:dyDescent="0.2">
      <c r="A245" s="107" t="str">
        <f>IF(A244&lt;Parámetros!$E$6,A244+1,"")</f>
        <v/>
      </c>
      <c r="B245" s="108" t="str">
        <f t="shared" si="109"/>
        <v/>
      </c>
      <c r="C245" s="108" t="str">
        <f t="shared" si="85"/>
        <v/>
      </c>
      <c r="D245" s="108" t="str">
        <f t="shared" si="86"/>
        <v/>
      </c>
      <c r="E245" s="108" t="str">
        <f t="shared" si="87"/>
        <v/>
      </c>
      <c r="F245" s="108" t="str">
        <f t="shared" si="88"/>
        <v/>
      </c>
      <c r="G245" s="114" t="str">
        <f t="shared" si="98"/>
        <v/>
      </c>
      <c r="H245" s="115">
        <f t="shared" si="99"/>
        <v>0</v>
      </c>
      <c r="I245" s="108" t="str">
        <f t="shared" si="110"/>
        <v/>
      </c>
      <c r="J245" s="108" t="str">
        <f t="shared" si="89"/>
        <v/>
      </c>
      <c r="K245" s="108" t="str">
        <f t="shared" si="90"/>
        <v/>
      </c>
      <c r="L245" s="108" t="str">
        <f t="shared" si="91"/>
        <v/>
      </c>
      <c r="M245" s="108" t="str">
        <f t="shared" si="100"/>
        <v/>
      </c>
      <c r="N245" s="114" t="str">
        <f t="shared" si="101"/>
        <v/>
      </c>
      <c r="O245" s="60">
        <v>0</v>
      </c>
      <c r="P245" s="116">
        <f t="shared" si="102"/>
        <v>0</v>
      </c>
      <c r="R245" s="117" t="str">
        <f t="shared" si="112"/>
        <v/>
      </c>
      <c r="S245" s="118" t="str">
        <f t="shared" si="92"/>
        <v/>
      </c>
      <c r="T245" s="118" t="str">
        <f t="shared" si="93"/>
        <v/>
      </c>
      <c r="U245" s="119">
        <f t="shared" si="103"/>
        <v>0</v>
      </c>
      <c r="V245" s="120" t="str">
        <f>IF(A245="","",IF(A245&lt;=Periodos_Gracia,0,PPMT(Tasa_Anual/360*Días*(1+I.V.A.),Tabla!AM245,No._De_Pagos_con_periodo_de_gracia,-Monto_Crédito)))</f>
        <v/>
      </c>
      <c r="W245" s="110" t="str">
        <f>IF($U$258&lt;=0,V245,IF(SUM($U$18:U245)&lt;=0,V245,PMT($K$5/360*Días,A245,-R245)))</f>
        <v/>
      </c>
      <c r="X245" s="121" t="str">
        <f>IF($U$258&lt;=0,W245,IF(SUM($U$18:U245)&lt;=0,V245,PMT($K$5/360*Días,No._De_Pagos_con_periodo_de_gracia,-Monto_Crédito)-S245-T245))</f>
        <v/>
      </c>
      <c r="Y245" s="117" t="str">
        <f t="shared" si="104"/>
        <v/>
      </c>
      <c r="Z245" s="61" t="str">
        <f>+IF(A245="","",IF(No._de_Pagos-Tabla!A245+1&lt;=0,"",No._de_Pagos-Tabla!A245+1))</f>
        <v/>
      </c>
      <c r="AA245" s="122" t="str">
        <f t="shared" si="105"/>
        <v/>
      </c>
      <c r="AB245" s="124" t="str">
        <f t="shared" si="111"/>
        <v/>
      </c>
      <c r="AC245" s="124" t="str">
        <f t="shared" si="94"/>
        <v/>
      </c>
      <c r="AD245" s="124" t="str">
        <f t="shared" si="95"/>
        <v/>
      </c>
      <c r="AE245" s="119">
        <f t="shared" si="106"/>
        <v>0</v>
      </c>
      <c r="AF245" s="120" t="str">
        <f t="shared" si="96"/>
        <v/>
      </c>
      <c r="AG245" s="110" t="str">
        <f>IF($U$258&lt;=0,AF245,IF(SUM($U$18:U245)&lt;=0,AF245,PMT($K$5/360*Días,A245,-AA245)))</f>
        <v/>
      </c>
      <c r="AH245" s="121" t="str">
        <f>IF(A245&lt;=Periodos_Gracia,0,IF($U$258&lt;=0,AG245,IF(SUM($U$18:U245)&lt;=0,AF245,PMT($K$5/360*Días,No._de_Pagos,-Monto_Crédito)-AC245-AD245)))</f>
        <v/>
      </c>
      <c r="AI245" s="125" t="str">
        <f t="shared" si="107"/>
        <v/>
      </c>
      <c r="AK245" s="126" t="str">
        <f>IF(A245="","",IF(Periodos_Gracia&gt;0,Tabla!AN245,V245+S245))</f>
        <v/>
      </c>
      <c r="AL245" s="126" t="str">
        <f t="shared" si="97"/>
        <v/>
      </c>
      <c r="AM245" s="61" t="str">
        <f t="shared" si="108"/>
        <v/>
      </c>
      <c r="AN245" s="127" t="str">
        <f>IF(A245="","",IF(A245&lt;=Periodos_Gracia,Tabla!S245,PPMT(Tasa_Anual/360*Días*(1+I.V.A.),Tabla!AM245,No._De_Pagos_con_periodo_de_gracia,-Monto_Crédito)+S245))</f>
        <v/>
      </c>
      <c r="AO245" s="127" t="str">
        <f>IF(A245="","",IF(A245&lt;=Periodos_Gracia,Tabla!AC245,Monto_Crédito/(No._De_Pagos_con_periodo_de_gracia)+AC245))</f>
        <v/>
      </c>
      <c r="AP245" s="117"/>
    </row>
    <row r="246" spans="1:42" x14ac:dyDescent="0.2">
      <c r="A246" s="107" t="str">
        <f>IF(A245&lt;Parámetros!$E$6,A245+1,"")</f>
        <v/>
      </c>
      <c r="B246" s="108" t="str">
        <f t="shared" si="109"/>
        <v/>
      </c>
      <c r="C246" s="108" t="str">
        <f t="shared" si="85"/>
        <v/>
      </c>
      <c r="D246" s="108" t="str">
        <f t="shared" si="86"/>
        <v/>
      </c>
      <c r="E246" s="108" t="str">
        <f t="shared" si="87"/>
        <v/>
      </c>
      <c r="F246" s="108" t="str">
        <f t="shared" si="88"/>
        <v/>
      </c>
      <c r="G246" s="114" t="str">
        <f t="shared" si="98"/>
        <v/>
      </c>
      <c r="H246" s="115">
        <f t="shared" si="99"/>
        <v>0</v>
      </c>
      <c r="I246" s="108" t="str">
        <f t="shared" si="110"/>
        <v/>
      </c>
      <c r="J246" s="108" t="str">
        <f t="shared" si="89"/>
        <v/>
      </c>
      <c r="K246" s="108" t="str">
        <f t="shared" si="90"/>
        <v/>
      </c>
      <c r="L246" s="108" t="str">
        <f t="shared" si="91"/>
        <v/>
      </c>
      <c r="M246" s="108" t="str">
        <f t="shared" si="100"/>
        <v/>
      </c>
      <c r="N246" s="114" t="str">
        <f t="shared" si="101"/>
        <v/>
      </c>
      <c r="O246" s="60">
        <v>0</v>
      </c>
      <c r="P246" s="116">
        <f t="shared" si="102"/>
        <v>0</v>
      </c>
      <c r="R246" s="117" t="str">
        <f t="shared" si="112"/>
        <v/>
      </c>
      <c r="S246" s="118" t="str">
        <f t="shared" si="92"/>
        <v/>
      </c>
      <c r="T246" s="118" t="str">
        <f t="shared" si="93"/>
        <v/>
      </c>
      <c r="U246" s="119">
        <f t="shared" si="103"/>
        <v>0</v>
      </c>
      <c r="V246" s="120" t="str">
        <f>IF(A246="","",IF(A246&lt;=Periodos_Gracia,0,PPMT(Tasa_Anual/360*Días*(1+I.V.A.),Tabla!AM246,No._De_Pagos_con_periodo_de_gracia,-Monto_Crédito)))</f>
        <v/>
      </c>
      <c r="W246" s="110" t="str">
        <f>IF($U$258&lt;=0,V246,IF(SUM($U$18:U246)&lt;=0,V246,PMT($K$5/360*Días,A246,-R246)))</f>
        <v/>
      </c>
      <c r="X246" s="121" t="str">
        <f>IF($U$258&lt;=0,W246,IF(SUM($U$18:U246)&lt;=0,V246,PMT($K$5/360*Días,No._De_Pagos_con_periodo_de_gracia,-Monto_Crédito)-S246-T246))</f>
        <v/>
      </c>
      <c r="Y246" s="117" t="str">
        <f t="shared" si="104"/>
        <v/>
      </c>
      <c r="Z246" s="61" t="str">
        <f>+IF(A246="","",IF(No._de_Pagos-Tabla!A246+1&lt;=0,"",No._de_Pagos-Tabla!A246+1))</f>
        <v/>
      </c>
      <c r="AA246" s="122" t="str">
        <f t="shared" si="105"/>
        <v/>
      </c>
      <c r="AB246" s="124" t="str">
        <f t="shared" si="111"/>
        <v/>
      </c>
      <c r="AC246" s="124" t="str">
        <f t="shared" si="94"/>
        <v/>
      </c>
      <c r="AD246" s="124" t="str">
        <f t="shared" si="95"/>
        <v/>
      </c>
      <c r="AE246" s="119">
        <f t="shared" si="106"/>
        <v>0</v>
      </c>
      <c r="AF246" s="120" t="str">
        <f t="shared" si="96"/>
        <v/>
      </c>
      <c r="AG246" s="110" t="str">
        <f>IF($U$258&lt;=0,AF246,IF(SUM($U$18:U246)&lt;=0,AF246,PMT($K$5/360*Días,A246,-AA246)))</f>
        <v/>
      </c>
      <c r="AH246" s="121" t="str">
        <f>IF(A246&lt;=Periodos_Gracia,0,IF($U$258&lt;=0,AG246,IF(SUM($U$18:U246)&lt;=0,AF246,PMT($K$5/360*Días,No._de_Pagos,-Monto_Crédito)-AC246-AD246)))</f>
        <v/>
      </c>
      <c r="AI246" s="125" t="str">
        <f t="shared" si="107"/>
        <v/>
      </c>
      <c r="AK246" s="126" t="str">
        <f>IF(A246="","",IF(Periodos_Gracia&gt;0,Tabla!AN246,V246+S246))</f>
        <v/>
      </c>
      <c r="AL246" s="126" t="str">
        <f t="shared" si="97"/>
        <v/>
      </c>
      <c r="AM246" s="61" t="str">
        <f t="shared" si="108"/>
        <v/>
      </c>
      <c r="AN246" s="127" t="str">
        <f>IF(A246="","",IF(A246&lt;=Periodos_Gracia,Tabla!S246,PPMT(Tasa_Anual/360*Días*(1+I.V.A.),Tabla!AM246,No._De_Pagos_con_periodo_de_gracia,-Monto_Crédito)+S246))</f>
        <v/>
      </c>
      <c r="AO246" s="127" t="str">
        <f>IF(A246="","",IF(A246&lt;=Periodos_Gracia,Tabla!AC246,Monto_Crédito/(No._De_Pagos_con_periodo_de_gracia)+AC246))</f>
        <v/>
      </c>
      <c r="AP246" s="117"/>
    </row>
    <row r="247" spans="1:42" x14ac:dyDescent="0.2">
      <c r="A247" s="107" t="str">
        <f>IF(A246&lt;Parámetros!$E$6,A246+1,"")</f>
        <v/>
      </c>
      <c r="B247" s="108" t="str">
        <f t="shared" si="109"/>
        <v/>
      </c>
      <c r="C247" s="108" t="str">
        <f t="shared" si="85"/>
        <v/>
      </c>
      <c r="D247" s="108" t="str">
        <f t="shared" si="86"/>
        <v/>
      </c>
      <c r="E247" s="108" t="str">
        <f t="shared" si="87"/>
        <v/>
      </c>
      <c r="F247" s="108" t="str">
        <f t="shared" si="88"/>
        <v/>
      </c>
      <c r="G247" s="114" t="str">
        <f t="shared" si="98"/>
        <v/>
      </c>
      <c r="H247" s="115">
        <f t="shared" si="99"/>
        <v>0</v>
      </c>
      <c r="I247" s="108" t="str">
        <f t="shared" si="110"/>
        <v/>
      </c>
      <c r="J247" s="108" t="str">
        <f t="shared" si="89"/>
        <v/>
      </c>
      <c r="K247" s="108" t="str">
        <f t="shared" si="90"/>
        <v/>
      </c>
      <c r="L247" s="108" t="str">
        <f t="shared" si="91"/>
        <v/>
      </c>
      <c r="M247" s="108" t="str">
        <f t="shared" si="100"/>
        <v/>
      </c>
      <c r="N247" s="114" t="str">
        <f t="shared" si="101"/>
        <v/>
      </c>
      <c r="O247" s="60">
        <v>0</v>
      </c>
      <c r="P247" s="116">
        <f t="shared" si="102"/>
        <v>0</v>
      </c>
      <c r="R247" s="117" t="str">
        <f t="shared" si="112"/>
        <v/>
      </c>
      <c r="S247" s="118" t="str">
        <f t="shared" si="92"/>
        <v/>
      </c>
      <c r="T247" s="118" t="str">
        <f t="shared" si="93"/>
        <v/>
      </c>
      <c r="U247" s="119">
        <f t="shared" si="103"/>
        <v>0</v>
      </c>
      <c r="V247" s="120" t="str">
        <f>IF(A247="","",IF(A247&lt;=Periodos_Gracia,0,PPMT(Tasa_Anual/360*Días*(1+I.V.A.),Tabla!AM247,No._De_Pagos_con_periodo_de_gracia,-Monto_Crédito)))</f>
        <v/>
      </c>
      <c r="W247" s="110" t="str">
        <f>IF($U$258&lt;=0,V247,IF(SUM($U$18:U247)&lt;=0,V247,PMT($K$5/360*Días,A247,-R247)))</f>
        <v/>
      </c>
      <c r="X247" s="121" t="str">
        <f>IF($U$258&lt;=0,W247,IF(SUM($U$18:U247)&lt;=0,V247,PMT($K$5/360*Días,No._De_Pagos_con_periodo_de_gracia,-Monto_Crédito)-S247-T247))</f>
        <v/>
      </c>
      <c r="Y247" s="117" t="str">
        <f t="shared" si="104"/>
        <v/>
      </c>
      <c r="Z247" s="61" t="str">
        <f>+IF(A247="","",IF(No._de_Pagos-Tabla!A247+1&lt;=0,"",No._de_Pagos-Tabla!A247+1))</f>
        <v/>
      </c>
      <c r="AA247" s="122" t="str">
        <f t="shared" si="105"/>
        <v/>
      </c>
      <c r="AB247" s="124" t="str">
        <f t="shared" si="111"/>
        <v/>
      </c>
      <c r="AC247" s="124" t="str">
        <f t="shared" si="94"/>
        <v/>
      </c>
      <c r="AD247" s="124" t="str">
        <f t="shared" si="95"/>
        <v/>
      </c>
      <c r="AE247" s="119">
        <f t="shared" si="106"/>
        <v>0</v>
      </c>
      <c r="AF247" s="120" t="str">
        <f t="shared" si="96"/>
        <v/>
      </c>
      <c r="AG247" s="110" t="str">
        <f>IF($U$258&lt;=0,AF247,IF(SUM($U$18:U247)&lt;=0,AF247,PMT($K$5/360*Días,A247,-AA247)))</f>
        <v/>
      </c>
      <c r="AH247" s="121" t="str">
        <f>IF(A247&lt;=Periodos_Gracia,0,IF($U$258&lt;=0,AG247,IF(SUM($U$18:U247)&lt;=0,AF247,PMT($K$5/360*Días,No._de_Pagos,-Monto_Crédito)-AC247-AD247)))</f>
        <v/>
      </c>
      <c r="AI247" s="125" t="str">
        <f t="shared" si="107"/>
        <v/>
      </c>
      <c r="AK247" s="126" t="str">
        <f>IF(A247="","",IF(Periodos_Gracia&gt;0,Tabla!AN247,V247+S247))</f>
        <v/>
      </c>
      <c r="AL247" s="126" t="str">
        <f t="shared" si="97"/>
        <v/>
      </c>
      <c r="AM247" s="61" t="str">
        <f t="shared" si="108"/>
        <v/>
      </c>
      <c r="AN247" s="127" t="str">
        <f>IF(A247="","",IF(A247&lt;=Periodos_Gracia,Tabla!S247,PPMT(Tasa_Anual/360*Días*(1+I.V.A.),Tabla!AM247,No._De_Pagos_con_periodo_de_gracia,-Monto_Crédito)+S247))</f>
        <v/>
      </c>
      <c r="AO247" s="127" t="str">
        <f>IF(A247="","",IF(A247&lt;=Periodos_Gracia,Tabla!AC247,Monto_Crédito/(No._De_Pagos_con_periodo_de_gracia)+AC247))</f>
        <v/>
      </c>
      <c r="AP247" s="117"/>
    </row>
    <row r="248" spans="1:42" x14ac:dyDescent="0.2">
      <c r="A248" s="107" t="str">
        <f>IF(A247&lt;Parámetros!$E$6,A247+1,"")</f>
        <v/>
      </c>
      <c r="B248" s="108" t="str">
        <f t="shared" si="109"/>
        <v/>
      </c>
      <c r="C248" s="108" t="str">
        <f t="shared" si="85"/>
        <v/>
      </c>
      <c r="D248" s="108" t="str">
        <f t="shared" si="86"/>
        <v/>
      </c>
      <c r="E248" s="108" t="str">
        <f t="shared" si="87"/>
        <v/>
      </c>
      <c r="F248" s="108" t="str">
        <f t="shared" si="88"/>
        <v/>
      </c>
      <c r="G248" s="114" t="str">
        <f t="shared" si="98"/>
        <v/>
      </c>
      <c r="H248" s="115">
        <f t="shared" si="99"/>
        <v>0</v>
      </c>
      <c r="I248" s="108" t="str">
        <f t="shared" si="110"/>
        <v/>
      </c>
      <c r="J248" s="108" t="str">
        <f t="shared" si="89"/>
        <v/>
      </c>
      <c r="K248" s="108" t="str">
        <f t="shared" si="90"/>
        <v/>
      </c>
      <c r="L248" s="108" t="str">
        <f t="shared" si="91"/>
        <v/>
      </c>
      <c r="M248" s="108" t="str">
        <f t="shared" si="100"/>
        <v/>
      </c>
      <c r="N248" s="114" t="str">
        <f t="shared" si="101"/>
        <v/>
      </c>
      <c r="O248" s="60">
        <v>0</v>
      </c>
      <c r="P248" s="116">
        <f t="shared" si="102"/>
        <v>0</v>
      </c>
      <c r="R248" s="117" t="str">
        <f t="shared" si="112"/>
        <v/>
      </c>
      <c r="S248" s="118" t="str">
        <f t="shared" si="92"/>
        <v/>
      </c>
      <c r="T248" s="118" t="str">
        <f t="shared" si="93"/>
        <v/>
      </c>
      <c r="U248" s="119">
        <f t="shared" si="103"/>
        <v>0</v>
      </c>
      <c r="V248" s="120" t="str">
        <f>IF(A248="","",IF(A248&lt;=Periodos_Gracia,0,PPMT(Tasa_Anual/360*Días*(1+I.V.A.),Tabla!AM248,No._De_Pagos_con_periodo_de_gracia,-Monto_Crédito)))</f>
        <v/>
      </c>
      <c r="W248" s="110" t="str">
        <f>IF($U$258&lt;=0,V248,IF(SUM($U$18:U248)&lt;=0,V248,PMT($K$5/360*Días,A248,-R248)))</f>
        <v/>
      </c>
      <c r="X248" s="121" t="str">
        <f>IF($U$258&lt;=0,W248,IF(SUM($U$18:U248)&lt;=0,V248,PMT($K$5/360*Días,No._De_Pagos_con_periodo_de_gracia,-Monto_Crédito)-S248-T248))</f>
        <v/>
      </c>
      <c r="Y248" s="117" t="str">
        <f t="shared" si="104"/>
        <v/>
      </c>
      <c r="Z248" s="61" t="str">
        <f>+IF(A248="","",IF(No._de_Pagos-Tabla!A248+1&lt;=0,"",No._de_Pagos-Tabla!A248+1))</f>
        <v/>
      </c>
      <c r="AA248" s="122" t="str">
        <f t="shared" si="105"/>
        <v/>
      </c>
      <c r="AB248" s="124" t="str">
        <f t="shared" si="111"/>
        <v/>
      </c>
      <c r="AC248" s="124" t="str">
        <f t="shared" si="94"/>
        <v/>
      </c>
      <c r="AD248" s="124" t="str">
        <f t="shared" si="95"/>
        <v/>
      </c>
      <c r="AE248" s="119">
        <f t="shared" si="106"/>
        <v>0</v>
      </c>
      <c r="AF248" s="120" t="str">
        <f t="shared" si="96"/>
        <v/>
      </c>
      <c r="AG248" s="110" t="str">
        <f>IF($U$258&lt;=0,AF248,IF(SUM($U$18:U248)&lt;=0,AF248,PMT($K$5/360*Días,A248,-AA248)))</f>
        <v/>
      </c>
      <c r="AH248" s="121" t="str">
        <f>IF(A248&lt;=Periodos_Gracia,0,IF($U$258&lt;=0,AG248,IF(SUM($U$18:U248)&lt;=0,AF248,PMT($K$5/360*Días,No._de_Pagos,-Monto_Crédito)-AC248-AD248)))</f>
        <v/>
      </c>
      <c r="AI248" s="125" t="str">
        <f t="shared" si="107"/>
        <v/>
      </c>
      <c r="AK248" s="126" t="str">
        <f>IF(A248="","",IF(Periodos_Gracia&gt;0,Tabla!AN248,V248+S248))</f>
        <v/>
      </c>
      <c r="AL248" s="126" t="str">
        <f t="shared" si="97"/>
        <v/>
      </c>
      <c r="AM248" s="61" t="str">
        <f t="shared" si="108"/>
        <v/>
      </c>
      <c r="AN248" s="127" t="str">
        <f>IF(A248="","",IF(A248&lt;=Periodos_Gracia,Tabla!S248,PPMT(Tasa_Anual/360*Días*(1+I.V.A.),Tabla!AM248,No._De_Pagos_con_periodo_de_gracia,-Monto_Crédito)+S248))</f>
        <v/>
      </c>
      <c r="AO248" s="127" t="str">
        <f>IF(A248="","",IF(A248&lt;=Periodos_Gracia,Tabla!AC248,Monto_Crédito/(No._De_Pagos_con_periodo_de_gracia)+AC248))</f>
        <v/>
      </c>
      <c r="AP248" s="117"/>
    </row>
    <row r="249" spans="1:42" x14ac:dyDescent="0.2">
      <c r="A249" s="107" t="str">
        <f>IF(A248&lt;Parámetros!$E$6,A248+1,"")</f>
        <v/>
      </c>
      <c r="B249" s="108" t="str">
        <f t="shared" si="109"/>
        <v/>
      </c>
      <c r="C249" s="108" t="str">
        <f t="shared" si="85"/>
        <v/>
      </c>
      <c r="D249" s="108" t="str">
        <f t="shared" si="86"/>
        <v/>
      </c>
      <c r="E249" s="108" t="str">
        <f t="shared" si="87"/>
        <v/>
      </c>
      <c r="F249" s="108" t="str">
        <f t="shared" si="88"/>
        <v/>
      </c>
      <c r="G249" s="114" t="str">
        <f t="shared" si="98"/>
        <v/>
      </c>
      <c r="H249" s="115">
        <f t="shared" si="99"/>
        <v>0</v>
      </c>
      <c r="I249" s="108" t="str">
        <f t="shared" si="110"/>
        <v/>
      </c>
      <c r="J249" s="108" t="str">
        <f t="shared" si="89"/>
        <v/>
      </c>
      <c r="K249" s="108" t="str">
        <f t="shared" si="90"/>
        <v/>
      </c>
      <c r="L249" s="108" t="str">
        <f t="shared" si="91"/>
        <v/>
      </c>
      <c r="M249" s="108" t="str">
        <f t="shared" si="100"/>
        <v/>
      </c>
      <c r="N249" s="114" t="str">
        <f t="shared" si="101"/>
        <v/>
      </c>
      <c r="O249" s="60">
        <v>0</v>
      </c>
      <c r="P249" s="116">
        <f t="shared" si="102"/>
        <v>0</v>
      </c>
      <c r="R249" s="117" t="str">
        <f t="shared" si="112"/>
        <v/>
      </c>
      <c r="S249" s="118" t="str">
        <f t="shared" si="92"/>
        <v/>
      </c>
      <c r="T249" s="118" t="str">
        <f t="shared" si="93"/>
        <v/>
      </c>
      <c r="U249" s="119">
        <f t="shared" si="103"/>
        <v>0</v>
      </c>
      <c r="V249" s="120" t="str">
        <f>IF(A249="","",IF(A249&lt;=Periodos_Gracia,0,PPMT(Tasa_Anual/360*Días*(1+I.V.A.),Tabla!AM249,No._De_Pagos_con_periodo_de_gracia,-Monto_Crédito)))</f>
        <v/>
      </c>
      <c r="W249" s="110" t="str">
        <f>IF($U$258&lt;=0,V249,IF(SUM($U$18:U249)&lt;=0,V249,PMT($K$5/360*Días,A249,-R249)))</f>
        <v/>
      </c>
      <c r="X249" s="121" t="str">
        <f>IF($U$258&lt;=0,W249,IF(SUM($U$18:U249)&lt;=0,V249,PMT($K$5/360*Días,No._De_Pagos_con_periodo_de_gracia,-Monto_Crédito)-S249-T249))</f>
        <v/>
      </c>
      <c r="Y249" s="117" t="str">
        <f t="shared" si="104"/>
        <v/>
      </c>
      <c r="Z249" s="61" t="str">
        <f>+IF(A249="","",IF(No._de_Pagos-Tabla!A249+1&lt;=0,"",No._de_Pagos-Tabla!A249+1))</f>
        <v/>
      </c>
      <c r="AA249" s="122" t="str">
        <f t="shared" si="105"/>
        <v/>
      </c>
      <c r="AB249" s="124" t="str">
        <f t="shared" si="111"/>
        <v/>
      </c>
      <c r="AC249" s="124" t="str">
        <f t="shared" si="94"/>
        <v/>
      </c>
      <c r="AD249" s="124" t="str">
        <f t="shared" si="95"/>
        <v/>
      </c>
      <c r="AE249" s="119">
        <f t="shared" si="106"/>
        <v>0</v>
      </c>
      <c r="AF249" s="120" t="str">
        <f t="shared" si="96"/>
        <v/>
      </c>
      <c r="AG249" s="110" t="str">
        <f>IF($U$258&lt;=0,AF249,IF(SUM($U$18:U249)&lt;=0,AF249,PMT($K$5/360*Días,A249,-AA249)))</f>
        <v/>
      </c>
      <c r="AH249" s="121" t="str">
        <f>IF(A249&lt;=Periodos_Gracia,0,IF($U$258&lt;=0,AG249,IF(SUM($U$18:U249)&lt;=0,AF249,PMT($K$5/360*Días,No._de_Pagos,-Monto_Crédito)-AC249-AD249)))</f>
        <v/>
      </c>
      <c r="AI249" s="125" t="str">
        <f t="shared" si="107"/>
        <v/>
      </c>
      <c r="AK249" s="126" t="str">
        <f>IF(A249="","",IF(Periodos_Gracia&gt;0,Tabla!AN249,V249+S249))</f>
        <v/>
      </c>
      <c r="AL249" s="126" t="str">
        <f t="shared" si="97"/>
        <v/>
      </c>
      <c r="AM249" s="61" t="str">
        <f t="shared" si="108"/>
        <v/>
      </c>
      <c r="AN249" s="127" t="str">
        <f>IF(A249="","",IF(A249&lt;=Periodos_Gracia,Tabla!S249,PPMT(Tasa_Anual/360*Días*(1+I.V.A.),Tabla!AM249,No._De_Pagos_con_periodo_de_gracia,-Monto_Crédito)+S249))</f>
        <v/>
      </c>
      <c r="AO249" s="127" t="str">
        <f>IF(A249="","",IF(A249&lt;=Periodos_Gracia,Tabla!AC249,Monto_Crédito/(No._De_Pagos_con_periodo_de_gracia)+AC249))</f>
        <v/>
      </c>
      <c r="AP249" s="117"/>
    </row>
    <row r="250" spans="1:42" x14ac:dyDescent="0.2">
      <c r="A250" s="107" t="str">
        <f>IF(A249&lt;Parámetros!$E$6,A249+1,"")</f>
        <v/>
      </c>
      <c r="B250" s="108" t="str">
        <f t="shared" si="109"/>
        <v/>
      </c>
      <c r="C250" s="108" t="str">
        <f t="shared" si="85"/>
        <v/>
      </c>
      <c r="D250" s="108" t="str">
        <f t="shared" si="86"/>
        <v/>
      </c>
      <c r="E250" s="108" t="str">
        <f t="shared" si="87"/>
        <v/>
      </c>
      <c r="F250" s="108" t="str">
        <f t="shared" si="88"/>
        <v/>
      </c>
      <c r="G250" s="114" t="str">
        <f t="shared" si="98"/>
        <v/>
      </c>
      <c r="H250" s="115">
        <f t="shared" si="99"/>
        <v>0</v>
      </c>
      <c r="I250" s="108" t="str">
        <f t="shared" si="110"/>
        <v/>
      </c>
      <c r="J250" s="108" t="str">
        <f t="shared" si="89"/>
        <v/>
      </c>
      <c r="K250" s="108" t="str">
        <f t="shared" si="90"/>
        <v/>
      </c>
      <c r="L250" s="108" t="str">
        <f t="shared" si="91"/>
        <v/>
      </c>
      <c r="M250" s="108" t="str">
        <f t="shared" si="100"/>
        <v/>
      </c>
      <c r="N250" s="114" t="str">
        <f t="shared" si="101"/>
        <v/>
      </c>
      <c r="O250" s="60">
        <v>0</v>
      </c>
      <c r="P250" s="116">
        <f t="shared" si="102"/>
        <v>0</v>
      </c>
      <c r="R250" s="117" t="str">
        <f t="shared" si="112"/>
        <v/>
      </c>
      <c r="S250" s="118" t="str">
        <f t="shared" si="92"/>
        <v/>
      </c>
      <c r="T250" s="118" t="str">
        <f t="shared" si="93"/>
        <v/>
      </c>
      <c r="U250" s="119">
        <f t="shared" si="103"/>
        <v>0</v>
      </c>
      <c r="V250" s="120" t="str">
        <f>IF(A250="","",IF(A250&lt;=Periodos_Gracia,0,PPMT(Tasa_Anual/360*Días*(1+I.V.A.),Tabla!AM250,No._De_Pagos_con_periodo_de_gracia,-Monto_Crédito)))</f>
        <v/>
      </c>
      <c r="W250" s="110" t="str">
        <f>IF($U$258&lt;=0,V250,IF(SUM($U$18:U250)&lt;=0,V250,PMT($K$5/360*Días,A250,-R250)))</f>
        <v/>
      </c>
      <c r="X250" s="121" t="str">
        <f>IF($U$258&lt;=0,W250,IF(SUM($U$18:U250)&lt;=0,V250,PMT($K$5/360*Días,No._De_Pagos_con_periodo_de_gracia,-Monto_Crédito)-S250-T250))</f>
        <v/>
      </c>
      <c r="Y250" s="117" t="str">
        <f t="shared" si="104"/>
        <v/>
      </c>
      <c r="Z250" s="61" t="str">
        <f>+IF(A250="","",IF(No._de_Pagos-Tabla!A250+1&lt;=0,"",No._de_Pagos-Tabla!A250+1))</f>
        <v/>
      </c>
      <c r="AA250" s="122" t="str">
        <f t="shared" si="105"/>
        <v/>
      </c>
      <c r="AB250" s="124" t="str">
        <f t="shared" si="111"/>
        <v/>
      </c>
      <c r="AC250" s="124" t="str">
        <f t="shared" si="94"/>
        <v/>
      </c>
      <c r="AD250" s="124" t="str">
        <f t="shared" si="95"/>
        <v/>
      </c>
      <c r="AE250" s="119">
        <f t="shared" si="106"/>
        <v>0</v>
      </c>
      <c r="AF250" s="120" t="str">
        <f t="shared" si="96"/>
        <v/>
      </c>
      <c r="AG250" s="110" t="str">
        <f>IF($U$258&lt;=0,AF250,IF(SUM($U$18:U250)&lt;=0,AF250,PMT($K$5/360*Días,A250,-AA250)))</f>
        <v/>
      </c>
      <c r="AH250" s="121" t="str">
        <f>IF(A250&lt;=Periodos_Gracia,0,IF($U$258&lt;=0,AG250,IF(SUM($U$18:U250)&lt;=0,AF250,PMT($K$5/360*Días,No._de_Pagos,-Monto_Crédito)-AC250-AD250)))</f>
        <v/>
      </c>
      <c r="AI250" s="125" t="str">
        <f t="shared" si="107"/>
        <v/>
      </c>
      <c r="AK250" s="126" t="str">
        <f>IF(A250="","",IF(Periodos_Gracia&gt;0,Tabla!AN250,V250+S250))</f>
        <v/>
      </c>
      <c r="AL250" s="126" t="str">
        <f t="shared" si="97"/>
        <v/>
      </c>
      <c r="AM250" s="61" t="str">
        <f t="shared" si="108"/>
        <v/>
      </c>
      <c r="AN250" s="127" t="str">
        <f>IF(A250="","",IF(A250&lt;=Periodos_Gracia,Tabla!S250,PPMT(Tasa_Anual/360*Días*(1+I.V.A.),Tabla!AM250,No._De_Pagos_con_periodo_de_gracia,-Monto_Crédito)+S250))</f>
        <v/>
      </c>
      <c r="AO250" s="127" t="str">
        <f>IF(A250="","",IF(A250&lt;=Periodos_Gracia,Tabla!AC250,Monto_Crédito/(No._De_Pagos_con_periodo_de_gracia)+AC250))</f>
        <v/>
      </c>
      <c r="AP250" s="117"/>
    </row>
    <row r="251" spans="1:42" x14ac:dyDescent="0.2">
      <c r="A251" s="107" t="str">
        <f>IF(A250&lt;Parámetros!$E$6,A250+1,"")</f>
        <v/>
      </c>
      <c r="B251" s="108" t="str">
        <f t="shared" si="109"/>
        <v/>
      </c>
      <c r="C251" s="108" t="str">
        <f t="shared" si="85"/>
        <v/>
      </c>
      <c r="D251" s="108" t="str">
        <f t="shared" si="86"/>
        <v/>
      </c>
      <c r="E251" s="108" t="str">
        <f t="shared" si="87"/>
        <v/>
      </c>
      <c r="F251" s="108" t="str">
        <f t="shared" si="88"/>
        <v/>
      </c>
      <c r="G251" s="114" t="str">
        <f t="shared" si="98"/>
        <v/>
      </c>
      <c r="H251" s="115">
        <f t="shared" si="99"/>
        <v>0</v>
      </c>
      <c r="I251" s="108" t="str">
        <f t="shared" si="110"/>
        <v/>
      </c>
      <c r="J251" s="108" t="str">
        <f t="shared" si="89"/>
        <v/>
      </c>
      <c r="K251" s="108" t="str">
        <f t="shared" si="90"/>
        <v/>
      </c>
      <c r="L251" s="108" t="str">
        <f t="shared" si="91"/>
        <v/>
      </c>
      <c r="M251" s="108" t="str">
        <f t="shared" si="100"/>
        <v/>
      </c>
      <c r="N251" s="114" t="str">
        <f t="shared" si="101"/>
        <v/>
      </c>
      <c r="O251" s="60">
        <v>0</v>
      </c>
      <c r="P251" s="116">
        <f t="shared" si="102"/>
        <v>0</v>
      </c>
      <c r="R251" s="117" t="str">
        <f t="shared" si="112"/>
        <v/>
      </c>
      <c r="S251" s="118" t="str">
        <f t="shared" si="92"/>
        <v/>
      </c>
      <c r="T251" s="118" t="str">
        <f t="shared" si="93"/>
        <v/>
      </c>
      <c r="U251" s="119">
        <f t="shared" si="103"/>
        <v>0</v>
      </c>
      <c r="V251" s="120" t="str">
        <f>IF(A251="","",IF(A251&lt;=Periodos_Gracia,0,PPMT(Tasa_Anual/360*Días*(1+I.V.A.),Tabla!AM251,No._De_Pagos_con_periodo_de_gracia,-Monto_Crédito)))</f>
        <v/>
      </c>
      <c r="W251" s="110" t="str">
        <f>IF($U$258&lt;=0,V251,IF(SUM($U$18:U251)&lt;=0,V251,PMT($K$5/360*Días,A251,-R251)))</f>
        <v/>
      </c>
      <c r="X251" s="121" t="str">
        <f>IF($U$258&lt;=0,W251,IF(SUM($U$18:U251)&lt;=0,V251,PMT($K$5/360*Días,No._De_Pagos_con_periodo_de_gracia,-Monto_Crédito)-S251-T251))</f>
        <v/>
      </c>
      <c r="Y251" s="117" t="str">
        <f t="shared" si="104"/>
        <v/>
      </c>
      <c r="Z251" s="61" t="str">
        <f>+IF(A251="","",IF(No._de_Pagos-Tabla!A251+1&lt;=0,"",No._de_Pagos-Tabla!A251+1))</f>
        <v/>
      </c>
      <c r="AA251" s="122" t="str">
        <f t="shared" si="105"/>
        <v/>
      </c>
      <c r="AB251" s="124" t="str">
        <f t="shared" si="111"/>
        <v/>
      </c>
      <c r="AC251" s="124" t="str">
        <f t="shared" si="94"/>
        <v/>
      </c>
      <c r="AD251" s="124" t="str">
        <f t="shared" si="95"/>
        <v/>
      </c>
      <c r="AE251" s="119">
        <f t="shared" si="106"/>
        <v>0</v>
      </c>
      <c r="AF251" s="120" t="str">
        <f t="shared" si="96"/>
        <v/>
      </c>
      <c r="AG251" s="110" t="str">
        <f>IF($U$258&lt;=0,AF251,IF(SUM($U$18:U251)&lt;=0,AF251,PMT($K$5/360*Días,A251,-AA251)))</f>
        <v/>
      </c>
      <c r="AH251" s="121" t="str">
        <f>IF(A251&lt;=Periodos_Gracia,0,IF($U$258&lt;=0,AG251,IF(SUM($U$18:U251)&lt;=0,AF251,PMT($K$5/360*Días,No._de_Pagos,-Monto_Crédito)-AC251-AD251)))</f>
        <v/>
      </c>
      <c r="AI251" s="125" t="str">
        <f t="shared" si="107"/>
        <v/>
      </c>
      <c r="AK251" s="126" t="str">
        <f>IF(A251="","",IF(Periodos_Gracia&gt;0,Tabla!AN251,V251+S251))</f>
        <v/>
      </c>
      <c r="AL251" s="126" t="str">
        <f t="shared" si="97"/>
        <v/>
      </c>
      <c r="AM251" s="61" t="str">
        <f t="shared" si="108"/>
        <v/>
      </c>
      <c r="AN251" s="127" t="str">
        <f>IF(A251="","",IF(A251&lt;=Periodos_Gracia,Tabla!S251,PPMT(Tasa_Anual/360*Días*(1+I.V.A.),Tabla!AM251,No._De_Pagos_con_periodo_de_gracia,-Monto_Crédito)+S251))</f>
        <v/>
      </c>
      <c r="AO251" s="127" t="str">
        <f>IF(A251="","",IF(A251&lt;=Periodos_Gracia,Tabla!AC251,Monto_Crédito/(No._De_Pagos_con_periodo_de_gracia)+AC251))</f>
        <v/>
      </c>
      <c r="AP251" s="117"/>
    </row>
    <row r="252" spans="1:42" x14ac:dyDescent="0.2">
      <c r="A252" s="107" t="str">
        <f>IF(A251&lt;Parámetros!$E$6,A251+1,"")</f>
        <v/>
      </c>
      <c r="B252" s="108" t="str">
        <f t="shared" si="109"/>
        <v/>
      </c>
      <c r="C252" s="108" t="str">
        <f t="shared" si="85"/>
        <v/>
      </c>
      <c r="D252" s="108" t="str">
        <f t="shared" si="86"/>
        <v/>
      </c>
      <c r="E252" s="108" t="str">
        <f t="shared" si="87"/>
        <v/>
      </c>
      <c r="F252" s="108" t="str">
        <f t="shared" si="88"/>
        <v/>
      </c>
      <c r="G252" s="114" t="str">
        <f t="shared" si="98"/>
        <v/>
      </c>
      <c r="H252" s="115">
        <f t="shared" si="99"/>
        <v>0</v>
      </c>
      <c r="I252" s="108" t="str">
        <f t="shared" si="110"/>
        <v/>
      </c>
      <c r="J252" s="108" t="str">
        <f t="shared" si="89"/>
        <v/>
      </c>
      <c r="K252" s="108" t="str">
        <f t="shared" si="90"/>
        <v/>
      </c>
      <c r="L252" s="108" t="str">
        <f t="shared" si="91"/>
        <v/>
      </c>
      <c r="M252" s="108" t="str">
        <f t="shared" si="100"/>
        <v/>
      </c>
      <c r="N252" s="114" t="str">
        <f t="shared" si="101"/>
        <v/>
      </c>
      <c r="O252" s="60">
        <v>0</v>
      </c>
      <c r="P252" s="116">
        <f t="shared" si="102"/>
        <v>0</v>
      </c>
      <c r="R252" s="117" t="str">
        <f t="shared" si="112"/>
        <v/>
      </c>
      <c r="S252" s="118" t="str">
        <f t="shared" si="92"/>
        <v/>
      </c>
      <c r="T252" s="118" t="str">
        <f t="shared" si="93"/>
        <v/>
      </c>
      <c r="U252" s="119">
        <f t="shared" si="103"/>
        <v>0</v>
      </c>
      <c r="V252" s="120" t="str">
        <f>IF(A252="","",IF(A252&lt;=Periodos_Gracia,0,PPMT(Tasa_Anual/360*Días*(1+I.V.A.),Tabla!AM252,No._De_Pagos_con_periodo_de_gracia,-Monto_Crédito)))</f>
        <v/>
      </c>
      <c r="W252" s="110" t="str">
        <f>IF($U$258&lt;=0,V252,IF(SUM($U$18:U252)&lt;=0,V252,PMT($K$5/360*Días,A252,-R252)))</f>
        <v/>
      </c>
      <c r="X252" s="121" t="str">
        <f>IF($U$258&lt;=0,W252,IF(SUM($U$18:U252)&lt;=0,V252,PMT($K$5/360*Días,No._De_Pagos_con_periodo_de_gracia,-Monto_Crédito)-S252-T252))</f>
        <v/>
      </c>
      <c r="Y252" s="117" t="str">
        <f t="shared" si="104"/>
        <v/>
      </c>
      <c r="Z252" s="61" t="str">
        <f>+IF(A252="","",IF(No._de_Pagos-Tabla!A252+1&lt;=0,"",No._de_Pagos-Tabla!A252+1))</f>
        <v/>
      </c>
      <c r="AA252" s="122" t="str">
        <f t="shared" si="105"/>
        <v/>
      </c>
      <c r="AB252" s="124" t="str">
        <f t="shared" si="111"/>
        <v/>
      </c>
      <c r="AC252" s="124" t="str">
        <f t="shared" si="94"/>
        <v/>
      </c>
      <c r="AD252" s="124" t="str">
        <f t="shared" si="95"/>
        <v/>
      </c>
      <c r="AE252" s="119">
        <f t="shared" si="106"/>
        <v>0</v>
      </c>
      <c r="AF252" s="120" t="str">
        <f t="shared" si="96"/>
        <v/>
      </c>
      <c r="AG252" s="110" t="str">
        <f>IF($U$258&lt;=0,AF252,IF(SUM($U$18:U252)&lt;=0,AF252,PMT($K$5/360*Días,A252,-AA252)))</f>
        <v/>
      </c>
      <c r="AH252" s="121" t="str">
        <f>IF(A252&lt;=Periodos_Gracia,0,IF($U$258&lt;=0,AG252,IF(SUM($U$18:U252)&lt;=0,AF252,PMT($K$5/360*Días,No._de_Pagos,-Monto_Crédito)-AC252-AD252)))</f>
        <v/>
      </c>
      <c r="AI252" s="125" t="str">
        <f t="shared" si="107"/>
        <v/>
      </c>
      <c r="AK252" s="126" t="str">
        <f>IF(A252="","",IF(Periodos_Gracia&gt;0,Tabla!AN252,V252+S252))</f>
        <v/>
      </c>
      <c r="AL252" s="126" t="str">
        <f t="shared" si="97"/>
        <v/>
      </c>
      <c r="AM252" s="61" t="str">
        <f t="shared" si="108"/>
        <v/>
      </c>
      <c r="AN252" s="127" t="str">
        <f>IF(A252="","",IF(A252&lt;=Periodos_Gracia,Tabla!S252,PPMT(Tasa_Anual/360*Días*(1+I.V.A.),Tabla!AM252,No._De_Pagos_con_periodo_de_gracia,-Monto_Crédito)+S252))</f>
        <v/>
      </c>
      <c r="AO252" s="127" t="str">
        <f>IF(A252="","",IF(A252&lt;=Periodos_Gracia,Tabla!AC252,Monto_Crédito/(No._De_Pagos_con_periodo_de_gracia)+AC252))</f>
        <v/>
      </c>
      <c r="AP252" s="117"/>
    </row>
    <row r="253" spans="1:42" x14ac:dyDescent="0.2">
      <c r="A253" s="107" t="str">
        <f>IF(A252&lt;Parámetros!$E$6,A252+1,"")</f>
        <v/>
      </c>
      <c r="B253" s="108" t="str">
        <f t="shared" si="109"/>
        <v/>
      </c>
      <c r="C253" s="108" t="str">
        <f t="shared" si="85"/>
        <v/>
      </c>
      <c r="D253" s="108" t="str">
        <f t="shared" si="86"/>
        <v/>
      </c>
      <c r="E253" s="108" t="str">
        <f t="shared" si="87"/>
        <v/>
      </c>
      <c r="F253" s="108" t="str">
        <f t="shared" si="88"/>
        <v/>
      </c>
      <c r="G253" s="114" t="str">
        <f t="shared" si="98"/>
        <v/>
      </c>
      <c r="H253" s="115">
        <f t="shared" si="99"/>
        <v>0</v>
      </c>
      <c r="I253" s="108" t="str">
        <f t="shared" si="110"/>
        <v/>
      </c>
      <c r="J253" s="108" t="str">
        <f t="shared" si="89"/>
        <v/>
      </c>
      <c r="K253" s="108" t="str">
        <f t="shared" si="90"/>
        <v/>
      </c>
      <c r="L253" s="108" t="str">
        <f t="shared" si="91"/>
        <v/>
      </c>
      <c r="M253" s="108" t="str">
        <f t="shared" si="100"/>
        <v/>
      </c>
      <c r="N253" s="114" t="str">
        <f t="shared" si="101"/>
        <v/>
      </c>
      <c r="O253" s="60">
        <v>0</v>
      </c>
      <c r="P253" s="116">
        <f t="shared" si="102"/>
        <v>0</v>
      </c>
      <c r="R253" s="117" t="str">
        <f t="shared" si="112"/>
        <v/>
      </c>
      <c r="S253" s="118" t="str">
        <f t="shared" si="92"/>
        <v/>
      </c>
      <c r="T253" s="118" t="str">
        <f t="shared" si="93"/>
        <v/>
      </c>
      <c r="U253" s="119">
        <f t="shared" si="103"/>
        <v>0</v>
      </c>
      <c r="V253" s="120" t="str">
        <f>IF(A253="","",IF(A253&lt;=Periodos_Gracia,0,PPMT(Tasa_Anual/360*Días*(1+I.V.A.),Tabla!AM253,No._De_Pagos_con_periodo_de_gracia,-Monto_Crédito)))</f>
        <v/>
      </c>
      <c r="W253" s="110" t="str">
        <f>IF($U$258&lt;=0,V253,IF(SUM($U$18:U253)&lt;=0,V253,PMT($K$5/360*Días,A253,-R253)))</f>
        <v/>
      </c>
      <c r="X253" s="121" t="str">
        <f>IF($U$258&lt;=0,W253,IF(SUM($U$18:U253)&lt;=0,V253,PMT($K$5/360*Días,No._De_Pagos_con_periodo_de_gracia,-Monto_Crédito)-S253-T253))</f>
        <v/>
      </c>
      <c r="Y253" s="117" t="str">
        <f t="shared" si="104"/>
        <v/>
      </c>
      <c r="Z253" s="61" t="str">
        <f>+IF(A253="","",IF(No._de_Pagos-Tabla!A253+1&lt;=0,"",No._de_Pagos-Tabla!A253+1))</f>
        <v/>
      </c>
      <c r="AA253" s="122" t="str">
        <f t="shared" si="105"/>
        <v/>
      </c>
      <c r="AB253" s="124" t="str">
        <f t="shared" si="111"/>
        <v/>
      </c>
      <c r="AC253" s="124" t="str">
        <f t="shared" si="94"/>
        <v/>
      </c>
      <c r="AD253" s="124" t="str">
        <f t="shared" si="95"/>
        <v/>
      </c>
      <c r="AE253" s="119">
        <f t="shared" si="106"/>
        <v>0</v>
      </c>
      <c r="AF253" s="120" t="str">
        <f t="shared" si="96"/>
        <v/>
      </c>
      <c r="AG253" s="110" t="str">
        <f>IF($U$258&lt;=0,AF253,IF(SUM($U$18:U253)&lt;=0,AF253,PMT($K$5/360*Días,A253,-AA253)))</f>
        <v/>
      </c>
      <c r="AH253" s="121" t="str">
        <f>IF(A253&lt;=Periodos_Gracia,0,IF($U$258&lt;=0,AG253,IF(SUM($U$18:U253)&lt;=0,AF253,PMT($K$5/360*Días,No._de_Pagos,-Monto_Crédito)-AC253-AD253)))</f>
        <v/>
      </c>
      <c r="AI253" s="125" t="str">
        <f t="shared" si="107"/>
        <v/>
      </c>
      <c r="AK253" s="126" t="str">
        <f>IF(A253="","",IF(Periodos_Gracia&gt;0,Tabla!AN253,V253+S253))</f>
        <v/>
      </c>
      <c r="AL253" s="126" t="str">
        <f t="shared" si="97"/>
        <v/>
      </c>
      <c r="AM253" s="61" t="str">
        <f t="shared" si="108"/>
        <v/>
      </c>
      <c r="AN253" s="127" t="str">
        <f>IF(A253="","",IF(A253&lt;=Periodos_Gracia,Tabla!S253,PPMT(Tasa_Anual/360*Días*(1+I.V.A.),Tabla!AM253,No._De_Pagos_con_periodo_de_gracia,-Monto_Crédito)+S253))</f>
        <v/>
      </c>
      <c r="AO253" s="127" t="str">
        <f>IF(A253="","",IF(A253&lt;=Periodos_Gracia,Tabla!AC253,Monto_Crédito/(No._De_Pagos_con_periodo_de_gracia)+AC253))</f>
        <v/>
      </c>
      <c r="AP253" s="117"/>
    </row>
    <row r="254" spans="1:42" x14ac:dyDescent="0.2">
      <c r="A254" s="107" t="str">
        <f>IF(A253&lt;Parámetros!$E$6,A253+1,"")</f>
        <v/>
      </c>
      <c r="B254" s="108" t="str">
        <f t="shared" si="109"/>
        <v/>
      </c>
      <c r="C254" s="108" t="str">
        <f t="shared" si="85"/>
        <v/>
      </c>
      <c r="D254" s="108" t="str">
        <f t="shared" si="86"/>
        <v/>
      </c>
      <c r="E254" s="108" t="str">
        <f t="shared" si="87"/>
        <v/>
      </c>
      <c r="F254" s="108" t="str">
        <f t="shared" si="88"/>
        <v/>
      </c>
      <c r="G254" s="114" t="str">
        <f t="shared" si="98"/>
        <v/>
      </c>
      <c r="H254" s="115">
        <f t="shared" si="99"/>
        <v>0</v>
      </c>
      <c r="I254" s="108" t="str">
        <f t="shared" si="110"/>
        <v/>
      </c>
      <c r="J254" s="108" t="str">
        <f t="shared" si="89"/>
        <v/>
      </c>
      <c r="K254" s="108" t="str">
        <f t="shared" si="90"/>
        <v/>
      </c>
      <c r="L254" s="108" t="str">
        <f t="shared" si="91"/>
        <v/>
      </c>
      <c r="M254" s="108" t="str">
        <f t="shared" si="100"/>
        <v/>
      </c>
      <c r="N254" s="114" t="str">
        <f t="shared" si="101"/>
        <v/>
      </c>
      <c r="O254" s="60">
        <v>0</v>
      </c>
      <c r="P254" s="116">
        <f t="shared" si="102"/>
        <v>0</v>
      </c>
      <c r="R254" s="117" t="str">
        <f t="shared" si="112"/>
        <v/>
      </c>
      <c r="S254" s="118" t="str">
        <f t="shared" si="92"/>
        <v/>
      </c>
      <c r="T254" s="118" t="str">
        <f t="shared" si="93"/>
        <v/>
      </c>
      <c r="U254" s="119">
        <f t="shared" si="103"/>
        <v>0</v>
      </c>
      <c r="V254" s="120" t="str">
        <f>IF(A254="","",IF(A254&lt;=Periodos_Gracia,0,PPMT(Tasa_Anual/360*Días*(1+I.V.A.),Tabla!AM254,No._De_Pagos_con_periodo_de_gracia,-Monto_Crédito)))</f>
        <v/>
      </c>
      <c r="W254" s="110" t="str">
        <f>IF($U$258&lt;=0,V254,IF(SUM($U$18:U254)&lt;=0,V254,PMT($K$5/360*Días,A254,-R254)))</f>
        <v/>
      </c>
      <c r="X254" s="121" t="str">
        <f>IF($U$258&lt;=0,W254,IF(SUM($U$18:U254)&lt;=0,V254,PMT($K$5/360*Días,No._De_Pagos_con_periodo_de_gracia,-Monto_Crédito)-S254-T254))</f>
        <v/>
      </c>
      <c r="Y254" s="117" t="str">
        <f t="shared" si="104"/>
        <v/>
      </c>
      <c r="Z254" s="61" t="str">
        <f>+IF(A254="","",IF(No._de_Pagos-Tabla!A254+1&lt;=0,"",No._de_Pagos-Tabla!A254+1))</f>
        <v/>
      </c>
      <c r="AA254" s="122" t="str">
        <f t="shared" si="105"/>
        <v/>
      </c>
      <c r="AB254" s="124" t="str">
        <f t="shared" si="111"/>
        <v/>
      </c>
      <c r="AC254" s="124" t="str">
        <f t="shared" si="94"/>
        <v/>
      </c>
      <c r="AD254" s="124" t="str">
        <f t="shared" si="95"/>
        <v/>
      </c>
      <c r="AE254" s="119">
        <f t="shared" si="106"/>
        <v>0</v>
      </c>
      <c r="AF254" s="120" t="str">
        <f t="shared" si="96"/>
        <v/>
      </c>
      <c r="AG254" s="110" t="str">
        <f>IF($U$258&lt;=0,AF254,IF(SUM($U$18:U254)&lt;=0,AF254,PMT($K$5/360*Días,A254,-AA254)))</f>
        <v/>
      </c>
      <c r="AH254" s="121" t="str">
        <f>IF(A254&lt;=Periodos_Gracia,0,IF($U$258&lt;=0,AG254,IF(SUM($U$18:U254)&lt;=0,AF254,PMT($K$5/360*Días,No._de_Pagos,-Monto_Crédito)-AC254-AD254)))</f>
        <v/>
      </c>
      <c r="AI254" s="125" t="str">
        <f t="shared" si="107"/>
        <v/>
      </c>
      <c r="AK254" s="126" t="str">
        <f>IF(A254="","",IF(Periodos_Gracia&gt;0,Tabla!AN254,V254+S254))</f>
        <v/>
      </c>
      <c r="AL254" s="126" t="str">
        <f t="shared" si="97"/>
        <v/>
      </c>
      <c r="AM254" s="61" t="str">
        <f t="shared" si="108"/>
        <v/>
      </c>
      <c r="AN254" s="127" t="str">
        <f>IF(A254="","",IF(A254&lt;=Periodos_Gracia,Tabla!S254,PPMT(Tasa_Anual/360*Días*(1+I.V.A.),Tabla!AM254,No._De_Pagos_con_periodo_de_gracia,-Monto_Crédito)+S254))</f>
        <v/>
      </c>
      <c r="AO254" s="127" t="str">
        <f>IF(A254="","",IF(A254&lt;=Periodos_Gracia,Tabla!AC254,Monto_Crédito/(No._De_Pagos_con_periodo_de_gracia)+AC254))</f>
        <v/>
      </c>
      <c r="AP254" s="117"/>
    </row>
    <row r="255" spans="1:42" x14ac:dyDescent="0.2">
      <c r="A255" s="107" t="str">
        <f>IF(A254&lt;Parámetros!$E$6,A254+1,"")</f>
        <v/>
      </c>
      <c r="B255" s="108" t="str">
        <f t="shared" si="109"/>
        <v/>
      </c>
      <c r="C255" s="108" t="str">
        <f t="shared" si="85"/>
        <v/>
      </c>
      <c r="D255" s="108" t="str">
        <f t="shared" si="86"/>
        <v/>
      </c>
      <c r="E255" s="108" t="str">
        <f t="shared" si="87"/>
        <v/>
      </c>
      <c r="F255" s="108" t="str">
        <f t="shared" si="88"/>
        <v/>
      </c>
      <c r="G255" s="114" t="str">
        <f t="shared" si="98"/>
        <v/>
      </c>
      <c r="H255" s="115">
        <f t="shared" si="99"/>
        <v>0</v>
      </c>
      <c r="I255" s="108" t="str">
        <f t="shared" si="110"/>
        <v/>
      </c>
      <c r="J255" s="108" t="str">
        <f t="shared" si="89"/>
        <v/>
      </c>
      <c r="K255" s="108" t="str">
        <f t="shared" si="90"/>
        <v/>
      </c>
      <c r="L255" s="108" t="str">
        <f t="shared" si="91"/>
        <v/>
      </c>
      <c r="M255" s="108" t="str">
        <f t="shared" si="100"/>
        <v/>
      </c>
      <c r="N255" s="114" t="str">
        <f t="shared" si="101"/>
        <v/>
      </c>
      <c r="O255" s="60">
        <v>0</v>
      </c>
      <c r="P255" s="116">
        <f t="shared" si="102"/>
        <v>0</v>
      </c>
      <c r="R255" s="117" t="str">
        <f t="shared" si="112"/>
        <v/>
      </c>
      <c r="S255" s="118" t="str">
        <f t="shared" si="92"/>
        <v/>
      </c>
      <c r="T255" s="118" t="str">
        <f t="shared" si="93"/>
        <v/>
      </c>
      <c r="U255" s="119">
        <f t="shared" si="103"/>
        <v>0</v>
      </c>
      <c r="V255" s="120" t="str">
        <f>IF(A255="","",IF(A255&lt;=Periodos_Gracia,0,PPMT(Tasa_Anual/360*Días*(1+I.V.A.),Tabla!AM255,No._De_Pagos_con_periodo_de_gracia,-Monto_Crédito)))</f>
        <v/>
      </c>
      <c r="W255" s="110" t="str">
        <f>IF($U$258&lt;=0,V255,IF(SUM($U$18:U255)&lt;=0,V255,PMT($K$5/360*Días,A255,-R255)))</f>
        <v/>
      </c>
      <c r="X255" s="121" t="str">
        <f>IF($U$258&lt;=0,W255,IF(SUM($U$18:U255)&lt;=0,V255,PMT($K$5/360*Días,No._De_Pagos_con_periodo_de_gracia,-Monto_Crédito)-S255-T255))</f>
        <v/>
      </c>
      <c r="Y255" s="117" t="str">
        <f t="shared" si="104"/>
        <v/>
      </c>
      <c r="Z255" s="61" t="str">
        <f>+IF(A255="","",IF(No._de_Pagos-Tabla!A255+1&lt;=0,"",No._de_Pagos-Tabla!A255+1))</f>
        <v/>
      </c>
      <c r="AA255" s="122" t="str">
        <f t="shared" si="105"/>
        <v/>
      </c>
      <c r="AB255" s="124" t="str">
        <f t="shared" si="111"/>
        <v/>
      </c>
      <c r="AC255" s="124" t="str">
        <f t="shared" si="94"/>
        <v/>
      </c>
      <c r="AD255" s="124" t="str">
        <f t="shared" si="95"/>
        <v/>
      </c>
      <c r="AE255" s="119">
        <f t="shared" si="106"/>
        <v>0</v>
      </c>
      <c r="AF255" s="120" t="str">
        <f t="shared" si="96"/>
        <v/>
      </c>
      <c r="AG255" s="110" t="str">
        <f>IF($U$258&lt;=0,AF255,IF(SUM($U$18:U255)&lt;=0,AF255,PMT($K$5/360*Días,A255,-AA255)))</f>
        <v/>
      </c>
      <c r="AH255" s="121" t="str">
        <f>IF(A255&lt;=Periodos_Gracia,0,IF($U$258&lt;=0,AG255,IF(SUM($U$18:U255)&lt;=0,AF255,PMT($K$5/360*Días,No._de_Pagos,-Monto_Crédito)-AC255-AD255)))</f>
        <v/>
      </c>
      <c r="AI255" s="125" t="str">
        <f t="shared" si="107"/>
        <v/>
      </c>
      <c r="AK255" s="126" t="str">
        <f>IF(A255="","",IF(Periodos_Gracia&gt;0,Tabla!AN255,V255+S255))</f>
        <v/>
      </c>
      <c r="AL255" s="126" t="str">
        <f t="shared" si="97"/>
        <v/>
      </c>
      <c r="AM255" s="61" t="str">
        <f t="shared" si="108"/>
        <v/>
      </c>
      <c r="AN255" s="127" t="str">
        <f>IF(A255="","",IF(A255&lt;=Periodos_Gracia,Tabla!S255,PPMT(Tasa_Anual/360*Días*(1+I.V.A.),Tabla!AM255,No._De_Pagos_con_periodo_de_gracia,-Monto_Crédito)+S255))</f>
        <v/>
      </c>
      <c r="AO255" s="127" t="str">
        <f>IF(A255="","",IF(A255&lt;=Periodos_Gracia,Tabla!AC255,Monto_Crédito/(No._De_Pagos_con_periodo_de_gracia)+AC255))</f>
        <v/>
      </c>
      <c r="AP255" s="117"/>
    </row>
    <row r="256" spans="1:42" x14ac:dyDescent="0.2">
      <c r="A256" s="107" t="str">
        <f>IF(A255&lt;Parámetros!$E$6,A255+1,"")</f>
        <v/>
      </c>
      <c r="B256" s="108" t="str">
        <f t="shared" si="109"/>
        <v/>
      </c>
      <c r="C256" s="108" t="str">
        <f t="shared" si="85"/>
        <v/>
      </c>
      <c r="D256" s="108" t="str">
        <f t="shared" si="86"/>
        <v/>
      </c>
      <c r="E256" s="108" t="str">
        <f t="shared" si="87"/>
        <v/>
      </c>
      <c r="F256" s="108" t="str">
        <f t="shared" si="88"/>
        <v/>
      </c>
      <c r="G256" s="114" t="str">
        <f t="shared" si="98"/>
        <v/>
      </c>
      <c r="H256" s="115">
        <f t="shared" si="99"/>
        <v>0</v>
      </c>
      <c r="I256" s="108" t="str">
        <f t="shared" si="110"/>
        <v/>
      </c>
      <c r="J256" s="108" t="str">
        <f t="shared" si="89"/>
        <v/>
      </c>
      <c r="K256" s="108" t="str">
        <f t="shared" si="90"/>
        <v/>
      </c>
      <c r="L256" s="108" t="str">
        <f t="shared" si="91"/>
        <v/>
      </c>
      <c r="M256" s="108" t="str">
        <f t="shared" si="100"/>
        <v/>
      </c>
      <c r="N256" s="114" t="str">
        <f t="shared" si="101"/>
        <v/>
      </c>
      <c r="O256" s="60">
        <v>0</v>
      </c>
      <c r="P256" s="116">
        <f t="shared" si="102"/>
        <v>0</v>
      </c>
      <c r="R256" s="117" t="str">
        <f t="shared" si="112"/>
        <v/>
      </c>
      <c r="S256" s="118" t="str">
        <f t="shared" si="92"/>
        <v/>
      </c>
      <c r="T256" s="118" t="str">
        <f t="shared" si="93"/>
        <v/>
      </c>
      <c r="U256" s="119">
        <f t="shared" si="103"/>
        <v>0</v>
      </c>
      <c r="V256" s="120" t="str">
        <f>IF(A256="","",IF(A256&lt;=Periodos_Gracia,0,PPMT(Tasa_Anual/360*Días*(1+I.V.A.),Tabla!AM256,No._De_Pagos_con_periodo_de_gracia,-Monto_Crédito)))</f>
        <v/>
      </c>
      <c r="W256" s="110" t="str">
        <f>IF($U$258&lt;=0,V256,IF(SUM($U$18:U256)&lt;=0,V256,PMT($K$5/360*Días,A256,-R256)))</f>
        <v/>
      </c>
      <c r="X256" s="121" t="str">
        <f>IF($U$258&lt;=0,W256,IF(SUM($U$18:U256)&lt;=0,V256,PMT($K$5/360*Días,No._De_Pagos_con_periodo_de_gracia,-Monto_Crédito)-S256-T256))</f>
        <v/>
      </c>
      <c r="Y256" s="117" t="str">
        <f t="shared" si="104"/>
        <v/>
      </c>
      <c r="Z256" s="61" t="str">
        <f>+IF(A256="","",IF(No._de_Pagos-Tabla!A256+1&lt;=0,"",No._de_Pagos-Tabla!A256+1))</f>
        <v/>
      </c>
      <c r="AA256" s="122" t="str">
        <f t="shared" si="105"/>
        <v/>
      </c>
      <c r="AB256" s="124" t="str">
        <f t="shared" si="111"/>
        <v/>
      </c>
      <c r="AC256" s="124" t="str">
        <f t="shared" si="94"/>
        <v/>
      </c>
      <c r="AD256" s="124" t="str">
        <f t="shared" si="95"/>
        <v/>
      </c>
      <c r="AE256" s="119">
        <f t="shared" si="106"/>
        <v>0</v>
      </c>
      <c r="AF256" s="120" t="str">
        <f t="shared" si="96"/>
        <v/>
      </c>
      <c r="AG256" s="110" t="str">
        <f>IF($U$258&lt;=0,AF256,IF(SUM($U$18:U256)&lt;=0,AF256,PMT($K$5/360*Días,A256,-AA256)))</f>
        <v/>
      </c>
      <c r="AH256" s="121" t="str">
        <f>IF(A256&lt;=Periodos_Gracia,0,IF($U$258&lt;=0,AG256,IF(SUM($U$18:U256)&lt;=0,AF256,PMT($K$5/360*Días,No._de_Pagos,-Monto_Crédito)-AC256-AD256)))</f>
        <v/>
      </c>
      <c r="AI256" s="125" t="str">
        <f t="shared" si="107"/>
        <v/>
      </c>
      <c r="AK256" s="126" t="str">
        <f>IF(A256="","",IF(Periodos_Gracia&gt;0,Tabla!AN256,V256+S256))</f>
        <v/>
      </c>
      <c r="AL256" s="126" t="str">
        <f t="shared" si="97"/>
        <v/>
      </c>
      <c r="AM256" s="61" t="str">
        <f t="shared" si="108"/>
        <v/>
      </c>
      <c r="AN256" s="127" t="str">
        <f>IF(A256="","",IF(A256&lt;=Periodos_Gracia,Tabla!S256,PPMT(Tasa_Anual/360*Días*(1+I.V.A.),Tabla!AM256,No._De_Pagos_con_periodo_de_gracia,-Monto_Crédito)+S256))</f>
        <v/>
      </c>
      <c r="AO256" s="127" t="str">
        <f>IF(A256="","",IF(A256&lt;=Periodos_Gracia,Tabla!AC256,Monto_Crédito/(No._De_Pagos_con_periodo_de_gracia)+AC256))</f>
        <v/>
      </c>
      <c r="AP256" s="117"/>
    </row>
    <row r="257" spans="1:42" ht="10.8" thickBot="1" x14ac:dyDescent="0.25">
      <c r="A257" s="107" t="str">
        <f>IF(A256&lt;Parámetros!$E$6,A256+1,"")</f>
        <v/>
      </c>
      <c r="B257" s="108" t="str">
        <f t="shared" si="109"/>
        <v/>
      </c>
      <c r="C257" s="108" t="str">
        <f t="shared" si="85"/>
        <v/>
      </c>
      <c r="D257" s="108" t="str">
        <f t="shared" si="86"/>
        <v/>
      </c>
      <c r="E257" s="108" t="str">
        <f t="shared" si="87"/>
        <v/>
      </c>
      <c r="F257" s="108" t="str">
        <f t="shared" si="88"/>
        <v/>
      </c>
      <c r="G257" s="114" t="str">
        <f t="shared" si="98"/>
        <v/>
      </c>
      <c r="H257" s="115">
        <f t="shared" si="99"/>
        <v>0</v>
      </c>
      <c r="I257" s="108" t="str">
        <f t="shared" si="110"/>
        <v/>
      </c>
      <c r="J257" s="108" t="str">
        <f t="shared" si="89"/>
        <v/>
      </c>
      <c r="K257" s="108" t="str">
        <f t="shared" si="90"/>
        <v/>
      </c>
      <c r="L257" s="108" t="str">
        <f t="shared" si="91"/>
        <v/>
      </c>
      <c r="M257" s="108" t="str">
        <f t="shared" si="100"/>
        <v/>
      </c>
      <c r="N257" s="114" t="str">
        <f t="shared" si="101"/>
        <v/>
      </c>
      <c r="O257" s="60">
        <v>0</v>
      </c>
      <c r="P257" s="116">
        <f t="shared" si="102"/>
        <v>0</v>
      </c>
      <c r="R257" s="117" t="str">
        <f t="shared" si="112"/>
        <v/>
      </c>
      <c r="S257" s="118" t="str">
        <f t="shared" si="92"/>
        <v/>
      </c>
      <c r="T257" s="118" t="str">
        <f t="shared" si="93"/>
        <v/>
      </c>
      <c r="U257" s="128">
        <f t="shared" si="103"/>
        <v>0</v>
      </c>
      <c r="V257" s="120" t="str">
        <f>IF(A257="","",IF(A257&lt;=Periodos_Gracia,0,PPMT(Tasa_Anual/360*Días*(1+I.V.A.),Tabla!AM257,No._De_Pagos_con_periodo_de_gracia,-Monto_Crédito)))</f>
        <v/>
      </c>
      <c r="W257" s="110" t="str">
        <f>IF($U$258&lt;=0,V257,IF(SUM($U$18:U257)&lt;=0,V257,PMT($K$5/360*Días,A257,-R257)))</f>
        <v/>
      </c>
      <c r="X257" s="121" t="str">
        <f>IF($U$258&lt;=0,W257,IF(SUM($U$18:U257)&lt;=0,V257,PMT($K$5/360*Días,No._De_Pagos_con_periodo_de_gracia,-Monto_Crédito)-S257-T257))</f>
        <v/>
      </c>
      <c r="Y257" s="117" t="str">
        <f t="shared" si="104"/>
        <v/>
      </c>
      <c r="Z257" s="61" t="str">
        <f>+IF(A257="","",IF(No._de_Pagos-Tabla!A257+1&lt;=0,"",No._de_Pagos-Tabla!A257+1))</f>
        <v/>
      </c>
      <c r="AA257" s="122" t="str">
        <f t="shared" si="105"/>
        <v/>
      </c>
      <c r="AB257" s="124" t="str">
        <f t="shared" si="111"/>
        <v/>
      </c>
      <c r="AC257" s="124" t="str">
        <f t="shared" si="94"/>
        <v/>
      </c>
      <c r="AD257" s="124" t="str">
        <f t="shared" si="95"/>
        <v/>
      </c>
      <c r="AE257" s="119">
        <f t="shared" si="106"/>
        <v>0</v>
      </c>
      <c r="AF257" s="120" t="str">
        <f t="shared" si="96"/>
        <v/>
      </c>
      <c r="AG257" s="110" t="str">
        <f>IF($U$258&lt;=0,AF257,IF(SUM($U$18:U257)&lt;=0,AF257,PMT($K$5/360*Días,A257,-AA257)))</f>
        <v/>
      </c>
      <c r="AH257" s="121" t="str">
        <f>IF(A257&lt;=Periodos_Gracia,0,IF($U$258&lt;=0,AG257,IF(SUM($U$18:U257)&lt;=0,AF257,PMT($K$5/360*Días,No._de_Pagos,-Monto_Crédito)-AC257-AD257)))</f>
        <v/>
      </c>
      <c r="AI257" s="125" t="str">
        <f t="shared" si="107"/>
        <v/>
      </c>
      <c r="AK257" s="126" t="str">
        <f>IF(A257="","",IF(Periodos_Gracia&gt;0,Tabla!AN257,V257+S257))</f>
        <v/>
      </c>
      <c r="AL257" s="126" t="str">
        <f t="shared" si="97"/>
        <v/>
      </c>
      <c r="AM257" s="61" t="str">
        <f t="shared" si="108"/>
        <v/>
      </c>
      <c r="AN257" s="127" t="str">
        <f>IF(A257="","",IF(A257&lt;=Periodos_Gracia,Tabla!S257,PPMT(Tasa_Anual/360*Días*(1+I.V.A.),Tabla!AM257,No._De_Pagos_con_periodo_de_gracia,-Monto_Crédito)+S257))</f>
        <v/>
      </c>
      <c r="AO257" s="127" t="str">
        <f>IF(A257="","",IF(A257&lt;=Periodos_Gracia,Tabla!AC257,Monto_Crédito/(No._De_Pagos_con_periodo_de_gracia)+AC257))</f>
        <v/>
      </c>
      <c r="AP257" s="117"/>
    </row>
    <row r="258" spans="1:42" ht="10.8" thickTop="1" x14ac:dyDescent="0.2">
      <c r="A258" s="107"/>
      <c r="B258" s="129" t="s">
        <v>14</v>
      </c>
      <c r="C258" s="130">
        <f>SUM(C18:C257)</f>
        <v>1000000</v>
      </c>
      <c r="D258" s="130">
        <f>SUM(D18:D257)</f>
        <v>428105.49233541312</v>
      </c>
      <c r="E258" s="130">
        <f>SUM(E18:E257)</f>
        <v>68496.878773666089</v>
      </c>
      <c r="F258" s="130">
        <f>SUM(F18:F257)</f>
        <v>1496602.3711090772</v>
      </c>
      <c r="H258" s="115">
        <f>SUM(H18:H257)</f>
        <v>60</v>
      </c>
      <c r="I258" s="108"/>
      <c r="J258" s="130">
        <f>SUM(J18:J257)</f>
        <v>999999.99999999919</v>
      </c>
      <c r="K258" s="130">
        <f>SUM(K18:K257)</f>
        <v>376181.91666666721</v>
      </c>
      <c r="L258" s="130">
        <f>SUM(L18:L257)</f>
        <v>60189.106666666754</v>
      </c>
      <c r="M258" s="130">
        <f>SUM(M18:M257)</f>
        <v>1436371.0233333337</v>
      </c>
      <c r="O258" s="130">
        <f>SUM(O18:O257)</f>
        <v>0</v>
      </c>
      <c r="P258" s="116">
        <f>SUM(P18:P257)</f>
        <v>60</v>
      </c>
      <c r="U258" s="131">
        <f>SUM(U18:U257)</f>
        <v>0</v>
      </c>
      <c r="AE258" s="119">
        <f t="shared" si="106"/>
        <v>0</v>
      </c>
      <c r="AO258" s="117"/>
      <c r="AP258" s="117"/>
    </row>
    <row r="259" spans="1:42" x14ac:dyDescent="0.2">
      <c r="A259" s="107"/>
      <c r="B259" s="132"/>
      <c r="C259" s="129"/>
      <c r="D259" s="108"/>
      <c r="E259" s="108"/>
      <c r="F259" s="108"/>
      <c r="G259" s="108"/>
      <c r="I259" s="132"/>
      <c r="J259" s="129"/>
      <c r="K259" s="108"/>
      <c r="L259" s="108"/>
      <c r="M259" s="108"/>
      <c r="N259" s="108"/>
    </row>
    <row r="260" spans="1:42" x14ac:dyDescent="0.2">
      <c r="A260" s="272" t="s">
        <v>117</v>
      </c>
      <c r="B260" s="272"/>
      <c r="C260" s="272"/>
      <c r="D260" s="272"/>
      <c r="E260" s="272"/>
      <c r="F260" s="272"/>
      <c r="G260" s="272"/>
      <c r="H260" s="272"/>
      <c r="I260" s="272"/>
      <c r="J260" s="272"/>
      <c r="K260" s="272"/>
      <c r="L260" s="272"/>
      <c r="M260" s="272"/>
      <c r="N260" s="272"/>
      <c r="O260" s="272"/>
    </row>
    <row r="261" spans="1:42" x14ac:dyDescent="0.2">
      <c r="A261" s="107"/>
      <c r="F261" s="133"/>
      <c r="M261" s="117"/>
    </row>
    <row r="262" spans="1:42" x14ac:dyDescent="0.2">
      <c r="A262" s="107"/>
      <c r="F262" s="133"/>
      <c r="M262" s="117"/>
      <c r="N262" s="117"/>
    </row>
    <row r="263" spans="1:42" x14ac:dyDescent="0.2">
      <c r="A263" s="107"/>
      <c r="F263" s="133"/>
      <c r="M263" s="117"/>
      <c r="N263" s="117"/>
    </row>
    <row r="264" spans="1:42" x14ac:dyDescent="0.2">
      <c r="A264" s="107"/>
      <c r="F264" s="133"/>
      <c r="M264" s="117"/>
      <c r="N264" s="117"/>
    </row>
    <row r="265" spans="1:42" x14ac:dyDescent="0.2">
      <c r="A265" s="107"/>
      <c r="F265" s="133"/>
      <c r="M265" s="117"/>
      <c r="N265" s="117"/>
    </row>
    <row r="266" spans="1:42" x14ac:dyDescent="0.2">
      <c r="A266" s="107"/>
      <c r="F266" s="133"/>
      <c r="M266" s="117"/>
      <c r="N266" s="117"/>
    </row>
    <row r="267" spans="1:42" x14ac:dyDescent="0.2">
      <c r="A267" s="107"/>
      <c r="F267" s="133"/>
      <c r="M267" s="117"/>
      <c r="N267" s="117"/>
    </row>
    <row r="268" spans="1:42" x14ac:dyDescent="0.2">
      <c r="A268" s="107"/>
      <c r="F268" s="133"/>
      <c r="M268" s="117"/>
      <c r="N268" s="117"/>
    </row>
    <row r="269" spans="1:42" x14ac:dyDescent="0.2">
      <c r="A269" s="107"/>
      <c r="F269" s="133"/>
      <c r="M269" s="117"/>
      <c r="N269" s="117"/>
    </row>
    <row r="270" spans="1:42" x14ac:dyDescent="0.2">
      <c r="A270" s="107"/>
      <c r="F270" s="133"/>
    </row>
    <row r="271" spans="1:42" x14ac:dyDescent="0.2">
      <c r="A271" s="107"/>
    </row>
    <row r="272" spans="1:42" x14ac:dyDescent="0.2">
      <c r="A272" s="107"/>
    </row>
    <row r="273" spans="1:1" x14ac:dyDescent="0.2">
      <c r="A273" s="107"/>
    </row>
    <row r="274" spans="1:1" x14ac:dyDescent="0.2">
      <c r="A274" s="107"/>
    </row>
    <row r="275" spans="1:1" x14ac:dyDescent="0.2">
      <c r="A275" s="107"/>
    </row>
    <row r="276" spans="1:1" x14ac:dyDescent="0.2">
      <c r="A276" s="107"/>
    </row>
    <row r="277" spans="1:1" x14ac:dyDescent="0.2">
      <c r="A277" s="107"/>
    </row>
    <row r="278" spans="1:1" x14ac:dyDescent="0.2">
      <c r="A278" s="107"/>
    </row>
    <row r="279" spans="1:1" x14ac:dyDescent="0.2">
      <c r="A279" s="107"/>
    </row>
    <row r="280" spans="1:1" x14ac:dyDescent="0.2">
      <c r="A280" s="107"/>
    </row>
    <row r="281" spans="1:1" x14ac:dyDescent="0.2">
      <c r="A281" s="107"/>
    </row>
    <row r="282" spans="1:1" x14ac:dyDescent="0.2">
      <c r="A282" s="107"/>
    </row>
    <row r="283" spans="1:1" x14ac:dyDescent="0.2">
      <c r="A283" s="107"/>
    </row>
    <row r="284" spans="1:1" x14ac:dyDescent="0.2">
      <c r="A284" s="107"/>
    </row>
    <row r="285" spans="1:1" x14ac:dyDescent="0.2">
      <c r="A285" s="107"/>
    </row>
    <row r="286" spans="1:1" x14ac:dyDescent="0.2">
      <c r="A286" s="107"/>
    </row>
    <row r="287" spans="1:1" x14ac:dyDescent="0.2">
      <c r="A287" s="107"/>
    </row>
    <row r="288" spans="1:1" x14ac:dyDescent="0.2">
      <c r="A288" s="107"/>
    </row>
    <row r="289" spans="1:1" x14ac:dyDescent="0.2">
      <c r="A289" s="107"/>
    </row>
    <row r="290" spans="1:1" x14ac:dyDescent="0.2">
      <c r="A290" s="107"/>
    </row>
    <row r="291" spans="1:1" x14ac:dyDescent="0.2">
      <c r="A291" s="107"/>
    </row>
    <row r="292" spans="1:1" x14ac:dyDescent="0.2">
      <c r="A292" s="107"/>
    </row>
    <row r="293" spans="1:1" x14ac:dyDescent="0.2">
      <c r="A293" s="107"/>
    </row>
    <row r="294" spans="1:1" x14ac:dyDescent="0.2">
      <c r="A294" s="107"/>
    </row>
    <row r="295" spans="1:1" x14ac:dyDescent="0.2">
      <c r="A295" s="107"/>
    </row>
    <row r="296" spans="1:1" x14ac:dyDescent="0.2">
      <c r="A296" s="107"/>
    </row>
    <row r="297" spans="1:1" x14ac:dyDescent="0.2">
      <c r="A297" s="107"/>
    </row>
    <row r="298" spans="1:1" x14ac:dyDescent="0.2">
      <c r="A298" s="107"/>
    </row>
    <row r="299" spans="1:1" x14ac:dyDescent="0.2">
      <c r="A299" s="107"/>
    </row>
    <row r="300" spans="1:1" x14ac:dyDescent="0.2">
      <c r="A300" s="107"/>
    </row>
    <row r="301" spans="1:1" x14ac:dyDescent="0.2">
      <c r="A301" s="107"/>
    </row>
    <row r="302" spans="1:1" x14ac:dyDescent="0.2">
      <c r="A302" s="107"/>
    </row>
    <row r="303" spans="1:1" x14ac:dyDescent="0.2">
      <c r="A303" s="107"/>
    </row>
    <row r="304" spans="1:1" x14ac:dyDescent="0.2">
      <c r="A304" s="107"/>
    </row>
    <row r="305" spans="1:1" x14ac:dyDescent="0.2">
      <c r="A305" s="107"/>
    </row>
    <row r="306" spans="1:1" x14ac:dyDescent="0.2">
      <c r="A306" s="107"/>
    </row>
    <row r="307" spans="1:1" x14ac:dyDescent="0.2">
      <c r="A307" s="107"/>
    </row>
    <row r="308" spans="1:1" x14ac:dyDescent="0.2">
      <c r="A308" s="107"/>
    </row>
    <row r="309" spans="1:1" x14ac:dyDescent="0.2">
      <c r="A309" s="107"/>
    </row>
    <row r="310" spans="1:1" x14ac:dyDescent="0.2">
      <c r="A310" s="107"/>
    </row>
    <row r="311" spans="1:1" x14ac:dyDescent="0.2">
      <c r="A311" s="107"/>
    </row>
    <row r="312" spans="1:1" x14ac:dyDescent="0.2">
      <c r="A312" s="107"/>
    </row>
    <row r="313" spans="1:1" x14ac:dyDescent="0.2">
      <c r="A313" s="107"/>
    </row>
    <row r="314" spans="1:1" x14ac:dyDescent="0.2">
      <c r="A314" s="107"/>
    </row>
    <row r="315" spans="1:1" x14ac:dyDescent="0.2">
      <c r="A315" s="107"/>
    </row>
    <row r="316" spans="1:1" x14ac:dyDescent="0.2">
      <c r="A316" s="107"/>
    </row>
    <row r="317" spans="1:1" x14ac:dyDescent="0.2">
      <c r="A317" s="107"/>
    </row>
    <row r="318" spans="1:1" x14ac:dyDescent="0.2">
      <c r="A318" s="107"/>
    </row>
    <row r="319" spans="1:1" x14ac:dyDescent="0.2">
      <c r="A319" s="107"/>
    </row>
    <row r="320" spans="1:1" x14ac:dyDescent="0.2">
      <c r="A320" s="107"/>
    </row>
    <row r="321" spans="1:1" x14ac:dyDescent="0.2">
      <c r="A321" s="107"/>
    </row>
    <row r="322" spans="1:1" x14ac:dyDescent="0.2">
      <c r="A322" s="107"/>
    </row>
    <row r="323" spans="1:1" x14ac:dyDescent="0.2">
      <c r="A323" s="107"/>
    </row>
    <row r="324" spans="1:1" x14ac:dyDescent="0.2">
      <c r="A324" s="107"/>
    </row>
    <row r="325" spans="1:1" x14ac:dyDescent="0.2">
      <c r="A325" s="107"/>
    </row>
    <row r="326" spans="1:1" x14ac:dyDescent="0.2">
      <c r="A326" s="107"/>
    </row>
    <row r="327" spans="1:1" x14ac:dyDescent="0.2">
      <c r="A327" s="107"/>
    </row>
    <row r="328" spans="1:1" x14ac:dyDescent="0.2">
      <c r="A328" s="107"/>
    </row>
    <row r="329" spans="1:1" x14ac:dyDescent="0.2">
      <c r="A329" s="107"/>
    </row>
    <row r="330" spans="1:1" x14ac:dyDescent="0.2">
      <c r="A330" s="107"/>
    </row>
    <row r="331" spans="1:1" x14ac:dyDescent="0.2">
      <c r="A331" s="107"/>
    </row>
    <row r="332" spans="1:1" x14ac:dyDescent="0.2">
      <c r="A332" s="107"/>
    </row>
    <row r="333" spans="1:1" x14ac:dyDescent="0.2">
      <c r="A333" s="107"/>
    </row>
    <row r="334" spans="1:1" x14ac:dyDescent="0.2">
      <c r="A334" s="107"/>
    </row>
    <row r="335" spans="1:1" x14ac:dyDescent="0.2">
      <c r="A335" s="107"/>
    </row>
    <row r="336" spans="1:1" x14ac:dyDescent="0.2">
      <c r="A336" s="107"/>
    </row>
    <row r="337" spans="1:1" x14ac:dyDescent="0.2">
      <c r="A337" s="107"/>
    </row>
    <row r="338" spans="1:1" x14ac:dyDescent="0.2">
      <c r="A338" s="107"/>
    </row>
    <row r="339" spans="1:1" x14ac:dyDescent="0.2">
      <c r="A339" s="107"/>
    </row>
    <row r="340" spans="1:1" x14ac:dyDescent="0.2">
      <c r="A340" s="107"/>
    </row>
    <row r="341" spans="1:1" x14ac:dyDescent="0.2">
      <c r="A341" s="107"/>
    </row>
    <row r="342" spans="1:1" x14ac:dyDescent="0.2">
      <c r="A342" s="107"/>
    </row>
    <row r="343" spans="1:1" x14ac:dyDescent="0.2">
      <c r="A343" s="107"/>
    </row>
    <row r="344" spans="1:1" x14ac:dyDescent="0.2">
      <c r="A344" s="107"/>
    </row>
    <row r="345" spans="1:1" x14ac:dyDescent="0.2">
      <c r="A345" s="107"/>
    </row>
    <row r="346" spans="1:1" x14ac:dyDescent="0.2">
      <c r="A346" s="107"/>
    </row>
    <row r="347" spans="1:1" x14ac:dyDescent="0.2">
      <c r="A347" s="107"/>
    </row>
    <row r="348" spans="1:1" x14ac:dyDescent="0.2">
      <c r="A348" s="107"/>
    </row>
    <row r="349" spans="1:1" x14ac:dyDescent="0.2">
      <c r="A349" s="107"/>
    </row>
    <row r="350" spans="1:1" x14ac:dyDescent="0.2">
      <c r="A350" s="107"/>
    </row>
    <row r="351" spans="1:1" x14ac:dyDescent="0.2">
      <c r="A351" s="107"/>
    </row>
    <row r="352" spans="1:1" x14ac:dyDescent="0.2">
      <c r="A352" s="107"/>
    </row>
    <row r="353" spans="1:1" x14ac:dyDescent="0.2">
      <c r="A353" s="107"/>
    </row>
    <row r="354" spans="1:1" x14ac:dyDescent="0.2">
      <c r="A354" s="107"/>
    </row>
    <row r="355" spans="1:1" x14ac:dyDescent="0.2">
      <c r="A355" s="107"/>
    </row>
    <row r="356" spans="1:1" x14ac:dyDescent="0.2">
      <c r="A356" s="107"/>
    </row>
    <row r="357" spans="1:1" x14ac:dyDescent="0.2">
      <c r="A357" s="107"/>
    </row>
    <row r="358" spans="1:1" x14ac:dyDescent="0.2">
      <c r="A358" s="107"/>
    </row>
    <row r="359" spans="1:1" x14ac:dyDescent="0.2">
      <c r="A359" s="107"/>
    </row>
    <row r="360" spans="1:1" x14ac:dyDescent="0.2">
      <c r="A360" s="107"/>
    </row>
    <row r="361" spans="1:1" x14ac:dyDescent="0.2">
      <c r="A361" s="107"/>
    </row>
    <row r="362" spans="1:1" x14ac:dyDescent="0.2">
      <c r="A362" s="107"/>
    </row>
    <row r="363" spans="1:1" x14ac:dyDescent="0.2">
      <c r="A363" s="107"/>
    </row>
    <row r="364" spans="1:1" x14ac:dyDescent="0.2">
      <c r="A364" s="107"/>
    </row>
    <row r="365" spans="1:1" x14ac:dyDescent="0.2">
      <c r="A365" s="107"/>
    </row>
    <row r="366" spans="1:1" x14ac:dyDescent="0.2">
      <c r="A366" s="107"/>
    </row>
    <row r="367" spans="1:1" x14ac:dyDescent="0.2">
      <c r="A367" s="107"/>
    </row>
    <row r="368" spans="1:1" x14ac:dyDescent="0.2">
      <c r="A368" s="107"/>
    </row>
    <row r="369" spans="1:1" x14ac:dyDescent="0.2">
      <c r="A369" s="107"/>
    </row>
    <row r="370" spans="1:1" x14ac:dyDescent="0.2">
      <c r="A370" s="107"/>
    </row>
    <row r="371" spans="1:1" x14ac:dyDescent="0.2">
      <c r="A371" s="107"/>
    </row>
    <row r="372" spans="1:1" x14ac:dyDescent="0.2">
      <c r="A372" s="107"/>
    </row>
    <row r="373" spans="1:1" x14ac:dyDescent="0.2">
      <c r="A373" s="107"/>
    </row>
    <row r="374" spans="1:1" x14ac:dyDescent="0.2">
      <c r="A374" s="107"/>
    </row>
    <row r="375" spans="1:1" x14ac:dyDescent="0.2">
      <c r="A375" s="107"/>
    </row>
    <row r="376" spans="1:1" x14ac:dyDescent="0.2">
      <c r="A376" s="107"/>
    </row>
    <row r="377" spans="1:1" x14ac:dyDescent="0.2">
      <c r="A377" s="107"/>
    </row>
    <row r="378" spans="1:1" x14ac:dyDescent="0.2">
      <c r="A378" s="107"/>
    </row>
    <row r="379" spans="1:1" x14ac:dyDescent="0.2">
      <c r="A379" s="107"/>
    </row>
    <row r="380" spans="1:1" x14ac:dyDescent="0.2">
      <c r="A380" s="107"/>
    </row>
    <row r="381" spans="1:1" x14ac:dyDescent="0.2">
      <c r="A381" s="107"/>
    </row>
    <row r="382" spans="1:1" x14ac:dyDescent="0.2">
      <c r="A382" s="107"/>
    </row>
    <row r="383" spans="1:1" x14ac:dyDescent="0.2">
      <c r="A383" s="107"/>
    </row>
    <row r="384" spans="1:1" x14ac:dyDescent="0.2">
      <c r="A384" s="107"/>
    </row>
    <row r="385" spans="1:1" x14ac:dyDescent="0.2">
      <c r="A385" s="107"/>
    </row>
    <row r="386" spans="1:1" x14ac:dyDescent="0.2">
      <c r="A386" s="107"/>
    </row>
    <row r="387" spans="1:1" x14ac:dyDescent="0.2">
      <c r="A387" s="107"/>
    </row>
    <row r="388" spans="1:1" x14ac:dyDescent="0.2">
      <c r="A388" s="107"/>
    </row>
    <row r="389" spans="1:1" x14ac:dyDescent="0.2">
      <c r="A389" s="107"/>
    </row>
    <row r="390" spans="1:1" x14ac:dyDescent="0.2">
      <c r="A390" s="107"/>
    </row>
    <row r="391" spans="1:1" x14ac:dyDescent="0.2">
      <c r="A391" s="107"/>
    </row>
    <row r="392" spans="1:1" x14ac:dyDescent="0.2">
      <c r="A392" s="107"/>
    </row>
    <row r="393" spans="1:1" x14ac:dyDescent="0.2">
      <c r="A393" s="107"/>
    </row>
    <row r="394" spans="1:1" x14ac:dyDescent="0.2">
      <c r="A394" s="107"/>
    </row>
    <row r="395" spans="1:1" x14ac:dyDescent="0.2">
      <c r="A395" s="107"/>
    </row>
    <row r="396" spans="1:1" x14ac:dyDescent="0.2">
      <c r="A396" s="107"/>
    </row>
    <row r="397" spans="1:1" x14ac:dyDescent="0.2">
      <c r="A397" s="107"/>
    </row>
    <row r="398" spans="1:1" x14ac:dyDescent="0.2">
      <c r="A398" s="107"/>
    </row>
    <row r="399" spans="1:1" x14ac:dyDescent="0.2">
      <c r="A399" s="107"/>
    </row>
    <row r="400" spans="1:1" x14ac:dyDescent="0.2">
      <c r="A400" s="107"/>
    </row>
    <row r="401" spans="1:1" x14ac:dyDescent="0.2">
      <c r="A401" s="107"/>
    </row>
    <row r="402" spans="1:1" x14ac:dyDescent="0.2">
      <c r="A402" s="107"/>
    </row>
    <row r="403" spans="1:1" x14ac:dyDescent="0.2">
      <c r="A403" s="107"/>
    </row>
    <row r="404" spans="1:1" x14ac:dyDescent="0.2">
      <c r="A404" s="107"/>
    </row>
    <row r="405" spans="1:1" x14ac:dyDescent="0.2">
      <c r="A405" s="107"/>
    </row>
    <row r="406" spans="1:1" x14ac:dyDescent="0.2">
      <c r="A406" s="107"/>
    </row>
    <row r="407" spans="1:1" x14ac:dyDescent="0.2">
      <c r="A407" s="107"/>
    </row>
    <row r="408" spans="1:1" x14ac:dyDescent="0.2">
      <c r="A408" s="107"/>
    </row>
    <row r="409" spans="1:1" x14ac:dyDescent="0.2">
      <c r="A409" s="107"/>
    </row>
    <row r="410" spans="1:1" x14ac:dyDescent="0.2">
      <c r="A410" s="107"/>
    </row>
    <row r="411" spans="1:1" x14ac:dyDescent="0.2">
      <c r="A411" s="107"/>
    </row>
    <row r="412" spans="1:1" x14ac:dyDescent="0.2">
      <c r="A412" s="107"/>
    </row>
    <row r="413" spans="1:1" x14ac:dyDescent="0.2">
      <c r="A413" s="107"/>
    </row>
    <row r="414" spans="1:1" x14ac:dyDescent="0.2">
      <c r="A414" s="107"/>
    </row>
    <row r="415" spans="1:1" x14ac:dyDescent="0.2">
      <c r="A415" s="107"/>
    </row>
    <row r="416" spans="1:1" x14ac:dyDescent="0.2">
      <c r="A416" s="107"/>
    </row>
    <row r="417" spans="1:1" x14ac:dyDescent="0.2">
      <c r="A417" s="107"/>
    </row>
    <row r="418" spans="1:1" x14ac:dyDescent="0.2">
      <c r="A418" s="107"/>
    </row>
    <row r="419" spans="1:1" x14ac:dyDescent="0.2">
      <c r="A419" s="107"/>
    </row>
    <row r="420" spans="1:1" x14ac:dyDescent="0.2">
      <c r="A420" s="107"/>
    </row>
    <row r="421" spans="1:1" x14ac:dyDescent="0.2">
      <c r="A421" s="107"/>
    </row>
    <row r="422" spans="1:1" x14ac:dyDescent="0.2">
      <c r="A422" s="107"/>
    </row>
    <row r="423" spans="1:1" x14ac:dyDescent="0.2">
      <c r="A423" s="107"/>
    </row>
    <row r="424" spans="1:1" x14ac:dyDescent="0.2">
      <c r="A424" s="107"/>
    </row>
    <row r="425" spans="1:1" x14ac:dyDescent="0.2">
      <c r="A425" s="107"/>
    </row>
    <row r="426" spans="1:1" x14ac:dyDescent="0.2">
      <c r="A426" s="107"/>
    </row>
    <row r="427" spans="1:1" x14ac:dyDescent="0.2">
      <c r="A427" s="107"/>
    </row>
    <row r="428" spans="1:1" x14ac:dyDescent="0.2">
      <c r="A428" s="107"/>
    </row>
    <row r="429" spans="1:1" x14ac:dyDescent="0.2">
      <c r="A429" s="107"/>
    </row>
    <row r="430" spans="1:1" x14ac:dyDescent="0.2">
      <c r="A430" s="107"/>
    </row>
    <row r="431" spans="1:1" x14ac:dyDescent="0.2">
      <c r="A431" s="107"/>
    </row>
    <row r="432" spans="1:1" x14ac:dyDescent="0.2">
      <c r="A432" s="107"/>
    </row>
    <row r="433" spans="1:1" x14ac:dyDescent="0.2">
      <c r="A433" s="107"/>
    </row>
    <row r="434" spans="1:1" x14ac:dyDescent="0.2">
      <c r="A434" s="107"/>
    </row>
    <row r="435" spans="1:1" x14ac:dyDescent="0.2">
      <c r="A435" s="107"/>
    </row>
    <row r="436" spans="1:1" x14ac:dyDescent="0.2">
      <c r="A436" s="107"/>
    </row>
    <row r="437" spans="1:1" x14ac:dyDescent="0.2">
      <c r="A437" s="107"/>
    </row>
    <row r="438" spans="1:1" x14ac:dyDescent="0.2">
      <c r="A438" s="107"/>
    </row>
    <row r="439" spans="1:1" x14ac:dyDescent="0.2">
      <c r="A439" s="107"/>
    </row>
    <row r="440" spans="1:1" x14ac:dyDescent="0.2">
      <c r="A440" s="107"/>
    </row>
    <row r="441" spans="1:1" x14ac:dyDescent="0.2">
      <c r="A441" s="107"/>
    </row>
    <row r="442" spans="1:1" x14ac:dyDescent="0.2">
      <c r="A442" s="107"/>
    </row>
    <row r="443" spans="1:1" x14ac:dyDescent="0.2">
      <c r="A443" s="107"/>
    </row>
    <row r="444" spans="1:1" x14ac:dyDescent="0.2">
      <c r="A444" s="107"/>
    </row>
    <row r="445" spans="1:1" x14ac:dyDescent="0.2">
      <c r="A445" s="107"/>
    </row>
    <row r="446" spans="1:1" x14ac:dyDescent="0.2">
      <c r="A446" s="107"/>
    </row>
    <row r="447" spans="1:1" x14ac:dyDescent="0.2">
      <c r="A447" s="107"/>
    </row>
    <row r="448" spans="1:1" x14ac:dyDescent="0.2">
      <c r="A448" s="107"/>
    </row>
    <row r="449" spans="1:1" x14ac:dyDescent="0.2">
      <c r="A449" s="107"/>
    </row>
    <row r="450" spans="1:1" x14ac:dyDescent="0.2">
      <c r="A450" s="107"/>
    </row>
    <row r="451" spans="1:1" x14ac:dyDescent="0.2">
      <c r="A451" s="107"/>
    </row>
    <row r="452" spans="1:1" x14ac:dyDescent="0.2">
      <c r="A452" s="107"/>
    </row>
    <row r="453" spans="1:1" x14ac:dyDescent="0.2">
      <c r="A453" s="107"/>
    </row>
    <row r="454" spans="1:1" x14ac:dyDescent="0.2">
      <c r="A454" s="107"/>
    </row>
    <row r="455" spans="1:1" x14ac:dyDescent="0.2">
      <c r="A455" s="107"/>
    </row>
    <row r="456" spans="1:1" x14ac:dyDescent="0.2">
      <c r="A456" s="107"/>
    </row>
  </sheetData>
  <mergeCells count="5">
    <mergeCell ref="B14:G14"/>
    <mergeCell ref="I14:N14"/>
    <mergeCell ref="A1:O1"/>
    <mergeCell ref="D2:L2"/>
    <mergeCell ref="A260:O260"/>
  </mergeCells>
  <phoneticPr fontId="0" type="noConversion"/>
  <dataValidations disablePrompts="1" xWindow="538" yWindow="140" count="1">
    <dataValidation errorStyle="information" allowBlank="1" promptTitle="CAPTURA" prompt="SOLO EN CASO DE QUE EL MONTO DEL CRÉDITO DESEADO NO _x000a_ESTE DENTRO DEL COMBO" sqref="J4:J5 N7"/>
  </dataValidations>
  <printOptions horizontalCentered="1"/>
  <pageMargins left="0.2" right="0.21" top="0.3" bottom="0.39370078740157483" header="0" footer="0"/>
  <pageSetup scale="70" fitToHeight="5" orientation="landscape" r:id="rId1"/>
  <headerFooter alignWithMargins="0">
    <oddFooter xml:space="preserve">&amp;L&amp;8&amp;F \ &amp;A&amp;C&amp;8Página &amp;P de &amp;N&amp;R&amp;8&amp;D 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A1:E108"/>
  <sheetViews>
    <sheetView workbookViewId="0">
      <selection activeCell="D23" sqref="D23"/>
    </sheetView>
  </sheetViews>
  <sheetFormatPr defaultColWidth="11.5546875" defaultRowHeight="13.2" x14ac:dyDescent="0.25"/>
  <cols>
    <col min="2" max="2" width="30.109375" bestFit="1" customWidth="1"/>
  </cols>
  <sheetData>
    <row r="1" spans="1:5" x14ac:dyDescent="0.25">
      <c r="A1" s="273" t="s">
        <v>127</v>
      </c>
      <c r="B1" s="273"/>
      <c r="C1" s="177">
        <v>1</v>
      </c>
    </row>
    <row r="2" spans="1:5" x14ac:dyDescent="0.25">
      <c r="A2" s="176">
        <v>1</v>
      </c>
      <c r="B2" s="176" t="s">
        <v>130</v>
      </c>
      <c r="C2" s="176"/>
      <c r="E2" s="176"/>
    </row>
    <row r="3" spans="1:5" x14ac:dyDescent="0.25">
      <c r="A3" s="176">
        <v>2</v>
      </c>
      <c r="B3" s="176" t="s">
        <v>131</v>
      </c>
      <c r="C3" s="176"/>
      <c r="E3" s="176"/>
    </row>
    <row r="4" spans="1:5" x14ac:dyDescent="0.25">
      <c r="A4" s="176">
        <v>3</v>
      </c>
      <c r="B4" s="176" t="s">
        <v>132</v>
      </c>
      <c r="C4" s="176"/>
      <c r="E4" s="176"/>
    </row>
    <row r="5" spans="1:5" x14ac:dyDescent="0.25">
      <c r="A5" s="176">
        <v>4</v>
      </c>
      <c r="B5" s="176" t="s">
        <v>133</v>
      </c>
      <c r="C5" s="176"/>
      <c r="E5" s="176"/>
    </row>
    <row r="6" spans="1:5" x14ac:dyDescent="0.25">
      <c r="A6" s="176">
        <v>5</v>
      </c>
      <c r="B6" s="176" t="s">
        <v>134</v>
      </c>
      <c r="C6" s="176"/>
      <c r="E6" s="176"/>
    </row>
    <row r="7" spans="1:5" x14ac:dyDescent="0.25">
      <c r="A7" s="176">
        <v>6</v>
      </c>
      <c r="B7" s="176" t="s">
        <v>135</v>
      </c>
      <c r="C7" s="176"/>
      <c r="E7" s="176"/>
    </row>
    <row r="8" spans="1:5" x14ac:dyDescent="0.25">
      <c r="A8" s="176">
        <v>7</v>
      </c>
      <c r="B8" s="176" t="s">
        <v>136</v>
      </c>
      <c r="C8" s="176"/>
      <c r="E8" s="176"/>
    </row>
    <row r="9" spans="1:5" x14ac:dyDescent="0.25">
      <c r="A9" s="176">
        <v>8</v>
      </c>
      <c r="B9" s="176" t="s">
        <v>137</v>
      </c>
      <c r="C9" s="176"/>
      <c r="E9" s="176"/>
    </row>
    <row r="10" spans="1:5" x14ac:dyDescent="0.25">
      <c r="A10" s="176">
        <v>9</v>
      </c>
      <c r="B10" s="176" t="s">
        <v>138</v>
      </c>
      <c r="C10" s="176"/>
      <c r="E10" s="176"/>
    </row>
    <row r="12" spans="1:5" x14ac:dyDescent="0.25">
      <c r="A12" s="273" t="s">
        <v>128</v>
      </c>
      <c r="B12" s="273"/>
      <c r="C12" s="177">
        <v>1</v>
      </c>
    </row>
    <row r="13" spans="1:5" x14ac:dyDescent="0.25">
      <c r="A13">
        <v>1</v>
      </c>
      <c r="B13">
        <v>3</v>
      </c>
    </row>
    <row r="14" spans="1:5" x14ac:dyDescent="0.25">
      <c r="A14">
        <v>2</v>
      </c>
      <c r="B14">
        <v>15</v>
      </c>
    </row>
    <row r="16" spans="1:5" x14ac:dyDescent="0.25">
      <c r="A16" s="274" t="s">
        <v>129</v>
      </c>
      <c r="B16" s="273"/>
      <c r="C16" s="177">
        <v>1</v>
      </c>
    </row>
    <row r="17" spans="1:4" ht="15" x14ac:dyDescent="0.35">
      <c r="A17">
        <v>1</v>
      </c>
      <c r="B17" s="178" t="str">
        <f>IF(OR($C$1=1,$C$1=3,$C$1=4),"Capital de Trabajo","")</f>
        <v>Capital de Trabajo</v>
      </c>
    </row>
    <row r="18" spans="1:4" ht="15" x14ac:dyDescent="0.35">
      <c r="A18">
        <v>2</v>
      </c>
      <c r="B18" s="178" t="str">
        <f>IF($C$1=3,"Maquinaria y Equipo",IF(OR($C$1=1,$C$1=4),"Activo Fijo",""))</f>
        <v>Activo Fijo</v>
      </c>
      <c r="D18" s="1"/>
    </row>
    <row r="19" spans="1:4" ht="15" x14ac:dyDescent="0.35">
      <c r="A19">
        <v>3</v>
      </c>
      <c r="B19" s="178" t="str">
        <f>IF($C$1=3,"Adquisición, Reconstrucción o Remodelación de Inmuebles",IF(OR($C$1=1,$C$1=4),"Pago de Pasivos",""))</f>
        <v>Pago de Pasivos</v>
      </c>
    </row>
    <row r="20" spans="1:4" ht="15" x14ac:dyDescent="0.35">
      <c r="A20">
        <v>4</v>
      </c>
      <c r="B20" s="181" t="str">
        <f>IF($C$1=3,"Sustitución y Liquidez","")</f>
        <v/>
      </c>
    </row>
    <row r="22" spans="1:4" x14ac:dyDescent="0.25">
      <c r="A22" s="274" t="s">
        <v>140</v>
      </c>
      <c r="B22" s="273"/>
      <c r="C22" s="177">
        <v>2</v>
      </c>
    </row>
    <row r="23" spans="1:4" x14ac:dyDescent="0.25">
      <c r="A23">
        <v>1</v>
      </c>
      <c r="B23" s="1" t="s">
        <v>141</v>
      </c>
    </row>
    <row r="24" spans="1:4" x14ac:dyDescent="0.25">
      <c r="A24">
        <v>2</v>
      </c>
      <c r="B24" s="1" t="s">
        <v>142</v>
      </c>
    </row>
    <row r="108" hidden="1" x14ac:dyDescent="0.25"/>
  </sheetData>
  <mergeCells count="4">
    <mergeCell ref="A1:B1"/>
    <mergeCell ref="A12:B12"/>
    <mergeCell ref="A16:B16"/>
    <mergeCell ref="A22:B2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6" r:id="rId3" name="Drop Down 2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workbookViewId="0">
      <selection activeCell="B3" sqref="B3"/>
    </sheetView>
  </sheetViews>
  <sheetFormatPr defaultColWidth="11.5546875" defaultRowHeight="13.2" x14ac:dyDescent="0.25"/>
  <cols>
    <col min="2" max="2" width="13.33203125" bestFit="1" customWidth="1"/>
  </cols>
  <sheetData>
    <row r="1" spans="1:2" x14ac:dyDescent="0.25">
      <c r="A1" s="274" t="s">
        <v>143</v>
      </c>
      <c r="B1" s="273"/>
    </row>
    <row r="2" spans="1:2" x14ac:dyDescent="0.25">
      <c r="A2" s="1" t="s">
        <v>144</v>
      </c>
      <c r="B2" s="183">
        <v>50000</v>
      </c>
    </row>
    <row r="3" spans="1:2" x14ac:dyDescent="0.25">
      <c r="A3" s="1" t="s">
        <v>145</v>
      </c>
      <c r="B3" s="183">
        <v>9999999999</v>
      </c>
    </row>
  </sheetData>
  <mergeCells count="1">
    <mergeCell ref="A1:B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57"/>
  <sheetViews>
    <sheetView topLeftCell="A26" workbookViewId="0">
      <selection activeCell="B48" sqref="B48"/>
    </sheetView>
  </sheetViews>
  <sheetFormatPr defaultColWidth="11.44140625" defaultRowHeight="10.199999999999999" x14ac:dyDescent="0.2"/>
  <cols>
    <col min="1" max="1" width="21.33203125" style="14" bestFit="1" customWidth="1"/>
    <col min="2" max="2" width="18.33203125" style="14" bestFit="1" customWidth="1"/>
    <col min="3" max="3" width="23.44140625" style="14" bestFit="1" customWidth="1"/>
    <col min="4" max="4" width="19.33203125" style="14" bestFit="1" customWidth="1"/>
    <col min="5" max="5" width="17.109375" style="14" bestFit="1" customWidth="1"/>
    <col min="6" max="16384" width="11.44140625" style="14"/>
  </cols>
  <sheetData>
    <row r="1" spans="1:9" s="15" customFormat="1" ht="15" customHeight="1" x14ac:dyDescent="0.25">
      <c r="A1" s="47" t="s">
        <v>38</v>
      </c>
      <c r="B1" s="140">
        <v>1</v>
      </c>
      <c r="D1" s="141" t="s">
        <v>56</v>
      </c>
    </row>
    <row r="2" spans="1:9" s="15" customFormat="1" ht="15" customHeight="1" x14ac:dyDescent="0.25">
      <c r="A2" s="15">
        <v>1</v>
      </c>
      <c r="B2" s="152" t="s">
        <v>39</v>
      </c>
      <c r="D2" s="142" t="s">
        <v>57</v>
      </c>
    </row>
    <row r="3" spans="1:9" s="15" customFormat="1" ht="15" customHeight="1" x14ac:dyDescent="0.25">
      <c r="A3" s="15">
        <v>2</v>
      </c>
      <c r="B3" s="168" t="s">
        <v>40</v>
      </c>
      <c r="C3" s="169" t="s">
        <v>116</v>
      </c>
      <c r="D3" s="143" t="s">
        <v>58</v>
      </c>
    </row>
    <row r="4" spans="1:9" s="15" customFormat="1" ht="15" customHeight="1" x14ac:dyDescent="0.25">
      <c r="D4" s="144" t="s">
        <v>105</v>
      </c>
    </row>
    <row r="5" spans="1:9" s="15" customFormat="1" ht="15" customHeight="1" x14ac:dyDescent="0.25">
      <c r="A5" s="15">
        <v>2</v>
      </c>
      <c r="B5" s="16" t="s">
        <v>22</v>
      </c>
      <c r="C5" s="140" t="s">
        <v>28</v>
      </c>
      <c r="D5" s="140" t="s">
        <v>27</v>
      </c>
      <c r="E5" s="140" t="s">
        <v>36</v>
      </c>
      <c r="F5" s="140" t="s">
        <v>86</v>
      </c>
      <c r="G5" s="155" t="s">
        <v>97</v>
      </c>
      <c r="H5" s="156"/>
      <c r="I5" s="156"/>
    </row>
    <row r="6" spans="1:9" s="15" customFormat="1" ht="15" customHeight="1" x14ac:dyDescent="0.25">
      <c r="C6" s="139">
        <f>VLOOKUP(Frecuencia,$A$7:$E$10,3,FALSE)</f>
        <v>30</v>
      </c>
      <c r="D6" s="139">
        <f>VLOOKUP(Frecuencia,$A$7:$E$10,4,FALSE)</f>
        <v>12</v>
      </c>
      <c r="E6" s="139">
        <f>+VLOOKUP(Frecuencia,$A$7:$E$10,5,FALSE)</f>
        <v>60</v>
      </c>
      <c r="F6" s="145"/>
      <c r="G6" s="139">
        <f>+No._de_Pagos-Periodos_Gracia</f>
        <v>60</v>
      </c>
    </row>
    <row r="7" spans="1:9" s="15" customFormat="1" ht="15" customHeight="1" x14ac:dyDescent="0.25">
      <c r="A7" s="15">
        <v>1</v>
      </c>
      <c r="B7" s="152" t="s">
        <v>23</v>
      </c>
      <c r="C7" s="146">
        <v>15</v>
      </c>
      <c r="D7" s="146">
        <v>24</v>
      </c>
      <c r="E7" s="146">
        <f>+Plazo_en_Años*D7</f>
        <v>120</v>
      </c>
      <c r="F7" s="146" t="s">
        <v>82</v>
      </c>
    </row>
    <row r="8" spans="1:9" s="15" customFormat="1" ht="15" customHeight="1" x14ac:dyDescent="0.25">
      <c r="A8" s="15">
        <v>2</v>
      </c>
      <c r="B8" s="152" t="s">
        <v>24</v>
      </c>
      <c r="C8" s="146">
        <v>30</v>
      </c>
      <c r="D8" s="146">
        <v>12</v>
      </c>
      <c r="E8" s="146">
        <f>+Plazo_en_Años*D8</f>
        <v>60</v>
      </c>
      <c r="F8" s="146" t="s">
        <v>83</v>
      </c>
    </row>
    <row r="9" spans="1:9" s="15" customFormat="1" ht="15" customHeight="1" x14ac:dyDescent="0.25">
      <c r="A9" s="15">
        <v>3</v>
      </c>
      <c r="B9" s="152" t="s">
        <v>25</v>
      </c>
      <c r="C9" s="146">
        <v>90</v>
      </c>
      <c r="D9" s="146">
        <v>4</v>
      </c>
      <c r="E9" s="146">
        <f>+Plazo_en_Años*D9</f>
        <v>20</v>
      </c>
      <c r="F9" s="146" t="s">
        <v>84</v>
      </c>
    </row>
    <row r="10" spans="1:9" s="15" customFormat="1" ht="15" customHeight="1" x14ac:dyDescent="0.25">
      <c r="A10" s="15">
        <v>4</v>
      </c>
      <c r="B10" s="152" t="s">
        <v>26</v>
      </c>
      <c r="C10" s="146">
        <v>180</v>
      </c>
      <c r="D10" s="146">
        <v>2</v>
      </c>
      <c r="E10" s="146">
        <f>+Plazo_en_Años*D10</f>
        <v>10</v>
      </c>
      <c r="F10" s="146" t="s">
        <v>85</v>
      </c>
    </row>
    <row r="11" spans="1:9" s="15" customFormat="1" ht="15" customHeight="1" x14ac:dyDescent="0.25">
      <c r="A11" s="47" t="s">
        <v>37</v>
      </c>
      <c r="B11" s="51">
        <v>5</v>
      </c>
    </row>
    <row r="12" spans="1:9" s="15" customFormat="1" ht="15" customHeight="1" x14ac:dyDescent="0.25">
      <c r="A12" s="50">
        <v>1</v>
      </c>
      <c r="B12" s="146">
        <f t="shared" ref="B12:B21" si="0">A12*Pagos_por_año</f>
        <v>12</v>
      </c>
      <c r="D12" s="147" t="s">
        <v>70</v>
      </c>
      <c r="E12" s="147">
        <f>VLOOKUP(No._de_Pagos,$D$13:$E$38,2,FALSE)</f>
        <v>16</v>
      </c>
    </row>
    <row r="13" spans="1:9" s="15" customFormat="1" ht="15" customHeight="1" x14ac:dyDescent="0.25">
      <c r="A13" s="50">
        <v>2</v>
      </c>
      <c r="B13" s="146">
        <f t="shared" si="0"/>
        <v>24</v>
      </c>
      <c r="D13" s="146">
        <v>2</v>
      </c>
      <c r="E13" s="15">
        <v>1</v>
      </c>
    </row>
    <row r="14" spans="1:9" s="15" customFormat="1" ht="15" customHeight="1" x14ac:dyDescent="0.25">
      <c r="A14" s="50">
        <v>3</v>
      </c>
      <c r="B14" s="146">
        <f t="shared" si="0"/>
        <v>36</v>
      </c>
      <c r="D14" s="146">
        <v>4</v>
      </c>
      <c r="E14" s="15">
        <v>1</v>
      </c>
    </row>
    <row r="15" spans="1:9" s="15" customFormat="1" ht="15" customHeight="1" x14ac:dyDescent="0.25">
      <c r="A15" s="50">
        <v>4</v>
      </c>
      <c r="B15" s="146">
        <f t="shared" si="0"/>
        <v>48</v>
      </c>
      <c r="D15" s="146">
        <v>6</v>
      </c>
      <c r="E15" s="15">
        <v>3</v>
      </c>
    </row>
    <row r="16" spans="1:9" s="15" customFormat="1" ht="15" customHeight="1" x14ac:dyDescent="0.25">
      <c r="A16" s="50">
        <v>5</v>
      </c>
      <c r="B16" s="146">
        <f t="shared" si="0"/>
        <v>60</v>
      </c>
      <c r="C16" s="148"/>
      <c r="D16" s="146">
        <v>8</v>
      </c>
      <c r="E16" s="15">
        <v>4</v>
      </c>
    </row>
    <row r="17" spans="1:10" s="15" customFormat="1" ht="15" customHeight="1" x14ac:dyDescent="0.25">
      <c r="A17" s="50">
        <v>6</v>
      </c>
      <c r="B17" s="146">
        <f t="shared" si="0"/>
        <v>72</v>
      </c>
      <c r="C17" s="148"/>
      <c r="D17" s="146">
        <v>10</v>
      </c>
      <c r="E17" s="15">
        <v>5</v>
      </c>
    </row>
    <row r="18" spans="1:10" s="15" customFormat="1" ht="15" customHeight="1" x14ac:dyDescent="0.25">
      <c r="A18" s="50">
        <v>7</v>
      </c>
      <c r="B18" s="146">
        <f t="shared" si="0"/>
        <v>84</v>
      </c>
      <c r="C18" s="148"/>
      <c r="D18" s="146">
        <v>12</v>
      </c>
      <c r="E18" s="15">
        <v>6</v>
      </c>
    </row>
    <row r="19" spans="1:10" s="15" customFormat="1" ht="15" customHeight="1" x14ac:dyDescent="0.25">
      <c r="A19" s="50">
        <v>8</v>
      </c>
      <c r="B19" s="146">
        <f t="shared" si="0"/>
        <v>96</v>
      </c>
      <c r="C19" s="148"/>
      <c r="D19" s="146">
        <v>14</v>
      </c>
      <c r="E19" s="15">
        <v>7</v>
      </c>
    </row>
    <row r="20" spans="1:10" s="15" customFormat="1" ht="15" customHeight="1" x14ac:dyDescent="0.25">
      <c r="A20" s="50">
        <v>9</v>
      </c>
      <c r="B20" s="146">
        <f t="shared" si="0"/>
        <v>108</v>
      </c>
      <c r="C20" s="148"/>
      <c r="D20" s="146">
        <v>16</v>
      </c>
      <c r="E20" s="15">
        <v>8</v>
      </c>
    </row>
    <row r="21" spans="1:10" s="15" customFormat="1" ht="15" customHeight="1" x14ac:dyDescent="0.25">
      <c r="A21" s="50">
        <v>10</v>
      </c>
      <c r="B21" s="146">
        <f t="shared" si="0"/>
        <v>120</v>
      </c>
      <c r="C21" s="148"/>
      <c r="D21" s="146">
        <v>18</v>
      </c>
      <c r="E21" s="15">
        <v>9</v>
      </c>
    </row>
    <row r="22" spans="1:10" s="15" customFormat="1" ht="15" customHeight="1" x14ac:dyDescent="0.25">
      <c r="A22" s="47" t="s">
        <v>41</v>
      </c>
      <c r="B22" s="139">
        <f>+'Menu Principal'!$E$13-1</f>
        <v>0</v>
      </c>
      <c r="C22" s="148"/>
      <c r="D22" s="146">
        <v>20</v>
      </c>
      <c r="E22" s="15">
        <v>10</v>
      </c>
    </row>
    <row r="23" spans="1:10" s="15" customFormat="1" ht="15" customHeight="1" x14ac:dyDescent="0.25">
      <c r="A23" s="15">
        <v>1</v>
      </c>
      <c r="B23" s="146">
        <v>0</v>
      </c>
      <c r="D23" s="146">
        <v>24</v>
      </c>
      <c r="E23" s="15">
        <v>11</v>
      </c>
    </row>
    <row r="24" spans="1:10" s="15" customFormat="1" ht="15" customHeight="1" x14ac:dyDescent="0.25">
      <c r="A24" s="15">
        <v>2</v>
      </c>
      <c r="B24" s="146">
        <v>1</v>
      </c>
      <c r="D24" s="146">
        <v>28</v>
      </c>
      <c r="E24" s="15">
        <v>12</v>
      </c>
    </row>
    <row r="25" spans="1:10" s="15" customFormat="1" ht="15" customHeight="1" x14ac:dyDescent="0.25">
      <c r="A25" s="15">
        <v>3</v>
      </c>
      <c r="B25" s="146">
        <v>2</v>
      </c>
      <c r="D25" s="146">
        <v>32</v>
      </c>
      <c r="E25" s="15">
        <v>13</v>
      </c>
    </row>
    <row r="26" spans="1:10" s="15" customFormat="1" ht="15" customHeight="1" x14ac:dyDescent="0.25">
      <c r="A26" s="15">
        <v>4</v>
      </c>
      <c r="B26" s="146">
        <v>3</v>
      </c>
      <c r="D26" s="146">
        <v>36</v>
      </c>
      <c r="E26" s="15">
        <v>14</v>
      </c>
    </row>
    <row r="27" spans="1:10" s="15" customFormat="1" ht="15" customHeight="1" x14ac:dyDescent="0.25">
      <c r="A27" s="15">
        <v>5</v>
      </c>
      <c r="B27" s="146">
        <v>4</v>
      </c>
      <c r="D27" s="146">
        <v>48</v>
      </c>
      <c r="E27" s="15">
        <v>15</v>
      </c>
    </row>
    <row r="28" spans="1:10" s="15" customFormat="1" ht="15" customHeight="1" x14ac:dyDescent="0.25">
      <c r="A28" s="15">
        <v>6</v>
      </c>
      <c r="B28" s="146">
        <v>5</v>
      </c>
      <c r="D28" s="146">
        <v>60</v>
      </c>
      <c r="E28" s="15">
        <v>16</v>
      </c>
    </row>
    <row r="29" spans="1:10" s="15" customFormat="1" ht="15" customHeight="1" x14ac:dyDescent="0.25">
      <c r="A29" s="15">
        <v>7</v>
      </c>
      <c r="B29" s="146">
        <v>6</v>
      </c>
      <c r="D29" s="146">
        <v>72</v>
      </c>
      <c r="E29" s="15">
        <v>17</v>
      </c>
    </row>
    <row r="30" spans="1:10" s="15" customFormat="1" ht="15" customHeight="1" x14ac:dyDescent="0.25">
      <c r="A30" s="47" t="s">
        <v>48</v>
      </c>
      <c r="B30" s="135">
        <f>VLOOKUP('Menu Principal'!$E$14,Parámetros!$A$31:$C$32,3,FALSE)</f>
        <v>0.16</v>
      </c>
      <c r="D30" s="146">
        <v>84</v>
      </c>
      <c r="E30" s="15">
        <v>18</v>
      </c>
    </row>
    <row r="31" spans="1:10" s="15" customFormat="1" ht="15" customHeight="1" x14ac:dyDescent="0.25">
      <c r="A31" s="15">
        <v>1</v>
      </c>
      <c r="B31" s="146" t="s">
        <v>50</v>
      </c>
      <c r="C31" s="153">
        <v>0.16</v>
      </c>
      <c r="D31" s="146">
        <v>96</v>
      </c>
      <c r="E31" s="15">
        <v>19</v>
      </c>
    </row>
    <row r="32" spans="1:10" s="15" customFormat="1" ht="15" customHeight="1" x14ac:dyDescent="0.25">
      <c r="A32" s="15">
        <v>2</v>
      </c>
      <c r="B32" s="146" t="s">
        <v>49</v>
      </c>
      <c r="C32" s="153">
        <v>0.16</v>
      </c>
      <c r="D32" s="146">
        <v>108</v>
      </c>
      <c r="E32" s="15">
        <v>20</v>
      </c>
      <c r="J32" s="174" t="s">
        <v>118</v>
      </c>
    </row>
    <row r="33" spans="1:7" s="15" customFormat="1" ht="15" customHeight="1" x14ac:dyDescent="0.25">
      <c r="A33" s="47" t="s">
        <v>46</v>
      </c>
      <c r="B33" s="139">
        <f>+Garantía_Hipotecaria</f>
        <v>1</v>
      </c>
      <c r="D33" s="146">
        <v>120</v>
      </c>
      <c r="E33" s="15">
        <v>21</v>
      </c>
    </row>
    <row r="34" spans="1:7" s="15" customFormat="1" ht="15" customHeight="1" x14ac:dyDescent="0.25">
      <c r="A34" s="15">
        <v>1</v>
      </c>
      <c r="B34" s="146" t="s">
        <v>53</v>
      </c>
      <c r="D34" s="146">
        <v>144</v>
      </c>
      <c r="E34" s="15">
        <v>22</v>
      </c>
    </row>
    <row r="35" spans="1:7" s="15" customFormat="1" ht="15" customHeight="1" x14ac:dyDescent="0.25">
      <c r="A35" s="15">
        <v>2</v>
      </c>
      <c r="B35" s="146" t="s">
        <v>52</v>
      </c>
      <c r="D35" s="146">
        <v>168</v>
      </c>
      <c r="E35" s="15">
        <v>23</v>
      </c>
    </row>
    <row r="36" spans="1:7" s="15" customFormat="1" ht="15" customHeight="1" x14ac:dyDescent="0.25">
      <c r="A36" s="47" t="s">
        <v>54</v>
      </c>
      <c r="D36" s="146">
        <v>192</v>
      </c>
      <c r="E36" s="15">
        <v>24</v>
      </c>
    </row>
    <row r="37" spans="1:7" s="15" customFormat="1" ht="15" customHeight="1" x14ac:dyDescent="0.25">
      <c r="A37" s="46" t="s">
        <v>33</v>
      </c>
      <c r="B37" s="137">
        <v>0.02</v>
      </c>
      <c r="D37" s="146">
        <v>216</v>
      </c>
      <c r="E37" s="15">
        <v>25</v>
      </c>
    </row>
    <row r="38" spans="1:7" s="15" customFormat="1" ht="15" customHeight="1" x14ac:dyDescent="0.25">
      <c r="A38" s="46" t="s">
        <v>34</v>
      </c>
      <c r="B38" s="137">
        <v>3.0000000000000001E-3</v>
      </c>
      <c r="D38" s="146">
        <v>240</v>
      </c>
      <c r="E38" s="15">
        <v>26</v>
      </c>
    </row>
    <row r="39" spans="1:7" s="15" customFormat="1" ht="15" customHeight="1" x14ac:dyDescent="0.25">
      <c r="A39" s="46" t="s">
        <v>35</v>
      </c>
      <c r="B39" s="138">
        <v>4825.97</v>
      </c>
      <c r="C39" s="46" t="s">
        <v>106</v>
      </c>
      <c r="D39" s="157">
        <f>+Seguro_Anual/Tipo_de_cambio</f>
        <v>366.17246481277743</v>
      </c>
      <c r="E39" s="169" t="s">
        <v>116</v>
      </c>
    </row>
    <row r="40" spans="1:7" s="15" customFormat="1" ht="15" customHeight="1" x14ac:dyDescent="0.25">
      <c r="A40" s="46" t="s">
        <v>101</v>
      </c>
      <c r="B40" s="138">
        <v>4160.32</v>
      </c>
      <c r="C40" s="46" t="s">
        <v>107</v>
      </c>
      <c r="D40" s="157">
        <f>Seguro_Anual_CAT/Tipo_de_cambio</f>
        <v>315.66599643385558</v>
      </c>
      <c r="E40" s="169" t="s">
        <v>116</v>
      </c>
    </row>
    <row r="41" spans="1:7" s="15" customFormat="1" ht="15" customHeight="1" x14ac:dyDescent="0.25">
      <c r="A41" s="50" t="s">
        <v>108</v>
      </c>
      <c r="B41" s="170">
        <v>13.179500000000001</v>
      </c>
      <c r="C41" s="169" t="s">
        <v>116</v>
      </c>
    </row>
    <row r="42" spans="1:7" s="15" customFormat="1" ht="15" customHeight="1" x14ac:dyDescent="0.25">
      <c r="A42" s="50" t="s">
        <v>109</v>
      </c>
      <c r="B42" s="171">
        <v>41708</v>
      </c>
      <c r="C42" s="169" t="s">
        <v>116</v>
      </c>
    </row>
    <row r="43" spans="1:7" s="15" customFormat="1" ht="15" customHeight="1" x14ac:dyDescent="0.25">
      <c r="A43" s="48" t="s">
        <v>32</v>
      </c>
      <c r="B43" s="182">
        <f>IF(TipoTasa=1, 15%, TIIE+B47)</f>
        <v>0.148006</v>
      </c>
    </row>
    <row r="44" spans="1:7" s="15" customFormat="1" ht="15" customHeight="1" x14ac:dyDescent="0.25">
      <c r="A44" s="47" t="s">
        <v>55</v>
      </c>
      <c r="B44" s="172">
        <v>3.8005999999999998E-2</v>
      </c>
    </row>
    <row r="45" spans="1:7" s="15" customFormat="1" ht="15" customHeight="1" x14ac:dyDescent="0.25">
      <c r="A45" s="47" t="s">
        <v>102</v>
      </c>
      <c r="B45" s="173">
        <v>41708</v>
      </c>
    </row>
    <row r="46" spans="1:7" s="15" customFormat="1" ht="15" customHeight="1" x14ac:dyDescent="0.25">
      <c r="A46" s="47" t="s">
        <v>103</v>
      </c>
      <c r="B46" s="160">
        <v>0</v>
      </c>
      <c r="C46" s="165" t="s">
        <v>115</v>
      </c>
      <c r="D46" s="166"/>
    </row>
    <row r="47" spans="1:7" s="15" customFormat="1" ht="15" customHeight="1" x14ac:dyDescent="0.25">
      <c r="A47" s="16" t="s">
        <v>104</v>
      </c>
      <c r="B47" s="136">
        <v>0.11</v>
      </c>
    </row>
    <row r="48" spans="1:7" s="15" customFormat="1" ht="15" customHeight="1" x14ac:dyDescent="0.25">
      <c r="A48" s="49" t="s">
        <v>59</v>
      </c>
      <c r="B48" s="163" t="s">
        <v>110</v>
      </c>
      <c r="C48" s="164" t="s">
        <v>111</v>
      </c>
      <c r="D48" s="149" t="s">
        <v>60</v>
      </c>
      <c r="E48" s="165" t="s">
        <v>113</v>
      </c>
      <c r="F48" s="166"/>
      <c r="G48" s="166"/>
    </row>
    <row r="49" spans="1:7" s="15" customFormat="1" ht="15" customHeight="1" x14ac:dyDescent="0.25">
      <c r="A49" s="150">
        <v>0</v>
      </c>
      <c r="B49" s="154">
        <v>0.12</v>
      </c>
      <c r="C49" s="154">
        <v>0.125</v>
      </c>
      <c r="D49" s="154">
        <v>0.13</v>
      </c>
      <c r="E49" s="165" t="s">
        <v>114</v>
      </c>
      <c r="F49" s="166"/>
      <c r="G49" s="166"/>
    </row>
    <row r="50" spans="1:7" s="15" customFormat="1" ht="15" customHeight="1" x14ac:dyDescent="0.25">
      <c r="A50" s="150">
        <v>100001</v>
      </c>
      <c r="B50" s="154">
        <v>0.115</v>
      </c>
      <c r="C50" s="154">
        <v>0.12</v>
      </c>
      <c r="D50" s="154">
        <v>0.125</v>
      </c>
    </row>
    <row r="51" spans="1:7" s="15" customFormat="1" ht="15" customHeight="1" x14ac:dyDescent="0.25">
      <c r="A51" s="150">
        <v>300001</v>
      </c>
      <c r="B51" s="154">
        <v>0.11</v>
      </c>
      <c r="C51" s="154">
        <v>0.115</v>
      </c>
      <c r="D51" s="154">
        <v>0.12</v>
      </c>
    </row>
    <row r="52" spans="1:7" s="15" customFormat="1" ht="15" customHeight="1" x14ac:dyDescent="0.25">
      <c r="A52" s="150">
        <v>500001</v>
      </c>
      <c r="B52" s="154">
        <v>9.5000000000000001E-2</v>
      </c>
      <c r="C52" s="154">
        <v>0.1</v>
      </c>
      <c r="D52" s="154">
        <v>0.105</v>
      </c>
    </row>
    <row r="53" spans="1:7" s="15" customFormat="1" ht="15" customHeight="1" x14ac:dyDescent="0.25">
      <c r="A53" s="151">
        <v>1000001</v>
      </c>
      <c r="B53" s="154">
        <v>8.5000000000000006E-2</v>
      </c>
      <c r="C53" s="154">
        <v>0.09</v>
      </c>
      <c r="D53" s="154">
        <v>0.09</v>
      </c>
    </row>
    <row r="54" spans="1:7" s="15" customFormat="1" ht="15" customHeight="1" x14ac:dyDescent="0.25">
      <c r="A54" s="151">
        <v>2000001</v>
      </c>
      <c r="B54" s="154">
        <v>7.4999999999999997E-2</v>
      </c>
      <c r="C54" s="154">
        <v>0.08</v>
      </c>
      <c r="D54" s="154">
        <v>8.5000000000000006E-2</v>
      </c>
    </row>
    <row r="55" spans="1:7" s="15" customFormat="1" ht="15" customHeight="1" x14ac:dyDescent="0.25">
      <c r="A55" s="161">
        <v>4000001</v>
      </c>
      <c r="B55" s="162">
        <v>7.0000000000000007E-2</v>
      </c>
      <c r="C55" s="162">
        <v>7.4999999999999997E-2</v>
      </c>
      <c r="D55" s="162">
        <v>0.08</v>
      </c>
      <c r="E55" s="165" t="s">
        <v>112</v>
      </c>
      <c r="F55" s="166"/>
    </row>
    <row r="56" spans="1:7" s="15" customFormat="1" ht="15" customHeight="1" x14ac:dyDescent="0.25">
      <c r="A56" s="151">
        <v>10000001</v>
      </c>
      <c r="B56" s="154">
        <v>6.5000000000000002E-2</v>
      </c>
      <c r="C56" s="154">
        <v>7.0000000000000007E-2</v>
      </c>
      <c r="D56" s="154">
        <v>7.4999999999999997E-2</v>
      </c>
    </row>
    <row r="57" spans="1:7" x14ac:dyDescent="0.2">
      <c r="C57" s="6"/>
      <c r="D57" s="6"/>
      <c r="E57" s="6"/>
      <c r="F57" s="6"/>
    </row>
  </sheetData>
  <phoneticPr fontId="3" type="noConversion"/>
  <dataValidations count="1">
    <dataValidation errorStyle="information" allowBlank="1" promptTitle="CAPTURA" prompt="SOLO EN CASO DE QUE EL MONTO DEL CRÉDITO DESEADO NO _x000a_ESTE DENTRO DEL COMBO" sqref="B39:B40"/>
  </dataValidations>
  <pageMargins left="0.75" right="0.75" top="1" bottom="1" header="0" footer="0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Drop Down 4">
              <controlPr defaultSize="0" autoFill="0" autoLine="0" autoPict="0">
                <anchor moveWithCells="1">
                  <from>
                    <xdr:col>7</xdr:col>
                    <xdr:colOff>60960</xdr:colOff>
                    <xdr:row>31</xdr:row>
                    <xdr:rowOff>7620</xdr:rowOff>
                  </from>
                  <to>
                    <xdr:col>8</xdr:col>
                    <xdr:colOff>601980</xdr:colOff>
                    <xdr:row>32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258"/>
  <sheetViews>
    <sheetView workbookViewId="0">
      <selection activeCell="C3" sqref="C3"/>
    </sheetView>
  </sheetViews>
  <sheetFormatPr defaultColWidth="11.44140625" defaultRowHeight="10.199999999999999" x14ac:dyDescent="0.2"/>
  <cols>
    <col min="1" max="1" width="2.6640625" style="6" bestFit="1" customWidth="1"/>
    <col min="2" max="3" width="15.5546875" style="6" customWidth="1"/>
    <col min="4" max="4" width="4.33203125" style="22" bestFit="1" customWidth="1"/>
    <col min="5" max="5" width="2.6640625" style="6" bestFit="1" customWidth="1"/>
    <col min="6" max="7" width="15.5546875" style="6" customWidth="1"/>
    <col min="8" max="8" width="5.44140625" style="6" customWidth="1"/>
    <col min="9" max="9" width="4.5546875" style="6" customWidth="1"/>
    <col min="10" max="11" width="15.5546875" style="6" customWidth="1"/>
    <col min="12" max="12" width="3.33203125" style="22" customWidth="1"/>
    <col min="13" max="13" width="2.6640625" style="6" bestFit="1" customWidth="1"/>
    <col min="14" max="15" width="15.5546875" style="6" customWidth="1"/>
    <col min="16" max="16384" width="11.44140625" style="6"/>
  </cols>
  <sheetData>
    <row r="1" spans="1:17" ht="11.25" customHeight="1" x14ac:dyDescent="0.2">
      <c r="B1" s="275" t="s">
        <v>90</v>
      </c>
      <c r="C1" s="275"/>
      <c r="F1" s="275" t="s">
        <v>91</v>
      </c>
      <c r="G1" s="275"/>
      <c r="H1" s="36"/>
      <c r="J1" s="277" t="s">
        <v>88</v>
      </c>
      <c r="K1" s="277"/>
      <c r="N1" s="277" t="s">
        <v>89</v>
      </c>
      <c r="O1" s="277"/>
    </row>
    <row r="2" spans="1:17" x14ac:dyDescent="0.2">
      <c r="B2" s="276"/>
      <c r="C2" s="276"/>
      <c r="D2" s="23"/>
      <c r="F2" s="276"/>
      <c r="G2" s="276"/>
      <c r="H2" s="36"/>
      <c r="J2" s="278"/>
      <c r="K2" s="278"/>
      <c r="L2" s="23"/>
      <c r="N2" s="278"/>
      <c r="O2" s="278"/>
    </row>
    <row r="3" spans="1:17" x14ac:dyDescent="0.2">
      <c r="B3" s="24" t="str">
        <f>+'Menu Principal'!B9</f>
        <v>Monto del Crédito:</v>
      </c>
      <c r="C3" s="25">
        <f>'Menu Principal'!E9*-1</f>
        <v>-1000000</v>
      </c>
      <c r="D3" s="79" t="str">
        <f>IF(Simulación_crediactivo=1,"M.N.","USD")</f>
        <v>M.N.</v>
      </c>
      <c r="F3" s="24" t="str">
        <f>+B3</f>
        <v>Monto del Crédito:</v>
      </c>
      <c r="G3" s="25">
        <f>+Monto_Crédito*-1</f>
        <v>-1000000</v>
      </c>
      <c r="H3" s="79" t="str">
        <f>IF(Simulación_crediactivo=1,"M.N.","USD")</f>
        <v>M.N.</v>
      </c>
      <c r="J3" s="24" t="str">
        <f>+'Menu Principal'!B9</f>
        <v>Monto del Crédito:</v>
      </c>
      <c r="K3" s="25">
        <f>'Menu Principal'!E9*-1</f>
        <v>-1000000</v>
      </c>
      <c r="L3" s="26"/>
      <c r="N3" s="24" t="str">
        <f>+J3</f>
        <v>Monto del Crédito:</v>
      </c>
      <c r="O3" s="25">
        <f>+Monto_Crédito*-1</f>
        <v>-1000000</v>
      </c>
    </row>
    <row r="4" spans="1:17" x14ac:dyDescent="0.2">
      <c r="B4" s="27" t="s">
        <v>7</v>
      </c>
      <c r="C4" s="25">
        <f>(Monto_Crédito*Com_por_apertura)</f>
        <v>20000</v>
      </c>
      <c r="D4" s="79" t="str">
        <f>IF(Simulación_crediactivo=1,"M.N.","USD")</f>
        <v>M.N.</v>
      </c>
      <c r="F4" s="27" t="s">
        <v>7</v>
      </c>
      <c r="G4" s="25">
        <f>(Monto_Crédito*Com_por_apertura)</f>
        <v>20000</v>
      </c>
      <c r="H4" s="79" t="str">
        <f>IF(Simulación_crediactivo=1,"M.N.","USD")</f>
        <v>M.N.</v>
      </c>
      <c r="J4" s="27" t="s">
        <v>7</v>
      </c>
      <c r="K4" s="25">
        <f>(Monto_Crédito*Com_por_apertura)*(1+I.V.A.)</f>
        <v>23200</v>
      </c>
      <c r="L4" s="26"/>
      <c r="N4" s="27" t="s">
        <v>7</v>
      </c>
      <c r="O4" s="25">
        <f>(Monto_Crédito*Com_por_apertura)*(1+I.V.A.)</f>
        <v>23200</v>
      </c>
    </row>
    <row r="5" spans="1:17" x14ac:dyDescent="0.2">
      <c r="B5" s="28" t="s">
        <v>5</v>
      </c>
      <c r="C5" s="25">
        <f>IF(Garantía_Hipotecaria=1,0,Valor_Propiedad*Com_por_avalúo)</f>
        <v>0</v>
      </c>
      <c r="D5" s="79" t="str">
        <f>IF(Simulación_crediactivo=1,"M.N.","USD")</f>
        <v>M.N.</v>
      </c>
      <c r="F5" s="28" t="s">
        <v>5</v>
      </c>
      <c r="G5" s="25">
        <f>IF(Garantía_Hipotecaria=1,0,Valor_Propiedad*Com_por_avalúo)</f>
        <v>0</v>
      </c>
      <c r="H5" s="79" t="str">
        <f>IF(Simulación_crediactivo=1,"M.N.","USD")</f>
        <v>M.N.</v>
      </c>
      <c r="J5" s="28" t="s">
        <v>5</v>
      </c>
      <c r="K5" s="25">
        <f>IF(Garantía_Hipotecaria=1,0,Valor_Propiedad*Com_por_avalúo)*(1+I.V.A.)</f>
        <v>0</v>
      </c>
      <c r="L5" s="26"/>
      <c r="N5" s="28" t="s">
        <v>5</v>
      </c>
      <c r="O5" s="25">
        <f>IF(Garantía_Hipotecaria=1,0,Valor_Propiedad*Com_por_avalúo)*(1+I.V.A.)</f>
        <v>0</v>
      </c>
    </row>
    <row r="6" spans="1:17" x14ac:dyDescent="0.2">
      <c r="B6" s="27" t="s">
        <v>6</v>
      </c>
      <c r="C6" s="25">
        <f>IF(Garantía_Hipotecaria=1,0,(No._de_Pagos/Pagos_por_año)*Seguro_Anual_CAT)</f>
        <v>0</v>
      </c>
      <c r="D6" s="79" t="str">
        <f>IF(Simulación_crediactivo=1,"M.N.","USD")</f>
        <v>M.N.</v>
      </c>
      <c r="F6" s="27" t="s">
        <v>6</v>
      </c>
      <c r="G6" s="25">
        <f>IF(Garantía_Hipotecaria=1,0,(No._de_Pagos/Pagos_por_año)*Seguro_Anual_CAT)</f>
        <v>0</v>
      </c>
      <c r="H6" s="79" t="str">
        <f>IF(Simulación_crediactivo=1,"M.N.","USD")</f>
        <v>M.N.</v>
      </c>
      <c r="J6" s="27" t="s">
        <v>6</v>
      </c>
      <c r="K6" s="25">
        <f>IF(Garantía_Hipotecaria=1,0,(No._de_Pagos/Pagos_por_año)*Seguro_Anual)</f>
        <v>0</v>
      </c>
      <c r="L6" s="26"/>
      <c r="N6" s="27" t="s">
        <v>6</v>
      </c>
      <c r="O6" s="25">
        <f>IF(Garantía_Hipotecaria=1,0,(No._de_Pagos/Pagos_por_año)*Seguro_Anual)</f>
        <v>0</v>
      </c>
    </row>
    <row r="7" spans="1:17" x14ac:dyDescent="0.2">
      <c r="B7" s="24" t="s">
        <v>0</v>
      </c>
      <c r="C7" s="25">
        <f>SUM(C3:C6)</f>
        <v>-980000</v>
      </c>
      <c r="D7" s="26"/>
      <c r="F7" s="24" t="s">
        <v>0</v>
      </c>
      <c r="G7" s="25">
        <f>SUM(G3:G6)</f>
        <v>-980000</v>
      </c>
      <c r="H7" s="36"/>
      <c r="J7" s="24" t="s">
        <v>0</v>
      </c>
      <c r="K7" s="25">
        <f>SUM(K3:K6)</f>
        <v>-976800</v>
      </c>
      <c r="L7" s="26"/>
      <c r="N7" s="24" t="s">
        <v>0</v>
      </c>
      <c r="O7" s="25">
        <f>SUM(O3:O6)</f>
        <v>-976800</v>
      </c>
    </row>
    <row r="8" spans="1:17" x14ac:dyDescent="0.2">
      <c r="A8" s="8"/>
      <c r="B8" s="29" t="s">
        <v>1</v>
      </c>
      <c r="C8" s="30">
        <f>IRR($B$15:$B$255,0)</f>
        <v>1.3087783693986665E-2</v>
      </c>
      <c r="D8" s="31"/>
      <c r="E8" s="8"/>
      <c r="F8" s="29" t="s">
        <v>1</v>
      </c>
      <c r="G8" s="30">
        <f>IRR($F$15:$F$255,0)</f>
        <v>1.3179029478286308E-2</v>
      </c>
      <c r="H8" s="31"/>
      <c r="J8" s="29" t="s">
        <v>1</v>
      </c>
      <c r="K8" s="30">
        <f>IRR($J$15:$J$255,0)</f>
        <v>1.5217773576059024E-2</v>
      </c>
      <c r="L8" s="31"/>
      <c r="M8" s="8"/>
      <c r="N8" s="29" t="s">
        <v>1</v>
      </c>
      <c r="O8" s="30">
        <f>IRR($N$15:$N$255,0)</f>
        <v>1.5325669611778725E-2</v>
      </c>
    </row>
    <row r="9" spans="1:17" x14ac:dyDescent="0.2">
      <c r="A9" s="8"/>
      <c r="B9" s="32" t="s">
        <v>10</v>
      </c>
      <c r="C9" s="33">
        <f>EFFECT($C$8*Pagos_por_año,Pagos_por_año)</f>
        <v>0.16886657966896013</v>
      </c>
      <c r="D9" s="34"/>
      <c r="E9" s="8"/>
      <c r="F9" s="32" t="s">
        <v>10</v>
      </c>
      <c r="G9" s="33">
        <f>EFFECT($G$8*Pagos_por_año,Pagos_por_año)</f>
        <v>0.17013052143387175</v>
      </c>
      <c r="H9" s="55"/>
      <c r="J9" s="53" t="s">
        <v>10</v>
      </c>
      <c r="K9" s="54">
        <f>EFFECT($K$8*Pagos_por_año,Pagos_por_año)</f>
        <v>0.19870012046702201</v>
      </c>
      <c r="L9" s="34"/>
      <c r="M9" s="8"/>
      <c r="N9" s="53" t="s">
        <v>10</v>
      </c>
      <c r="O9" s="54">
        <f>EFFECT($O$8*Pagos_por_año,Pagos_por_año)</f>
        <v>0.20022977002671793</v>
      </c>
    </row>
    <row r="10" spans="1:17" x14ac:dyDescent="0.2">
      <c r="A10" s="8"/>
      <c r="B10" s="32" t="s">
        <v>11</v>
      </c>
      <c r="C10" s="33">
        <f>((1+$C$8)^Pagos_por_año)-1</f>
        <v>0.16886657966896013</v>
      </c>
      <c r="D10" s="34"/>
      <c r="E10" s="8"/>
      <c r="F10" s="32" t="s">
        <v>11</v>
      </c>
      <c r="G10" s="33">
        <f>((1+$G$8)^Pagos_por_año)-1</f>
        <v>0.17013052143387175</v>
      </c>
      <c r="H10" s="55"/>
      <c r="J10" s="53" t="s">
        <v>11</v>
      </c>
      <c r="K10" s="54">
        <f>((1+$K$8)^Pagos_por_año)-1</f>
        <v>0.19870012046702201</v>
      </c>
      <c r="L10" s="34"/>
      <c r="M10" s="8"/>
      <c r="N10" s="53" t="s">
        <v>11</v>
      </c>
      <c r="O10" s="54">
        <f>((1+$O$8)^Pagos_por_año)-1</f>
        <v>0.20022977002671793</v>
      </c>
    </row>
    <row r="11" spans="1:17" x14ac:dyDescent="0.2">
      <c r="A11" s="8"/>
      <c r="B11" s="24" t="s">
        <v>12</v>
      </c>
      <c r="C11" s="25">
        <f>+$C$256</f>
        <v>9.3335984274744987E-8</v>
      </c>
      <c r="D11" s="26"/>
      <c r="E11" s="8"/>
      <c r="F11" s="24" t="s">
        <v>12</v>
      </c>
      <c r="G11" s="25">
        <f>+$G$256</f>
        <v>2.7064743335358799E-8</v>
      </c>
      <c r="H11" s="36"/>
      <c r="J11" s="24" t="s">
        <v>12</v>
      </c>
      <c r="K11" s="25">
        <f>+$K$256</f>
        <v>-2.4447217583656311E-9</v>
      </c>
      <c r="L11" s="26"/>
      <c r="M11" s="8"/>
      <c r="N11" s="24" t="s">
        <v>12</v>
      </c>
      <c r="O11" s="25">
        <f>+$O$256</f>
        <v>-4.0263330447487533E-9</v>
      </c>
    </row>
    <row r="12" spans="1:17" x14ac:dyDescent="0.2">
      <c r="A12" s="8"/>
      <c r="B12" s="35"/>
      <c r="C12" s="36"/>
      <c r="D12" s="26"/>
      <c r="E12" s="8"/>
      <c r="F12" s="35"/>
      <c r="G12" s="36"/>
      <c r="H12" s="36"/>
      <c r="J12" s="35"/>
      <c r="K12" s="36"/>
      <c r="L12" s="26"/>
      <c r="M12" s="8"/>
      <c r="N12" s="35"/>
      <c r="O12" s="36"/>
    </row>
    <row r="13" spans="1:17" x14ac:dyDescent="0.2">
      <c r="A13" s="10"/>
      <c r="B13" s="37"/>
      <c r="C13" s="26"/>
      <c r="D13" s="26"/>
      <c r="E13" s="10"/>
      <c r="F13" s="37"/>
      <c r="G13" s="26"/>
      <c r="H13" s="26"/>
      <c r="J13" s="37"/>
      <c r="K13" s="26"/>
      <c r="L13" s="26"/>
      <c r="M13" s="10"/>
      <c r="N13" s="37"/>
      <c r="O13" s="26"/>
    </row>
    <row r="14" spans="1:17" ht="20.399999999999999" x14ac:dyDescent="0.2">
      <c r="A14" s="12" t="s">
        <v>15</v>
      </c>
      <c r="B14" s="12" t="s">
        <v>2</v>
      </c>
      <c r="C14" s="38" t="s">
        <v>3</v>
      </c>
      <c r="D14" s="39"/>
      <c r="E14" s="12" t="s">
        <v>15</v>
      </c>
      <c r="F14" s="12" t="s">
        <v>2</v>
      </c>
      <c r="G14" s="38" t="s">
        <v>3</v>
      </c>
      <c r="H14" s="38"/>
      <c r="I14" s="12" t="s">
        <v>15</v>
      </c>
      <c r="J14" s="12" t="s">
        <v>2</v>
      </c>
      <c r="K14" s="38" t="s">
        <v>3</v>
      </c>
      <c r="L14" s="39"/>
      <c r="M14" s="12" t="s">
        <v>15</v>
      </c>
      <c r="N14" s="12" t="s">
        <v>2</v>
      </c>
      <c r="O14" s="38" t="s">
        <v>3</v>
      </c>
    </row>
    <row r="15" spans="1:17" x14ac:dyDescent="0.2">
      <c r="A15" s="40">
        <f>+Tabla!A17</f>
        <v>0</v>
      </c>
      <c r="B15" s="41">
        <f>+$C$7</f>
        <v>-980000</v>
      </c>
      <c r="C15" s="41">
        <f>IF(Tabla!A17="","",(B15/((1+$C$9)^($A15/Parámetros!$D$6))))</f>
        <v>-980000</v>
      </c>
      <c r="D15" s="42"/>
      <c r="E15" s="40">
        <f>+Tabla!A17</f>
        <v>0</v>
      </c>
      <c r="F15" s="41">
        <f>+$G$7</f>
        <v>-980000</v>
      </c>
      <c r="G15" s="41">
        <f>IF(Tabla!A17="","",(F15/((1+$G$9)^(CAT!$E15/Pagos_por_año))))</f>
        <v>-980000</v>
      </c>
      <c r="H15" s="41"/>
      <c r="I15" s="40">
        <f>+Tabla!I17</f>
        <v>0</v>
      </c>
      <c r="J15" s="41">
        <f>+$K$7</f>
        <v>-976800</v>
      </c>
      <c r="K15" s="41">
        <f>IF(Tabla!A17="","",(J15/((1+$K$9)^($I15/Parámetros!$D$6))))</f>
        <v>-976800</v>
      </c>
      <c r="L15" s="42"/>
      <c r="M15" s="40">
        <f>+Tabla!H17</f>
        <v>0</v>
      </c>
      <c r="N15" s="41">
        <f>+$O$7</f>
        <v>-976800</v>
      </c>
      <c r="O15" s="41">
        <f>IF(Tabla!A17="","",(N15/((1+$O$9)^(CAT!$L15/Pagos_por_año))))</f>
        <v>-976800</v>
      </c>
    </row>
    <row r="16" spans="1:17" x14ac:dyDescent="0.2">
      <c r="A16" s="40">
        <f>+Tabla!A18</f>
        <v>1</v>
      </c>
      <c r="B16" s="43">
        <f>+Tabla!AK18</f>
        <v>22969.959518484655</v>
      </c>
      <c r="C16" s="41">
        <f>IF(Tabla!A18="","",(B16/((1+$C$9)^($A16/Parámetros!$D$6))))</f>
        <v>22673.217354107353</v>
      </c>
      <c r="D16" s="42"/>
      <c r="E16" s="40">
        <f>+Tabla!A18</f>
        <v>1</v>
      </c>
      <c r="F16" s="43">
        <f>Tabla!AL18</f>
        <v>29000.5</v>
      </c>
      <c r="G16" s="41">
        <f>IF(Tabla!A18="","",(F16/((1+$G$9)^(CAT!$E16/Pagos_por_año))))</f>
        <v>28623.273040829867</v>
      </c>
      <c r="H16" s="41"/>
      <c r="I16" s="40">
        <f>+Tabla!A18</f>
        <v>1</v>
      </c>
      <c r="J16" s="43">
        <f>+Tabla!AA18</f>
        <v>24943.372851817989</v>
      </c>
      <c r="K16" s="41">
        <f>IF(Tabla!A18="","",(J16/((1+$K$9)^($I16/Parámetros!$D$6))))</f>
        <v>24569.480067272736</v>
      </c>
      <c r="L16" s="42"/>
      <c r="M16" s="40">
        <f>+Tabla!A18</f>
        <v>1</v>
      </c>
      <c r="N16" s="43">
        <f>Tabla!AI18</f>
        <v>30973.913333333334</v>
      </c>
      <c r="O16" s="41">
        <f>IF(Tabla!A18="","",(N16/((1+$O$9)^(CAT!$M16/Pagos_por_año))))</f>
        <v>30506.382592667593</v>
      </c>
      <c r="P16" s="52"/>
      <c r="Q16" s="52"/>
    </row>
    <row r="17" spans="1:17" x14ac:dyDescent="0.2">
      <c r="A17" s="40">
        <f>+Tabla!A19</f>
        <v>2</v>
      </c>
      <c r="B17" s="43">
        <f>+Tabla!AK19</f>
        <v>22990.948991713445</v>
      </c>
      <c r="C17" s="41">
        <f>IF(Tabla!A19="","",(B17/((1+$C$9)^($A17/Parámetros!$D$6))))</f>
        <v>22400.759377183171</v>
      </c>
      <c r="D17" s="42"/>
      <c r="E17" s="40">
        <f>+Tabla!A19</f>
        <v>2</v>
      </c>
      <c r="F17" s="43">
        <f>Tabla!AL19</f>
        <v>28794.936111111114</v>
      </c>
      <c r="G17" s="41">
        <f>IF(Tabla!A19="","",(F17/((1+$G$9)^(CAT!$E17/Pagos_por_año))))</f>
        <v>28050.70201641363</v>
      </c>
      <c r="H17" s="41"/>
      <c r="I17" s="40">
        <f>+Tabla!A19</f>
        <v>2</v>
      </c>
      <c r="J17" s="43">
        <f>+Tabla!AA19</f>
        <v>24943.372851817985</v>
      </c>
      <c r="K17" s="41">
        <f>IF(Tabla!A19="","",(J17/((1+$K$9)^($I17/Parámetros!$D$6))))</f>
        <v>24201.191810036817</v>
      </c>
      <c r="L17" s="42"/>
      <c r="M17" s="40">
        <f>+Tabla!A19</f>
        <v>2</v>
      </c>
      <c r="N17" s="43">
        <f>Tabla!AI19</f>
        <v>30735.459222222224</v>
      </c>
      <c r="O17" s="41">
        <f>IF(Tabla!A19="","",(N17/((1+$O$9)^(CAT!$M17/Pagos_por_año))))</f>
        <v>29814.599093376277</v>
      </c>
      <c r="P17" s="52"/>
      <c r="Q17" s="52"/>
    </row>
    <row r="18" spans="1:17" x14ac:dyDescent="0.2">
      <c r="A18" s="40">
        <f>+Tabla!A20</f>
        <v>3</v>
      </c>
      <c r="B18" s="43">
        <f>+Tabla!AK20</f>
        <v>23012.238766513128</v>
      </c>
      <c r="C18" s="41">
        <f>IF(Tabla!A20="","",(B18/((1+$C$9)^($A18/Parámetros!$D$6))))</f>
        <v>22131.84582153345</v>
      </c>
      <c r="D18" s="42"/>
      <c r="E18" s="40">
        <f>+Tabla!A20</f>
        <v>3</v>
      </c>
      <c r="F18" s="43">
        <f>Tabla!AL20</f>
        <v>28589.372222222224</v>
      </c>
      <c r="G18" s="41">
        <f>IF(Tabla!A20="","",(F18/((1+$G$9)^(CAT!$E18/Pagos_por_año))))</f>
        <v>27488.183551720522</v>
      </c>
      <c r="H18" s="41"/>
      <c r="I18" s="40">
        <f>+Tabla!A20</f>
        <v>3</v>
      </c>
      <c r="J18" s="43">
        <f>+Tabla!AA20</f>
        <v>24943.372851817989</v>
      </c>
      <c r="K18" s="41">
        <f>IF(Tabla!A20="","",(J18/((1+$K$9)^($I18/Parámetros!$D$6))))</f>
        <v>23838.424070127541</v>
      </c>
      <c r="L18" s="42"/>
      <c r="M18" s="40">
        <f>+Tabla!A20</f>
        <v>3</v>
      </c>
      <c r="N18" s="43">
        <f>Tabla!AI20</f>
        <v>30497.005111111113</v>
      </c>
      <c r="O18" s="41">
        <f>IF(Tabla!A20="","",(N18/((1+$O$9)^(CAT!$M18/Pagos_por_año))))</f>
        <v>29136.749077446781</v>
      </c>
      <c r="P18" s="52"/>
      <c r="Q18" s="52"/>
    </row>
    <row r="19" spans="1:17" x14ac:dyDescent="0.2">
      <c r="A19" s="40">
        <f>+Tabla!A21</f>
        <v>4</v>
      </c>
      <c r="B19" s="43">
        <f>+Tabla!AK21</f>
        <v>23033.833139372342</v>
      </c>
      <c r="C19" s="41">
        <f>IF(Tabla!A21="","",(B19/((1+$C$9)^($A19/Parámetros!$D$6))))</f>
        <v>21866.430927451453</v>
      </c>
      <c r="D19" s="42"/>
      <c r="E19" s="40">
        <f>+Tabla!A21</f>
        <v>4</v>
      </c>
      <c r="F19" s="43">
        <f>Tabla!AL21</f>
        <v>28383.808333333334</v>
      </c>
      <c r="G19" s="41">
        <f>IF(Tabla!A21="","",(F19/((1+$G$9)^(CAT!$E19/Pagos_por_año))))</f>
        <v>26935.553005065121</v>
      </c>
      <c r="H19" s="41"/>
      <c r="I19" s="40">
        <f>+Tabla!A21</f>
        <v>4</v>
      </c>
      <c r="J19" s="43">
        <f>+Tabla!AA21</f>
        <v>24943.372851817981</v>
      </c>
      <c r="K19" s="41">
        <f>IF(Tabla!A21="","",(J19/((1+$K$9)^($I19/Parámetros!$D$6))))</f>
        <v>23481.094096843633</v>
      </c>
      <c r="L19" s="42"/>
      <c r="M19" s="40">
        <f>+Tabla!A21</f>
        <v>4</v>
      </c>
      <c r="N19" s="43">
        <f>Tabla!AI21</f>
        <v>30258.550999999999</v>
      </c>
      <c r="O19" s="41">
        <f>IF(Tabla!A21="","",(N19/((1+$O$9)^(CAT!$M19/Pagos_por_año))))</f>
        <v>28472.569526747138</v>
      </c>
      <c r="P19" s="52"/>
      <c r="Q19" s="52"/>
    </row>
    <row r="20" spans="1:17" x14ac:dyDescent="0.2">
      <c r="A20" s="40">
        <f>+Tabla!A22</f>
        <v>5</v>
      </c>
      <c r="B20" s="43">
        <f>+Tabla!AK22</f>
        <v>23055.736468250674</v>
      </c>
      <c r="C20" s="41">
        <f>IF(Tabla!A22="","",(B20/((1+$C$9)^($A20/Parámetros!$D$6))))</f>
        <v>21604.469526422356</v>
      </c>
      <c r="D20" s="42"/>
      <c r="E20" s="40">
        <f>+Tabla!A22</f>
        <v>5</v>
      </c>
      <c r="F20" s="43">
        <f>Tabla!AL22</f>
        <v>28178.244444444448</v>
      </c>
      <c r="G20" s="41">
        <f>IF(Tabla!A22="","",(F20/((1+$G$9)^(CAT!$E20/Pagos_por_año))))</f>
        <v>26392.648317078954</v>
      </c>
      <c r="H20" s="41"/>
      <c r="I20" s="40">
        <f>+Tabla!A22</f>
        <v>5</v>
      </c>
      <c r="J20" s="43">
        <f>+Tabla!AA22</f>
        <v>24943.372851817989</v>
      </c>
      <c r="K20" s="41">
        <f>IF(Tabla!A22="","",(J20/((1+$K$9)^($I20/Parámetros!$D$6))))</f>
        <v>23129.120379889071</v>
      </c>
      <c r="L20" s="42"/>
      <c r="M20" s="40">
        <f>+Tabla!A22</f>
        <v>5</v>
      </c>
      <c r="N20" s="43">
        <f>Tabla!AI22</f>
        <v>30020.096888888893</v>
      </c>
      <c r="O20" s="41">
        <f>IF(Tabla!A22="","",(N20/((1+$O$9)^(CAT!$M20/Pagos_por_año))))</f>
        <v>27821.802188723188</v>
      </c>
      <c r="P20" s="52"/>
      <c r="Q20" s="52"/>
    </row>
    <row r="21" spans="1:17" x14ac:dyDescent="0.2">
      <c r="A21" s="40">
        <f>+Tabla!A23</f>
        <v>6</v>
      </c>
      <c r="B21" s="43">
        <f>+Tabla!AK23</f>
        <v>23077.953173458081</v>
      </c>
      <c r="C21" s="41">
        <f>IF(Tabla!A23="","",(B21/((1+$C$9)^($A21/Parámetros!$D$6))))</f>
        <v>21345.917033485799</v>
      </c>
      <c r="D21" s="42"/>
      <c r="E21" s="40">
        <f>+Tabla!A23</f>
        <v>6</v>
      </c>
      <c r="F21" s="43">
        <f>Tabla!AL23</f>
        <v>27972.680555555562</v>
      </c>
      <c r="G21" s="41">
        <f>IF(Tabla!A23="","",(F21/((1+$G$9)^(CAT!$E21/Pagos_por_año))))</f>
        <v>25859.309971387971</v>
      </c>
      <c r="H21" s="41"/>
      <c r="I21" s="40">
        <f>+Tabla!A23</f>
        <v>6</v>
      </c>
      <c r="J21" s="43">
        <f>+Tabla!AA23</f>
        <v>24943.372851817985</v>
      </c>
      <c r="K21" s="41">
        <f>IF(Tabla!A23="","",(J21/((1+$K$9)^($I21/Parámetros!$D$6))))</f>
        <v>22782.422630779776</v>
      </c>
      <c r="L21" s="42"/>
      <c r="M21" s="40">
        <f>+Tabla!A23</f>
        <v>6</v>
      </c>
      <c r="N21" s="43">
        <f>Tabla!AI23</f>
        <v>29781.642777777786</v>
      </c>
      <c r="O21" s="41">
        <f>IF(Tabla!A23="","",(N21/((1+$O$9)^(CAT!$M21/Pagos_por_año))))</f>
        <v>27184.193492457835</v>
      </c>
      <c r="P21" s="52"/>
      <c r="Q21" s="52"/>
    </row>
    <row r="22" spans="1:17" x14ac:dyDescent="0.2">
      <c r="A22" s="40">
        <f>+Tabla!A24</f>
        <v>7</v>
      </c>
      <c r="B22" s="43">
        <f>+Tabla!AK24</f>
        <v>23100.487738547017</v>
      </c>
      <c r="C22" s="41">
        <f>IF(Tabla!A24="","",(B22/((1+$C$9)^($A22/Parámetros!$D$6))))</f>
        <v>21090.729439697214</v>
      </c>
      <c r="D22" s="42"/>
      <c r="E22" s="40">
        <f>+Tabla!A24</f>
        <v>7</v>
      </c>
      <c r="F22" s="43">
        <f>Tabla!AL24</f>
        <v>27767.116666666669</v>
      </c>
      <c r="G22" s="41">
        <f>IF(Tabla!A24="","",(F22/((1+$G$9)^(CAT!$E22/Pagos_por_año))))</f>
        <v>25335.380955876128</v>
      </c>
      <c r="H22" s="41"/>
      <c r="I22" s="40">
        <f>+Tabla!A24</f>
        <v>7</v>
      </c>
      <c r="J22" s="43">
        <f>+Tabla!AA24</f>
        <v>24943.372851817989</v>
      </c>
      <c r="K22" s="41">
        <f>IF(Tabla!A24="","",(J22/((1+$K$9)^($I22/Parámetros!$D$6))))</f>
        <v>22440.921764529121</v>
      </c>
      <c r="L22" s="42"/>
      <c r="M22" s="40">
        <f>+Tabla!A24</f>
        <v>7</v>
      </c>
      <c r="N22" s="43">
        <f>Tabla!AI24</f>
        <v>29543.188666666669</v>
      </c>
      <c r="O22" s="41">
        <f>IF(Tabla!A24="","",(N22/((1+$O$9)^(CAT!$M22/Pagos_por_año))))</f>
        <v>26559.494466178661</v>
      </c>
      <c r="P22" s="52"/>
      <c r="Q22" s="52"/>
    </row>
    <row r="23" spans="1:17" x14ac:dyDescent="0.2">
      <c r="A23" s="40">
        <f>+Tabla!A25</f>
        <v>8</v>
      </c>
      <c r="B23" s="43">
        <f>+Tabla!AK25</f>
        <v>23123.3447112172</v>
      </c>
      <c r="C23" s="41">
        <f>IF(Tabla!A25="","",(B23/((1+$C$9)^($A23/Parámetros!$D$6))))</f>
        <v>20838.863304686452</v>
      </c>
      <c r="D23" s="42"/>
      <c r="E23" s="40">
        <f>+Tabla!A25</f>
        <v>8</v>
      </c>
      <c r="F23" s="43">
        <f>Tabla!AL25</f>
        <v>27561.552777777782</v>
      </c>
      <c r="G23" s="41">
        <f>IF(Tabla!A25="","",(F23/((1+$G$9)^(CAT!$E23/Pagos_por_año))))</f>
        <v>24820.706724526397</v>
      </c>
      <c r="H23" s="41"/>
      <c r="I23" s="40">
        <f>+Tabla!A25</f>
        <v>8</v>
      </c>
      <c r="J23" s="43">
        <f>+Tabla!AA25</f>
        <v>24943.372851817985</v>
      </c>
      <c r="K23" s="41">
        <f>IF(Tabla!A25="","",(J23/((1+$K$9)^($I23/Parámetros!$D$6))))</f>
        <v>22104.539881607845</v>
      </c>
      <c r="L23" s="42"/>
      <c r="M23" s="40">
        <f>+Tabla!A25</f>
        <v>8</v>
      </c>
      <c r="N23" s="43">
        <f>Tabla!AI25</f>
        <v>29304.734555555562</v>
      </c>
      <c r="O23" s="41">
        <f>IF(Tabla!A25="","",(N23/((1+$O$9)^(CAT!$M23/Pagos_por_año))))</f>
        <v>25947.460656189236</v>
      </c>
      <c r="P23" s="52"/>
      <c r="Q23" s="52"/>
    </row>
    <row r="24" spans="1:17" x14ac:dyDescent="0.2">
      <c r="A24" s="40">
        <f>+Tabla!A26</f>
        <v>9</v>
      </c>
      <c r="B24" s="43">
        <f>+Tabla!AK26</f>
        <v>23146.528704233438</v>
      </c>
      <c r="C24" s="41">
        <f>IF(Tabla!A26="","",(B24/((1+$C$9)^($A24/Parámetros!$D$6))))</f>
        <v>20590.275749312612</v>
      </c>
      <c r="D24" s="42"/>
      <c r="E24" s="40">
        <f>+Tabla!A26</f>
        <v>9</v>
      </c>
      <c r="F24" s="43">
        <f>Tabla!AL26</f>
        <v>27355.988888888896</v>
      </c>
      <c r="G24" s="41">
        <f>IF(Tabla!A26="","",(F24/((1+$G$9)^(CAT!$E24/Pagos_por_año))))</f>
        <v>24315.135159830788</v>
      </c>
      <c r="H24" s="41"/>
      <c r="I24" s="40">
        <f>+Tabla!A26</f>
        <v>9</v>
      </c>
      <c r="J24" s="43">
        <f>+Tabla!AA26</f>
        <v>24943.372851817992</v>
      </c>
      <c r="K24" s="41">
        <f>IF(Tabla!A26="","",(J24/((1+$K$9)^($I24/Parámetros!$D$6))))</f>
        <v>21773.200250174497</v>
      </c>
      <c r="L24" s="42"/>
      <c r="M24" s="40">
        <f>+Tabla!A26</f>
        <v>9</v>
      </c>
      <c r="N24" s="43">
        <f>Tabla!AI26</f>
        <v>29066.280444444452</v>
      </c>
      <c r="O24" s="41">
        <f>IF(Tabla!A26="","",(N24/((1+$O$9)^(CAT!$M24/Pagos_por_año))))</f>
        <v>25347.852047199791</v>
      </c>
      <c r="P24" s="52"/>
      <c r="Q24" s="52"/>
    </row>
    <row r="25" spans="1:17" x14ac:dyDescent="0.2">
      <c r="A25" s="40">
        <f>+Tabla!A27</f>
        <v>10</v>
      </c>
      <c r="B25" s="43">
        <f>+Tabla!AK27</f>
        <v>23170.044396356468</v>
      </c>
      <c r="C25" s="41">
        <f>IF(Tabla!A27="","",(B25/((1+$C$9)^($A25/Parámetros!$D$6))))</f>
        <v>20344.92444841368</v>
      </c>
      <c r="D25" s="42"/>
      <c r="E25" s="40">
        <f>+Tabla!A27</f>
        <v>10</v>
      </c>
      <c r="F25" s="43">
        <f>Tabla!AL27</f>
        <v>27150.425000000007</v>
      </c>
      <c r="G25" s="41">
        <f>IF(Tabla!A27="","",(F25/((1+$G$9)^(CAT!$E25/Pagos_por_año))))</f>
        <v>23818.516535761006</v>
      </c>
      <c r="H25" s="41"/>
      <c r="I25" s="40">
        <f>+Tabla!A27</f>
        <v>10</v>
      </c>
      <c r="J25" s="43">
        <f>+Tabla!AA27</f>
        <v>24943.372851817985</v>
      </c>
      <c r="K25" s="41">
        <f>IF(Tabla!A27="","",(J25/((1+$K$9)^($I25/Parámetros!$D$6))))</f>
        <v>21446.827288572156</v>
      </c>
      <c r="L25" s="42"/>
      <c r="M25" s="40">
        <f>+Tabla!A27</f>
        <v>10</v>
      </c>
      <c r="N25" s="43">
        <f>Tabla!AI27</f>
        <v>28827.826333333342</v>
      </c>
      <c r="O25" s="41">
        <f>IF(Tabla!A27="","",(N25/((1+$O$9)^(CAT!$M25/Pagos_por_año))))</f>
        <v>24760.432984033745</v>
      </c>
      <c r="P25" s="52"/>
      <c r="Q25" s="52"/>
    </row>
    <row r="26" spans="1:17" x14ac:dyDescent="0.2">
      <c r="A26" s="40">
        <f>+Tabla!A28</f>
        <v>11</v>
      </c>
      <c r="B26" s="43">
        <f>+Tabla!AK28</f>
        <v>23193.896533287239</v>
      </c>
      <c r="C26" s="41">
        <f>IF(Tabla!A28="","",(B26/((1+$C$9)^($A26/Parámetros!$D$6))))</f>
        <v>20102.767623649936</v>
      </c>
      <c r="D26" s="42"/>
      <c r="E26" s="40">
        <f>+Tabla!A28</f>
        <v>11</v>
      </c>
      <c r="F26" s="43">
        <f>Tabla!AL28</f>
        <v>26944.861111111117</v>
      </c>
      <c r="G26" s="41">
        <f>IF(Tabla!A28="","",(F26/((1+$G$9)^(CAT!$E26/Pagos_por_año))))</f>
        <v>23330.703481291592</v>
      </c>
      <c r="H26" s="41"/>
      <c r="I26" s="40">
        <f>+Tabla!A28</f>
        <v>11</v>
      </c>
      <c r="J26" s="43">
        <f>+Tabla!AA28</f>
        <v>24943.372851817981</v>
      </c>
      <c r="K26" s="41">
        <f>IF(Tabla!A28="","",(J26/((1+$K$9)^($I26/Parámetros!$D$6))))</f>
        <v>21125.346548087575</v>
      </c>
      <c r="L26" s="42"/>
      <c r="M26" s="40">
        <f>+Tabla!A28</f>
        <v>11</v>
      </c>
      <c r="N26" s="43">
        <f>Tabla!AI28</f>
        <v>28589.372222222228</v>
      </c>
      <c r="O26" s="41">
        <f>IF(Tabla!A28="","",(N26/((1+$O$9)^(CAT!$M26/Pagos_por_año))))</f>
        <v>24184.972094686502</v>
      </c>
      <c r="P26" s="52"/>
      <c r="Q26" s="52"/>
    </row>
    <row r="27" spans="1:17" x14ac:dyDescent="0.2">
      <c r="A27" s="40">
        <f>+Tabla!A29</f>
        <v>12</v>
      </c>
      <c r="B27" s="43">
        <f>+Tabla!AK29</f>
        <v>23218.089928624613</v>
      </c>
      <c r="C27" s="41">
        <f>IF(Tabla!A29="","",(B27/((1+$C$9)^($A27/Parámetros!$D$6))))</f>
        <v>19863.764036439738</v>
      </c>
      <c r="D27" s="42"/>
      <c r="E27" s="40">
        <f>+Tabla!A29</f>
        <v>12</v>
      </c>
      <c r="F27" s="43">
        <f>Tabla!AL29</f>
        <v>26739.297222222231</v>
      </c>
      <c r="G27" s="41">
        <f>IF(Tabla!A29="","",(F27/((1+$G$9)^(CAT!$E27/Pagos_por_año))))</f>
        <v>22851.550944467323</v>
      </c>
      <c r="H27" s="41"/>
      <c r="I27" s="40">
        <f>+Tabla!A29</f>
        <v>12</v>
      </c>
      <c r="J27" s="43">
        <f>+Tabla!AA29</f>
        <v>24943.372851817985</v>
      </c>
      <c r="K27" s="41">
        <f>IF(Tabla!A29="","",(J27/((1+$K$9)^($I27/Parámetros!$D$6))))</f>
        <v>20808.684695968721</v>
      </c>
      <c r="L27" s="42"/>
      <c r="M27" s="40">
        <f>+Tabla!A29</f>
        <v>12</v>
      </c>
      <c r="N27" s="43">
        <f>Tabla!AI29</f>
        <v>28350.918111111121</v>
      </c>
      <c r="O27" s="41">
        <f>IF(Tabla!A29="","",(N27/((1+$O$9)^(CAT!$M27/Pagos_por_año))))</f>
        <v>23621.242214713613</v>
      </c>
      <c r="P27" s="52"/>
      <c r="Q27" s="52"/>
    </row>
    <row r="28" spans="1:17" x14ac:dyDescent="0.2">
      <c r="A28" s="40">
        <f>+Tabla!A30</f>
        <v>13</v>
      </c>
      <c r="B28" s="43">
        <f>+Tabla!AK30</f>
        <v>23242.62946483678</v>
      </c>
      <c r="C28" s="41">
        <f>IF(Tabla!A30="","",(B28/((1+$C$9)^($A28/Parámetros!$D$6))))</f>
        <v>19627.872980986569</v>
      </c>
      <c r="D28" s="42"/>
      <c r="E28" s="40">
        <f>+Tabla!A30</f>
        <v>13</v>
      </c>
      <c r="F28" s="43">
        <f>Tabla!AL30</f>
        <v>26533.733333333341</v>
      </c>
      <c r="G28" s="41">
        <f>IF(Tabla!A30="","",(F28/((1+$G$9)^(CAT!$E28/Pagos_por_año))))</f>
        <v>22380.916157006937</v>
      </c>
      <c r="H28" s="41"/>
      <c r="I28" s="40">
        <f>+Tabla!A30</f>
        <v>13</v>
      </c>
      <c r="J28" s="43">
        <f>+Tabla!AA30</f>
        <v>24943.372851817985</v>
      </c>
      <c r="K28" s="41">
        <f>IF(Tabla!A30="","",(J28/((1+$K$9)^($I28/Parámetros!$D$6))))</f>
        <v>20496.769498696878</v>
      </c>
      <c r="L28" s="42"/>
      <c r="M28" s="40">
        <f>+Tabla!A30</f>
        <v>13</v>
      </c>
      <c r="N28" s="43">
        <f>Tabla!AI30</f>
        <v>28112.464000000007</v>
      </c>
      <c r="O28" s="41">
        <f>IF(Tabla!A30="","",(N28/((1+$O$9)^(CAT!$M28/Pagos_por_año))))</f>
        <v>23069.020312925655</v>
      </c>
      <c r="P28" s="52"/>
      <c r="Q28" s="52"/>
    </row>
    <row r="29" spans="1:17" x14ac:dyDescent="0.2">
      <c r="A29" s="40">
        <f>+Tabla!A31</f>
        <v>14</v>
      </c>
      <c r="B29" s="43">
        <f>+Tabla!AK31</f>
        <v>23267.520094246618</v>
      </c>
      <c r="C29" s="41">
        <f>IF(Tabla!A31="","",(B29/((1+$C$9)^($A29/Parámetros!$D$6))))</f>
        <v>19395.054277396215</v>
      </c>
      <c r="D29" s="42"/>
      <c r="E29" s="40">
        <f>+Tabla!A31</f>
        <v>14</v>
      </c>
      <c r="F29" s="43">
        <f>Tabla!AL31</f>
        <v>26328.169444444451</v>
      </c>
      <c r="G29" s="41">
        <f>IF(Tabla!A31="","",(F29/((1+$G$9)^(CAT!$E29/Pagos_por_año))))</f>
        <v>21918.658599435414</v>
      </c>
      <c r="H29" s="41"/>
      <c r="I29" s="40">
        <f>+Tabla!A31</f>
        <v>14</v>
      </c>
      <c r="J29" s="43">
        <f>+Tabla!AA31</f>
        <v>24943.372851817981</v>
      </c>
      <c r="K29" s="41">
        <f>IF(Tabla!A31="","",(J29/((1+$K$9)^($I29/Parámetros!$D$6))))</f>
        <v>20189.529805509534</v>
      </c>
      <c r="L29" s="42"/>
      <c r="M29" s="40">
        <f>+Tabla!A31</f>
        <v>14</v>
      </c>
      <c r="N29" s="43">
        <f>Tabla!AI31</f>
        <v>27874.009888888897</v>
      </c>
      <c r="O29" s="41">
        <f>IF(Tabla!A31="","",(N29/((1+$O$9)^(CAT!$M29/Pagos_por_año))))</f>
        <v>22528.087418367704</v>
      </c>
      <c r="P29" s="52"/>
      <c r="Q29" s="52"/>
    </row>
    <row r="30" spans="1:17" x14ac:dyDescent="0.2">
      <c r="A30" s="40">
        <f>+Tabla!A32</f>
        <v>15</v>
      </c>
      <c r="B30" s="43">
        <f>+Tabla!AK32</f>
        <v>23292.766840031116</v>
      </c>
      <c r="C30" s="41">
        <f>IF(Tabla!A32="","",(B30/((1+$C$9)^($A30/Parámetros!$D$6))))</f>
        <v>19165.26826488283</v>
      </c>
      <c r="D30" s="42"/>
      <c r="E30" s="40">
        <f>+Tabla!A32</f>
        <v>15</v>
      </c>
      <c r="F30" s="43">
        <f>Tabla!AL32</f>
        <v>26122.605555555565</v>
      </c>
      <c r="G30" s="41">
        <f>IF(Tabla!A32="","",(F30/((1+$G$9)^(CAT!$E30/Pagos_por_año))))</f>
        <v>21464.639966736828</v>
      </c>
      <c r="H30" s="41"/>
      <c r="I30" s="40">
        <f>+Tabla!A32</f>
        <v>15</v>
      </c>
      <c r="J30" s="43">
        <f>+Tabla!AA32</f>
        <v>24943.372851817985</v>
      </c>
      <c r="K30" s="41">
        <f>IF(Tabla!A32="","",(J30/((1+$K$9)^($I30/Parámetros!$D$6))))</f>
        <v>19886.895532170234</v>
      </c>
      <c r="L30" s="42"/>
      <c r="M30" s="40">
        <f>+Tabla!A32</f>
        <v>15</v>
      </c>
      <c r="N30" s="43">
        <f>Tabla!AI32</f>
        <v>27635.555777777787</v>
      </c>
      <c r="O30" s="41">
        <f>IF(Tabla!A32="","",(N30/((1+$O$9)^(CAT!$M30/Pagos_por_año))))</f>
        <v>21998.228548561405</v>
      </c>
      <c r="P30" s="52"/>
      <c r="Q30" s="52"/>
    </row>
    <row r="31" spans="1:17" x14ac:dyDescent="0.2">
      <c r="A31" s="40">
        <f>+Tabla!A33</f>
        <v>16</v>
      </c>
      <c r="B31" s="43">
        <f>+Tabla!AK33</f>
        <v>23318.374797235079</v>
      </c>
      <c r="C31" s="41">
        <f>IF(Tabla!A33="","",(B31/((1+$C$9)^($A31/Parámetros!$D$6))))</f>
        <v>18938.475795062739</v>
      </c>
      <c r="D31" s="42"/>
      <c r="E31" s="40">
        <f>+Tabla!A33</f>
        <v>16</v>
      </c>
      <c r="F31" s="43">
        <f>Tabla!AL33</f>
        <v>25917.041666666675</v>
      </c>
      <c r="G31" s="41">
        <f>IF(Tabla!A33="","",(F31/((1+$G$9)^(CAT!$E31/Pagos_por_año))))</f>
        <v>21018.724134520347</v>
      </c>
      <c r="H31" s="41"/>
      <c r="I31" s="40">
        <f>+Tabla!A33</f>
        <v>16</v>
      </c>
      <c r="J31" s="43">
        <f>+Tabla!AA33</f>
        <v>24943.372851817985</v>
      </c>
      <c r="K31" s="41">
        <f>IF(Tabla!A33="","",(J31/((1+$K$9)^($I31/Parámetros!$D$6))))</f>
        <v>19588.79764498166</v>
      </c>
      <c r="L31" s="42"/>
      <c r="M31" s="40">
        <f>+Tabla!A33</f>
        <v>16</v>
      </c>
      <c r="N31" s="43">
        <f>Tabla!AI33</f>
        <v>27397.101666666676</v>
      </c>
      <c r="O31" s="41">
        <f>IF(Tabla!A33="","",(N31/((1+$O$9)^(CAT!$M31/Pagos_por_año))))</f>
        <v>21479.232638988287</v>
      </c>
      <c r="P31" s="52"/>
      <c r="Q31" s="52"/>
    </row>
    <row r="32" spans="1:17" x14ac:dyDescent="0.2">
      <c r="A32" s="40">
        <f>+Tabla!A34</f>
        <v>17</v>
      </c>
      <c r="B32" s="43">
        <f>+Tabla!AK34</f>
        <v>23344.349133799384</v>
      </c>
      <c r="C32" s="41">
        <f>IF(Tabla!A34="","",(B32/((1+$C$9)^($A32/Parámetros!$D$6))))</f>
        <v>18714.638225334933</v>
      </c>
      <c r="D32" s="42"/>
      <c r="E32" s="40">
        <f>+Tabla!A34</f>
        <v>17</v>
      </c>
      <c r="F32" s="43">
        <f>Tabla!AL34</f>
        <v>25711.477777777785</v>
      </c>
      <c r="G32" s="41">
        <f>IF(Tabla!A34="","",(F32/((1+$G$9)^(CAT!$E32/Pagos_por_año))))</f>
        <v>20580.777125691711</v>
      </c>
      <c r="H32" s="41"/>
      <c r="I32" s="40">
        <f>+Tabla!A34</f>
        <v>17</v>
      </c>
      <c r="J32" s="43">
        <f>+Tabla!AA34</f>
        <v>24943.372851817978</v>
      </c>
      <c r="K32" s="41">
        <f>IF(Tabla!A34="","",(J32/((1+$K$9)^($I32/Parámetros!$D$6))))</f>
        <v>19295.168145038471</v>
      </c>
      <c r="L32" s="42"/>
      <c r="M32" s="40">
        <f>+Tabla!A34</f>
        <v>17</v>
      </c>
      <c r="N32" s="43">
        <f>Tabla!AI34</f>
        <v>27158.647555555566</v>
      </c>
      <c r="O32" s="41">
        <f>IF(Tabla!A34="","",(N32/((1+$O$9)^(CAT!$M32/Pagos_por_año))))</f>
        <v>20970.892473793152</v>
      </c>
      <c r="P32" s="52"/>
      <c r="Q32" s="52"/>
    </row>
    <row r="33" spans="1:17" x14ac:dyDescent="0.2">
      <c r="A33" s="40">
        <f>+Tabla!A35</f>
        <v>18</v>
      </c>
      <c r="B33" s="43">
        <f>+Tabla!AK35</f>
        <v>23370.695091603928</v>
      </c>
      <c r="C33" s="41">
        <f>IF(Tabla!A35="","",(B33/((1+$C$9)^($A33/Parámetros!$D$6))))</f>
        <v>18493.717412347076</v>
      </c>
      <c r="D33" s="42"/>
      <c r="E33" s="40">
        <f>+Tabla!A35</f>
        <v>18</v>
      </c>
      <c r="F33" s="43">
        <f>Tabla!AL35</f>
        <v>25505.913888888899</v>
      </c>
      <c r="G33" s="41">
        <f>IF(Tabla!A35="","",(F33/((1+$G$9)^(CAT!$E33/Pagos_por_año))))</f>
        <v>20150.667077622809</v>
      </c>
      <c r="H33" s="41"/>
      <c r="I33" s="40">
        <f>+Tabla!A35</f>
        <v>18</v>
      </c>
      <c r="J33" s="43">
        <f>+Tabla!AA35</f>
        <v>24943.372851817981</v>
      </c>
      <c r="K33" s="41">
        <f>IF(Tabla!A35="","",(J33/((1+$K$9)^($I33/Parámetros!$D$6))))</f>
        <v>19005.940052716091</v>
      </c>
      <c r="L33" s="42"/>
      <c r="M33" s="40">
        <f>+Tabla!A35</f>
        <v>18</v>
      </c>
      <c r="N33" s="43">
        <f>Tabla!AI35</f>
        <v>26920.193444444456</v>
      </c>
      <c r="O33" s="41">
        <f>IF(Tabla!A35="","",(N33/((1+$O$9)^(CAT!$M33/Pagos_por_año))))</f>
        <v>20473.004617686747</v>
      </c>
      <c r="P33" s="52"/>
      <c r="Q33" s="52"/>
    </row>
    <row r="34" spans="1:17" x14ac:dyDescent="0.2">
      <c r="A34" s="40">
        <f>+Tabla!A36</f>
        <v>19</v>
      </c>
      <c r="B34" s="43">
        <f>+Tabla!AK36</f>
        <v>23397.417987525449</v>
      </c>
      <c r="C34" s="41">
        <f>IF(Tabla!A36="","",(B34/((1+$C$9)^($A34/Parámetros!$D$6))))</f>
        <v>18275.675705545858</v>
      </c>
      <c r="D34" s="42"/>
      <c r="E34" s="40">
        <f>+Tabla!A36</f>
        <v>19</v>
      </c>
      <c r="F34" s="43">
        <f>Tabla!AL36</f>
        <v>25300.350000000009</v>
      </c>
      <c r="G34" s="41">
        <f>IF(Tabla!A36="","",(F34/((1+$G$9)^(CAT!$E34/Pagos_por_año))))</f>
        <v>19728.264209812034</v>
      </c>
      <c r="H34" s="41"/>
      <c r="I34" s="40">
        <f>+Tabla!A36</f>
        <v>19</v>
      </c>
      <c r="J34" s="43">
        <f>+Tabla!AA36</f>
        <v>24943.372851817981</v>
      </c>
      <c r="K34" s="41">
        <f>IF(Tabla!A36="","",(J34/((1+$K$9)^($I34/Parámetros!$D$6))))</f>
        <v>18721.047392391996</v>
      </c>
      <c r="L34" s="42"/>
      <c r="M34" s="40">
        <f>+Tabla!A36</f>
        <v>19</v>
      </c>
      <c r="N34" s="43">
        <f>Tabla!AI36</f>
        <v>26681.739333333346</v>
      </c>
      <c r="O34" s="41">
        <f>IF(Tabla!A36="","",(N34/((1+$O$9)^(CAT!$M34/Pagos_por_año))))</f>
        <v>19985.369349027362</v>
      </c>
      <c r="P34" s="52"/>
      <c r="Q34" s="52"/>
    </row>
    <row r="35" spans="1:17" x14ac:dyDescent="0.2">
      <c r="A35" s="40">
        <f>+Tabla!A37</f>
        <v>20</v>
      </c>
      <c r="B35" s="43">
        <f>+Tabla!AK37</f>
        <v>23424.523214510566</v>
      </c>
      <c r="C35" s="41">
        <f>IF(Tabla!A37="","",(B35/((1+$C$9)^($A35/Parámetros!$D$6))))</f>
        <v>18060.475940810731</v>
      </c>
      <c r="D35" s="42"/>
      <c r="E35" s="40">
        <f>+Tabla!A37</f>
        <v>20</v>
      </c>
      <c r="F35" s="43">
        <f>Tabla!AL37</f>
        <v>25094.78611111112</v>
      </c>
      <c r="G35" s="41">
        <f>IF(Tabla!A37="","",(F35/((1+$G$9)^(CAT!$E35/Pagos_por_año))))</f>
        <v>19313.440792028174</v>
      </c>
      <c r="H35" s="41"/>
      <c r="I35" s="40">
        <f>+Tabla!A37</f>
        <v>20</v>
      </c>
      <c r="J35" s="43">
        <f>+Tabla!AA37</f>
        <v>24943.372851817985</v>
      </c>
      <c r="K35" s="41">
        <f>IF(Tabla!A37="","",(J35/((1+$K$9)^($I35/Parámetros!$D$6))))</f>
        <v>18440.425177396126</v>
      </c>
      <c r="L35" s="42"/>
      <c r="M35" s="40">
        <f>+Tabla!A37</f>
        <v>20</v>
      </c>
      <c r="N35" s="43">
        <f>Tabla!AI37</f>
        <v>26443.285222222232</v>
      </c>
      <c r="O35" s="41">
        <f>IF(Tabla!A37="","",(N35/((1+$O$9)^(CAT!$M35/Pagos_por_año))))</f>
        <v>19507.790594061215</v>
      </c>
      <c r="P35" s="52"/>
      <c r="Q35" s="52"/>
    </row>
    <row r="36" spans="1:17" x14ac:dyDescent="0.2">
      <c r="A36" s="40">
        <f>+Tabla!A38</f>
        <v>21</v>
      </c>
      <c r="B36" s="43">
        <f>+Tabla!AK38</f>
        <v>23452.016242664115</v>
      </c>
      <c r="C36" s="41">
        <f>IF(Tabla!A38="","",(B36/((1+$C$9)^($A36/Parámetros!$D$6))))</f>
        <v>17848.081434169879</v>
      </c>
      <c r="D36" s="42"/>
      <c r="E36" s="40">
        <f>+Tabla!A38</f>
        <v>21</v>
      </c>
      <c r="F36" s="43">
        <f>Tabla!AL38</f>
        <v>24889.222222222234</v>
      </c>
      <c r="G36" s="41">
        <f>IF(Tabla!A38="","",(F36/((1+$G$9)^(CAT!$E36/Pagos_por_año))))</f>
        <v>18906.071112930797</v>
      </c>
      <c r="H36" s="41"/>
      <c r="I36" s="40">
        <f>+Tabla!A38</f>
        <v>21</v>
      </c>
      <c r="J36" s="43">
        <f>+Tabla!AA38</f>
        <v>24943.372851817985</v>
      </c>
      <c r="K36" s="41">
        <f>IF(Tabla!A38="","",(J36/((1+$K$9)^($I36/Parámetros!$D$6))))</f>
        <v>18164.009395186764</v>
      </c>
      <c r="L36" s="42"/>
      <c r="M36" s="40">
        <f>+Tabla!A38</f>
        <v>21</v>
      </c>
      <c r="N36" s="43">
        <f>Tabla!AI38</f>
        <v>26204.831111111125</v>
      </c>
      <c r="O36" s="41">
        <f>IF(Tabla!A38="","",(N36/((1+$O$9)^(CAT!$M36/Pagos_por_año))))</f>
        <v>19040.075862301936</v>
      </c>
      <c r="P36" s="52"/>
      <c r="Q36" s="52"/>
    </row>
    <row r="37" spans="1:17" x14ac:dyDescent="0.2">
      <c r="A37" s="40">
        <f>+Tabla!A39</f>
        <v>22</v>
      </c>
      <c r="B37" s="43">
        <f>+Tabla!AK39</f>
        <v>23479.902620353067</v>
      </c>
      <c r="C37" s="41">
        <f>IF(Tabla!A39="","",(B37/((1+$C$9)^($A37/Parámetros!$D$6))))</f>
        <v>17638.455975597342</v>
      </c>
      <c r="D37" s="42"/>
      <c r="E37" s="40">
        <f>+Tabla!A39</f>
        <v>22</v>
      </c>
      <c r="F37" s="43">
        <f>Tabla!AL39</f>
        <v>24683.658333333344</v>
      </c>
      <c r="G37" s="41">
        <f>IF(Tabla!A39="","",(F37/((1+$G$9)^(CAT!$E37/Pagos_por_año))))</f>
        <v>18506.031449160037</v>
      </c>
      <c r="H37" s="41"/>
      <c r="I37" s="40">
        <f>+Tabla!A39</f>
        <v>22</v>
      </c>
      <c r="J37" s="43">
        <f>+Tabla!AA39</f>
        <v>24943.372851817981</v>
      </c>
      <c r="K37" s="41">
        <f>IF(Tabla!A39="","",(J37/((1+$K$9)^($I37/Parámetros!$D$6))))</f>
        <v>17891.736992748713</v>
      </c>
      <c r="L37" s="42"/>
      <c r="M37" s="40">
        <f>+Tabla!A39</f>
        <v>22</v>
      </c>
      <c r="N37" s="43">
        <f>Tabla!AI39</f>
        <v>25966.377000000011</v>
      </c>
      <c r="O37" s="41">
        <f>IF(Tabla!A39="","",(N37/((1+$O$9)^(CAT!$M37/Pagos_por_año))))</f>
        <v>18582.036183029708</v>
      </c>
      <c r="P37" s="52"/>
      <c r="Q37" s="52"/>
    </row>
    <row r="38" spans="1:17" x14ac:dyDescent="0.2">
      <c r="A38" s="40">
        <f>+Tabla!A40</f>
        <v>23</v>
      </c>
      <c r="B38" s="43">
        <f>+Tabla!AK40</f>
        <v>23508.187975326255</v>
      </c>
      <c r="C38" s="41">
        <f>IF(Tabla!A40="","",(B38/((1+$C$9)^($A38/Parámetros!$D$6))))</f>
        <v>17431.563822890323</v>
      </c>
      <c r="D38" s="42"/>
      <c r="E38" s="40">
        <f>+Tabla!A40</f>
        <v>23</v>
      </c>
      <c r="F38" s="43">
        <f>Tabla!AL40</f>
        <v>24478.094444444458</v>
      </c>
      <c r="G38" s="41">
        <f>IF(Tabla!A40="","",(F38/((1+$G$9)^(CAT!$E38/Pagos_por_año))))</f>
        <v>18113.200034888956</v>
      </c>
      <c r="H38" s="41"/>
      <c r="I38" s="40">
        <f>+Tabla!A40</f>
        <v>23</v>
      </c>
      <c r="J38" s="43">
        <f>+Tabla!AA40</f>
        <v>24943.372851817981</v>
      </c>
      <c r="K38" s="41">
        <f>IF(Tabla!A40="","",(J38/((1+$K$9)^($I38/Parámetros!$D$6))))</f>
        <v>17623.545862210303</v>
      </c>
      <c r="L38" s="42"/>
      <c r="M38" s="40">
        <f>+Tabla!A40</f>
        <v>23</v>
      </c>
      <c r="N38" s="43">
        <f>Tabla!AI40</f>
        <v>25727.922888888905</v>
      </c>
      <c r="O38" s="41">
        <f>IF(Tabla!A40="","",(N38/((1+$O$9)^(CAT!$M38/Pagos_por_año))))</f>
        <v>18133.486042891051</v>
      </c>
      <c r="P38" s="52"/>
      <c r="Q38" s="52"/>
    </row>
    <row r="39" spans="1:17" x14ac:dyDescent="0.2">
      <c r="A39" s="40">
        <f>+Tabla!A41</f>
        <v>24</v>
      </c>
      <c r="B39" s="43">
        <f>+Tabla!AK41</f>
        <v>23536.878015850103</v>
      </c>
      <c r="C39" s="41">
        <f>IF(Tabla!A41="","",(B39/((1+$C$9)^($A39/Parámetros!$D$6))))</f>
        <v>17227.369695625533</v>
      </c>
      <c r="D39" s="42"/>
      <c r="E39" s="40">
        <f>+Tabla!A41</f>
        <v>24</v>
      </c>
      <c r="F39" s="43">
        <f>Tabla!AL41</f>
        <v>24272.530555555568</v>
      </c>
      <c r="G39" s="41">
        <f>IF(Tabla!A41="","",(F39/((1+$G$9)^(CAT!$E39/Pagos_por_año))))</f>
        <v>17727.457031831644</v>
      </c>
      <c r="H39" s="41"/>
      <c r="I39" s="40">
        <f>+Tabla!A41</f>
        <v>24</v>
      </c>
      <c r="J39" s="43">
        <f>+Tabla!AA41</f>
        <v>24943.372851817985</v>
      </c>
      <c r="K39" s="41">
        <f>IF(Tabla!A41="","",(J39/((1+$K$9)^($I39/Parámetros!$D$6))))</f>
        <v>17359.374826676012</v>
      </c>
      <c r="L39" s="42"/>
      <c r="M39" s="40">
        <f>+Tabla!A41</f>
        <v>24</v>
      </c>
      <c r="N39" s="43">
        <f>Tabla!AI41</f>
        <v>25489.468777777791</v>
      </c>
      <c r="O39" s="41">
        <f>IF(Tabla!A41="","",(N39/((1+$O$9)^(CAT!$M39/Pagos_por_año))))</f>
        <v>17694.243324580384</v>
      </c>
      <c r="P39" s="52"/>
      <c r="Q39" s="52"/>
    </row>
    <row r="40" spans="1:17" x14ac:dyDescent="0.2">
      <c r="A40" s="40">
        <f>+Tabla!A42</f>
        <v>25</v>
      </c>
      <c r="B40" s="43">
        <f>+Tabla!AK42</f>
        <v>23565.978531860601</v>
      </c>
      <c r="C40" s="41">
        <f>IF(Tabla!A42="","",(B40/((1+$C$9)^($A40/Parámetros!$D$6))))</f>
        <v>17025.838769193648</v>
      </c>
      <c r="D40" s="42"/>
      <c r="E40" s="40">
        <f>+Tabla!A42</f>
        <v>25</v>
      </c>
      <c r="F40" s="43">
        <f>Tabla!AL42</f>
        <v>24066.966666666682</v>
      </c>
      <c r="G40" s="41">
        <f>IF(Tabla!A42="","",(F40/((1+$G$9)^(CAT!$E40/Pagos_por_año))))</f>
        <v>17348.684499700321</v>
      </c>
      <c r="H40" s="41"/>
      <c r="I40" s="40">
        <f>+Tabla!A42</f>
        <v>25</v>
      </c>
      <c r="J40" s="43">
        <f>+Tabla!AA42</f>
        <v>24943.372851817985</v>
      </c>
      <c r="K40" s="41">
        <f>IF(Tabla!A42="","",(J40/((1+$K$9)^($I40/Parámetros!$D$6))))</f>
        <v>17099.163626271427</v>
      </c>
      <c r="L40" s="42"/>
      <c r="M40" s="40">
        <f>+Tabla!A42</f>
        <v>25</v>
      </c>
      <c r="N40" s="43">
        <f>Tabla!AI42</f>
        <v>25251.014666666684</v>
      </c>
      <c r="O40" s="41">
        <f>IF(Tabla!A42="","",(N40/((1+$O$9)^(CAT!$M40/Pagos_por_año))))</f>
        <v>17264.12924658506</v>
      </c>
      <c r="P40" s="52"/>
      <c r="Q40" s="52"/>
    </row>
    <row r="41" spans="1:17" x14ac:dyDescent="0.2">
      <c r="A41" s="40">
        <f>+Tabla!A43</f>
        <v>26</v>
      </c>
      <c r="B41" s="43">
        <f>+Tabla!AK43</f>
        <v>23595.495396131788</v>
      </c>
      <c r="C41" s="41">
        <f>IF(Tabla!A43="","",(B41/((1+$C$9)^($A41/Parámetros!$D$6))))</f>
        <v>16826.936668910836</v>
      </c>
      <c r="D41" s="42"/>
      <c r="E41" s="40">
        <f>+Tabla!A43</f>
        <v>26</v>
      </c>
      <c r="F41" s="43">
        <f>Tabla!AL43</f>
        <v>23861.402777777792</v>
      </c>
      <c r="G41" s="41">
        <f>IF(Tabla!A43="","",(F41/((1+$G$9)^(CAT!$E41/Pagos_por_año))))</f>
        <v>16976.766367104912</v>
      </c>
      <c r="H41" s="41"/>
      <c r="I41" s="40">
        <f>+Tabla!A43</f>
        <v>26</v>
      </c>
      <c r="J41" s="43">
        <f>+Tabla!AA43</f>
        <v>24943.372851817985</v>
      </c>
      <c r="K41" s="41">
        <f>IF(Tabla!A43="","",(J41/((1+$K$9)^($I41/Parámetros!$D$6))))</f>
        <v>16842.852904397438</v>
      </c>
      <c r="L41" s="42"/>
      <c r="M41" s="40">
        <f>+Tabla!A43</f>
        <v>26</v>
      </c>
      <c r="N41" s="43">
        <f>Tabla!AI43</f>
        <v>25012.56055555557</v>
      </c>
      <c r="O41" s="41">
        <f>IF(Tabla!A43="","",(N41/((1+$O$9)^(CAT!$M41/Pagos_por_año))))</f>
        <v>16842.968303975569</v>
      </c>
      <c r="P41" s="52"/>
      <c r="Q41" s="52"/>
    </row>
    <row r="42" spans="1:17" x14ac:dyDescent="0.2">
      <c r="A42" s="40">
        <f>+Tabla!A44</f>
        <v>27</v>
      </c>
      <c r="B42" s="43">
        <f>+Tabla!AK44</f>
        <v>23625.434565460928</v>
      </c>
      <c r="C42" s="41">
        <f>IF(Tabla!A44="","",(B42/((1+$C$9)^($A42/Parámetros!$D$6))))</f>
        <v>16630.629464206333</v>
      </c>
      <c r="D42" s="42"/>
      <c r="E42" s="40">
        <f>+Tabla!A44</f>
        <v>27</v>
      </c>
      <c r="F42" s="43">
        <f>Tabla!AL44</f>
        <v>23655.838888888902</v>
      </c>
      <c r="G42" s="41">
        <f>IF(Tabla!A44="","",(F42/((1+$G$9)^(CAT!$E42/Pagos_por_año))))</f>
        <v>16611.588402888512</v>
      </c>
      <c r="H42" s="41"/>
      <c r="I42" s="40">
        <f>+Tabla!A44</f>
        <v>27</v>
      </c>
      <c r="J42" s="43">
        <f>+Tabla!AA44</f>
        <v>24943.372851817985</v>
      </c>
      <c r="K42" s="41">
        <f>IF(Tabla!A44="","",(J42/((1+$K$9)^($I42/Parámetros!$D$6))))</f>
        <v>16590.384194190417</v>
      </c>
      <c r="L42" s="42"/>
      <c r="M42" s="40">
        <f>+Tabla!A44</f>
        <v>27</v>
      </c>
      <c r="N42" s="43">
        <f>Tabla!AI44</f>
        <v>24774.10644444446</v>
      </c>
      <c r="O42" s="41">
        <f>IF(Tabla!A44="","",(N42/((1+$O$9)^(CAT!$M42/Pagos_por_año))))</f>
        <v>16430.588210223286</v>
      </c>
      <c r="P42" s="52"/>
      <c r="Q42" s="52"/>
    </row>
    <row r="43" spans="1:17" x14ac:dyDescent="0.2">
      <c r="A43" s="40">
        <f>+Tabla!A45</f>
        <v>28</v>
      </c>
      <c r="B43" s="43">
        <f>+Tabla!AK45</f>
        <v>23655.802081870657</v>
      </c>
      <c r="C43" s="41">
        <f>IF(Tabla!A45="","",(B43/((1+$C$9)^($A43/Parámetros!$D$6))))</f>
        <v>16436.883662885135</v>
      </c>
      <c r="D43" s="42"/>
      <c r="E43" s="40">
        <f>+Tabla!A45</f>
        <v>28</v>
      </c>
      <c r="F43" s="43">
        <f>Tabla!AL45</f>
        <v>23450.275000000016</v>
      </c>
      <c r="G43" s="41">
        <f>IF(Tabla!A45="","",(F43/((1+$G$9)^(CAT!$E43/Pagos_por_año))))</f>
        <v>16253.038187892354</v>
      </c>
      <c r="H43" s="41"/>
      <c r="I43" s="40">
        <f>+Tabla!A45</f>
        <v>28</v>
      </c>
      <c r="J43" s="43">
        <f>+Tabla!AA45</f>
        <v>24943.372851817985</v>
      </c>
      <c r="K43" s="41">
        <f>IF(Tabla!A45="","",(J43/((1+$K$9)^($I43/Parámetros!$D$6))))</f>
        <v>16341.6999051854</v>
      </c>
      <c r="L43" s="42"/>
      <c r="M43" s="40">
        <f>+Tabla!A45</f>
        <v>28</v>
      </c>
      <c r="N43" s="43">
        <f>Tabla!AI45</f>
        <v>24535.65233333335</v>
      </c>
      <c r="O43" s="41">
        <f>IF(Tabla!A45="","",(N43/((1+$O$9)^(CAT!$M43/Pagos_por_año))))</f>
        <v>16026.819840028069</v>
      </c>
      <c r="P43" s="52"/>
      <c r="Q43" s="52"/>
    </row>
    <row r="44" spans="1:17" x14ac:dyDescent="0.2">
      <c r="A44" s="40">
        <f>+Tabla!A46</f>
        <v>29</v>
      </c>
      <c r="B44" s="43">
        <f>+Tabla!AK46</f>
        <v>23686.604073828312</v>
      </c>
      <c r="C44" s="41">
        <f>IF(Tabla!A46="","",(B44/((1+$C$9)^($A44/Parámetros!$D$6))))</f>
        <v>16245.666205464775</v>
      </c>
      <c r="D44" s="42"/>
      <c r="E44" s="40">
        <f>+Tabla!A46</f>
        <v>29</v>
      </c>
      <c r="F44" s="43">
        <f>Tabla!AL46</f>
        <v>23244.711111111126</v>
      </c>
      <c r="G44" s="41">
        <f>IF(Tabla!A46="","",(F44/((1+$G$9)^(CAT!$E44/Pagos_por_año))))</f>
        <v>15901.005087143965</v>
      </c>
      <c r="H44" s="41"/>
      <c r="I44" s="40">
        <f>+Tabla!A46</f>
        <v>29</v>
      </c>
      <c r="J44" s="43">
        <f>+Tabla!AA46</f>
        <v>24943.372851817985</v>
      </c>
      <c r="K44" s="41">
        <f>IF(Tabla!A46="","",(J44/((1+$K$9)^($I44/Parámetros!$D$6))))</f>
        <v>16096.74331017915</v>
      </c>
      <c r="L44" s="42"/>
      <c r="M44" s="40">
        <f>+Tabla!A46</f>
        <v>29</v>
      </c>
      <c r="N44" s="43">
        <f>Tabla!AI46</f>
        <v>24297.19822222224</v>
      </c>
      <c r="O44" s="41">
        <f>IF(Tabla!A46="","",(N44/((1+$O$9)^(CAT!$M44/Pagos_por_año))))</f>
        <v>15631.497173138543</v>
      </c>
      <c r="P44" s="52"/>
      <c r="Q44" s="52"/>
    </row>
    <row r="45" spans="1:17" x14ac:dyDescent="0.2">
      <c r="A45" s="40">
        <f>+Tabla!A47</f>
        <v>30</v>
      </c>
      <c r="B45" s="43">
        <f>+Tabla!AK47</f>
        <v>23717.84675748273</v>
      </c>
      <c r="C45" s="41">
        <f>IF(Tabla!A47="","",(B45/((1+$C$9)^($A45/Parámetros!$D$6))))</f>
        <v>16056.944459585298</v>
      </c>
      <c r="D45" s="42"/>
      <c r="E45" s="40">
        <f>+Tabla!A47</f>
        <v>30</v>
      </c>
      <c r="F45" s="43">
        <f>Tabla!AL47</f>
        <v>23039.147222222236</v>
      </c>
      <c r="G45" s="41">
        <f>IF(Tabla!A47="","",(F45/((1+$G$9)^(CAT!$E45/Pagos_por_año))))</f>
        <v>15555.380222462256</v>
      </c>
      <c r="H45" s="41"/>
      <c r="I45" s="40">
        <f>+Tabla!A47</f>
        <v>30</v>
      </c>
      <c r="J45" s="43">
        <f>+Tabla!AA47</f>
        <v>24943.372851817985</v>
      </c>
      <c r="K45" s="41">
        <f>IF(Tabla!A47="","",(J45/((1+$K$9)^($I45/Parámetros!$D$6))))</f>
        <v>15855.458532290164</v>
      </c>
      <c r="L45" s="42"/>
      <c r="M45" s="40">
        <f>+Tabla!A47</f>
        <v>30</v>
      </c>
      <c r="N45" s="43">
        <f>Tabla!AI47</f>
        <v>24058.744111111126</v>
      </c>
      <c r="O45" s="41">
        <f>IF(Tabla!A47="","",(N45/((1+$O$9)^(CAT!$M45/Pagos_por_año))))</f>
        <v>15244.457239148134</v>
      </c>
      <c r="P45" s="52"/>
      <c r="Q45" s="52"/>
    </row>
    <row r="46" spans="1:17" x14ac:dyDescent="0.2">
      <c r="A46" s="40">
        <f>+Tabla!A48</f>
        <v>31</v>
      </c>
      <c r="B46" s="43">
        <f>+Tabla!AK48</f>
        <v>23749.536437918719</v>
      </c>
      <c r="C46" s="41">
        <f>IF(Tabla!A48="","",(B46/((1+$C$9)^($A46/Parámetros!$D$6))))</f>
        <v>15870.686214491434</v>
      </c>
      <c r="D46" s="42"/>
      <c r="E46" s="40">
        <f>+Tabla!A48</f>
        <v>31</v>
      </c>
      <c r="F46" s="43">
        <f>Tabla!AL48</f>
        <v>22833.583333333347</v>
      </c>
      <c r="G46" s="41">
        <f>IF(Tabla!A48="","",(F46/((1+$G$9)^(CAT!$E46/Pagos_por_año))))</f>
        <v>15216.056445473421</v>
      </c>
      <c r="H46" s="41"/>
      <c r="I46" s="40">
        <f>+Tabla!A48</f>
        <v>31</v>
      </c>
      <c r="J46" s="43">
        <f>+Tabla!AA48</f>
        <v>24943.372851817981</v>
      </c>
      <c r="K46" s="41">
        <f>IF(Tabla!A48="","",(J46/((1+$K$9)^($I46/Parámetros!$D$6))))</f>
        <v>15617.790532212632</v>
      </c>
      <c r="L46" s="42"/>
      <c r="M46" s="40">
        <f>+Tabla!A48</f>
        <v>31</v>
      </c>
      <c r="N46" s="43">
        <f>Tabla!AI48</f>
        <v>23820.290000000015</v>
      </c>
      <c r="O46" s="41">
        <f>IF(Tabla!A48="","",(N46/((1+$O$9)^(CAT!$M46/Pagos_por_año))))</f>
        <v>14865.540063250211</v>
      </c>
      <c r="P46" s="52"/>
      <c r="Q46" s="52"/>
    </row>
    <row r="47" spans="1:17" x14ac:dyDescent="0.2">
      <c r="A47" s="40">
        <f>+Tabla!A49</f>
        <v>32</v>
      </c>
      <c r="B47" s="43">
        <f>+Tabla!AK49</f>
        <v>23781.679510429494</v>
      </c>
      <c r="C47" s="41">
        <f>IF(Tabla!A49="","",(B47/((1+$C$9)^($A47/Parámetros!$D$6))))</f>
        <v>15686.859675586044</v>
      </c>
      <c r="D47" s="42"/>
      <c r="E47" s="40">
        <f>+Tabla!A49</f>
        <v>32</v>
      </c>
      <c r="F47" s="43">
        <f>Tabla!AL49</f>
        <v>22628.019444444457</v>
      </c>
      <c r="G47" s="41">
        <f>IF(Tabla!A49="","",(F47/((1+$G$9)^(CAT!$E47/Pagos_por_año))))</f>
        <v>14882.92831103159</v>
      </c>
      <c r="H47" s="41"/>
      <c r="I47" s="40">
        <f>+Tabla!A49</f>
        <v>32</v>
      </c>
      <c r="J47" s="43">
        <f>+Tabla!AA49</f>
        <v>24943.372851817981</v>
      </c>
      <c r="K47" s="41">
        <f>IF(Tabla!A49="","",(J47/((1+$K$9)^($I47/Parámetros!$D$6))))</f>
        <v>15383.685095661462</v>
      </c>
      <c r="L47" s="42"/>
      <c r="M47" s="40">
        <f>+Tabla!A49</f>
        <v>32</v>
      </c>
      <c r="N47" s="43">
        <f>Tabla!AI49</f>
        <v>23581.835888888905</v>
      </c>
      <c r="O47" s="41">
        <f>IF(Tabla!A49="","",(N47/((1+$O$9)^(CAT!$M47/Pagos_por_año))))</f>
        <v>14494.588612935886</v>
      </c>
      <c r="P47" s="52"/>
      <c r="Q47" s="52"/>
    </row>
    <row r="48" spans="1:17" x14ac:dyDescent="0.2">
      <c r="A48" s="40">
        <f>+Tabla!A50</f>
        <v>33</v>
      </c>
      <c r="B48" s="43">
        <f>+Tabla!AK50</f>
        <v>23814.282461807314</v>
      </c>
      <c r="C48" s="41">
        <f>IF(Tabla!A50="","",(B48/((1+$C$9)^($A48/Parámetros!$D$6))))</f>
        <v>15505.433459053947</v>
      </c>
      <c r="D48" s="42"/>
      <c r="E48" s="40">
        <f>+Tabla!A50</f>
        <v>33</v>
      </c>
      <c r="F48" s="43">
        <f>Tabla!AL50</f>
        <v>22422.455555555571</v>
      </c>
      <c r="G48" s="41">
        <f>IF(Tabla!A50="","",(F48/((1+$G$9)^(CAT!$E48/Pagos_por_año))))</f>
        <v>14555.892051038256</v>
      </c>
      <c r="H48" s="41"/>
      <c r="I48" s="40">
        <f>+Tabla!A50</f>
        <v>33</v>
      </c>
      <c r="J48" s="43">
        <f>+Tabla!AA50</f>
        <v>24943.372851817985</v>
      </c>
      <c r="K48" s="41">
        <f>IF(Tabla!A50="","",(J48/((1+$K$9)^($I48/Parámetros!$D$6))))</f>
        <v>15153.088821005489</v>
      </c>
      <c r="L48" s="42"/>
      <c r="M48" s="40">
        <f>+Tabla!A50</f>
        <v>33</v>
      </c>
      <c r="N48" s="43">
        <f>Tabla!AI50</f>
        <v>23343.381777777795</v>
      </c>
      <c r="O48" s="41">
        <f>IF(Tabla!A50="","",(N48/((1+$O$9)^(CAT!$M48/Pagos_por_año))))</f>
        <v>14131.448745618443</v>
      </c>
      <c r="P48" s="52"/>
      <c r="Q48" s="52"/>
    </row>
    <row r="49" spans="1:17" x14ac:dyDescent="0.2">
      <c r="A49" s="40">
        <f>+Tabla!A51</f>
        <v>34</v>
      </c>
      <c r="B49" s="43">
        <f>+Tabla!AK51</f>
        <v>23847.351871652543</v>
      </c>
      <c r="C49" s="41">
        <f>IF(Tabla!A51="","",(B49/((1+$C$9)^($A49/Parámetros!$D$6))))</f>
        <v>15326.376586555183</v>
      </c>
      <c r="D49" s="42"/>
      <c r="E49" s="40">
        <f>+Tabla!A51</f>
        <v>34</v>
      </c>
      <c r="F49" s="43">
        <f>Tabla!AL51</f>
        <v>22216.891666666681</v>
      </c>
      <c r="G49" s="41">
        <f>IF(Tabla!A51="","",(F49/((1+$G$9)^(CAT!$E49/Pagos_por_año))))</f>
        <v>14234.845548654634</v>
      </c>
      <c r="H49" s="41"/>
      <c r="I49" s="40">
        <f>+Tabla!A51</f>
        <v>34</v>
      </c>
      <c r="J49" s="43">
        <f>+Tabla!AA51</f>
        <v>24943.372851817978</v>
      </c>
      <c r="K49" s="41">
        <f>IF(Tabla!A51="","",(J49/((1+$K$9)^($I49/Parámetros!$D$6))))</f>
        <v>14925.949107086066</v>
      </c>
      <c r="L49" s="42"/>
      <c r="M49" s="40">
        <f>+Tabla!A51</f>
        <v>34</v>
      </c>
      <c r="N49" s="43">
        <f>Tabla!AI51</f>
        <v>23104.927666666685</v>
      </c>
      <c r="O49" s="41">
        <f>IF(Tabla!A51="","",(N49/((1+$O$9)^(CAT!$M49/Pagos_por_año))))</f>
        <v>13775.969157168569</v>
      </c>
      <c r="P49" s="52"/>
      <c r="Q49" s="52"/>
    </row>
    <row r="50" spans="1:17" x14ac:dyDescent="0.2">
      <c r="A50" s="40">
        <f>+Tabla!A52</f>
        <v>35</v>
      </c>
      <c r="B50" s="43">
        <f>+Tabla!AK52</f>
        <v>23880.894413701561</v>
      </c>
      <c r="C50" s="41">
        <f>IF(Tabla!A52="","",(B50/((1+$C$9)^($A50/Parámetros!$D$6))))</f>
        <v>15149.658479986874</v>
      </c>
      <c r="D50" s="42"/>
      <c r="E50" s="40">
        <f>+Tabla!A52</f>
        <v>35</v>
      </c>
      <c r="F50" s="43">
        <f>Tabla!AL52</f>
        <v>22011.327777777791</v>
      </c>
      <c r="G50" s="41">
        <f>IF(Tabla!A52="","",(F50/((1+$G$9)^(CAT!$E50/Pagos_por_año))))</f>
        <v>13919.688312901115</v>
      </c>
      <c r="H50" s="41"/>
      <c r="I50" s="40">
        <f>+Tabla!A52</f>
        <v>35</v>
      </c>
      <c r="J50" s="43">
        <f>+Tabla!AA52</f>
        <v>24943.372851817985</v>
      </c>
      <c r="K50" s="41">
        <f>IF(Tabla!A52="","",(J50/((1+$K$9)^($I50/Parámetros!$D$6))))</f>
        <v>14702.214141218279</v>
      </c>
      <c r="L50" s="42"/>
      <c r="M50" s="40">
        <f>+Tabla!A52</f>
        <v>35</v>
      </c>
      <c r="N50" s="43">
        <f>Tabla!AI52</f>
        <v>22866.473555555571</v>
      </c>
      <c r="O50" s="41">
        <f>IF(Tabla!A52="","",(N50/((1+$O$9)^(CAT!$M50/Pagos_por_año))))</f>
        <v>13428.001331344765</v>
      </c>
      <c r="P50" s="52"/>
      <c r="Q50" s="52"/>
    </row>
    <row r="51" spans="1:17" x14ac:dyDescent="0.2">
      <c r="A51" s="40">
        <f>+Tabla!A53</f>
        <v>36</v>
      </c>
      <c r="B51" s="43">
        <f>+Tabla!AK53</f>
        <v>23914.916857173499</v>
      </c>
      <c r="C51" s="41">
        <f>IF(Tabla!A53="","",(B51/((1+$C$9)^($A51/Parámetros!$D$6))))</f>
        <v>14975.248956312676</v>
      </c>
      <c r="D51" s="42"/>
      <c r="E51" s="40">
        <f>+Tabla!A53</f>
        <v>36</v>
      </c>
      <c r="F51" s="43">
        <f>Tabla!AL53</f>
        <v>21805.763888888901</v>
      </c>
      <c r="G51" s="41">
        <f>IF(Tabla!A53="","",(F51/((1+$G$9)^(CAT!$E51/Pagos_por_año))))</f>
        <v>13610.321453638164</v>
      </c>
      <c r="H51" s="41"/>
      <c r="I51" s="40">
        <f>+Tabla!A53</f>
        <v>36</v>
      </c>
      <c r="J51" s="43">
        <f>+Tabla!AA53</f>
        <v>24943.372851817985</v>
      </c>
      <c r="K51" s="41">
        <f>IF(Tabla!A53="","",(J51/((1+$K$9)^($I51/Parámetros!$D$6))))</f>
        <v>14481.832887371929</v>
      </c>
      <c r="L51" s="42"/>
      <c r="M51" s="40">
        <f>+Tabla!A53</f>
        <v>36</v>
      </c>
      <c r="N51" s="43">
        <f>Tabla!AI53</f>
        <v>22628.019444444461</v>
      </c>
      <c r="O51" s="41">
        <f>IF(Tabla!A53="","",(N51/((1+$O$9)^(CAT!$M51/Pagos_por_año))))</f>
        <v>13087.399490103704</v>
      </c>
      <c r="P51" s="52"/>
      <c r="Q51" s="52"/>
    </row>
    <row r="52" spans="1:17" x14ac:dyDescent="0.2">
      <c r="A52" s="40">
        <f>+Tabla!A54</f>
        <v>37</v>
      </c>
      <c r="B52" s="43">
        <f>+Tabla!AK54</f>
        <v>23949.426068136388</v>
      </c>
      <c r="C52" s="41">
        <f>IF(Tabla!A54="","",(B52/((1+$C$9)^($A52/Parámetros!$D$6))))</f>
        <v>14803.118222459108</v>
      </c>
      <c r="D52" s="42"/>
      <c r="E52" s="40">
        <f>+Tabla!A54</f>
        <v>37</v>
      </c>
      <c r="F52" s="43">
        <f>Tabla!AL54</f>
        <v>21600.200000000012</v>
      </c>
      <c r="G52" s="41">
        <f>IF(Tabla!A54="","",(F52/((1+$G$9)^(CAT!$E52/Pagos_por_año))))</f>
        <v>13306.647656922958</v>
      </c>
      <c r="H52" s="41"/>
      <c r="I52" s="40">
        <f>+Tabla!A54</f>
        <v>37</v>
      </c>
      <c r="J52" s="43">
        <f>+Tabla!AA54</f>
        <v>24943.372851817985</v>
      </c>
      <c r="K52" s="41">
        <f>IF(Tabla!A54="","",(J52/((1+$K$9)^($I52/Parámetros!$D$6))))</f>
        <v>14264.755074529792</v>
      </c>
      <c r="L52" s="42"/>
      <c r="M52" s="40">
        <f>+Tabla!A54</f>
        <v>37</v>
      </c>
      <c r="N52" s="43">
        <f>Tabla!AI54</f>
        <v>22389.565333333347</v>
      </c>
      <c r="O52" s="41">
        <f>IF(Tabla!A54="","",(N52/((1+$O$9)^(CAT!$M52/Pagos_por_año))))</f>
        <v>12754.020544775436</v>
      </c>
      <c r="P52" s="52"/>
      <c r="Q52" s="52"/>
    </row>
    <row r="53" spans="1:17" x14ac:dyDescent="0.2">
      <c r="A53" s="40">
        <f>+Tabla!A55</f>
        <v>38</v>
      </c>
      <c r="B53" s="43">
        <f>+Tabla!AK55</f>
        <v>23984.429010892796</v>
      </c>
      <c r="C53" s="41">
        <f>IF(Tabla!A55="","",(B53/((1+$C$9)^($A53/Parámetros!$D$6))))</f>
        <v>14633.236870277771</v>
      </c>
      <c r="D53" s="42"/>
      <c r="E53" s="40">
        <f>+Tabla!A55</f>
        <v>38</v>
      </c>
      <c r="F53" s="43">
        <f>Tabla!AL55</f>
        <v>21394.636111111126</v>
      </c>
      <c r="G53" s="41">
        <f>IF(Tabla!A55="","",(F53/((1+$G$9)^(CAT!$E53/Pagos_por_año))))</f>
        <v>13008.571160736316</v>
      </c>
      <c r="H53" s="41"/>
      <c r="I53" s="40">
        <f>+Tabla!A55</f>
        <v>38</v>
      </c>
      <c r="J53" s="43">
        <f>+Tabla!AA55</f>
        <v>24943.372851817981</v>
      </c>
      <c r="K53" s="41">
        <f>IF(Tabla!A55="","",(J53/((1+$K$9)^($I53/Parámetros!$D$6))))</f>
        <v>14050.931185220321</v>
      </c>
      <c r="L53" s="42"/>
      <c r="M53" s="40">
        <f>+Tabla!A55</f>
        <v>38</v>
      </c>
      <c r="N53" s="43">
        <f>Tabla!AI55</f>
        <v>22151.11122222224</v>
      </c>
      <c r="O53" s="41">
        <f>IF(Tabla!A55="","",(N53/((1+$O$9)^(CAT!$M53/Pagos_por_año))))</f>
        <v>12427.724048088714</v>
      </c>
      <c r="P53" s="52"/>
      <c r="Q53" s="52"/>
    </row>
    <row r="54" spans="1:17" x14ac:dyDescent="0.2">
      <c r="A54" s="40">
        <f>+Tabla!A56</f>
        <v>39</v>
      </c>
      <c r="B54" s="43">
        <f>+Tabla!AK56</f>
        <v>24019.932749385283</v>
      </c>
      <c r="C54" s="41">
        <f>IF(Tabla!A56="","",(B54/((1+$C$9)^($A54/Parámetros!$D$6))))</f>
        <v>14465.575871572664</v>
      </c>
      <c r="D54" s="42"/>
      <c r="E54" s="40">
        <f>+Tabla!A56</f>
        <v>39</v>
      </c>
      <c r="F54" s="43">
        <f>Tabla!AL56</f>
        <v>21189.072222222236</v>
      </c>
      <c r="G54" s="41">
        <f>IF(Tabla!A56="","",(F54/((1+$G$9)^(CAT!$E54/Pagos_por_año))))</f>
        <v>12715.997731074351</v>
      </c>
      <c r="H54" s="41"/>
      <c r="I54" s="40">
        <f>+Tabla!A56</f>
        <v>39</v>
      </c>
      <c r="J54" s="43">
        <f>+Tabla!AA56</f>
        <v>24943.372851817985</v>
      </c>
      <c r="K54" s="41">
        <f>IF(Tabla!A56="","",(J54/((1+$K$9)^($I54/Parámetros!$D$6))))</f>
        <v>13840.312444222236</v>
      </c>
      <c r="L54" s="42"/>
      <c r="M54" s="40">
        <f>+Tabla!A56</f>
        <v>39</v>
      </c>
      <c r="N54" s="43">
        <f>Tabla!AI56</f>
        <v>21912.657111111126</v>
      </c>
      <c r="O54" s="41">
        <f>IF(Tabla!A56="","",(N54/((1+$O$9)^(CAT!$M54/Pagos_por_año))))</f>
        <v>12108.372147031816</v>
      </c>
      <c r="P54" s="52"/>
      <c r="Q54" s="52"/>
    </row>
    <row r="55" spans="1:17" x14ac:dyDescent="0.2">
      <c r="A55" s="40">
        <f>+Tabla!A57</f>
        <v>40</v>
      </c>
      <c r="B55" s="43">
        <f>+Tabla!AK57</f>
        <v>24055.944448621969</v>
      </c>
      <c r="C55" s="41">
        <f>IF(Tabla!A57="","",(B55/((1+$C$9)^($A55/Parámetros!$D$6))))</f>
        <v>14300.106573191721</v>
      </c>
      <c r="D55" s="42"/>
      <c r="E55" s="40">
        <f>+Tabla!A57</f>
        <v>40</v>
      </c>
      <c r="F55" s="43">
        <f>Tabla!AL57</f>
        <v>20983.508333333346</v>
      </c>
      <c r="G55" s="41">
        <f>IF(Tabla!A57="","",(F55/((1+$G$9)^(CAT!$E55/Pagos_por_año))))</f>
        <v>12428.834638399599</v>
      </c>
      <c r="H55" s="41"/>
      <c r="I55" s="40">
        <f>+Tabla!A57</f>
        <v>40</v>
      </c>
      <c r="J55" s="43">
        <f>+Tabla!AA57</f>
        <v>24943.372851817985</v>
      </c>
      <c r="K55" s="41">
        <f>IF(Tabla!A57="","",(J55/((1+$K$9)^($I55/Parámetros!$D$6))))</f>
        <v>13632.850807438441</v>
      </c>
      <c r="L55" s="42"/>
      <c r="M55" s="40">
        <f>+Tabla!A57</f>
        <v>40</v>
      </c>
      <c r="N55" s="43">
        <f>Tabla!AI57</f>
        <v>21674.203000000016</v>
      </c>
      <c r="O55" s="41">
        <f>IF(Tabla!A57="","",(N55/((1+$O$9)^(CAT!$M55/Pagos_por_año))))</f>
        <v>11795.8295365347</v>
      </c>
      <c r="P55" s="52"/>
      <c r="Q55" s="52"/>
    </row>
    <row r="56" spans="1:17" x14ac:dyDescent="0.2">
      <c r="A56" s="40">
        <f>+Tabla!A58</f>
        <v>41</v>
      </c>
      <c r="B56" s="43">
        <f>+Tabla!AK58</f>
        <v>24092.471376122521</v>
      </c>
      <c r="C56" s="41">
        <f>IF(Tabla!A58="","",(B56/((1+$C$9)^($A56/Parámetros!$D$6))))</f>
        <v>14136.800692181792</v>
      </c>
      <c r="D56" s="42"/>
      <c r="E56" s="40">
        <f>+Tabla!A58</f>
        <v>41</v>
      </c>
      <c r="F56" s="43">
        <f>Tabla!AL58</f>
        <v>20777.944444444456</v>
      </c>
      <c r="G56" s="41">
        <f>IF(Tabla!A58="","",(F56/((1+$G$9)^(CAT!$E56/Pagos_por_año))))</f>
        <v>12146.990634446163</v>
      </c>
      <c r="H56" s="41"/>
      <c r="I56" s="40">
        <f>+Tabla!A58</f>
        <v>41</v>
      </c>
      <c r="J56" s="43">
        <f>+Tabla!AA58</f>
        <v>24943.372851817985</v>
      </c>
      <c r="K56" s="41">
        <f>IF(Tabla!A58="","",(J56/((1+$K$9)^($I56/Parámetros!$D$6))))</f>
        <v>13428.498950936742</v>
      </c>
      <c r="L56" s="42"/>
      <c r="M56" s="40">
        <f>+Tabla!A58</f>
        <v>41</v>
      </c>
      <c r="N56" s="43">
        <f>Tabla!AI58</f>
        <v>21435.748888888902</v>
      </c>
      <c r="O56" s="41">
        <f>IF(Tabla!A58="","",(N56/((1+$O$9)^(CAT!$M56/Pagos_por_año))))</f>
        <v>11489.963413958278</v>
      </c>
      <c r="P56" s="52"/>
      <c r="Q56" s="52"/>
    </row>
    <row r="57" spans="1:17" x14ac:dyDescent="0.2">
      <c r="A57" s="40">
        <f>+Tabla!A59</f>
        <v>42</v>
      </c>
      <c r="B57" s="43">
        <f>+Tabla!AK59</f>
        <v>24129.520903384797</v>
      </c>
      <c r="C57" s="41">
        <f>IF(Tabla!A59="","",(B57/((1+$C$9)^($A57/Parámetros!$D$6))))</f>
        <v>13975.630311006178</v>
      </c>
      <c r="D57" s="42"/>
      <c r="E57" s="40">
        <f>+Tabla!A59</f>
        <v>42</v>
      </c>
      <c r="F57" s="43">
        <f>Tabla!AL59</f>
        <v>20572.380555555566</v>
      </c>
      <c r="G57" s="41">
        <f>IF(Tabla!A59="","",(F57/((1+$G$9)^(CAT!$E57/Pagos_por_año))))</f>
        <v>11870.375929373768</v>
      </c>
      <c r="H57" s="41"/>
      <c r="I57" s="40">
        <f>+Tabla!A59</f>
        <v>42</v>
      </c>
      <c r="J57" s="43">
        <f>+Tabla!AA59</f>
        <v>24943.372851817985</v>
      </c>
      <c r="K57" s="41">
        <f>IF(Tabla!A59="","",(J57/((1+$K$9)^($I57/Parámetros!$D$6))))</f>
        <v>13227.210260154779</v>
      </c>
      <c r="L57" s="42"/>
      <c r="M57" s="40">
        <f>+Tabla!A59</f>
        <v>42</v>
      </c>
      <c r="N57" s="43">
        <f>Tabla!AI59</f>
        <v>21197.294777777792</v>
      </c>
      <c r="O57" s="41">
        <f>IF(Tabla!A59="","",(N57/((1+$O$9)^(CAT!$M57/Pagos_por_año))))</f>
        <v>11190.643434377136</v>
      </c>
      <c r="P57" s="52"/>
      <c r="Q57" s="52"/>
    </row>
    <row r="58" spans="1:17" x14ac:dyDescent="0.2">
      <c r="A58" s="40">
        <f>+Tabla!A60</f>
        <v>43</v>
      </c>
      <c r="B58" s="43">
        <f>+Tabla!AK60</f>
        <v>24167.100507372495</v>
      </c>
      <c r="C58" s="41">
        <f>IF(Tabla!A60="","",(B58/((1+$C$9)^($A58/Parámetros!$D$6))))</f>
        <v>13816.567872823987</v>
      </c>
      <c r="D58" s="42"/>
      <c r="E58" s="40">
        <f>+Tabla!A60</f>
        <v>43</v>
      </c>
      <c r="F58" s="43">
        <f>Tabla!AL60</f>
        <v>20366.816666666677</v>
      </c>
      <c r="G58" s="41">
        <f>IF(Tabla!A60="","",(F58/((1+$G$9)^(CAT!$E58/Pagos_por_año))))</f>
        <v>11598.902169265513</v>
      </c>
      <c r="H58" s="41"/>
      <c r="I58" s="40">
        <f>+Tabla!A60</f>
        <v>43</v>
      </c>
      <c r="J58" s="43">
        <f>+Tabla!AA60</f>
        <v>24943.372851817981</v>
      </c>
      <c r="K58" s="41">
        <f>IF(Tabla!A60="","",(J58/((1+$K$9)^($I58/Parámetros!$D$6))))</f>
        <v>13028.938819266848</v>
      </c>
      <c r="L58" s="42"/>
      <c r="M58" s="40">
        <f>+Tabla!A60</f>
        <v>43</v>
      </c>
      <c r="N58" s="43">
        <f>Tabla!AI60</f>
        <v>20958.840666666678</v>
      </c>
      <c r="O58" s="41">
        <f>IF(Tabla!A60="","",(N58/((1+$O$9)^(CAT!$M58/Pagos_por_año))))</f>
        <v>10897.741666642025</v>
      </c>
      <c r="P58" s="52"/>
      <c r="Q58" s="52"/>
    </row>
    <row r="59" spans="1:17" x14ac:dyDescent="0.2">
      <c r="A59" s="40">
        <f>+Tabla!A61</f>
        <v>44</v>
      </c>
      <c r="B59" s="43">
        <f>+Tabla!AK61</f>
        <v>24205.217772024087</v>
      </c>
      <c r="C59" s="41">
        <f>IF(Tabla!A61="","",(B59/((1+$C$9)^($A59/Parámetros!$D$6))))</f>
        <v>13659.58617683044</v>
      </c>
      <c r="D59" s="42"/>
      <c r="E59" s="40">
        <f>+Tabla!A61</f>
        <v>44</v>
      </c>
      <c r="F59" s="43">
        <f>Tabla!AL61</f>
        <v>20161.25277777779</v>
      </c>
      <c r="G59" s="41">
        <f>IF(Tabla!A61="","",(F59/((1+$G$9)^(CAT!$E59/Pagos_por_año))))</f>
        <v>11332.482413964288</v>
      </c>
      <c r="H59" s="41"/>
      <c r="I59" s="40">
        <f>+Tabla!A61</f>
        <v>44</v>
      </c>
      <c r="J59" s="43">
        <f>+Tabla!AA61</f>
        <v>24943.372851817985</v>
      </c>
      <c r="K59" s="41">
        <f>IF(Tabla!A61="","",(J59/((1+$K$9)^($I59/Parámetros!$D$6))))</f>
        <v>12833.639400710053</v>
      </c>
      <c r="L59" s="42"/>
      <c r="M59" s="40">
        <f>+Tabla!A61</f>
        <v>44</v>
      </c>
      <c r="N59" s="43">
        <f>Tabla!AI61</f>
        <v>20720.386555555571</v>
      </c>
      <c r="O59" s="41">
        <f>IF(Tabla!A61="","",(N59/((1+$O$9)^(CAT!$M59/Pagos_por_año))))</f>
        <v>10611.132550208829</v>
      </c>
      <c r="P59" s="52"/>
      <c r="Q59" s="52"/>
    </row>
    <row r="60" spans="1:17" x14ac:dyDescent="0.2">
      <c r="A60" s="40">
        <f>+Tabla!A62</f>
        <v>45</v>
      </c>
      <c r="B60" s="43">
        <f>+Tabla!AK62</f>
        <v>24243.880389783302</v>
      </c>
      <c r="C60" s="41">
        <f>IF(Tabla!A62="","",(B60/((1+$C$9)^($A60/Parámetros!$D$6))))</f>
        <v>13504.658373657396</v>
      </c>
      <c r="D60" s="42"/>
      <c r="E60" s="40">
        <f>+Tabla!A62</f>
        <v>45</v>
      </c>
      <c r="F60" s="43">
        <f>Tabla!AL62</f>
        <v>19955.688888888901</v>
      </c>
      <c r="G60" s="41">
        <f>IF(Tabla!A62="","",(F60/((1+$G$9)^(CAT!$E60/Pagos_por_año))))</f>
        <v>11071.03111524276</v>
      </c>
      <c r="H60" s="41"/>
      <c r="I60" s="40">
        <f>+Tabla!A62</f>
        <v>45</v>
      </c>
      <c r="J60" s="43">
        <f>+Tabla!AA62</f>
        <v>24943.372851817981</v>
      </c>
      <c r="K60" s="41">
        <f>IF(Tabla!A62="","",(J60/((1+$K$9)^($I60/Parámetros!$D$6))))</f>
        <v>12641.267454867475</v>
      </c>
      <c r="L60" s="42"/>
      <c r="M60" s="40">
        <f>+Tabla!A62</f>
        <v>45</v>
      </c>
      <c r="N60" s="43">
        <f>Tabla!AI62</f>
        <v>20481.932444444457</v>
      </c>
      <c r="O60" s="41">
        <f>IF(Tabla!A62="","",(N60/((1+$O$9)^(CAT!$M60/Pagos_por_año))))</f>
        <v>10330.692852720826</v>
      </c>
      <c r="P60" s="52"/>
      <c r="Q60" s="52"/>
    </row>
    <row r="61" spans="1:17" x14ac:dyDescent="0.2">
      <c r="A61" s="40">
        <f>+Tabla!A63</f>
        <v>46</v>
      </c>
      <c r="B61" s="43">
        <f>+Tabla!AK63</f>
        <v>24283.096163151582</v>
      </c>
      <c r="C61" s="41">
        <f>IF(Tabla!A63="","",(B61/((1+$C$9)^($A61/Parámetros!$D$6))))</f>
        <v>13351.757960833296</v>
      </c>
      <c r="D61" s="42"/>
      <c r="E61" s="40">
        <f>+Tabla!A63</f>
        <v>46</v>
      </c>
      <c r="F61" s="43">
        <f>Tabla!AL63</f>
        <v>19750.125000000011</v>
      </c>
      <c r="G61" s="41">
        <f>IF(Tabla!A63="","",(F61/((1+$G$9)^(CAT!$E61/Pagos_por_año))))</f>
        <v>10814.464095302166</v>
      </c>
      <c r="H61" s="41"/>
      <c r="I61" s="40">
        <f>+Tabla!A63</f>
        <v>46</v>
      </c>
      <c r="J61" s="43">
        <f>+Tabla!AA63</f>
        <v>24943.372851817981</v>
      </c>
      <c r="K61" s="41">
        <f>IF(Tabla!A63="","",(J61/((1+$K$9)^($I61/Parámetros!$D$6))))</f>
        <v>12451.779099906002</v>
      </c>
      <c r="L61" s="42"/>
      <c r="M61" s="40">
        <f>+Tabla!A63</f>
        <v>46</v>
      </c>
      <c r="N61" s="43">
        <f>Tabla!AI63</f>
        <v>20243.478333333347</v>
      </c>
      <c r="O61" s="41">
        <f>IF(Tabla!A63="","",(N61/((1+$O$9)^(CAT!$M61/Pagos_por_año))))</f>
        <v>10056.30162833141</v>
      </c>
      <c r="P61" s="52"/>
      <c r="Q61" s="52"/>
    </row>
    <row r="62" spans="1:17" x14ac:dyDescent="0.2">
      <c r="A62" s="40">
        <f>+Tabla!A64</f>
        <v>47</v>
      </c>
      <c r="B62" s="43">
        <f>+Tabla!AK64</f>
        <v>24322.873006262667</v>
      </c>
      <c r="C62" s="41">
        <f>IF(Tabla!A64="","",(B62/((1+$C$9)^($A62/Parámetros!$D$6))))</f>
        <v>13200.858778301745</v>
      </c>
      <c r="D62" s="42"/>
      <c r="E62" s="40">
        <f>+Tabla!A64</f>
        <v>47</v>
      </c>
      <c r="F62" s="43">
        <f>Tabla!AL64</f>
        <v>19544.561111111121</v>
      </c>
      <c r="G62" s="41">
        <f>IF(Tabla!A64="","",(F62/((1+$G$9)^(CAT!$E62/Pagos_por_año))))</f>
        <v>10562.698525594858</v>
      </c>
      <c r="H62" s="41"/>
      <c r="I62" s="40">
        <f>+Tabla!A64</f>
        <v>47</v>
      </c>
      <c r="J62" s="43">
        <f>+Tabla!AA64</f>
        <v>24943.372851817985</v>
      </c>
      <c r="K62" s="41">
        <f>IF(Tabla!A64="","",(J62/((1+$K$9)^($I62/Parámetros!$D$6))))</f>
        <v>12265.131111766461</v>
      </c>
      <c r="L62" s="42"/>
      <c r="M62" s="40">
        <f>+Tabla!A64</f>
        <v>47</v>
      </c>
      <c r="N62" s="43">
        <f>Tabla!AI64</f>
        <v>20005.024222222233</v>
      </c>
      <c r="O62" s="41">
        <f>IF(Tabla!A64="","",(N62/((1+$O$9)^(CAT!$M62/Pagos_por_año))))</f>
        <v>9787.8401767545001</v>
      </c>
      <c r="P62" s="52"/>
      <c r="Q62" s="52"/>
    </row>
    <row r="63" spans="1:17" x14ac:dyDescent="0.2">
      <c r="A63" s="40">
        <f>+Tabla!A65</f>
        <v>48</v>
      </c>
      <c r="B63" s="43">
        <f>+Tabla!AK65</f>
        <v>24363.218946479759</v>
      </c>
      <c r="C63" s="41">
        <f>IF(Tabla!A65="","",(B63/((1+$C$9)^($A63/Parámetros!$D$6))))</f>
        <v>13051.935003997984</v>
      </c>
      <c r="D63" s="42"/>
      <c r="E63" s="40">
        <f>+Tabla!A65</f>
        <v>48</v>
      </c>
      <c r="F63" s="43">
        <f>Tabla!AL65</f>
        <v>19338.997222222235</v>
      </c>
      <c r="G63" s="41">
        <f>IF(Tabla!A65="","",(F63/((1+$G$9)^(CAT!$E63/Pagos_por_año))))</f>
        <v>10315.652905965972</v>
      </c>
      <c r="H63" s="41"/>
      <c r="I63" s="40">
        <f>+Tabla!A65</f>
        <v>48</v>
      </c>
      <c r="J63" s="43">
        <f>+Tabla!AA65</f>
        <v>24943.372851817985</v>
      </c>
      <c r="K63" s="41">
        <f>IF(Tabla!A65="","",(J63/((1+$K$9)^($I63/Parámetros!$D$6))))</f>
        <v>12081.280914303825</v>
      </c>
      <c r="L63" s="42"/>
      <c r="M63" s="40">
        <f>+Tabla!A65</f>
        <v>48</v>
      </c>
      <c r="N63" s="43">
        <f>Tabla!AI65</f>
        <v>19766.570111111127</v>
      </c>
      <c r="O63" s="41">
        <f>IF(Tabla!A65="","",(N63/((1+$O$9)^(CAT!$M63/Pagos_por_año))))</f>
        <v>9525.1920030302354</v>
      </c>
      <c r="P63" s="52"/>
      <c r="Q63" s="52"/>
    </row>
    <row r="64" spans="1:17" x14ac:dyDescent="0.2">
      <c r="A64" s="40">
        <f>+Tabla!A66</f>
        <v>49</v>
      </c>
      <c r="B64" s="43">
        <f>+Tabla!AK66</f>
        <v>24404.142126015537</v>
      </c>
      <c r="C64" s="41">
        <f>IF(Tabla!A66="","",(B64/((1+$C$9)^($A64/Parámetros!$D$6))))</f>
        <v>12904.961149482564</v>
      </c>
      <c r="D64" s="42"/>
      <c r="E64" s="40">
        <f>+Tabla!A66</f>
        <v>49</v>
      </c>
      <c r="F64" s="43">
        <f>Tabla!AL66</f>
        <v>19133.433333333345</v>
      </c>
      <c r="G64" s="41">
        <f>IF(Tabla!A66="","",(F64/((1+$G$9)^(CAT!$E64/Pagos_por_año))))</f>
        <v>10073.247044109406</v>
      </c>
      <c r="H64" s="41"/>
      <c r="I64" s="40">
        <f>+Tabla!A66</f>
        <v>49</v>
      </c>
      <c r="J64" s="43">
        <f>+Tabla!AA66</f>
        <v>24943.372851817981</v>
      </c>
      <c r="K64" s="41">
        <f>IF(Tabla!A66="","",(J64/((1+$K$9)^($I64/Parámetros!$D$6))))</f>
        <v>11900.186569575168</v>
      </c>
      <c r="L64" s="42"/>
      <c r="M64" s="40">
        <f>+Tabla!A66</f>
        <v>49</v>
      </c>
      <c r="N64" s="43">
        <f>Tabla!AI66</f>
        <v>19528.116000000013</v>
      </c>
      <c r="O64" s="41">
        <f>IF(Tabla!A66="","",(N64/((1+$O$9)^(CAT!$M64/Pagos_por_año))))</f>
        <v>9268.2427779936443</v>
      </c>
      <c r="P64" s="52"/>
      <c r="Q64" s="52"/>
    </row>
    <row r="65" spans="1:17" x14ac:dyDescent="0.2">
      <c r="A65" s="40">
        <f>+Tabla!A67</f>
        <v>50</v>
      </c>
      <c r="B65" s="43">
        <f>+Tabla!AK67</f>
        <v>24445.650803575318</v>
      </c>
      <c r="C65" s="41">
        <f>IF(Tabla!A67="","",(B65/((1+$C$9)^($A65/Parámetros!$D$6))))</f>
        <v>12759.91205563133</v>
      </c>
      <c r="D65" s="42"/>
      <c r="E65" s="40">
        <f>+Tabla!A67</f>
        <v>50</v>
      </c>
      <c r="F65" s="43">
        <f>Tabla!AL67</f>
        <v>18927.869444444455</v>
      </c>
      <c r="G65" s="41">
        <f>IF(Tabla!A67="","",(F65/((1+$G$9)^(CAT!$E65/Pagos_por_año))))</f>
        <v>9835.4020353335127</v>
      </c>
      <c r="H65" s="41"/>
      <c r="I65" s="40">
        <f>+Tabla!A67</f>
        <v>50</v>
      </c>
      <c r="J65" s="43">
        <f>+Tabla!AA67</f>
        <v>24943.372851817981</v>
      </c>
      <c r="K65" s="41">
        <f>IF(Tabla!A67="","",(J65/((1+$K$9)^($I65/Parámetros!$D$6))))</f>
        <v>11721.806768273267</v>
      </c>
      <c r="L65" s="42"/>
      <c r="M65" s="40">
        <f>+Tabla!A67</f>
        <v>50</v>
      </c>
      <c r="N65" s="43">
        <f>Tabla!AI67</f>
        <v>19289.661888888902</v>
      </c>
      <c r="O65" s="41">
        <f>IF(Tabla!A67="","",(N65/((1+$O$9)^(CAT!$M65/Pagos_por_año))))</f>
        <v>9016.8802994342786</v>
      </c>
      <c r="P65" s="52"/>
      <c r="Q65" s="52"/>
    </row>
    <row r="66" spans="1:17" x14ac:dyDescent="0.2">
      <c r="A66" s="40">
        <f>+Tabla!A68</f>
        <v>51</v>
      </c>
      <c r="B66" s="43">
        <f>+Tabla!AK68</f>
        <v>24487.753356023753</v>
      </c>
      <c r="C66" s="41">
        <f>IF(Tabla!A68="","",(B66/((1+$C$9)^($A66/Parámetros!$D$6))))</f>
        <v>12616.762888381174</v>
      </c>
      <c r="D66" s="42"/>
      <c r="E66" s="40">
        <f>+Tabla!A68</f>
        <v>51</v>
      </c>
      <c r="F66" s="43">
        <f>Tabla!AL68</f>
        <v>18722.305555555566</v>
      </c>
      <c r="G66" s="41">
        <f>IF(Tabla!A68="","",(F66/((1+$G$9)^(CAT!$E66/Pagos_por_año))))</f>
        <v>9602.0402426319124</v>
      </c>
      <c r="H66" s="41"/>
      <c r="I66" s="40">
        <f>+Tabla!A68</f>
        <v>51</v>
      </c>
      <c r="J66" s="43">
        <f>+Tabla!AA68</f>
        <v>24943.372851817981</v>
      </c>
      <c r="K66" s="41">
        <f>IF(Tabla!A68="","",(J66/((1+$K$9)^($I66/Parámetros!$D$6))))</f>
        <v>11546.10082030354</v>
      </c>
      <c r="L66" s="42"/>
      <c r="M66" s="40">
        <f>+Tabla!A68</f>
        <v>51</v>
      </c>
      <c r="N66" s="43">
        <f>Tabla!AI68</f>
        <v>19051.207777777789</v>
      </c>
      <c r="O66" s="41">
        <f>IF(Tabla!A68="","",(N66/((1+$O$9)^(CAT!$M66/Pagos_por_año))))</f>
        <v>8770.9944539349126</v>
      </c>
      <c r="P66" s="52"/>
      <c r="Q66" s="52"/>
    </row>
    <row r="67" spans="1:17" x14ac:dyDescent="0.2">
      <c r="A67" s="40">
        <f>+Tabla!A69</f>
        <v>52</v>
      </c>
      <c r="B67" s="43">
        <f>+Tabla!AK69</f>
        <v>24530.458280075367</v>
      </c>
      <c r="C67" s="41">
        <f>IF(Tabla!A69="","",(B67/((1+$C$9)^($A67/Parámetros!$D$6))))</f>
        <v>12475.489134530702</v>
      </c>
      <c r="D67" s="42"/>
      <c r="E67" s="40">
        <f>+Tabla!A69</f>
        <v>52</v>
      </c>
      <c r="F67" s="43">
        <f>Tabla!AL69</f>
        <v>18516.74166666668</v>
      </c>
      <c r="G67" s="41">
        <f>IF(Tabla!A69="","",(F67/((1+$G$9)^(CAT!$E67/Pagos_por_año))))</f>
        <v>9373.0852770548772</v>
      </c>
      <c r="H67" s="41"/>
      <c r="I67" s="40">
        <f>+Tabla!A69</f>
        <v>52</v>
      </c>
      <c r="J67" s="43">
        <f>+Tabla!AA69</f>
        <v>24943.372851817985</v>
      </c>
      <c r="K67" s="41">
        <f>IF(Tabla!A69="","",(J67/((1+$K$9)^($I67/Parámetros!$D$6))))</f>
        <v>11373.028645502254</v>
      </c>
      <c r="L67" s="42"/>
      <c r="M67" s="40">
        <f>+Tabla!A69</f>
        <v>52</v>
      </c>
      <c r="N67" s="43">
        <f>Tabla!AI69</f>
        <v>18812.753666666682</v>
      </c>
      <c r="O67" s="41">
        <f>IF(Tabla!A69="","",(N67/((1+$O$9)^(CAT!$M67/Pagos_por_año))))</f>
        <v>8530.4771793776818</v>
      </c>
      <c r="P67" s="52"/>
      <c r="Q67" s="52"/>
    </row>
    <row r="68" spans="1:17" x14ac:dyDescent="0.2">
      <c r="A68" s="40">
        <f>+Tabla!A70</f>
        <v>53</v>
      </c>
      <c r="B68" s="43">
        <f>+Tabla!AK70</f>
        <v>24573.774194009264</v>
      </c>
      <c r="C68" s="41">
        <f>IF(Tabla!A70="","",(B68/((1+$C$9)^($A68/Parámetros!$D$6))))</f>
        <v>12336.066597595152</v>
      </c>
      <c r="D68" s="42"/>
      <c r="E68" s="40">
        <f>+Tabla!A70</f>
        <v>53</v>
      </c>
      <c r="F68" s="43">
        <f>Tabla!AL70</f>
        <v>18311.17777777779</v>
      </c>
      <c r="G68" s="41">
        <f>IF(Tabla!A70="","",(F68/((1+$G$9)^(CAT!$E68/Pagos_por_año))))</f>
        <v>9148.4619783768903</v>
      </c>
      <c r="H68" s="41"/>
      <c r="I68" s="40">
        <f>+Tabla!A70</f>
        <v>53</v>
      </c>
      <c r="J68" s="43">
        <f>+Tabla!AA70</f>
        <v>24943.372851817981</v>
      </c>
      <c r="K68" s="41">
        <f>IF(Tabla!A70="","",(J68/((1+$K$9)^($I68/Parámetros!$D$6))))</f>
        <v>11202.550764493877</v>
      </c>
      <c r="L68" s="42"/>
      <c r="M68" s="40">
        <f>+Tabla!A70</f>
        <v>53</v>
      </c>
      <c r="N68" s="43">
        <f>Tabla!AI70</f>
        <v>18574.299555555568</v>
      </c>
      <c r="O68" s="41">
        <f>IF(Tabla!A70="","",(N68/((1+$O$9)^(CAT!$M68/Pagos_por_año))))</f>
        <v>8295.2224281062026</v>
      </c>
      <c r="P68" s="52"/>
      <c r="Q68" s="52"/>
    </row>
    <row r="69" spans="1:17" x14ac:dyDescent="0.2">
      <c r="A69" s="40">
        <f>+Tabla!A71</f>
        <v>54</v>
      </c>
      <c r="B69" s="43">
        <f>+Tabla!AK71</f>
        <v>24617.70983940841</v>
      </c>
      <c r="C69" s="41">
        <f>IF(Tabla!A71="","",(B69/((1+$C$9)^($A69/Parámetros!$D$6))))</f>
        <v>12198.471393714897</v>
      </c>
      <c r="D69" s="42"/>
      <c r="E69" s="40">
        <f>+Tabla!A71</f>
        <v>54</v>
      </c>
      <c r="F69" s="43">
        <f>Tabla!AL71</f>
        <v>18105.6138888889</v>
      </c>
      <c r="G69" s="41">
        <f>IF(Tabla!A71="","",(F69/((1+$G$9)^(CAT!$E69/Pagos_por_año))))</f>
        <v>8928.0963960559839</v>
      </c>
      <c r="H69" s="41"/>
      <c r="I69" s="40">
        <f>+Tabla!A71</f>
        <v>54</v>
      </c>
      <c r="J69" s="43">
        <f>+Tabla!AA71</f>
        <v>24943.372851817985</v>
      </c>
      <c r="K69" s="41">
        <f>IF(Tabla!A71="","",(J69/((1+$K$9)^($I69/Parámetros!$D$6))))</f>
        <v>11034.628289685468</v>
      </c>
      <c r="L69" s="42"/>
      <c r="M69" s="40">
        <f>+Tabla!A71</f>
        <v>54</v>
      </c>
      <c r="N69" s="43">
        <f>Tabla!AI71</f>
        <v>18335.845444444458</v>
      </c>
      <c r="O69" s="41">
        <f>IF(Tabla!A71="","",(N69/((1+$O$9)^(CAT!$M69/Pagos_por_año))))</f>
        <v>8065.1261307324285</v>
      </c>
      <c r="P69" s="52"/>
      <c r="Q69" s="52"/>
    </row>
    <row r="70" spans="1:17" x14ac:dyDescent="0.2">
      <c r="A70" s="40">
        <f>+Tabla!A72</f>
        <v>55</v>
      </c>
      <c r="B70" s="43">
        <f>+Tabla!AK72</f>
        <v>24662.274082923741</v>
      </c>
      <c r="C70" s="41">
        <f>IF(Tabla!A72="","",(B70/((1+$C$9)^($A70/Parámetros!$D$6))))</f>
        <v>12062.67994761674</v>
      </c>
      <c r="D70" s="42"/>
      <c r="E70" s="40">
        <f>+Tabla!A72</f>
        <v>55</v>
      </c>
      <c r="F70" s="43">
        <f>Tabla!AL72</f>
        <v>17900.05000000001</v>
      </c>
      <c r="G70" s="41">
        <f>IF(Tabla!A72="","",(F70/((1+$G$9)^(CAT!$E70/Pagos_por_año))))</f>
        <v>8711.9157704804966</v>
      </c>
      <c r="H70" s="41"/>
      <c r="I70" s="40">
        <f>+Tabla!A72</f>
        <v>55</v>
      </c>
      <c r="J70" s="43">
        <f>+Tabla!AA72</f>
        <v>24943.372851817985</v>
      </c>
      <c r="K70" s="41">
        <f>IF(Tabla!A72="","",(J70/((1+$K$9)^($I70/Parámetros!$D$6))))</f>
        <v>10869.22291639604</v>
      </c>
      <c r="L70" s="42"/>
      <c r="M70" s="40">
        <f>+Tabla!A72</f>
        <v>55</v>
      </c>
      <c r="N70" s="43">
        <f>Tabla!AI72</f>
        <v>18097.391333333344</v>
      </c>
      <c r="O70" s="41">
        <f>IF(Tabla!A72="","",(N70/((1+$O$9)^(CAT!$M70/Pagos_por_año))))</f>
        <v>7840.0861605771315</v>
      </c>
      <c r="P70" s="52"/>
      <c r="Q70" s="52"/>
    </row>
    <row r="71" spans="1:17" x14ac:dyDescent="0.2">
      <c r="A71" s="40">
        <f>+Tabla!A73</f>
        <v>56</v>
      </c>
      <c r="B71" s="43">
        <f>+Tabla!AK73</f>
        <v>24707.475918063552</v>
      </c>
      <c r="C71" s="41">
        <f>IF(Tabla!A73="","",(B71/((1+$C$9)^($A71/Parámetros!$D$6))))</f>
        <v>11928.668988627451</v>
      </c>
      <c r="D71" s="42"/>
      <c r="E71" s="40">
        <f>+Tabla!A73</f>
        <v>56</v>
      </c>
      <c r="F71" s="43">
        <f>Tabla!AL73</f>
        <v>17694.486111111124</v>
      </c>
      <c r="G71" s="41">
        <f>IF(Tabla!A73="","",(F71/((1+$G$9)^(CAT!$E71/Pagos_por_año))))</f>
        <v>8499.8485144990518</v>
      </c>
      <c r="H71" s="41"/>
      <c r="I71" s="40">
        <f>+Tabla!A73</f>
        <v>56</v>
      </c>
      <c r="J71" s="43">
        <f>+Tabla!AA73</f>
        <v>24943.372851817981</v>
      </c>
      <c r="K71" s="41">
        <f>IF(Tabla!A73="","",(J71/((1+$K$9)^($I71/Parámetros!$D$6))))</f>
        <v>10706.296914118917</v>
      </c>
      <c r="L71" s="42"/>
      <c r="M71" s="40">
        <f>+Tabla!A73</f>
        <v>56</v>
      </c>
      <c r="N71" s="43">
        <f>Tabla!AI73</f>
        <v>17858.937222222237</v>
      </c>
      <c r="O71" s="41">
        <f>IF(Tabla!A73="","",(N71/((1+$O$9)^(CAT!$M71/Pagos_por_año))))</f>
        <v>7620.0022987331722</v>
      </c>
      <c r="P71" s="52"/>
      <c r="Q71" s="52"/>
    </row>
    <row r="72" spans="1:17" x14ac:dyDescent="0.2">
      <c r="A72" s="40">
        <f>+Tabla!A74</f>
        <v>57</v>
      </c>
      <c r="B72" s="43">
        <f>+Tabla!AK74</f>
        <v>24753.324467008501</v>
      </c>
      <c r="C72" s="41">
        <f>IF(Tabla!A74="","",(B72/((1+$C$9)^($A72/Parámetros!$D$6))))</f>
        <v>11796.415546738774</v>
      </c>
      <c r="D72" s="42"/>
      <c r="E72" s="40">
        <f>+Tabla!A74</f>
        <v>57</v>
      </c>
      <c r="F72" s="43">
        <f>Tabla!AL74</f>
        <v>17488.922222222234</v>
      </c>
      <c r="G72" s="41">
        <f>IF(Tabla!A74="","",(F72/((1+$G$9)^(CAT!$E72/Pagos_por_año))))</f>
        <v>8291.8241952295157</v>
      </c>
      <c r="H72" s="41"/>
      <c r="I72" s="40">
        <f>+Tabla!A74</f>
        <v>57</v>
      </c>
      <c r="J72" s="43">
        <f>+Tabla!AA74</f>
        <v>24943.372851817981</v>
      </c>
      <c r="K72" s="41">
        <f>IF(Tabla!A74="","",(J72/((1+$K$9)^($I72/Parámetros!$D$6))))</f>
        <v>10545.813117915051</v>
      </c>
      <c r="L72" s="42"/>
      <c r="M72" s="40">
        <f>+Tabla!A74</f>
        <v>57</v>
      </c>
      <c r="N72" s="43">
        <f>Tabla!AI74</f>
        <v>17620.483111111123</v>
      </c>
      <c r="O72" s="41">
        <f>IF(Tabla!A74="","",(N72/((1+$O$9)^(CAT!$M72/Pagos_por_año))))</f>
        <v>7404.7761997408206</v>
      </c>
      <c r="P72" s="52"/>
      <c r="Q72" s="52"/>
    </row>
    <row r="73" spans="1:17" x14ac:dyDescent="0.2">
      <c r="A73" s="40">
        <f>+Tabla!A75</f>
        <v>58</v>
      </c>
      <c r="B73" s="43">
        <f>+Tabla!AK75</f>
        <v>24799.828982452513</v>
      </c>
      <c r="C73" s="41">
        <f>IF(Tabla!A75="","",(B73/((1+$C$9)^($A73/Parámetros!$D$6))))</f>
        <v>11665.896948723252</v>
      </c>
      <c r="D73" s="42"/>
      <c r="E73" s="40">
        <f>+Tabla!A75</f>
        <v>58</v>
      </c>
      <c r="F73" s="43">
        <f>Tabla!AL75</f>
        <v>17283.358333333344</v>
      </c>
      <c r="G73" s="41">
        <f>IF(Tabla!A75="","",(F73/((1+$G$9)^(CAT!$E73/Pagos_por_año))))</f>
        <v>8087.7735161428345</v>
      </c>
      <c r="H73" s="41"/>
      <c r="I73" s="40">
        <f>+Tabla!A75</f>
        <v>58</v>
      </c>
      <c r="J73" s="43">
        <f>+Tabla!AA75</f>
        <v>24943.372851817981</v>
      </c>
      <c r="K73" s="41">
        <f>IF(Tabla!A75="","",(J73/((1+$K$9)^($I73/Parámetros!$D$6))))</f>
        <v>10387.734919935356</v>
      </c>
      <c r="L73" s="42"/>
      <c r="M73" s="40">
        <f>+Tabla!A75</f>
        <v>58</v>
      </c>
      <c r="N73" s="43">
        <f>Tabla!AI75</f>
        <v>17382.029000000013</v>
      </c>
      <c r="O73" s="41">
        <f>IF(Tabla!A75="","",(N73/((1+$O$9)^(CAT!$M73/Pagos_por_año))))</f>
        <v>7194.3113578646507</v>
      </c>
      <c r="P73" s="52"/>
      <c r="Q73" s="52"/>
    </row>
    <row r="74" spans="1:17" x14ac:dyDescent="0.2">
      <c r="A74" s="40">
        <f>+Tabla!A76</f>
        <v>59</v>
      </c>
      <c r="B74" s="43">
        <f>+Tabla!AK76</f>
        <v>24846.998849470096</v>
      </c>
      <c r="C74" s="41">
        <f>IF(Tabla!A76="","",(B74/((1+$C$9)^($A74/Parámetros!$D$6))))</f>
        <v>11537.090814300256</v>
      </c>
      <c r="D74" s="42"/>
      <c r="E74" s="40">
        <f>+Tabla!A76</f>
        <v>59</v>
      </c>
      <c r="F74" s="43">
        <f>Tabla!AL76</f>
        <v>17077.794444444455</v>
      </c>
      <c r="G74" s="41">
        <f>IF(Tabla!A76="","",(F74/((1+$G$9)^(CAT!$E74/Pagos_por_año))))</f>
        <v>7887.6282994176618</v>
      </c>
      <c r="H74" s="41"/>
      <c r="I74" s="40">
        <f>+Tabla!A76</f>
        <v>59</v>
      </c>
      <c r="J74" s="43">
        <f>+Tabla!AA76</f>
        <v>24943.372851817981</v>
      </c>
      <c r="K74" s="41">
        <f>IF(Tabla!A76="","",(J74/((1+$K$9)^($I74/Parámetros!$D$6))))</f>
        <v>10232.026261070099</v>
      </c>
      <c r="L74" s="42"/>
      <c r="M74" s="40">
        <f>+Tabla!A76</f>
        <v>59</v>
      </c>
      <c r="N74" s="43">
        <f>Tabla!AI76</f>
        <v>17143.574888888899</v>
      </c>
      <c r="O74" s="41">
        <f>IF(Tabla!A76="","",(N74/((1+$O$9)^(CAT!$M74/Pagos_por_año))))</f>
        <v>6988.5130739616234</v>
      </c>
      <c r="P74" s="52"/>
      <c r="Q74" s="52"/>
    </row>
    <row r="75" spans="1:17" x14ac:dyDescent="0.2">
      <c r="A75" s="40">
        <f>+Tabla!A77</f>
        <v>60</v>
      </c>
      <c r="B75" s="43">
        <f>+Tabla!AK77</f>
        <v>24894.843587410334</v>
      </c>
      <c r="C75" s="41">
        <f>IF(Tabla!A77="","",(B75/((1+$C$9)^($A75/Parámetros!$D$6))))</f>
        <v>11409.975052351558</v>
      </c>
      <c r="D75" s="42"/>
      <c r="E75" s="40">
        <f>+Tabla!A77</f>
        <v>60</v>
      </c>
      <c r="F75" s="43">
        <f>Tabla!AL77</f>
        <v>16872.230555555569</v>
      </c>
      <c r="G75" s="41">
        <f>IF(Tabla!A77="","",(F75/((1+$G$9)^(CAT!$E75/Pagos_por_año))))</f>
        <v>7691.3214685617586</v>
      </c>
      <c r="H75" s="41"/>
      <c r="I75" s="40">
        <f>+Tabla!A77</f>
        <v>60</v>
      </c>
      <c r="J75" s="43">
        <f>+Tabla!AA77</f>
        <v>24943.372851817985</v>
      </c>
      <c r="K75" s="41">
        <f>IF(Tabla!A77="","",(J75/((1+$K$9)^($I75/Parámetros!$D$6))))</f>
        <v>10078.651622723515</v>
      </c>
      <c r="L75" s="42"/>
      <c r="M75" s="40">
        <f>+Tabla!A77</f>
        <v>60</v>
      </c>
      <c r="N75" s="43">
        <f>Tabla!AI77</f>
        <v>16905.120777777793</v>
      </c>
      <c r="O75" s="41">
        <f>IF(Tabla!A77="","",(N75/((1+$O$9)^(CAT!$M75/Pagos_por_año))))</f>
        <v>6787.288422930239</v>
      </c>
      <c r="P75" s="52"/>
      <c r="Q75" s="52"/>
    </row>
    <row r="76" spans="1:17" x14ac:dyDescent="0.2">
      <c r="A76" s="40" t="str">
        <f>+Tabla!A78</f>
        <v/>
      </c>
      <c r="B76" s="43" t="str">
        <f>+Tabla!AK78</f>
        <v/>
      </c>
      <c r="C76" s="41" t="str">
        <f>IF(Tabla!A78="","",(B76/((1+$C$9)^($A76/Parámetros!$D$6))))</f>
        <v/>
      </c>
      <c r="D76" s="42"/>
      <c r="E76" s="40" t="str">
        <f>+Tabla!A78</f>
        <v/>
      </c>
      <c r="F76" s="43" t="str">
        <f>Tabla!AL78</f>
        <v/>
      </c>
      <c r="G76" s="41" t="str">
        <f>IF(Tabla!A78="","",(F76/((1+$G$9)^(CAT!$E76/Pagos_por_año))))</f>
        <v/>
      </c>
      <c r="H76" s="41"/>
      <c r="I76" s="40" t="str">
        <f>+Tabla!A78</f>
        <v/>
      </c>
      <c r="J76" s="43" t="str">
        <f>+Tabla!AA78</f>
        <v/>
      </c>
      <c r="K76" s="41" t="str">
        <f>IF(Tabla!A78="","",(J76/((1+$K$9)^($I76/Parámetros!$D$6))))</f>
        <v/>
      </c>
      <c r="L76" s="42"/>
      <c r="M76" s="40" t="str">
        <f>+Tabla!A78</f>
        <v/>
      </c>
      <c r="N76" s="43" t="str">
        <f>Tabla!AI78</f>
        <v/>
      </c>
      <c r="O76" s="41" t="str">
        <f>IF(Tabla!A78="","",(N76/((1+$O$9)^(CAT!$M76/Pagos_por_año))))</f>
        <v/>
      </c>
      <c r="P76" s="52"/>
      <c r="Q76" s="52"/>
    </row>
    <row r="77" spans="1:17" x14ac:dyDescent="0.2">
      <c r="A77" s="40" t="str">
        <f>+Tabla!A79</f>
        <v/>
      </c>
      <c r="B77" s="43" t="str">
        <f>+Tabla!AK79</f>
        <v/>
      </c>
      <c r="C77" s="41" t="str">
        <f>IF(Tabla!A79="","",(B77/((1+$C$9)^($A77/Parámetros!$D$6))))</f>
        <v/>
      </c>
      <c r="D77" s="42"/>
      <c r="E77" s="40" t="str">
        <f>+Tabla!A79</f>
        <v/>
      </c>
      <c r="F77" s="43" t="str">
        <f>Tabla!AL79</f>
        <v/>
      </c>
      <c r="G77" s="41" t="str">
        <f>IF(Tabla!A79="","",(F77/((1+$G$9)^(CAT!$E77/Pagos_por_año))))</f>
        <v/>
      </c>
      <c r="H77" s="41"/>
      <c r="I77" s="40" t="str">
        <f>+Tabla!A79</f>
        <v/>
      </c>
      <c r="J77" s="43" t="str">
        <f>+Tabla!AA79</f>
        <v/>
      </c>
      <c r="K77" s="41" t="str">
        <f>IF(Tabla!A79="","",(J77/((1+$K$9)^($I77/Parámetros!$D$6))))</f>
        <v/>
      </c>
      <c r="L77" s="42"/>
      <c r="M77" s="40" t="str">
        <f>+Tabla!A79</f>
        <v/>
      </c>
      <c r="N77" s="43" t="str">
        <f>Tabla!AI79</f>
        <v/>
      </c>
      <c r="O77" s="41" t="str">
        <f>IF(Tabla!A79="","",(N77/((1+$O$9)^(CAT!$M77/Pagos_por_año))))</f>
        <v/>
      </c>
      <c r="P77" s="52"/>
      <c r="Q77" s="52"/>
    </row>
    <row r="78" spans="1:17" x14ac:dyDescent="0.2">
      <c r="A78" s="40" t="str">
        <f>+Tabla!A80</f>
        <v/>
      </c>
      <c r="B78" s="43" t="str">
        <f>+Tabla!AK80</f>
        <v/>
      </c>
      <c r="C78" s="41" t="str">
        <f>IF(Tabla!A80="","",(B78/((1+$C$9)^($A78/Parámetros!$D$6))))</f>
        <v/>
      </c>
      <c r="D78" s="42"/>
      <c r="E78" s="40" t="str">
        <f>+Tabla!A80</f>
        <v/>
      </c>
      <c r="F78" s="43" t="str">
        <f>Tabla!AL80</f>
        <v/>
      </c>
      <c r="G78" s="41" t="str">
        <f>IF(Tabla!A80="","",(F78/((1+$G$9)^(CAT!$E78/Pagos_por_año))))</f>
        <v/>
      </c>
      <c r="H78" s="41"/>
      <c r="I78" s="40" t="str">
        <f>+Tabla!A80</f>
        <v/>
      </c>
      <c r="J78" s="43" t="str">
        <f>+Tabla!AA80</f>
        <v/>
      </c>
      <c r="K78" s="41" t="str">
        <f>IF(Tabla!A80="","",(J78/((1+$K$9)^($I78/Parámetros!$D$6))))</f>
        <v/>
      </c>
      <c r="L78" s="42"/>
      <c r="M78" s="40" t="str">
        <f>+Tabla!A80</f>
        <v/>
      </c>
      <c r="N78" s="43" t="str">
        <f>Tabla!AI80</f>
        <v/>
      </c>
      <c r="O78" s="41" t="str">
        <f>IF(Tabla!A80="","",(N78/((1+$O$9)^(CAT!$M78/Pagos_por_año))))</f>
        <v/>
      </c>
      <c r="P78" s="52"/>
      <c r="Q78" s="52"/>
    </row>
    <row r="79" spans="1:17" x14ac:dyDescent="0.2">
      <c r="A79" s="40" t="str">
        <f>+Tabla!A81</f>
        <v/>
      </c>
      <c r="B79" s="43" t="str">
        <f>+Tabla!AK81</f>
        <v/>
      </c>
      <c r="C79" s="41" t="str">
        <f>IF(Tabla!A81="","",(B79/((1+$C$9)^($A79/Parámetros!$D$6))))</f>
        <v/>
      </c>
      <c r="D79" s="42"/>
      <c r="E79" s="40" t="str">
        <f>+Tabla!A81</f>
        <v/>
      </c>
      <c r="F79" s="43" t="str">
        <f>Tabla!AL81</f>
        <v/>
      </c>
      <c r="G79" s="41" t="str">
        <f>IF(Tabla!A81="","",(F79/((1+$G$9)^(CAT!$E79/Pagos_por_año))))</f>
        <v/>
      </c>
      <c r="H79" s="41"/>
      <c r="I79" s="40" t="str">
        <f>+Tabla!A81</f>
        <v/>
      </c>
      <c r="J79" s="43" t="str">
        <f>+Tabla!AA81</f>
        <v/>
      </c>
      <c r="K79" s="41" t="str">
        <f>IF(Tabla!A81="","",(J79/((1+$K$9)^($I79/Parámetros!$D$6))))</f>
        <v/>
      </c>
      <c r="L79" s="42"/>
      <c r="M79" s="40" t="str">
        <f>+Tabla!A81</f>
        <v/>
      </c>
      <c r="N79" s="43" t="str">
        <f>Tabla!AI81</f>
        <v/>
      </c>
      <c r="O79" s="41" t="str">
        <f>IF(Tabla!A81="","",(N79/((1+$O$9)^(CAT!$M79/Pagos_por_año))))</f>
        <v/>
      </c>
      <c r="P79" s="52"/>
      <c r="Q79" s="52"/>
    </row>
    <row r="80" spans="1:17" x14ac:dyDescent="0.2">
      <c r="A80" s="40" t="str">
        <f>+Tabla!A82</f>
        <v/>
      </c>
      <c r="B80" s="43" t="str">
        <f>+Tabla!AK82</f>
        <v/>
      </c>
      <c r="C80" s="41" t="str">
        <f>IF(Tabla!A82="","",(B80/((1+$C$9)^($A80/Parámetros!$D$6))))</f>
        <v/>
      </c>
      <c r="D80" s="42"/>
      <c r="E80" s="40" t="str">
        <f>+Tabla!A82</f>
        <v/>
      </c>
      <c r="F80" s="43" t="str">
        <f>Tabla!AL82</f>
        <v/>
      </c>
      <c r="G80" s="41" t="str">
        <f>IF(Tabla!A82="","",(F80/((1+$G$9)^(CAT!$E80/Pagos_por_año))))</f>
        <v/>
      </c>
      <c r="H80" s="41"/>
      <c r="I80" s="40" t="str">
        <f>+Tabla!A82</f>
        <v/>
      </c>
      <c r="J80" s="43" t="str">
        <f>+Tabla!AA82</f>
        <v/>
      </c>
      <c r="K80" s="41" t="str">
        <f>IF(Tabla!A82="","",(J80/((1+$K$9)^($I80/Parámetros!$D$6))))</f>
        <v/>
      </c>
      <c r="L80" s="42"/>
      <c r="M80" s="40" t="str">
        <f>+Tabla!A82</f>
        <v/>
      </c>
      <c r="N80" s="43" t="str">
        <f>Tabla!AI82</f>
        <v/>
      </c>
      <c r="O80" s="41" t="str">
        <f>IF(Tabla!A82="","",(N80/((1+$O$9)^(CAT!$M80/Pagos_por_año))))</f>
        <v/>
      </c>
      <c r="P80" s="52"/>
      <c r="Q80" s="52"/>
    </row>
    <row r="81" spans="1:17" x14ac:dyDescent="0.2">
      <c r="A81" s="40" t="str">
        <f>+Tabla!A83</f>
        <v/>
      </c>
      <c r="B81" s="43" t="str">
        <f>+Tabla!AK83</f>
        <v/>
      </c>
      <c r="C81" s="41" t="str">
        <f>IF(Tabla!A83="","",(B81/((1+$C$9)^($A81/Parámetros!$D$6))))</f>
        <v/>
      </c>
      <c r="D81" s="42"/>
      <c r="E81" s="40" t="str">
        <f>+Tabla!A83</f>
        <v/>
      </c>
      <c r="F81" s="43" t="str">
        <f>Tabla!AL83</f>
        <v/>
      </c>
      <c r="G81" s="41" t="str">
        <f>IF(Tabla!A83="","",(F81/((1+$G$9)^(CAT!$E81/Pagos_por_año))))</f>
        <v/>
      </c>
      <c r="H81" s="41"/>
      <c r="I81" s="40" t="str">
        <f>+Tabla!A83</f>
        <v/>
      </c>
      <c r="J81" s="43" t="str">
        <f>+Tabla!AA83</f>
        <v/>
      </c>
      <c r="K81" s="41" t="str">
        <f>IF(Tabla!A83="","",(J81/((1+$K$9)^($I81/Parámetros!$D$6))))</f>
        <v/>
      </c>
      <c r="L81" s="42"/>
      <c r="M81" s="40" t="str">
        <f>+Tabla!A83</f>
        <v/>
      </c>
      <c r="N81" s="43" t="str">
        <f>Tabla!AI83</f>
        <v/>
      </c>
      <c r="O81" s="41" t="str">
        <f>IF(Tabla!A83="","",(N81/((1+$O$9)^(CAT!$M81/Pagos_por_año))))</f>
        <v/>
      </c>
      <c r="P81" s="52"/>
      <c r="Q81" s="52"/>
    </row>
    <row r="82" spans="1:17" x14ac:dyDescent="0.2">
      <c r="A82" s="40" t="str">
        <f>+Tabla!A84</f>
        <v/>
      </c>
      <c r="B82" s="43" t="str">
        <f>+Tabla!AK84</f>
        <v/>
      </c>
      <c r="C82" s="41" t="str">
        <f>IF(Tabla!A84="","",(B82/((1+$C$9)^($A82/Parámetros!$D$6))))</f>
        <v/>
      </c>
      <c r="D82" s="42"/>
      <c r="E82" s="40" t="str">
        <f>+Tabla!A84</f>
        <v/>
      </c>
      <c r="F82" s="43" t="str">
        <f>Tabla!AL84</f>
        <v/>
      </c>
      <c r="G82" s="41" t="str">
        <f>IF(Tabla!A84="","",(F82/((1+$G$9)^(CAT!$E82/Pagos_por_año))))</f>
        <v/>
      </c>
      <c r="H82" s="41"/>
      <c r="I82" s="40" t="str">
        <f>+Tabla!A84</f>
        <v/>
      </c>
      <c r="J82" s="43" t="str">
        <f>+Tabla!AA84</f>
        <v/>
      </c>
      <c r="K82" s="41" t="str">
        <f>IF(Tabla!A84="","",(J82/((1+$K$9)^($I82/Parámetros!$D$6))))</f>
        <v/>
      </c>
      <c r="L82" s="42"/>
      <c r="M82" s="40" t="str">
        <f>+Tabla!A84</f>
        <v/>
      </c>
      <c r="N82" s="43" t="str">
        <f>Tabla!AI84</f>
        <v/>
      </c>
      <c r="O82" s="41" t="str">
        <f>IF(Tabla!A84="","",(N82/((1+$O$9)^(CAT!$M82/Pagos_por_año))))</f>
        <v/>
      </c>
      <c r="P82" s="52"/>
      <c r="Q82" s="52"/>
    </row>
    <row r="83" spans="1:17" x14ac:dyDescent="0.2">
      <c r="A83" s="40" t="str">
        <f>+Tabla!A85</f>
        <v/>
      </c>
      <c r="B83" s="43" t="str">
        <f>+Tabla!AK85</f>
        <v/>
      </c>
      <c r="C83" s="41" t="str">
        <f>IF(Tabla!A85="","",(B83/((1+$C$9)^($A83/Parámetros!$D$6))))</f>
        <v/>
      </c>
      <c r="D83" s="42"/>
      <c r="E83" s="40" t="str">
        <f>+Tabla!A85</f>
        <v/>
      </c>
      <c r="F83" s="43" t="str">
        <f>Tabla!AL85</f>
        <v/>
      </c>
      <c r="G83" s="41" t="str">
        <f>IF(Tabla!A85="","",(F83/((1+$G$9)^(CAT!$E83/Pagos_por_año))))</f>
        <v/>
      </c>
      <c r="H83" s="41"/>
      <c r="I83" s="40" t="str">
        <f>+Tabla!A85</f>
        <v/>
      </c>
      <c r="J83" s="43" t="str">
        <f>+Tabla!AA85</f>
        <v/>
      </c>
      <c r="K83" s="41" t="str">
        <f>IF(Tabla!A85="","",(J83/((1+$K$9)^($I83/Parámetros!$D$6))))</f>
        <v/>
      </c>
      <c r="L83" s="42"/>
      <c r="M83" s="40" t="str">
        <f>+Tabla!A85</f>
        <v/>
      </c>
      <c r="N83" s="43" t="str">
        <f>Tabla!AI85</f>
        <v/>
      </c>
      <c r="O83" s="41" t="str">
        <f>IF(Tabla!A85="","",(N83/((1+$O$9)^(CAT!$M83/Pagos_por_año))))</f>
        <v/>
      </c>
      <c r="P83" s="52"/>
      <c r="Q83" s="52"/>
    </row>
    <row r="84" spans="1:17" x14ac:dyDescent="0.2">
      <c r="A84" s="40" t="str">
        <f>+Tabla!A86</f>
        <v/>
      </c>
      <c r="B84" s="43" t="str">
        <f>+Tabla!AK86</f>
        <v/>
      </c>
      <c r="C84" s="41" t="str">
        <f>IF(Tabla!A86="","",(B84/((1+$C$9)^($A84/Parámetros!$D$6))))</f>
        <v/>
      </c>
      <c r="D84" s="42"/>
      <c r="E84" s="40" t="str">
        <f>+Tabla!A86</f>
        <v/>
      </c>
      <c r="F84" s="43" t="str">
        <f>Tabla!AL86</f>
        <v/>
      </c>
      <c r="G84" s="41" t="str">
        <f>IF(Tabla!A86="","",(F84/((1+$G$9)^(CAT!$E84/Pagos_por_año))))</f>
        <v/>
      </c>
      <c r="H84" s="41"/>
      <c r="I84" s="40" t="str">
        <f>+Tabla!A86</f>
        <v/>
      </c>
      <c r="J84" s="43" t="str">
        <f>+Tabla!AA86</f>
        <v/>
      </c>
      <c r="K84" s="41" t="str">
        <f>IF(Tabla!A86="","",(J84/((1+$K$9)^($I84/Parámetros!$D$6))))</f>
        <v/>
      </c>
      <c r="L84" s="42"/>
      <c r="M84" s="40" t="str">
        <f>+Tabla!A86</f>
        <v/>
      </c>
      <c r="N84" s="43" t="str">
        <f>Tabla!AI86</f>
        <v/>
      </c>
      <c r="O84" s="41" t="str">
        <f>IF(Tabla!A86="","",(N84/((1+$O$9)^(CAT!$M84/Pagos_por_año))))</f>
        <v/>
      </c>
      <c r="P84" s="52"/>
      <c r="Q84" s="52"/>
    </row>
    <row r="85" spans="1:17" x14ac:dyDescent="0.2">
      <c r="A85" s="40" t="str">
        <f>+Tabla!A87</f>
        <v/>
      </c>
      <c r="B85" s="43" t="str">
        <f>+Tabla!AK87</f>
        <v/>
      </c>
      <c r="C85" s="41" t="str">
        <f>IF(Tabla!A87="","",(B85/((1+$C$9)^($A85/Parámetros!$D$6))))</f>
        <v/>
      </c>
      <c r="D85" s="42"/>
      <c r="E85" s="40" t="str">
        <f>+Tabla!A87</f>
        <v/>
      </c>
      <c r="F85" s="43" t="str">
        <f>Tabla!AL87</f>
        <v/>
      </c>
      <c r="G85" s="41" t="str">
        <f>IF(Tabla!A87="","",(F85/((1+$G$9)^(CAT!$E85/Pagos_por_año))))</f>
        <v/>
      </c>
      <c r="H85" s="41"/>
      <c r="I85" s="40" t="str">
        <f>+Tabla!A87</f>
        <v/>
      </c>
      <c r="J85" s="43" t="str">
        <f>+Tabla!AA87</f>
        <v/>
      </c>
      <c r="K85" s="41" t="str">
        <f>IF(Tabla!A87="","",(J85/((1+$K$9)^($I85/Parámetros!$D$6))))</f>
        <v/>
      </c>
      <c r="L85" s="42"/>
      <c r="M85" s="40" t="str">
        <f>+Tabla!A87</f>
        <v/>
      </c>
      <c r="N85" s="43" t="str">
        <f>Tabla!AI87</f>
        <v/>
      </c>
      <c r="O85" s="41" t="str">
        <f>IF(Tabla!A87="","",(N85/((1+$O$9)^(CAT!$M85/Pagos_por_año))))</f>
        <v/>
      </c>
      <c r="P85" s="52"/>
      <c r="Q85" s="52"/>
    </row>
    <row r="86" spans="1:17" x14ac:dyDescent="0.2">
      <c r="A86" s="40" t="str">
        <f>+Tabla!A88</f>
        <v/>
      </c>
      <c r="B86" s="43" t="str">
        <f>+Tabla!AK88</f>
        <v/>
      </c>
      <c r="C86" s="41" t="str">
        <f>IF(Tabla!A88="","",(B86/((1+$C$9)^($A86/Parámetros!$D$6))))</f>
        <v/>
      </c>
      <c r="D86" s="42"/>
      <c r="E86" s="40" t="str">
        <f>+Tabla!A88</f>
        <v/>
      </c>
      <c r="F86" s="43" t="str">
        <f>Tabla!AL88</f>
        <v/>
      </c>
      <c r="G86" s="41" t="str">
        <f>IF(Tabla!A88="","",(F86/((1+$G$9)^(CAT!$E86/Pagos_por_año))))</f>
        <v/>
      </c>
      <c r="H86" s="41"/>
      <c r="I86" s="40" t="str">
        <f>+Tabla!A88</f>
        <v/>
      </c>
      <c r="J86" s="43" t="str">
        <f>+Tabla!AA88</f>
        <v/>
      </c>
      <c r="K86" s="41" t="str">
        <f>IF(Tabla!A88="","",(J86/((1+$K$9)^($I86/Parámetros!$D$6))))</f>
        <v/>
      </c>
      <c r="L86" s="42"/>
      <c r="M86" s="40" t="str">
        <f>+Tabla!A88</f>
        <v/>
      </c>
      <c r="N86" s="43" t="str">
        <f>Tabla!AI88</f>
        <v/>
      </c>
      <c r="O86" s="41" t="str">
        <f>IF(Tabla!A88="","",(N86/((1+$O$9)^(CAT!$M86/Pagos_por_año))))</f>
        <v/>
      </c>
      <c r="P86" s="52"/>
      <c r="Q86" s="52"/>
    </row>
    <row r="87" spans="1:17" x14ac:dyDescent="0.2">
      <c r="A87" s="40" t="str">
        <f>+Tabla!A89</f>
        <v/>
      </c>
      <c r="B87" s="43" t="str">
        <f>+Tabla!AK89</f>
        <v/>
      </c>
      <c r="C87" s="41" t="str">
        <f>IF(Tabla!A89="","",(B87/((1+$C$9)^($A87/Parámetros!$D$6))))</f>
        <v/>
      </c>
      <c r="D87" s="42"/>
      <c r="E87" s="40" t="str">
        <f>+Tabla!A89</f>
        <v/>
      </c>
      <c r="F87" s="43" t="str">
        <f>Tabla!AL89</f>
        <v/>
      </c>
      <c r="G87" s="41" t="str">
        <f>IF(Tabla!A89="","",(F87/((1+$G$9)^(CAT!$E87/Pagos_por_año))))</f>
        <v/>
      </c>
      <c r="H87" s="41"/>
      <c r="I87" s="40" t="str">
        <f>+Tabla!A89</f>
        <v/>
      </c>
      <c r="J87" s="43" t="str">
        <f>+Tabla!AA89</f>
        <v/>
      </c>
      <c r="K87" s="41" t="str">
        <f>IF(Tabla!A89="","",(J87/((1+$K$9)^($I87/Parámetros!$D$6))))</f>
        <v/>
      </c>
      <c r="L87" s="42"/>
      <c r="M87" s="40" t="str">
        <f>+Tabla!A89</f>
        <v/>
      </c>
      <c r="N87" s="43" t="str">
        <f>Tabla!AI89</f>
        <v/>
      </c>
      <c r="O87" s="41" t="str">
        <f>IF(Tabla!A89="","",(N87/((1+$O$9)^(CAT!$M87/Pagos_por_año))))</f>
        <v/>
      </c>
      <c r="P87" s="52"/>
      <c r="Q87" s="52"/>
    </row>
    <row r="88" spans="1:17" x14ac:dyDescent="0.2">
      <c r="A88" s="40" t="str">
        <f>+Tabla!A90</f>
        <v/>
      </c>
      <c r="B88" s="43" t="str">
        <f>+Tabla!AK90</f>
        <v/>
      </c>
      <c r="C88" s="41" t="str">
        <f>IF(Tabla!A90="","",(B88/((1+$C$9)^($A88/Parámetros!$D$6))))</f>
        <v/>
      </c>
      <c r="D88" s="42"/>
      <c r="E88" s="40" t="str">
        <f>+Tabla!A90</f>
        <v/>
      </c>
      <c r="F88" s="43" t="str">
        <f>Tabla!AL90</f>
        <v/>
      </c>
      <c r="G88" s="41" t="str">
        <f>IF(Tabla!A90="","",(F88/((1+$G$9)^(CAT!$E88/Pagos_por_año))))</f>
        <v/>
      </c>
      <c r="H88" s="41"/>
      <c r="I88" s="40" t="str">
        <f>+Tabla!A90</f>
        <v/>
      </c>
      <c r="J88" s="43" t="str">
        <f>+Tabla!AA90</f>
        <v/>
      </c>
      <c r="K88" s="41" t="str">
        <f>IF(Tabla!A90="","",(J88/((1+$K$9)^($I88/Parámetros!$D$6))))</f>
        <v/>
      </c>
      <c r="L88" s="42"/>
      <c r="M88" s="40" t="str">
        <f>+Tabla!A90</f>
        <v/>
      </c>
      <c r="N88" s="43" t="str">
        <f>Tabla!AI90</f>
        <v/>
      </c>
      <c r="O88" s="41" t="str">
        <f>IF(Tabla!A90="","",(N88/((1+$O$9)^(CAT!$M88/Pagos_por_año))))</f>
        <v/>
      </c>
      <c r="P88" s="52"/>
      <c r="Q88" s="52"/>
    </row>
    <row r="89" spans="1:17" x14ac:dyDescent="0.2">
      <c r="A89" s="40" t="str">
        <f>+Tabla!A91</f>
        <v/>
      </c>
      <c r="B89" s="43" t="str">
        <f>+Tabla!AK91</f>
        <v/>
      </c>
      <c r="C89" s="41" t="str">
        <f>IF(Tabla!A91="","",(B89/((1+$C$9)^($A89/Parámetros!$D$6))))</f>
        <v/>
      </c>
      <c r="D89" s="42"/>
      <c r="E89" s="40" t="str">
        <f>+Tabla!A91</f>
        <v/>
      </c>
      <c r="F89" s="43" t="str">
        <f>Tabla!AL91</f>
        <v/>
      </c>
      <c r="G89" s="41" t="str">
        <f>IF(Tabla!A91="","",(F89/((1+$G$9)^(CAT!$E89/Pagos_por_año))))</f>
        <v/>
      </c>
      <c r="H89" s="41"/>
      <c r="I89" s="40" t="str">
        <f>+Tabla!A91</f>
        <v/>
      </c>
      <c r="J89" s="43" t="str">
        <f>+Tabla!AA91</f>
        <v/>
      </c>
      <c r="K89" s="41" t="str">
        <f>IF(Tabla!A91="","",(J89/((1+$K$9)^($I89/Parámetros!$D$6))))</f>
        <v/>
      </c>
      <c r="L89" s="42"/>
      <c r="M89" s="40" t="str">
        <f>+Tabla!A91</f>
        <v/>
      </c>
      <c r="N89" s="43" t="str">
        <f>Tabla!AI91</f>
        <v/>
      </c>
      <c r="O89" s="41" t="str">
        <f>IF(Tabla!A91="","",(N89/((1+$O$9)^(CAT!$M89/Pagos_por_año))))</f>
        <v/>
      </c>
      <c r="P89" s="52"/>
      <c r="Q89" s="52"/>
    </row>
    <row r="90" spans="1:17" x14ac:dyDescent="0.2">
      <c r="A90" s="40" t="str">
        <f>+Tabla!A92</f>
        <v/>
      </c>
      <c r="B90" s="43" t="str">
        <f>+Tabla!AK92</f>
        <v/>
      </c>
      <c r="C90" s="41" t="str">
        <f>IF(Tabla!A92="","",(B90/((1+$C$9)^($A90/Parámetros!$D$6))))</f>
        <v/>
      </c>
      <c r="D90" s="42"/>
      <c r="E90" s="40" t="str">
        <f>+Tabla!A92</f>
        <v/>
      </c>
      <c r="F90" s="43" t="str">
        <f>Tabla!AL92</f>
        <v/>
      </c>
      <c r="G90" s="41" t="str">
        <f>IF(Tabla!A92="","",(F90/((1+$G$9)^(CAT!$E90/Pagos_por_año))))</f>
        <v/>
      </c>
      <c r="H90" s="41"/>
      <c r="I90" s="40" t="str">
        <f>+Tabla!A92</f>
        <v/>
      </c>
      <c r="J90" s="43" t="str">
        <f>+Tabla!AA92</f>
        <v/>
      </c>
      <c r="K90" s="41" t="str">
        <f>IF(Tabla!A92="","",(J90/((1+$K$9)^($I90/Parámetros!$D$6))))</f>
        <v/>
      </c>
      <c r="L90" s="42"/>
      <c r="M90" s="40" t="str">
        <f>+Tabla!A92</f>
        <v/>
      </c>
      <c r="N90" s="43" t="str">
        <f>Tabla!AI92</f>
        <v/>
      </c>
      <c r="O90" s="41" t="str">
        <f>IF(Tabla!A92="","",(N90/((1+$O$9)^(CAT!$M90/Pagos_por_año))))</f>
        <v/>
      </c>
      <c r="P90" s="52"/>
      <c r="Q90" s="52"/>
    </row>
    <row r="91" spans="1:17" x14ac:dyDescent="0.2">
      <c r="A91" s="40" t="str">
        <f>+Tabla!A93</f>
        <v/>
      </c>
      <c r="B91" s="43" t="str">
        <f>+Tabla!AK93</f>
        <v/>
      </c>
      <c r="C91" s="41" t="str">
        <f>IF(Tabla!A93="","",(B91/((1+$C$9)^($A91/Parámetros!$D$6))))</f>
        <v/>
      </c>
      <c r="D91" s="42"/>
      <c r="E91" s="40" t="str">
        <f>+Tabla!A93</f>
        <v/>
      </c>
      <c r="F91" s="43" t="str">
        <f>Tabla!AL93</f>
        <v/>
      </c>
      <c r="G91" s="41" t="str">
        <f>IF(Tabla!A93="","",(F91/((1+$G$9)^(CAT!$E91/Pagos_por_año))))</f>
        <v/>
      </c>
      <c r="H91" s="41"/>
      <c r="I91" s="40" t="str">
        <f>+Tabla!A93</f>
        <v/>
      </c>
      <c r="J91" s="43" t="str">
        <f>+Tabla!AA93</f>
        <v/>
      </c>
      <c r="K91" s="41" t="str">
        <f>IF(Tabla!A93="","",(J91/((1+$K$9)^($I91/Parámetros!$D$6))))</f>
        <v/>
      </c>
      <c r="L91" s="42"/>
      <c r="M91" s="40" t="str">
        <f>+Tabla!A93</f>
        <v/>
      </c>
      <c r="N91" s="43" t="str">
        <f>Tabla!AI93</f>
        <v/>
      </c>
      <c r="O91" s="41" t="str">
        <f>IF(Tabla!A93="","",(N91/((1+$O$9)^(CAT!$M91/Pagos_por_año))))</f>
        <v/>
      </c>
      <c r="P91" s="52"/>
      <c r="Q91" s="52"/>
    </row>
    <row r="92" spans="1:17" x14ac:dyDescent="0.2">
      <c r="A92" s="40" t="str">
        <f>+Tabla!A94</f>
        <v/>
      </c>
      <c r="B92" s="43" t="str">
        <f>+Tabla!AK94</f>
        <v/>
      </c>
      <c r="C92" s="41" t="str">
        <f>IF(Tabla!A94="","",(B92/((1+$C$9)^($A92/Parámetros!$D$6))))</f>
        <v/>
      </c>
      <c r="D92" s="42"/>
      <c r="E92" s="40" t="str">
        <f>+Tabla!A94</f>
        <v/>
      </c>
      <c r="F92" s="43" t="str">
        <f>Tabla!AL94</f>
        <v/>
      </c>
      <c r="G92" s="41" t="str">
        <f>IF(Tabla!A94="","",(F92/((1+$G$9)^(CAT!$E92/Pagos_por_año))))</f>
        <v/>
      </c>
      <c r="H92" s="41"/>
      <c r="I92" s="40" t="str">
        <f>+Tabla!A94</f>
        <v/>
      </c>
      <c r="J92" s="43" t="str">
        <f>+Tabla!AA94</f>
        <v/>
      </c>
      <c r="K92" s="41" t="str">
        <f>IF(Tabla!A94="","",(J92/((1+$K$9)^($I92/Parámetros!$D$6))))</f>
        <v/>
      </c>
      <c r="L92" s="42"/>
      <c r="M92" s="40" t="str">
        <f>+Tabla!A94</f>
        <v/>
      </c>
      <c r="N92" s="43" t="str">
        <f>Tabla!AI94</f>
        <v/>
      </c>
      <c r="O92" s="41" t="str">
        <f>IF(Tabla!A94="","",(N92/((1+$O$9)^(CAT!$M92/Pagos_por_año))))</f>
        <v/>
      </c>
      <c r="P92" s="52"/>
      <c r="Q92" s="52"/>
    </row>
    <row r="93" spans="1:17" x14ac:dyDescent="0.2">
      <c r="A93" s="40" t="str">
        <f>+Tabla!A95</f>
        <v/>
      </c>
      <c r="B93" s="43" t="str">
        <f>+Tabla!AK95</f>
        <v/>
      </c>
      <c r="C93" s="41" t="str">
        <f>IF(Tabla!A95="","",(B93/((1+$C$9)^($A93/Parámetros!$D$6))))</f>
        <v/>
      </c>
      <c r="D93" s="42"/>
      <c r="E93" s="40" t="str">
        <f>+Tabla!A95</f>
        <v/>
      </c>
      <c r="F93" s="43" t="str">
        <f>Tabla!AL95</f>
        <v/>
      </c>
      <c r="G93" s="41" t="str">
        <f>IF(Tabla!A95="","",(F93/((1+$G$9)^(CAT!$E93/Pagos_por_año))))</f>
        <v/>
      </c>
      <c r="H93" s="41"/>
      <c r="I93" s="40" t="str">
        <f>+Tabla!A95</f>
        <v/>
      </c>
      <c r="J93" s="43" t="str">
        <f>+Tabla!AA95</f>
        <v/>
      </c>
      <c r="K93" s="41" t="str">
        <f>IF(Tabla!A95="","",(J93/((1+$K$9)^($I93/Parámetros!$D$6))))</f>
        <v/>
      </c>
      <c r="L93" s="42"/>
      <c r="M93" s="40" t="str">
        <f>+Tabla!A95</f>
        <v/>
      </c>
      <c r="N93" s="43" t="str">
        <f>Tabla!AI95</f>
        <v/>
      </c>
      <c r="O93" s="41" t="str">
        <f>IF(Tabla!A95="","",(N93/((1+$O$9)^(CAT!$M93/Pagos_por_año))))</f>
        <v/>
      </c>
      <c r="P93" s="52"/>
      <c r="Q93" s="52"/>
    </row>
    <row r="94" spans="1:17" x14ac:dyDescent="0.2">
      <c r="A94" s="40" t="str">
        <f>+Tabla!A96</f>
        <v/>
      </c>
      <c r="B94" s="43" t="str">
        <f>+Tabla!AK96</f>
        <v/>
      </c>
      <c r="C94" s="41" t="str">
        <f>IF(Tabla!A96="","",(B94/((1+$C$9)^($A94/Parámetros!$D$6))))</f>
        <v/>
      </c>
      <c r="D94" s="42"/>
      <c r="E94" s="40" t="str">
        <f>+Tabla!A96</f>
        <v/>
      </c>
      <c r="F94" s="43" t="str">
        <f>Tabla!AL96</f>
        <v/>
      </c>
      <c r="G94" s="41" t="str">
        <f>IF(Tabla!A96="","",(F94/((1+$G$9)^(CAT!$E94/Pagos_por_año))))</f>
        <v/>
      </c>
      <c r="H94" s="41"/>
      <c r="I94" s="40" t="str">
        <f>+Tabla!A96</f>
        <v/>
      </c>
      <c r="J94" s="43" t="str">
        <f>+Tabla!AA96</f>
        <v/>
      </c>
      <c r="K94" s="41" t="str">
        <f>IF(Tabla!A96="","",(J94/((1+$K$9)^($I94/Parámetros!$D$6))))</f>
        <v/>
      </c>
      <c r="L94" s="42"/>
      <c r="M94" s="40" t="str">
        <f>+Tabla!A96</f>
        <v/>
      </c>
      <c r="N94" s="43" t="str">
        <f>Tabla!AI96</f>
        <v/>
      </c>
      <c r="O94" s="41" t="str">
        <f>IF(Tabla!A96="","",(N94/((1+$O$9)^(CAT!$M94/Pagos_por_año))))</f>
        <v/>
      </c>
      <c r="P94" s="52"/>
      <c r="Q94" s="52"/>
    </row>
    <row r="95" spans="1:17" x14ac:dyDescent="0.2">
      <c r="A95" s="40" t="str">
        <f>+Tabla!A97</f>
        <v/>
      </c>
      <c r="B95" s="43" t="str">
        <f>+Tabla!AK97</f>
        <v/>
      </c>
      <c r="C95" s="41" t="str">
        <f>IF(Tabla!A97="","",(B95/((1+$C$9)^($A95/Parámetros!$D$6))))</f>
        <v/>
      </c>
      <c r="D95" s="42"/>
      <c r="E95" s="40" t="str">
        <f>+Tabla!A97</f>
        <v/>
      </c>
      <c r="F95" s="43" t="str">
        <f>Tabla!AL97</f>
        <v/>
      </c>
      <c r="G95" s="41" t="str">
        <f>IF(Tabla!A97="","",(F95/((1+$G$9)^(CAT!$E95/Pagos_por_año))))</f>
        <v/>
      </c>
      <c r="H95" s="41"/>
      <c r="I95" s="40" t="str">
        <f>+Tabla!A97</f>
        <v/>
      </c>
      <c r="J95" s="43" t="str">
        <f>+Tabla!AA97</f>
        <v/>
      </c>
      <c r="K95" s="41" t="str">
        <f>IF(Tabla!A97="","",(J95/((1+$K$9)^($I95/Parámetros!$D$6))))</f>
        <v/>
      </c>
      <c r="L95" s="42"/>
      <c r="M95" s="40" t="str">
        <f>+Tabla!A97</f>
        <v/>
      </c>
      <c r="N95" s="43" t="str">
        <f>Tabla!AI97</f>
        <v/>
      </c>
      <c r="O95" s="41" t="str">
        <f>IF(Tabla!A97="","",(N95/((1+$O$9)^(CAT!$M95/Pagos_por_año))))</f>
        <v/>
      </c>
      <c r="P95" s="52"/>
      <c r="Q95" s="52"/>
    </row>
    <row r="96" spans="1:17" x14ac:dyDescent="0.2">
      <c r="A96" s="40" t="str">
        <f>+Tabla!A98</f>
        <v/>
      </c>
      <c r="B96" s="43" t="str">
        <f>+Tabla!AK98</f>
        <v/>
      </c>
      <c r="C96" s="41" t="str">
        <f>IF(Tabla!A98="","",(B96/((1+$C$9)^($A96/Parámetros!$D$6))))</f>
        <v/>
      </c>
      <c r="D96" s="42"/>
      <c r="E96" s="40" t="str">
        <f>+Tabla!A98</f>
        <v/>
      </c>
      <c r="F96" s="43" t="str">
        <f>Tabla!AL98</f>
        <v/>
      </c>
      <c r="G96" s="41" t="str">
        <f>IF(Tabla!A98="","",(F96/((1+$G$9)^(CAT!$E96/Pagos_por_año))))</f>
        <v/>
      </c>
      <c r="H96" s="41"/>
      <c r="I96" s="40" t="str">
        <f>+Tabla!A98</f>
        <v/>
      </c>
      <c r="J96" s="43" t="str">
        <f>+Tabla!AA98</f>
        <v/>
      </c>
      <c r="K96" s="41" t="str">
        <f>IF(Tabla!A98="","",(J96/((1+$K$9)^($I96/Parámetros!$D$6))))</f>
        <v/>
      </c>
      <c r="L96" s="42"/>
      <c r="M96" s="40" t="str">
        <f>+Tabla!A98</f>
        <v/>
      </c>
      <c r="N96" s="43" t="str">
        <f>Tabla!AI98</f>
        <v/>
      </c>
      <c r="O96" s="41" t="str">
        <f>IF(Tabla!A98="","",(N96/((1+$O$9)^(CAT!$M96/Pagos_por_año))))</f>
        <v/>
      </c>
      <c r="P96" s="52"/>
      <c r="Q96" s="52"/>
    </row>
    <row r="97" spans="1:17" x14ac:dyDescent="0.2">
      <c r="A97" s="40" t="str">
        <f>+Tabla!A99</f>
        <v/>
      </c>
      <c r="B97" s="43" t="str">
        <f>+Tabla!AK99</f>
        <v/>
      </c>
      <c r="C97" s="41" t="str">
        <f>IF(Tabla!A99="","",(B97/((1+$C$9)^($A97/Parámetros!$D$6))))</f>
        <v/>
      </c>
      <c r="D97" s="42"/>
      <c r="E97" s="40" t="str">
        <f>+Tabla!A99</f>
        <v/>
      </c>
      <c r="F97" s="43" t="str">
        <f>Tabla!AL99</f>
        <v/>
      </c>
      <c r="G97" s="41" t="str">
        <f>IF(Tabla!A99="","",(F97/((1+$G$9)^(CAT!$E97/Pagos_por_año))))</f>
        <v/>
      </c>
      <c r="H97" s="41"/>
      <c r="I97" s="40" t="str">
        <f>+Tabla!A99</f>
        <v/>
      </c>
      <c r="J97" s="43" t="str">
        <f>+Tabla!AA99</f>
        <v/>
      </c>
      <c r="K97" s="41" t="str">
        <f>IF(Tabla!A99="","",(J97/((1+$K$9)^($I97/Parámetros!$D$6))))</f>
        <v/>
      </c>
      <c r="L97" s="42"/>
      <c r="M97" s="40" t="str">
        <f>+Tabla!A99</f>
        <v/>
      </c>
      <c r="N97" s="43" t="str">
        <f>Tabla!AI99</f>
        <v/>
      </c>
      <c r="O97" s="41" t="str">
        <f>IF(Tabla!A99="","",(N97/((1+$O$9)^(CAT!$M97/Pagos_por_año))))</f>
        <v/>
      </c>
      <c r="P97" s="52"/>
      <c r="Q97" s="52"/>
    </row>
    <row r="98" spans="1:17" x14ac:dyDescent="0.2">
      <c r="A98" s="40" t="str">
        <f>+Tabla!A100</f>
        <v/>
      </c>
      <c r="B98" s="43" t="str">
        <f>+Tabla!AK100</f>
        <v/>
      </c>
      <c r="C98" s="41" t="str">
        <f>IF(Tabla!A100="","",(B98/((1+$C$9)^($A98/Parámetros!$D$6))))</f>
        <v/>
      </c>
      <c r="D98" s="42"/>
      <c r="E98" s="40" t="str">
        <f>+Tabla!A100</f>
        <v/>
      </c>
      <c r="F98" s="43" t="str">
        <f>Tabla!AL100</f>
        <v/>
      </c>
      <c r="G98" s="41" t="str">
        <f>IF(Tabla!A100="","",(F98/((1+$G$9)^(CAT!$E98/Pagos_por_año))))</f>
        <v/>
      </c>
      <c r="H98" s="41"/>
      <c r="I98" s="40" t="str">
        <f>+Tabla!A100</f>
        <v/>
      </c>
      <c r="J98" s="43" t="str">
        <f>+Tabla!AA100</f>
        <v/>
      </c>
      <c r="K98" s="41" t="str">
        <f>IF(Tabla!A100="","",(J98/((1+$K$9)^($I98/Parámetros!$D$6))))</f>
        <v/>
      </c>
      <c r="L98" s="42"/>
      <c r="M98" s="40" t="str">
        <f>+Tabla!A100</f>
        <v/>
      </c>
      <c r="N98" s="43" t="str">
        <f>Tabla!AI100</f>
        <v/>
      </c>
      <c r="O98" s="41" t="str">
        <f>IF(Tabla!A100="","",(N98/((1+$O$9)^(CAT!$M98/Pagos_por_año))))</f>
        <v/>
      </c>
      <c r="P98" s="52"/>
      <c r="Q98" s="52"/>
    </row>
    <row r="99" spans="1:17" x14ac:dyDescent="0.2">
      <c r="A99" s="40" t="str">
        <f>+Tabla!A101</f>
        <v/>
      </c>
      <c r="B99" s="43" t="str">
        <f>+Tabla!AK101</f>
        <v/>
      </c>
      <c r="C99" s="41" t="str">
        <f>IF(Tabla!A101="","",(B99/((1+$C$9)^($A99/Parámetros!$D$6))))</f>
        <v/>
      </c>
      <c r="D99" s="42"/>
      <c r="E99" s="40" t="str">
        <f>+Tabla!A101</f>
        <v/>
      </c>
      <c r="F99" s="43" t="str">
        <f>Tabla!AL101</f>
        <v/>
      </c>
      <c r="G99" s="41" t="str">
        <f>IF(Tabla!A101="","",(F99/((1+$G$9)^(CAT!$E99/Pagos_por_año))))</f>
        <v/>
      </c>
      <c r="H99" s="41"/>
      <c r="I99" s="40" t="str">
        <f>+Tabla!A101</f>
        <v/>
      </c>
      <c r="J99" s="43" t="str">
        <f>+Tabla!AA101</f>
        <v/>
      </c>
      <c r="K99" s="41" t="str">
        <f>IF(Tabla!A101="","",(J99/((1+$K$9)^($I99/Parámetros!$D$6))))</f>
        <v/>
      </c>
      <c r="L99" s="42"/>
      <c r="M99" s="40" t="str">
        <f>+Tabla!A101</f>
        <v/>
      </c>
      <c r="N99" s="43" t="str">
        <f>Tabla!AI101</f>
        <v/>
      </c>
      <c r="O99" s="41" t="str">
        <f>IF(Tabla!A101="","",(N99/((1+$O$9)^(CAT!$M99/Pagos_por_año))))</f>
        <v/>
      </c>
      <c r="P99" s="52"/>
      <c r="Q99" s="52"/>
    </row>
    <row r="100" spans="1:17" x14ac:dyDescent="0.2">
      <c r="A100" s="40" t="str">
        <f>+Tabla!A102</f>
        <v/>
      </c>
      <c r="B100" s="43" t="str">
        <f>+Tabla!AK102</f>
        <v/>
      </c>
      <c r="C100" s="41" t="str">
        <f>IF(Tabla!A102="","",(B100/((1+$C$9)^($A100/Parámetros!$D$6))))</f>
        <v/>
      </c>
      <c r="D100" s="42"/>
      <c r="E100" s="40" t="str">
        <f>+Tabla!A102</f>
        <v/>
      </c>
      <c r="F100" s="43" t="str">
        <f>Tabla!AL102</f>
        <v/>
      </c>
      <c r="G100" s="41" t="str">
        <f>IF(Tabla!A102="","",(F100/((1+$G$9)^(CAT!$E100/Pagos_por_año))))</f>
        <v/>
      </c>
      <c r="H100" s="41"/>
      <c r="I100" s="40" t="str">
        <f>+Tabla!A102</f>
        <v/>
      </c>
      <c r="J100" s="43" t="str">
        <f>+Tabla!AA102</f>
        <v/>
      </c>
      <c r="K100" s="41" t="str">
        <f>IF(Tabla!A102="","",(J100/((1+$K$9)^($I100/Parámetros!$D$6))))</f>
        <v/>
      </c>
      <c r="L100" s="42"/>
      <c r="M100" s="40" t="str">
        <f>+Tabla!A102</f>
        <v/>
      </c>
      <c r="N100" s="43" t="str">
        <f>Tabla!AI102</f>
        <v/>
      </c>
      <c r="O100" s="41" t="str">
        <f>IF(Tabla!A102="","",(N100/((1+$O$9)^(CAT!$M100/Pagos_por_año))))</f>
        <v/>
      </c>
      <c r="P100" s="52"/>
      <c r="Q100" s="52"/>
    </row>
    <row r="101" spans="1:17" x14ac:dyDescent="0.2">
      <c r="A101" s="40" t="str">
        <f>+Tabla!A103</f>
        <v/>
      </c>
      <c r="B101" s="43" t="str">
        <f>+Tabla!AK103</f>
        <v/>
      </c>
      <c r="C101" s="41" t="str">
        <f>IF(Tabla!A103="","",(B101/((1+$C$9)^($A101/Parámetros!$D$6))))</f>
        <v/>
      </c>
      <c r="D101" s="42"/>
      <c r="E101" s="40" t="str">
        <f>+Tabla!A103</f>
        <v/>
      </c>
      <c r="F101" s="43" t="str">
        <f>Tabla!AL103</f>
        <v/>
      </c>
      <c r="G101" s="41" t="str">
        <f>IF(Tabla!A103="","",(F101/((1+$G$9)^(CAT!$E101/Pagos_por_año))))</f>
        <v/>
      </c>
      <c r="H101" s="41"/>
      <c r="I101" s="40" t="str">
        <f>+Tabla!A103</f>
        <v/>
      </c>
      <c r="J101" s="43" t="str">
        <f>+Tabla!AA103</f>
        <v/>
      </c>
      <c r="K101" s="41" t="str">
        <f>IF(Tabla!A103="","",(J101/((1+$K$9)^($I101/Parámetros!$D$6))))</f>
        <v/>
      </c>
      <c r="L101" s="42"/>
      <c r="M101" s="40" t="str">
        <f>+Tabla!A103</f>
        <v/>
      </c>
      <c r="N101" s="43" t="str">
        <f>Tabla!AI103</f>
        <v/>
      </c>
      <c r="O101" s="41" t="str">
        <f>IF(Tabla!A103="","",(N101/((1+$O$9)^(CAT!$M101/Pagos_por_año))))</f>
        <v/>
      </c>
      <c r="P101" s="52"/>
      <c r="Q101" s="52"/>
    </row>
    <row r="102" spans="1:17" x14ac:dyDescent="0.2">
      <c r="A102" s="40" t="str">
        <f>+Tabla!A104</f>
        <v/>
      </c>
      <c r="B102" s="43" t="str">
        <f>+Tabla!AK104</f>
        <v/>
      </c>
      <c r="C102" s="41" t="str">
        <f>IF(Tabla!A104="","",(B102/((1+$C$9)^($A102/Parámetros!$D$6))))</f>
        <v/>
      </c>
      <c r="D102" s="42"/>
      <c r="E102" s="40" t="str">
        <f>+Tabla!A104</f>
        <v/>
      </c>
      <c r="F102" s="43" t="str">
        <f>Tabla!AL104</f>
        <v/>
      </c>
      <c r="G102" s="41" t="str">
        <f>IF(Tabla!A104="","",(F102/((1+$G$9)^(CAT!$E102/Pagos_por_año))))</f>
        <v/>
      </c>
      <c r="H102" s="41"/>
      <c r="I102" s="40" t="str">
        <f>+Tabla!A104</f>
        <v/>
      </c>
      <c r="J102" s="43" t="str">
        <f>+Tabla!AA104</f>
        <v/>
      </c>
      <c r="K102" s="41" t="str">
        <f>IF(Tabla!A104="","",(J102/((1+$K$9)^($I102/Parámetros!$D$6))))</f>
        <v/>
      </c>
      <c r="L102" s="42"/>
      <c r="M102" s="40" t="str">
        <f>+Tabla!A104</f>
        <v/>
      </c>
      <c r="N102" s="43" t="str">
        <f>Tabla!AI104</f>
        <v/>
      </c>
      <c r="O102" s="41" t="str">
        <f>IF(Tabla!A104="","",(N102/((1+$O$9)^(CAT!$M102/Pagos_por_año))))</f>
        <v/>
      </c>
      <c r="P102" s="52"/>
      <c r="Q102" s="52"/>
    </row>
    <row r="103" spans="1:17" x14ac:dyDescent="0.2">
      <c r="A103" s="40" t="str">
        <f>+Tabla!A105</f>
        <v/>
      </c>
      <c r="B103" s="43" t="str">
        <f>+Tabla!AK105</f>
        <v/>
      </c>
      <c r="C103" s="41" t="str">
        <f>IF(Tabla!A105="","",(B103/((1+$C$9)^($A103/Parámetros!$D$6))))</f>
        <v/>
      </c>
      <c r="D103" s="42"/>
      <c r="E103" s="40" t="str">
        <f>+Tabla!A105</f>
        <v/>
      </c>
      <c r="F103" s="43" t="str">
        <f>Tabla!AL105</f>
        <v/>
      </c>
      <c r="G103" s="41" t="str">
        <f>IF(Tabla!A105="","",(F103/((1+$G$9)^(CAT!$E103/Pagos_por_año))))</f>
        <v/>
      </c>
      <c r="H103" s="41"/>
      <c r="I103" s="40" t="str">
        <f>+Tabla!A105</f>
        <v/>
      </c>
      <c r="J103" s="43" t="str">
        <f>+Tabla!AA105</f>
        <v/>
      </c>
      <c r="K103" s="41" t="str">
        <f>IF(Tabla!A105="","",(J103/((1+$K$9)^($I103/Parámetros!$D$6))))</f>
        <v/>
      </c>
      <c r="L103" s="42"/>
      <c r="M103" s="40" t="str">
        <f>+Tabla!A105</f>
        <v/>
      </c>
      <c r="N103" s="43" t="str">
        <f>Tabla!AI105</f>
        <v/>
      </c>
      <c r="O103" s="41" t="str">
        <f>IF(Tabla!A105="","",(N103/((1+$O$9)^(CAT!$M103/Pagos_por_año))))</f>
        <v/>
      </c>
      <c r="P103" s="52"/>
      <c r="Q103" s="52"/>
    </row>
    <row r="104" spans="1:17" x14ac:dyDescent="0.2">
      <c r="A104" s="40" t="str">
        <f>+Tabla!A106</f>
        <v/>
      </c>
      <c r="B104" s="43" t="str">
        <f>+Tabla!AK106</f>
        <v/>
      </c>
      <c r="C104" s="41" t="str">
        <f>IF(Tabla!A106="","",(B104/((1+$C$9)^($A104/Parámetros!$D$6))))</f>
        <v/>
      </c>
      <c r="D104" s="42"/>
      <c r="E104" s="40" t="str">
        <f>+Tabla!A106</f>
        <v/>
      </c>
      <c r="F104" s="43" t="str">
        <f>Tabla!AL106</f>
        <v/>
      </c>
      <c r="G104" s="41" t="str">
        <f>IF(Tabla!A106="","",(F104/((1+$G$9)^(CAT!$E104/Pagos_por_año))))</f>
        <v/>
      </c>
      <c r="H104" s="41"/>
      <c r="I104" s="40" t="str">
        <f>+Tabla!A106</f>
        <v/>
      </c>
      <c r="J104" s="43" t="str">
        <f>+Tabla!AA106</f>
        <v/>
      </c>
      <c r="K104" s="41" t="str">
        <f>IF(Tabla!A106="","",(J104/((1+$K$9)^($I104/Parámetros!$D$6))))</f>
        <v/>
      </c>
      <c r="L104" s="42"/>
      <c r="M104" s="40" t="str">
        <f>+Tabla!A106</f>
        <v/>
      </c>
      <c r="N104" s="43" t="str">
        <f>Tabla!AI106</f>
        <v/>
      </c>
      <c r="O104" s="41" t="str">
        <f>IF(Tabla!A106="","",(N104/((1+$O$9)^(CAT!$M104/Pagos_por_año))))</f>
        <v/>
      </c>
      <c r="P104" s="52"/>
      <c r="Q104" s="52"/>
    </row>
    <row r="105" spans="1:17" x14ac:dyDescent="0.2">
      <c r="A105" s="40" t="str">
        <f>+Tabla!A107</f>
        <v/>
      </c>
      <c r="B105" s="43" t="str">
        <f>+Tabla!AK107</f>
        <v/>
      </c>
      <c r="C105" s="41" t="str">
        <f>IF(Tabla!A107="","",(B105/((1+$C$9)^($A105/Parámetros!$D$6))))</f>
        <v/>
      </c>
      <c r="D105" s="42"/>
      <c r="E105" s="40" t="str">
        <f>+Tabla!A107</f>
        <v/>
      </c>
      <c r="F105" s="43" t="str">
        <f>Tabla!AL107</f>
        <v/>
      </c>
      <c r="G105" s="41" t="str">
        <f>IF(Tabla!A107="","",(F105/((1+$G$9)^(CAT!$E105/Pagos_por_año))))</f>
        <v/>
      </c>
      <c r="H105" s="41"/>
      <c r="I105" s="40" t="str">
        <f>+Tabla!A107</f>
        <v/>
      </c>
      <c r="J105" s="43" t="str">
        <f>+Tabla!AA107</f>
        <v/>
      </c>
      <c r="K105" s="41" t="str">
        <f>IF(Tabla!A107="","",(J105/((1+$K$9)^($I105/Parámetros!$D$6))))</f>
        <v/>
      </c>
      <c r="L105" s="42"/>
      <c r="M105" s="40" t="str">
        <f>+Tabla!A107</f>
        <v/>
      </c>
      <c r="N105" s="43" t="str">
        <f>Tabla!AI107</f>
        <v/>
      </c>
      <c r="O105" s="41" t="str">
        <f>IF(Tabla!A107="","",(N105/((1+$O$9)^(CAT!$M105/Pagos_por_año))))</f>
        <v/>
      </c>
      <c r="P105" s="52"/>
      <c r="Q105" s="52"/>
    </row>
    <row r="106" spans="1:17" x14ac:dyDescent="0.2">
      <c r="A106" s="40" t="str">
        <f>+Tabla!A108</f>
        <v/>
      </c>
      <c r="B106" s="43" t="str">
        <f>+Tabla!AK108</f>
        <v/>
      </c>
      <c r="C106" s="41" t="str">
        <f>IF(Tabla!A108="","",(B106/((1+$C$9)^($A106/Parámetros!$D$6))))</f>
        <v/>
      </c>
      <c r="D106" s="42"/>
      <c r="E106" s="40" t="str">
        <f>+Tabla!A108</f>
        <v/>
      </c>
      <c r="F106" s="43" t="str">
        <f>Tabla!AL108</f>
        <v/>
      </c>
      <c r="G106" s="41" t="str">
        <f>IF(Tabla!A108="","",(F106/((1+$G$9)^(CAT!$E106/Pagos_por_año))))</f>
        <v/>
      </c>
      <c r="H106" s="41"/>
      <c r="I106" s="40" t="str">
        <f>+Tabla!A108</f>
        <v/>
      </c>
      <c r="J106" s="43" t="str">
        <f>+Tabla!AA108</f>
        <v/>
      </c>
      <c r="K106" s="41" t="str">
        <f>IF(Tabla!A108="","",(J106/((1+$K$9)^($I106/Parámetros!$D$6))))</f>
        <v/>
      </c>
      <c r="L106" s="42"/>
      <c r="M106" s="40" t="str">
        <f>+Tabla!A108</f>
        <v/>
      </c>
      <c r="N106" s="43" t="str">
        <f>Tabla!AI108</f>
        <v/>
      </c>
      <c r="O106" s="41" t="str">
        <f>IF(Tabla!A108="","",(N106/((1+$O$9)^(CAT!$M106/Pagos_por_año))))</f>
        <v/>
      </c>
      <c r="P106" s="52"/>
      <c r="Q106" s="52"/>
    </row>
    <row r="107" spans="1:17" x14ac:dyDescent="0.2">
      <c r="A107" s="40" t="str">
        <f>+Tabla!A109</f>
        <v/>
      </c>
      <c r="B107" s="43" t="str">
        <f>+Tabla!AK109</f>
        <v/>
      </c>
      <c r="C107" s="41" t="str">
        <f>IF(Tabla!A109="","",(B107/((1+$C$9)^($A107/Parámetros!$D$6))))</f>
        <v/>
      </c>
      <c r="D107" s="42"/>
      <c r="E107" s="40" t="str">
        <f>+Tabla!A109</f>
        <v/>
      </c>
      <c r="F107" s="43" t="str">
        <f>Tabla!AL109</f>
        <v/>
      </c>
      <c r="G107" s="41" t="str">
        <f>IF(Tabla!A109="","",(F107/((1+$G$9)^(CAT!$E107/Pagos_por_año))))</f>
        <v/>
      </c>
      <c r="H107" s="41"/>
      <c r="I107" s="40" t="str">
        <f>+Tabla!A109</f>
        <v/>
      </c>
      <c r="J107" s="43" t="str">
        <f>+Tabla!AA109</f>
        <v/>
      </c>
      <c r="K107" s="41" t="str">
        <f>IF(Tabla!A109="","",(J107/((1+$K$9)^($I107/Parámetros!$D$6))))</f>
        <v/>
      </c>
      <c r="L107" s="42"/>
      <c r="M107" s="40" t="str">
        <f>+Tabla!A109</f>
        <v/>
      </c>
      <c r="N107" s="43" t="str">
        <f>Tabla!AI109</f>
        <v/>
      </c>
      <c r="O107" s="41" t="str">
        <f>IF(Tabla!A109="","",(N107/((1+$O$9)^(CAT!$M107/Pagos_por_año))))</f>
        <v/>
      </c>
      <c r="P107" s="52"/>
      <c r="Q107" s="52"/>
    </row>
    <row r="108" spans="1:17" x14ac:dyDescent="0.2">
      <c r="A108" s="40" t="str">
        <f>+Tabla!A110</f>
        <v/>
      </c>
      <c r="B108" s="43" t="str">
        <f>+Tabla!AK110</f>
        <v/>
      </c>
      <c r="C108" s="41" t="str">
        <f>IF(Tabla!A110="","",(B108/((1+$C$9)^($A108/Parámetros!$D$6))))</f>
        <v/>
      </c>
      <c r="D108" s="42"/>
      <c r="E108" s="40" t="str">
        <f>+Tabla!A110</f>
        <v/>
      </c>
      <c r="F108" s="43" t="str">
        <f>Tabla!AL110</f>
        <v/>
      </c>
      <c r="G108" s="41" t="str">
        <f>IF(Tabla!A110="","",(F108/((1+$G$9)^(CAT!$E108/Pagos_por_año))))</f>
        <v/>
      </c>
      <c r="H108" s="41"/>
      <c r="I108" s="40" t="str">
        <f>+Tabla!A110</f>
        <v/>
      </c>
      <c r="J108" s="43" t="str">
        <f>+Tabla!AA110</f>
        <v/>
      </c>
      <c r="K108" s="41" t="str">
        <f>IF(Tabla!A110="","",(J108/((1+$K$9)^($I108/Parámetros!$D$6))))</f>
        <v/>
      </c>
      <c r="L108" s="42"/>
      <c r="M108" s="40" t="str">
        <f>+Tabla!A110</f>
        <v/>
      </c>
      <c r="N108" s="43" t="str">
        <f>Tabla!AI110</f>
        <v/>
      </c>
      <c r="O108" s="41" t="str">
        <f>IF(Tabla!A110="","",(N108/((1+$O$9)^(CAT!$M108/Pagos_por_año))))</f>
        <v/>
      </c>
      <c r="P108" s="52"/>
      <c r="Q108" s="52"/>
    </row>
    <row r="109" spans="1:17" x14ac:dyDescent="0.2">
      <c r="A109" s="40" t="str">
        <f>+Tabla!A111</f>
        <v/>
      </c>
      <c r="B109" s="43" t="str">
        <f>+Tabla!AK111</f>
        <v/>
      </c>
      <c r="C109" s="41" t="str">
        <f>IF(Tabla!A111="","",(B109/((1+$C$9)^($A109/Parámetros!$D$6))))</f>
        <v/>
      </c>
      <c r="D109" s="42"/>
      <c r="E109" s="40" t="str">
        <f>+Tabla!A111</f>
        <v/>
      </c>
      <c r="F109" s="43" t="str">
        <f>Tabla!AL111</f>
        <v/>
      </c>
      <c r="G109" s="41" t="str">
        <f>IF(Tabla!A111="","",(F109/((1+$G$9)^(CAT!$E109/Pagos_por_año))))</f>
        <v/>
      </c>
      <c r="H109" s="41"/>
      <c r="I109" s="40" t="str">
        <f>+Tabla!A111</f>
        <v/>
      </c>
      <c r="J109" s="43" t="str">
        <f>+Tabla!AA111</f>
        <v/>
      </c>
      <c r="K109" s="41" t="str">
        <f>IF(Tabla!A111="","",(J109/((1+$K$9)^($I109/Parámetros!$D$6))))</f>
        <v/>
      </c>
      <c r="L109" s="42"/>
      <c r="M109" s="40" t="str">
        <f>+Tabla!A111</f>
        <v/>
      </c>
      <c r="N109" s="43" t="str">
        <f>Tabla!AI111</f>
        <v/>
      </c>
      <c r="O109" s="41" t="str">
        <f>IF(Tabla!A111="","",(N109/((1+$O$9)^(CAT!$M109/Pagos_por_año))))</f>
        <v/>
      </c>
      <c r="P109" s="52"/>
      <c r="Q109" s="52"/>
    </row>
    <row r="110" spans="1:17" x14ac:dyDescent="0.2">
      <c r="A110" s="40" t="str">
        <f>+Tabla!A112</f>
        <v/>
      </c>
      <c r="B110" s="43" t="str">
        <f>+Tabla!AK112</f>
        <v/>
      </c>
      <c r="C110" s="41" t="str">
        <f>IF(Tabla!A112="","",(B110/((1+$C$9)^($A110/Parámetros!$D$6))))</f>
        <v/>
      </c>
      <c r="D110" s="42"/>
      <c r="E110" s="40" t="str">
        <f>+Tabla!A112</f>
        <v/>
      </c>
      <c r="F110" s="43" t="str">
        <f>Tabla!AL112</f>
        <v/>
      </c>
      <c r="G110" s="41" t="str">
        <f>IF(Tabla!A112="","",(F110/((1+$G$9)^(CAT!$E110/Pagos_por_año))))</f>
        <v/>
      </c>
      <c r="H110" s="41"/>
      <c r="I110" s="40" t="str">
        <f>+Tabla!A112</f>
        <v/>
      </c>
      <c r="J110" s="43" t="str">
        <f>+Tabla!AA112</f>
        <v/>
      </c>
      <c r="K110" s="41" t="str">
        <f>IF(Tabla!A112="","",(J110/((1+$K$9)^($I110/Parámetros!$D$6))))</f>
        <v/>
      </c>
      <c r="L110" s="42"/>
      <c r="M110" s="40" t="str">
        <f>+Tabla!A112</f>
        <v/>
      </c>
      <c r="N110" s="43" t="str">
        <f>Tabla!AI112</f>
        <v/>
      </c>
      <c r="O110" s="41" t="str">
        <f>IF(Tabla!A112="","",(N110/((1+$O$9)^(CAT!$M110/Pagos_por_año))))</f>
        <v/>
      </c>
      <c r="P110" s="52"/>
      <c r="Q110" s="52"/>
    </row>
    <row r="111" spans="1:17" x14ac:dyDescent="0.2">
      <c r="A111" s="40" t="str">
        <f>+Tabla!A113</f>
        <v/>
      </c>
      <c r="B111" s="43" t="str">
        <f>+Tabla!AK113</f>
        <v/>
      </c>
      <c r="C111" s="41" t="str">
        <f>IF(Tabla!A113="","",(B111/((1+$C$9)^($A111/Parámetros!$D$6))))</f>
        <v/>
      </c>
      <c r="D111" s="42"/>
      <c r="E111" s="40" t="str">
        <f>+Tabla!A113</f>
        <v/>
      </c>
      <c r="F111" s="43" t="str">
        <f>Tabla!AL113</f>
        <v/>
      </c>
      <c r="G111" s="41" t="str">
        <f>IF(Tabla!A113="","",(F111/((1+$G$9)^(CAT!$E111/Pagos_por_año))))</f>
        <v/>
      </c>
      <c r="H111" s="41"/>
      <c r="I111" s="40" t="str">
        <f>+Tabla!A113</f>
        <v/>
      </c>
      <c r="J111" s="43" t="str">
        <f>+Tabla!AA113</f>
        <v/>
      </c>
      <c r="K111" s="41" t="str">
        <f>IF(Tabla!A113="","",(J111/((1+$K$9)^($I111/Parámetros!$D$6))))</f>
        <v/>
      </c>
      <c r="L111" s="42"/>
      <c r="M111" s="40" t="str">
        <f>+Tabla!A113</f>
        <v/>
      </c>
      <c r="N111" s="43" t="str">
        <f>Tabla!AI113</f>
        <v/>
      </c>
      <c r="O111" s="41" t="str">
        <f>IF(Tabla!A113="","",(N111/((1+$O$9)^(CAT!$M111/Pagos_por_año))))</f>
        <v/>
      </c>
      <c r="P111" s="52"/>
      <c r="Q111" s="52"/>
    </row>
    <row r="112" spans="1:17" x14ac:dyDescent="0.2">
      <c r="A112" s="40" t="str">
        <f>+Tabla!A114</f>
        <v/>
      </c>
      <c r="B112" s="43" t="str">
        <f>+Tabla!AK114</f>
        <v/>
      </c>
      <c r="C112" s="41" t="str">
        <f>IF(Tabla!A114="","",(B112/((1+$C$9)^($A112/Parámetros!$D$6))))</f>
        <v/>
      </c>
      <c r="D112" s="42"/>
      <c r="E112" s="40" t="str">
        <f>+Tabla!A114</f>
        <v/>
      </c>
      <c r="F112" s="43" t="str">
        <f>Tabla!AL114</f>
        <v/>
      </c>
      <c r="G112" s="41" t="str">
        <f>IF(Tabla!A114="","",(F112/((1+$G$9)^(CAT!$E112/Pagos_por_año))))</f>
        <v/>
      </c>
      <c r="H112" s="41"/>
      <c r="I112" s="40" t="str">
        <f>+Tabla!A114</f>
        <v/>
      </c>
      <c r="J112" s="43" t="str">
        <f>+Tabla!AA114</f>
        <v/>
      </c>
      <c r="K112" s="41" t="str">
        <f>IF(Tabla!A114="","",(J112/((1+$K$9)^($I112/Parámetros!$D$6))))</f>
        <v/>
      </c>
      <c r="L112" s="42"/>
      <c r="M112" s="40" t="str">
        <f>+Tabla!A114</f>
        <v/>
      </c>
      <c r="N112" s="43" t="str">
        <f>Tabla!AI114</f>
        <v/>
      </c>
      <c r="O112" s="41" t="str">
        <f>IF(Tabla!A114="","",(N112/((1+$O$9)^(CAT!$M112/Pagos_por_año))))</f>
        <v/>
      </c>
      <c r="P112" s="52"/>
      <c r="Q112" s="52"/>
    </row>
    <row r="113" spans="1:17" x14ac:dyDescent="0.2">
      <c r="A113" s="40" t="str">
        <f>+Tabla!A115</f>
        <v/>
      </c>
      <c r="B113" s="43" t="str">
        <f>+Tabla!AK115</f>
        <v/>
      </c>
      <c r="C113" s="41" t="str">
        <f>IF(Tabla!A115="","",(B113/((1+$C$9)^($A113/Parámetros!$D$6))))</f>
        <v/>
      </c>
      <c r="D113" s="42"/>
      <c r="E113" s="40" t="str">
        <f>+Tabla!A115</f>
        <v/>
      </c>
      <c r="F113" s="43" t="str">
        <f>Tabla!AL115</f>
        <v/>
      </c>
      <c r="G113" s="41" t="str">
        <f>IF(Tabla!A115="","",(F113/((1+$G$9)^(CAT!$E113/Pagos_por_año))))</f>
        <v/>
      </c>
      <c r="H113" s="41"/>
      <c r="I113" s="40" t="str">
        <f>+Tabla!A115</f>
        <v/>
      </c>
      <c r="J113" s="43" t="str">
        <f>+Tabla!AA115</f>
        <v/>
      </c>
      <c r="K113" s="41" t="str">
        <f>IF(Tabla!A115="","",(J113/((1+$K$9)^($I113/Parámetros!$D$6))))</f>
        <v/>
      </c>
      <c r="L113" s="42"/>
      <c r="M113" s="40" t="str">
        <f>+Tabla!A115</f>
        <v/>
      </c>
      <c r="N113" s="43" t="str">
        <f>Tabla!AI115</f>
        <v/>
      </c>
      <c r="O113" s="41" t="str">
        <f>IF(Tabla!A115="","",(N113/((1+$O$9)^(CAT!$M113/Pagos_por_año))))</f>
        <v/>
      </c>
      <c r="P113" s="52"/>
      <c r="Q113" s="52"/>
    </row>
    <row r="114" spans="1:17" x14ac:dyDescent="0.2">
      <c r="A114" s="40" t="str">
        <f>+Tabla!A116</f>
        <v/>
      </c>
      <c r="B114" s="43" t="str">
        <f>+Tabla!AK116</f>
        <v/>
      </c>
      <c r="C114" s="41" t="str">
        <f>IF(Tabla!A116="","",(B114/((1+$C$9)^($A114/Parámetros!$D$6))))</f>
        <v/>
      </c>
      <c r="D114" s="42"/>
      <c r="E114" s="40" t="str">
        <f>+Tabla!A116</f>
        <v/>
      </c>
      <c r="F114" s="43" t="str">
        <f>Tabla!AL116</f>
        <v/>
      </c>
      <c r="G114" s="41" t="str">
        <f>IF(Tabla!A116="","",(F114/((1+$G$9)^(CAT!$E114/Pagos_por_año))))</f>
        <v/>
      </c>
      <c r="H114" s="41"/>
      <c r="I114" s="40" t="str">
        <f>+Tabla!A116</f>
        <v/>
      </c>
      <c r="J114" s="43" t="str">
        <f>+Tabla!AA116</f>
        <v/>
      </c>
      <c r="K114" s="41" t="str">
        <f>IF(Tabla!A116="","",(J114/((1+$K$9)^($I114/Parámetros!$D$6))))</f>
        <v/>
      </c>
      <c r="L114" s="42"/>
      <c r="M114" s="40" t="str">
        <f>+Tabla!A116</f>
        <v/>
      </c>
      <c r="N114" s="43" t="str">
        <f>Tabla!AI116</f>
        <v/>
      </c>
      <c r="O114" s="41" t="str">
        <f>IF(Tabla!A116="","",(N114/((1+$O$9)^(CAT!$M114/Pagos_por_año))))</f>
        <v/>
      </c>
      <c r="P114" s="52"/>
      <c r="Q114" s="52"/>
    </row>
    <row r="115" spans="1:17" x14ac:dyDescent="0.2">
      <c r="A115" s="40" t="str">
        <f>+Tabla!A117</f>
        <v/>
      </c>
      <c r="B115" s="43" t="str">
        <f>+Tabla!AK117</f>
        <v/>
      </c>
      <c r="C115" s="41" t="str">
        <f>IF(Tabla!A117="","",(B115/((1+$C$9)^($A115/Parámetros!$D$6))))</f>
        <v/>
      </c>
      <c r="D115" s="42"/>
      <c r="E115" s="40" t="str">
        <f>+Tabla!A117</f>
        <v/>
      </c>
      <c r="F115" s="43" t="str">
        <f>Tabla!AL117</f>
        <v/>
      </c>
      <c r="G115" s="41" t="str">
        <f>IF(Tabla!A117="","",(F115/((1+$G$9)^(CAT!$E115/Pagos_por_año))))</f>
        <v/>
      </c>
      <c r="H115" s="41"/>
      <c r="I115" s="40" t="str">
        <f>+Tabla!A117</f>
        <v/>
      </c>
      <c r="J115" s="43" t="str">
        <f>+Tabla!AA117</f>
        <v/>
      </c>
      <c r="K115" s="41" t="str">
        <f>IF(Tabla!A117="","",(J115/((1+$K$9)^($I115/Parámetros!$D$6))))</f>
        <v/>
      </c>
      <c r="L115" s="42"/>
      <c r="M115" s="40" t="str">
        <f>+Tabla!A117</f>
        <v/>
      </c>
      <c r="N115" s="43" t="str">
        <f>Tabla!AI117</f>
        <v/>
      </c>
      <c r="O115" s="41" t="str">
        <f>IF(Tabla!A117="","",(N115/((1+$O$9)^(CAT!$M115/Pagos_por_año))))</f>
        <v/>
      </c>
      <c r="P115" s="52"/>
      <c r="Q115" s="52"/>
    </row>
    <row r="116" spans="1:17" x14ac:dyDescent="0.2">
      <c r="A116" s="40" t="str">
        <f>+Tabla!A118</f>
        <v/>
      </c>
      <c r="B116" s="43" t="str">
        <f>+Tabla!AK118</f>
        <v/>
      </c>
      <c r="C116" s="41" t="str">
        <f>IF(Tabla!A118="","",(B116/((1+$C$9)^($A116/Parámetros!$D$6))))</f>
        <v/>
      </c>
      <c r="D116" s="42"/>
      <c r="E116" s="40" t="str">
        <f>+Tabla!A118</f>
        <v/>
      </c>
      <c r="F116" s="43" t="str">
        <f>Tabla!AL118</f>
        <v/>
      </c>
      <c r="G116" s="41" t="str">
        <f>IF(Tabla!A118="","",(F116/((1+$G$9)^(CAT!$E116/Pagos_por_año))))</f>
        <v/>
      </c>
      <c r="H116" s="41"/>
      <c r="I116" s="40" t="str">
        <f>+Tabla!A118</f>
        <v/>
      </c>
      <c r="J116" s="43" t="str">
        <f>+Tabla!AA118</f>
        <v/>
      </c>
      <c r="K116" s="41" t="str">
        <f>IF(Tabla!A118="","",(J116/((1+$K$9)^($I116/Parámetros!$D$6))))</f>
        <v/>
      </c>
      <c r="L116" s="42"/>
      <c r="M116" s="40" t="str">
        <f>+Tabla!A118</f>
        <v/>
      </c>
      <c r="N116" s="43" t="str">
        <f>Tabla!AI118</f>
        <v/>
      </c>
      <c r="O116" s="41" t="str">
        <f>IF(Tabla!A118="","",(N116/((1+$O$9)^(CAT!$M116/Pagos_por_año))))</f>
        <v/>
      </c>
      <c r="P116" s="52"/>
      <c r="Q116" s="52"/>
    </row>
    <row r="117" spans="1:17" x14ac:dyDescent="0.2">
      <c r="A117" s="40" t="str">
        <f>+Tabla!A119</f>
        <v/>
      </c>
      <c r="B117" s="43" t="str">
        <f>+Tabla!AK119</f>
        <v/>
      </c>
      <c r="C117" s="41" t="str">
        <f>IF(Tabla!A119="","",(B117/((1+$C$9)^($A117/Parámetros!$D$6))))</f>
        <v/>
      </c>
      <c r="D117" s="42"/>
      <c r="E117" s="40" t="str">
        <f>+Tabla!A119</f>
        <v/>
      </c>
      <c r="F117" s="43" t="str">
        <f>Tabla!AL119</f>
        <v/>
      </c>
      <c r="G117" s="41" t="str">
        <f>IF(Tabla!A119="","",(F117/((1+$G$9)^(CAT!$E117/Pagos_por_año))))</f>
        <v/>
      </c>
      <c r="H117" s="41"/>
      <c r="I117" s="40" t="str">
        <f>+Tabla!A119</f>
        <v/>
      </c>
      <c r="J117" s="43" t="str">
        <f>+Tabla!AA119</f>
        <v/>
      </c>
      <c r="K117" s="41" t="str">
        <f>IF(Tabla!A119="","",(J117/((1+$K$9)^($I117/Parámetros!$D$6))))</f>
        <v/>
      </c>
      <c r="L117" s="42"/>
      <c r="M117" s="40" t="str">
        <f>+Tabla!A119</f>
        <v/>
      </c>
      <c r="N117" s="43" t="str">
        <f>Tabla!AI119</f>
        <v/>
      </c>
      <c r="O117" s="41" t="str">
        <f>IF(Tabla!A119="","",(N117/((1+$O$9)^(CAT!$M117/Pagos_por_año))))</f>
        <v/>
      </c>
      <c r="P117" s="52"/>
      <c r="Q117" s="52"/>
    </row>
    <row r="118" spans="1:17" x14ac:dyDescent="0.2">
      <c r="A118" s="40" t="str">
        <f>+Tabla!A120</f>
        <v/>
      </c>
      <c r="B118" s="43" t="str">
        <f>+Tabla!AK120</f>
        <v/>
      </c>
      <c r="C118" s="41" t="str">
        <f>IF(Tabla!A120="","",(B118/((1+$C$9)^($A118/Parámetros!$D$6))))</f>
        <v/>
      </c>
      <c r="D118" s="42"/>
      <c r="E118" s="40" t="str">
        <f>+Tabla!A120</f>
        <v/>
      </c>
      <c r="F118" s="43" t="str">
        <f>Tabla!AL120</f>
        <v/>
      </c>
      <c r="G118" s="41" t="str">
        <f>IF(Tabla!A120="","",(F118/((1+$G$9)^(CAT!$E118/Pagos_por_año))))</f>
        <v/>
      </c>
      <c r="H118" s="41"/>
      <c r="I118" s="40" t="str">
        <f>+Tabla!A120</f>
        <v/>
      </c>
      <c r="J118" s="43" t="str">
        <f>+Tabla!AA120</f>
        <v/>
      </c>
      <c r="K118" s="41" t="str">
        <f>IF(Tabla!A120="","",(J118/((1+$K$9)^($I118/Parámetros!$D$6))))</f>
        <v/>
      </c>
      <c r="L118" s="42"/>
      <c r="M118" s="40" t="str">
        <f>+Tabla!A120</f>
        <v/>
      </c>
      <c r="N118" s="43" t="str">
        <f>Tabla!AI120</f>
        <v/>
      </c>
      <c r="O118" s="41" t="str">
        <f>IF(Tabla!A120="","",(N118/((1+$O$9)^(CAT!$M118/Pagos_por_año))))</f>
        <v/>
      </c>
      <c r="P118" s="52"/>
      <c r="Q118" s="52"/>
    </row>
    <row r="119" spans="1:17" x14ac:dyDescent="0.2">
      <c r="A119" s="40" t="str">
        <f>+Tabla!A121</f>
        <v/>
      </c>
      <c r="B119" s="43" t="str">
        <f>+Tabla!AK121</f>
        <v/>
      </c>
      <c r="C119" s="41" t="str">
        <f>IF(Tabla!A121="","",(B119/((1+$C$9)^($A119/Parámetros!$D$6))))</f>
        <v/>
      </c>
      <c r="D119" s="42"/>
      <c r="E119" s="40" t="str">
        <f>+Tabla!A121</f>
        <v/>
      </c>
      <c r="F119" s="43" t="str">
        <f>Tabla!AL121</f>
        <v/>
      </c>
      <c r="G119" s="41" t="str">
        <f>IF(Tabla!A121="","",(F119/((1+$G$9)^(CAT!$E119/Pagos_por_año))))</f>
        <v/>
      </c>
      <c r="H119" s="41"/>
      <c r="I119" s="40" t="str">
        <f>+Tabla!A121</f>
        <v/>
      </c>
      <c r="J119" s="43" t="str">
        <f>+Tabla!AA121</f>
        <v/>
      </c>
      <c r="K119" s="41" t="str">
        <f>IF(Tabla!A121="","",(J119/((1+$K$9)^($I119/Parámetros!$D$6))))</f>
        <v/>
      </c>
      <c r="L119" s="42"/>
      <c r="M119" s="40" t="str">
        <f>+Tabla!A121</f>
        <v/>
      </c>
      <c r="N119" s="43" t="str">
        <f>Tabla!AI121</f>
        <v/>
      </c>
      <c r="O119" s="41" t="str">
        <f>IF(Tabla!A121="","",(N119/((1+$O$9)^(CAT!$M119/Pagos_por_año))))</f>
        <v/>
      </c>
      <c r="P119" s="52"/>
      <c r="Q119" s="52"/>
    </row>
    <row r="120" spans="1:17" x14ac:dyDescent="0.2">
      <c r="A120" s="40" t="str">
        <f>+Tabla!A122</f>
        <v/>
      </c>
      <c r="B120" s="43" t="str">
        <f>+Tabla!AK122</f>
        <v/>
      </c>
      <c r="C120" s="41" t="str">
        <f>IF(Tabla!A122="","",(B120/((1+$C$9)^($A120/Parámetros!$D$6))))</f>
        <v/>
      </c>
      <c r="D120" s="42"/>
      <c r="E120" s="40" t="str">
        <f>+Tabla!A122</f>
        <v/>
      </c>
      <c r="F120" s="43" t="str">
        <f>Tabla!AL122</f>
        <v/>
      </c>
      <c r="G120" s="41" t="str">
        <f>IF(Tabla!A122="","",(F120/((1+$G$9)^(CAT!$E120/Pagos_por_año))))</f>
        <v/>
      </c>
      <c r="H120" s="41"/>
      <c r="I120" s="40" t="str">
        <f>+Tabla!A122</f>
        <v/>
      </c>
      <c r="J120" s="43" t="str">
        <f>+Tabla!AA122</f>
        <v/>
      </c>
      <c r="K120" s="41" t="str">
        <f>IF(Tabla!A122="","",(J120/((1+$K$9)^($I120/Parámetros!$D$6))))</f>
        <v/>
      </c>
      <c r="L120" s="42"/>
      <c r="M120" s="40" t="str">
        <f>+Tabla!A122</f>
        <v/>
      </c>
      <c r="N120" s="43" t="str">
        <f>Tabla!AI122</f>
        <v/>
      </c>
      <c r="O120" s="41" t="str">
        <f>IF(Tabla!A122="","",(N120/((1+$O$9)^(CAT!$M120/Pagos_por_año))))</f>
        <v/>
      </c>
      <c r="P120" s="52"/>
      <c r="Q120" s="52"/>
    </row>
    <row r="121" spans="1:17" x14ac:dyDescent="0.2">
      <c r="A121" s="40" t="str">
        <f>+Tabla!A123</f>
        <v/>
      </c>
      <c r="B121" s="43" t="str">
        <f>+Tabla!AK123</f>
        <v/>
      </c>
      <c r="C121" s="41" t="str">
        <f>IF(Tabla!A123="","",(B121/((1+$C$9)^($A121/Parámetros!$D$6))))</f>
        <v/>
      </c>
      <c r="D121" s="42"/>
      <c r="E121" s="40" t="str">
        <f>+Tabla!A123</f>
        <v/>
      </c>
      <c r="F121" s="43" t="str">
        <f>Tabla!AL123</f>
        <v/>
      </c>
      <c r="G121" s="41" t="str">
        <f>IF(Tabla!A123="","",(F121/((1+$G$9)^(CAT!$E121/Pagos_por_año))))</f>
        <v/>
      </c>
      <c r="H121" s="41"/>
      <c r="I121" s="40" t="str">
        <f>+Tabla!A123</f>
        <v/>
      </c>
      <c r="J121" s="43" t="str">
        <f>+Tabla!AA123</f>
        <v/>
      </c>
      <c r="K121" s="41" t="str">
        <f>IF(Tabla!A123="","",(J121/((1+$K$9)^($I121/Parámetros!$D$6))))</f>
        <v/>
      </c>
      <c r="L121" s="42"/>
      <c r="M121" s="40" t="str">
        <f>+Tabla!A123</f>
        <v/>
      </c>
      <c r="N121" s="43" t="str">
        <f>Tabla!AI123</f>
        <v/>
      </c>
      <c r="O121" s="41" t="str">
        <f>IF(Tabla!A123="","",(N121/((1+$O$9)^(CAT!$M121/Pagos_por_año))))</f>
        <v/>
      </c>
      <c r="P121" s="52"/>
      <c r="Q121" s="52"/>
    </row>
    <row r="122" spans="1:17" x14ac:dyDescent="0.2">
      <c r="A122" s="40" t="str">
        <f>+Tabla!A124</f>
        <v/>
      </c>
      <c r="B122" s="43" t="str">
        <f>+Tabla!AK124</f>
        <v/>
      </c>
      <c r="C122" s="41" t="str">
        <f>IF(Tabla!A124="","",(B122/((1+$C$9)^($A122/Parámetros!$D$6))))</f>
        <v/>
      </c>
      <c r="D122" s="42"/>
      <c r="E122" s="40" t="str">
        <f>+Tabla!A124</f>
        <v/>
      </c>
      <c r="F122" s="43" t="str">
        <f>Tabla!AL124</f>
        <v/>
      </c>
      <c r="G122" s="41" t="str">
        <f>IF(Tabla!A124="","",(F122/((1+$G$9)^(CAT!$E122/Pagos_por_año))))</f>
        <v/>
      </c>
      <c r="H122" s="41"/>
      <c r="I122" s="40" t="str">
        <f>+Tabla!A124</f>
        <v/>
      </c>
      <c r="J122" s="43" t="str">
        <f>+Tabla!AA124</f>
        <v/>
      </c>
      <c r="K122" s="41" t="str">
        <f>IF(Tabla!A124="","",(J122/((1+$K$9)^($I122/Parámetros!$D$6))))</f>
        <v/>
      </c>
      <c r="L122" s="42"/>
      <c r="M122" s="40" t="str">
        <f>+Tabla!A124</f>
        <v/>
      </c>
      <c r="N122" s="43" t="str">
        <f>Tabla!AI124</f>
        <v/>
      </c>
      <c r="O122" s="41" t="str">
        <f>IF(Tabla!A124="","",(N122/((1+$O$9)^(CAT!$M122/Pagos_por_año))))</f>
        <v/>
      </c>
      <c r="P122" s="52"/>
      <c r="Q122" s="52"/>
    </row>
    <row r="123" spans="1:17" x14ac:dyDescent="0.2">
      <c r="A123" s="40" t="str">
        <f>+Tabla!A125</f>
        <v/>
      </c>
      <c r="B123" s="43" t="str">
        <f>+Tabla!AK125</f>
        <v/>
      </c>
      <c r="C123" s="41" t="str">
        <f>IF(Tabla!A125="","",(B123/((1+$C$9)^($A123/Parámetros!$D$6))))</f>
        <v/>
      </c>
      <c r="D123" s="42"/>
      <c r="E123" s="40" t="str">
        <f>+Tabla!A125</f>
        <v/>
      </c>
      <c r="F123" s="43" t="str">
        <f>Tabla!AL125</f>
        <v/>
      </c>
      <c r="G123" s="41" t="str">
        <f>IF(Tabla!A125="","",(F123/((1+$G$9)^(CAT!$E123/Pagos_por_año))))</f>
        <v/>
      </c>
      <c r="H123" s="41"/>
      <c r="I123" s="40" t="str">
        <f>+Tabla!A125</f>
        <v/>
      </c>
      <c r="J123" s="43" t="str">
        <f>+Tabla!AA125</f>
        <v/>
      </c>
      <c r="K123" s="41" t="str">
        <f>IF(Tabla!A125="","",(J123/((1+$K$9)^($I123/Parámetros!$D$6))))</f>
        <v/>
      </c>
      <c r="L123" s="42"/>
      <c r="M123" s="40" t="str">
        <f>+Tabla!A125</f>
        <v/>
      </c>
      <c r="N123" s="43" t="str">
        <f>Tabla!AI125</f>
        <v/>
      </c>
      <c r="O123" s="41" t="str">
        <f>IF(Tabla!A125="","",(N123/((1+$O$9)^(CAT!$M123/Pagos_por_año))))</f>
        <v/>
      </c>
      <c r="P123" s="52"/>
      <c r="Q123" s="52"/>
    </row>
    <row r="124" spans="1:17" x14ac:dyDescent="0.2">
      <c r="A124" s="40" t="str">
        <f>+Tabla!A126</f>
        <v/>
      </c>
      <c r="B124" s="43" t="str">
        <f>+Tabla!AK126</f>
        <v/>
      </c>
      <c r="C124" s="41" t="str">
        <f>IF(Tabla!A126="","",(B124/((1+$C$9)^($A124/Parámetros!$D$6))))</f>
        <v/>
      </c>
      <c r="D124" s="42"/>
      <c r="E124" s="40" t="str">
        <f>+Tabla!A126</f>
        <v/>
      </c>
      <c r="F124" s="43" t="str">
        <f>Tabla!AL126</f>
        <v/>
      </c>
      <c r="G124" s="41" t="str">
        <f>IF(Tabla!A126="","",(F124/((1+$G$9)^(CAT!$E124/Pagos_por_año))))</f>
        <v/>
      </c>
      <c r="H124" s="41"/>
      <c r="I124" s="40" t="str">
        <f>+Tabla!A126</f>
        <v/>
      </c>
      <c r="J124" s="43" t="str">
        <f>+Tabla!AA126</f>
        <v/>
      </c>
      <c r="K124" s="41" t="str">
        <f>IF(Tabla!A126="","",(J124/((1+$K$9)^($I124/Parámetros!$D$6))))</f>
        <v/>
      </c>
      <c r="L124" s="42"/>
      <c r="M124" s="40" t="str">
        <f>+Tabla!A126</f>
        <v/>
      </c>
      <c r="N124" s="43" t="str">
        <f>Tabla!AI126</f>
        <v/>
      </c>
      <c r="O124" s="41" t="str">
        <f>IF(Tabla!A126="","",(N124/((1+$O$9)^(CAT!$M124/Pagos_por_año))))</f>
        <v/>
      </c>
      <c r="P124" s="52"/>
      <c r="Q124" s="52"/>
    </row>
    <row r="125" spans="1:17" x14ac:dyDescent="0.2">
      <c r="A125" s="40" t="str">
        <f>+Tabla!A127</f>
        <v/>
      </c>
      <c r="B125" s="43" t="str">
        <f>+Tabla!AK127</f>
        <v/>
      </c>
      <c r="C125" s="41" t="str">
        <f>IF(Tabla!A127="","",(B125/((1+$C$9)^($A125/Parámetros!$D$6))))</f>
        <v/>
      </c>
      <c r="D125" s="42"/>
      <c r="E125" s="40" t="str">
        <f>+Tabla!A127</f>
        <v/>
      </c>
      <c r="F125" s="43" t="str">
        <f>Tabla!AL127</f>
        <v/>
      </c>
      <c r="G125" s="41" t="str">
        <f>IF(Tabla!A127="","",(F125/((1+$G$9)^(CAT!$E125/Pagos_por_año))))</f>
        <v/>
      </c>
      <c r="H125" s="41"/>
      <c r="I125" s="40" t="str">
        <f>+Tabla!A127</f>
        <v/>
      </c>
      <c r="J125" s="43" t="str">
        <f>+Tabla!AA127</f>
        <v/>
      </c>
      <c r="K125" s="41" t="str">
        <f>IF(Tabla!A127="","",(J125/((1+$K$9)^($I125/Parámetros!$D$6))))</f>
        <v/>
      </c>
      <c r="L125" s="42"/>
      <c r="M125" s="40" t="str">
        <f>+Tabla!A127</f>
        <v/>
      </c>
      <c r="N125" s="43" t="str">
        <f>Tabla!AI127</f>
        <v/>
      </c>
      <c r="O125" s="41" t="str">
        <f>IF(Tabla!A127="","",(N125/((1+$O$9)^(CAT!$M125/Pagos_por_año))))</f>
        <v/>
      </c>
      <c r="P125" s="52"/>
      <c r="Q125" s="52"/>
    </row>
    <row r="126" spans="1:17" x14ac:dyDescent="0.2">
      <c r="A126" s="40" t="str">
        <f>+Tabla!A128</f>
        <v/>
      </c>
      <c r="B126" s="43" t="str">
        <f>+Tabla!AK128</f>
        <v/>
      </c>
      <c r="C126" s="41" t="str">
        <f>IF(Tabla!A128="","",(B126/((1+$C$9)^($A126/Parámetros!$D$6))))</f>
        <v/>
      </c>
      <c r="D126" s="42"/>
      <c r="E126" s="40" t="str">
        <f>+Tabla!A128</f>
        <v/>
      </c>
      <c r="F126" s="43" t="str">
        <f>Tabla!AL128</f>
        <v/>
      </c>
      <c r="G126" s="41" t="str">
        <f>IF(Tabla!A128="","",(F126/((1+$G$9)^(CAT!$E126/Pagos_por_año))))</f>
        <v/>
      </c>
      <c r="H126" s="41"/>
      <c r="I126" s="40" t="str">
        <f>+Tabla!A128</f>
        <v/>
      </c>
      <c r="J126" s="43" t="str">
        <f>+Tabla!AA128</f>
        <v/>
      </c>
      <c r="K126" s="41" t="str">
        <f>IF(Tabla!A128="","",(J126/((1+$K$9)^($I126/Parámetros!$D$6))))</f>
        <v/>
      </c>
      <c r="L126" s="42"/>
      <c r="M126" s="40" t="str">
        <f>+Tabla!A128</f>
        <v/>
      </c>
      <c r="N126" s="43" t="str">
        <f>Tabla!AI128</f>
        <v/>
      </c>
      <c r="O126" s="41" t="str">
        <f>IF(Tabla!A128="","",(N126/((1+$O$9)^(CAT!$M126/Pagos_por_año))))</f>
        <v/>
      </c>
      <c r="P126" s="52"/>
      <c r="Q126" s="52"/>
    </row>
    <row r="127" spans="1:17" x14ac:dyDescent="0.2">
      <c r="A127" s="40" t="str">
        <f>+Tabla!A129</f>
        <v/>
      </c>
      <c r="B127" s="43" t="str">
        <f>+Tabla!AK129</f>
        <v/>
      </c>
      <c r="C127" s="41" t="str">
        <f>IF(Tabla!A129="","",(B127/((1+$C$9)^($A127/Parámetros!$D$6))))</f>
        <v/>
      </c>
      <c r="D127" s="42"/>
      <c r="E127" s="40" t="str">
        <f>+Tabla!A129</f>
        <v/>
      </c>
      <c r="F127" s="43" t="str">
        <f>Tabla!AL129</f>
        <v/>
      </c>
      <c r="G127" s="41" t="str">
        <f>IF(Tabla!A129="","",(F127/((1+$G$9)^(CAT!$E127/Pagos_por_año))))</f>
        <v/>
      </c>
      <c r="H127" s="41"/>
      <c r="I127" s="40" t="str">
        <f>+Tabla!A129</f>
        <v/>
      </c>
      <c r="J127" s="43" t="str">
        <f>+Tabla!AA129</f>
        <v/>
      </c>
      <c r="K127" s="41" t="str">
        <f>IF(Tabla!A129="","",(J127/((1+$K$9)^($I127/Parámetros!$D$6))))</f>
        <v/>
      </c>
      <c r="L127" s="42"/>
      <c r="M127" s="40" t="str">
        <f>+Tabla!A129</f>
        <v/>
      </c>
      <c r="N127" s="43" t="str">
        <f>Tabla!AI129</f>
        <v/>
      </c>
      <c r="O127" s="41" t="str">
        <f>IF(Tabla!A129="","",(N127/((1+$O$9)^(CAT!$M127/Pagos_por_año))))</f>
        <v/>
      </c>
      <c r="P127" s="52"/>
      <c r="Q127" s="52"/>
    </row>
    <row r="128" spans="1:17" x14ac:dyDescent="0.2">
      <c r="A128" s="40" t="str">
        <f>+Tabla!A130</f>
        <v/>
      </c>
      <c r="B128" s="43" t="str">
        <f>+Tabla!AK130</f>
        <v/>
      </c>
      <c r="C128" s="41" t="str">
        <f>IF(Tabla!A130="","",(B128/((1+$C$9)^($A128/Parámetros!$D$6))))</f>
        <v/>
      </c>
      <c r="D128" s="42"/>
      <c r="E128" s="40" t="str">
        <f>+Tabla!A130</f>
        <v/>
      </c>
      <c r="F128" s="43" t="str">
        <f>Tabla!AL130</f>
        <v/>
      </c>
      <c r="G128" s="41" t="str">
        <f>IF(Tabla!A130="","",(F128/((1+$G$9)^(CAT!$E128/Pagos_por_año))))</f>
        <v/>
      </c>
      <c r="H128" s="41"/>
      <c r="I128" s="40" t="str">
        <f>+Tabla!A130</f>
        <v/>
      </c>
      <c r="J128" s="43" t="str">
        <f>+Tabla!AA130</f>
        <v/>
      </c>
      <c r="K128" s="41" t="str">
        <f>IF(Tabla!A130="","",(J128/((1+$K$9)^($I128/Parámetros!$D$6))))</f>
        <v/>
      </c>
      <c r="L128" s="42"/>
      <c r="M128" s="40" t="str">
        <f>+Tabla!A130</f>
        <v/>
      </c>
      <c r="N128" s="43" t="str">
        <f>Tabla!AI130</f>
        <v/>
      </c>
      <c r="O128" s="41" t="str">
        <f>IF(Tabla!A130="","",(N128/((1+$O$9)^(CAT!$M128/Pagos_por_año))))</f>
        <v/>
      </c>
      <c r="P128" s="52"/>
      <c r="Q128" s="52"/>
    </row>
    <row r="129" spans="1:17" x14ac:dyDescent="0.2">
      <c r="A129" s="40" t="str">
        <f>+Tabla!A131</f>
        <v/>
      </c>
      <c r="B129" s="43" t="str">
        <f>+Tabla!AK131</f>
        <v/>
      </c>
      <c r="C129" s="41" t="str">
        <f>IF(Tabla!A131="","",(B129/((1+$C$9)^($A129/Parámetros!$D$6))))</f>
        <v/>
      </c>
      <c r="D129" s="42"/>
      <c r="E129" s="40" t="str">
        <f>+Tabla!A131</f>
        <v/>
      </c>
      <c r="F129" s="43" t="str">
        <f>Tabla!AL131</f>
        <v/>
      </c>
      <c r="G129" s="41" t="str">
        <f>IF(Tabla!A131="","",(F129/((1+$G$9)^(CAT!$E129/Pagos_por_año))))</f>
        <v/>
      </c>
      <c r="H129" s="41"/>
      <c r="I129" s="40" t="str">
        <f>+Tabla!A131</f>
        <v/>
      </c>
      <c r="J129" s="43" t="str">
        <f>+Tabla!AA131</f>
        <v/>
      </c>
      <c r="K129" s="41" t="str">
        <f>IF(Tabla!A131="","",(J129/((1+$K$9)^($I129/Parámetros!$D$6))))</f>
        <v/>
      </c>
      <c r="L129" s="42"/>
      <c r="M129" s="40" t="str">
        <f>+Tabla!A131</f>
        <v/>
      </c>
      <c r="N129" s="43" t="str">
        <f>Tabla!AI131</f>
        <v/>
      </c>
      <c r="O129" s="41" t="str">
        <f>IF(Tabla!A131="","",(N129/((1+$O$9)^(CAT!$M129/Pagos_por_año))))</f>
        <v/>
      </c>
      <c r="P129" s="52"/>
      <c r="Q129" s="52"/>
    </row>
    <row r="130" spans="1:17" x14ac:dyDescent="0.2">
      <c r="A130" s="40" t="str">
        <f>+Tabla!A132</f>
        <v/>
      </c>
      <c r="B130" s="43" t="str">
        <f>+Tabla!AK132</f>
        <v/>
      </c>
      <c r="C130" s="41" t="str">
        <f>IF(Tabla!A132="","",(B130/((1+$C$9)^($A130/Parámetros!$D$6))))</f>
        <v/>
      </c>
      <c r="D130" s="42"/>
      <c r="E130" s="40" t="str">
        <f>+Tabla!A132</f>
        <v/>
      </c>
      <c r="F130" s="43" t="str">
        <f>Tabla!AL132</f>
        <v/>
      </c>
      <c r="G130" s="41" t="str">
        <f>IF(Tabla!A132="","",(F130/((1+$G$9)^(CAT!$E130/Pagos_por_año))))</f>
        <v/>
      </c>
      <c r="H130" s="41"/>
      <c r="I130" s="40" t="str">
        <f>+Tabla!A132</f>
        <v/>
      </c>
      <c r="J130" s="43" t="str">
        <f>+Tabla!AA132</f>
        <v/>
      </c>
      <c r="K130" s="41" t="str">
        <f>IF(Tabla!A132="","",(J130/((1+$K$9)^($I130/Parámetros!$D$6))))</f>
        <v/>
      </c>
      <c r="L130" s="42"/>
      <c r="M130" s="40" t="str">
        <f>+Tabla!A132</f>
        <v/>
      </c>
      <c r="N130" s="43" t="str">
        <f>Tabla!AI132</f>
        <v/>
      </c>
      <c r="O130" s="41" t="str">
        <f>IF(Tabla!A132="","",(N130/((1+$O$9)^(CAT!$M130/Pagos_por_año))))</f>
        <v/>
      </c>
      <c r="P130" s="52"/>
      <c r="Q130" s="52"/>
    </row>
    <row r="131" spans="1:17" x14ac:dyDescent="0.2">
      <c r="A131" s="40" t="str">
        <f>+Tabla!A133</f>
        <v/>
      </c>
      <c r="B131" s="43" t="str">
        <f>+Tabla!AK133</f>
        <v/>
      </c>
      <c r="C131" s="41" t="str">
        <f>IF(Tabla!A133="","",(B131/((1+$C$9)^($A131/Parámetros!$D$6))))</f>
        <v/>
      </c>
      <c r="D131" s="42"/>
      <c r="E131" s="40" t="str">
        <f>+Tabla!A133</f>
        <v/>
      </c>
      <c r="F131" s="43" t="str">
        <f>Tabla!AL133</f>
        <v/>
      </c>
      <c r="G131" s="41" t="str">
        <f>IF(Tabla!A133="","",(F131/((1+$G$9)^(CAT!$E131/Pagos_por_año))))</f>
        <v/>
      </c>
      <c r="H131" s="41"/>
      <c r="I131" s="40" t="str">
        <f>+Tabla!A133</f>
        <v/>
      </c>
      <c r="J131" s="43" t="str">
        <f>+Tabla!AA133</f>
        <v/>
      </c>
      <c r="K131" s="41" t="str">
        <f>IF(Tabla!A133="","",(J131/((1+$K$9)^($I131/Parámetros!$D$6))))</f>
        <v/>
      </c>
      <c r="L131" s="42"/>
      <c r="M131" s="40" t="str">
        <f>+Tabla!A133</f>
        <v/>
      </c>
      <c r="N131" s="43" t="str">
        <f>Tabla!AI133</f>
        <v/>
      </c>
      <c r="O131" s="41" t="str">
        <f>IF(Tabla!A133="","",(N131/((1+$O$9)^(CAT!$M131/Pagos_por_año))))</f>
        <v/>
      </c>
      <c r="P131" s="52"/>
      <c r="Q131" s="52"/>
    </row>
    <row r="132" spans="1:17" x14ac:dyDescent="0.2">
      <c r="A132" s="40" t="str">
        <f>+Tabla!A134</f>
        <v/>
      </c>
      <c r="B132" s="43" t="str">
        <f>+Tabla!AK134</f>
        <v/>
      </c>
      <c r="C132" s="41" t="str">
        <f>IF(Tabla!A134="","",(B132/((1+$C$9)^($A132/Parámetros!$D$6))))</f>
        <v/>
      </c>
      <c r="D132" s="42"/>
      <c r="E132" s="40" t="str">
        <f>+Tabla!A134</f>
        <v/>
      </c>
      <c r="F132" s="43" t="str">
        <f>Tabla!AL134</f>
        <v/>
      </c>
      <c r="G132" s="41" t="str">
        <f>IF(Tabla!A134="","",(F132/((1+$G$9)^(CAT!$E132/Pagos_por_año))))</f>
        <v/>
      </c>
      <c r="H132" s="41"/>
      <c r="I132" s="40" t="str">
        <f>+Tabla!A134</f>
        <v/>
      </c>
      <c r="J132" s="43" t="str">
        <f>+Tabla!AA134</f>
        <v/>
      </c>
      <c r="K132" s="41" t="str">
        <f>IF(Tabla!A134="","",(J132/((1+$K$9)^($I132/Parámetros!$D$6))))</f>
        <v/>
      </c>
      <c r="L132" s="42"/>
      <c r="M132" s="40" t="str">
        <f>+Tabla!A134</f>
        <v/>
      </c>
      <c r="N132" s="43" t="str">
        <f>Tabla!AI134</f>
        <v/>
      </c>
      <c r="O132" s="41" t="str">
        <f>IF(Tabla!A134="","",(N132/((1+$O$9)^(CAT!$M132/Pagos_por_año))))</f>
        <v/>
      </c>
      <c r="P132" s="52"/>
      <c r="Q132" s="52"/>
    </row>
    <row r="133" spans="1:17" x14ac:dyDescent="0.2">
      <c r="A133" s="40" t="str">
        <f>+Tabla!A135</f>
        <v/>
      </c>
      <c r="B133" s="43" t="str">
        <f>+Tabla!AK135</f>
        <v/>
      </c>
      <c r="C133" s="41" t="str">
        <f>IF(Tabla!A135="","",(B133/((1+$C$9)^($A133/Parámetros!$D$6))))</f>
        <v/>
      </c>
      <c r="D133" s="42"/>
      <c r="E133" s="40" t="str">
        <f>+Tabla!A135</f>
        <v/>
      </c>
      <c r="F133" s="43" t="str">
        <f>Tabla!AL135</f>
        <v/>
      </c>
      <c r="G133" s="41" t="str">
        <f>IF(Tabla!A135="","",(F133/((1+$G$9)^(CAT!$E133/Pagos_por_año))))</f>
        <v/>
      </c>
      <c r="H133" s="41"/>
      <c r="I133" s="40" t="str">
        <f>+Tabla!A135</f>
        <v/>
      </c>
      <c r="J133" s="43" t="str">
        <f>+Tabla!AA135</f>
        <v/>
      </c>
      <c r="K133" s="41" t="str">
        <f>IF(Tabla!A135="","",(J133/((1+$K$9)^($I133/Parámetros!$D$6))))</f>
        <v/>
      </c>
      <c r="L133" s="42"/>
      <c r="M133" s="40" t="str">
        <f>+Tabla!A135</f>
        <v/>
      </c>
      <c r="N133" s="43" t="str">
        <f>Tabla!AI135</f>
        <v/>
      </c>
      <c r="O133" s="41" t="str">
        <f>IF(Tabla!A135="","",(N133/((1+$O$9)^(CAT!$M133/Pagos_por_año))))</f>
        <v/>
      </c>
      <c r="P133" s="52"/>
      <c r="Q133" s="52"/>
    </row>
    <row r="134" spans="1:17" x14ac:dyDescent="0.2">
      <c r="A134" s="40" t="str">
        <f>+Tabla!A136</f>
        <v/>
      </c>
      <c r="B134" s="43" t="str">
        <f>+Tabla!AK136</f>
        <v/>
      </c>
      <c r="C134" s="41" t="str">
        <f>IF(Tabla!A136="","",(B134/((1+$C$9)^($A134/Parámetros!$D$6))))</f>
        <v/>
      </c>
      <c r="D134" s="42"/>
      <c r="E134" s="40" t="str">
        <f>+Tabla!A136</f>
        <v/>
      </c>
      <c r="F134" s="43" t="str">
        <f>Tabla!AL136</f>
        <v/>
      </c>
      <c r="G134" s="41" t="str">
        <f>IF(Tabla!A136="","",(F134/((1+$G$9)^(CAT!$E134/Pagos_por_año))))</f>
        <v/>
      </c>
      <c r="H134" s="41"/>
      <c r="I134" s="40" t="str">
        <f>+Tabla!A136</f>
        <v/>
      </c>
      <c r="J134" s="43" t="str">
        <f>+Tabla!AA136</f>
        <v/>
      </c>
      <c r="K134" s="41" t="str">
        <f>IF(Tabla!A136="","",(J134/((1+$K$9)^($I134/Parámetros!$D$6))))</f>
        <v/>
      </c>
      <c r="L134" s="42"/>
      <c r="M134" s="40" t="str">
        <f>+Tabla!A136</f>
        <v/>
      </c>
      <c r="N134" s="43" t="str">
        <f>Tabla!AI136</f>
        <v/>
      </c>
      <c r="O134" s="41" t="str">
        <f>IF(Tabla!A136="","",(N134/((1+$O$9)^(CAT!$M134/Pagos_por_año))))</f>
        <v/>
      </c>
      <c r="P134" s="52"/>
      <c r="Q134" s="52"/>
    </row>
    <row r="135" spans="1:17" x14ac:dyDescent="0.2">
      <c r="A135" s="40" t="str">
        <f>+Tabla!A137</f>
        <v/>
      </c>
      <c r="B135" s="43" t="str">
        <f>+Tabla!AK137</f>
        <v/>
      </c>
      <c r="C135" s="41" t="str">
        <f>IF(Tabla!A137="","",(B135/((1+$C$9)^($A135/Parámetros!$D$6))))</f>
        <v/>
      </c>
      <c r="D135" s="42"/>
      <c r="E135" s="40" t="str">
        <f>+Tabla!A137</f>
        <v/>
      </c>
      <c r="F135" s="43" t="str">
        <f>Tabla!AL137</f>
        <v/>
      </c>
      <c r="G135" s="41" t="str">
        <f>IF(Tabla!A137="","",(F135/((1+$G$9)^(CAT!$E135/Pagos_por_año))))</f>
        <v/>
      </c>
      <c r="H135" s="41"/>
      <c r="I135" s="40" t="str">
        <f>+Tabla!A137</f>
        <v/>
      </c>
      <c r="J135" s="43" t="str">
        <f>+Tabla!AA137</f>
        <v/>
      </c>
      <c r="K135" s="41" t="str">
        <f>IF(Tabla!A137="","",(J135/((1+$K$9)^($I135/Parámetros!$D$6))))</f>
        <v/>
      </c>
      <c r="L135" s="42"/>
      <c r="M135" s="40" t="str">
        <f>+Tabla!A137</f>
        <v/>
      </c>
      <c r="N135" s="43" t="str">
        <f>Tabla!AI137</f>
        <v/>
      </c>
      <c r="O135" s="41" t="str">
        <f>IF(Tabla!A137="","",(N135/((1+$O$9)^(CAT!$M135/Pagos_por_año))))</f>
        <v/>
      </c>
      <c r="P135" s="52"/>
      <c r="Q135" s="52"/>
    </row>
    <row r="136" spans="1:17" x14ac:dyDescent="0.2">
      <c r="A136" s="40" t="str">
        <f>+Tabla!A138</f>
        <v/>
      </c>
      <c r="B136" s="43" t="str">
        <f>+Tabla!AK138</f>
        <v/>
      </c>
      <c r="C136" s="41" t="str">
        <f>IF(Tabla!A138="","",(B136/((1+$C$9)^($A136/Parámetros!$D$6))))</f>
        <v/>
      </c>
      <c r="D136" s="42"/>
      <c r="E136" s="40" t="str">
        <f>+Tabla!A138</f>
        <v/>
      </c>
      <c r="F136" s="43" t="str">
        <f>Tabla!AL138</f>
        <v/>
      </c>
      <c r="G136" s="41" t="str">
        <f>IF(Tabla!A138="","",(F136/((1+$G$9)^(CAT!$E136/Pagos_por_año))))</f>
        <v/>
      </c>
      <c r="H136" s="41"/>
      <c r="I136" s="40" t="str">
        <f>+Tabla!A138</f>
        <v/>
      </c>
      <c r="J136" s="43" t="str">
        <f>+Tabla!AA138</f>
        <v/>
      </c>
      <c r="K136" s="41" t="str">
        <f>IF(Tabla!A138="","",(J136/((1+$K$9)^($I136/Parámetros!$D$6))))</f>
        <v/>
      </c>
      <c r="L136" s="42"/>
      <c r="M136" s="40" t="str">
        <f>+Tabla!A138</f>
        <v/>
      </c>
      <c r="N136" s="43" t="str">
        <f>Tabla!AI138</f>
        <v/>
      </c>
      <c r="O136" s="41" t="str">
        <f>IF(Tabla!A138="","",(N136/((1+$O$9)^(CAT!$M136/Pagos_por_año))))</f>
        <v/>
      </c>
      <c r="P136" s="52"/>
      <c r="Q136" s="52"/>
    </row>
    <row r="137" spans="1:17" x14ac:dyDescent="0.2">
      <c r="A137" s="40" t="str">
        <f>+Tabla!A139</f>
        <v/>
      </c>
      <c r="B137" s="43" t="str">
        <f>+Tabla!AK139</f>
        <v/>
      </c>
      <c r="C137" s="41" t="str">
        <f>IF(Tabla!A139="","",(B137/((1+$C$9)^($A137/Parámetros!$D$6))))</f>
        <v/>
      </c>
      <c r="D137" s="42"/>
      <c r="E137" s="40" t="str">
        <f>+Tabla!A139</f>
        <v/>
      </c>
      <c r="F137" s="43" t="str">
        <f>Tabla!AL139</f>
        <v/>
      </c>
      <c r="G137" s="41" t="str">
        <f>IF(Tabla!A139="","",(F137/((1+$G$9)^(CAT!$E137/Pagos_por_año))))</f>
        <v/>
      </c>
      <c r="H137" s="41"/>
      <c r="I137" s="40" t="str">
        <f>+Tabla!A139</f>
        <v/>
      </c>
      <c r="J137" s="43" t="str">
        <f>+Tabla!AA139</f>
        <v/>
      </c>
      <c r="K137" s="41" t="str">
        <f>IF(Tabla!A139="","",(J137/((1+$K$9)^($I137/Parámetros!$D$6))))</f>
        <v/>
      </c>
      <c r="L137" s="42"/>
      <c r="M137" s="40" t="str">
        <f>+Tabla!A139</f>
        <v/>
      </c>
      <c r="N137" s="43" t="str">
        <f>Tabla!AI139</f>
        <v/>
      </c>
      <c r="O137" s="41" t="str">
        <f>IF(Tabla!A139="","",(N137/((1+$O$9)^(CAT!$M137/Pagos_por_año))))</f>
        <v/>
      </c>
      <c r="P137" s="52"/>
      <c r="Q137" s="52"/>
    </row>
    <row r="138" spans="1:17" x14ac:dyDescent="0.2">
      <c r="A138" s="40" t="str">
        <f>+Tabla!A140</f>
        <v/>
      </c>
      <c r="B138" s="43" t="str">
        <f>+Tabla!AK140</f>
        <v/>
      </c>
      <c r="C138" s="41" t="str">
        <f>IF(Tabla!A140="","",(B138/((1+$C$9)^($A138/Parámetros!$D$6))))</f>
        <v/>
      </c>
      <c r="D138" s="42"/>
      <c r="E138" s="40" t="str">
        <f>+Tabla!A140</f>
        <v/>
      </c>
      <c r="F138" s="43" t="str">
        <f>Tabla!AL140</f>
        <v/>
      </c>
      <c r="G138" s="41" t="str">
        <f>IF(Tabla!A140="","",(F138/((1+$G$9)^(CAT!$E138/Pagos_por_año))))</f>
        <v/>
      </c>
      <c r="H138" s="41"/>
      <c r="I138" s="40" t="str">
        <f>+Tabla!A140</f>
        <v/>
      </c>
      <c r="J138" s="43" t="str">
        <f>+Tabla!AA140</f>
        <v/>
      </c>
      <c r="K138" s="41" t="str">
        <f>IF(Tabla!A140="","",(J138/((1+$K$9)^($I138/Parámetros!$D$6))))</f>
        <v/>
      </c>
      <c r="L138" s="42"/>
      <c r="M138" s="40" t="str">
        <f>+Tabla!A140</f>
        <v/>
      </c>
      <c r="N138" s="43" t="str">
        <f>Tabla!AI140</f>
        <v/>
      </c>
      <c r="O138" s="41" t="str">
        <f>IF(Tabla!A140="","",(N138/((1+$O$9)^(CAT!$M138/Pagos_por_año))))</f>
        <v/>
      </c>
      <c r="P138" s="52"/>
      <c r="Q138" s="52"/>
    </row>
    <row r="139" spans="1:17" x14ac:dyDescent="0.2">
      <c r="A139" s="40" t="str">
        <f>+Tabla!A141</f>
        <v/>
      </c>
      <c r="B139" s="43" t="str">
        <f>+Tabla!AK141</f>
        <v/>
      </c>
      <c r="C139" s="41" t="str">
        <f>IF(Tabla!A141="","",(B139/((1+$C$9)^($A139/Parámetros!$D$6))))</f>
        <v/>
      </c>
      <c r="D139" s="42"/>
      <c r="E139" s="40" t="str">
        <f>+Tabla!A141</f>
        <v/>
      </c>
      <c r="F139" s="43" t="str">
        <f>Tabla!AL141</f>
        <v/>
      </c>
      <c r="G139" s="41" t="str">
        <f>IF(Tabla!A141="","",(F139/((1+$G$9)^(CAT!$E139/Pagos_por_año))))</f>
        <v/>
      </c>
      <c r="H139" s="41"/>
      <c r="I139" s="40" t="str">
        <f>+Tabla!A141</f>
        <v/>
      </c>
      <c r="J139" s="43" t="str">
        <f>+Tabla!AA141</f>
        <v/>
      </c>
      <c r="K139" s="41" t="str">
        <f>IF(Tabla!A141="","",(J139/((1+$K$9)^($I139/Parámetros!$D$6))))</f>
        <v/>
      </c>
      <c r="L139" s="42"/>
      <c r="M139" s="40" t="str">
        <f>+Tabla!A141</f>
        <v/>
      </c>
      <c r="N139" s="43" t="str">
        <f>Tabla!AI141</f>
        <v/>
      </c>
      <c r="O139" s="41" t="str">
        <f>IF(Tabla!A141="","",(N139/((1+$O$9)^(CAT!$M139/Pagos_por_año))))</f>
        <v/>
      </c>
      <c r="P139" s="52"/>
      <c r="Q139" s="52"/>
    </row>
    <row r="140" spans="1:17" x14ac:dyDescent="0.2">
      <c r="A140" s="40" t="str">
        <f>+Tabla!A142</f>
        <v/>
      </c>
      <c r="B140" s="43" t="str">
        <f>+Tabla!AK142</f>
        <v/>
      </c>
      <c r="C140" s="41" t="str">
        <f>IF(Tabla!A142="","",(B140/((1+$C$9)^($A140/Parámetros!$D$6))))</f>
        <v/>
      </c>
      <c r="D140" s="42"/>
      <c r="E140" s="40" t="str">
        <f>+Tabla!A142</f>
        <v/>
      </c>
      <c r="F140" s="43" t="str">
        <f>Tabla!AL142</f>
        <v/>
      </c>
      <c r="G140" s="41" t="str">
        <f>IF(Tabla!A142="","",(F140/((1+$G$9)^(CAT!$E140/Pagos_por_año))))</f>
        <v/>
      </c>
      <c r="H140" s="41"/>
      <c r="I140" s="40" t="str">
        <f>+Tabla!A142</f>
        <v/>
      </c>
      <c r="J140" s="43" t="str">
        <f>+Tabla!AA142</f>
        <v/>
      </c>
      <c r="K140" s="41" t="str">
        <f>IF(Tabla!A142="","",(J140/((1+$K$9)^($I140/Parámetros!$D$6))))</f>
        <v/>
      </c>
      <c r="L140" s="42"/>
      <c r="M140" s="40" t="str">
        <f>+Tabla!A142</f>
        <v/>
      </c>
      <c r="N140" s="43" t="str">
        <f>Tabla!AI142</f>
        <v/>
      </c>
      <c r="O140" s="41" t="str">
        <f>IF(Tabla!A142="","",(N140/((1+$O$9)^(CAT!$M140/Pagos_por_año))))</f>
        <v/>
      </c>
      <c r="P140" s="52"/>
      <c r="Q140" s="52"/>
    </row>
    <row r="141" spans="1:17" x14ac:dyDescent="0.2">
      <c r="A141" s="40" t="str">
        <f>+Tabla!A143</f>
        <v/>
      </c>
      <c r="B141" s="43" t="str">
        <f>+Tabla!AK143</f>
        <v/>
      </c>
      <c r="C141" s="41" t="str">
        <f>IF(Tabla!A143="","",(B141/((1+$C$9)^($A141/Parámetros!$D$6))))</f>
        <v/>
      </c>
      <c r="D141" s="42"/>
      <c r="E141" s="40" t="str">
        <f>+Tabla!A143</f>
        <v/>
      </c>
      <c r="F141" s="43" t="str">
        <f>Tabla!AL143</f>
        <v/>
      </c>
      <c r="G141" s="41" t="str">
        <f>IF(Tabla!A143="","",(F141/((1+$G$9)^(CAT!$E141/Pagos_por_año))))</f>
        <v/>
      </c>
      <c r="H141" s="41"/>
      <c r="I141" s="40" t="str">
        <f>+Tabla!A143</f>
        <v/>
      </c>
      <c r="J141" s="43" t="str">
        <f>+Tabla!AA143</f>
        <v/>
      </c>
      <c r="K141" s="41" t="str">
        <f>IF(Tabla!A143="","",(J141/((1+$K$9)^($I141/Parámetros!$D$6))))</f>
        <v/>
      </c>
      <c r="L141" s="42"/>
      <c r="M141" s="40" t="str">
        <f>+Tabla!A143</f>
        <v/>
      </c>
      <c r="N141" s="43" t="str">
        <f>Tabla!AI143</f>
        <v/>
      </c>
      <c r="O141" s="41" t="str">
        <f>IF(Tabla!A143="","",(N141/((1+$O$9)^(CAT!$M141/Pagos_por_año))))</f>
        <v/>
      </c>
      <c r="P141" s="52"/>
      <c r="Q141" s="52"/>
    </row>
    <row r="142" spans="1:17" x14ac:dyDescent="0.2">
      <c r="A142" s="40" t="str">
        <f>+Tabla!A144</f>
        <v/>
      </c>
      <c r="B142" s="43" t="str">
        <f>+Tabla!AK144</f>
        <v/>
      </c>
      <c r="C142" s="41" t="str">
        <f>IF(Tabla!A144="","",(B142/((1+$C$9)^($A142/Parámetros!$D$6))))</f>
        <v/>
      </c>
      <c r="D142" s="42"/>
      <c r="E142" s="40" t="str">
        <f>+Tabla!A144</f>
        <v/>
      </c>
      <c r="F142" s="43" t="str">
        <f>Tabla!AL144</f>
        <v/>
      </c>
      <c r="G142" s="41" t="str">
        <f>IF(Tabla!A144="","",(F142/((1+$G$9)^(CAT!$E142/Pagos_por_año))))</f>
        <v/>
      </c>
      <c r="H142" s="41"/>
      <c r="I142" s="40" t="str">
        <f>+Tabla!A144</f>
        <v/>
      </c>
      <c r="J142" s="43" t="str">
        <f>+Tabla!AA144</f>
        <v/>
      </c>
      <c r="K142" s="41" t="str">
        <f>IF(Tabla!A144="","",(J142/((1+$K$9)^($I142/Parámetros!$D$6))))</f>
        <v/>
      </c>
      <c r="L142" s="42"/>
      <c r="M142" s="40" t="str">
        <f>+Tabla!A144</f>
        <v/>
      </c>
      <c r="N142" s="43" t="str">
        <f>Tabla!AI144</f>
        <v/>
      </c>
      <c r="O142" s="41" t="str">
        <f>IF(Tabla!A144="","",(N142/((1+$O$9)^(CAT!$M142/Pagos_por_año))))</f>
        <v/>
      </c>
      <c r="P142" s="52"/>
      <c r="Q142" s="52"/>
    </row>
    <row r="143" spans="1:17" x14ac:dyDescent="0.2">
      <c r="A143" s="40" t="str">
        <f>+Tabla!A145</f>
        <v/>
      </c>
      <c r="B143" s="43" t="str">
        <f>+Tabla!AK145</f>
        <v/>
      </c>
      <c r="C143" s="41" t="str">
        <f>IF(Tabla!A145="","",(B143/((1+$C$9)^($A143/Parámetros!$D$6))))</f>
        <v/>
      </c>
      <c r="D143" s="42"/>
      <c r="E143" s="40" t="str">
        <f>+Tabla!A145</f>
        <v/>
      </c>
      <c r="F143" s="43" t="str">
        <f>Tabla!AL145</f>
        <v/>
      </c>
      <c r="G143" s="41" t="str">
        <f>IF(Tabla!A145="","",(F143/((1+$G$9)^(CAT!$E143/Pagos_por_año))))</f>
        <v/>
      </c>
      <c r="H143" s="41"/>
      <c r="I143" s="40" t="str">
        <f>+Tabla!A145</f>
        <v/>
      </c>
      <c r="J143" s="43" t="str">
        <f>+Tabla!AA145</f>
        <v/>
      </c>
      <c r="K143" s="41" t="str">
        <f>IF(Tabla!A145="","",(J143/((1+$K$9)^($I143/Parámetros!$D$6))))</f>
        <v/>
      </c>
      <c r="L143" s="42"/>
      <c r="M143" s="40" t="str">
        <f>+Tabla!A145</f>
        <v/>
      </c>
      <c r="N143" s="43" t="str">
        <f>Tabla!AI145</f>
        <v/>
      </c>
      <c r="O143" s="41" t="str">
        <f>IF(Tabla!A145="","",(N143/((1+$O$9)^(CAT!$M143/Pagos_por_año))))</f>
        <v/>
      </c>
      <c r="P143" s="52"/>
      <c r="Q143" s="52"/>
    </row>
    <row r="144" spans="1:17" x14ac:dyDescent="0.2">
      <c r="A144" s="40" t="str">
        <f>+Tabla!A146</f>
        <v/>
      </c>
      <c r="B144" s="43" t="str">
        <f>+Tabla!AK146</f>
        <v/>
      </c>
      <c r="C144" s="41" t="str">
        <f>IF(Tabla!A146="","",(B144/((1+$C$9)^($A144/Parámetros!$D$6))))</f>
        <v/>
      </c>
      <c r="D144" s="42"/>
      <c r="E144" s="40" t="str">
        <f>+Tabla!A146</f>
        <v/>
      </c>
      <c r="F144" s="43" t="str">
        <f>Tabla!AL146</f>
        <v/>
      </c>
      <c r="G144" s="41" t="str">
        <f>IF(Tabla!A146="","",(F144/((1+$G$9)^(CAT!$E144/Pagos_por_año))))</f>
        <v/>
      </c>
      <c r="H144" s="41"/>
      <c r="I144" s="40" t="str">
        <f>+Tabla!A146</f>
        <v/>
      </c>
      <c r="J144" s="43" t="str">
        <f>+Tabla!AA146</f>
        <v/>
      </c>
      <c r="K144" s="41" t="str">
        <f>IF(Tabla!A146="","",(J144/((1+$K$9)^($I144/Parámetros!$D$6))))</f>
        <v/>
      </c>
      <c r="L144" s="42"/>
      <c r="M144" s="40" t="str">
        <f>+Tabla!A146</f>
        <v/>
      </c>
      <c r="N144" s="43" t="str">
        <f>Tabla!AI146</f>
        <v/>
      </c>
      <c r="O144" s="41" t="str">
        <f>IF(Tabla!A146="","",(N144/((1+$O$9)^(CAT!$M144/Pagos_por_año))))</f>
        <v/>
      </c>
      <c r="P144" s="52"/>
      <c r="Q144" s="52"/>
    </row>
    <row r="145" spans="1:17" x14ac:dyDescent="0.2">
      <c r="A145" s="40" t="str">
        <f>+Tabla!A147</f>
        <v/>
      </c>
      <c r="B145" s="43" t="str">
        <f>+Tabla!AK147</f>
        <v/>
      </c>
      <c r="C145" s="41" t="str">
        <f>IF(Tabla!A147="","",(B145/((1+$C$9)^($A145/Parámetros!$D$6))))</f>
        <v/>
      </c>
      <c r="D145" s="42"/>
      <c r="E145" s="40" t="str">
        <f>+Tabla!A147</f>
        <v/>
      </c>
      <c r="F145" s="43" t="str">
        <f>Tabla!AL147</f>
        <v/>
      </c>
      <c r="G145" s="41" t="str">
        <f>IF(Tabla!A147="","",(F145/((1+$G$9)^(CAT!$E145/Pagos_por_año))))</f>
        <v/>
      </c>
      <c r="H145" s="41"/>
      <c r="I145" s="40" t="str">
        <f>+Tabla!A147</f>
        <v/>
      </c>
      <c r="J145" s="43" t="str">
        <f>+Tabla!AA147</f>
        <v/>
      </c>
      <c r="K145" s="41" t="str">
        <f>IF(Tabla!A147="","",(J145/((1+$K$9)^($I145/Parámetros!$D$6))))</f>
        <v/>
      </c>
      <c r="L145" s="42"/>
      <c r="M145" s="40" t="str">
        <f>+Tabla!A147</f>
        <v/>
      </c>
      <c r="N145" s="43" t="str">
        <f>Tabla!AI147</f>
        <v/>
      </c>
      <c r="O145" s="41" t="str">
        <f>IF(Tabla!A147="","",(N145/((1+$O$9)^(CAT!$M145/Pagos_por_año))))</f>
        <v/>
      </c>
      <c r="P145" s="52"/>
      <c r="Q145" s="52"/>
    </row>
    <row r="146" spans="1:17" x14ac:dyDescent="0.2">
      <c r="A146" s="40" t="str">
        <f>+Tabla!A148</f>
        <v/>
      </c>
      <c r="B146" s="43" t="str">
        <f>+Tabla!AK148</f>
        <v/>
      </c>
      <c r="C146" s="41" t="str">
        <f>IF(Tabla!A148="","",(B146/((1+$C$9)^($A146/Parámetros!$D$6))))</f>
        <v/>
      </c>
      <c r="D146" s="42"/>
      <c r="E146" s="40" t="str">
        <f>+Tabla!A148</f>
        <v/>
      </c>
      <c r="F146" s="43" t="str">
        <f>Tabla!AL148</f>
        <v/>
      </c>
      <c r="G146" s="41" t="str">
        <f>IF(Tabla!A148="","",(F146/((1+$G$9)^(CAT!$E146/Pagos_por_año))))</f>
        <v/>
      </c>
      <c r="H146" s="41"/>
      <c r="I146" s="40" t="str">
        <f>+Tabla!A148</f>
        <v/>
      </c>
      <c r="J146" s="43" t="str">
        <f>+Tabla!AA148</f>
        <v/>
      </c>
      <c r="K146" s="41" t="str">
        <f>IF(Tabla!A148="","",(J146/((1+$K$9)^($I146/Parámetros!$D$6))))</f>
        <v/>
      </c>
      <c r="L146" s="42"/>
      <c r="M146" s="40" t="str">
        <f>+Tabla!A148</f>
        <v/>
      </c>
      <c r="N146" s="43" t="str">
        <f>Tabla!AI148</f>
        <v/>
      </c>
      <c r="O146" s="41" t="str">
        <f>IF(Tabla!A148="","",(N146/((1+$O$9)^(CAT!$M146/Pagos_por_año))))</f>
        <v/>
      </c>
      <c r="P146" s="52"/>
      <c r="Q146" s="52"/>
    </row>
    <row r="147" spans="1:17" x14ac:dyDescent="0.2">
      <c r="A147" s="40" t="str">
        <f>+Tabla!A149</f>
        <v/>
      </c>
      <c r="B147" s="43" t="str">
        <f>+Tabla!AK149</f>
        <v/>
      </c>
      <c r="C147" s="41" t="str">
        <f>IF(Tabla!A149="","",(B147/((1+$C$9)^($A147/Parámetros!$D$6))))</f>
        <v/>
      </c>
      <c r="D147" s="42"/>
      <c r="E147" s="40" t="str">
        <f>+Tabla!A149</f>
        <v/>
      </c>
      <c r="F147" s="43" t="str">
        <f>Tabla!AL149</f>
        <v/>
      </c>
      <c r="G147" s="41" t="str">
        <f>IF(Tabla!A149="","",(F147/((1+$G$9)^(CAT!$E147/Pagos_por_año))))</f>
        <v/>
      </c>
      <c r="H147" s="41"/>
      <c r="I147" s="40" t="str">
        <f>+Tabla!A149</f>
        <v/>
      </c>
      <c r="J147" s="43" t="str">
        <f>+Tabla!AA149</f>
        <v/>
      </c>
      <c r="K147" s="41" t="str">
        <f>IF(Tabla!A149="","",(J147/((1+$K$9)^($I147/Parámetros!$D$6))))</f>
        <v/>
      </c>
      <c r="L147" s="42"/>
      <c r="M147" s="40" t="str">
        <f>+Tabla!A149</f>
        <v/>
      </c>
      <c r="N147" s="43" t="str">
        <f>Tabla!AI149</f>
        <v/>
      </c>
      <c r="O147" s="41" t="str">
        <f>IF(Tabla!A149="","",(N147/((1+$O$9)^(CAT!$M147/Pagos_por_año))))</f>
        <v/>
      </c>
      <c r="P147" s="52"/>
      <c r="Q147" s="52"/>
    </row>
    <row r="148" spans="1:17" x14ac:dyDescent="0.2">
      <c r="A148" s="40" t="str">
        <f>+Tabla!A150</f>
        <v/>
      </c>
      <c r="B148" s="43" t="str">
        <f>+Tabla!AK150</f>
        <v/>
      </c>
      <c r="C148" s="41" t="str">
        <f>IF(Tabla!A150="","",(B148/((1+$C$9)^($A148/Parámetros!$D$6))))</f>
        <v/>
      </c>
      <c r="D148" s="42"/>
      <c r="E148" s="40" t="str">
        <f>+Tabla!A150</f>
        <v/>
      </c>
      <c r="F148" s="43" t="str">
        <f>Tabla!AL150</f>
        <v/>
      </c>
      <c r="G148" s="41" t="str">
        <f>IF(Tabla!A150="","",(F148/((1+$G$9)^(CAT!$E148/Pagos_por_año))))</f>
        <v/>
      </c>
      <c r="H148" s="41"/>
      <c r="I148" s="40" t="str">
        <f>+Tabla!A150</f>
        <v/>
      </c>
      <c r="J148" s="43" t="str">
        <f>+Tabla!AA150</f>
        <v/>
      </c>
      <c r="K148" s="41" t="str">
        <f>IF(Tabla!A150="","",(J148/((1+$K$9)^($I148/Parámetros!$D$6))))</f>
        <v/>
      </c>
      <c r="L148" s="42"/>
      <c r="M148" s="40" t="str">
        <f>+Tabla!A150</f>
        <v/>
      </c>
      <c r="N148" s="43" t="str">
        <f>Tabla!AI150</f>
        <v/>
      </c>
      <c r="O148" s="41" t="str">
        <f>IF(Tabla!A150="","",(N148/((1+$O$9)^(CAT!$M148/Pagos_por_año))))</f>
        <v/>
      </c>
      <c r="P148" s="52"/>
      <c r="Q148" s="52"/>
    </row>
    <row r="149" spans="1:17" x14ac:dyDescent="0.2">
      <c r="A149" s="40" t="str">
        <f>+Tabla!A151</f>
        <v/>
      </c>
      <c r="B149" s="43" t="str">
        <f>+Tabla!AK151</f>
        <v/>
      </c>
      <c r="C149" s="41" t="str">
        <f>IF(Tabla!A151="","",(B149/((1+$C$9)^($A149/Parámetros!$D$6))))</f>
        <v/>
      </c>
      <c r="D149" s="42"/>
      <c r="E149" s="40" t="str">
        <f>+Tabla!A151</f>
        <v/>
      </c>
      <c r="F149" s="43" t="str">
        <f>Tabla!AL151</f>
        <v/>
      </c>
      <c r="G149" s="41" t="str">
        <f>IF(Tabla!A151="","",(F149/((1+$G$9)^(CAT!$E149/Pagos_por_año))))</f>
        <v/>
      </c>
      <c r="H149" s="41"/>
      <c r="I149" s="40" t="str">
        <f>+Tabla!A151</f>
        <v/>
      </c>
      <c r="J149" s="43" t="str">
        <f>+Tabla!AA151</f>
        <v/>
      </c>
      <c r="K149" s="41" t="str">
        <f>IF(Tabla!A151="","",(J149/((1+$K$9)^($I149/Parámetros!$D$6))))</f>
        <v/>
      </c>
      <c r="L149" s="42"/>
      <c r="M149" s="40" t="str">
        <f>+Tabla!A151</f>
        <v/>
      </c>
      <c r="N149" s="43" t="str">
        <f>Tabla!AI151</f>
        <v/>
      </c>
      <c r="O149" s="41" t="str">
        <f>IF(Tabla!A151="","",(N149/((1+$O$9)^(CAT!$M149/Pagos_por_año))))</f>
        <v/>
      </c>
      <c r="P149" s="52"/>
      <c r="Q149" s="52"/>
    </row>
    <row r="150" spans="1:17" x14ac:dyDescent="0.2">
      <c r="A150" s="40" t="str">
        <f>+Tabla!A152</f>
        <v/>
      </c>
      <c r="B150" s="43" t="str">
        <f>+Tabla!AK152</f>
        <v/>
      </c>
      <c r="C150" s="41" t="str">
        <f>IF(Tabla!A152="","",(B150/((1+$C$9)^($A150/Parámetros!$D$6))))</f>
        <v/>
      </c>
      <c r="D150" s="42"/>
      <c r="E150" s="40" t="str">
        <f>+Tabla!A152</f>
        <v/>
      </c>
      <c r="F150" s="43" t="str">
        <f>Tabla!AL152</f>
        <v/>
      </c>
      <c r="G150" s="41" t="str">
        <f>IF(Tabla!A152="","",(F150/((1+$G$9)^(CAT!$E150/Pagos_por_año))))</f>
        <v/>
      </c>
      <c r="H150" s="41"/>
      <c r="I150" s="40" t="str">
        <f>+Tabla!A152</f>
        <v/>
      </c>
      <c r="J150" s="43" t="str">
        <f>+Tabla!AA152</f>
        <v/>
      </c>
      <c r="K150" s="41" t="str">
        <f>IF(Tabla!A152="","",(J150/((1+$K$9)^($I150/Parámetros!$D$6))))</f>
        <v/>
      </c>
      <c r="L150" s="42"/>
      <c r="M150" s="40" t="str">
        <f>+Tabla!A152</f>
        <v/>
      </c>
      <c r="N150" s="43" t="str">
        <f>Tabla!AI152</f>
        <v/>
      </c>
      <c r="O150" s="41" t="str">
        <f>IF(Tabla!A152="","",(N150/((1+$O$9)^(CAT!$M150/Pagos_por_año))))</f>
        <v/>
      </c>
      <c r="P150" s="52"/>
      <c r="Q150" s="52"/>
    </row>
    <row r="151" spans="1:17" x14ac:dyDescent="0.2">
      <c r="A151" s="40" t="str">
        <f>+Tabla!A153</f>
        <v/>
      </c>
      <c r="B151" s="43" t="str">
        <f>+Tabla!AK153</f>
        <v/>
      </c>
      <c r="C151" s="41" t="str">
        <f>IF(Tabla!A153="","",(B151/((1+$C$9)^($A151/Parámetros!$D$6))))</f>
        <v/>
      </c>
      <c r="D151" s="42"/>
      <c r="E151" s="40" t="str">
        <f>+Tabla!A153</f>
        <v/>
      </c>
      <c r="F151" s="43" t="str">
        <f>Tabla!AL153</f>
        <v/>
      </c>
      <c r="G151" s="41" t="str">
        <f>IF(Tabla!A153="","",(F151/((1+$G$9)^(CAT!$E151/Pagos_por_año))))</f>
        <v/>
      </c>
      <c r="H151" s="41"/>
      <c r="I151" s="40" t="str">
        <f>+Tabla!A153</f>
        <v/>
      </c>
      <c r="J151" s="43" t="str">
        <f>+Tabla!AA153</f>
        <v/>
      </c>
      <c r="K151" s="41" t="str">
        <f>IF(Tabla!A153="","",(J151/((1+$K$9)^($I151/Parámetros!$D$6))))</f>
        <v/>
      </c>
      <c r="L151" s="42"/>
      <c r="M151" s="40" t="str">
        <f>+Tabla!A153</f>
        <v/>
      </c>
      <c r="N151" s="43" t="str">
        <f>Tabla!AI153</f>
        <v/>
      </c>
      <c r="O151" s="41" t="str">
        <f>IF(Tabla!A153="","",(N151/((1+$O$9)^(CAT!$M151/Pagos_por_año))))</f>
        <v/>
      </c>
      <c r="P151" s="52"/>
      <c r="Q151" s="52"/>
    </row>
    <row r="152" spans="1:17" x14ac:dyDescent="0.2">
      <c r="A152" s="40" t="str">
        <f>+Tabla!A154</f>
        <v/>
      </c>
      <c r="B152" s="43" t="str">
        <f>+Tabla!AK154</f>
        <v/>
      </c>
      <c r="C152" s="41" t="str">
        <f>IF(Tabla!A154="","",(B152/((1+$C$9)^($A152/Parámetros!$D$6))))</f>
        <v/>
      </c>
      <c r="D152" s="42"/>
      <c r="E152" s="40" t="str">
        <f>+Tabla!A154</f>
        <v/>
      </c>
      <c r="F152" s="43" t="str">
        <f>Tabla!AL154</f>
        <v/>
      </c>
      <c r="G152" s="41" t="str">
        <f>IF(Tabla!A154="","",(F152/((1+$G$9)^(CAT!$E152/Pagos_por_año))))</f>
        <v/>
      </c>
      <c r="H152" s="41"/>
      <c r="I152" s="40" t="str">
        <f>+Tabla!A154</f>
        <v/>
      </c>
      <c r="J152" s="43" t="str">
        <f>+Tabla!AA154</f>
        <v/>
      </c>
      <c r="K152" s="41" t="str">
        <f>IF(Tabla!A154="","",(J152/((1+$K$9)^($I152/Parámetros!$D$6))))</f>
        <v/>
      </c>
      <c r="L152" s="42"/>
      <c r="M152" s="40" t="str">
        <f>+Tabla!A154</f>
        <v/>
      </c>
      <c r="N152" s="43" t="str">
        <f>Tabla!AI154</f>
        <v/>
      </c>
      <c r="O152" s="41" t="str">
        <f>IF(Tabla!A154="","",(N152/((1+$O$9)^(CAT!$M152/Pagos_por_año))))</f>
        <v/>
      </c>
      <c r="P152" s="52"/>
      <c r="Q152" s="52"/>
    </row>
    <row r="153" spans="1:17" x14ac:dyDescent="0.2">
      <c r="A153" s="40" t="str">
        <f>+Tabla!A155</f>
        <v/>
      </c>
      <c r="B153" s="43" t="str">
        <f>+Tabla!AK155</f>
        <v/>
      </c>
      <c r="C153" s="41" t="str">
        <f>IF(Tabla!A155="","",(B153/((1+$C$9)^($A153/Parámetros!$D$6))))</f>
        <v/>
      </c>
      <c r="D153" s="42"/>
      <c r="E153" s="40" t="str">
        <f>+Tabla!A155</f>
        <v/>
      </c>
      <c r="F153" s="43" t="str">
        <f>Tabla!AL155</f>
        <v/>
      </c>
      <c r="G153" s="41" t="str">
        <f>IF(Tabla!A155="","",(F153/((1+$G$9)^(CAT!$E153/Pagos_por_año))))</f>
        <v/>
      </c>
      <c r="H153" s="41"/>
      <c r="I153" s="40" t="str">
        <f>+Tabla!A155</f>
        <v/>
      </c>
      <c r="J153" s="43" t="str">
        <f>+Tabla!AA155</f>
        <v/>
      </c>
      <c r="K153" s="41" t="str">
        <f>IF(Tabla!A155="","",(J153/((1+$K$9)^($I153/Parámetros!$D$6))))</f>
        <v/>
      </c>
      <c r="L153" s="42"/>
      <c r="M153" s="40" t="str">
        <f>+Tabla!A155</f>
        <v/>
      </c>
      <c r="N153" s="43" t="str">
        <f>Tabla!AI155</f>
        <v/>
      </c>
      <c r="O153" s="41" t="str">
        <f>IF(Tabla!A155="","",(N153/((1+$O$9)^(CAT!$M153/Pagos_por_año))))</f>
        <v/>
      </c>
      <c r="P153" s="52"/>
      <c r="Q153" s="52"/>
    </row>
    <row r="154" spans="1:17" x14ac:dyDescent="0.2">
      <c r="A154" s="40" t="str">
        <f>+Tabla!A156</f>
        <v/>
      </c>
      <c r="B154" s="43" t="str">
        <f>+Tabla!AK156</f>
        <v/>
      </c>
      <c r="C154" s="41" t="str">
        <f>IF(Tabla!A156="","",(B154/((1+$C$9)^($A154/Parámetros!$D$6))))</f>
        <v/>
      </c>
      <c r="D154" s="42"/>
      <c r="E154" s="40" t="str">
        <f>+Tabla!A156</f>
        <v/>
      </c>
      <c r="F154" s="43" t="str">
        <f>Tabla!AL156</f>
        <v/>
      </c>
      <c r="G154" s="41" t="str">
        <f>IF(Tabla!A156="","",(F154/((1+$G$9)^(CAT!$E154/Pagos_por_año))))</f>
        <v/>
      </c>
      <c r="H154" s="41"/>
      <c r="I154" s="40" t="str">
        <f>+Tabla!A156</f>
        <v/>
      </c>
      <c r="J154" s="43" t="str">
        <f>+Tabla!AA156</f>
        <v/>
      </c>
      <c r="K154" s="41" t="str">
        <f>IF(Tabla!A156="","",(J154/((1+$K$9)^($I154/Parámetros!$D$6))))</f>
        <v/>
      </c>
      <c r="L154" s="42"/>
      <c r="M154" s="40" t="str">
        <f>+Tabla!A156</f>
        <v/>
      </c>
      <c r="N154" s="43" t="str">
        <f>Tabla!AI156</f>
        <v/>
      </c>
      <c r="O154" s="41" t="str">
        <f>IF(Tabla!A156="","",(N154/((1+$O$9)^(CAT!$M154/Pagos_por_año))))</f>
        <v/>
      </c>
      <c r="P154" s="52"/>
      <c r="Q154" s="52"/>
    </row>
    <row r="155" spans="1:17" x14ac:dyDescent="0.2">
      <c r="A155" s="40" t="str">
        <f>+Tabla!A157</f>
        <v/>
      </c>
      <c r="B155" s="43" t="str">
        <f>+Tabla!AK157</f>
        <v/>
      </c>
      <c r="C155" s="41" t="str">
        <f>IF(Tabla!A157="","",(B155/((1+$C$9)^($A155/Parámetros!$D$6))))</f>
        <v/>
      </c>
      <c r="D155" s="42"/>
      <c r="E155" s="40" t="str">
        <f>+Tabla!A157</f>
        <v/>
      </c>
      <c r="F155" s="43" t="str">
        <f>Tabla!AL157</f>
        <v/>
      </c>
      <c r="G155" s="41" t="str">
        <f>IF(Tabla!A157="","",(F155/((1+$G$9)^(CAT!$E155/Pagos_por_año))))</f>
        <v/>
      </c>
      <c r="H155" s="41"/>
      <c r="I155" s="40" t="str">
        <f>+Tabla!A157</f>
        <v/>
      </c>
      <c r="J155" s="43" t="str">
        <f>+Tabla!AA157</f>
        <v/>
      </c>
      <c r="K155" s="41" t="str">
        <f>IF(Tabla!A157="","",(J155/((1+$K$9)^($I155/Parámetros!$D$6))))</f>
        <v/>
      </c>
      <c r="L155" s="42"/>
      <c r="M155" s="40" t="str">
        <f>+Tabla!A157</f>
        <v/>
      </c>
      <c r="N155" s="43" t="str">
        <f>Tabla!AI157</f>
        <v/>
      </c>
      <c r="O155" s="41" t="str">
        <f>IF(Tabla!A157="","",(N155/((1+$O$9)^(CAT!$M155/Pagos_por_año))))</f>
        <v/>
      </c>
      <c r="P155" s="52"/>
      <c r="Q155" s="52"/>
    </row>
    <row r="156" spans="1:17" x14ac:dyDescent="0.2">
      <c r="A156" s="40" t="str">
        <f>+Tabla!A158</f>
        <v/>
      </c>
      <c r="B156" s="43" t="str">
        <f>+Tabla!AK158</f>
        <v/>
      </c>
      <c r="C156" s="41" t="str">
        <f>IF(Tabla!A158="","",(B156/((1+$C$9)^($A156/Parámetros!$D$6))))</f>
        <v/>
      </c>
      <c r="D156" s="42"/>
      <c r="E156" s="40" t="str">
        <f>+Tabla!A158</f>
        <v/>
      </c>
      <c r="F156" s="43" t="str">
        <f>Tabla!AL158</f>
        <v/>
      </c>
      <c r="G156" s="41" t="str">
        <f>IF(Tabla!A158="","",(F156/((1+$G$9)^(CAT!$E156/Pagos_por_año))))</f>
        <v/>
      </c>
      <c r="H156" s="41"/>
      <c r="I156" s="40" t="str">
        <f>+Tabla!A158</f>
        <v/>
      </c>
      <c r="J156" s="43" t="str">
        <f>+Tabla!AA158</f>
        <v/>
      </c>
      <c r="K156" s="41" t="str">
        <f>IF(Tabla!A158="","",(J156/((1+$K$9)^($I156/Parámetros!$D$6))))</f>
        <v/>
      </c>
      <c r="L156" s="42"/>
      <c r="M156" s="40" t="str">
        <f>+Tabla!A158</f>
        <v/>
      </c>
      <c r="N156" s="43" t="str">
        <f>Tabla!AI158</f>
        <v/>
      </c>
      <c r="O156" s="41" t="str">
        <f>IF(Tabla!A158="","",(N156/((1+$O$9)^(CAT!$M156/Pagos_por_año))))</f>
        <v/>
      </c>
      <c r="P156" s="52"/>
      <c r="Q156" s="52"/>
    </row>
    <row r="157" spans="1:17" x14ac:dyDescent="0.2">
      <c r="A157" s="40" t="str">
        <f>+Tabla!A159</f>
        <v/>
      </c>
      <c r="B157" s="43" t="str">
        <f>+Tabla!AK159</f>
        <v/>
      </c>
      <c r="C157" s="41" t="str">
        <f>IF(Tabla!A159="","",(B157/((1+$C$9)^($A157/Parámetros!$D$6))))</f>
        <v/>
      </c>
      <c r="D157" s="42"/>
      <c r="E157" s="40" t="str">
        <f>+Tabla!A159</f>
        <v/>
      </c>
      <c r="F157" s="43" t="str">
        <f>Tabla!AL159</f>
        <v/>
      </c>
      <c r="G157" s="41" t="str">
        <f>IF(Tabla!A159="","",(F157/((1+$G$9)^(CAT!$E157/Pagos_por_año))))</f>
        <v/>
      </c>
      <c r="H157" s="41"/>
      <c r="I157" s="40" t="str">
        <f>+Tabla!A159</f>
        <v/>
      </c>
      <c r="J157" s="43" t="str">
        <f>+Tabla!AA159</f>
        <v/>
      </c>
      <c r="K157" s="41" t="str">
        <f>IF(Tabla!A159="","",(J157/((1+$K$9)^($I157/Parámetros!$D$6))))</f>
        <v/>
      </c>
      <c r="L157" s="42"/>
      <c r="M157" s="40" t="str">
        <f>+Tabla!A159</f>
        <v/>
      </c>
      <c r="N157" s="43" t="str">
        <f>Tabla!AI159</f>
        <v/>
      </c>
      <c r="O157" s="41" t="str">
        <f>IF(Tabla!A159="","",(N157/((1+$O$9)^(CAT!$M157/Pagos_por_año))))</f>
        <v/>
      </c>
      <c r="P157" s="52"/>
      <c r="Q157" s="52"/>
    </row>
    <row r="158" spans="1:17" x14ac:dyDescent="0.2">
      <c r="A158" s="40" t="str">
        <f>+Tabla!A160</f>
        <v/>
      </c>
      <c r="B158" s="43" t="str">
        <f>+Tabla!AK160</f>
        <v/>
      </c>
      <c r="C158" s="41" t="str">
        <f>IF(Tabla!A160="","",(B158/((1+$C$9)^($A158/Parámetros!$D$6))))</f>
        <v/>
      </c>
      <c r="D158" s="42"/>
      <c r="E158" s="40" t="str">
        <f>+Tabla!A160</f>
        <v/>
      </c>
      <c r="F158" s="43" t="str">
        <f>Tabla!AL160</f>
        <v/>
      </c>
      <c r="G158" s="41" t="str">
        <f>IF(Tabla!A160="","",(F158/((1+$G$9)^(CAT!$E158/Pagos_por_año))))</f>
        <v/>
      </c>
      <c r="H158" s="41"/>
      <c r="I158" s="40" t="str">
        <f>+Tabla!A160</f>
        <v/>
      </c>
      <c r="J158" s="43" t="str">
        <f>+Tabla!AA160</f>
        <v/>
      </c>
      <c r="K158" s="41" t="str">
        <f>IF(Tabla!A160="","",(J158/((1+$K$9)^($I158/Parámetros!$D$6))))</f>
        <v/>
      </c>
      <c r="L158" s="42"/>
      <c r="M158" s="40" t="str">
        <f>+Tabla!A160</f>
        <v/>
      </c>
      <c r="N158" s="43" t="str">
        <f>Tabla!AI160</f>
        <v/>
      </c>
      <c r="O158" s="41" t="str">
        <f>IF(Tabla!A160="","",(N158/((1+$O$9)^(CAT!$M158/Pagos_por_año))))</f>
        <v/>
      </c>
      <c r="P158" s="52"/>
      <c r="Q158" s="52"/>
    </row>
    <row r="159" spans="1:17" x14ac:dyDescent="0.2">
      <c r="A159" s="40" t="str">
        <f>+Tabla!A161</f>
        <v/>
      </c>
      <c r="B159" s="43" t="str">
        <f>+Tabla!AK161</f>
        <v/>
      </c>
      <c r="C159" s="41" t="str">
        <f>IF(Tabla!A161="","",(B159/((1+$C$9)^($A159/Parámetros!$D$6))))</f>
        <v/>
      </c>
      <c r="D159" s="42"/>
      <c r="E159" s="40" t="str">
        <f>+Tabla!A161</f>
        <v/>
      </c>
      <c r="F159" s="43" t="str">
        <f>Tabla!AL161</f>
        <v/>
      </c>
      <c r="G159" s="41" t="str">
        <f>IF(Tabla!A161="","",(F159/((1+$G$9)^(CAT!$E159/Pagos_por_año))))</f>
        <v/>
      </c>
      <c r="H159" s="41"/>
      <c r="I159" s="40" t="str">
        <f>+Tabla!A161</f>
        <v/>
      </c>
      <c r="J159" s="43" t="str">
        <f>+Tabla!AA161</f>
        <v/>
      </c>
      <c r="K159" s="41" t="str">
        <f>IF(Tabla!A161="","",(J159/((1+$K$9)^($I159/Parámetros!$D$6))))</f>
        <v/>
      </c>
      <c r="L159" s="42"/>
      <c r="M159" s="40" t="str">
        <f>+Tabla!A161</f>
        <v/>
      </c>
      <c r="N159" s="43" t="str">
        <f>Tabla!AI161</f>
        <v/>
      </c>
      <c r="O159" s="41" t="str">
        <f>IF(Tabla!A161="","",(N159/((1+$O$9)^(CAT!$M159/Pagos_por_año))))</f>
        <v/>
      </c>
      <c r="P159" s="52"/>
      <c r="Q159" s="52"/>
    </row>
    <row r="160" spans="1:17" x14ac:dyDescent="0.2">
      <c r="A160" s="40" t="str">
        <f>+Tabla!A162</f>
        <v/>
      </c>
      <c r="B160" s="43" t="str">
        <f>+Tabla!AK162</f>
        <v/>
      </c>
      <c r="C160" s="41" t="str">
        <f>IF(Tabla!A162="","",(B160/((1+$C$9)^($A160/Parámetros!$D$6))))</f>
        <v/>
      </c>
      <c r="D160" s="42"/>
      <c r="E160" s="40" t="str">
        <f>+Tabla!A162</f>
        <v/>
      </c>
      <c r="F160" s="43" t="str">
        <f>Tabla!AL162</f>
        <v/>
      </c>
      <c r="G160" s="41" t="str">
        <f>IF(Tabla!A162="","",(F160/((1+$G$9)^(CAT!$E160/Pagos_por_año))))</f>
        <v/>
      </c>
      <c r="H160" s="41"/>
      <c r="I160" s="40" t="str">
        <f>+Tabla!A162</f>
        <v/>
      </c>
      <c r="J160" s="43" t="str">
        <f>+Tabla!AA162</f>
        <v/>
      </c>
      <c r="K160" s="41" t="str">
        <f>IF(Tabla!A162="","",(J160/((1+$K$9)^($I160/Parámetros!$D$6))))</f>
        <v/>
      </c>
      <c r="L160" s="42"/>
      <c r="M160" s="40" t="str">
        <f>+Tabla!A162</f>
        <v/>
      </c>
      <c r="N160" s="43" t="str">
        <f>Tabla!AI162</f>
        <v/>
      </c>
      <c r="O160" s="41" t="str">
        <f>IF(Tabla!A162="","",(N160/((1+$O$9)^(CAT!$M160/Pagos_por_año))))</f>
        <v/>
      </c>
      <c r="P160" s="52"/>
      <c r="Q160" s="52"/>
    </row>
    <row r="161" spans="1:17" x14ac:dyDescent="0.2">
      <c r="A161" s="40" t="str">
        <f>+Tabla!A163</f>
        <v/>
      </c>
      <c r="B161" s="43" t="str">
        <f>+Tabla!AK163</f>
        <v/>
      </c>
      <c r="C161" s="41" t="str">
        <f>IF(Tabla!A163="","",(B161/((1+$C$9)^($A161/Parámetros!$D$6))))</f>
        <v/>
      </c>
      <c r="D161" s="42"/>
      <c r="E161" s="40" t="str">
        <f>+Tabla!A163</f>
        <v/>
      </c>
      <c r="F161" s="43" t="str">
        <f>Tabla!AL163</f>
        <v/>
      </c>
      <c r="G161" s="41" t="str">
        <f>IF(Tabla!A163="","",(F161/((1+$G$9)^(CAT!$E161/Pagos_por_año))))</f>
        <v/>
      </c>
      <c r="H161" s="41"/>
      <c r="I161" s="40" t="str">
        <f>+Tabla!A163</f>
        <v/>
      </c>
      <c r="J161" s="43" t="str">
        <f>+Tabla!AA163</f>
        <v/>
      </c>
      <c r="K161" s="41" t="str">
        <f>IF(Tabla!A163="","",(J161/((1+$K$9)^($I161/Parámetros!$D$6))))</f>
        <v/>
      </c>
      <c r="L161" s="42"/>
      <c r="M161" s="40" t="str">
        <f>+Tabla!A163</f>
        <v/>
      </c>
      <c r="N161" s="43" t="str">
        <f>Tabla!AI163</f>
        <v/>
      </c>
      <c r="O161" s="41" t="str">
        <f>IF(Tabla!A163="","",(N161/((1+$O$9)^(CAT!$M161/Pagos_por_año))))</f>
        <v/>
      </c>
      <c r="P161" s="52"/>
      <c r="Q161" s="52"/>
    </row>
    <row r="162" spans="1:17" x14ac:dyDescent="0.2">
      <c r="A162" s="40" t="str">
        <f>+Tabla!A164</f>
        <v/>
      </c>
      <c r="B162" s="43" t="str">
        <f>+Tabla!AK164</f>
        <v/>
      </c>
      <c r="C162" s="41" t="str">
        <f>IF(Tabla!A164="","",(B162/((1+$C$9)^($A162/Parámetros!$D$6))))</f>
        <v/>
      </c>
      <c r="D162" s="42"/>
      <c r="E162" s="40" t="str">
        <f>+Tabla!A164</f>
        <v/>
      </c>
      <c r="F162" s="43" t="str">
        <f>Tabla!AL164</f>
        <v/>
      </c>
      <c r="G162" s="41" t="str">
        <f>IF(Tabla!A164="","",(F162/((1+$G$9)^(CAT!$E162/Pagos_por_año))))</f>
        <v/>
      </c>
      <c r="H162" s="41"/>
      <c r="I162" s="40" t="str">
        <f>+Tabla!A164</f>
        <v/>
      </c>
      <c r="J162" s="43" t="str">
        <f>+Tabla!AA164</f>
        <v/>
      </c>
      <c r="K162" s="41" t="str">
        <f>IF(Tabla!A164="","",(J162/((1+$K$9)^($I162/Parámetros!$D$6))))</f>
        <v/>
      </c>
      <c r="L162" s="42"/>
      <c r="M162" s="40" t="str">
        <f>+Tabla!A164</f>
        <v/>
      </c>
      <c r="N162" s="43" t="str">
        <f>Tabla!AI164</f>
        <v/>
      </c>
      <c r="O162" s="41" t="str">
        <f>IF(Tabla!A164="","",(N162/((1+$O$9)^(CAT!$M162/Pagos_por_año))))</f>
        <v/>
      </c>
      <c r="P162" s="52"/>
      <c r="Q162" s="52"/>
    </row>
    <row r="163" spans="1:17" x14ac:dyDescent="0.2">
      <c r="A163" s="40" t="str">
        <f>+Tabla!A165</f>
        <v/>
      </c>
      <c r="B163" s="43" t="str">
        <f>+Tabla!AK165</f>
        <v/>
      </c>
      <c r="C163" s="41" t="str">
        <f>IF(Tabla!A165="","",(B163/((1+$C$9)^($A163/Parámetros!$D$6))))</f>
        <v/>
      </c>
      <c r="D163" s="42"/>
      <c r="E163" s="40" t="str">
        <f>+Tabla!A165</f>
        <v/>
      </c>
      <c r="F163" s="43" t="str">
        <f>Tabla!AL165</f>
        <v/>
      </c>
      <c r="G163" s="41" t="str">
        <f>IF(Tabla!A165="","",(F163/((1+$G$9)^(CAT!$E163/Pagos_por_año))))</f>
        <v/>
      </c>
      <c r="H163" s="41"/>
      <c r="I163" s="40" t="str">
        <f>+Tabla!A165</f>
        <v/>
      </c>
      <c r="J163" s="43" t="str">
        <f>+Tabla!AA165</f>
        <v/>
      </c>
      <c r="K163" s="41" t="str">
        <f>IF(Tabla!A165="","",(J163/((1+$K$9)^($I163/Parámetros!$D$6))))</f>
        <v/>
      </c>
      <c r="L163" s="42"/>
      <c r="M163" s="40" t="str">
        <f>+Tabla!A165</f>
        <v/>
      </c>
      <c r="N163" s="43" t="str">
        <f>Tabla!AI165</f>
        <v/>
      </c>
      <c r="O163" s="41" t="str">
        <f>IF(Tabla!A165="","",(N163/((1+$O$9)^(CAT!$M163/Pagos_por_año))))</f>
        <v/>
      </c>
      <c r="P163" s="52"/>
      <c r="Q163" s="52"/>
    </row>
    <row r="164" spans="1:17" x14ac:dyDescent="0.2">
      <c r="A164" s="40" t="str">
        <f>+Tabla!A166</f>
        <v/>
      </c>
      <c r="B164" s="43" t="str">
        <f>+Tabla!AK166</f>
        <v/>
      </c>
      <c r="C164" s="41" t="str">
        <f>IF(Tabla!A166="","",(B164/((1+$C$9)^($A164/Parámetros!$D$6))))</f>
        <v/>
      </c>
      <c r="D164" s="42"/>
      <c r="E164" s="40" t="str">
        <f>+Tabla!A166</f>
        <v/>
      </c>
      <c r="F164" s="43" t="str">
        <f>Tabla!AL166</f>
        <v/>
      </c>
      <c r="G164" s="41" t="str">
        <f>IF(Tabla!A166="","",(F164/((1+$G$9)^(CAT!$E164/Pagos_por_año))))</f>
        <v/>
      </c>
      <c r="H164" s="41"/>
      <c r="I164" s="40" t="str">
        <f>+Tabla!A166</f>
        <v/>
      </c>
      <c r="J164" s="43" t="str">
        <f>+Tabla!AA166</f>
        <v/>
      </c>
      <c r="K164" s="41" t="str">
        <f>IF(Tabla!A166="","",(J164/((1+$K$9)^($I164/Parámetros!$D$6))))</f>
        <v/>
      </c>
      <c r="L164" s="42"/>
      <c r="M164" s="40" t="str">
        <f>+Tabla!A166</f>
        <v/>
      </c>
      <c r="N164" s="43" t="str">
        <f>Tabla!AI166</f>
        <v/>
      </c>
      <c r="O164" s="41" t="str">
        <f>IF(Tabla!A166="","",(N164/((1+$O$9)^(CAT!$M164/Pagos_por_año))))</f>
        <v/>
      </c>
      <c r="P164" s="52"/>
      <c r="Q164" s="52"/>
    </row>
    <row r="165" spans="1:17" x14ac:dyDescent="0.2">
      <c r="A165" s="40" t="str">
        <f>+Tabla!A167</f>
        <v/>
      </c>
      <c r="B165" s="43" t="str">
        <f>+Tabla!AK167</f>
        <v/>
      </c>
      <c r="C165" s="41" t="str">
        <f>IF(Tabla!A167="","",(B165/((1+$C$9)^($A165/Parámetros!$D$6))))</f>
        <v/>
      </c>
      <c r="D165" s="42"/>
      <c r="E165" s="40" t="str">
        <f>+Tabla!A167</f>
        <v/>
      </c>
      <c r="F165" s="43" t="str">
        <f>Tabla!AL167</f>
        <v/>
      </c>
      <c r="G165" s="41" t="str">
        <f>IF(Tabla!A167="","",(F165/((1+$G$9)^(CAT!$E165/Pagos_por_año))))</f>
        <v/>
      </c>
      <c r="H165" s="41"/>
      <c r="I165" s="40" t="str">
        <f>+Tabla!A167</f>
        <v/>
      </c>
      <c r="J165" s="43" t="str">
        <f>+Tabla!AA167</f>
        <v/>
      </c>
      <c r="K165" s="41" t="str">
        <f>IF(Tabla!A167="","",(J165/((1+$K$9)^($I165/Parámetros!$D$6))))</f>
        <v/>
      </c>
      <c r="L165" s="42"/>
      <c r="M165" s="40" t="str">
        <f>+Tabla!A167</f>
        <v/>
      </c>
      <c r="N165" s="43" t="str">
        <f>Tabla!AI167</f>
        <v/>
      </c>
      <c r="O165" s="41" t="str">
        <f>IF(Tabla!A167="","",(N165/((1+$O$9)^(CAT!$M165/Pagos_por_año))))</f>
        <v/>
      </c>
      <c r="P165" s="52"/>
      <c r="Q165" s="52"/>
    </row>
    <row r="166" spans="1:17" x14ac:dyDescent="0.2">
      <c r="A166" s="40" t="str">
        <f>+Tabla!A168</f>
        <v/>
      </c>
      <c r="B166" s="43" t="str">
        <f>+Tabla!AK168</f>
        <v/>
      </c>
      <c r="C166" s="41" t="str">
        <f>IF(Tabla!A168="","",(B166/((1+$C$9)^($A166/Parámetros!$D$6))))</f>
        <v/>
      </c>
      <c r="D166" s="42"/>
      <c r="E166" s="40" t="str">
        <f>+Tabla!A168</f>
        <v/>
      </c>
      <c r="F166" s="43" t="str">
        <f>Tabla!AL168</f>
        <v/>
      </c>
      <c r="G166" s="41" t="str">
        <f>IF(Tabla!A168="","",(F166/((1+$G$9)^(CAT!$E166/Pagos_por_año))))</f>
        <v/>
      </c>
      <c r="H166" s="41"/>
      <c r="I166" s="40" t="str">
        <f>+Tabla!A168</f>
        <v/>
      </c>
      <c r="J166" s="43" t="str">
        <f>+Tabla!AA168</f>
        <v/>
      </c>
      <c r="K166" s="41" t="str">
        <f>IF(Tabla!A168="","",(J166/((1+$K$9)^($I166/Parámetros!$D$6))))</f>
        <v/>
      </c>
      <c r="L166" s="42"/>
      <c r="M166" s="40" t="str">
        <f>+Tabla!A168</f>
        <v/>
      </c>
      <c r="N166" s="43" t="str">
        <f>Tabla!AI168</f>
        <v/>
      </c>
      <c r="O166" s="41" t="str">
        <f>IF(Tabla!A168="","",(N166/((1+$O$9)^(CAT!$M166/Pagos_por_año))))</f>
        <v/>
      </c>
      <c r="P166" s="52"/>
      <c r="Q166" s="52"/>
    </row>
    <row r="167" spans="1:17" x14ac:dyDescent="0.2">
      <c r="A167" s="40" t="str">
        <f>+Tabla!A169</f>
        <v/>
      </c>
      <c r="B167" s="43" t="str">
        <f>+Tabla!AK169</f>
        <v/>
      </c>
      <c r="C167" s="41" t="str">
        <f>IF(Tabla!A169="","",(B167/((1+$C$9)^($A167/Parámetros!$D$6))))</f>
        <v/>
      </c>
      <c r="D167" s="42"/>
      <c r="E167" s="40" t="str">
        <f>+Tabla!A169</f>
        <v/>
      </c>
      <c r="F167" s="43" t="str">
        <f>Tabla!AL169</f>
        <v/>
      </c>
      <c r="G167" s="41" t="str">
        <f>IF(Tabla!A169="","",(F167/((1+$G$9)^(CAT!$E167/Pagos_por_año))))</f>
        <v/>
      </c>
      <c r="H167" s="41"/>
      <c r="I167" s="40" t="str">
        <f>+Tabla!A169</f>
        <v/>
      </c>
      <c r="J167" s="43" t="str">
        <f>+Tabla!AA169</f>
        <v/>
      </c>
      <c r="K167" s="41" t="str">
        <f>IF(Tabla!A169="","",(J167/((1+$K$9)^($I167/Parámetros!$D$6))))</f>
        <v/>
      </c>
      <c r="L167" s="42"/>
      <c r="M167" s="40" t="str">
        <f>+Tabla!A169</f>
        <v/>
      </c>
      <c r="N167" s="43" t="str">
        <f>Tabla!AI169</f>
        <v/>
      </c>
      <c r="O167" s="41" t="str">
        <f>IF(Tabla!A169="","",(N167/((1+$O$9)^(CAT!$M167/Pagos_por_año))))</f>
        <v/>
      </c>
      <c r="P167" s="52"/>
      <c r="Q167" s="52"/>
    </row>
    <row r="168" spans="1:17" x14ac:dyDescent="0.2">
      <c r="A168" s="40" t="str">
        <f>+Tabla!A170</f>
        <v/>
      </c>
      <c r="B168" s="43" t="str">
        <f>+Tabla!AK170</f>
        <v/>
      </c>
      <c r="C168" s="41" t="str">
        <f>IF(Tabla!A170="","",(B168/((1+$C$9)^($A168/Parámetros!$D$6))))</f>
        <v/>
      </c>
      <c r="D168" s="42"/>
      <c r="E168" s="40" t="str">
        <f>+Tabla!A170</f>
        <v/>
      </c>
      <c r="F168" s="43" t="str">
        <f>Tabla!AL170</f>
        <v/>
      </c>
      <c r="G168" s="41" t="str">
        <f>IF(Tabla!A170="","",(F168/((1+$G$9)^(CAT!$E168/Pagos_por_año))))</f>
        <v/>
      </c>
      <c r="H168" s="41"/>
      <c r="I168" s="40" t="str">
        <f>+Tabla!A170</f>
        <v/>
      </c>
      <c r="J168" s="43" t="str">
        <f>+Tabla!AA170</f>
        <v/>
      </c>
      <c r="K168" s="41" t="str">
        <f>IF(Tabla!A170="","",(J168/((1+$K$9)^($I168/Parámetros!$D$6))))</f>
        <v/>
      </c>
      <c r="L168" s="42"/>
      <c r="M168" s="40" t="str">
        <f>+Tabla!A170</f>
        <v/>
      </c>
      <c r="N168" s="43" t="str">
        <f>Tabla!AI170</f>
        <v/>
      </c>
      <c r="O168" s="41" t="str">
        <f>IF(Tabla!A170="","",(N168/((1+$O$9)^(CAT!$M168/Pagos_por_año))))</f>
        <v/>
      </c>
      <c r="P168" s="52"/>
      <c r="Q168" s="52"/>
    </row>
    <row r="169" spans="1:17" x14ac:dyDescent="0.2">
      <c r="A169" s="40" t="str">
        <f>+Tabla!A171</f>
        <v/>
      </c>
      <c r="B169" s="43" t="str">
        <f>+Tabla!AK171</f>
        <v/>
      </c>
      <c r="C169" s="41" t="str">
        <f>IF(Tabla!A171="","",(B169/((1+$C$9)^($A169/Parámetros!$D$6))))</f>
        <v/>
      </c>
      <c r="D169" s="42"/>
      <c r="E169" s="40" t="str">
        <f>+Tabla!A171</f>
        <v/>
      </c>
      <c r="F169" s="43" t="str">
        <f>Tabla!AL171</f>
        <v/>
      </c>
      <c r="G169" s="41" t="str">
        <f>IF(Tabla!A171="","",(F169/((1+$G$9)^(CAT!$E169/Pagos_por_año))))</f>
        <v/>
      </c>
      <c r="H169" s="41"/>
      <c r="I169" s="40" t="str">
        <f>+Tabla!A171</f>
        <v/>
      </c>
      <c r="J169" s="43" t="str">
        <f>+Tabla!AA171</f>
        <v/>
      </c>
      <c r="K169" s="41" t="str">
        <f>IF(Tabla!A171="","",(J169/((1+$K$9)^($I169/Parámetros!$D$6))))</f>
        <v/>
      </c>
      <c r="L169" s="42"/>
      <c r="M169" s="40" t="str">
        <f>+Tabla!A171</f>
        <v/>
      </c>
      <c r="N169" s="43" t="str">
        <f>Tabla!AI171</f>
        <v/>
      </c>
      <c r="O169" s="41" t="str">
        <f>IF(Tabla!A171="","",(N169/((1+$O$9)^(CAT!$M169/Pagos_por_año))))</f>
        <v/>
      </c>
      <c r="P169" s="52"/>
      <c r="Q169" s="52"/>
    </row>
    <row r="170" spans="1:17" x14ac:dyDescent="0.2">
      <c r="A170" s="40" t="str">
        <f>+Tabla!A172</f>
        <v/>
      </c>
      <c r="B170" s="43" t="str">
        <f>+Tabla!AK172</f>
        <v/>
      </c>
      <c r="C170" s="41" t="str">
        <f>IF(Tabla!A172="","",(B170/((1+$C$9)^($A170/Parámetros!$D$6))))</f>
        <v/>
      </c>
      <c r="D170" s="42"/>
      <c r="E170" s="40" t="str">
        <f>+Tabla!A172</f>
        <v/>
      </c>
      <c r="F170" s="43" t="str">
        <f>Tabla!AL172</f>
        <v/>
      </c>
      <c r="G170" s="41" t="str">
        <f>IF(Tabla!A172="","",(F170/((1+$G$9)^(CAT!$E170/Pagos_por_año))))</f>
        <v/>
      </c>
      <c r="H170" s="41"/>
      <c r="I170" s="40" t="str">
        <f>+Tabla!A172</f>
        <v/>
      </c>
      <c r="J170" s="43" t="str">
        <f>+Tabla!AA172</f>
        <v/>
      </c>
      <c r="K170" s="41" t="str">
        <f>IF(Tabla!A172="","",(J170/((1+$K$9)^($I170/Parámetros!$D$6))))</f>
        <v/>
      </c>
      <c r="L170" s="42"/>
      <c r="M170" s="40" t="str">
        <f>+Tabla!A172</f>
        <v/>
      </c>
      <c r="N170" s="43" t="str">
        <f>Tabla!AI172</f>
        <v/>
      </c>
      <c r="O170" s="41" t="str">
        <f>IF(Tabla!A172="","",(N170/((1+$O$9)^(CAT!$M170/Pagos_por_año))))</f>
        <v/>
      </c>
      <c r="P170" s="52"/>
      <c r="Q170" s="52"/>
    </row>
    <row r="171" spans="1:17" x14ac:dyDescent="0.2">
      <c r="A171" s="40" t="str">
        <f>+Tabla!A173</f>
        <v/>
      </c>
      <c r="B171" s="43" t="str">
        <f>+Tabla!AK173</f>
        <v/>
      </c>
      <c r="C171" s="41" t="str">
        <f>IF(Tabla!A173="","",(B171/((1+$C$9)^($A171/Parámetros!$D$6))))</f>
        <v/>
      </c>
      <c r="D171" s="42"/>
      <c r="E171" s="40" t="str">
        <f>+Tabla!A173</f>
        <v/>
      </c>
      <c r="F171" s="43" t="str">
        <f>Tabla!AL173</f>
        <v/>
      </c>
      <c r="G171" s="41" t="str">
        <f>IF(Tabla!A173="","",(F171/((1+$G$9)^(CAT!$E171/Pagos_por_año))))</f>
        <v/>
      </c>
      <c r="H171" s="41"/>
      <c r="I171" s="40" t="str">
        <f>+Tabla!A173</f>
        <v/>
      </c>
      <c r="J171" s="43" t="str">
        <f>+Tabla!AA173</f>
        <v/>
      </c>
      <c r="K171" s="41" t="str">
        <f>IF(Tabla!A173="","",(J171/((1+$K$9)^($I171/Parámetros!$D$6))))</f>
        <v/>
      </c>
      <c r="L171" s="42"/>
      <c r="M171" s="40" t="str">
        <f>+Tabla!A173</f>
        <v/>
      </c>
      <c r="N171" s="43" t="str">
        <f>Tabla!AI173</f>
        <v/>
      </c>
      <c r="O171" s="41" t="str">
        <f>IF(Tabla!A173="","",(N171/((1+$O$9)^(CAT!$M171/Pagos_por_año))))</f>
        <v/>
      </c>
      <c r="P171" s="52"/>
      <c r="Q171" s="52"/>
    </row>
    <row r="172" spans="1:17" x14ac:dyDescent="0.2">
      <c r="A172" s="40" t="str">
        <f>+Tabla!A174</f>
        <v/>
      </c>
      <c r="B172" s="43" t="str">
        <f>+Tabla!AK174</f>
        <v/>
      </c>
      <c r="C172" s="41" t="str">
        <f>IF(Tabla!A174="","",(B172/((1+$C$9)^($A172/Parámetros!$D$6))))</f>
        <v/>
      </c>
      <c r="D172" s="42"/>
      <c r="E172" s="40" t="str">
        <f>+Tabla!A174</f>
        <v/>
      </c>
      <c r="F172" s="43" t="str">
        <f>Tabla!AL174</f>
        <v/>
      </c>
      <c r="G172" s="41" t="str">
        <f>IF(Tabla!A174="","",(F172/((1+$G$9)^(CAT!$E172/Pagos_por_año))))</f>
        <v/>
      </c>
      <c r="H172" s="41"/>
      <c r="I172" s="40" t="str">
        <f>+Tabla!A174</f>
        <v/>
      </c>
      <c r="J172" s="43" t="str">
        <f>+Tabla!AA174</f>
        <v/>
      </c>
      <c r="K172" s="41" t="str">
        <f>IF(Tabla!A174="","",(J172/((1+$K$9)^($I172/Parámetros!$D$6))))</f>
        <v/>
      </c>
      <c r="L172" s="42"/>
      <c r="M172" s="40" t="str">
        <f>+Tabla!A174</f>
        <v/>
      </c>
      <c r="N172" s="43" t="str">
        <f>Tabla!AI174</f>
        <v/>
      </c>
      <c r="O172" s="41" t="str">
        <f>IF(Tabla!A174="","",(N172/((1+$O$9)^(CAT!$M172/Pagos_por_año))))</f>
        <v/>
      </c>
      <c r="P172" s="52"/>
      <c r="Q172" s="52"/>
    </row>
    <row r="173" spans="1:17" x14ac:dyDescent="0.2">
      <c r="A173" s="40" t="str">
        <f>+Tabla!A175</f>
        <v/>
      </c>
      <c r="B173" s="43" t="str">
        <f>+Tabla!AK175</f>
        <v/>
      </c>
      <c r="C173" s="41" t="str">
        <f>IF(Tabla!A175="","",(B173/((1+$C$9)^($A173/Parámetros!$D$6))))</f>
        <v/>
      </c>
      <c r="D173" s="42"/>
      <c r="E173" s="40" t="str">
        <f>+Tabla!A175</f>
        <v/>
      </c>
      <c r="F173" s="43" t="str">
        <f>Tabla!AL175</f>
        <v/>
      </c>
      <c r="G173" s="41" t="str">
        <f>IF(Tabla!A175="","",(F173/((1+$G$9)^(CAT!$E173/Pagos_por_año))))</f>
        <v/>
      </c>
      <c r="H173" s="41"/>
      <c r="I173" s="40" t="str">
        <f>+Tabla!A175</f>
        <v/>
      </c>
      <c r="J173" s="43" t="str">
        <f>+Tabla!AA175</f>
        <v/>
      </c>
      <c r="K173" s="41" t="str">
        <f>IF(Tabla!A175="","",(J173/((1+$K$9)^($I173/Parámetros!$D$6))))</f>
        <v/>
      </c>
      <c r="L173" s="42"/>
      <c r="M173" s="40" t="str">
        <f>+Tabla!A175</f>
        <v/>
      </c>
      <c r="N173" s="43" t="str">
        <f>Tabla!AI175</f>
        <v/>
      </c>
      <c r="O173" s="41" t="str">
        <f>IF(Tabla!A175="","",(N173/((1+$O$9)^(CAT!$M173/Pagos_por_año))))</f>
        <v/>
      </c>
      <c r="P173" s="52"/>
      <c r="Q173" s="52"/>
    </row>
    <row r="174" spans="1:17" x14ac:dyDescent="0.2">
      <c r="A174" s="40" t="str">
        <f>+Tabla!A176</f>
        <v/>
      </c>
      <c r="B174" s="43" t="str">
        <f>+Tabla!AK176</f>
        <v/>
      </c>
      <c r="C174" s="41" t="str">
        <f>IF(Tabla!A176="","",(B174/((1+$C$9)^($A174/Parámetros!$D$6))))</f>
        <v/>
      </c>
      <c r="D174" s="42"/>
      <c r="E174" s="40" t="str">
        <f>+Tabla!A176</f>
        <v/>
      </c>
      <c r="F174" s="43" t="str">
        <f>Tabla!AL176</f>
        <v/>
      </c>
      <c r="G174" s="41" t="str">
        <f>IF(Tabla!A176="","",(F174/((1+$G$9)^(CAT!$E174/Pagos_por_año))))</f>
        <v/>
      </c>
      <c r="H174" s="41"/>
      <c r="I174" s="40" t="str">
        <f>+Tabla!A176</f>
        <v/>
      </c>
      <c r="J174" s="43" t="str">
        <f>+Tabla!AA176</f>
        <v/>
      </c>
      <c r="K174" s="41" t="str">
        <f>IF(Tabla!A176="","",(J174/((1+$K$9)^($I174/Parámetros!$D$6))))</f>
        <v/>
      </c>
      <c r="L174" s="42"/>
      <c r="M174" s="40" t="str">
        <f>+Tabla!A176</f>
        <v/>
      </c>
      <c r="N174" s="43" t="str">
        <f>Tabla!AI176</f>
        <v/>
      </c>
      <c r="O174" s="41" t="str">
        <f>IF(Tabla!A176="","",(N174/((1+$O$9)^(CAT!$M174/Pagos_por_año))))</f>
        <v/>
      </c>
      <c r="P174" s="52"/>
      <c r="Q174" s="52"/>
    </row>
    <row r="175" spans="1:17" x14ac:dyDescent="0.2">
      <c r="A175" s="40" t="str">
        <f>+Tabla!A177</f>
        <v/>
      </c>
      <c r="B175" s="43" t="str">
        <f>+Tabla!AK177</f>
        <v/>
      </c>
      <c r="C175" s="41" t="str">
        <f>IF(Tabla!A177="","",(B175/((1+$C$9)^($A175/Parámetros!$D$6))))</f>
        <v/>
      </c>
      <c r="D175" s="42"/>
      <c r="E175" s="40" t="str">
        <f>+Tabla!A177</f>
        <v/>
      </c>
      <c r="F175" s="43" t="str">
        <f>Tabla!AL177</f>
        <v/>
      </c>
      <c r="G175" s="41" t="str">
        <f>IF(Tabla!A177="","",(F175/((1+$G$9)^(CAT!$E175/Pagos_por_año))))</f>
        <v/>
      </c>
      <c r="H175" s="41"/>
      <c r="I175" s="40" t="str">
        <f>+Tabla!A177</f>
        <v/>
      </c>
      <c r="J175" s="43" t="str">
        <f>+Tabla!AA177</f>
        <v/>
      </c>
      <c r="K175" s="41" t="str">
        <f>IF(Tabla!A177="","",(J175/((1+$K$9)^($I175/Parámetros!$D$6))))</f>
        <v/>
      </c>
      <c r="L175" s="42"/>
      <c r="M175" s="40" t="str">
        <f>+Tabla!A177</f>
        <v/>
      </c>
      <c r="N175" s="43" t="str">
        <f>Tabla!AI177</f>
        <v/>
      </c>
      <c r="O175" s="41" t="str">
        <f>IF(Tabla!A177="","",(N175/((1+$O$9)^(CAT!$M175/Pagos_por_año))))</f>
        <v/>
      </c>
      <c r="P175" s="52"/>
      <c r="Q175" s="52"/>
    </row>
    <row r="176" spans="1:17" x14ac:dyDescent="0.2">
      <c r="A176" s="40" t="str">
        <f>+Tabla!A178</f>
        <v/>
      </c>
      <c r="B176" s="43" t="str">
        <f>+Tabla!AK178</f>
        <v/>
      </c>
      <c r="C176" s="41" t="str">
        <f>IF(Tabla!A178="","",(B176/((1+$C$9)^($A176/Parámetros!$D$6))))</f>
        <v/>
      </c>
      <c r="D176" s="42"/>
      <c r="E176" s="40" t="str">
        <f>+Tabla!A178</f>
        <v/>
      </c>
      <c r="F176" s="43" t="str">
        <f>Tabla!AL178</f>
        <v/>
      </c>
      <c r="G176" s="41" t="str">
        <f>IF(Tabla!A178="","",(F176/((1+$G$9)^(CAT!$E176/Pagos_por_año))))</f>
        <v/>
      </c>
      <c r="H176" s="41"/>
      <c r="I176" s="40" t="str">
        <f>+Tabla!A178</f>
        <v/>
      </c>
      <c r="J176" s="43" t="str">
        <f>+Tabla!AA178</f>
        <v/>
      </c>
      <c r="K176" s="41" t="str">
        <f>IF(Tabla!A178="","",(J176/((1+$K$9)^($I176/Parámetros!$D$6))))</f>
        <v/>
      </c>
      <c r="L176" s="42"/>
      <c r="M176" s="40" t="str">
        <f>+Tabla!A178</f>
        <v/>
      </c>
      <c r="N176" s="43" t="str">
        <f>Tabla!AI178</f>
        <v/>
      </c>
      <c r="O176" s="41" t="str">
        <f>IF(Tabla!A178="","",(N176/((1+$O$9)^(CAT!$M176/Pagos_por_año))))</f>
        <v/>
      </c>
      <c r="P176" s="52"/>
      <c r="Q176" s="52"/>
    </row>
    <row r="177" spans="1:17" x14ac:dyDescent="0.2">
      <c r="A177" s="40" t="str">
        <f>+Tabla!A179</f>
        <v/>
      </c>
      <c r="B177" s="43" t="str">
        <f>+Tabla!AK179</f>
        <v/>
      </c>
      <c r="C177" s="41" t="str">
        <f>IF(Tabla!A179="","",(B177/((1+$C$9)^($A177/Parámetros!$D$6))))</f>
        <v/>
      </c>
      <c r="D177" s="42"/>
      <c r="E177" s="40" t="str">
        <f>+Tabla!A179</f>
        <v/>
      </c>
      <c r="F177" s="43" t="str">
        <f>Tabla!AL179</f>
        <v/>
      </c>
      <c r="G177" s="41" t="str">
        <f>IF(Tabla!A179="","",(F177/((1+$G$9)^(CAT!$E177/Pagos_por_año))))</f>
        <v/>
      </c>
      <c r="H177" s="41"/>
      <c r="I177" s="40" t="str">
        <f>+Tabla!A179</f>
        <v/>
      </c>
      <c r="J177" s="43" t="str">
        <f>+Tabla!AA179</f>
        <v/>
      </c>
      <c r="K177" s="41" t="str">
        <f>IF(Tabla!A179="","",(J177/((1+$K$9)^($I177/Parámetros!$D$6))))</f>
        <v/>
      </c>
      <c r="L177" s="42"/>
      <c r="M177" s="40" t="str">
        <f>+Tabla!A179</f>
        <v/>
      </c>
      <c r="N177" s="43" t="str">
        <f>Tabla!AI179</f>
        <v/>
      </c>
      <c r="O177" s="41" t="str">
        <f>IF(Tabla!A179="","",(N177/((1+$O$9)^(CAT!$M177/Pagos_por_año))))</f>
        <v/>
      </c>
      <c r="P177" s="52"/>
      <c r="Q177" s="52"/>
    </row>
    <row r="178" spans="1:17" x14ac:dyDescent="0.2">
      <c r="A178" s="40" t="str">
        <f>+Tabla!A180</f>
        <v/>
      </c>
      <c r="B178" s="43" t="str">
        <f>+Tabla!AK180</f>
        <v/>
      </c>
      <c r="C178" s="41" t="str">
        <f>IF(Tabla!A180="","",(B178/((1+$C$9)^($A178/Parámetros!$D$6))))</f>
        <v/>
      </c>
      <c r="D178" s="42"/>
      <c r="E178" s="40" t="str">
        <f>+Tabla!A180</f>
        <v/>
      </c>
      <c r="F178" s="43" t="str">
        <f>Tabla!AL180</f>
        <v/>
      </c>
      <c r="G178" s="41" t="str">
        <f>IF(Tabla!A180="","",(F178/((1+$G$9)^(CAT!$E178/Pagos_por_año))))</f>
        <v/>
      </c>
      <c r="H178" s="41"/>
      <c r="I178" s="40" t="str">
        <f>+Tabla!A180</f>
        <v/>
      </c>
      <c r="J178" s="43" t="str">
        <f>+Tabla!AA180</f>
        <v/>
      </c>
      <c r="K178" s="41" t="str">
        <f>IF(Tabla!A180="","",(J178/((1+$K$9)^($I178/Parámetros!$D$6))))</f>
        <v/>
      </c>
      <c r="L178" s="42"/>
      <c r="M178" s="40" t="str">
        <f>+Tabla!A180</f>
        <v/>
      </c>
      <c r="N178" s="43" t="str">
        <f>Tabla!AI180</f>
        <v/>
      </c>
      <c r="O178" s="41" t="str">
        <f>IF(Tabla!A180="","",(N178/((1+$O$9)^(CAT!$M178/Pagos_por_año))))</f>
        <v/>
      </c>
      <c r="P178" s="52"/>
      <c r="Q178" s="52"/>
    </row>
    <row r="179" spans="1:17" x14ac:dyDescent="0.2">
      <c r="A179" s="40" t="str">
        <f>+Tabla!A181</f>
        <v/>
      </c>
      <c r="B179" s="43" t="str">
        <f>+Tabla!AK181</f>
        <v/>
      </c>
      <c r="C179" s="41" t="str">
        <f>IF(Tabla!A181="","",(B179/((1+$C$9)^($A179/Parámetros!$D$6))))</f>
        <v/>
      </c>
      <c r="D179" s="42"/>
      <c r="E179" s="40" t="str">
        <f>+Tabla!A181</f>
        <v/>
      </c>
      <c r="F179" s="43" t="str">
        <f>Tabla!AL181</f>
        <v/>
      </c>
      <c r="G179" s="41" t="str">
        <f>IF(Tabla!A181="","",(F179/((1+$G$9)^(CAT!$E179/Pagos_por_año))))</f>
        <v/>
      </c>
      <c r="H179" s="41"/>
      <c r="I179" s="40" t="str">
        <f>+Tabla!A181</f>
        <v/>
      </c>
      <c r="J179" s="43" t="str">
        <f>+Tabla!AA181</f>
        <v/>
      </c>
      <c r="K179" s="41" t="str">
        <f>IF(Tabla!A181="","",(J179/((1+$K$9)^($I179/Parámetros!$D$6))))</f>
        <v/>
      </c>
      <c r="L179" s="42"/>
      <c r="M179" s="40" t="str">
        <f>+Tabla!A181</f>
        <v/>
      </c>
      <c r="N179" s="43" t="str">
        <f>Tabla!AI181</f>
        <v/>
      </c>
      <c r="O179" s="41" t="str">
        <f>IF(Tabla!A181="","",(N179/((1+$O$9)^(CAT!$M179/Pagos_por_año))))</f>
        <v/>
      </c>
      <c r="P179" s="52"/>
      <c r="Q179" s="52"/>
    </row>
    <row r="180" spans="1:17" x14ac:dyDescent="0.2">
      <c r="A180" s="40" t="str">
        <f>+Tabla!A182</f>
        <v/>
      </c>
      <c r="B180" s="43" t="str">
        <f>+Tabla!AK182</f>
        <v/>
      </c>
      <c r="C180" s="41" t="str">
        <f>IF(Tabla!A182="","",(B180/((1+$C$9)^($A180/Parámetros!$D$6))))</f>
        <v/>
      </c>
      <c r="D180" s="42"/>
      <c r="E180" s="40" t="str">
        <f>+Tabla!A182</f>
        <v/>
      </c>
      <c r="F180" s="43" t="str">
        <f>Tabla!AL182</f>
        <v/>
      </c>
      <c r="G180" s="41" t="str">
        <f>IF(Tabla!A182="","",(F180/((1+$G$9)^(CAT!$E180/Pagos_por_año))))</f>
        <v/>
      </c>
      <c r="H180" s="41"/>
      <c r="I180" s="40" t="str">
        <f>+Tabla!A182</f>
        <v/>
      </c>
      <c r="J180" s="43" t="str">
        <f>+Tabla!AA182</f>
        <v/>
      </c>
      <c r="K180" s="41" t="str">
        <f>IF(Tabla!A182="","",(J180/((1+$K$9)^($I180/Parámetros!$D$6))))</f>
        <v/>
      </c>
      <c r="L180" s="42"/>
      <c r="M180" s="40" t="str">
        <f>+Tabla!A182</f>
        <v/>
      </c>
      <c r="N180" s="43" t="str">
        <f>Tabla!AI182</f>
        <v/>
      </c>
      <c r="O180" s="41" t="str">
        <f>IF(Tabla!A182="","",(N180/((1+$O$9)^(CAT!$M180/Pagos_por_año))))</f>
        <v/>
      </c>
      <c r="P180" s="52"/>
      <c r="Q180" s="52"/>
    </row>
    <row r="181" spans="1:17" x14ac:dyDescent="0.2">
      <c r="A181" s="40" t="str">
        <f>+Tabla!A183</f>
        <v/>
      </c>
      <c r="B181" s="43" t="str">
        <f>+Tabla!AK183</f>
        <v/>
      </c>
      <c r="C181" s="41" t="str">
        <f>IF(Tabla!A183="","",(B181/((1+$C$9)^($A181/Parámetros!$D$6))))</f>
        <v/>
      </c>
      <c r="D181" s="42"/>
      <c r="E181" s="40" t="str">
        <f>+Tabla!A183</f>
        <v/>
      </c>
      <c r="F181" s="43" t="str">
        <f>Tabla!AL183</f>
        <v/>
      </c>
      <c r="G181" s="41" t="str">
        <f>IF(Tabla!A183="","",(F181/((1+$G$9)^(CAT!$E181/Pagos_por_año))))</f>
        <v/>
      </c>
      <c r="H181" s="41"/>
      <c r="I181" s="40" t="str">
        <f>+Tabla!A183</f>
        <v/>
      </c>
      <c r="J181" s="43" t="str">
        <f>+Tabla!AA183</f>
        <v/>
      </c>
      <c r="K181" s="41" t="str">
        <f>IF(Tabla!A183="","",(J181/((1+$K$9)^($I181/Parámetros!$D$6))))</f>
        <v/>
      </c>
      <c r="L181" s="42"/>
      <c r="M181" s="40" t="str">
        <f>+Tabla!A183</f>
        <v/>
      </c>
      <c r="N181" s="43" t="str">
        <f>Tabla!AI183</f>
        <v/>
      </c>
      <c r="O181" s="41" t="str">
        <f>IF(Tabla!A183="","",(N181/((1+$O$9)^(CAT!$M181/Pagos_por_año))))</f>
        <v/>
      </c>
      <c r="P181" s="52"/>
      <c r="Q181" s="52"/>
    </row>
    <row r="182" spans="1:17" x14ac:dyDescent="0.2">
      <c r="A182" s="40" t="str">
        <f>+Tabla!A184</f>
        <v/>
      </c>
      <c r="B182" s="43" t="str">
        <f>+Tabla!AK184</f>
        <v/>
      </c>
      <c r="C182" s="41" t="str">
        <f>IF(Tabla!A184="","",(B182/((1+$C$9)^($A182/Parámetros!$D$6))))</f>
        <v/>
      </c>
      <c r="D182" s="42"/>
      <c r="E182" s="40" t="str">
        <f>+Tabla!A184</f>
        <v/>
      </c>
      <c r="F182" s="43" t="str">
        <f>Tabla!AL184</f>
        <v/>
      </c>
      <c r="G182" s="41" t="str">
        <f>IF(Tabla!A184="","",(F182/((1+$G$9)^(CAT!$E182/Pagos_por_año))))</f>
        <v/>
      </c>
      <c r="H182" s="41"/>
      <c r="I182" s="40" t="str">
        <f>+Tabla!A184</f>
        <v/>
      </c>
      <c r="J182" s="43" t="str">
        <f>+Tabla!AA184</f>
        <v/>
      </c>
      <c r="K182" s="41" t="str">
        <f>IF(Tabla!A184="","",(J182/((1+$K$9)^($I182/Parámetros!$D$6))))</f>
        <v/>
      </c>
      <c r="L182" s="42"/>
      <c r="M182" s="40" t="str">
        <f>+Tabla!A184</f>
        <v/>
      </c>
      <c r="N182" s="43" t="str">
        <f>Tabla!AI184</f>
        <v/>
      </c>
      <c r="O182" s="41" t="str">
        <f>IF(Tabla!A184="","",(N182/((1+$O$9)^(CAT!$M182/Pagos_por_año))))</f>
        <v/>
      </c>
      <c r="P182" s="52"/>
      <c r="Q182" s="52"/>
    </row>
    <row r="183" spans="1:17" x14ac:dyDescent="0.2">
      <c r="A183" s="40" t="str">
        <f>+Tabla!A185</f>
        <v/>
      </c>
      <c r="B183" s="43" t="str">
        <f>+Tabla!AK185</f>
        <v/>
      </c>
      <c r="C183" s="41" t="str">
        <f>IF(Tabla!A185="","",(B183/((1+$C$9)^($A183/Parámetros!$D$6))))</f>
        <v/>
      </c>
      <c r="D183" s="42"/>
      <c r="E183" s="40" t="str">
        <f>+Tabla!A185</f>
        <v/>
      </c>
      <c r="F183" s="43" t="str">
        <f>Tabla!AL185</f>
        <v/>
      </c>
      <c r="G183" s="41" t="str">
        <f>IF(Tabla!A185="","",(F183/((1+$G$9)^(CAT!$E183/Pagos_por_año))))</f>
        <v/>
      </c>
      <c r="H183" s="41"/>
      <c r="I183" s="40" t="str">
        <f>+Tabla!A185</f>
        <v/>
      </c>
      <c r="J183" s="43" t="str">
        <f>+Tabla!AA185</f>
        <v/>
      </c>
      <c r="K183" s="41" t="str">
        <f>IF(Tabla!A185="","",(J183/((1+$K$9)^($I183/Parámetros!$D$6))))</f>
        <v/>
      </c>
      <c r="L183" s="42"/>
      <c r="M183" s="40" t="str">
        <f>+Tabla!A185</f>
        <v/>
      </c>
      <c r="N183" s="43" t="str">
        <f>Tabla!AI185</f>
        <v/>
      </c>
      <c r="O183" s="41" t="str">
        <f>IF(Tabla!A185="","",(N183/((1+$O$9)^(CAT!$M183/Pagos_por_año))))</f>
        <v/>
      </c>
      <c r="P183" s="52"/>
      <c r="Q183" s="52"/>
    </row>
    <row r="184" spans="1:17" x14ac:dyDescent="0.2">
      <c r="A184" s="40" t="str">
        <f>+Tabla!A186</f>
        <v/>
      </c>
      <c r="B184" s="43" t="str">
        <f>+Tabla!AK186</f>
        <v/>
      </c>
      <c r="C184" s="41" t="str">
        <f>IF(Tabla!A186="","",(B184/((1+$C$9)^($A184/Parámetros!$D$6))))</f>
        <v/>
      </c>
      <c r="D184" s="42"/>
      <c r="E184" s="40" t="str">
        <f>+Tabla!A186</f>
        <v/>
      </c>
      <c r="F184" s="43" t="str">
        <f>Tabla!AL186</f>
        <v/>
      </c>
      <c r="G184" s="41" t="str">
        <f>IF(Tabla!A186="","",(F184/((1+$G$9)^(CAT!$E184/Pagos_por_año))))</f>
        <v/>
      </c>
      <c r="H184" s="41"/>
      <c r="I184" s="40" t="str">
        <f>+Tabla!A186</f>
        <v/>
      </c>
      <c r="J184" s="43" t="str">
        <f>+Tabla!AA186</f>
        <v/>
      </c>
      <c r="K184" s="41" t="str">
        <f>IF(Tabla!A186="","",(J184/((1+$K$9)^($I184/Parámetros!$D$6))))</f>
        <v/>
      </c>
      <c r="L184" s="42"/>
      <c r="M184" s="40" t="str">
        <f>+Tabla!A186</f>
        <v/>
      </c>
      <c r="N184" s="43" t="str">
        <f>Tabla!AI186</f>
        <v/>
      </c>
      <c r="O184" s="41" t="str">
        <f>IF(Tabla!A186="","",(N184/((1+$O$9)^(CAT!$M184/Pagos_por_año))))</f>
        <v/>
      </c>
      <c r="P184" s="52"/>
      <c r="Q184" s="52"/>
    </row>
    <row r="185" spans="1:17" x14ac:dyDescent="0.2">
      <c r="A185" s="40" t="str">
        <f>+Tabla!A187</f>
        <v/>
      </c>
      <c r="B185" s="43" t="str">
        <f>+Tabla!AK187</f>
        <v/>
      </c>
      <c r="C185" s="41" t="str">
        <f>IF(Tabla!A187="","",(B185/((1+$C$9)^($A185/Parámetros!$D$6))))</f>
        <v/>
      </c>
      <c r="D185" s="42"/>
      <c r="E185" s="40" t="str">
        <f>+Tabla!A187</f>
        <v/>
      </c>
      <c r="F185" s="43" t="str">
        <f>Tabla!AL187</f>
        <v/>
      </c>
      <c r="G185" s="41" t="str">
        <f>IF(Tabla!A187="","",(F185/((1+$G$9)^(CAT!$E185/Pagos_por_año))))</f>
        <v/>
      </c>
      <c r="H185" s="41"/>
      <c r="I185" s="40" t="str">
        <f>+Tabla!A187</f>
        <v/>
      </c>
      <c r="J185" s="43" t="str">
        <f>+Tabla!AA187</f>
        <v/>
      </c>
      <c r="K185" s="41" t="str">
        <f>IF(Tabla!A187="","",(J185/((1+$K$9)^($I185/Parámetros!$D$6))))</f>
        <v/>
      </c>
      <c r="L185" s="42"/>
      <c r="M185" s="40" t="str">
        <f>+Tabla!A187</f>
        <v/>
      </c>
      <c r="N185" s="43" t="str">
        <f>Tabla!AI187</f>
        <v/>
      </c>
      <c r="O185" s="41" t="str">
        <f>IF(Tabla!A187="","",(N185/((1+$O$9)^(CAT!$M185/Pagos_por_año))))</f>
        <v/>
      </c>
      <c r="P185" s="52"/>
      <c r="Q185" s="52"/>
    </row>
    <row r="186" spans="1:17" x14ac:dyDescent="0.2">
      <c r="A186" s="40" t="str">
        <f>+Tabla!A188</f>
        <v/>
      </c>
      <c r="B186" s="43" t="str">
        <f>+Tabla!AK188</f>
        <v/>
      </c>
      <c r="C186" s="41" t="str">
        <f>IF(Tabla!A188="","",(B186/((1+$C$9)^($A186/Parámetros!$D$6))))</f>
        <v/>
      </c>
      <c r="D186" s="42"/>
      <c r="E186" s="40" t="str">
        <f>+Tabla!A188</f>
        <v/>
      </c>
      <c r="F186" s="43" t="str">
        <f>Tabla!AL188</f>
        <v/>
      </c>
      <c r="G186" s="41" t="str">
        <f>IF(Tabla!A188="","",(F186/((1+$G$9)^(CAT!$E186/Pagos_por_año))))</f>
        <v/>
      </c>
      <c r="H186" s="41"/>
      <c r="I186" s="40" t="str">
        <f>+Tabla!A188</f>
        <v/>
      </c>
      <c r="J186" s="43" t="str">
        <f>+Tabla!AA188</f>
        <v/>
      </c>
      <c r="K186" s="41" t="str">
        <f>IF(Tabla!A188="","",(J186/((1+$K$9)^($I186/Parámetros!$D$6))))</f>
        <v/>
      </c>
      <c r="L186" s="42"/>
      <c r="M186" s="40" t="str">
        <f>+Tabla!A188</f>
        <v/>
      </c>
      <c r="N186" s="43" t="str">
        <f>Tabla!AI188</f>
        <v/>
      </c>
      <c r="O186" s="41" t="str">
        <f>IF(Tabla!A188="","",(N186/((1+$O$9)^(CAT!$M186/Pagos_por_año))))</f>
        <v/>
      </c>
      <c r="P186" s="52"/>
      <c r="Q186" s="52"/>
    </row>
    <row r="187" spans="1:17" x14ac:dyDescent="0.2">
      <c r="A187" s="40" t="str">
        <f>+Tabla!A189</f>
        <v/>
      </c>
      <c r="B187" s="43" t="str">
        <f>+Tabla!AK189</f>
        <v/>
      </c>
      <c r="C187" s="41" t="str">
        <f>IF(Tabla!A189="","",(B187/((1+$C$9)^($A187/Parámetros!$D$6))))</f>
        <v/>
      </c>
      <c r="D187" s="42"/>
      <c r="E187" s="40" t="str">
        <f>+Tabla!A189</f>
        <v/>
      </c>
      <c r="F187" s="43" t="str">
        <f>Tabla!AL189</f>
        <v/>
      </c>
      <c r="G187" s="41" t="str">
        <f>IF(Tabla!A189="","",(F187/((1+$G$9)^(CAT!$E187/Pagos_por_año))))</f>
        <v/>
      </c>
      <c r="H187" s="41"/>
      <c r="I187" s="40" t="str">
        <f>+Tabla!A189</f>
        <v/>
      </c>
      <c r="J187" s="43" t="str">
        <f>+Tabla!AA189</f>
        <v/>
      </c>
      <c r="K187" s="41" t="str">
        <f>IF(Tabla!A189="","",(J187/((1+$K$9)^($I187/Parámetros!$D$6))))</f>
        <v/>
      </c>
      <c r="L187" s="42"/>
      <c r="M187" s="40" t="str">
        <f>+Tabla!A189</f>
        <v/>
      </c>
      <c r="N187" s="43" t="str">
        <f>Tabla!AI189</f>
        <v/>
      </c>
      <c r="O187" s="41" t="str">
        <f>IF(Tabla!A189="","",(N187/((1+$O$9)^(CAT!$M187/Pagos_por_año))))</f>
        <v/>
      </c>
      <c r="P187" s="52"/>
      <c r="Q187" s="52"/>
    </row>
    <row r="188" spans="1:17" x14ac:dyDescent="0.2">
      <c r="A188" s="40" t="str">
        <f>+Tabla!A190</f>
        <v/>
      </c>
      <c r="B188" s="43" t="str">
        <f>+Tabla!AK190</f>
        <v/>
      </c>
      <c r="C188" s="41" t="str">
        <f>IF(Tabla!A190="","",(B188/((1+$C$9)^($A188/Parámetros!$D$6))))</f>
        <v/>
      </c>
      <c r="D188" s="42"/>
      <c r="E188" s="40" t="str">
        <f>+Tabla!A190</f>
        <v/>
      </c>
      <c r="F188" s="43" t="str">
        <f>Tabla!AL190</f>
        <v/>
      </c>
      <c r="G188" s="41" t="str">
        <f>IF(Tabla!A190="","",(F188/((1+$G$9)^(CAT!$E188/Pagos_por_año))))</f>
        <v/>
      </c>
      <c r="H188" s="41"/>
      <c r="I188" s="40" t="str">
        <f>+Tabla!A190</f>
        <v/>
      </c>
      <c r="J188" s="43" t="str">
        <f>+Tabla!AA190</f>
        <v/>
      </c>
      <c r="K188" s="41" t="str">
        <f>IF(Tabla!A190="","",(J188/((1+$K$9)^($I188/Parámetros!$D$6))))</f>
        <v/>
      </c>
      <c r="L188" s="42"/>
      <c r="M188" s="40" t="str">
        <f>+Tabla!A190</f>
        <v/>
      </c>
      <c r="N188" s="43" t="str">
        <f>Tabla!AI190</f>
        <v/>
      </c>
      <c r="O188" s="41" t="str">
        <f>IF(Tabla!A190="","",(N188/((1+$O$9)^(CAT!$M188/Pagos_por_año))))</f>
        <v/>
      </c>
      <c r="P188" s="52"/>
      <c r="Q188" s="52"/>
    </row>
    <row r="189" spans="1:17" x14ac:dyDescent="0.2">
      <c r="A189" s="40" t="str">
        <f>+Tabla!A191</f>
        <v/>
      </c>
      <c r="B189" s="43" t="str">
        <f>+Tabla!AK191</f>
        <v/>
      </c>
      <c r="C189" s="41" t="str">
        <f>IF(Tabla!A191="","",(B189/((1+$C$9)^($A189/Parámetros!$D$6))))</f>
        <v/>
      </c>
      <c r="D189" s="42"/>
      <c r="E189" s="40" t="str">
        <f>+Tabla!A191</f>
        <v/>
      </c>
      <c r="F189" s="43" t="str">
        <f>Tabla!AL191</f>
        <v/>
      </c>
      <c r="G189" s="41" t="str">
        <f>IF(Tabla!A191="","",(F189/((1+$G$9)^(CAT!$E189/Pagos_por_año))))</f>
        <v/>
      </c>
      <c r="H189" s="41"/>
      <c r="I189" s="40" t="str">
        <f>+Tabla!A191</f>
        <v/>
      </c>
      <c r="J189" s="43" t="str">
        <f>+Tabla!AA191</f>
        <v/>
      </c>
      <c r="K189" s="41" t="str">
        <f>IF(Tabla!A191="","",(J189/((1+$K$9)^($I189/Parámetros!$D$6))))</f>
        <v/>
      </c>
      <c r="L189" s="42"/>
      <c r="M189" s="40" t="str">
        <f>+Tabla!A191</f>
        <v/>
      </c>
      <c r="N189" s="43" t="str">
        <f>Tabla!AI191</f>
        <v/>
      </c>
      <c r="O189" s="41" t="str">
        <f>IF(Tabla!A191="","",(N189/((1+$O$9)^(CAT!$M189/Pagos_por_año))))</f>
        <v/>
      </c>
      <c r="P189" s="52"/>
      <c r="Q189" s="52"/>
    </row>
    <row r="190" spans="1:17" x14ac:dyDescent="0.2">
      <c r="A190" s="40" t="str">
        <f>+Tabla!A192</f>
        <v/>
      </c>
      <c r="B190" s="43" t="str">
        <f>+Tabla!AK192</f>
        <v/>
      </c>
      <c r="C190" s="41" t="str">
        <f>IF(Tabla!A192="","",(B190/((1+$C$9)^($A190/Parámetros!$D$6))))</f>
        <v/>
      </c>
      <c r="D190" s="42"/>
      <c r="E190" s="40" t="str">
        <f>+Tabla!A192</f>
        <v/>
      </c>
      <c r="F190" s="43" t="str">
        <f>Tabla!AL192</f>
        <v/>
      </c>
      <c r="G190" s="41" t="str">
        <f>IF(Tabla!A192="","",(F190/((1+$G$9)^(CAT!$E190/Pagos_por_año))))</f>
        <v/>
      </c>
      <c r="H190" s="41"/>
      <c r="I190" s="40" t="str">
        <f>+Tabla!A192</f>
        <v/>
      </c>
      <c r="J190" s="43" t="str">
        <f>+Tabla!AA192</f>
        <v/>
      </c>
      <c r="K190" s="41" t="str">
        <f>IF(Tabla!A192="","",(J190/((1+$K$9)^($I190/Parámetros!$D$6))))</f>
        <v/>
      </c>
      <c r="L190" s="42"/>
      <c r="M190" s="40" t="str">
        <f>+Tabla!A192</f>
        <v/>
      </c>
      <c r="N190" s="43" t="str">
        <f>Tabla!AI192</f>
        <v/>
      </c>
      <c r="O190" s="41" t="str">
        <f>IF(Tabla!A192="","",(N190/((1+$O$9)^(CAT!$M190/Pagos_por_año))))</f>
        <v/>
      </c>
      <c r="P190" s="52"/>
      <c r="Q190" s="52"/>
    </row>
    <row r="191" spans="1:17" x14ac:dyDescent="0.2">
      <c r="A191" s="40" t="str">
        <f>+Tabla!A193</f>
        <v/>
      </c>
      <c r="B191" s="43" t="str">
        <f>+Tabla!AK193</f>
        <v/>
      </c>
      <c r="C191" s="41" t="str">
        <f>IF(Tabla!A193="","",(B191/((1+$C$9)^($A191/Parámetros!$D$6))))</f>
        <v/>
      </c>
      <c r="D191" s="42"/>
      <c r="E191" s="40" t="str">
        <f>+Tabla!A193</f>
        <v/>
      </c>
      <c r="F191" s="43" t="str">
        <f>Tabla!AL193</f>
        <v/>
      </c>
      <c r="G191" s="41" t="str">
        <f>IF(Tabla!A193="","",(F191/((1+$G$9)^(CAT!$E191/Pagos_por_año))))</f>
        <v/>
      </c>
      <c r="H191" s="41"/>
      <c r="I191" s="40" t="str">
        <f>+Tabla!A193</f>
        <v/>
      </c>
      <c r="J191" s="43" t="str">
        <f>+Tabla!AA193</f>
        <v/>
      </c>
      <c r="K191" s="41" t="str">
        <f>IF(Tabla!A193="","",(J191/((1+$K$9)^($I191/Parámetros!$D$6))))</f>
        <v/>
      </c>
      <c r="L191" s="42"/>
      <c r="M191" s="40" t="str">
        <f>+Tabla!A193</f>
        <v/>
      </c>
      <c r="N191" s="43" t="str">
        <f>Tabla!AI193</f>
        <v/>
      </c>
      <c r="O191" s="41" t="str">
        <f>IF(Tabla!A193="","",(N191/((1+$O$9)^(CAT!$M191/Pagos_por_año))))</f>
        <v/>
      </c>
      <c r="P191" s="52"/>
      <c r="Q191" s="52"/>
    </row>
    <row r="192" spans="1:17" x14ac:dyDescent="0.2">
      <c r="A192" s="40" t="str">
        <f>+Tabla!A194</f>
        <v/>
      </c>
      <c r="B192" s="43" t="str">
        <f>+Tabla!AK194</f>
        <v/>
      </c>
      <c r="C192" s="41" t="str">
        <f>IF(Tabla!A194="","",(B192/((1+$C$9)^($A192/Parámetros!$D$6))))</f>
        <v/>
      </c>
      <c r="D192" s="42"/>
      <c r="E192" s="40" t="str">
        <f>+Tabla!A194</f>
        <v/>
      </c>
      <c r="F192" s="43" t="str">
        <f>Tabla!AL194</f>
        <v/>
      </c>
      <c r="G192" s="41" t="str">
        <f>IF(Tabla!A194="","",(F192/((1+$G$9)^(CAT!$E192/Pagos_por_año))))</f>
        <v/>
      </c>
      <c r="H192" s="41"/>
      <c r="I192" s="40" t="str">
        <f>+Tabla!A194</f>
        <v/>
      </c>
      <c r="J192" s="43" t="str">
        <f>+Tabla!AA194</f>
        <v/>
      </c>
      <c r="K192" s="41" t="str">
        <f>IF(Tabla!A194="","",(J192/((1+$K$9)^($I192/Parámetros!$D$6))))</f>
        <v/>
      </c>
      <c r="L192" s="42"/>
      <c r="M192" s="40" t="str">
        <f>+Tabla!A194</f>
        <v/>
      </c>
      <c r="N192" s="43" t="str">
        <f>Tabla!AI194</f>
        <v/>
      </c>
      <c r="O192" s="41" t="str">
        <f>IF(Tabla!A194="","",(N192/((1+$O$9)^(CAT!$M192/Pagos_por_año))))</f>
        <v/>
      </c>
      <c r="P192" s="52"/>
      <c r="Q192" s="52"/>
    </row>
    <row r="193" spans="1:17" x14ac:dyDescent="0.2">
      <c r="A193" s="40" t="str">
        <f>+Tabla!A195</f>
        <v/>
      </c>
      <c r="B193" s="43" t="str">
        <f>+Tabla!AK195</f>
        <v/>
      </c>
      <c r="C193" s="41" t="str">
        <f>IF(Tabla!A195="","",(B193/((1+$C$9)^($A193/Parámetros!$D$6))))</f>
        <v/>
      </c>
      <c r="D193" s="42"/>
      <c r="E193" s="40" t="str">
        <f>+Tabla!A195</f>
        <v/>
      </c>
      <c r="F193" s="43" t="str">
        <f>Tabla!AL195</f>
        <v/>
      </c>
      <c r="G193" s="41" t="str">
        <f>IF(Tabla!A195="","",(F193/((1+$G$9)^(CAT!$E193/Pagos_por_año))))</f>
        <v/>
      </c>
      <c r="H193" s="41"/>
      <c r="I193" s="40" t="str">
        <f>+Tabla!A195</f>
        <v/>
      </c>
      <c r="J193" s="43" t="str">
        <f>+Tabla!AA195</f>
        <v/>
      </c>
      <c r="K193" s="41" t="str">
        <f>IF(Tabla!A195="","",(J193/((1+$K$9)^($I193/Parámetros!$D$6))))</f>
        <v/>
      </c>
      <c r="L193" s="42"/>
      <c r="M193" s="40" t="str">
        <f>+Tabla!A195</f>
        <v/>
      </c>
      <c r="N193" s="43" t="str">
        <f>Tabla!AI195</f>
        <v/>
      </c>
      <c r="O193" s="41" t="str">
        <f>IF(Tabla!A195="","",(N193/((1+$O$9)^(CAT!$M193/Pagos_por_año))))</f>
        <v/>
      </c>
      <c r="P193" s="52"/>
      <c r="Q193" s="52"/>
    </row>
    <row r="194" spans="1:17" x14ac:dyDescent="0.2">
      <c r="A194" s="40" t="str">
        <f>+Tabla!A196</f>
        <v/>
      </c>
      <c r="B194" s="43" t="str">
        <f>+Tabla!AK196</f>
        <v/>
      </c>
      <c r="C194" s="41" t="str">
        <f>IF(Tabla!A196="","",(B194/((1+$C$9)^($A194/Parámetros!$D$6))))</f>
        <v/>
      </c>
      <c r="D194" s="42"/>
      <c r="E194" s="40" t="str">
        <f>+Tabla!A196</f>
        <v/>
      </c>
      <c r="F194" s="43" t="str">
        <f>Tabla!AL196</f>
        <v/>
      </c>
      <c r="G194" s="41" t="str">
        <f>IF(Tabla!A196="","",(F194/((1+$G$9)^(CAT!$E194/Pagos_por_año))))</f>
        <v/>
      </c>
      <c r="H194" s="41"/>
      <c r="I194" s="40" t="str">
        <f>+Tabla!A196</f>
        <v/>
      </c>
      <c r="J194" s="43" t="str">
        <f>+Tabla!AA196</f>
        <v/>
      </c>
      <c r="K194" s="41" t="str">
        <f>IF(Tabla!A196="","",(J194/((1+$K$9)^($I194/Parámetros!$D$6))))</f>
        <v/>
      </c>
      <c r="L194" s="42"/>
      <c r="M194" s="40" t="str">
        <f>+Tabla!A196</f>
        <v/>
      </c>
      <c r="N194" s="43" t="str">
        <f>Tabla!AI196</f>
        <v/>
      </c>
      <c r="O194" s="41" t="str">
        <f>IF(Tabla!A196="","",(N194/((1+$O$9)^(CAT!$M194/Pagos_por_año))))</f>
        <v/>
      </c>
      <c r="P194" s="52"/>
      <c r="Q194" s="52"/>
    </row>
    <row r="195" spans="1:17" x14ac:dyDescent="0.2">
      <c r="A195" s="40" t="str">
        <f>+Tabla!A197</f>
        <v/>
      </c>
      <c r="B195" s="43" t="str">
        <f>+Tabla!AK197</f>
        <v/>
      </c>
      <c r="C195" s="41" t="str">
        <f>IF(Tabla!A197="","",(B195/((1+$C$9)^($A195/Parámetros!$D$6))))</f>
        <v/>
      </c>
      <c r="D195" s="42"/>
      <c r="E195" s="40" t="str">
        <f>+Tabla!A197</f>
        <v/>
      </c>
      <c r="F195" s="43" t="str">
        <f>Tabla!AL197</f>
        <v/>
      </c>
      <c r="G195" s="41" t="str">
        <f>IF(Tabla!A197="","",(F195/((1+$G$9)^(CAT!$E195/Pagos_por_año))))</f>
        <v/>
      </c>
      <c r="H195" s="41"/>
      <c r="I195" s="40" t="str">
        <f>+Tabla!A197</f>
        <v/>
      </c>
      <c r="J195" s="43" t="str">
        <f>+Tabla!AA197</f>
        <v/>
      </c>
      <c r="K195" s="41" t="str">
        <f>IF(Tabla!A197="","",(J195/((1+$K$9)^($I195/Parámetros!$D$6))))</f>
        <v/>
      </c>
      <c r="L195" s="42"/>
      <c r="M195" s="40" t="str">
        <f>+Tabla!A197</f>
        <v/>
      </c>
      <c r="N195" s="43" t="str">
        <f>Tabla!AI197</f>
        <v/>
      </c>
      <c r="O195" s="41" t="str">
        <f>IF(Tabla!A197="","",(N195/((1+$O$9)^(CAT!$M195/Pagos_por_año))))</f>
        <v/>
      </c>
      <c r="P195" s="52"/>
      <c r="Q195" s="52"/>
    </row>
    <row r="196" spans="1:17" x14ac:dyDescent="0.2">
      <c r="A196" s="40" t="str">
        <f>+Tabla!A198</f>
        <v/>
      </c>
      <c r="B196" s="43" t="str">
        <f>+Tabla!AK198</f>
        <v/>
      </c>
      <c r="C196" s="41" t="str">
        <f>IF(Tabla!A198="","",(B196/((1+$C$9)^($A196/Parámetros!$D$6))))</f>
        <v/>
      </c>
      <c r="D196" s="42"/>
      <c r="E196" s="40" t="str">
        <f>+Tabla!A198</f>
        <v/>
      </c>
      <c r="F196" s="43" t="str">
        <f>Tabla!AL198</f>
        <v/>
      </c>
      <c r="G196" s="41" t="str">
        <f>IF(Tabla!A198="","",(F196/((1+$G$9)^(CAT!$E196/Pagos_por_año))))</f>
        <v/>
      </c>
      <c r="H196" s="41"/>
      <c r="I196" s="40" t="str">
        <f>+Tabla!A198</f>
        <v/>
      </c>
      <c r="J196" s="43" t="str">
        <f>+Tabla!AA198</f>
        <v/>
      </c>
      <c r="K196" s="41" t="str">
        <f>IF(Tabla!A198="","",(J196/((1+$K$9)^($I196/Parámetros!$D$6))))</f>
        <v/>
      </c>
      <c r="L196" s="42"/>
      <c r="M196" s="40" t="str">
        <f>+Tabla!A198</f>
        <v/>
      </c>
      <c r="N196" s="43" t="str">
        <f>Tabla!AI198</f>
        <v/>
      </c>
      <c r="O196" s="41" t="str">
        <f>IF(Tabla!A198="","",(N196/((1+$O$9)^(CAT!$M196/Pagos_por_año))))</f>
        <v/>
      </c>
      <c r="P196" s="52"/>
      <c r="Q196" s="52"/>
    </row>
    <row r="197" spans="1:17" x14ac:dyDescent="0.2">
      <c r="A197" s="40" t="str">
        <f>+Tabla!A199</f>
        <v/>
      </c>
      <c r="B197" s="43" t="str">
        <f>+Tabla!AK199</f>
        <v/>
      </c>
      <c r="C197" s="41" t="str">
        <f>IF(Tabla!A199="","",(B197/((1+$C$9)^($A197/Parámetros!$D$6))))</f>
        <v/>
      </c>
      <c r="D197" s="42"/>
      <c r="E197" s="40" t="str">
        <f>+Tabla!A199</f>
        <v/>
      </c>
      <c r="F197" s="43" t="str">
        <f>Tabla!AL199</f>
        <v/>
      </c>
      <c r="G197" s="41" t="str">
        <f>IF(Tabla!A199="","",(F197/((1+$G$9)^(CAT!$E197/Pagos_por_año))))</f>
        <v/>
      </c>
      <c r="H197" s="41"/>
      <c r="I197" s="40" t="str">
        <f>+Tabla!A199</f>
        <v/>
      </c>
      <c r="J197" s="43" t="str">
        <f>+Tabla!AA199</f>
        <v/>
      </c>
      <c r="K197" s="41" t="str">
        <f>IF(Tabla!A199="","",(J197/((1+$K$9)^($I197/Parámetros!$D$6))))</f>
        <v/>
      </c>
      <c r="L197" s="42"/>
      <c r="M197" s="40" t="str">
        <f>+Tabla!A199</f>
        <v/>
      </c>
      <c r="N197" s="43" t="str">
        <f>Tabla!AI199</f>
        <v/>
      </c>
      <c r="O197" s="41" t="str">
        <f>IF(Tabla!A199="","",(N197/((1+$O$9)^(CAT!$M197/Pagos_por_año))))</f>
        <v/>
      </c>
      <c r="P197" s="52"/>
      <c r="Q197" s="52"/>
    </row>
    <row r="198" spans="1:17" x14ac:dyDescent="0.2">
      <c r="A198" s="40" t="str">
        <f>+Tabla!A200</f>
        <v/>
      </c>
      <c r="B198" s="43" t="str">
        <f>+Tabla!AK200</f>
        <v/>
      </c>
      <c r="C198" s="41" t="str">
        <f>IF(Tabla!A200="","",(B198/((1+$C$9)^($A198/Parámetros!$D$6))))</f>
        <v/>
      </c>
      <c r="D198" s="42"/>
      <c r="E198" s="40" t="str">
        <f>+Tabla!A200</f>
        <v/>
      </c>
      <c r="F198" s="43" t="str">
        <f>Tabla!AL200</f>
        <v/>
      </c>
      <c r="G198" s="41" t="str">
        <f>IF(Tabla!A200="","",(F198/((1+$G$9)^(CAT!$E198/Pagos_por_año))))</f>
        <v/>
      </c>
      <c r="H198" s="41"/>
      <c r="I198" s="40" t="str">
        <f>+Tabla!A200</f>
        <v/>
      </c>
      <c r="J198" s="43" t="str">
        <f>+Tabla!AA200</f>
        <v/>
      </c>
      <c r="K198" s="41" t="str">
        <f>IF(Tabla!A200="","",(J198/((1+$K$9)^($I198/Parámetros!$D$6))))</f>
        <v/>
      </c>
      <c r="L198" s="42"/>
      <c r="M198" s="40" t="str">
        <f>+Tabla!A200</f>
        <v/>
      </c>
      <c r="N198" s="43" t="str">
        <f>Tabla!AI200</f>
        <v/>
      </c>
      <c r="O198" s="41" t="str">
        <f>IF(Tabla!A200="","",(N198/((1+$O$9)^(CAT!$M198/Pagos_por_año))))</f>
        <v/>
      </c>
      <c r="P198" s="52"/>
      <c r="Q198" s="52"/>
    </row>
    <row r="199" spans="1:17" x14ac:dyDescent="0.2">
      <c r="A199" s="40" t="str">
        <f>+Tabla!A201</f>
        <v/>
      </c>
      <c r="B199" s="43" t="str">
        <f>+Tabla!AK201</f>
        <v/>
      </c>
      <c r="C199" s="41" t="str">
        <f>IF(Tabla!A201="","",(B199/((1+$C$9)^($A199/Parámetros!$D$6))))</f>
        <v/>
      </c>
      <c r="D199" s="42"/>
      <c r="E199" s="40" t="str">
        <f>+Tabla!A201</f>
        <v/>
      </c>
      <c r="F199" s="43" t="str">
        <f>Tabla!AL201</f>
        <v/>
      </c>
      <c r="G199" s="41" t="str">
        <f>IF(Tabla!A201="","",(F199/((1+$G$9)^(CAT!$E199/Pagos_por_año))))</f>
        <v/>
      </c>
      <c r="H199" s="41"/>
      <c r="I199" s="40" t="str">
        <f>+Tabla!A201</f>
        <v/>
      </c>
      <c r="J199" s="43" t="str">
        <f>+Tabla!AA201</f>
        <v/>
      </c>
      <c r="K199" s="41" t="str">
        <f>IF(Tabla!A201="","",(J199/((1+$K$9)^($I199/Parámetros!$D$6))))</f>
        <v/>
      </c>
      <c r="L199" s="42"/>
      <c r="M199" s="40" t="str">
        <f>+Tabla!A201</f>
        <v/>
      </c>
      <c r="N199" s="43" t="str">
        <f>Tabla!AI201</f>
        <v/>
      </c>
      <c r="O199" s="41" t="str">
        <f>IF(Tabla!A201="","",(N199/((1+$O$9)^(CAT!$M199/Pagos_por_año))))</f>
        <v/>
      </c>
      <c r="P199" s="52"/>
      <c r="Q199" s="52"/>
    </row>
    <row r="200" spans="1:17" x14ac:dyDescent="0.2">
      <c r="A200" s="40" t="str">
        <f>+Tabla!A202</f>
        <v/>
      </c>
      <c r="B200" s="43" t="str">
        <f>+Tabla!AK202</f>
        <v/>
      </c>
      <c r="C200" s="41" t="str">
        <f>IF(Tabla!A202="","",(B200/((1+$C$9)^($A200/Parámetros!$D$6))))</f>
        <v/>
      </c>
      <c r="D200" s="42"/>
      <c r="E200" s="40" t="str">
        <f>+Tabla!A202</f>
        <v/>
      </c>
      <c r="F200" s="43" t="str">
        <f>Tabla!AL202</f>
        <v/>
      </c>
      <c r="G200" s="41" t="str">
        <f>IF(Tabla!A202="","",(F200/((1+$G$9)^(CAT!$E200/Pagos_por_año))))</f>
        <v/>
      </c>
      <c r="H200" s="41"/>
      <c r="I200" s="40" t="str">
        <f>+Tabla!A202</f>
        <v/>
      </c>
      <c r="J200" s="43" t="str">
        <f>+Tabla!AA202</f>
        <v/>
      </c>
      <c r="K200" s="41" t="str">
        <f>IF(Tabla!A202="","",(J200/((1+$K$9)^($I200/Parámetros!$D$6))))</f>
        <v/>
      </c>
      <c r="L200" s="42"/>
      <c r="M200" s="40" t="str">
        <f>+Tabla!A202</f>
        <v/>
      </c>
      <c r="N200" s="43" t="str">
        <f>Tabla!AI202</f>
        <v/>
      </c>
      <c r="O200" s="41" t="str">
        <f>IF(Tabla!A202="","",(N200/((1+$O$9)^(CAT!$M200/Pagos_por_año))))</f>
        <v/>
      </c>
      <c r="P200" s="52"/>
      <c r="Q200" s="52"/>
    </row>
    <row r="201" spans="1:17" x14ac:dyDescent="0.2">
      <c r="A201" s="40" t="str">
        <f>+Tabla!A203</f>
        <v/>
      </c>
      <c r="B201" s="43" t="str">
        <f>+Tabla!AK203</f>
        <v/>
      </c>
      <c r="C201" s="41" t="str">
        <f>IF(Tabla!A203="","",(B201/((1+$C$9)^($A201/Parámetros!$D$6))))</f>
        <v/>
      </c>
      <c r="D201" s="42"/>
      <c r="E201" s="40" t="str">
        <f>+Tabla!A203</f>
        <v/>
      </c>
      <c r="F201" s="43" t="str">
        <f>Tabla!AL203</f>
        <v/>
      </c>
      <c r="G201" s="41" t="str">
        <f>IF(Tabla!A203="","",(F201/((1+$G$9)^(CAT!$E201/Pagos_por_año))))</f>
        <v/>
      </c>
      <c r="H201" s="41"/>
      <c r="I201" s="40" t="str">
        <f>+Tabla!A203</f>
        <v/>
      </c>
      <c r="J201" s="43" t="str">
        <f>+Tabla!AA203</f>
        <v/>
      </c>
      <c r="K201" s="41" t="str">
        <f>IF(Tabla!A203="","",(J201/((1+$K$9)^($I201/Parámetros!$D$6))))</f>
        <v/>
      </c>
      <c r="L201" s="42"/>
      <c r="M201" s="40" t="str">
        <f>+Tabla!A203</f>
        <v/>
      </c>
      <c r="N201" s="43" t="str">
        <f>Tabla!AI203</f>
        <v/>
      </c>
      <c r="O201" s="41" t="str">
        <f>IF(Tabla!A203="","",(N201/((1+$O$9)^(CAT!$M201/Pagos_por_año))))</f>
        <v/>
      </c>
      <c r="P201" s="52"/>
      <c r="Q201" s="52"/>
    </row>
    <row r="202" spans="1:17" x14ac:dyDescent="0.2">
      <c r="A202" s="40" t="str">
        <f>+Tabla!A204</f>
        <v/>
      </c>
      <c r="B202" s="43" t="str">
        <f>+Tabla!AK204</f>
        <v/>
      </c>
      <c r="C202" s="41" t="str">
        <f>IF(Tabla!A204="","",(B202/((1+$C$9)^($A202/Parámetros!$D$6))))</f>
        <v/>
      </c>
      <c r="D202" s="42"/>
      <c r="E202" s="40" t="str">
        <f>+Tabla!A204</f>
        <v/>
      </c>
      <c r="F202" s="43" t="str">
        <f>Tabla!AL204</f>
        <v/>
      </c>
      <c r="G202" s="41" t="str">
        <f>IF(Tabla!A204="","",(F202/((1+$G$9)^(CAT!$E202/Pagos_por_año))))</f>
        <v/>
      </c>
      <c r="H202" s="41"/>
      <c r="I202" s="40" t="str">
        <f>+Tabla!A204</f>
        <v/>
      </c>
      <c r="J202" s="43" t="str">
        <f>+Tabla!AA204</f>
        <v/>
      </c>
      <c r="K202" s="41" t="str">
        <f>IF(Tabla!A204="","",(J202/((1+$K$9)^($I202/Parámetros!$D$6))))</f>
        <v/>
      </c>
      <c r="L202" s="42"/>
      <c r="M202" s="40" t="str">
        <f>+Tabla!A204</f>
        <v/>
      </c>
      <c r="N202" s="43" t="str">
        <f>Tabla!AI204</f>
        <v/>
      </c>
      <c r="O202" s="41" t="str">
        <f>IF(Tabla!A204="","",(N202/((1+$O$9)^(CAT!$M202/Pagos_por_año))))</f>
        <v/>
      </c>
      <c r="P202" s="52"/>
      <c r="Q202" s="52"/>
    </row>
    <row r="203" spans="1:17" x14ac:dyDescent="0.2">
      <c r="A203" s="40" t="str">
        <f>+Tabla!A205</f>
        <v/>
      </c>
      <c r="B203" s="43" t="str">
        <f>+Tabla!AK205</f>
        <v/>
      </c>
      <c r="C203" s="41" t="str">
        <f>IF(Tabla!A205="","",(B203/((1+$C$9)^($A203/Parámetros!$D$6))))</f>
        <v/>
      </c>
      <c r="D203" s="42"/>
      <c r="E203" s="40" t="str">
        <f>+Tabla!A205</f>
        <v/>
      </c>
      <c r="F203" s="43" t="str">
        <f>Tabla!AL205</f>
        <v/>
      </c>
      <c r="G203" s="41" t="str">
        <f>IF(Tabla!A205="","",(F203/((1+$G$9)^(CAT!$E203/Pagos_por_año))))</f>
        <v/>
      </c>
      <c r="H203" s="41"/>
      <c r="I203" s="40" t="str">
        <f>+Tabla!A205</f>
        <v/>
      </c>
      <c r="J203" s="43" t="str">
        <f>+Tabla!AA205</f>
        <v/>
      </c>
      <c r="K203" s="41" t="str">
        <f>IF(Tabla!A205="","",(J203/((1+$K$9)^($I203/Parámetros!$D$6))))</f>
        <v/>
      </c>
      <c r="L203" s="42"/>
      <c r="M203" s="40" t="str">
        <f>+Tabla!A205</f>
        <v/>
      </c>
      <c r="N203" s="43" t="str">
        <f>Tabla!AI205</f>
        <v/>
      </c>
      <c r="O203" s="41" t="str">
        <f>IF(Tabla!A205="","",(N203/((1+$O$9)^(CAT!$M203/Pagos_por_año))))</f>
        <v/>
      </c>
      <c r="P203" s="52"/>
      <c r="Q203" s="52"/>
    </row>
    <row r="204" spans="1:17" x14ac:dyDescent="0.2">
      <c r="A204" s="40" t="str">
        <f>+Tabla!A206</f>
        <v/>
      </c>
      <c r="B204" s="43" t="str">
        <f>+Tabla!AK206</f>
        <v/>
      </c>
      <c r="C204" s="41" t="str">
        <f>IF(Tabla!A206="","",(B204/((1+$C$9)^($A204/Parámetros!$D$6))))</f>
        <v/>
      </c>
      <c r="D204" s="42"/>
      <c r="E204" s="40" t="str">
        <f>+Tabla!A206</f>
        <v/>
      </c>
      <c r="F204" s="43" t="str">
        <f>Tabla!AL206</f>
        <v/>
      </c>
      <c r="G204" s="41" t="str">
        <f>IF(Tabla!A206="","",(F204/((1+$G$9)^(CAT!$E204/Pagos_por_año))))</f>
        <v/>
      </c>
      <c r="H204" s="41"/>
      <c r="I204" s="40" t="str">
        <f>+Tabla!A206</f>
        <v/>
      </c>
      <c r="J204" s="43" t="str">
        <f>+Tabla!AA206</f>
        <v/>
      </c>
      <c r="K204" s="41" t="str">
        <f>IF(Tabla!A206="","",(J204/((1+$K$9)^($I204/Parámetros!$D$6))))</f>
        <v/>
      </c>
      <c r="L204" s="42"/>
      <c r="M204" s="40" t="str">
        <f>+Tabla!A206</f>
        <v/>
      </c>
      <c r="N204" s="43" t="str">
        <f>Tabla!AI206</f>
        <v/>
      </c>
      <c r="O204" s="41" t="str">
        <f>IF(Tabla!A206="","",(N204/((1+$O$9)^(CAT!$M204/Pagos_por_año))))</f>
        <v/>
      </c>
      <c r="P204" s="52"/>
      <c r="Q204" s="52"/>
    </row>
    <row r="205" spans="1:17" x14ac:dyDescent="0.2">
      <c r="A205" s="40" t="str">
        <f>+Tabla!A207</f>
        <v/>
      </c>
      <c r="B205" s="43" t="str">
        <f>+Tabla!AK207</f>
        <v/>
      </c>
      <c r="C205" s="41" t="str">
        <f>IF(Tabla!A207="","",(B205/((1+$C$9)^($A205/Parámetros!$D$6))))</f>
        <v/>
      </c>
      <c r="D205" s="42"/>
      <c r="E205" s="40" t="str">
        <f>+Tabla!A207</f>
        <v/>
      </c>
      <c r="F205" s="43" t="str">
        <f>Tabla!AL207</f>
        <v/>
      </c>
      <c r="G205" s="41" t="str">
        <f>IF(Tabla!A207="","",(F205/((1+$G$9)^(CAT!$E205/Pagos_por_año))))</f>
        <v/>
      </c>
      <c r="H205" s="41"/>
      <c r="I205" s="40" t="str">
        <f>+Tabla!A207</f>
        <v/>
      </c>
      <c r="J205" s="43" t="str">
        <f>+Tabla!AA207</f>
        <v/>
      </c>
      <c r="K205" s="41" t="str">
        <f>IF(Tabla!A207="","",(J205/((1+$K$9)^($I205/Parámetros!$D$6))))</f>
        <v/>
      </c>
      <c r="L205" s="42"/>
      <c r="M205" s="40" t="str">
        <f>+Tabla!A207</f>
        <v/>
      </c>
      <c r="N205" s="43" t="str">
        <f>Tabla!AI207</f>
        <v/>
      </c>
      <c r="O205" s="41" t="str">
        <f>IF(Tabla!A207="","",(N205/((1+$O$9)^(CAT!$M205/Pagos_por_año))))</f>
        <v/>
      </c>
      <c r="P205" s="52"/>
      <c r="Q205" s="52"/>
    </row>
    <row r="206" spans="1:17" x14ac:dyDescent="0.2">
      <c r="A206" s="40" t="str">
        <f>+Tabla!A208</f>
        <v/>
      </c>
      <c r="B206" s="43" t="str">
        <f>+Tabla!AK208</f>
        <v/>
      </c>
      <c r="C206" s="41" t="str">
        <f>IF(Tabla!A208="","",(B206/((1+$C$9)^($A206/Parámetros!$D$6))))</f>
        <v/>
      </c>
      <c r="D206" s="42"/>
      <c r="E206" s="40" t="str">
        <f>+Tabla!A208</f>
        <v/>
      </c>
      <c r="F206" s="43" t="str">
        <f>Tabla!AL208</f>
        <v/>
      </c>
      <c r="G206" s="41" t="str">
        <f>IF(Tabla!A208="","",(F206/((1+$G$9)^(CAT!$E206/Pagos_por_año))))</f>
        <v/>
      </c>
      <c r="H206" s="41"/>
      <c r="I206" s="40" t="str">
        <f>+Tabla!A208</f>
        <v/>
      </c>
      <c r="J206" s="43" t="str">
        <f>+Tabla!AA208</f>
        <v/>
      </c>
      <c r="K206" s="41" t="str">
        <f>IF(Tabla!A208="","",(J206/((1+$K$9)^($I206/Parámetros!$D$6))))</f>
        <v/>
      </c>
      <c r="L206" s="42"/>
      <c r="M206" s="40" t="str">
        <f>+Tabla!A208</f>
        <v/>
      </c>
      <c r="N206" s="43" t="str">
        <f>Tabla!AI208</f>
        <v/>
      </c>
      <c r="O206" s="41" t="str">
        <f>IF(Tabla!A208="","",(N206/((1+$O$9)^(CAT!$M206/Pagos_por_año))))</f>
        <v/>
      </c>
      <c r="P206" s="52"/>
      <c r="Q206" s="52"/>
    </row>
    <row r="207" spans="1:17" x14ac:dyDescent="0.2">
      <c r="A207" s="40" t="str">
        <f>+Tabla!A209</f>
        <v/>
      </c>
      <c r="B207" s="43" t="str">
        <f>+Tabla!AK209</f>
        <v/>
      </c>
      <c r="C207" s="41" t="str">
        <f>IF(Tabla!A209="","",(B207/((1+$C$9)^($A207/Parámetros!$D$6))))</f>
        <v/>
      </c>
      <c r="D207" s="42"/>
      <c r="E207" s="40" t="str">
        <f>+Tabla!A209</f>
        <v/>
      </c>
      <c r="F207" s="43" t="str">
        <f>Tabla!AL209</f>
        <v/>
      </c>
      <c r="G207" s="41" t="str">
        <f>IF(Tabla!A209="","",(F207/((1+$G$9)^(CAT!$E207/Pagos_por_año))))</f>
        <v/>
      </c>
      <c r="H207" s="41"/>
      <c r="I207" s="40" t="str">
        <f>+Tabla!A209</f>
        <v/>
      </c>
      <c r="J207" s="43" t="str">
        <f>+Tabla!AA209</f>
        <v/>
      </c>
      <c r="K207" s="41" t="str">
        <f>IF(Tabla!A209="","",(J207/((1+$K$9)^($I207/Parámetros!$D$6))))</f>
        <v/>
      </c>
      <c r="L207" s="42"/>
      <c r="M207" s="40" t="str">
        <f>+Tabla!A209</f>
        <v/>
      </c>
      <c r="N207" s="43" t="str">
        <f>Tabla!AI209</f>
        <v/>
      </c>
      <c r="O207" s="41" t="str">
        <f>IF(Tabla!A209="","",(N207/((1+$O$9)^(CAT!$M207/Pagos_por_año))))</f>
        <v/>
      </c>
      <c r="P207" s="52"/>
      <c r="Q207" s="52"/>
    </row>
    <row r="208" spans="1:17" x14ac:dyDescent="0.2">
      <c r="A208" s="40" t="str">
        <f>+Tabla!A210</f>
        <v/>
      </c>
      <c r="B208" s="43" t="str">
        <f>+Tabla!AK210</f>
        <v/>
      </c>
      <c r="C208" s="41" t="str">
        <f>IF(Tabla!A210="","",(B208/((1+$C$9)^($A208/Parámetros!$D$6))))</f>
        <v/>
      </c>
      <c r="D208" s="42"/>
      <c r="E208" s="40" t="str">
        <f>+Tabla!A210</f>
        <v/>
      </c>
      <c r="F208" s="43" t="str">
        <f>Tabla!AL210</f>
        <v/>
      </c>
      <c r="G208" s="41" t="str">
        <f>IF(Tabla!A210="","",(F208/((1+$G$9)^(CAT!$E208/Pagos_por_año))))</f>
        <v/>
      </c>
      <c r="H208" s="41"/>
      <c r="I208" s="40" t="str">
        <f>+Tabla!A210</f>
        <v/>
      </c>
      <c r="J208" s="43" t="str">
        <f>+Tabla!AA210</f>
        <v/>
      </c>
      <c r="K208" s="41" t="str">
        <f>IF(Tabla!A210="","",(J208/((1+$K$9)^($I208/Parámetros!$D$6))))</f>
        <v/>
      </c>
      <c r="L208" s="42"/>
      <c r="M208" s="40" t="str">
        <f>+Tabla!A210</f>
        <v/>
      </c>
      <c r="N208" s="43" t="str">
        <f>Tabla!AI210</f>
        <v/>
      </c>
      <c r="O208" s="41" t="str">
        <f>IF(Tabla!A210="","",(N208/((1+$O$9)^(CAT!$M208/Pagos_por_año))))</f>
        <v/>
      </c>
      <c r="P208" s="52"/>
      <c r="Q208" s="52"/>
    </row>
    <row r="209" spans="1:17" x14ac:dyDescent="0.2">
      <c r="A209" s="40" t="str">
        <f>+Tabla!A211</f>
        <v/>
      </c>
      <c r="B209" s="43" t="str">
        <f>+Tabla!AK211</f>
        <v/>
      </c>
      <c r="C209" s="41" t="str">
        <f>IF(Tabla!A211="","",(B209/((1+$C$9)^($A209/Parámetros!$D$6))))</f>
        <v/>
      </c>
      <c r="D209" s="42"/>
      <c r="E209" s="40" t="str">
        <f>+Tabla!A211</f>
        <v/>
      </c>
      <c r="F209" s="43" t="str">
        <f>Tabla!AL211</f>
        <v/>
      </c>
      <c r="G209" s="41" t="str">
        <f>IF(Tabla!A211="","",(F209/((1+$G$9)^(CAT!$E209/Pagos_por_año))))</f>
        <v/>
      </c>
      <c r="H209" s="41"/>
      <c r="I209" s="40" t="str">
        <f>+Tabla!A211</f>
        <v/>
      </c>
      <c r="J209" s="43" t="str">
        <f>+Tabla!AA211</f>
        <v/>
      </c>
      <c r="K209" s="41" t="str">
        <f>IF(Tabla!A211="","",(J209/((1+$K$9)^($I209/Parámetros!$D$6))))</f>
        <v/>
      </c>
      <c r="L209" s="42"/>
      <c r="M209" s="40" t="str">
        <f>+Tabla!A211</f>
        <v/>
      </c>
      <c r="N209" s="43" t="str">
        <f>Tabla!AI211</f>
        <v/>
      </c>
      <c r="O209" s="41" t="str">
        <f>IF(Tabla!A211="","",(N209/((1+$O$9)^(CAT!$M209/Pagos_por_año))))</f>
        <v/>
      </c>
      <c r="P209" s="52"/>
      <c r="Q209" s="52"/>
    </row>
    <row r="210" spans="1:17" x14ac:dyDescent="0.2">
      <c r="A210" s="40" t="str">
        <f>+Tabla!A212</f>
        <v/>
      </c>
      <c r="B210" s="43" t="str">
        <f>+Tabla!AK212</f>
        <v/>
      </c>
      <c r="C210" s="41" t="str">
        <f>IF(Tabla!A212="","",(B210/((1+$C$9)^($A210/Parámetros!$D$6))))</f>
        <v/>
      </c>
      <c r="D210" s="42"/>
      <c r="E210" s="40" t="str">
        <f>+Tabla!A212</f>
        <v/>
      </c>
      <c r="F210" s="43" t="str">
        <f>Tabla!AL212</f>
        <v/>
      </c>
      <c r="G210" s="41" t="str">
        <f>IF(Tabla!A212="","",(F210/((1+$G$9)^(CAT!$E210/Pagos_por_año))))</f>
        <v/>
      </c>
      <c r="H210" s="41"/>
      <c r="I210" s="40" t="str">
        <f>+Tabla!A212</f>
        <v/>
      </c>
      <c r="J210" s="43" t="str">
        <f>+Tabla!AA212</f>
        <v/>
      </c>
      <c r="K210" s="41" t="str">
        <f>IF(Tabla!A212="","",(J210/((1+$K$9)^($I210/Parámetros!$D$6))))</f>
        <v/>
      </c>
      <c r="L210" s="42"/>
      <c r="M210" s="40" t="str">
        <f>+Tabla!A212</f>
        <v/>
      </c>
      <c r="N210" s="43" t="str">
        <f>Tabla!AI212</f>
        <v/>
      </c>
      <c r="O210" s="41" t="str">
        <f>IF(Tabla!A212="","",(N210/((1+$O$9)^(CAT!$M210/Pagos_por_año))))</f>
        <v/>
      </c>
      <c r="P210" s="52"/>
      <c r="Q210" s="52"/>
    </row>
    <row r="211" spans="1:17" x14ac:dyDescent="0.2">
      <c r="A211" s="40" t="str">
        <f>+Tabla!A213</f>
        <v/>
      </c>
      <c r="B211" s="43" t="str">
        <f>+Tabla!AK213</f>
        <v/>
      </c>
      <c r="C211" s="41" t="str">
        <f>IF(Tabla!A213="","",(B211/((1+$C$9)^($A211/Parámetros!$D$6))))</f>
        <v/>
      </c>
      <c r="D211" s="42"/>
      <c r="E211" s="40" t="str">
        <f>+Tabla!A213</f>
        <v/>
      </c>
      <c r="F211" s="43" t="str">
        <f>Tabla!AL213</f>
        <v/>
      </c>
      <c r="G211" s="41" t="str">
        <f>IF(Tabla!A213="","",(F211/((1+$G$9)^(CAT!$E211/Pagos_por_año))))</f>
        <v/>
      </c>
      <c r="H211" s="41"/>
      <c r="I211" s="40" t="str">
        <f>+Tabla!A213</f>
        <v/>
      </c>
      <c r="J211" s="43" t="str">
        <f>+Tabla!AA213</f>
        <v/>
      </c>
      <c r="K211" s="41" t="str">
        <f>IF(Tabla!A213="","",(J211/((1+$K$9)^($I211/Parámetros!$D$6))))</f>
        <v/>
      </c>
      <c r="L211" s="42"/>
      <c r="M211" s="40" t="str">
        <f>+Tabla!A213</f>
        <v/>
      </c>
      <c r="N211" s="43" t="str">
        <f>Tabla!AI213</f>
        <v/>
      </c>
      <c r="O211" s="41" t="str">
        <f>IF(Tabla!A213="","",(N211/((1+$O$9)^(CAT!$M211/Pagos_por_año))))</f>
        <v/>
      </c>
      <c r="P211" s="52"/>
      <c r="Q211" s="52"/>
    </row>
    <row r="212" spans="1:17" x14ac:dyDescent="0.2">
      <c r="A212" s="40" t="str">
        <f>+Tabla!A214</f>
        <v/>
      </c>
      <c r="B212" s="43" t="str">
        <f>+Tabla!AK214</f>
        <v/>
      </c>
      <c r="C212" s="41" t="str">
        <f>IF(Tabla!A214="","",(B212/((1+$C$9)^($A212/Parámetros!$D$6))))</f>
        <v/>
      </c>
      <c r="D212" s="42"/>
      <c r="E212" s="40" t="str">
        <f>+Tabla!A214</f>
        <v/>
      </c>
      <c r="F212" s="43" t="str">
        <f>Tabla!AL214</f>
        <v/>
      </c>
      <c r="G212" s="41" t="str">
        <f>IF(Tabla!A214="","",(F212/((1+$G$9)^(CAT!$E212/Pagos_por_año))))</f>
        <v/>
      </c>
      <c r="H212" s="41"/>
      <c r="I212" s="40" t="str">
        <f>+Tabla!A214</f>
        <v/>
      </c>
      <c r="J212" s="43" t="str">
        <f>+Tabla!AA214</f>
        <v/>
      </c>
      <c r="K212" s="41" t="str">
        <f>IF(Tabla!A214="","",(J212/((1+$K$9)^($I212/Parámetros!$D$6))))</f>
        <v/>
      </c>
      <c r="L212" s="42"/>
      <c r="M212" s="40" t="str">
        <f>+Tabla!A214</f>
        <v/>
      </c>
      <c r="N212" s="43" t="str">
        <f>Tabla!AI214</f>
        <v/>
      </c>
      <c r="O212" s="41" t="str">
        <f>IF(Tabla!A214="","",(N212/((1+$O$9)^(CAT!$M212/Pagos_por_año))))</f>
        <v/>
      </c>
      <c r="P212" s="52"/>
      <c r="Q212" s="52"/>
    </row>
    <row r="213" spans="1:17" x14ac:dyDescent="0.2">
      <c r="A213" s="40" t="str">
        <f>+Tabla!A215</f>
        <v/>
      </c>
      <c r="B213" s="43" t="str">
        <f>+Tabla!AK215</f>
        <v/>
      </c>
      <c r="C213" s="41" t="str">
        <f>IF(Tabla!A215="","",(B213/((1+$C$9)^($A213/Parámetros!$D$6))))</f>
        <v/>
      </c>
      <c r="D213" s="42"/>
      <c r="E213" s="40" t="str">
        <f>+Tabla!A215</f>
        <v/>
      </c>
      <c r="F213" s="43" t="str">
        <f>Tabla!AL215</f>
        <v/>
      </c>
      <c r="G213" s="41" t="str">
        <f>IF(Tabla!A215="","",(F213/((1+$G$9)^(CAT!$E213/Pagos_por_año))))</f>
        <v/>
      </c>
      <c r="H213" s="41"/>
      <c r="I213" s="40" t="str">
        <f>+Tabla!A215</f>
        <v/>
      </c>
      <c r="J213" s="43" t="str">
        <f>+Tabla!AA215</f>
        <v/>
      </c>
      <c r="K213" s="41" t="str">
        <f>IF(Tabla!A215="","",(J213/((1+$K$9)^($I213/Parámetros!$D$6))))</f>
        <v/>
      </c>
      <c r="L213" s="42"/>
      <c r="M213" s="40" t="str">
        <f>+Tabla!A215</f>
        <v/>
      </c>
      <c r="N213" s="43" t="str">
        <f>Tabla!AI215</f>
        <v/>
      </c>
      <c r="O213" s="41" t="str">
        <f>IF(Tabla!A215="","",(N213/((1+$O$9)^(CAT!$M213/Pagos_por_año))))</f>
        <v/>
      </c>
      <c r="P213" s="52"/>
      <c r="Q213" s="52"/>
    </row>
    <row r="214" spans="1:17" x14ac:dyDescent="0.2">
      <c r="A214" s="40" t="str">
        <f>+Tabla!A216</f>
        <v/>
      </c>
      <c r="B214" s="43" t="str">
        <f>+Tabla!AK216</f>
        <v/>
      </c>
      <c r="C214" s="41" t="str">
        <f>IF(Tabla!A216="","",(B214/((1+$C$9)^($A214/Parámetros!$D$6))))</f>
        <v/>
      </c>
      <c r="D214" s="42"/>
      <c r="E214" s="40" t="str">
        <f>+Tabla!A216</f>
        <v/>
      </c>
      <c r="F214" s="43" t="str">
        <f>Tabla!AL216</f>
        <v/>
      </c>
      <c r="G214" s="41" t="str">
        <f>IF(Tabla!A216="","",(F214/((1+$G$9)^(CAT!$E214/Pagos_por_año))))</f>
        <v/>
      </c>
      <c r="H214" s="41"/>
      <c r="I214" s="40" t="str">
        <f>+Tabla!A216</f>
        <v/>
      </c>
      <c r="J214" s="43" t="str">
        <f>+Tabla!AA216</f>
        <v/>
      </c>
      <c r="K214" s="41" t="str">
        <f>IF(Tabla!A216="","",(J214/((1+$K$9)^($I214/Parámetros!$D$6))))</f>
        <v/>
      </c>
      <c r="L214" s="42"/>
      <c r="M214" s="40" t="str">
        <f>+Tabla!A216</f>
        <v/>
      </c>
      <c r="N214" s="43" t="str">
        <f>Tabla!AI216</f>
        <v/>
      </c>
      <c r="O214" s="41" t="str">
        <f>IF(Tabla!A216="","",(N214/((1+$O$9)^(CAT!$M214/Pagos_por_año))))</f>
        <v/>
      </c>
      <c r="P214" s="52"/>
      <c r="Q214" s="52"/>
    </row>
    <row r="215" spans="1:17" x14ac:dyDescent="0.2">
      <c r="A215" s="40" t="str">
        <f>+Tabla!A217</f>
        <v/>
      </c>
      <c r="B215" s="43" t="str">
        <f>+Tabla!AK217</f>
        <v/>
      </c>
      <c r="C215" s="41" t="str">
        <f>IF(Tabla!A217="","",(B215/((1+$C$9)^($A215/Parámetros!$D$6))))</f>
        <v/>
      </c>
      <c r="D215" s="42"/>
      <c r="E215" s="40" t="str">
        <f>+Tabla!A217</f>
        <v/>
      </c>
      <c r="F215" s="43" t="str">
        <f>Tabla!AL217</f>
        <v/>
      </c>
      <c r="G215" s="41" t="str">
        <f>IF(Tabla!A217="","",(F215/((1+$G$9)^(CAT!$E215/Pagos_por_año))))</f>
        <v/>
      </c>
      <c r="H215" s="41"/>
      <c r="I215" s="40" t="str">
        <f>+Tabla!A217</f>
        <v/>
      </c>
      <c r="J215" s="43" t="str">
        <f>+Tabla!AA217</f>
        <v/>
      </c>
      <c r="K215" s="41" t="str">
        <f>IF(Tabla!A217="","",(J215/((1+$K$9)^($I215/Parámetros!$D$6))))</f>
        <v/>
      </c>
      <c r="L215" s="42"/>
      <c r="M215" s="40" t="str">
        <f>+Tabla!A217</f>
        <v/>
      </c>
      <c r="N215" s="43" t="str">
        <f>Tabla!AI217</f>
        <v/>
      </c>
      <c r="O215" s="41" t="str">
        <f>IF(Tabla!A217="","",(N215/((1+$O$9)^(CAT!$M215/Pagos_por_año))))</f>
        <v/>
      </c>
      <c r="P215" s="52"/>
      <c r="Q215" s="52"/>
    </row>
    <row r="216" spans="1:17" x14ac:dyDescent="0.2">
      <c r="A216" s="40" t="str">
        <f>+Tabla!A218</f>
        <v/>
      </c>
      <c r="B216" s="43" t="str">
        <f>+Tabla!AK218</f>
        <v/>
      </c>
      <c r="C216" s="41" t="str">
        <f>IF(Tabla!A218="","",(B216/((1+$C$9)^($A216/Parámetros!$D$6))))</f>
        <v/>
      </c>
      <c r="D216" s="42"/>
      <c r="E216" s="40" t="str">
        <f>+Tabla!A218</f>
        <v/>
      </c>
      <c r="F216" s="43" t="str">
        <f>Tabla!AL218</f>
        <v/>
      </c>
      <c r="G216" s="41" t="str">
        <f>IF(Tabla!A218="","",(F216/((1+$G$9)^(CAT!$E216/Pagos_por_año))))</f>
        <v/>
      </c>
      <c r="H216" s="41"/>
      <c r="I216" s="40" t="str">
        <f>+Tabla!A218</f>
        <v/>
      </c>
      <c r="J216" s="43" t="str">
        <f>+Tabla!AA218</f>
        <v/>
      </c>
      <c r="K216" s="41" t="str">
        <f>IF(Tabla!A218="","",(J216/((1+$K$9)^($I216/Parámetros!$D$6))))</f>
        <v/>
      </c>
      <c r="L216" s="42"/>
      <c r="M216" s="40" t="str">
        <f>+Tabla!A218</f>
        <v/>
      </c>
      <c r="N216" s="43" t="str">
        <f>Tabla!AI218</f>
        <v/>
      </c>
      <c r="O216" s="41" t="str">
        <f>IF(Tabla!A218="","",(N216/((1+$O$9)^(CAT!$M216/Pagos_por_año))))</f>
        <v/>
      </c>
      <c r="P216" s="52"/>
      <c r="Q216" s="52"/>
    </row>
    <row r="217" spans="1:17" x14ac:dyDescent="0.2">
      <c r="A217" s="40" t="str">
        <f>+Tabla!A219</f>
        <v/>
      </c>
      <c r="B217" s="43" t="str">
        <f>+Tabla!AK219</f>
        <v/>
      </c>
      <c r="C217" s="41" t="str">
        <f>IF(Tabla!A219="","",(B217/((1+$C$9)^($A217/Parámetros!$D$6))))</f>
        <v/>
      </c>
      <c r="D217" s="42"/>
      <c r="E217" s="40" t="str">
        <f>+Tabla!A219</f>
        <v/>
      </c>
      <c r="F217" s="43" t="str">
        <f>Tabla!AL219</f>
        <v/>
      </c>
      <c r="G217" s="41" t="str">
        <f>IF(Tabla!A219="","",(F217/((1+$G$9)^(CAT!$E217/Pagos_por_año))))</f>
        <v/>
      </c>
      <c r="H217" s="41"/>
      <c r="I217" s="40" t="str">
        <f>+Tabla!A219</f>
        <v/>
      </c>
      <c r="J217" s="43" t="str">
        <f>+Tabla!AA219</f>
        <v/>
      </c>
      <c r="K217" s="41" t="str">
        <f>IF(Tabla!A219="","",(J217/((1+$K$9)^($I217/Parámetros!$D$6))))</f>
        <v/>
      </c>
      <c r="L217" s="42"/>
      <c r="M217" s="40" t="str">
        <f>+Tabla!A219</f>
        <v/>
      </c>
      <c r="N217" s="43" t="str">
        <f>Tabla!AI219</f>
        <v/>
      </c>
      <c r="O217" s="41" t="str">
        <f>IF(Tabla!A219="","",(N217/((1+$O$9)^(CAT!$M217/Pagos_por_año))))</f>
        <v/>
      </c>
      <c r="P217" s="52"/>
      <c r="Q217" s="52"/>
    </row>
    <row r="218" spans="1:17" x14ac:dyDescent="0.2">
      <c r="A218" s="40" t="str">
        <f>+Tabla!A220</f>
        <v/>
      </c>
      <c r="B218" s="43" t="str">
        <f>+Tabla!AK220</f>
        <v/>
      </c>
      <c r="C218" s="41" t="str">
        <f>IF(Tabla!A220="","",(B218/((1+$C$9)^($A218/Parámetros!$D$6))))</f>
        <v/>
      </c>
      <c r="D218" s="42"/>
      <c r="E218" s="40" t="str">
        <f>+Tabla!A220</f>
        <v/>
      </c>
      <c r="F218" s="43" t="str">
        <f>Tabla!AL220</f>
        <v/>
      </c>
      <c r="G218" s="41" t="str">
        <f>IF(Tabla!A220="","",(F218/((1+$G$9)^(CAT!$E218/Pagos_por_año))))</f>
        <v/>
      </c>
      <c r="H218" s="41"/>
      <c r="I218" s="40" t="str">
        <f>+Tabla!A220</f>
        <v/>
      </c>
      <c r="J218" s="43" t="str">
        <f>+Tabla!AA220</f>
        <v/>
      </c>
      <c r="K218" s="41" t="str">
        <f>IF(Tabla!A220="","",(J218/((1+$K$9)^($I218/Parámetros!$D$6))))</f>
        <v/>
      </c>
      <c r="L218" s="42"/>
      <c r="M218" s="40" t="str">
        <f>+Tabla!A220</f>
        <v/>
      </c>
      <c r="N218" s="43" t="str">
        <f>Tabla!AI220</f>
        <v/>
      </c>
      <c r="O218" s="41" t="str">
        <f>IF(Tabla!A220="","",(N218/((1+$O$9)^(CAT!$M218/Pagos_por_año))))</f>
        <v/>
      </c>
      <c r="P218" s="52"/>
      <c r="Q218" s="52"/>
    </row>
    <row r="219" spans="1:17" x14ac:dyDescent="0.2">
      <c r="A219" s="40" t="str">
        <f>+Tabla!A221</f>
        <v/>
      </c>
      <c r="B219" s="43" t="str">
        <f>+Tabla!AK221</f>
        <v/>
      </c>
      <c r="C219" s="41" t="str">
        <f>IF(Tabla!A221="","",(B219/((1+$C$9)^($A219/Parámetros!$D$6))))</f>
        <v/>
      </c>
      <c r="D219" s="42"/>
      <c r="E219" s="40" t="str">
        <f>+Tabla!A221</f>
        <v/>
      </c>
      <c r="F219" s="43" t="str">
        <f>Tabla!AL221</f>
        <v/>
      </c>
      <c r="G219" s="41" t="str">
        <f>IF(Tabla!A221="","",(F219/((1+$G$9)^(CAT!$E219/Pagos_por_año))))</f>
        <v/>
      </c>
      <c r="H219" s="41"/>
      <c r="I219" s="40" t="str">
        <f>+Tabla!A221</f>
        <v/>
      </c>
      <c r="J219" s="43" t="str">
        <f>+Tabla!AA221</f>
        <v/>
      </c>
      <c r="K219" s="41" t="str">
        <f>IF(Tabla!A221="","",(J219/((1+$K$9)^($I219/Parámetros!$D$6))))</f>
        <v/>
      </c>
      <c r="L219" s="42"/>
      <c r="M219" s="40" t="str">
        <f>+Tabla!A221</f>
        <v/>
      </c>
      <c r="N219" s="43" t="str">
        <f>Tabla!AI221</f>
        <v/>
      </c>
      <c r="O219" s="41" t="str">
        <f>IF(Tabla!A221="","",(N219/((1+$O$9)^(CAT!$M219/Pagos_por_año))))</f>
        <v/>
      </c>
      <c r="P219" s="52"/>
      <c r="Q219" s="52"/>
    </row>
    <row r="220" spans="1:17" x14ac:dyDescent="0.2">
      <c r="A220" s="40" t="str">
        <f>+Tabla!A222</f>
        <v/>
      </c>
      <c r="B220" s="43" t="str">
        <f>+Tabla!AK222</f>
        <v/>
      </c>
      <c r="C220" s="41" t="str">
        <f>IF(Tabla!A222="","",(B220/((1+$C$9)^($A220/Parámetros!$D$6))))</f>
        <v/>
      </c>
      <c r="D220" s="42"/>
      <c r="E220" s="40" t="str">
        <f>+Tabla!A222</f>
        <v/>
      </c>
      <c r="F220" s="43" t="str">
        <f>Tabla!AL222</f>
        <v/>
      </c>
      <c r="G220" s="41" t="str">
        <f>IF(Tabla!A222="","",(F220/((1+$G$9)^(CAT!$E220/Pagos_por_año))))</f>
        <v/>
      </c>
      <c r="H220" s="41"/>
      <c r="I220" s="40" t="str">
        <f>+Tabla!A222</f>
        <v/>
      </c>
      <c r="J220" s="43" t="str">
        <f>+Tabla!AA222</f>
        <v/>
      </c>
      <c r="K220" s="41" t="str">
        <f>IF(Tabla!A222="","",(J220/((1+$K$9)^($I220/Parámetros!$D$6))))</f>
        <v/>
      </c>
      <c r="L220" s="42"/>
      <c r="M220" s="40" t="str">
        <f>+Tabla!A222</f>
        <v/>
      </c>
      <c r="N220" s="43" t="str">
        <f>Tabla!AI222</f>
        <v/>
      </c>
      <c r="O220" s="41" t="str">
        <f>IF(Tabla!A222="","",(N220/((1+$O$9)^(CAT!$M220/Pagos_por_año))))</f>
        <v/>
      </c>
      <c r="P220" s="52"/>
      <c r="Q220" s="52"/>
    </row>
    <row r="221" spans="1:17" x14ac:dyDescent="0.2">
      <c r="A221" s="40" t="str">
        <f>+Tabla!A223</f>
        <v/>
      </c>
      <c r="B221" s="43" t="str">
        <f>+Tabla!AK223</f>
        <v/>
      </c>
      <c r="C221" s="41" t="str">
        <f>IF(Tabla!A223="","",(B221/((1+$C$9)^($A221/Parámetros!$D$6))))</f>
        <v/>
      </c>
      <c r="D221" s="42"/>
      <c r="E221" s="40" t="str">
        <f>+Tabla!A223</f>
        <v/>
      </c>
      <c r="F221" s="43" t="str">
        <f>Tabla!AL223</f>
        <v/>
      </c>
      <c r="G221" s="41" t="str">
        <f>IF(Tabla!A223="","",(F221/((1+$G$9)^(CAT!$E221/Pagos_por_año))))</f>
        <v/>
      </c>
      <c r="H221" s="41"/>
      <c r="I221" s="40" t="str">
        <f>+Tabla!A223</f>
        <v/>
      </c>
      <c r="J221" s="43" t="str">
        <f>+Tabla!AA223</f>
        <v/>
      </c>
      <c r="K221" s="41" t="str">
        <f>IF(Tabla!A223="","",(J221/((1+$K$9)^($I221/Parámetros!$D$6))))</f>
        <v/>
      </c>
      <c r="L221" s="42"/>
      <c r="M221" s="40" t="str">
        <f>+Tabla!A223</f>
        <v/>
      </c>
      <c r="N221" s="43" t="str">
        <f>Tabla!AI223</f>
        <v/>
      </c>
      <c r="O221" s="41" t="str">
        <f>IF(Tabla!A223="","",(N221/((1+$O$9)^(CAT!$M221/Pagos_por_año))))</f>
        <v/>
      </c>
      <c r="P221" s="52"/>
      <c r="Q221" s="52"/>
    </row>
    <row r="222" spans="1:17" x14ac:dyDescent="0.2">
      <c r="A222" s="40" t="str">
        <f>+Tabla!A224</f>
        <v/>
      </c>
      <c r="B222" s="43" t="str">
        <f>+Tabla!AK224</f>
        <v/>
      </c>
      <c r="C222" s="41" t="str">
        <f>IF(Tabla!A224="","",(B222/((1+$C$9)^($A222/Parámetros!$D$6))))</f>
        <v/>
      </c>
      <c r="D222" s="42"/>
      <c r="E222" s="40" t="str">
        <f>+Tabla!A224</f>
        <v/>
      </c>
      <c r="F222" s="43" t="str">
        <f>Tabla!AL224</f>
        <v/>
      </c>
      <c r="G222" s="41" t="str">
        <f>IF(Tabla!A224="","",(F222/((1+$G$9)^(CAT!$E222/Pagos_por_año))))</f>
        <v/>
      </c>
      <c r="H222" s="41"/>
      <c r="I222" s="40" t="str">
        <f>+Tabla!A224</f>
        <v/>
      </c>
      <c r="J222" s="43" t="str">
        <f>+Tabla!AA224</f>
        <v/>
      </c>
      <c r="K222" s="41" t="str">
        <f>IF(Tabla!A224="","",(J222/((1+$K$9)^($I222/Parámetros!$D$6))))</f>
        <v/>
      </c>
      <c r="L222" s="42"/>
      <c r="M222" s="40" t="str">
        <f>+Tabla!A224</f>
        <v/>
      </c>
      <c r="N222" s="43" t="str">
        <f>Tabla!AI224</f>
        <v/>
      </c>
      <c r="O222" s="41" t="str">
        <f>IF(Tabla!A224="","",(N222/((1+$O$9)^(CAT!$M222/Pagos_por_año))))</f>
        <v/>
      </c>
      <c r="P222" s="52"/>
      <c r="Q222" s="52"/>
    </row>
    <row r="223" spans="1:17" x14ac:dyDescent="0.2">
      <c r="A223" s="40" t="str">
        <f>+Tabla!A225</f>
        <v/>
      </c>
      <c r="B223" s="43" t="str">
        <f>+Tabla!AK225</f>
        <v/>
      </c>
      <c r="C223" s="41" t="str">
        <f>IF(Tabla!A225="","",(B223/((1+$C$9)^($A223/Parámetros!$D$6))))</f>
        <v/>
      </c>
      <c r="D223" s="42"/>
      <c r="E223" s="40" t="str">
        <f>+Tabla!A225</f>
        <v/>
      </c>
      <c r="F223" s="43" t="str">
        <f>Tabla!AL225</f>
        <v/>
      </c>
      <c r="G223" s="41" t="str">
        <f>IF(Tabla!A225="","",(F223/((1+$G$9)^(CAT!$E223/Pagos_por_año))))</f>
        <v/>
      </c>
      <c r="H223" s="41"/>
      <c r="I223" s="40" t="str">
        <f>+Tabla!A225</f>
        <v/>
      </c>
      <c r="J223" s="43" t="str">
        <f>+Tabla!AA225</f>
        <v/>
      </c>
      <c r="K223" s="41" t="str">
        <f>IF(Tabla!A225="","",(J223/((1+$K$9)^($I223/Parámetros!$D$6))))</f>
        <v/>
      </c>
      <c r="L223" s="42"/>
      <c r="M223" s="40" t="str">
        <f>+Tabla!A225</f>
        <v/>
      </c>
      <c r="N223" s="43" t="str">
        <f>Tabla!AI225</f>
        <v/>
      </c>
      <c r="O223" s="41" t="str">
        <f>IF(Tabla!A225="","",(N223/((1+$O$9)^(CAT!$M223/Pagos_por_año))))</f>
        <v/>
      </c>
      <c r="P223" s="52"/>
      <c r="Q223" s="52"/>
    </row>
    <row r="224" spans="1:17" x14ac:dyDescent="0.2">
      <c r="A224" s="40" t="str">
        <f>+Tabla!A226</f>
        <v/>
      </c>
      <c r="B224" s="43" t="str">
        <f>+Tabla!AK226</f>
        <v/>
      </c>
      <c r="C224" s="41" t="str">
        <f>IF(Tabla!A226="","",(B224/((1+$C$9)^($A224/Parámetros!$D$6))))</f>
        <v/>
      </c>
      <c r="D224" s="42"/>
      <c r="E224" s="40" t="str">
        <f>+Tabla!A226</f>
        <v/>
      </c>
      <c r="F224" s="43" t="str">
        <f>Tabla!AL226</f>
        <v/>
      </c>
      <c r="G224" s="41" t="str">
        <f>IF(Tabla!A226="","",(F224/((1+$G$9)^(CAT!$E224/Pagos_por_año))))</f>
        <v/>
      </c>
      <c r="H224" s="41"/>
      <c r="I224" s="40" t="str">
        <f>+Tabla!A226</f>
        <v/>
      </c>
      <c r="J224" s="43" t="str">
        <f>+Tabla!AA226</f>
        <v/>
      </c>
      <c r="K224" s="41" t="str">
        <f>IF(Tabla!A226="","",(J224/((1+$K$9)^($I224/Parámetros!$D$6))))</f>
        <v/>
      </c>
      <c r="L224" s="42"/>
      <c r="M224" s="40" t="str">
        <f>+Tabla!A226</f>
        <v/>
      </c>
      <c r="N224" s="43" t="str">
        <f>Tabla!AI226</f>
        <v/>
      </c>
      <c r="O224" s="41" t="str">
        <f>IF(Tabla!A226="","",(N224/((1+$O$9)^(CAT!$M224/Pagos_por_año))))</f>
        <v/>
      </c>
      <c r="P224" s="52"/>
      <c r="Q224" s="52"/>
    </row>
    <row r="225" spans="1:17" x14ac:dyDescent="0.2">
      <c r="A225" s="40" t="str">
        <f>+Tabla!A227</f>
        <v/>
      </c>
      <c r="B225" s="43" t="str">
        <f>+Tabla!AK227</f>
        <v/>
      </c>
      <c r="C225" s="41" t="str">
        <f>IF(Tabla!A227="","",(B225/((1+$C$9)^($A225/Parámetros!$D$6))))</f>
        <v/>
      </c>
      <c r="D225" s="42"/>
      <c r="E225" s="40" t="str">
        <f>+Tabla!A227</f>
        <v/>
      </c>
      <c r="F225" s="43" t="str">
        <f>Tabla!AL227</f>
        <v/>
      </c>
      <c r="G225" s="41" t="str">
        <f>IF(Tabla!A227="","",(F225/((1+$G$9)^(CAT!$E225/Pagos_por_año))))</f>
        <v/>
      </c>
      <c r="H225" s="41"/>
      <c r="I225" s="40" t="str">
        <f>+Tabla!A227</f>
        <v/>
      </c>
      <c r="J225" s="43" t="str">
        <f>+Tabla!AA227</f>
        <v/>
      </c>
      <c r="K225" s="41" t="str">
        <f>IF(Tabla!A227="","",(J225/((1+$K$9)^($I225/Parámetros!$D$6))))</f>
        <v/>
      </c>
      <c r="L225" s="42"/>
      <c r="M225" s="40" t="str">
        <f>+Tabla!A227</f>
        <v/>
      </c>
      <c r="N225" s="43" t="str">
        <f>Tabla!AI227</f>
        <v/>
      </c>
      <c r="O225" s="41" t="str">
        <f>IF(Tabla!A227="","",(N225/((1+$O$9)^(CAT!$M225/Pagos_por_año))))</f>
        <v/>
      </c>
      <c r="P225" s="52"/>
      <c r="Q225" s="52"/>
    </row>
    <row r="226" spans="1:17" x14ac:dyDescent="0.2">
      <c r="A226" s="40" t="str">
        <f>+Tabla!A228</f>
        <v/>
      </c>
      <c r="B226" s="43" t="str">
        <f>+Tabla!AK228</f>
        <v/>
      </c>
      <c r="C226" s="41" t="str">
        <f>IF(Tabla!A228="","",(B226/((1+$C$9)^($A226/Parámetros!$D$6))))</f>
        <v/>
      </c>
      <c r="D226" s="42"/>
      <c r="E226" s="40" t="str">
        <f>+Tabla!A228</f>
        <v/>
      </c>
      <c r="F226" s="43" t="str">
        <f>Tabla!AL228</f>
        <v/>
      </c>
      <c r="G226" s="41" t="str">
        <f>IF(Tabla!A228="","",(F226/((1+$G$9)^(CAT!$E226/Pagos_por_año))))</f>
        <v/>
      </c>
      <c r="H226" s="41"/>
      <c r="I226" s="40" t="str">
        <f>+Tabla!A228</f>
        <v/>
      </c>
      <c r="J226" s="43" t="str">
        <f>+Tabla!AA228</f>
        <v/>
      </c>
      <c r="K226" s="41" t="str">
        <f>IF(Tabla!A228="","",(J226/((1+$K$9)^($I226/Parámetros!$D$6))))</f>
        <v/>
      </c>
      <c r="L226" s="42"/>
      <c r="M226" s="40" t="str">
        <f>+Tabla!A228</f>
        <v/>
      </c>
      <c r="N226" s="43" t="str">
        <f>Tabla!AI228</f>
        <v/>
      </c>
      <c r="O226" s="41" t="str">
        <f>IF(Tabla!A228="","",(N226/((1+$O$9)^(CAT!$M226/Pagos_por_año))))</f>
        <v/>
      </c>
      <c r="P226" s="52"/>
      <c r="Q226" s="52"/>
    </row>
    <row r="227" spans="1:17" x14ac:dyDescent="0.2">
      <c r="A227" s="40" t="str">
        <f>+Tabla!A229</f>
        <v/>
      </c>
      <c r="B227" s="43" t="str">
        <f>+Tabla!AK229</f>
        <v/>
      </c>
      <c r="C227" s="41" t="str">
        <f>IF(Tabla!A229="","",(B227/((1+$C$9)^($A227/Parámetros!$D$6))))</f>
        <v/>
      </c>
      <c r="D227" s="42"/>
      <c r="E227" s="40" t="str">
        <f>+Tabla!A229</f>
        <v/>
      </c>
      <c r="F227" s="43" t="str">
        <f>Tabla!AL229</f>
        <v/>
      </c>
      <c r="G227" s="41" t="str">
        <f>IF(Tabla!A229="","",(F227/((1+$G$9)^(CAT!$E227/Pagos_por_año))))</f>
        <v/>
      </c>
      <c r="H227" s="41"/>
      <c r="I227" s="40" t="str">
        <f>+Tabla!A229</f>
        <v/>
      </c>
      <c r="J227" s="43" t="str">
        <f>+Tabla!AA229</f>
        <v/>
      </c>
      <c r="K227" s="41" t="str">
        <f>IF(Tabla!A229="","",(J227/((1+$K$9)^($I227/Parámetros!$D$6))))</f>
        <v/>
      </c>
      <c r="L227" s="42"/>
      <c r="M227" s="40" t="str">
        <f>+Tabla!A229</f>
        <v/>
      </c>
      <c r="N227" s="43" t="str">
        <f>Tabla!AI229</f>
        <v/>
      </c>
      <c r="O227" s="41" t="str">
        <f>IF(Tabla!A229="","",(N227/((1+$O$9)^(CAT!$M227/Pagos_por_año))))</f>
        <v/>
      </c>
      <c r="P227" s="52"/>
      <c r="Q227" s="52"/>
    </row>
    <row r="228" spans="1:17" x14ac:dyDescent="0.2">
      <c r="A228" s="40" t="str">
        <f>+Tabla!A230</f>
        <v/>
      </c>
      <c r="B228" s="43" t="str">
        <f>+Tabla!AK230</f>
        <v/>
      </c>
      <c r="C228" s="41" t="str">
        <f>IF(Tabla!A230="","",(B228/((1+$C$9)^($A228/Parámetros!$D$6))))</f>
        <v/>
      </c>
      <c r="D228" s="42"/>
      <c r="E228" s="40" t="str">
        <f>+Tabla!A230</f>
        <v/>
      </c>
      <c r="F228" s="43" t="str">
        <f>Tabla!AL230</f>
        <v/>
      </c>
      <c r="G228" s="41" t="str">
        <f>IF(Tabla!A230="","",(F228/((1+$G$9)^(CAT!$E228/Pagos_por_año))))</f>
        <v/>
      </c>
      <c r="H228" s="41"/>
      <c r="I228" s="40" t="str">
        <f>+Tabla!A230</f>
        <v/>
      </c>
      <c r="J228" s="43" t="str">
        <f>+Tabla!AA230</f>
        <v/>
      </c>
      <c r="K228" s="41" t="str">
        <f>IF(Tabla!A230="","",(J228/((1+$K$9)^($I228/Parámetros!$D$6))))</f>
        <v/>
      </c>
      <c r="L228" s="42"/>
      <c r="M228" s="40" t="str">
        <f>+Tabla!A230</f>
        <v/>
      </c>
      <c r="N228" s="43" t="str">
        <f>Tabla!AI230</f>
        <v/>
      </c>
      <c r="O228" s="41" t="str">
        <f>IF(Tabla!A230="","",(N228/((1+$O$9)^(CAT!$M228/Pagos_por_año))))</f>
        <v/>
      </c>
      <c r="P228" s="52"/>
      <c r="Q228" s="52"/>
    </row>
    <row r="229" spans="1:17" x14ac:dyDescent="0.2">
      <c r="A229" s="40" t="str">
        <f>+Tabla!A231</f>
        <v/>
      </c>
      <c r="B229" s="43" t="str">
        <f>+Tabla!AK231</f>
        <v/>
      </c>
      <c r="C229" s="41" t="str">
        <f>IF(Tabla!A231="","",(B229/((1+$C$9)^($A229/Parámetros!$D$6))))</f>
        <v/>
      </c>
      <c r="D229" s="42"/>
      <c r="E229" s="40" t="str">
        <f>+Tabla!A231</f>
        <v/>
      </c>
      <c r="F229" s="43" t="str">
        <f>Tabla!AL231</f>
        <v/>
      </c>
      <c r="G229" s="41" t="str">
        <f>IF(Tabla!A231="","",(F229/((1+$G$9)^(CAT!$E229/Pagos_por_año))))</f>
        <v/>
      </c>
      <c r="H229" s="41"/>
      <c r="I229" s="40" t="str">
        <f>+Tabla!A231</f>
        <v/>
      </c>
      <c r="J229" s="43" t="str">
        <f>+Tabla!AA231</f>
        <v/>
      </c>
      <c r="K229" s="41" t="str">
        <f>IF(Tabla!A231="","",(J229/((1+$K$9)^($I229/Parámetros!$D$6))))</f>
        <v/>
      </c>
      <c r="L229" s="42"/>
      <c r="M229" s="40" t="str">
        <f>+Tabla!A231</f>
        <v/>
      </c>
      <c r="N229" s="43" t="str">
        <f>Tabla!AI231</f>
        <v/>
      </c>
      <c r="O229" s="41" t="str">
        <f>IF(Tabla!A231="","",(N229/((1+$O$9)^(CAT!$M229/Pagos_por_año))))</f>
        <v/>
      </c>
      <c r="P229" s="52"/>
      <c r="Q229" s="52"/>
    </row>
    <row r="230" spans="1:17" x14ac:dyDescent="0.2">
      <c r="A230" s="40" t="str">
        <f>+Tabla!A232</f>
        <v/>
      </c>
      <c r="B230" s="43" t="str">
        <f>+Tabla!AK232</f>
        <v/>
      </c>
      <c r="C230" s="41" t="str">
        <f>IF(Tabla!A232="","",(B230/((1+$C$9)^($A230/Parámetros!$D$6))))</f>
        <v/>
      </c>
      <c r="D230" s="42"/>
      <c r="E230" s="40" t="str">
        <f>+Tabla!A232</f>
        <v/>
      </c>
      <c r="F230" s="43" t="str">
        <f>Tabla!AL232</f>
        <v/>
      </c>
      <c r="G230" s="41" t="str">
        <f>IF(Tabla!A232="","",(F230/((1+$G$9)^(CAT!$E230/Pagos_por_año))))</f>
        <v/>
      </c>
      <c r="H230" s="41"/>
      <c r="I230" s="40" t="str">
        <f>+Tabla!A232</f>
        <v/>
      </c>
      <c r="J230" s="43" t="str">
        <f>+Tabla!AA232</f>
        <v/>
      </c>
      <c r="K230" s="41" t="str">
        <f>IF(Tabla!A232="","",(J230/((1+$K$9)^($I230/Parámetros!$D$6))))</f>
        <v/>
      </c>
      <c r="L230" s="42"/>
      <c r="M230" s="40" t="str">
        <f>+Tabla!A232</f>
        <v/>
      </c>
      <c r="N230" s="43" t="str">
        <f>Tabla!AI232</f>
        <v/>
      </c>
      <c r="O230" s="41" t="str">
        <f>IF(Tabla!A232="","",(N230/((1+$O$9)^(CAT!$M230/Pagos_por_año))))</f>
        <v/>
      </c>
      <c r="P230" s="52"/>
      <c r="Q230" s="52"/>
    </row>
    <row r="231" spans="1:17" x14ac:dyDescent="0.2">
      <c r="A231" s="40" t="str">
        <f>+Tabla!A233</f>
        <v/>
      </c>
      <c r="B231" s="43" t="str">
        <f>+Tabla!AK233</f>
        <v/>
      </c>
      <c r="C231" s="41" t="str">
        <f>IF(Tabla!A233="","",(B231/((1+$C$9)^($A231/Parámetros!$D$6))))</f>
        <v/>
      </c>
      <c r="D231" s="42"/>
      <c r="E231" s="40" t="str">
        <f>+Tabla!A233</f>
        <v/>
      </c>
      <c r="F231" s="43" t="str">
        <f>Tabla!AL233</f>
        <v/>
      </c>
      <c r="G231" s="41" t="str">
        <f>IF(Tabla!A233="","",(F231/((1+$G$9)^(CAT!$E231/Pagos_por_año))))</f>
        <v/>
      </c>
      <c r="H231" s="41"/>
      <c r="I231" s="40" t="str">
        <f>+Tabla!A233</f>
        <v/>
      </c>
      <c r="J231" s="43" t="str">
        <f>+Tabla!AA233</f>
        <v/>
      </c>
      <c r="K231" s="41" t="str">
        <f>IF(Tabla!A233="","",(J231/((1+$K$9)^($I231/Parámetros!$D$6))))</f>
        <v/>
      </c>
      <c r="L231" s="42"/>
      <c r="M231" s="40" t="str">
        <f>+Tabla!A233</f>
        <v/>
      </c>
      <c r="N231" s="43" t="str">
        <f>Tabla!AI233</f>
        <v/>
      </c>
      <c r="O231" s="41" t="str">
        <f>IF(Tabla!A233="","",(N231/((1+$O$9)^(CAT!$M231/Pagos_por_año))))</f>
        <v/>
      </c>
      <c r="P231" s="52"/>
      <c r="Q231" s="52"/>
    </row>
    <row r="232" spans="1:17" x14ac:dyDescent="0.2">
      <c r="A232" s="40" t="str">
        <f>+Tabla!A234</f>
        <v/>
      </c>
      <c r="B232" s="43" t="str">
        <f>+Tabla!AK234</f>
        <v/>
      </c>
      <c r="C232" s="41" t="str">
        <f>IF(Tabla!A234="","",(B232/((1+$C$9)^($A232/Parámetros!$D$6))))</f>
        <v/>
      </c>
      <c r="D232" s="42"/>
      <c r="E232" s="40" t="str">
        <f>+Tabla!A234</f>
        <v/>
      </c>
      <c r="F232" s="43" t="str">
        <f>Tabla!AL234</f>
        <v/>
      </c>
      <c r="G232" s="41" t="str">
        <f>IF(Tabla!A234="","",(F232/((1+$G$9)^(CAT!$E232/Pagos_por_año))))</f>
        <v/>
      </c>
      <c r="H232" s="41"/>
      <c r="I232" s="40" t="str">
        <f>+Tabla!A234</f>
        <v/>
      </c>
      <c r="J232" s="43" t="str">
        <f>+Tabla!AA234</f>
        <v/>
      </c>
      <c r="K232" s="41" t="str">
        <f>IF(Tabla!A234="","",(J232/((1+$K$9)^($I232/Parámetros!$D$6))))</f>
        <v/>
      </c>
      <c r="L232" s="42"/>
      <c r="M232" s="40" t="str">
        <f>+Tabla!A234</f>
        <v/>
      </c>
      <c r="N232" s="43" t="str">
        <f>Tabla!AI234</f>
        <v/>
      </c>
      <c r="O232" s="41" t="str">
        <f>IF(Tabla!A234="","",(N232/((1+$O$9)^(CAT!$M232/Pagos_por_año))))</f>
        <v/>
      </c>
      <c r="P232" s="52"/>
      <c r="Q232" s="52"/>
    </row>
    <row r="233" spans="1:17" x14ac:dyDescent="0.2">
      <c r="A233" s="40" t="str">
        <f>+Tabla!A235</f>
        <v/>
      </c>
      <c r="B233" s="43" t="str">
        <f>+Tabla!AK235</f>
        <v/>
      </c>
      <c r="C233" s="41" t="str">
        <f>IF(Tabla!A235="","",(B233/((1+$C$9)^($A233/Parámetros!$D$6))))</f>
        <v/>
      </c>
      <c r="D233" s="42"/>
      <c r="E233" s="40" t="str">
        <f>+Tabla!A235</f>
        <v/>
      </c>
      <c r="F233" s="43" t="str">
        <f>Tabla!AL235</f>
        <v/>
      </c>
      <c r="G233" s="41" t="str">
        <f>IF(Tabla!A235="","",(F233/((1+$G$9)^(CAT!$E233/Pagos_por_año))))</f>
        <v/>
      </c>
      <c r="H233" s="41"/>
      <c r="I233" s="40" t="str">
        <f>+Tabla!A235</f>
        <v/>
      </c>
      <c r="J233" s="43" t="str">
        <f>+Tabla!AA235</f>
        <v/>
      </c>
      <c r="K233" s="41" t="str">
        <f>IF(Tabla!A235="","",(J233/((1+$K$9)^($I233/Parámetros!$D$6))))</f>
        <v/>
      </c>
      <c r="L233" s="42"/>
      <c r="M233" s="40" t="str">
        <f>+Tabla!A235</f>
        <v/>
      </c>
      <c r="N233" s="43" t="str">
        <f>Tabla!AI235</f>
        <v/>
      </c>
      <c r="O233" s="41" t="str">
        <f>IF(Tabla!A235="","",(N233/((1+$O$9)^(CAT!$M233/Pagos_por_año))))</f>
        <v/>
      </c>
      <c r="P233" s="52"/>
      <c r="Q233" s="52"/>
    </row>
    <row r="234" spans="1:17" x14ac:dyDescent="0.2">
      <c r="A234" s="40" t="str">
        <f>+Tabla!A236</f>
        <v/>
      </c>
      <c r="B234" s="43" t="str">
        <f>+Tabla!AK236</f>
        <v/>
      </c>
      <c r="C234" s="41" t="str">
        <f>IF(Tabla!A236="","",(B234/((1+$C$9)^($A234/Parámetros!$D$6))))</f>
        <v/>
      </c>
      <c r="D234" s="42"/>
      <c r="E234" s="40" t="str">
        <f>+Tabla!A236</f>
        <v/>
      </c>
      <c r="F234" s="43" t="str">
        <f>Tabla!AL236</f>
        <v/>
      </c>
      <c r="G234" s="41" t="str">
        <f>IF(Tabla!A236="","",(F234/((1+$G$9)^(CAT!$E234/Pagos_por_año))))</f>
        <v/>
      </c>
      <c r="H234" s="41"/>
      <c r="I234" s="40" t="str">
        <f>+Tabla!A236</f>
        <v/>
      </c>
      <c r="J234" s="43" t="str">
        <f>+Tabla!AA236</f>
        <v/>
      </c>
      <c r="K234" s="41" t="str">
        <f>IF(Tabla!A236="","",(J234/((1+$K$9)^($I234/Parámetros!$D$6))))</f>
        <v/>
      </c>
      <c r="L234" s="42"/>
      <c r="M234" s="40" t="str">
        <f>+Tabla!A236</f>
        <v/>
      </c>
      <c r="N234" s="43" t="str">
        <f>Tabla!AI236</f>
        <v/>
      </c>
      <c r="O234" s="41" t="str">
        <f>IF(Tabla!A236="","",(N234/((1+$O$9)^(CAT!$M234/Pagos_por_año))))</f>
        <v/>
      </c>
      <c r="P234" s="52"/>
      <c r="Q234" s="52"/>
    </row>
    <row r="235" spans="1:17" x14ac:dyDescent="0.2">
      <c r="A235" s="40" t="str">
        <f>+Tabla!A237</f>
        <v/>
      </c>
      <c r="B235" s="43" t="str">
        <f>+Tabla!AK237</f>
        <v/>
      </c>
      <c r="C235" s="41" t="str">
        <f>IF(Tabla!A237="","",(B235/((1+$C$9)^($A235/Parámetros!$D$6))))</f>
        <v/>
      </c>
      <c r="D235" s="42"/>
      <c r="E235" s="40" t="str">
        <f>+Tabla!A237</f>
        <v/>
      </c>
      <c r="F235" s="43" t="str">
        <f>Tabla!AL237</f>
        <v/>
      </c>
      <c r="G235" s="41" t="str">
        <f>IF(Tabla!A237="","",(F235/((1+$G$9)^(CAT!$E235/Pagos_por_año))))</f>
        <v/>
      </c>
      <c r="H235" s="41"/>
      <c r="I235" s="40" t="str">
        <f>+Tabla!A237</f>
        <v/>
      </c>
      <c r="J235" s="43" t="str">
        <f>+Tabla!AA237</f>
        <v/>
      </c>
      <c r="K235" s="41" t="str">
        <f>IF(Tabla!A237="","",(J235/((1+$K$9)^($I235/Parámetros!$D$6))))</f>
        <v/>
      </c>
      <c r="L235" s="42"/>
      <c r="M235" s="40" t="str">
        <f>+Tabla!A237</f>
        <v/>
      </c>
      <c r="N235" s="43" t="str">
        <f>Tabla!AI237</f>
        <v/>
      </c>
      <c r="O235" s="41" t="str">
        <f>IF(Tabla!A237="","",(N235/((1+$O$9)^(CAT!$M235/Pagos_por_año))))</f>
        <v/>
      </c>
      <c r="P235" s="52"/>
      <c r="Q235" s="52"/>
    </row>
    <row r="236" spans="1:17" x14ac:dyDescent="0.2">
      <c r="A236" s="40" t="str">
        <f>+Tabla!A238</f>
        <v/>
      </c>
      <c r="B236" s="43" t="str">
        <f>+Tabla!AK238</f>
        <v/>
      </c>
      <c r="C236" s="41" t="str">
        <f>IF(Tabla!A238="","",(B236/((1+$C$9)^($A236/Parámetros!$D$6))))</f>
        <v/>
      </c>
      <c r="D236" s="42"/>
      <c r="E236" s="40" t="str">
        <f>+Tabla!A238</f>
        <v/>
      </c>
      <c r="F236" s="43" t="str">
        <f>Tabla!AL238</f>
        <v/>
      </c>
      <c r="G236" s="41" t="str">
        <f>IF(Tabla!A238="","",(F236/((1+$G$9)^(CAT!$E236/Pagos_por_año))))</f>
        <v/>
      </c>
      <c r="H236" s="41"/>
      <c r="I236" s="40" t="str">
        <f>+Tabla!A238</f>
        <v/>
      </c>
      <c r="J236" s="43" t="str">
        <f>+Tabla!AA238</f>
        <v/>
      </c>
      <c r="K236" s="41" t="str">
        <f>IF(Tabla!A238="","",(J236/((1+$K$9)^($I236/Parámetros!$D$6))))</f>
        <v/>
      </c>
      <c r="L236" s="42"/>
      <c r="M236" s="40" t="str">
        <f>+Tabla!A238</f>
        <v/>
      </c>
      <c r="N236" s="43" t="str">
        <f>Tabla!AI238</f>
        <v/>
      </c>
      <c r="O236" s="41" t="str">
        <f>IF(Tabla!A238="","",(N236/((1+$O$9)^(CAT!$M236/Pagos_por_año))))</f>
        <v/>
      </c>
      <c r="P236" s="52"/>
      <c r="Q236" s="52"/>
    </row>
    <row r="237" spans="1:17" x14ac:dyDescent="0.2">
      <c r="A237" s="40" t="str">
        <f>+Tabla!A239</f>
        <v/>
      </c>
      <c r="B237" s="43" t="str">
        <f>+Tabla!AK239</f>
        <v/>
      </c>
      <c r="C237" s="41" t="str">
        <f>IF(Tabla!A239="","",(B237/((1+$C$9)^($A237/Parámetros!$D$6))))</f>
        <v/>
      </c>
      <c r="D237" s="42"/>
      <c r="E237" s="40" t="str">
        <f>+Tabla!A239</f>
        <v/>
      </c>
      <c r="F237" s="43" t="str">
        <f>Tabla!AL239</f>
        <v/>
      </c>
      <c r="G237" s="41" t="str">
        <f>IF(Tabla!A239="","",(F237/((1+$G$9)^(CAT!$E237/Pagos_por_año))))</f>
        <v/>
      </c>
      <c r="H237" s="41"/>
      <c r="I237" s="40" t="str">
        <f>+Tabla!A239</f>
        <v/>
      </c>
      <c r="J237" s="43" t="str">
        <f>+Tabla!AA239</f>
        <v/>
      </c>
      <c r="K237" s="41" t="str">
        <f>IF(Tabla!A239="","",(J237/((1+$K$9)^($I237/Parámetros!$D$6))))</f>
        <v/>
      </c>
      <c r="L237" s="42"/>
      <c r="M237" s="40" t="str">
        <f>+Tabla!A239</f>
        <v/>
      </c>
      <c r="N237" s="43" t="str">
        <f>Tabla!AI239</f>
        <v/>
      </c>
      <c r="O237" s="41" t="str">
        <f>IF(Tabla!A239="","",(N237/((1+$O$9)^(CAT!$M237/Pagos_por_año))))</f>
        <v/>
      </c>
      <c r="P237" s="52"/>
      <c r="Q237" s="52"/>
    </row>
    <row r="238" spans="1:17" x14ac:dyDescent="0.2">
      <c r="A238" s="40" t="str">
        <f>+Tabla!A240</f>
        <v/>
      </c>
      <c r="B238" s="43" t="str">
        <f>+Tabla!AK240</f>
        <v/>
      </c>
      <c r="C238" s="41" t="str">
        <f>IF(Tabla!A240="","",(B238/((1+$C$9)^($A238/Parámetros!$D$6))))</f>
        <v/>
      </c>
      <c r="D238" s="42"/>
      <c r="E238" s="40" t="str">
        <f>+Tabla!A240</f>
        <v/>
      </c>
      <c r="F238" s="43" t="str">
        <f>Tabla!AL240</f>
        <v/>
      </c>
      <c r="G238" s="41" t="str">
        <f>IF(Tabla!A240="","",(F238/((1+$G$9)^(CAT!$E238/Pagos_por_año))))</f>
        <v/>
      </c>
      <c r="H238" s="41"/>
      <c r="I238" s="40" t="str">
        <f>+Tabla!A240</f>
        <v/>
      </c>
      <c r="J238" s="43" t="str">
        <f>+Tabla!AA240</f>
        <v/>
      </c>
      <c r="K238" s="41" t="str">
        <f>IF(Tabla!A240="","",(J238/((1+$K$9)^($I238/Parámetros!$D$6))))</f>
        <v/>
      </c>
      <c r="L238" s="42"/>
      <c r="M238" s="40" t="str">
        <f>+Tabla!A240</f>
        <v/>
      </c>
      <c r="N238" s="43" t="str">
        <f>Tabla!AI240</f>
        <v/>
      </c>
      <c r="O238" s="41" t="str">
        <f>IF(Tabla!A240="","",(N238/((1+$O$9)^(CAT!$M238/Pagos_por_año))))</f>
        <v/>
      </c>
      <c r="P238" s="52"/>
      <c r="Q238" s="52"/>
    </row>
    <row r="239" spans="1:17" x14ac:dyDescent="0.2">
      <c r="A239" s="40" t="str">
        <f>+Tabla!A241</f>
        <v/>
      </c>
      <c r="B239" s="43" t="str">
        <f>+Tabla!AK241</f>
        <v/>
      </c>
      <c r="C239" s="41" t="str">
        <f>IF(Tabla!A241="","",(B239/((1+$C$9)^($A239/Parámetros!$D$6))))</f>
        <v/>
      </c>
      <c r="D239" s="42"/>
      <c r="E239" s="40" t="str">
        <f>+Tabla!A241</f>
        <v/>
      </c>
      <c r="F239" s="43" t="str">
        <f>Tabla!AL241</f>
        <v/>
      </c>
      <c r="G239" s="41" t="str">
        <f>IF(Tabla!A241="","",(F239/((1+$G$9)^(CAT!$E239/Pagos_por_año))))</f>
        <v/>
      </c>
      <c r="H239" s="41"/>
      <c r="I239" s="40" t="str">
        <f>+Tabla!A241</f>
        <v/>
      </c>
      <c r="J239" s="43" t="str">
        <f>+Tabla!AA241</f>
        <v/>
      </c>
      <c r="K239" s="41" t="str">
        <f>IF(Tabla!A241="","",(J239/((1+$K$9)^($I239/Parámetros!$D$6))))</f>
        <v/>
      </c>
      <c r="L239" s="42"/>
      <c r="M239" s="40" t="str">
        <f>+Tabla!A241</f>
        <v/>
      </c>
      <c r="N239" s="43" t="str">
        <f>Tabla!AI241</f>
        <v/>
      </c>
      <c r="O239" s="41" t="str">
        <f>IF(Tabla!A241="","",(N239/((1+$O$9)^(CAT!$M239/Pagos_por_año))))</f>
        <v/>
      </c>
      <c r="P239" s="52"/>
      <c r="Q239" s="52"/>
    </row>
    <row r="240" spans="1:17" x14ac:dyDescent="0.2">
      <c r="A240" s="40" t="str">
        <f>+Tabla!A242</f>
        <v/>
      </c>
      <c r="B240" s="43" t="str">
        <f>+Tabla!AK242</f>
        <v/>
      </c>
      <c r="C240" s="41" t="str">
        <f>IF(Tabla!A242="","",(B240/((1+$C$9)^($A240/Parámetros!$D$6))))</f>
        <v/>
      </c>
      <c r="D240" s="42"/>
      <c r="E240" s="40" t="str">
        <f>+Tabla!A242</f>
        <v/>
      </c>
      <c r="F240" s="43" t="str">
        <f>Tabla!AL242</f>
        <v/>
      </c>
      <c r="G240" s="41" t="str">
        <f>IF(Tabla!A242="","",(F240/((1+$G$9)^(CAT!$E240/Pagos_por_año))))</f>
        <v/>
      </c>
      <c r="H240" s="41"/>
      <c r="I240" s="40" t="str">
        <f>+Tabla!A242</f>
        <v/>
      </c>
      <c r="J240" s="43" t="str">
        <f>+Tabla!AA242</f>
        <v/>
      </c>
      <c r="K240" s="41" t="str">
        <f>IF(Tabla!A242="","",(J240/((1+$K$9)^($I240/Parámetros!$D$6))))</f>
        <v/>
      </c>
      <c r="L240" s="42"/>
      <c r="M240" s="40" t="str">
        <f>+Tabla!A242</f>
        <v/>
      </c>
      <c r="N240" s="43" t="str">
        <f>Tabla!AI242</f>
        <v/>
      </c>
      <c r="O240" s="41" t="str">
        <f>IF(Tabla!A242="","",(N240/((1+$O$9)^(CAT!$M240/Pagos_por_año))))</f>
        <v/>
      </c>
      <c r="P240" s="52"/>
      <c r="Q240" s="52"/>
    </row>
    <row r="241" spans="1:17" x14ac:dyDescent="0.2">
      <c r="A241" s="40" t="str">
        <f>+Tabla!A243</f>
        <v/>
      </c>
      <c r="B241" s="43" t="str">
        <f>+Tabla!AK243</f>
        <v/>
      </c>
      <c r="C241" s="41" t="str">
        <f>IF(Tabla!A243="","",(B241/((1+$C$9)^($A241/Parámetros!$D$6))))</f>
        <v/>
      </c>
      <c r="D241" s="42"/>
      <c r="E241" s="40" t="str">
        <f>+Tabla!A243</f>
        <v/>
      </c>
      <c r="F241" s="43" t="str">
        <f>Tabla!AL243</f>
        <v/>
      </c>
      <c r="G241" s="41" t="str">
        <f>IF(Tabla!A243="","",(F241/((1+$G$9)^(CAT!$E241/Pagos_por_año))))</f>
        <v/>
      </c>
      <c r="H241" s="41"/>
      <c r="I241" s="40" t="str">
        <f>+Tabla!A243</f>
        <v/>
      </c>
      <c r="J241" s="43" t="str">
        <f>+Tabla!AA243</f>
        <v/>
      </c>
      <c r="K241" s="41" t="str">
        <f>IF(Tabla!A243="","",(J241/((1+$K$9)^($I241/Parámetros!$D$6))))</f>
        <v/>
      </c>
      <c r="L241" s="42"/>
      <c r="M241" s="40" t="str">
        <f>+Tabla!A243</f>
        <v/>
      </c>
      <c r="N241" s="43" t="str">
        <f>Tabla!AI243</f>
        <v/>
      </c>
      <c r="O241" s="41" t="str">
        <f>IF(Tabla!A243="","",(N241/((1+$O$9)^(CAT!$M241/Pagos_por_año))))</f>
        <v/>
      </c>
      <c r="P241" s="52"/>
      <c r="Q241" s="52"/>
    </row>
    <row r="242" spans="1:17" x14ac:dyDescent="0.2">
      <c r="A242" s="40" t="str">
        <f>+Tabla!A244</f>
        <v/>
      </c>
      <c r="B242" s="43" t="str">
        <f>+Tabla!AK244</f>
        <v/>
      </c>
      <c r="C242" s="41" t="str">
        <f>IF(Tabla!A244="","",(B242/((1+$C$9)^($A242/Parámetros!$D$6))))</f>
        <v/>
      </c>
      <c r="D242" s="42"/>
      <c r="E242" s="40" t="str">
        <f>+Tabla!A244</f>
        <v/>
      </c>
      <c r="F242" s="43" t="str">
        <f>Tabla!AL244</f>
        <v/>
      </c>
      <c r="G242" s="41" t="str">
        <f>IF(Tabla!A244="","",(F242/((1+$G$9)^(CAT!$E242/Pagos_por_año))))</f>
        <v/>
      </c>
      <c r="H242" s="41"/>
      <c r="I242" s="40" t="str">
        <f>+Tabla!A244</f>
        <v/>
      </c>
      <c r="J242" s="43" t="str">
        <f>+Tabla!AA244</f>
        <v/>
      </c>
      <c r="K242" s="41" t="str">
        <f>IF(Tabla!A244="","",(J242/((1+$K$9)^($I242/Parámetros!$D$6))))</f>
        <v/>
      </c>
      <c r="L242" s="42"/>
      <c r="M242" s="40" t="str">
        <f>+Tabla!A244</f>
        <v/>
      </c>
      <c r="N242" s="43" t="str">
        <f>Tabla!AI244</f>
        <v/>
      </c>
      <c r="O242" s="41" t="str">
        <f>IF(Tabla!A244="","",(N242/((1+$O$9)^(CAT!$M242/Pagos_por_año))))</f>
        <v/>
      </c>
      <c r="P242" s="52"/>
      <c r="Q242" s="52"/>
    </row>
    <row r="243" spans="1:17" x14ac:dyDescent="0.2">
      <c r="A243" s="40" t="str">
        <f>+Tabla!A245</f>
        <v/>
      </c>
      <c r="B243" s="43" t="str">
        <f>+Tabla!AK245</f>
        <v/>
      </c>
      <c r="C243" s="41" t="str">
        <f>IF(Tabla!A245="","",(B243/((1+$C$9)^($A243/Parámetros!$D$6))))</f>
        <v/>
      </c>
      <c r="D243" s="42"/>
      <c r="E243" s="40" t="str">
        <f>+Tabla!A245</f>
        <v/>
      </c>
      <c r="F243" s="43" t="str">
        <f>Tabla!AL245</f>
        <v/>
      </c>
      <c r="G243" s="41" t="str">
        <f>IF(Tabla!A245="","",(F243/((1+$G$9)^(CAT!$E243/Pagos_por_año))))</f>
        <v/>
      </c>
      <c r="H243" s="41"/>
      <c r="I243" s="40" t="str">
        <f>+Tabla!A245</f>
        <v/>
      </c>
      <c r="J243" s="43" t="str">
        <f>+Tabla!AA245</f>
        <v/>
      </c>
      <c r="K243" s="41" t="str">
        <f>IF(Tabla!A245="","",(J243/((1+$K$9)^($I243/Parámetros!$D$6))))</f>
        <v/>
      </c>
      <c r="L243" s="42"/>
      <c r="M243" s="40" t="str">
        <f>+Tabla!A245</f>
        <v/>
      </c>
      <c r="N243" s="43" t="str">
        <f>Tabla!AI245</f>
        <v/>
      </c>
      <c r="O243" s="41" t="str">
        <f>IF(Tabla!A245="","",(N243/((1+$O$9)^(CAT!$M243/Pagos_por_año))))</f>
        <v/>
      </c>
      <c r="P243" s="52"/>
      <c r="Q243" s="52"/>
    </row>
    <row r="244" spans="1:17" x14ac:dyDescent="0.2">
      <c r="A244" s="40" t="str">
        <f>+Tabla!A246</f>
        <v/>
      </c>
      <c r="B244" s="43" t="str">
        <f>+Tabla!AK246</f>
        <v/>
      </c>
      <c r="C244" s="41" t="str">
        <f>IF(Tabla!A246="","",(B244/((1+$C$9)^($A244/Parámetros!$D$6))))</f>
        <v/>
      </c>
      <c r="D244" s="42"/>
      <c r="E244" s="40" t="str">
        <f>+Tabla!A246</f>
        <v/>
      </c>
      <c r="F244" s="43" t="str">
        <f>Tabla!AL246</f>
        <v/>
      </c>
      <c r="G244" s="41" t="str">
        <f>IF(Tabla!A246="","",(F244/((1+$G$9)^(CAT!$E244/Pagos_por_año))))</f>
        <v/>
      </c>
      <c r="H244" s="41"/>
      <c r="I244" s="40" t="str">
        <f>+Tabla!A246</f>
        <v/>
      </c>
      <c r="J244" s="43" t="str">
        <f>+Tabla!AA246</f>
        <v/>
      </c>
      <c r="K244" s="41" t="str">
        <f>IF(Tabla!A246="","",(J244/((1+$K$9)^($I244/Parámetros!$D$6))))</f>
        <v/>
      </c>
      <c r="L244" s="42"/>
      <c r="M244" s="40" t="str">
        <f>+Tabla!A246</f>
        <v/>
      </c>
      <c r="N244" s="43" t="str">
        <f>Tabla!AI246</f>
        <v/>
      </c>
      <c r="O244" s="41" t="str">
        <f>IF(Tabla!A246="","",(N244/((1+$O$9)^(CAT!$M244/Pagos_por_año))))</f>
        <v/>
      </c>
      <c r="P244" s="52"/>
      <c r="Q244" s="52"/>
    </row>
    <row r="245" spans="1:17" x14ac:dyDescent="0.2">
      <c r="A245" s="40" t="str">
        <f>+Tabla!A247</f>
        <v/>
      </c>
      <c r="B245" s="43" t="str">
        <f>+Tabla!AK247</f>
        <v/>
      </c>
      <c r="C245" s="41" t="str">
        <f>IF(Tabla!A247="","",(B245/((1+$C$9)^($A245/Parámetros!$D$6))))</f>
        <v/>
      </c>
      <c r="D245" s="42"/>
      <c r="E245" s="40" t="str">
        <f>+Tabla!A247</f>
        <v/>
      </c>
      <c r="F245" s="43" t="str">
        <f>Tabla!AL247</f>
        <v/>
      </c>
      <c r="G245" s="41" t="str">
        <f>IF(Tabla!A247="","",(F245/((1+$G$9)^(CAT!$E245/Pagos_por_año))))</f>
        <v/>
      </c>
      <c r="H245" s="41"/>
      <c r="I245" s="40" t="str">
        <f>+Tabla!A247</f>
        <v/>
      </c>
      <c r="J245" s="43" t="str">
        <f>+Tabla!AA247</f>
        <v/>
      </c>
      <c r="K245" s="41" t="str">
        <f>IF(Tabla!A247="","",(J245/((1+$K$9)^($I245/Parámetros!$D$6))))</f>
        <v/>
      </c>
      <c r="L245" s="42"/>
      <c r="M245" s="40" t="str">
        <f>+Tabla!A247</f>
        <v/>
      </c>
      <c r="N245" s="43" t="str">
        <f>Tabla!AI247</f>
        <v/>
      </c>
      <c r="O245" s="41" t="str">
        <f>IF(Tabla!A247="","",(N245/((1+$O$9)^(CAT!$M245/Pagos_por_año))))</f>
        <v/>
      </c>
      <c r="P245" s="52"/>
      <c r="Q245" s="52"/>
    </row>
    <row r="246" spans="1:17" x14ac:dyDescent="0.2">
      <c r="A246" s="40" t="str">
        <f>+Tabla!A248</f>
        <v/>
      </c>
      <c r="B246" s="43" t="str">
        <f>+Tabla!AK248</f>
        <v/>
      </c>
      <c r="C246" s="41" t="str">
        <f>IF(Tabla!A248="","",(B246/((1+$C$9)^($A246/Parámetros!$D$6))))</f>
        <v/>
      </c>
      <c r="D246" s="42"/>
      <c r="E246" s="40" t="str">
        <f>+Tabla!A248</f>
        <v/>
      </c>
      <c r="F246" s="43" t="str">
        <f>Tabla!AL248</f>
        <v/>
      </c>
      <c r="G246" s="41" t="str">
        <f>IF(Tabla!A248="","",(F246/((1+$G$9)^(CAT!$E246/Pagos_por_año))))</f>
        <v/>
      </c>
      <c r="H246" s="41"/>
      <c r="I246" s="40" t="str">
        <f>+Tabla!A248</f>
        <v/>
      </c>
      <c r="J246" s="43" t="str">
        <f>+Tabla!AA248</f>
        <v/>
      </c>
      <c r="K246" s="41" t="str">
        <f>IF(Tabla!A248="","",(J246/((1+$K$9)^($I246/Parámetros!$D$6))))</f>
        <v/>
      </c>
      <c r="L246" s="42"/>
      <c r="M246" s="40" t="str">
        <f>+Tabla!A248</f>
        <v/>
      </c>
      <c r="N246" s="43" t="str">
        <f>Tabla!AI248</f>
        <v/>
      </c>
      <c r="O246" s="41" t="str">
        <f>IF(Tabla!A248="","",(N246/((1+$O$9)^(CAT!$M246/Pagos_por_año))))</f>
        <v/>
      </c>
      <c r="P246" s="52"/>
      <c r="Q246" s="52"/>
    </row>
    <row r="247" spans="1:17" x14ac:dyDescent="0.2">
      <c r="A247" s="40" t="str">
        <f>+Tabla!A249</f>
        <v/>
      </c>
      <c r="B247" s="43" t="str">
        <f>+Tabla!AK249</f>
        <v/>
      </c>
      <c r="C247" s="41" t="str">
        <f>IF(Tabla!A249="","",(B247/((1+$C$9)^($A247/Parámetros!$D$6))))</f>
        <v/>
      </c>
      <c r="D247" s="42"/>
      <c r="E247" s="40" t="str">
        <f>+Tabla!A249</f>
        <v/>
      </c>
      <c r="F247" s="43" t="str">
        <f>Tabla!AL249</f>
        <v/>
      </c>
      <c r="G247" s="41" t="str">
        <f>IF(Tabla!A249="","",(F247/((1+$G$9)^(CAT!$E247/Pagos_por_año))))</f>
        <v/>
      </c>
      <c r="H247" s="41"/>
      <c r="I247" s="40" t="str">
        <f>+Tabla!A249</f>
        <v/>
      </c>
      <c r="J247" s="43" t="str">
        <f>+Tabla!AA249</f>
        <v/>
      </c>
      <c r="K247" s="41" t="str">
        <f>IF(Tabla!A249="","",(J247/((1+$K$9)^($I247/Parámetros!$D$6))))</f>
        <v/>
      </c>
      <c r="L247" s="42"/>
      <c r="M247" s="40" t="str">
        <f>+Tabla!A249</f>
        <v/>
      </c>
      <c r="N247" s="43" t="str">
        <f>Tabla!AI249</f>
        <v/>
      </c>
      <c r="O247" s="41" t="str">
        <f>IF(Tabla!A249="","",(N247/((1+$O$9)^(CAT!$M247/Pagos_por_año))))</f>
        <v/>
      </c>
      <c r="P247" s="52"/>
      <c r="Q247" s="52"/>
    </row>
    <row r="248" spans="1:17" x14ac:dyDescent="0.2">
      <c r="A248" s="40" t="str">
        <f>+Tabla!A250</f>
        <v/>
      </c>
      <c r="B248" s="43" t="str">
        <f>+Tabla!AK250</f>
        <v/>
      </c>
      <c r="C248" s="41" t="str">
        <f>IF(Tabla!A250="","",(B248/((1+$C$9)^($A248/Parámetros!$D$6))))</f>
        <v/>
      </c>
      <c r="D248" s="42"/>
      <c r="E248" s="40" t="str">
        <f>+Tabla!A250</f>
        <v/>
      </c>
      <c r="F248" s="43" t="str">
        <f>Tabla!AL250</f>
        <v/>
      </c>
      <c r="G248" s="41" t="str">
        <f>IF(Tabla!A250="","",(F248/((1+$G$9)^(CAT!$E248/Pagos_por_año))))</f>
        <v/>
      </c>
      <c r="H248" s="41"/>
      <c r="I248" s="40" t="str">
        <f>+Tabla!A250</f>
        <v/>
      </c>
      <c r="J248" s="43" t="str">
        <f>+Tabla!AA250</f>
        <v/>
      </c>
      <c r="K248" s="41" t="str">
        <f>IF(Tabla!A250="","",(J248/((1+$K$9)^($I248/Parámetros!$D$6))))</f>
        <v/>
      </c>
      <c r="L248" s="42"/>
      <c r="M248" s="40" t="str">
        <f>+Tabla!A250</f>
        <v/>
      </c>
      <c r="N248" s="43" t="str">
        <f>Tabla!AI250</f>
        <v/>
      </c>
      <c r="O248" s="41" t="str">
        <f>IF(Tabla!A250="","",(N248/((1+$O$9)^(CAT!$M248/Pagos_por_año))))</f>
        <v/>
      </c>
      <c r="P248" s="52"/>
      <c r="Q248" s="52"/>
    </row>
    <row r="249" spans="1:17" x14ac:dyDescent="0.2">
      <c r="A249" s="40" t="str">
        <f>+Tabla!A251</f>
        <v/>
      </c>
      <c r="B249" s="43" t="str">
        <f>+Tabla!AK251</f>
        <v/>
      </c>
      <c r="C249" s="41" t="str">
        <f>IF(Tabla!A251="","",(B249/((1+$C$9)^($A249/Parámetros!$D$6))))</f>
        <v/>
      </c>
      <c r="D249" s="42"/>
      <c r="E249" s="40" t="str">
        <f>+Tabla!A251</f>
        <v/>
      </c>
      <c r="F249" s="43" t="str">
        <f>Tabla!AL251</f>
        <v/>
      </c>
      <c r="G249" s="41" t="str">
        <f>IF(Tabla!A251="","",(F249/((1+$G$9)^(CAT!$E249/Pagos_por_año))))</f>
        <v/>
      </c>
      <c r="H249" s="41"/>
      <c r="I249" s="40" t="str">
        <f>+Tabla!A251</f>
        <v/>
      </c>
      <c r="J249" s="43" t="str">
        <f>+Tabla!AA251</f>
        <v/>
      </c>
      <c r="K249" s="41" t="str">
        <f>IF(Tabla!A251="","",(J249/((1+$K$9)^($I249/Parámetros!$D$6))))</f>
        <v/>
      </c>
      <c r="L249" s="42"/>
      <c r="M249" s="40" t="str">
        <f>+Tabla!A251</f>
        <v/>
      </c>
      <c r="N249" s="43" t="str">
        <f>Tabla!AI251</f>
        <v/>
      </c>
      <c r="O249" s="41" t="str">
        <f>IF(Tabla!A251="","",(N249/((1+$O$9)^(CAT!$M249/Pagos_por_año))))</f>
        <v/>
      </c>
      <c r="P249" s="52"/>
      <c r="Q249" s="52"/>
    </row>
    <row r="250" spans="1:17" x14ac:dyDescent="0.2">
      <c r="A250" s="40" t="str">
        <f>+Tabla!A252</f>
        <v/>
      </c>
      <c r="B250" s="43" t="str">
        <f>+Tabla!AK252</f>
        <v/>
      </c>
      <c r="C250" s="41" t="str">
        <f>IF(Tabla!A252="","",(B250/((1+$C$9)^($A250/Parámetros!$D$6))))</f>
        <v/>
      </c>
      <c r="D250" s="42"/>
      <c r="E250" s="40" t="str">
        <f>+Tabla!A252</f>
        <v/>
      </c>
      <c r="F250" s="43" t="str">
        <f>Tabla!AL252</f>
        <v/>
      </c>
      <c r="G250" s="41" t="str">
        <f>IF(Tabla!A252="","",(F250/((1+$G$9)^(CAT!$E250/Pagos_por_año))))</f>
        <v/>
      </c>
      <c r="H250" s="41"/>
      <c r="I250" s="40" t="str">
        <f>+Tabla!A252</f>
        <v/>
      </c>
      <c r="J250" s="43" t="str">
        <f>+Tabla!AA252</f>
        <v/>
      </c>
      <c r="K250" s="41" t="str">
        <f>IF(Tabla!A252="","",(J250/((1+$K$9)^($I250/Parámetros!$D$6))))</f>
        <v/>
      </c>
      <c r="L250" s="42"/>
      <c r="M250" s="40" t="str">
        <f>+Tabla!A252</f>
        <v/>
      </c>
      <c r="N250" s="43" t="str">
        <f>Tabla!AI252</f>
        <v/>
      </c>
      <c r="O250" s="41" t="str">
        <f>IF(Tabla!A252="","",(N250/((1+$O$9)^(CAT!$M250/Pagos_por_año))))</f>
        <v/>
      </c>
      <c r="P250" s="52"/>
      <c r="Q250" s="52"/>
    </row>
    <row r="251" spans="1:17" x14ac:dyDescent="0.2">
      <c r="A251" s="40" t="str">
        <f>+Tabla!A253</f>
        <v/>
      </c>
      <c r="B251" s="43" t="str">
        <f>+Tabla!AK253</f>
        <v/>
      </c>
      <c r="C251" s="41" t="str">
        <f>IF(Tabla!A253="","",(B251/((1+$C$9)^($A251/Parámetros!$D$6))))</f>
        <v/>
      </c>
      <c r="D251" s="42"/>
      <c r="E251" s="40" t="str">
        <f>+Tabla!A253</f>
        <v/>
      </c>
      <c r="F251" s="43" t="str">
        <f>Tabla!AL253</f>
        <v/>
      </c>
      <c r="G251" s="41" t="str">
        <f>IF(Tabla!A253="","",(F251/((1+$G$9)^(CAT!$E251/Pagos_por_año))))</f>
        <v/>
      </c>
      <c r="H251" s="41"/>
      <c r="I251" s="40" t="str">
        <f>+Tabla!A253</f>
        <v/>
      </c>
      <c r="J251" s="43" t="str">
        <f>+Tabla!AA253</f>
        <v/>
      </c>
      <c r="K251" s="41" t="str">
        <f>IF(Tabla!A253="","",(J251/((1+$K$9)^($I251/Parámetros!$D$6))))</f>
        <v/>
      </c>
      <c r="L251" s="42"/>
      <c r="M251" s="40" t="str">
        <f>+Tabla!A253</f>
        <v/>
      </c>
      <c r="N251" s="43" t="str">
        <f>Tabla!AI253</f>
        <v/>
      </c>
      <c r="O251" s="41" t="str">
        <f>IF(Tabla!A253="","",(N251/((1+$O$9)^(CAT!$M251/Pagos_por_año))))</f>
        <v/>
      </c>
      <c r="P251" s="52"/>
      <c r="Q251" s="52"/>
    </row>
    <row r="252" spans="1:17" x14ac:dyDescent="0.2">
      <c r="A252" s="40" t="str">
        <f>+Tabla!A254</f>
        <v/>
      </c>
      <c r="B252" s="43" t="str">
        <f>+Tabla!AK254</f>
        <v/>
      </c>
      <c r="C252" s="41" t="str">
        <f>IF(Tabla!A254="","",(B252/((1+$C$9)^($A252/Parámetros!$D$6))))</f>
        <v/>
      </c>
      <c r="D252" s="42"/>
      <c r="E252" s="40" t="str">
        <f>+Tabla!A254</f>
        <v/>
      </c>
      <c r="F252" s="43" t="str">
        <f>Tabla!AL254</f>
        <v/>
      </c>
      <c r="G252" s="41" t="str">
        <f>IF(Tabla!A254="","",(F252/((1+$G$9)^(CAT!$E252/Pagos_por_año))))</f>
        <v/>
      </c>
      <c r="H252" s="41"/>
      <c r="I252" s="40" t="str">
        <f>+Tabla!A254</f>
        <v/>
      </c>
      <c r="J252" s="43" t="str">
        <f>+Tabla!AA254</f>
        <v/>
      </c>
      <c r="K252" s="41" t="str">
        <f>IF(Tabla!A254="","",(J252/((1+$K$9)^($I252/Parámetros!$D$6))))</f>
        <v/>
      </c>
      <c r="L252" s="42"/>
      <c r="M252" s="40" t="str">
        <f>+Tabla!A254</f>
        <v/>
      </c>
      <c r="N252" s="43" t="str">
        <f>Tabla!AI254</f>
        <v/>
      </c>
      <c r="O252" s="41" t="str">
        <f>IF(Tabla!A254="","",(N252/((1+$O$9)^(CAT!$M252/Pagos_por_año))))</f>
        <v/>
      </c>
      <c r="P252" s="52"/>
      <c r="Q252" s="52"/>
    </row>
    <row r="253" spans="1:17" x14ac:dyDescent="0.2">
      <c r="A253" s="40" t="str">
        <f>+Tabla!A255</f>
        <v/>
      </c>
      <c r="B253" s="43" t="str">
        <f>+Tabla!AK255</f>
        <v/>
      </c>
      <c r="C253" s="41" t="str">
        <f>IF(Tabla!A255="","",(B253/((1+$C$9)^($A253/Parámetros!$D$6))))</f>
        <v/>
      </c>
      <c r="D253" s="42"/>
      <c r="E253" s="40" t="str">
        <f>+Tabla!A255</f>
        <v/>
      </c>
      <c r="F253" s="43" t="str">
        <f>Tabla!AL255</f>
        <v/>
      </c>
      <c r="G253" s="41" t="str">
        <f>IF(Tabla!A255="","",(F253/((1+$G$9)^(CAT!$E253/Pagos_por_año))))</f>
        <v/>
      </c>
      <c r="H253" s="41"/>
      <c r="I253" s="40" t="str">
        <f>+Tabla!A255</f>
        <v/>
      </c>
      <c r="J253" s="43" t="str">
        <f>+Tabla!AA255</f>
        <v/>
      </c>
      <c r="K253" s="41" t="str">
        <f>IF(Tabla!A255="","",(J253/((1+$K$9)^($I253/Parámetros!$D$6))))</f>
        <v/>
      </c>
      <c r="L253" s="42"/>
      <c r="M253" s="40" t="str">
        <f>+Tabla!A255</f>
        <v/>
      </c>
      <c r="N253" s="43" t="str">
        <f>Tabla!AI255</f>
        <v/>
      </c>
      <c r="O253" s="41" t="str">
        <f>IF(Tabla!A255="","",(N253/((1+$O$9)^(CAT!$M253/Pagos_por_año))))</f>
        <v/>
      </c>
      <c r="P253" s="52"/>
      <c r="Q253" s="52"/>
    </row>
    <row r="254" spans="1:17" x14ac:dyDescent="0.2">
      <c r="A254" s="40" t="str">
        <f>+Tabla!A256</f>
        <v/>
      </c>
      <c r="B254" s="43" t="str">
        <f>+Tabla!AK256</f>
        <v/>
      </c>
      <c r="C254" s="41" t="str">
        <f>IF(Tabla!A256="","",(B254/((1+$C$9)^($A254/Parámetros!$D$6))))</f>
        <v/>
      </c>
      <c r="D254" s="42"/>
      <c r="E254" s="40" t="str">
        <f>+Tabla!A256</f>
        <v/>
      </c>
      <c r="F254" s="43" t="str">
        <f>Tabla!AL256</f>
        <v/>
      </c>
      <c r="G254" s="41" t="str">
        <f>IF(Tabla!A256="","",(F254/((1+$G$9)^(CAT!$E254/Pagos_por_año))))</f>
        <v/>
      </c>
      <c r="H254" s="41"/>
      <c r="I254" s="40" t="str">
        <f>+Tabla!A256</f>
        <v/>
      </c>
      <c r="J254" s="43" t="str">
        <f>+Tabla!AA256</f>
        <v/>
      </c>
      <c r="K254" s="41" t="str">
        <f>IF(Tabla!A256="","",(J254/((1+$K$9)^($I254/Parámetros!$D$6))))</f>
        <v/>
      </c>
      <c r="L254" s="42"/>
      <c r="M254" s="40" t="str">
        <f>+Tabla!A256</f>
        <v/>
      </c>
      <c r="N254" s="43" t="str">
        <f>Tabla!AI256</f>
        <v/>
      </c>
      <c r="O254" s="41" t="str">
        <f>IF(Tabla!A256="","",(N254/((1+$O$9)^(CAT!$M254/Pagos_por_año))))</f>
        <v/>
      </c>
      <c r="P254" s="52"/>
      <c r="Q254" s="52"/>
    </row>
    <row r="255" spans="1:17" x14ac:dyDescent="0.2">
      <c r="A255" s="40" t="str">
        <f>+Tabla!A257</f>
        <v/>
      </c>
      <c r="B255" s="43" t="str">
        <f>+Tabla!AK257</f>
        <v/>
      </c>
      <c r="C255" s="41" t="str">
        <f>IF(Tabla!A257="","",(B255/((1+$C$9)^($A255/Parámetros!$D$6))))</f>
        <v/>
      </c>
      <c r="D255" s="42"/>
      <c r="E255" s="40" t="str">
        <f>+Tabla!A257</f>
        <v/>
      </c>
      <c r="F255" s="43" t="str">
        <f>Tabla!AL257</f>
        <v/>
      </c>
      <c r="G255" s="41" t="str">
        <f>IF(Tabla!A257="","",(F255/((1+$G$9)^(CAT!$E255/Pagos_por_año))))</f>
        <v/>
      </c>
      <c r="H255" s="41"/>
      <c r="I255" s="40" t="str">
        <f>+Tabla!A257</f>
        <v/>
      </c>
      <c r="J255" s="43" t="str">
        <f>+Tabla!AA257</f>
        <v/>
      </c>
      <c r="K255" s="41" t="str">
        <f>IF(Tabla!A257="","",(J255/((1+$K$9)^($I255/Parámetros!$D$6))))</f>
        <v/>
      </c>
      <c r="L255" s="42"/>
      <c r="M255" s="40" t="str">
        <f>+Tabla!A257</f>
        <v/>
      </c>
      <c r="N255" s="43" t="str">
        <f>Tabla!AI257</f>
        <v/>
      </c>
      <c r="O255" s="41" t="str">
        <f>IF(Tabla!A257="","",(N255/((1+$O$9)^(CAT!$M255/Pagos_por_año))))</f>
        <v/>
      </c>
      <c r="P255" s="52"/>
      <c r="Q255" s="52"/>
    </row>
    <row r="256" spans="1:17" ht="10.8" thickBot="1" x14ac:dyDescent="0.25">
      <c r="B256" s="44">
        <f>SUM(B15:B255)</f>
        <v>448105.49233541306</v>
      </c>
      <c r="C256" s="44">
        <f>SUM(C15:C255)</f>
        <v>9.3335984274744987E-8</v>
      </c>
      <c r="D256" s="45"/>
      <c r="F256" s="44">
        <f>SUM(F15:F255)</f>
        <v>396181.91666666738</v>
      </c>
      <c r="G256" s="44">
        <f>SUM(G15:G255)</f>
        <v>2.7064743335358799E-8</v>
      </c>
      <c r="H256" s="11"/>
      <c r="J256" s="44">
        <f>SUM(J15:J255)</f>
        <v>519802.3711090791</v>
      </c>
      <c r="K256" s="44">
        <f>SUM(K15:K255)</f>
        <v>-2.4447217583656311E-9</v>
      </c>
      <c r="L256" s="45"/>
      <c r="N256" s="44">
        <f>SUM(N15:N255)</f>
        <v>459571.02333333401</v>
      </c>
      <c r="O256" s="44">
        <f>SUM(O15:O255)</f>
        <v>-4.0263330447487533E-9</v>
      </c>
      <c r="P256" s="52"/>
      <c r="Q256" s="52"/>
    </row>
    <row r="257" spans="1:15" ht="10.8" thickTop="1" x14ac:dyDescent="0.2">
      <c r="A257" s="11"/>
      <c r="B257" s="11"/>
      <c r="E257" s="11"/>
      <c r="F257" s="11"/>
      <c r="G257" s="41"/>
      <c r="H257" s="41"/>
      <c r="J257" s="11"/>
      <c r="M257" s="11"/>
      <c r="N257" s="11"/>
      <c r="O257" s="41"/>
    </row>
    <row r="258" spans="1:15" x14ac:dyDescent="0.2">
      <c r="A258" s="13"/>
      <c r="B258" s="13"/>
      <c r="E258" s="13"/>
      <c r="F258" s="13"/>
      <c r="G258" s="41"/>
      <c r="H258" s="41"/>
      <c r="J258" s="13"/>
      <c r="M258" s="13"/>
      <c r="N258" s="13"/>
      <c r="O258" s="41"/>
    </row>
  </sheetData>
  <mergeCells count="4">
    <mergeCell ref="B1:C2"/>
    <mergeCell ref="F1:G2"/>
    <mergeCell ref="J1:K2"/>
    <mergeCell ref="N1:O2"/>
  </mergeCells>
  <phoneticPr fontId="3" type="noConversion"/>
  <pageMargins left="0.75" right="0.75" top="1" bottom="1" header="0" footer="0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/>
  </sheetViews>
  <sheetFormatPr defaultColWidth="11.5546875" defaultRowHeight="13.2" x14ac:dyDescent="0.25"/>
  <cols>
    <col min="1" max="1" width="10.109375" customWidth="1"/>
    <col min="2" max="2" width="9" customWidth="1"/>
    <col min="3" max="3" width="16.5546875" bestFit="1" customWidth="1"/>
    <col min="4" max="4" width="68.5546875" bestFit="1" customWidth="1"/>
  </cols>
  <sheetData>
    <row r="1" spans="1:1" x14ac:dyDescent="0.25">
      <c r="A1" s="175" t="s">
        <v>125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66</vt:i4>
      </vt:variant>
    </vt:vector>
  </HeadingPairs>
  <TitlesOfParts>
    <vt:vector size="75" baseType="lpstr">
      <vt:lpstr>CA_Consola</vt:lpstr>
      <vt:lpstr>CA_Servicios</vt:lpstr>
      <vt:lpstr>Menu Principal</vt:lpstr>
      <vt:lpstr>Tabla</vt:lpstr>
      <vt:lpstr>Combos</vt:lpstr>
      <vt:lpstr>Validaciones</vt:lpstr>
      <vt:lpstr>Parámetros</vt:lpstr>
      <vt:lpstr>CAT</vt:lpstr>
      <vt:lpstr>LogDeCierres</vt:lpstr>
      <vt:lpstr>ACCC</vt:lpstr>
      <vt:lpstr>ACCC_COMPRAS_DE_GOBIERNO</vt:lpstr>
      <vt:lpstr>ACCC_DLLS</vt:lpstr>
      <vt:lpstr>ACS</vt:lpstr>
      <vt:lpstr>ACS_COMPRAS_DE_GOBIERNO</vt:lpstr>
      <vt:lpstr>ACS_DLLS</vt:lpstr>
      <vt:lpstr>ACS_PROGRAMAS_DE_APOYO</vt:lpstr>
      <vt:lpstr>CA_Servicios!CA.ArchivosExtra</vt:lpstr>
      <vt:lpstr>CA_Servicios!CA.Branding</vt:lpstr>
      <vt:lpstr>CA_Consola!CA.HojasInteractivas</vt:lpstr>
      <vt:lpstr>CA_Consola!CA.MensajeDeCierre</vt:lpstr>
      <vt:lpstr>CA_Servicios!CA.ModoMantenimiento</vt:lpstr>
      <vt:lpstr>CA_Consola!CA.NumHojasIntValidas</vt:lpstr>
      <vt:lpstr>CA_Consola!CA.Op.GenerarVariantes</vt:lpstr>
      <vt:lpstr>CA_Consola!CA.Op.NoEsconderPestañas</vt:lpstr>
      <vt:lpstr>CA_Consola!CA.Op.NombreParaCierre</vt:lpstr>
      <vt:lpstr>CA_Consola!CA.Op.ProtegerContraseña</vt:lpstr>
      <vt:lpstr>CA_Consola!CA.Op.RegistrarMensaje</vt:lpstr>
      <vt:lpstr>CA_Consola!CA.Op.UsarContraseñaEnHojas</vt:lpstr>
      <vt:lpstr>CA_Consola!CA.PseudoCierreStatus</vt:lpstr>
      <vt:lpstr>CA_Consola!CA.RespaldoOpciones</vt:lpstr>
      <vt:lpstr>CA_Servicios!CA.Stamp_Mensaje</vt:lpstr>
      <vt:lpstr>CA_Servicios!CA.Stamp_Sufijo</vt:lpstr>
      <vt:lpstr>CA_Servicios!CA.Stamp_Version_MCA</vt:lpstr>
      <vt:lpstr>CA_Servicios!CA.UsarContraseñaEnHojasRT</vt:lpstr>
      <vt:lpstr>CA_Consola!CA.Version</vt:lpstr>
      <vt:lpstr>CAT_AmortCrecientes</vt:lpstr>
      <vt:lpstr>CAT_AmortIguales</vt:lpstr>
      <vt:lpstr>Com_por_apertura</vt:lpstr>
      <vt:lpstr>Com_por_avalúo</vt:lpstr>
      <vt:lpstr>COMBINACIÓN_DE_MEDIOS</vt:lpstr>
      <vt:lpstr>CREDILINEA</vt:lpstr>
      <vt:lpstr>Días</vt:lpstr>
      <vt:lpstr>Fecha_TIIE</vt:lpstr>
      <vt:lpstr>Fecha_Tipo_de_Cambio</vt:lpstr>
      <vt:lpstr>Frecuencia</vt:lpstr>
      <vt:lpstr>Garantía_Hipotecaria</vt:lpstr>
      <vt:lpstr>I.V.A.</vt:lpstr>
      <vt:lpstr>Márgen</vt:lpstr>
      <vt:lpstr>Máximo_Crédito</vt:lpstr>
      <vt:lpstr>Mínimo_Crédito</vt:lpstr>
      <vt:lpstr>Monto_Crédito</vt:lpstr>
      <vt:lpstr>No._de_Pagos</vt:lpstr>
      <vt:lpstr>No._De_Pagos_con_periodo_de_gracia</vt:lpstr>
      <vt:lpstr>No_De_Pagos_con_periodo_gracia</vt:lpstr>
      <vt:lpstr>Pagos_por_año</vt:lpstr>
      <vt:lpstr>Periodos_Gracia</vt:lpstr>
      <vt:lpstr>Plazo_en_Años</vt:lpstr>
      <vt:lpstr>Tabla!Print_Area</vt:lpstr>
      <vt:lpstr>Tabla!Print_Titles</vt:lpstr>
      <vt:lpstr>Seguro_Anual</vt:lpstr>
      <vt:lpstr>Seguro_Anual_CAT</vt:lpstr>
      <vt:lpstr>Seguro_Anual_Dólares</vt:lpstr>
      <vt:lpstr>Seguro_Anual_para_CAT_Dólares</vt:lpstr>
      <vt:lpstr>Simulación_crediactivo</vt:lpstr>
      <vt:lpstr>Tasa_Anual</vt:lpstr>
      <vt:lpstr>Tasa_según_rango_y_plazo</vt:lpstr>
      <vt:lpstr>TasaFija</vt:lpstr>
      <vt:lpstr>TasaVariable</vt:lpstr>
      <vt:lpstr>TIIE</vt:lpstr>
      <vt:lpstr>Tipo_de_cambio</vt:lpstr>
      <vt:lpstr>TipoContrato</vt:lpstr>
      <vt:lpstr>TipoTasa</vt:lpstr>
      <vt:lpstr>Tabla!UltimaCelda</vt:lpstr>
      <vt:lpstr>'Menu Principal'!ÚltimaCelda</vt:lpstr>
      <vt:lpstr>Valor_Propiedad</vt:lpstr>
    </vt:vector>
  </TitlesOfParts>
  <Company>Banco Mercantil del Norte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A1928937</dc:creator>
  <cp:lastModifiedBy>El Servas</cp:lastModifiedBy>
  <cp:lastPrinted>2015-10-15T20:42:15Z</cp:lastPrinted>
  <dcterms:created xsi:type="dcterms:W3CDTF">2009-05-06T18:22:05Z</dcterms:created>
  <dcterms:modified xsi:type="dcterms:W3CDTF">2016-09-13T00:03:59Z</dcterms:modified>
</cp:coreProperties>
</file>